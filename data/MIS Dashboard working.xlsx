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piceroutefinanc-my.sharepoint.com/personal/bhavana_srfcapital_studio/Documents/MIS Dashboard - iMagnum/"/>
    </mc:Choice>
  </mc:AlternateContent>
  <xr:revisionPtr revIDLastSave="131" documentId="8_{4F4A4AE1-D75A-4C67-9ACA-6186AC12C1E8}" xr6:coauthVersionLast="47" xr6:coauthVersionMax="47" xr10:uidLastSave="{953E0029-9469-430C-8699-18AD3BC8577F}"/>
  <bookViews>
    <workbookView xWindow="-110" yWindow="-110" windowWidth="19420" windowHeight="10300" xr2:uid="{E84AEC27-4E17-430F-BCE8-CF033B1178FB}"/>
  </bookViews>
  <sheets>
    <sheet name="Sheet1" sheetId="1" r:id="rId1"/>
    <sheet name="Consolidated PnL-Jan" sheetId="5" r:id="rId2"/>
    <sheet name="Consolidated- Mar&amp;Feb" sheetId="4" r:id="rId3"/>
    <sheet name="Consolidted PnL-April" sheetId="3" r:id="rId4"/>
    <sheet name="Consolidted PnL-May" sheetId="2" r:id="rId5"/>
    <sheet name="Holding Detailed Exp summary" sheetId="6" r:id="rId6"/>
    <sheet name="Subs Detailed Exp Summary" sheetId="7" r:id="rId7"/>
  </sheets>
  <externalReferences>
    <externalReference r:id="rId8"/>
  </externalReferences>
  <definedNames>
    <definedName name="\" localSheetId="2">#REF!</definedName>
    <definedName name="\" localSheetId="1">#REF!</definedName>
    <definedName name="\" localSheetId="3">#REF!</definedName>
    <definedName name="\" localSheetId="5">#REF!</definedName>
    <definedName name="\" localSheetId="6">#REF!</definedName>
    <definedName name="\">#REF!</definedName>
    <definedName name="\0" localSheetId="2">#REF!</definedName>
    <definedName name="\0" localSheetId="1">#REF!</definedName>
    <definedName name="\0" localSheetId="3">#REF!</definedName>
    <definedName name="\0" localSheetId="5">#REF!</definedName>
    <definedName name="\0" localSheetId="6">#REF!</definedName>
    <definedName name="\0">#REF!</definedName>
    <definedName name="\A" localSheetId="2">#REF!</definedName>
    <definedName name="\A" localSheetId="1">#REF!</definedName>
    <definedName name="\A" localSheetId="3">#REF!</definedName>
    <definedName name="\A" localSheetId="5">#REF!</definedName>
    <definedName name="\A" localSheetId="6">#REF!</definedName>
    <definedName name="\A">#REF!</definedName>
    <definedName name="\B" localSheetId="2">#REF!</definedName>
    <definedName name="\B" localSheetId="1">#REF!</definedName>
    <definedName name="\B" localSheetId="3">#REF!</definedName>
    <definedName name="\B" localSheetId="5">#REF!</definedName>
    <definedName name="\B" localSheetId="6">#REF!</definedName>
    <definedName name="\B">#REF!</definedName>
    <definedName name="\E" localSheetId="2">#REF!</definedName>
    <definedName name="\E" localSheetId="1">#REF!</definedName>
    <definedName name="\E" localSheetId="3">#REF!</definedName>
    <definedName name="\E" localSheetId="5">#REF!</definedName>
    <definedName name="\E" localSheetId="6">#REF!</definedName>
    <definedName name="\E">#REF!</definedName>
    <definedName name="\G" localSheetId="2">#REF!</definedName>
    <definedName name="\G" localSheetId="1">#REF!</definedName>
    <definedName name="\G" localSheetId="3">#REF!</definedName>
    <definedName name="\G" localSheetId="5">#REF!</definedName>
    <definedName name="\G" localSheetId="6">#REF!</definedName>
    <definedName name="\G">#REF!</definedName>
    <definedName name="\L" localSheetId="2">#REF!</definedName>
    <definedName name="\L" localSheetId="1">#REF!</definedName>
    <definedName name="\L" localSheetId="3">#REF!</definedName>
    <definedName name="\L" localSheetId="5">#REF!</definedName>
    <definedName name="\L" localSheetId="6">#REF!</definedName>
    <definedName name="\L">#REF!</definedName>
    <definedName name="\q" localSheetId="2">#REF!</definedName>
    <definedName name="\q" localSheetId="1">#REF!</definedName>
    <definedName name="\q" localSheetId="3">#REF!</definedName>
    <definedName name="\q" localSheetId="5">#REF!</definedName>
    <definedName name="\q" localSheetId="6">#REF!</definedName>
    <definedName name="\q">#REF!</definedName>
    <definedName name="\S" localSheetId="2">#REF!</definedName>
    <definedName name="\S" localSheetId="1">#REF!</definedName>
    <definedName name="\S" localSheetId="3">#REF!</definedName>
    <definedName name="\S" localSheetId="5">#REF!</definedName>
    <definedName name="\S" localSheetId="6">#REF!</definedName>
    <definedName name="\S">#REF!</definedName>
    <definedName name="\T" localSheetId="2">#REF!</definedName>
    <definedName name="\T" localSheetId="1">#REF!</definedName>
    <definedName name="\T" localSheetId="3">#REF!</definedName>
    <definedName name="\T" localSheetId="5">#REF!</definedName>
    <definedName name="\T" localSheetId="6">#REF!</definedName>
    <definedName name="\T">#REF!</definedName>
    <definedName name="\U" localSheetId="2">#REF!</definedName>
    <definedName name="\U" localSheetId="1">#REF!</definedName>
    <definedName name="\U" localSheetId="3">#REF!</definedName>
    <definedName name="\U" localSheetId="5">#REF!</definedName>
    <definedName name="\U" localSheetId="6">#REF!</definedName>
    <definedName name="\U">#REF!</definedName>
    <definedName name="________DAT7" localSheetId="2">#REF!</definedName>
    <definedName name="________DAT7" localSheetId="1">#REF!</definedName>
    <definedName name="________DAT7" localSheetId="3">#REF!</definedName>
    <definedName name="________DAT7" localSheetId="5">#REF!</definedName>
    <definedName name="________DAT7" localSheetId="6">#REF!</definedName>
    <definedName name="________DAT7">#REF!</definedName>
    <definedName name="________DAT8" localSheetId="2">#REF!</definedName>
    <definedName name="________DAT8" localSheetId="1">#REF!</definedName>
    <definedName name="________DAT8" localSheetId="3">#REF!</definedName>
    <definedName name="________DAT8" localSheetId="5">#REF!</definedName>
    <definedName name="________DAT8" localSheetId="6">#REF!</definedName>
    <definedName name="________DAT8">#REF!</definedName>
    <definedName name="________DAT9" localSheetId="2">#REF!</definedName>
    <definedName name="________DAT9" localSheetId="1">#REF!</definedName>
    <definedName name="________DAT9" localSheetId="3">#REF!</definedName>
    <definedName name="________DAT9" localSheetId="5">#REF!</definedName>
    <definedName name="________DAT9" localSheetId="6">#REF!</definedName>
    <definedName name="________DAT9">#REF!</definedName>
    <definedName name="_______DAT13" localSheetId="2">#REF!</definedName>
    <definedName name="_______DAT13" localSheetId="1">#REF!</definedName>
    <definedName name="_______DAT13" localSheetId="3">#REF!</definedName>
    <definedName name="_______DAT13" localSheetId="5">#REF!</definedName>
    <definedName name="_______DAT13" localSheetId="6">#REF!</definedName>
    <definedName name="_______DAT13">#REF!</definedName>
    <definedName name="_______DAT2" localSheetId="2">#REF!</definedName>
    <definedName name="_______DAT2" localSheetId="1">#REF!</definedName>
    <definedName name="_______DAT2" localSheetId="3">#REF!</definedName>
    <definedName name="_______DAT2" localSheetId="5">#REF!</definedName>
    <definedName name="_______DAT2" localSheetId="6">#REF!</definedName>
    <definedName name="_______DAT2">#REF!</definedName>
    <definedName name="_______DAT3" localSheetId="2">#REF!</definedName>
    <definedName name="_______DAT3" localSheetId="1">#REF!</definedName>
    <definedName name="_______DAT3" localSheetId="3">#REF!</definedName>
    <definedName name="_______DAT3" localSheetId="5">#REF!</definedName>
    <definedName name="_______DAT3" localSheetId="6">#REF!</definedName>
    <definedName name="_______DAT3">#REF!</definedName>
    <definedName name="_______DAT4" localSheetId="2">#REF!</definedName>
    <definedName name="_______DAT4" localSheetId="1">#REF!</definedName>
    <definedName name="_______DAT4" localSheetId="3">#REF!</definedName>
    <definedName name="_______DAT4" localSheetId="5">#REF!</definedName>
    <definedName name="_______DAT4" localSheetId="6">#REF!</definedName>
    <definedName name="_______DAT4">#REF!</definedName>
    <definedName name="_______DAT5" localSheetId="2">#REF!</definedName>
    <definedName name="_______DAT5" localSheetId="1">#REF!</definedName>
    <definedName name="_______DAT5" localSheetId="3">#REF!</definedName>
    <definedName name="_______DAT5" localSheetId="5">#REF!</definedName>
    <definedName name="_______DAT5" localSheetId="6">#REF!</definedName>
    <definedName name="_______DAT5">#REF!</definedName>
    <definedName name="_______DAT6" localSheetId="2">#REF!</definedName>
    <definedName name="_______DAT6" localSheetId="1">#REF!</definedName>
    <definedName name="_______DAT6" localSheetId="3">#REF!</definedName>
    <definedName name="_______DAT6" localSheetId="5">#REF!</definedName>
    <definedName name="_______DAT6" localSheetId="6">#REF!</definedName>
    <definedName name="_______DAT6">#REF!</definedName>
    <definedName name="_______DAT7" localSheetId="2">#REF!</definedName>
    <definedName name="_______DAT7" localSheetId="1">#REF!</definedName>
    <definedName name="_______DAT7" localSheetId="3">#REF!</definedName>
    <definedName name="_______DAT7" localSheetId="5">#REF!</definedName>
    <definedName name="_______DAT7" localSheetId="6">#REF!</definedName>
    <definedName name="_______DAT7">#REF!</definedName>
    <definedName name="_______DAT8" localSheetId="2">#REF!</definedName>
    <definedName name="_______DAT8" localSheetId="1">#REF!</definedName>
    <definedName name="_______DAT8" localSheetId="3">#REF!</definedName>
    <definedName name="_______DAT8" localSheetId="5">#REF!</definedName>
    <definedName name="_______DAT8" localSheetId="6">#REF!</definedName>
    <definedName name="_______DAT8">#REF!</definedName>
    <definedName name="_______DAT9" localSheetId="2">#REF!</definedName>
    <definedName name="_______DAT9" localSheetId="1">#REF!</definedName>
    <definedName name="_______DAT9" localSheetId="3">#REF!</definedName>
    <definedName name="_______DAT9" localSheetId="5">#REF!</definedName>
    <definedName name="_______DAT9" localSheetId="6">#REF!</definedName>
    <definedName name="_______DAT9">#REF!</definedName>
    <definedName name="_______New1" localSheetId="2">#REF!</definedName>
    <definedName name="_______New1" localSheetId="1">#REF!</definedName>
    <definedName name="_______New1" localSheetId="3">#REF!</definedName>
    <definedName name="_______New1" localSheetId="5">#REF!</definedName>
    <definedName name="_______New1" localSheetId="6">#REF!</definedName>
    <definedName name="_______New1">#REF!</definedName>
    <definedName name="______DAT13" localSheetId="2">#REF!</definedName>
    <definedName name="______DAT13" localSheetId="1">#REF!</definedName>
    <definedName name="______DAT13" localSheetId="3">#REF!</definedName>
    <definedName name="______DAT13" localSheetId="5">#REF!</definedName>
    <definedName name="______DAT13" localSheetId="6">#REF!</definedName>
    <definedName name="______DAT13">#REF!</definedName>
    <definedName name="______DAT2" localSheetId="2">#REF!</definedName>
    <definedName name="______DAT2" localSheetId="1">#REF!</definedName>
    <definedName name="______DAT2" localSheetId="3">#REF!</definedName>
    <definedName name="______DAT2" localSheetId="5">#REF!</definedName>
    <definedName name="______DAT2" localSheetId="6">#REF!</definedName>
    <definedName name="______DAT2">#REF!</definedName>
    <definedName name="______DAT3" localSheetId="2">#REF!</definedName>
    <definedName name="______DAT3" localSheetId="1">#REF!</definedName>
    <definedName name="______DAT3" localSheetId="3">#REF!</definedName>
    <definedName name="______DAT3" localSheetId="5">#REF!</definedName>
    <definedName name="______DAT3" localSheetId="6">#REF!</definedName>
    <definedName name="______DAT3">#REF!</definedName>
    <definedName name="______DAT4" localSheetId="2">#REF!</definedName>
    <definedName name="______DAT4" localSheetId="1">#REF!</definedName>
    <definedName name="______DAT4" localSheetId="3">#REF!</definedName>
    <definedName name="______DAT4" localSheetId="5">#REF!</definedName>
    <definedName name="______DAT4" localSheetId="6">#REF!</definedName>
    <definedName name="______DAT4">#REF!</definedName>
    <definedName name="______DAT5" localSheetId="2">#REF!</definedName>
    <definedName name="______DAT5" localSheetId="1">#REF!</definedName>
    <definedName name="______DAT5" localSheetId="3">#REF!</definedName>
    <definedName name="______DAT5" localSheetId="5">#REF!</definedName>
    <definedName name="______DAT5" localSheetId="6">#REF!</definedName>
    <definedName name="______DAT5">#REF!</definedName>
    <definedName name="______DAT6" localSheetId="2">#REF!</definedName>
    <definedName name="______DAT6" localSheetId="1">#REF!</definedName>
    <definedName name="______DAT6" localSheetId="3">#REF!</definedName>
    <definedName name="______DAT6" localSheetId="5">#REF!</definedName>
    <definedName name="______DAT6" localSheetId="6">#REF!</definedName>
    <definedName name="______DAT6">#REF!</definedName>
    <definedName name="______DAT7" localSheetId="2">#REF!</definedName>
    <definedName name="______DAT7" localSheetId="1">#REF!</definedName>
    <definedName name="______DAT7" localSheetId="3">#REF!</definedName>
    <definedName name="______DAT7" localSheetId="5">#REF!</definedName>
    <definedName name="______DAT7" localSheetId="6">#REF!</definedName>
    <definedName name="______DAT7">#REF!</definedName>
    <definedName name="______DAT8" localSheetId="2">#REF!</definedName>
    <definedName name="______DAT8" localSheetId="1">#REF!</definedName>
    <definedName name="______DAT8" localSheetId="3">#REF!</definedName>
    <definedName name="______DAT8" localSheetId="5">#REF!</definedName>
    <definedName name="______DAT8" localSheetId="6">#REF!</definedName>
    <definedName name="______DAT8">#REF!</definedName>
    <definedName name="______DAT9" localSheetId="2">#REF!</definedName>
    <definedName name="______DAT9" localSheetId="1">#REF!</definedName>
    <definedName name="______DAT9" localSheetId="3">#REF!</definedName>
    <definedName name="______DAT9" localSheetId="5">#REF!</definedName>
    <definedName name="______DAT9" localSheetId="6">#REF!</definedName>
    <definedName name="______DAT9">#REF!</definedName>
    <definedName name="______New1" localSheetId="2">#REF!</definedName>
    <definedName name="______New1" localSheetId="1">#REF!</definedName>
    <definedName name="______New1" localSheetId="3">#REF!</definedName>
    <definedName name="______New1" localSheetId="5">#REF!</definedName>
    <definedName name="______New1" localSheetId="6">#REF!</definedName>
    <definedName name="______New1">#REF!</definedName>
    <definedName name="_____DAT1" localSheetId="2">#REF!</definedName>
    <definedName name="_____DAT1" localSheetId="1">#REF!</definedName>
    <definedName name="_____DAT1" localSheetId="3">#REF!</definedName>
    <definedName name="_____DAT1" localSheetId="5">#REF!</definedName>
    <definedName name="_____DAT1" localSheetId="6">#REF!</definedName>
    <definedName name="_____DAT1">#REF!</definedName>
    <definedName name="_____DAT13" localSheetId="2">#REF!</definedName>
    <definedName name="_____DAT13" localSheetId="1">#REF!</definedName>
    <definedName name="_____DAT13" localSheetId="3">#REF!</definedName>
    <definedName name="_____DAT13" localSheetId="5">#REF!</definedName>
    <definedName name="_____DAT13" localSheetId="6">#REF!</definedName>
    <definedName name="_____DAT13">#REF!</definedName>
    <definedName name="_____DAT2" localSheetId="2">#REF!</definedName>
    <definedName name="_____DAT2" localSheetId="1">#REF!</definedName>
    <definedName name="_____DAT2" localSheetId="3">#REF!</definedName>
    <definedName name="_____DAT2" localSheetId="5">#REF!</definedName>
    <definedName name="_____DAT2" localSheetId="6">#REF!</definedName>
    <definedName name="_____DAT2">#REF!</definedName>
    <definedName name="_____DAT3" localSheetId="2">#REF!</definedName>
    <definedName name="_____DAT3" localSheetId="1">#REF!</definedName>
    <definedName name="_____DAT3" localSheetId="3">#REF!</definedName>
    <definedName name="_____DAT3" localSheetId="5">#REF!</definedName>
    <definedName name="_____DAT3" localSheetId="6">#REF!</definedName>
    <definedName name="_____DAT3">#REF!</definedName>
    <definedName name="_____DAT4" localSheetId="2">#REF!</definedName>
    <definedName name="_____DAT4" localSheetId="1">#REF!</definedName>
    <definedName name="_____DAT4" localSheetId="3">#REF!</definedName>
    <definedName name="_____DAT4" localSheetId="5">#REF!</definedName>
    <definedName name="_____DAT4" localSheetId="6">#REF!</definedName>
    <definedName name="_____DAT4">#REF!</definedName>
    <definedName name="_____DAT5" localSheetId="2">#REF!</definedName>
    <definedName name="_____DAT5" localSheetId="1">#REF!</definedName>
    <definedName name="_____DAT5" localSheetId="3">#REF!</definedName>
    <definedName name="_____DAT5" localSheetId="5">#REF!</definedName>
    <definedName name="_____DAT5" localSheetId="6">#REF!</definedName>
    <definedName name="_____DAT5">#REF!</definedName>
    <definedName name="_____DAT6" localSheetId="2">#REF!</definedName>
    <definedName name="_____DAT6" localSheetId="1">#REF!</definedName>
    <definedName name="_____DAT6" localSheetId="3">#REF!</definedName>
    <definedName name="_____DAT6" localSheetId="5">#REF!</definedName>
    <definedName name="_____DAT6" localSheetId="6">#REF!</definedName>
    <definedName name="_____DAT6">#REF!</definedName>
    <definedName name="_____DAT7" localSheetId="2">#REF!</definedName>
    <definedName name="_____DAT7" localSheetId="1">#REF!</definedName>
    <definedName name="_____DAT7" localSheetId="3">#REF!</definedName>
    <definedName name="_____DAT7" localSheetId="5">#REF!</definedName>
    <definedName name="_____DAT7" localSheetId="6">#REF!</definedName>
    <definedName name="_____DAT7">#REF!</definedName>
    <definedName name="_____DAT8" localSheetId="2">#REF!</definedName>
    <definedName name="_____DAT8" localSheetId="1">#REF!</definedName>
    <definedName name="_____DAT8" localSheetId="3">#REF!</definedName>
    <definedName name="_____DAT8" localSheetId="5">#REF!</definedName>
    <definedName name="_____DAT8" localSheetId="6">#REF!</definedName>
    <definedName name="_____DAT8">#REF!</definedName>
    <definedName name="_____DAT9" localSheetId="2">#REF!</definedName>
    <definedName name="_____DAT9" localSheetId="1">#REF!</definedName>
    <definedName name="_____DAT9" localSheetId="3">#REF!</definedName>
    <definedName name="_____DAT9" localSheetId="5">#REF!</definedName>
    <definedName name="_____DAT9" localSheetId="6">#REF!</definedName>
    <definedName name="_____DAT9">#REF!</definedName>
    <definedName name="_____New1" localSheetId="2">#REF!</definedName>
    <definedName name="_____New1" localSheetId="1">#REF!</definedName>
    <definedName name="_____New1" localSheetId="3">#REF!</definedName>
    <definedName name="_____New1" localSheetId="5">#REF!</definedName>
    <definedName name="_____New1" localSheetId="6">#REF!</definedName>
    <definedName name="_____New1">#REF!</definedName>
    <definedName name="____DAT1" localSheetId="2">#REF!</definedName>
    <definedName name="____DAT1" localSheetId="1">#REF!</definedName>
    <definedName name="____DAT1" localSheetId="3">#REF!</definedName>
    <definedName name="____DAT1" localSheetId="5">#REF!</definedName>
    <definedName name="____DAT1" localSheetId="6">#REF!</definedName>
    <definedName name="____DAT1">#REF!</definedName>
    <definedName name="____DAT13" localSheetId="2">#REF!</definedName>
    <definedName name="____DAT13" localSheetId="1">#REF!</definedName>
    <definedName name="____DAT13" localSheetId="3">#REF!</definedName>
    <definedName name="____DAT13" localSheetId="5">#REF!</definedName>
    <definedName name="____DAT13" localSheetId="6">#REF!</definedName>
    <definedName name="____DAT13">#REF!</definedName>
    <definedName name="____DAT2" localSheetId="2">#REF!</definedName>
    <definedName name="____DAT2" localSheetId="1">#REF!</definedName>
    <definedName name="____DAT2" localSheetId="3">#REF!</definedName>
    <definedName name="____DAT2" localSheetId="5">#REF!</definedName>
    <definedName name="____DAT2" localSheetId="6">#REF!</definedName>
    <definedName name="____DAT2">#REF!</definedName>
    <definedName name="____DAT3" localSheetId="2">#REF!</definedName>
    <definedName name="____DAT3" localSheetId="1">#REF!</definedName>
    <definedName name="____DAT3" localSheetId="3">#REF!</definedName>
    <definedName name="____DAT3" localSheetId="5">#REF!</definedName>
    <definedName name="____DAT3" localSheetId="6">#REF!</definedName>
    <definedName name="____DAT3">#REF!</definedName>
    <definedName name="____DAT4" localSheetId="2">#REF!</definedName>
    <definedName name="____DAT4" localSheetId="1">#REF!</definedName>
    <definedName name="____DAT4" localSheetId="3">#REF!</definedName>
    <definedName name="____DAT4" localSheetId="5">#REF!</definedName>
    <definedName name="____DAT4" localSheetId="6">#REF!</definedName>
    <definedName name="____DAT4">#REF!</definedName>
    <definedName name="____DAT5" localSheetId="2">#REF!</definedName>
    <definedName name="____DAT5" localSheetId="1">#REF!</definedName>
    <definedName name="____DAT5" localSheetId="3">#REF!</definedName>
    <definedName name="____DAT5" localSheetId="5">#REF!</definedName>
    <definedName name="____DAT5" localSheetId="6">#REF!</definedName>
    <definedName name="____DAT5">#REF!</definedName>
    <definedName name="____DAT6" localSheetId="2">#REF!</definedName>
    <definedName name="____DAT6" localSheetId="1">#REF!</definedName>
    <definedName name="____DAT6" localSheetId="3">#REF!</definedName>
    <definedName name="____DAT6" localSheetId="5">#REF!</definedName>
    <definedName name="____DAT6" localSheetId="6">#REF!</definedName>
    <definedName name="____DAT6">#REF!</definedName>
    <definedName name="____DAT7" localSheetId="2">#REF!</definedName>
    <definedName name="____DAT7" localSheetId="1">#REF!</definedName>
    <definedName name="____DAT7" localSheetId="3">#REF!</definedName>
    <definedName name="____DAT7" localSheetId="5">#REF!</definedName>
    <definedName name="____DAT7" localSheetId="6">#REF!</definedName>
    <definedName name="____DAT7">#REF!</definedName>
    <definedName name="____DAT8" localSheetId="2">#REF!</definedName>
    <definedName name="____DAT8" localSheetId="1">#REF!</definedName>
    <definedName name="____DAT8" localSheetId="3">#REF!</definedName>
    <definedName name="____DAT8" localSheetId="5">#REF!</definedName>
    <definedName name="____DAT8" localSheetId="6">#REF!</definedName>
    <definedName name="____DAT8">#REF!</definedName>
    <definedName name="____DAT9" localSheetId="2">#REF!</definedName>
    <definedName name="____DAT9" localSheetId="1">#REF!</definedName>
    <definedName name="____DAT9" localSheetId="3">#REF!</definedName>
    <definedName name="____DAT9" localSheetId="5">#REF!</definedName>
    <definedName name="____DAT9" localSheetId="6">#REF!</definedName>
    <definedName name="____DAT9">#REF!</definedName>
    <definedName name="____New1" localSheetId="2">#REF!</definedName>
    <definedName name="____New1" localSheetId="1">#REF!</definedName>
    <definedName name="____New1" localSheetId="3">#REF!</definedName>
    <definedName name="____New1" localSheetId="5">#REF!</definedName>
    <definedName name="____New1" localSheetId="6">#REF!</definedName>
    <definedName name="____New1">#REF!</definedName>
    <definedName name="___col1" localSheetId="2">#REF!</definedName>
    <definedName name="___col1" localSheetId="1">#REF!</definedName>
    <definedName name="___col1" localSheetId="3">#REF!</definedName>
    <definedName name="___col1" localSheetId="5">#REF!</definedName>
    <definedName name="___col1" localSheetId="6">#REF!</definedName>
    <definedName name="___col1">#REF!</definedName>
    <definedName name="___col10" localSheetId="2">#REF!</definedName>
    <definedName name="___col10" localSheetId="1">#REF!</definedName>
    <definedName name="___col10" localSheetId="3">#REF!</definedName>
    <definedName name="___col10" localSheetId="5">#REF!</definedName>
    <definedName name="___col10" localSheetId="6">#REF!</definedName>
    <definedName name="___col10">#REF!</definedName>
    <definedName name="___col11" localSheetId="2">#REF!</definedName>
    <definedName name="___col11" localSheetId="1">#REF!</definedName>
    <definedName name="___col11" localSheetId="3">#REF!</definedName>
    <definedName name="___col11" localSheetId="5">#REF!</definedName>
    <definedName name="___col11" localSheetId="6">#REF!</definedName>
    <definedName name="___col11">#REF!</definedName>
    <definedName name="___col12" localSheetId="2">#REF!</definedName>
    <definedName name="___col12" localSheetId="1">#REF!</definedName>
    <definedName name="___col12" localSheetId="3">#REF!</definedName>
    <definedName name="___col12" localSheetId="5">#REF!</definedName>
    <definedName name="___col12" localSheetId="6">#REF!</definedName>
    <definedName name="___col12">#REF!</definedName>
    <definedName name="___col13" localSheetId="2">#REF!</definedName>
    <definedName name="___col13" localSheetId="1">#REF!</definedName>
    <definedName name="___col13" localSheetId="3">#REF!</definedName>
    <definedName name="___col13" localSheetId="5">#REF!</definedName>
    <definedName name="___col13" localSheetId="6">#REF!</definedName>
    <definedName name="___col13">#REF!</definedName>
    <definedName name="___col2" localSheetId="2">#REF!</definedName>
    <definedName name="___col2" localSheetId="1">#REF!</definedName>
    <definedName name="___col2" localSheetId="3">#REF!</definedName>
    <definedName name="___col2" localSheetId="5">#REF!</definedName>
    <definedName name="___col2" localSheetId="6">#REF!</definedName>
    <definedName name="___col2">#REF!</definedName>
    <definedName name="___col3" localSheetId="2">#REF!</definedName>
    <definedName name="___col3" localSheetId="1">#REF!</definedName>
    <definedName name="___col3" localSheetId="3">#REF!</definedName>
    <definedName name="___col3" localSheetId="5">#REF!</definedName>
    <definedName name="___col3" localSheetId="6">#REF!</definedName>
    <definedName name="___col3">#REF!</definedName>
    <definedName name="___col4" localSheetId="2">#REF!</definedName>
    <definedName name="___col4" localSheetId="1">#REF!</definedName>
    <definedName name="___col4" localSheetId="3">#REF!</definedName>
    <definedName name="___col4" localSheetId="5">#REF!</definedName>
    <definedName name="___col4" localSheetId="6">#REF!</definedName>
    <definedName name="___col4">#REF!</definedName>
    <definedName name="___col5" localSheetId="2">#REF!</definedName>
    <definedName name="___col5" localSheetId="1">#REF!</definedName>
    <definedName name="___col5" localSheetId="3">#REF!</definedName>
    <definedName name="___col5" localSheetId="5">#REF!</definedName>
    <definedName name="___col5" localSheetId="6">#REF!</definedName>
    <definedName name="___col5">#REF!</definedName>
    <definedName name="___col6" localSheetId="2">#REF!</definedName>
    <definedName name="___col6" localSheetId="1">#REF!</definedName>
    <definedName name="___col6" localSheetId="3">#REF!</definedName>
    <definedName name="___col6" localSheetId="5">#REF!</definedName>
    <definedName name="___col6" localSheetId="6">#REF!</definedName>
    <definedName name="___col6">#REF!</definedName>
    <definedName name="___col7" localSheetId="2">#REF!</definedName>
    <definedName name="___col7" localSheetId="1">#REF!</definedName>
    <definedName name="___col7" localSheetId="3">#REF!</definedName>
    <definedName name="___col7" localSheetId="5">#REF!</definedName>
    <definedName name="___col7" localSheetId="6">#REF!</definedName>
    <definedName name="___col7">#REF!</definedName>
    <definedName name="___col8" localSheetId="2">#REF!</definedName>
    <definedName name="___col8" localSheetId="1">#REF!</definedName>
    <definedName name="___col8" localSheetId="3">#REF!</definedName>
    <definedName name="___col8" localSheetId="5">#REF!</definedName>
    <definedName name="___col8" localSheetId="6">#REF!</definedName>
    <definedName name="___col8">#REF!</definedName>
    <definedName name="___col9" localSheetId="2">#REF!</definedName>
    <definedName name="___col9" localSheetId="1">#REF!</definedName>
    <definedName name="___col9" localSheetId="3">#REF!</definedName>
    <definedName name="___col9" localSheetId="5">#REF!</definedName>
    <definedName name="___col9" localSheetId="6">#REF!</definedName>
    <definedName name="___col9">#REF!</definedName>
    <definedName name="___DAT1" localSheetId="2">#REF!</definedName>
    <definedName name="___DAT1" localSheetId="1">#REF!</definedName>
    <definedName name="___DAT1" localSheetId="3">#REF!</definedName>
    <definedName name="___DAT1" localSheetId="5">#REF!</definedName>
    <definedName name="___DAT1" localSheetId="6">#REF!</definedName>
    <definedName name="___DAT1">#REF!</definedName>
    <definedName name="___DAT11" localSheetId="2">#REF!</definedName>
    <definedName name="___DAT11" localSheetId="1">#REF!</definedName>
    <definedName name="___DAT11" localSheetId="3">#REF!</definedName>
    <definedName name="___DAT11" localSheetId="5">#REF!</definedName>
    <definedName name="___DAT11" localSheetId="6">#REF!</definedName>
    <definedName name="___DAT11">#REF!</definedName>
    <definedName name="___DAT12" localSheetId="2">#REF!</definedName>
    <definedName name="___DAT12" localSheetId="1">#REF!</definedName>
    <definedName name="___DAT12" localSheetId="3">#REF!</definedName>
    <definedName name="___DAT12" localSheetId="5">#REF!</definedName>
    <definedName name="___DAT12" localSheetId="6">#REF!</definedName>
    <definedName name="___DAT12">#REF!</definedName>
    <definedName name="___DAT13" localSheetId="2">#REF!</definedName>
    <definedName name="___DAT13" localSheetId="1">#REF!</definedName>
    <definedName name="___DAT13" localSheetId="3">#REF!</definedName>
    <definedName name="___DAT13" localSheetId="5">#REF!</definedName>
    <definedName name="___DAT13" localSheetId="6">#REF!</definedName>
    <definedName name="___DAT13">#REF!</definedName>
    <definedName name="___DAT14" localSheetId="2">#REF!</definedName>
    <definedName name="___DAT14" localSheetId="1">#REF!</definedName>
    <definedName name="___DAT14" localSheetId="3">#REF!</definedName>
    <definedName name="___DAT14" localSheetId="5">#REF!</definedName>
    <definedName name="___DAT14" localSheetId="6">#REF!</definedName>
    <definedName name="___DAT14">#REF!</definedName>
    <definedName name="___DAT2" localSheetId="2">#REF!</definedName>
    <definedName name="___DAT2" localSheetId="1">#REF!</definedName>
    <definedName name="___DAT2" localSheetId="3">#REF!</definedName>
    <definedName name="___DAT2" localSheetId="5">#REF!</definedName>
    <definedName name="___DAT2" localSheetId="6">#REF!</definedName>
    <definedName name="___DAT2">#REF!</definedName>
    <definedName name="___DAT3" localSheetId="2">#REF!</definedName>
    <definedName name="___DAT3" localSheetId="1">#REF!</definedName>
    <definedName name="___DAT3" localSheetId="3">#REF!</definedName>
    <definedName name="___DAT3" localSheetId="5">#REF!</definedName>
    <definedName name="___DAT3" localSheetId="6">#REF!</definedName>
    <definedName name="___DAT3">#REF!</definedName>
    <definedName name="___DAT4" localSheetId="2">#REF!</definedName>
    <definedName name="___DAT4" localSheetId="1">#REF!</definedName>
    <definedName name="___DAT4" localSheetId="3">#REF!</definedName>
    <definedName name="___DAT4" localSheetId="5">#REF!</definedName>
    <definedName name="___DAT4" localSheetId="6">#REF!</definedName>
    <definedName name="___DAT4">#REF!</definedName>
    <definedName name="___DAT5" localSheetId="2">#REF!</definedName>
    <definedName name="___DAT5" localSheetId="1">#REF!</definedName>
    <definedName name="___DAT5" localSheetId="3">#REF!</definedName>
    <definedName name="___DAT5" localSheetId="5">#REF!</definedName>
    <definedName name="___DAT5" localSheetId="6">#REF!</definedName>
    <definedName name="___DAT5">#REF!</definedName>
    <definedName name="___DAT6" localSheetId="2">#REF!</definedName>
    <definedName name="___DAT6" localSheetId="1">#REF!</definedName>
    <definedName name="___DAT6" localSheetId="3">#REF!</definedName>
    <definedName name="___DAT6" localSheetId="5">#REF!</definedName>
    <definedName name="___DAT6" localSheetId="6">#REF!</definedName>
    <definedName name="___DAT6">#REF!</definedName>
    <definedName name="___DAT7" localSheetId="2">#REF!</definedName>
    <definedName name="___DAT7" localSheetId="1">#REF!</definedName>
    <definedName name="___DAT7" localSheetId="3">#REF!</definedName>
    <definedName name="___DAT7" localSheetId="5">#REF!</definedName>
    <definedName name="___DAT7" localSheetId="6">#REF!</definedName>
    <definedName name="___DAT7">#REF!</definedName>
    <definedName name="___DAT8" localSheetId="2">#REF!</definedName>
    <definedName name="___DAT8" localSheetId="1">#REF!</definedName>
    <definedName name="___DAT8" localSheetId="3">#REF!</definedName>
    <definedName name="___DAT8" localSheetId="5">#REF!</definedName>
    <definedName name="___DAT8" localSheetId="6">#REF!</definedName>
    <definedName name="___DAT8">#REF!</definedName>
    <definedName name="___DAT9" localSheetId="2">#REF!</definedName>
    <definedName name="___DAT9" localSheetId="1">#REF!</definedName>
    <definedName name="___DAT9" localSheetId="3">#REF!</definedName>
    <definedName name="___DAT9" localSheetId="5">#REF!</definedName>
    <definedName name="___DAT9" localSheetId="6">#REF!</definedName>
    <definedName name="___DAT9">#REF!</definedName>
    <definedName name="___MAR9091" localSheetId="2">#REF!</definedName>
    <definedName name="___MAR9091" localSheetId="1">#REF!</definedName>
    <definedName name="___MAR9091" localSheetId="3">#REF!</definedName>
    <definedName name="___MAR9091" localSheetId="5">#REF!</definedName>
    <definedName name="___MAR9091" localSheetId="6">#REF!</definedName>
    <definedName name="___MAR9091">#REF!</definedName>
    <definedName name="___New1" localSheetId="2">#REF!</definedName>
    <definedName name="___New1" localSheetId="1">#REF!</definedName>
    <definedName name="___New1" localSheetId="3">#REF!</definedName>
    <definedName name="___New1" localSheetId="5">#REF!</definedName>
    <definedName name="___New1" localSheetId="6">#REF!</definedName>
    <definedName name="___New1">#REF!</definedName>
    <definedName name="___PG1" localSheetId="2">#REF!</definedName>
    <definedName name="___PG1" localSheetId="1">#REF!</definedName>
    <definedName name="___PG1" localSheetId="3">#REF!</definedName>
    <definedName name="___PG1" localSheetId="5">#REF!</definedName>
    <definedName name="___PG1" localSheetId="6">#REF!</definedName>
    <definedName name="___PG1">#REF!</definedName>
    <definedName name="___TB2004" localSheetId="2">#REF!</definedName>
    <definedName name="___TB2004" localSheetId="1">#REF!</definedName>
    <definedName name="___TB2004" localSheetId="3">#REF!</definedName>
    <definedName name="___TB2004" localSheetId="5">#REF!</definedName>
    <definedName name="___TB2004" localSheetId="6">#REF!</definedName>
    <definedName name="___TB2004">#REF!</definedName>
    <definedName name="___YE45" localSheetId="2">#REF!</definedName>
    <definedName name="___YE45" localSheetId="1">#REF!</definedName>
    <definedName name="___YE45" localSheetId="3">#REF!</definedName>
    <definedName name="___YE45" localSheetId="5">#REF!</definedName>
    <definedName name="___YE45" localSheetId="6">#REF!</definedName>
    <definedName name="___YE45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6" hidden="1">#REF!</definedName>
    <definedName name="__123Graph_A" hidden="1">#REF!</definedName>
    <definedName name="__123Graph_B" localSheetId="2" hidden="1">#REF!</definedName>
    <definedName name="__123Graph_B" localSheetId="1" hidden="1">#REF!</definedName>
    <definedName name="__123Graph_B" localSheetId="3" hidden="1">#REF!</definedName>
    <definedName name="__123Graph_B" localSheetId="5" hidden="1">#REF!</definedName>
    <definedName name="__123Graph_B" localSheetId="6" hidden="1">#REF!</definedName>
    <definedName name="__123Graph_B" hidden="1">#REF!</definedName>
    <definedName name="__123Graph_D" localSheetId="2" hidden="1">#REF!</definedName>
    <definedName name="__123Graph_D" localSheetId="1" hidden="1">#REF!</definedName>
    <definedName name="__123Graph_D" localSheetId="3" hidden="1">#REF!</definedName>
    <definedName name="__123Graph_D" localSheetId="5" hidden="1">#REF!</definedName>
    <definedName name="__123Graph_D" localSheetId="6" hidden="1">#REF!</definedName>
    <definedName name="__123Graph_D" hidden="1">#REF!</definedName>
    <definedName name="__123Graph_X" localSheetId="2" hidden="1">#REF!</definedName>
    <definedName name="__123Graph_X" localSheetId="1" hidden="1">#REF!</definedName>
    <definedName name="__123Graph_X" localSheetId="3" hidden="1">#REF!</definedName>
    <definedName name="__123Graph_X" localSheetId="5" hidden="1">#REF!</definedName>
    <definedName name="__123Graph_X" localSheetId="6" hidden="1">#REF!</definedName>
    <definedName name="__123Graph_X" hidden="1">#REF!</definedName>
    <definedName name="__col1" localSheetId="2">#REF!</definedName>
    <definedName name="__col1" localSheetId="1">#REF!</definedName>
    <definedName name="__col1" localSheetId="3">#REF!</definedName>
    <definedName name="__col1" localSheetId="5">#REF!</definedName>
    <definedName name="__col1" localSheetId="6">#REF!</definedName>
    <definedName name="__col1">#REF!</definedName>
    <definedName name="__col10" localSheetId="2">#REF!</definedName>
    <definedName name="__col10" localSheetId="1">#REF!</definedName>
    <definedName name="__col10" localSheetId="3">#REF!</definedName>
    <definedName name="__col10" localSheetId="5">#REF!</definedName>
    <definedName name="__col10" localSheetId="6">#REF!</definedName>
    <definedName name="__col10">#REF!</definedName>
    <definedName name="__col11" localSheetId="2">#REF!</definedName>
    <definedName name="__col11" localSheetId="1">#REF!</definedName>
    <definedName name="__col11" localSheetId="3">#REF!</definedName>
    <definedName name="__col11" localSheetId="5">#REF!</definedName>
    <definedName name="__col11" localSheetId="6">#REF!</definedName>
    <definedName name="__col11">#REF!</definedName>
    <definedName name="__col12" localSheetId="2">#REF!</definedName>
    <definedName name="__col12" localSheetId="1">#REF!</definedName>
    <definedName name="__col12" localSheetId="3">#REF!</definedName>
    <definedName name="__col12" localSheetId="5">#REF!</definedName>
    <definedName name="__col12" localSheetId="6">#REF!</definedName>
    <definedName name="__col12">#REF!</definedName>
    <definedName name="__col13" localSheetId="2">#REF!</definedName>
    <definedName name="__col13" localSheetId="1">#REF!</definedName>
    <definedName name="__col13" localSheetId="3">#REF!</definedName>
    <definedName name="__col13" localSheetId="5">#REF!</definedName>
    <definedName name="__col13" localSheetId="6">#REF!</definedName>
    <definedName name="__col13">#REF!</definedName>
    <definedName name="__col2" localSheetId="2">#REF!</definedName>
    <definedName name="__col2" localSheetId="1">#REF!</definedName>
    <definedName name="__col2" localSheetId="3">#REF!</definedName>
    <definedName name="__col2" localSheetId="5">#REF!</definedName>
    <definedName name="__col2" localSheetId="6">#REF!</definedName>
    <definedName name="__col2">#REF!</definedName>
    <definedName name="__col3" localSheetId="2">#REF!</definedName>
    <definedName name="__col3" localSheetId="1">#REF!</definedName>
    <definedName name="__col3" localSheetId="3">#REF!</definedName>
    <definedName name="__col3" localSheetId="5">#REF!</definedName>
    <definedName name="__col3" localSheetId="6">#REF!</definedName>
    <definedName name="__col3">#REF!</definedName>
    <definedName name="__col4" localSheetId="2">#REF!</definedName>
    <definedName name="__col4" localSheetId="1">#REF!</definedName>
    <definedName name="__col4" localSheetId="3">#REF!</definedName>
    <definedName name="__col4" localSheetId="5">#REF!</definedName>
    <definedName name="__col4" localSheetId="6">#REF!</definedName>
    <definedName name="__col4">#REF!</definedName>
    <definedName name="__col5" localSheetId="2">#REF!</definedName>
    <definedName name="__col5" localSheetId="1">#REF!</definedName>
    <definedName name="__col5" localSheetId="3">#REF!</definedName>
    <definedName name="__col5" localSheetId="5">#REF!</definedName>
    <definedName name="__col5" localSheetId="6">#REF!</definedName>
    <definedName name="__col5">#REF!</definedName>
    <definedName name="__col6" localSheetId="2">#REF!</definedName>
    <definedName name="__col6" localSheetId="1">#REF!</definedName>
    <definedName name="__col6" localSheetId="3">#REF!</definedName>
    <definedName name="__col6" localSheetId="5">#REF!</definedName>
    <definedName name="__col6" localSheetId="6">#REF!</definedName>
    <definedName name="__col6">#REF!</definedName>
    <definedName name="__col7" localSheetId="2">#REF!</definedName>
    <definedName name="__col7" localSheetId="1">#REF!</definedName>
    <definedName name="__col7" localSheetId="3">#REF!</definedName>
    <definedName name="__col7" localSheetId="5">#REF!</definedName>
    <definedName name="__col7" localSheetId="6">#REF!</definedName>
    <definedName name="__col7">#REF!</definedName>
    <definedName name="__col8" localSheetId="2">#REF!</definedName>
    <definedName name="__col8" localSheetId="1">#REF!</definedName>
    <definedName name="__col8" localSheetId="3">#REF!</definedName>
    <definedName name="__col8" localSheetId="5">#REF!</definedName>
    <definedName name="__col8" localSheetId="6">#REF!</definedName>
    <definedName name="__col8">#REF!</definedName>
    <definedName name="__col9" localSheetId="2">#REF!</definedName>
    <definedName name="__col9" localSheetId="1">#REF!</definedName>
    <definedName name="__col9" localSheetId="3">#REF!</definedName>
    <definedName name="__col9" localSheetId="5">#REF!</definedName>
    <definedName name="__col9" localSheetId="6">#REF!</definedName>
    <definedName name="__col9">#REF!</definedName>
    <definedName name="__DAT" localSheetId="2">#REF!</definedName>
    <definedName name="__DAT" localSheetId="1">#REF!</definedName>
    <definedName name="__DAT" localSheetId="3">#REF!</definedName>
    <definedName name="__DAT" localSheetId="5">#REF!</definedName>
    <definedName name="__DAT" localSheetId="6">#REF!</definedName>
    <definedName name="__DAT">#REF!</definedName>
    <definedName name="__DAT1" localSheetId="2">#REF!</definedName>
    <definedName name="__DAT1" localSheetId="1">#REF!</definedName>
    <definedName name="__DAT1" localSheetId="3">#REF!</definedName>
    <definedName name="__DAT1" localSheetId="5">#REF!</definedName>
    <definedName name="__DAT1" localSheetId="6">#REF!</definedName>
    <definedName name="__DAT1">#REF!</definedName>
    <definedName name="__DAT10" localSheetId="2">#REF!</definedName>
    <definedName name="__DAT10" localSheetId="1">#REF!</definedName>
    <definedName name="__DAT10" localSheetId="3">#REF!</definedName>
    <definedName name="__DAT10" localSheetId="5">#REF!</definedName>
    <definedName name="__DAT10" localSheetId="6">#REF!</definedName>
    <definedName name="__DAT10">#REF!</definedName>
    <definedName name="__DAT11" localSheetId="2">#REF!</definedName>
    <definedName name="__DAT11" localSheetId="1">#REF!</definedName>
    <definedName name="__DAT11" localSheetId="3">#REF!</definedName>
    <definedName name="__DAT11" localSheetId="5">#REF!</definedName>
    <definedName name="__DAT11" localSheetId="6">#REF!</definedName>
    <definedName name="__DAT11">#REF!</definedName>
    <definedName name="__DAT12" localSheetId="2">#REF!</definedName>
    <definedName name="__DAT12" localSheetId="1">#REF!</definedName>
    <definedName name="__DAT12" localSheetId="3">#REF!</definedName>
    <definedName name="__DAT12" localSheetId="5">#REF!</definedName>
    <definedName name="__DAT12" localSheetId="6">#REF!</definedName>
    <definedName name="__DAT12">#REF!</definedName>
    <definedName name="__DAT13" localSheetId="2">#REF!</definedName>
    <definedName name="__DAT13" localSheetId="1">#REF!</definedName>
    <definedName name="__DAT13" localSheetId="3">#REF!</definedName>
    <definedName name="__DAT13" localSheetId="5">#REF!</definedName>
    <definedName name="__DAT13" localSheetId="6">#REF!</definedName>
    <definedName name="__DAT13">#REF!</definedName>
    <definedName name="__DAT14" localSheetId="2">#REF!</definedName>
    <definedName name="__DAT14" localSheetId="1">#REF!</definedName>
    <definedName name="__DAT14" localSheetId="3">#REF!</definedName>
    <definedName name="__DAT14" localSheetId="5">#REF!</definedName>
    <definedName name="__DAT14" localSheetId="6">#REF!</definedName>
    <definedName name="__DAT14">#REF!</definedName>
    <definedName name="__DAT15" localSheetId="2">#REF!</definedName>
    <definedName name="__DAT15" localSheetId="1">#REF!</definedName>
    <definedName name="__DAT15" localSheetId="3">#REF!</definedName>
    <definedName name="__DAT15" localSheetId="5">#REF!</definedName>
    <definedName name="__DAT15" localSheetId="6">#REF!</definedName>
    <definedName name="__DAT15">#REF!</definedName>
    <definedName name="__DAT16" localSheetId="2">#REF!</definedName>
    <definedName name="__DAT16" localSheetId="1">#REF!</definedName>
    <definedName name="__DAT16" localSheetId="3">#REF!</definedName>
    <definedName name="__DAT16" localSheetId="5">#REF!</definedName>
    <definedName name="__DAT16" localSheetId="6">#REF!</definedName>
    <definedName name="__DAT16">#REF!</definedName>
    <definedName name="__DAT17" localSheetId="2">#REF!</definedName>
    <definedName name="__DAT17" localSheetId="1">#REF!</definedName>
    <definedName name="__DAT17" localSheetId="3">#REF!</definedName>
    <definedName name="__DAT17" localSheetId="5">#REF!</definedName>
    <definedName name="__DAT17" localSheetId="6">#REF!</definedName>
    <definedName name="__DAT17">#REF!</definedName>
    <definedName name="__DAT2" localSheetId="2">#REF!</definedName>
    <definedName name="__DAT2" localSheetId="1">#REF!</definedName>
    <definedName name="__DAT2" localSheetId="3">#REF!</definedName>
    <definedName name="__DAT2" localSheetId="5">#REF!</definedName>
    <definedName name="__DAT2" localSheetId="6">#REF!</definedName>
    <definedName name="__DAT2">#REF!</definedName>
    <definedName name="__DAT3" localSheetId="2">#REF!</definedName>
    <definedName name="__DAT3" localSheetId="1">#REF!</definedName>
    <definedName name="__DAT3" localSheetId="3">#REF!</definedName>
    <definedName name="__DAT3" localSheetId="5">#REF!</definedName>
    <definedName name="__DAT3" localSheetId="6">#REF!</definedName>
    <definedName name="__DAT3">#REF!</definedName>
    <definedName name="__DAT4" localSheetId="2">#REF!</definedName>
    <definedName name="__DAT4" localSheetId="1">#REF!</definedName>
    <definedName name="__DAT4" localSheetId="3">#REF!</definedName>
    <definedName name="__DAT4" localSheetId="5">#REF!</definedName>
    <definedName name="__DAT4" localSheetId="6">#REF!</definedName>
    <definedName name="__DAT4">#REF!</definedName>
    <definedName name="__DAT5" localSheetId="2">#REF!</definedName>
    <definedName name="__DAT5" localSheetId="1">#REF!</definedName>
    <definedName name="__DAT5" localSheetId="3">#REF!</definedName>
    <definedName name="__DAT5" localSheetId="5">#REF!</definedName>
    <definedName name="__DAT5" localSheetId="6">#REF!</definedName>
    <definedName name="__DAT5">#REF!</definedName>
    <definedName name="__DAT6" localSheetId="2">#REF!</definedName>
    <definedName name="__DAT6" localSheetId="1">#REF!</definedName>
    <definedName name="__DAT6" localSheetId="3">#REF!</definedName>
    <definedName name="__DAT6" localSheetId="5">#REF!</definedName>
    <definedName name="__DAT6" localSheetId="6">#REF!</definedName>
    <definedName name="__DAT6">#REF!</definedName>
    <definedName name="__DAT7" localSheetId="2">#REF!</definedName>
    <definedName name="__DAT7" localSheetId="1">#REF!</definedName>
    <definedName name="__DAT7" localSheetId="3">#REF!</definedName>
    <definedName name="__DAT7" localSheetId="5">#REF!</definedName>
    <definedName name="__DAT7" localSheetId="6">#REF!</definedName>
    <definedName name="__DAT7">#REF!</definedName>
    <definedName name="__DAT8" localSheetId="2">#REF!</definedName>
    <definedName name="__DAT8" localSheetId="1">#REF!</definedName>
    <definedName name="__DAT8" localSheetId="3">#REF!</definedName>
    <definedName name="__DAT8" localSheetId="5">#REF!</definedName>
    <definedName name="__DAT8" localSheetId="6">#REF!</definedName>
    <definedName name="__DAT8">#REF!</definedName>
    <definedName name="__DAT9" localSheetId="2">#REF!</definedName>
    <definedName name="__DAT9" localSheetId="1">#REF!</definedName>
    <definedName name="__DAT9" localSheetId="3">#REF!</definedName>
    <definedName name="__DAT9" localSheetId="5">#REF!</definedName>
    <definedName name="__DAT9" localSheetId="6">#REF!</definedName>
    <definedName name="__DAT9">#REF!</definedName>
    <definedName name="__FDS_HYPERLINK_TOGGLE_STATE__">"ON"</definedName>
    <definedName name="__IntlFixup">TRUE</definedName>
    <definedName name="__MAR9091" localSheetId="2">#REF!</definedName>
    <definedName name="__MAR9091" localSheetId="1">#REF!</definedName>
    <definedName name="__MAR9091" localSheetId="3">#REF!</definedName>
    <definedName name="__MAR9091" localSheetId="5">#REF!</definedName>
    <definedName name="__MAR9091" localSheetId="6">#REF!</definedName>
    <definedName name="__MAR9091">#REF!</definedName>
    <definedName name="__New1" localSheetId="2">#REF!</definedName>
    <definedName name="__New1" localSheetId="1">#REF!</definedName>
    <definedName name="__New1" localSheetId="3">#REF!</definedName>
    <definedName name="__New1" localSheetId="5">#REF!</definedName>
    <definedName name="__New1" localSheetId="6">#REF!</definedName>
    <definedName name="__New1">#REF!</definedName>
    <definedName name="__P1" localSheetId="2">#REF!</definedName>
    <definedName name="__P1" localSheetId="1">#REF!</definedName>
    <definedName name="__P1" localSheetId="3">#REF!</definedName>
    <definedName name="__P1" localSheetId="5">#REF!</definedName>
    <definedName name="__P1" localSheetId="6">#REF!</definedName>
    <definedName name="__P1">#REF!</definedName>
    <definedName name="__PG1" localSheetId="2">#REF!</definedName>
    <definedName name="__PG1" localSheetId="1">#REF!</definedName>
    <definedName name="__PG1" localSheetId="3">#REF!</definedName>
    <definedName name="__PG1" localSheetId="5">#REF!</definedName>
    <definedName name="__PG1" localSheetId="6">#REF!</definedName>
    <definedName name="__PG1">#REF!</definedName>
    <definedName name="__PG6" localSheetId="2">#REF!</definedName>
    <definedName name="__PG6" localSheetId="1">#REF!</definedName>
    <definedName name="__PG6" localSheetId="3">#REF!</definedName>
    <definedName name="__PG6" localSheetId="5">#REF!</definedName>
    <definedName name="__PG6" localSheetId="6">#REF!</definedName>
    <definedName name="__PG6">#REF!</definedName>
    <definedName name="__sep97" localSheetId="2">#REF!</definedName>
    <definedName name="__sep97" localSheetId="1">#REF!</definedName>
    <definedName name="__sep97" localSheetId="3">#REF!</definedName>
    <definedName name="__sep97" localSheetId="5">#REF!</definedName>
    <definedName name="__sep97" localSheetId="6">#REF!</definedName>
    <definedName name="__sep97">#REF!</definedName>
    <definedName name="__sht1" localSheetId="2">#REF!</definedName>
    <definedName name="__sht1" localSheetId="1">#REF!</definedName>
    <definedName name="__sht1" localSheetId="3">#REF!</definedName>
    <definedName name="__sht1" localSheetId="5">#REF!</definedName>
    <definedName name="__sht1" localSheetId="6">#REF!</definedName>
    <definedName name="__sht1">#REF!</definedName>
    <definedName name="__TAX1" localSheetId="2">#REF!</definedName>
    <definedName name="__TAX1" localSheetId="1">#REF!</definedName>
    <definedName name="__TAX1" localSheetId="3">#REF!</definedName>
    <definedName name="__TAX1" localSheetId="5">#REF!</definedName>
    <definedName name="__TAX1" localSheetId="6">#REF!</definedName>
    <definedName name="__TAX1">#REF!</definedName>
    <definedName name="__TB2004" localSheetId="2">#REF!</definedName>
    <definedName name="__TB2004" localSheetId="1">#REF!</definedName>
    <definedName name="__TB2004" localSheetId="3">#REF!</definedName>
    <definedName name="__TB2004" localSheetId="5">#REF!</definedName>
    <definedName name="__TB2004" localSheetId="6">#REF!</definedName>
    <definedName name="__TB2004">#REF!</definedName>
    <definedName name="__YE45" localSheetId="2">#REF!</definedName>
    <definedName name="__YE45" localSheetId="1">#REF!</definedName>
    <definedName name="__YE45" localSheetId="3">#REF!</definedName>
    <definedName name="__YE45" localSheetId="5">#REF!</definedName>
    <definedName name="__YE45" localSheetId="6">#REF!</definedName>
    <definedName name="__YE45">#REF!</definedName>
    <definedName name="_1" localSheetId="2">#REF!</definedName>
    <definedName name="_1" localSheetId="1">#REF!</definedName>
    <definedName name="_1" localSheetId="3">#REF!</definedName>
    <definedName name="_1" localSheetId="5">#REF!</definedName>
    <definedName name="_1" localSheetId="6">#REF!</definedName>
    <definedName name="_1">#REF!</definedName>
    <definedName name="_10" localSheetId="2">#REF!</definedName>
    <definedName name="_10" localSheetId="1">#REF!</definedName>
    <definedName name="_10" localSheetId="3">#REF!</definedName>
    <definedName name="_10" localSheetId="5">#REF!</definedName>
    <definedName name="_10" localSheetId="6">#REF!</definedName>
    <definedName name="_10">#REF!</definedName>
    <definedName name="_10_9_BT_DECEMB" localSheetId="2">#REF!</definedName>
    <definedName name="_10_9_BT_DECEMB" localSheetId="1">#REF!</definedName>
    <definedName name="_10_9_BT_DECEMB" localSheetId="3">#REF!</definedName>
    <definedName name="_10_9_BT_DECEMB" localSheetId="5">#REF!</definedName>
    <definedName name="_10_9_BT_DECEMB" localSheetId="6">#REF!</definedName>
    <definedName name="_10_9_BT_DECEMB">#REF!</definedName>
    <definedName name="_10_9_BT_FEBRUA" localSheetId="2">#REF!</definedName>
    <definedName name="_10_9_BT_FEBRUA" localSheetId="1">#REF!</definedName>
    <definedName name="_10_9_BT_FEBRUA" localSheetId="3">#REF!</definedName>
    <definedName name="_10_9_BT_FEBRUA" localSheetId="5">#REF!</definedName>
    <definedName name="_10_9_BT_FEBRUA" localSheetId="6">#REF!</definedName>
    <definedName name="_10_9_BT_FEBRUA">#REF!</definedName>
    <definedName name="_10_9_BT_NOVEMB" localSheetId="2">#REF!</definedName>
    <definedName name="_10_9_BT_NOVEMB" localSheetId="1">#REF!</definedName>
    <definedName name="_10_9_BT_NOVEMB" localSheetId="3">#REF!</definedName>
    <definedName name="_10_9_BT_NOVEMB" localSheetId="5">#REF!</definedName>
    <definedName name="_10_9_BT_NOVEMB" localSheetId="6">#REF!</definedName>
    <definedName name="_10_9_BT_NOVEMB">#REF!</definedName>
    <definedName name="_10_9_BT_SEPTEM" localSheetId="2">#REF!</definedName>
    <definedName name="_10_9_BT_SEPTEM" localSheetId="1">#REF!</definedName>
    <definedName name="_10_9_BT_SEPTEM" localSheetId="3">#REF!</definedName>
    <definedName name="_10_9_BT_SEPTEM" localSheetId="5">#REF!</definedName>
    <definedName name="_10_9_BT_SEPTEM" localSheetId="6">#REF!</definedName>
    <definedName name="_10_9_BT_SEPTEM">#REF!</definedName>
    <definedName name="_10_9_BTU_ANNUA" localSheetId="2">#REF!</definedName>
    <definedName name="_10_9_BTU_ANNUA" localSheetId="1">#REF!</definedName>
    <definedName name="_10_9_BTU_ANNUA" localSheetId="3">#REF!</definedName>
    <definedName name="_10_9_BTU_ANNUA" localSheetId="5">#REF!</definedName>
    <definedName name="_10_9_BTU_ANNUA" localSheetId="6">#REF!</definedName>
    <definedName name="_10_9_BTU_ANNUA">#REF!</definedName>
    <definedName name="_10_9_BTU_APRIL" localSheetId="2">#REF!</definedName>
    <definedName name="_10_9_BTU_APRIL" localSheetId="1">#REF!</definedName>
    <definedName name="_10_9_BTU_APRIL" localSheetId="3">#REF!</definedName>
    <definedName name="_10_9_BTU_APRIL" localSheetId="5">#REF!</definedName>
    <definedName name="_10_9_BTU_APRIL" localSheetId="6">#REF!</definedName>
    <definedName name="_10_9_BTU_APRIL">#REF!</definedName>
    <definedName name="_10_9_BTU_AUGUS" localSheetId="2">#REF!</definedName>
    <definedName name="_10_9_BTU_AUGUS" localSheetId="1">#REF!</definedName>
    <definedName name="_10_9_BTU_AUGUS" localSheetId="3">#REF!</definedName>
    <definedName name="_10_9_BTU_AUGUS" localSheetId="5">#REF!</definedName>
    <definedName name="_10_9_BTU_AUGUS" localSheetId="6">#REF!</definedName>
    <definedName name="_10_9_BTU_AUGUS">#REF!</definedName>
    <definedName name="_10_9_BTU_JANUA" localSheetId="2">#REF!</definedName>
    <definedName name="_10_9_BTU_JANUA" localSheetId="1">#REF!</definedName>
    <definedName name="_10_9_BTU_JANUA" localSheetId="3">#REF!</definedName>
    <definedName name="_10_9_BTU_JANUA" localSheetId="5">#REF!</definedName>
    <definedName name="_10_9_BTU_JANUA" localSheetId="6">#REF!</definedName>
    <definedName name="_10_9_BTU_JANUA">#REF!</definedName>
    <definedName name="_10_9_BTU_JULY" localSheetId="2">#REF!</definedName>
    <definedName name="_10_9_BTU_JULY" localSheetId="1">#REF!</definedName>
    <definedName name="_10_9_BTU_JULY" localSheetId="3">#REF!</definedName>
    <definedName name="_10_9_BTU_JULY" localSheetId="5">#REF!</definedName>
    <definedName name="_10_9_BTU_JULY" localSheetId="6">#REF!</definedName>
    <definedName name="_10_9_BTU_JULY">#REF!</definedName>
    <definedName name="_10_9_BTU_JUNE" localSheetId="2">#REF!</definedName>
    <definedName name="_10_9_BTU_JUNE" localSheetId="1">#REF!</definedName>
    <definedName name="_10_9_BTU_JUNE" localSheetId="3">#REF!</definedName>
    <definedName name="_10_9_BTU_JUNE" localSheetId="5">#REF!</definedName>
    <definedName name="_10_9_BTU_JUNE" localSheetId="6">#REF!</definedName>
    <definedName name="_10_9_BTU_JUNE">#REF!</definedName>
    <definedName name="_10_9_BTU_MARCH" localSheetId="2">#REF!</definedName>
    <definedName name="_10_9_BTU_MARCH" localSheetId="1">#REF!</definedName>
    <definedName name="_10_9_BTU_MARCH" localSheetId="3">#REF!</definedName>
    <definedName name="_10_9_BTU_MARCH" localSheetId="5">#REF!</definedName>
    <definedName name="_10_9_BTU_MARCH" localSheetId="6">#REF!</definedName>
    <definedName name="_10_9_BTU_MARCH">#REF!</definedName>
    <definedName name="_10_9_BTU_MAY" localSheetId="2">#REF!</definedName>
    <definedName name="_10_9_BTU_MAY" localSheetId="1">#REF!</definedName>
    <definedName name="_10_9_BTU_MAY" localSheetId="3">#REF!</definedName>
    <definedName name="_10_9_BTU_MAY" localSheetId="5">#REF!</definedName>
    <definedName name="_10_9_BTU_MAY" localSheetId="6">#REF!</definedName>
    <definedName name="_10_9_BTU_MAY">#REF!</definedName>
    <definedName name="_10_9_BTU_OCTOB" localSheetId="2">#REF!</definedName>
    <definedName name="_10_9_BTU_OCTOB" localSheetId="1">#REF!</definedName>
    <definedName name="_10_9_BTU_OCTOB" localSheetId="3">#REF!</definedName>
    <definedName name="_10_9_BTU_OCTOB" localSheetId="5">#REF!</definedName>
    <definedName name="_10_9_BTU_OCTOB" localSheetId="6">#REF!</definedName>
    <definedName name="_10_9_BTU_OCTOB">#REF!</definedName>
    <definedName name="_3" localSheetId="2">#REF!</definedName>
    <definedName name="_3" localSheetId="1">#REF!</definedName>
    <definedName name="_3" localSheetId="3">#REF!</definedName>
    <definedName name="_3" localSheetId="5">#REF!</definedName>
    <definedName name="_3" localSheetId="6">#REF!</definedName>
    <definedName name="_3">#REF!</definedName>
    <definedName name="_31_Mar_10" localSheetId="2">#REF!</definedName>
    <definedName name="_31_Mar_10" localSheetId="1">#REF!</definedName>
    <definedName name="_31_Mar_10" localSheetId="3">#REF!</definedName>
    <definedName name="_31_Mar_10" localSheetId="5">#REF!</definedName>
    <definedName name="_31_Mar_10" localSheetId="6">#REF!</definedName>
    <definedName name="_31_Mar_10">#REF!</definedName>
    <definedName name="_31_Mar_18" localSheetId="2">#REF!</definedName>
    <definedName name="_31_Mar_18" localSheetId="1">#REF!</definedName>
    <definedName name="_31_Mar_18" localSheetId="3">#REF!</definedName>
    <definedName name="_31_Mar_18" localSheetId="5">#REF!</definedName>
    <definedName name="_31_Mar_18" localSheetId="6">#REF!</definedName>
    <definedName name="_31_Mar_18">#REF!</definedName>
    <definedName name="_4" localSheetId="2">#REF!</definedName>
    <definedName name="_4" localSheetId="1">#REF!</definedName>
    <definedName name="_4" localSheetId="3">#REF!</definedName>
    <definedName name="_4" localSheetId="5">#REF!</definedName>
    <definedName name="_4" localSheetId="6">#REF!</definedName>
    <definedName name="_4">#REF!</definedName>
    <definedName name="_5" localSheetId="2">#REF!</definedName>
    <definedName name="_5" localSheetId="1">#REF!</definedName>
    <definedName name="_5" localSheetId="3">#REF!</definedName>
    <definedName name="_5" localSheetId="5">#REF!</definedName>
    <definedName name="_5" localSheetId="6">#REF!</definedName>
    <definedName name="_5">#REF!</definedName>
    <definedName name="_6" localSheetId="2">#REF!</definedName>
    <definedName name="_6" localSheetId="1">#REF!</definedName>
    <definedName name="_6" localSheetId="3">#REF!</definedName>
    <definedName name="_6" localSheetId="5">#REF!</definedName>
    <definedName name="_6" localSheetId="6">#REF!</definedName>
    <definedName name="_6">#REF!</definedName>
    <definedName name="_7" localSheetId="2">#REF!</definedName>
    <definedName name="_7" localSheetId="1">#REF!</definedName>
    <definedName name="_7" localSheetId="3">#REF!</definedName>
    <definedName name="_7" localSheetId="5">#REF!</definedName>
    <definedName name="_7" localSheetId="6">#REF!</definedName>
    <definedName name="_7">#REF!</definedName>
    <definedName name="_8" localSheetId="2">#REF!</definedName>
    <definedName name="_8" localSheetId="1">#REF!</definedName>
    <definedName name="_8" localSheetId="3">#REF!</definedName>
    <definedName name="_8" localSheetId="5">#REF!</definedName>
    <definedName name="_8" localSheetId="6">#REF!</definedName>
    <definedName name="_8">#REF!</definedName>
    <definedName name="_9" localSheetId="2">#REF!</definedName>
    <definedName name="_9" localSheetId="1">#REF!</definedName>
    <definedName name="_9" localSheetId="3">#REF!</definedName>
    <definedName name="_9" localSheetId="5">#REF!</definedName>
    <definedName name="_9" localSheetId="6">#REF!</definedName>
    <definedName name="_9">#REF!</definedName>
    <definedName name="_BSH1" localSheetId="2">#REF!</definedName>
    <definedName name="_BSH1" localSheetId="1">#REF!</definedName>
    <definedName name="_BSH1" localSheetId="3">#REF!</definedName>
    <definedName name="_BSH1" localSheetId="5">#REF!</definedName>
    <definedName name="_BSH1" localSheetId="6">#REF!</definedName>
    <definedName name="_BSH1">#REF!</definedName>
    <definedName name="_BSH2" localSheetId="2">#REF!</definedName>
    <definedName name="_BSH2" localSheetId="1">#REF!</definedName>
    <definedName name="_BSH2" localSheetId="3">#REF!</definedName>
    <definedName name="_BSH2" localSheetId="5">#REF!</definedName>
    <definedName name="_BSH2" localSheetId="6">#REF!</definedName>
    <definedName name="_BSH2">#REF!</definedName>
    <definedName name="_BSH3" localSheetId="2">#REF!</definedName>
    <definedName name="_BSH3" localSheetId="1">#REF!</definedName>
    <definedName name="_BSH3" localSheetId="3">#REF!</definedName>
    <definedName name="_BSH3" localSheetId="5">#REF!</definedName>
    <definedName name="_BSH3" localSheetId="6">#REF!</definedName>
    <definedName name="_BSH3">#REF!</definedName>
    <definedName name="_col1" localSheetId="2">#REF!</definedName>
    <definedName name="_col1" localSheetId="1">#REF!</definedName>
    <definedName name="_col1" localSheetId="3">#REF!</definedName>
    <definedName name="_col1" localSheetId="5">#REF!</definedName>
    <definedName name="_col1" localSheetId="6">#REF!</definedName>
    <definedName name="_col1">#REF!</definedName>
    <definedName name="_col10" localSheetId="2">#REF!</definedName>
    <definedName name="_col10" localSheetId="1">#REF!</definedName>
    <definedName name="_col10" localSheetId="3">#REF!</definedName>
    <definedName name="_col10" localSheetId="5">#REF!</definedName>
    <definedName name="_col10" localSheetId="6">#REF!</definedName>
    <definedName name="_col10">#REF!</definedName>
    <definedName name="_col11" localSheetId="2">#REF!</definedName>
    <definedName name="_col11" localSheetId="1">#REF!</definedName>
    <definedName name="_col11" localSheetId="3">#REF!</definedName>
    <definedName name="_col11" localSheetId="5">#REF!</definedName>
    <definedName name="_col11" localSheetId="6">#REF!</definedName>
    <definedName name="_col11">#REF!</definedName>
    <definedName name="_col12" localSheetId="2">#REF!</definedName>
    <definedName name="_col12" localSheetId="1">#REF!</definedName>
    <definedName name="_col12" localSheetId="3">#REF!</definedName>
    <definedName name="_col12" localSheetId="5">#REF!</definedName>
    <definedName name="_col12" localSheetId="6">#REF!</definedName>
    <definedName name="_col12">#REF!</definedName>
    <definedName name="_col13" localSheetId="2">#REF!</definedName>
    <definedName name="_col13" localSheetId="1">#REF!</definedName>
    <definedName name="_col13" localSheetId="3">#REF!</definedName>
    <definedName name="_col13" localSheetId="5">#REF!</definedName>
    <definedName name="_col13" localSheetId="6">#REF!</definedName>
    <definedName name="_col13">#REF!</definedName>
    <definedName name="_col2" localSheetId="2">#REF!</definedName>
    <definedName name="_col2" localSheetId="1">#REF!</definedName>
    <definedName name="_col2" localSheetId="3">#REF!</definedName>
    <definedName name="_col2" localSheetId="5">#REF!</definedName>
    <definedName name="_col2" localSheetId="6">#REF!</definedName>
    <definedName name="_col2">#REF!</definedName>
    <definedName name="_col3" localSheetId="2">#REF!</definedName>
    <definedName name="_col3" localSheetId="1">#REF!</definedName>
    <definedName name="_col3" localSheetId="3">#REF!</definedName>
    <definedName name="_col3" localSheetId="5">#REF!</definedName>
    <definedName name="_col3" localSheetId="6">#REF!</definedName>
    <definedName name="_col3">#REF!</definedName>
    <definedName name="_col4" localSheetId="2">#REF!</definedName>
    <definedName name="_col4" localSheetId="1">#REF!</definedName>
    <definedName name="_col4" localSheetId="3">#REF!</definedName>
    <definedName name="_col4" localSheetId="5">#REF!</definedName>
    <definedName name="_col4" localSheetId="6">#REF!</definedName>
    <definedName name="_col4">#REF!</definedName>
    <definedName name="_col5" localSheetId="2">#REF!</definedName>
    <definedName name="_col5" localSheetId="1">#REF!</definedName>
    <definedName name="_col5" localSheetId="3">#REF!</definedName>
    <definedName name="_col5" localSheetId="5">#REF!</definedName>
    <definedName name="_col5" localSheetId="6">#REF!</definedName>
    <definedName name="_col5">#REF!</definedName>
    <definedName name="_col6" localSheetId="2">#REF!</definedName>
    <definedName name="_col6" localSheetId="1">#REF!</definedName>
    <definedName name="_col6" localSheetId="3">#REF!</definedName>
    <definedName name="_col6" localSheetId="5">#REF!</definedName>
    <definedName name="_col6" localSheetId="6">#REF!</definedName>
    <definedName name="_col6">#REF!</definedName>
    <definedName name="_col7" localSheetId="2">#REF!</definedName>
    <definedName name="_col7" localSheetId="1">#REF!</definedName>
    <definedName name="_col7" localSheetId="3">#REF!</definedName>
    <definedName name="_col7" localSheetId="5">#REF!</definedName>
    <definedName name="_col7" localSheetId="6">#REF!</definedName>
    <definedName name="_col7">#REF!</definedName>
    <definedName name="_col8" localSheetId="2">#REF!</definedName>
    <definedName name="_col8" localSheetId="1">#REF!</definedName>
    <definedName name="_col8" localSheetId="3">#REF!</definedName>
    <definedName name="_col8" localSheetId="5">#REF!</definedName>
    <definedName name="_col8" localSheetId="6">#REF!</definedName>
    <definedName name="_col8">#REF!</definedName>
    <definedName name="_col9" localSheetId="2">#REF!</definedName>
    <definedName name="_col9" localSheetId="1">#REF!</definedName>
    <definedName name="_col9" localSheetId="3">#REF!</definedName>
    <definedName name="_col9" localSheetId="5">#REF!</definedName>
    <definedName name="_col9" localSheetId="6">#REF!</definedName>
    <definedName name="_col9">#REF!</definedName>
    <definedName name="_cpg1" localSheetId="2">#REF!</definedName>
    <definedName name="_cpg1" localSheetId="1">#REF!</definedName>
    <definedName name="_cpg1" localSheetId="3">#REF!</definedName>
    <definedName name="_cpg1" localSheetId="5">#REF!</definedName>
    <definedName name="_cpg1" localSheetId="6">#REF!</definedName>
    <definedName name="_cpg1">#REF!</definedName>
    <definedName name="_CPG2" localSheetId="2">#REF!</definedName>
    <definedName name="_CPG2" localSheetId="1">#REF!</definedName>
    <definedName name="_CPG2" localSheetId="3">#REF!</definedName>
    <definedName name="_CPG2" localSheetId="5">#REF!</definedName>
    <definedName name="_CPG2" localSheetId="6">#REF!</definedName>
    <definedName name="_CPG2">#REF!</definedName>
    <definedName name="_DAT1" localSheetId="2">#REF!</definedName>
    <definedName name="_DAT1" localSheetId="1">#REF!</definedName>
    <definedName name="_DAT1" localSheetId="3">#REF!</definedName>
    <definedName name="_DAT1" localSheetId="5">#REF!</definedName>
    <definedName name="_DAT1" localSheetId="6">#REF!</definedName>
    <definedName name="_DAT1">#REF!</definedName>
    <definedName name="_DAT10" localSheetId="2">#REF!</definedName>
    <definedName name="_DAT10" localSheetId="1">#REF!</definedName>
    <definedName name="_DAT10" localSheetId="3">#REF!</definedName>
    <definedName name="_DAT10" localSheetId="5">#REF!</definedName>
    <definedName name="_DAT10" localSheetId="6">#REF!</definedName>
    <definedName name="_DAT10">#REF!</definedName>
    <definedName name="_DAT11" localSheetId="2">#REF!</definedName>
    <definedName name="_DAT11" localSheetId="1">#REF!</definedName>
    <definedName name="_DAT11" localSheetId="3">#REF!</definedName>
    <definedName name="_DAT11" localSheetId="5">#REF!</definedName>
    <definedName name="_DAT11" localSheetId="6">#REF!</definedName>
    <definedName name="_DAT11">#REF!</definedName>
    <definedName name="_DAT12" localSheetId="2">#REF!</definedName>
    <definedName name="_DAT12" localSheetId="1">#REF!</definedName>
    <definedName name="_DAT12" localSheetId="3">#REF!</definedName>
    <definedName name="_DAT12" localSheetId="5">#REF!</definedName>
    <definedName name="_DAT12" localSheetId="6">#REF!</definedName>
    <definedName name="_DAT12">#REF!</definedName>
    <definedName name="_DAT13" localSheetId="2">#REF!</definedName>
    <definedName name="_DAT13" localSheetId="1">#REF!</definedName>
    <definedName name="_DAT13" localSheetId="3">#REF!</definedName>
    <definedName name="_DAT13" localSheetId="5">#REF!</definedName>
    <definedName name="_DAT13" localSheetId="6">#REF!</definedName>
    <definedName name="_DAT13">#REF!</definedName>
    <definedName name="_DAT14" localSheetId="2">#REF!</definedName>
    <definedName name="_DAT14" localSheetId="1">#REF!</definedName>
    <definedName name="_DAT14" localSheetId="3">#REF!</definedName>
    <definedName name="_DAT14" localSheetId="5">#REF!</definedName>
    <definedName name="_DAT14" localSheetId="6">#REF!</definedName>
    <definedName name="_DAT14">#REF!</definedName>
    <definedName name="_DAT15" localSheetId="2">#REF!</definedName>
    <definedName name="_DAT15" localSheetId="1">#REF!</definedName>
    <definedName name="_DAT15" localSheetId="3">#REF!</definedName>
    <definedName name="_DAT15" localSheetId="5">#REF!</definedName>
    <definedName name="_DAT15" localSheetId="6">#REF!</definedName>
    <definedName name="_DAT15">#REF!</definedName>
    <definedName name="_DAT16" localSheetId="2">#REF!</definedName>
    <definedName name="_DAT16" localSheetId="1">#REF!</definedName>
    <definedName name="_DAT16" localSheetId="3">#REF!</definedName>
    <definedName name="_DAT16" localSheetId="5">#REF!</definedName>
    <definedName name="_DAT16" localSheetId="6">#REF!</definedName>
    <definedName name="_DAT16">#REF!</definedName>
    <definedName name="_DAT17" localSheetId="2">#REF!</definedName>
    <definedName name="_DAT17" localSheetId="1">#REF!</definedName>
    <definedName name="_DAT17" localSheetId="3">#REF!</definedName>
    <definedName name="_DAT17" localSheetId="5">#REF!</definedName>
    <definedName name="_DAT17" localSheetId="6">#REF!</definedName>
    <definedName name="_DAT17">#REF!</definedName>
    <definedName name="_DAT2" localSheetId="2">#REF!</definedName>
    <definedName name="_DAT2" localSheetId="1">#REF!</definedName>
    <definedName name="_DAT2" localSheetId="3">#REF!</definedName>
    <definedName name="_DAT2" localSheetId="5">#REF!</definedName>
    <definedName name="_DAT2" localSheetId="6">#REF!</definedName>
    <definedName name="_DAT2">#REF!</definedName>
    <definedName name="_DAT3" localSheetId="2">#REF!</definedName>
    <definedName name="_DAT3" localSheetId="1">#REF!</definedName>
    <definedName name="_DAT3" localSheetId="3">#REF!</definedName>
    <definedName name="_DAT3" localSheetId="5">#REF!</definedName>
    <definedName name="_DAT3" localSheetId="6">#REF!</definedName>
    <definedName name="_DAT3">#REF!</definedName>
    <definedName name="_DAT4" localSheetId="2">#REF!</definedName>
    <definedName name="_DAT4" localSheetId="1">#REF!</definedName>
    <definedName name="_DAT4" localSheetId="3">#REF!</definedName>
    <definedName name="_DAT4" localSheetId="5">#REF!</definedName>
    <definedName name="_DAT4" localSheetId="6">#REF!</definedName>
    <definedName name="_DAT4">#REF!</definedName>
    <definedName name="_DAT5" localSheetId="2">#REF!</definedName>
    <definedName name="_DAT5" localSheetId="1">#REF!</definedName>
    <definedName name="_DAT5" localSheetId="3">#REF!</definedName>
    <definedName name="_DAT5" localSheetId="5">#REF!</definedName>
    <definedName name="_DAT5" localSheetId="6">#REF!</definedName>
    <definedName name="_DAT5">#REF!</definedName>
    <definedName name="_DAT6" localSheetId="2">#REF!</definedName>
    <definedName name="_DAT6" localSheetId="1">#REF!</definedName>
    <definedName name="_DAT6" localSheetId="3">#REF!</definedName>
    <definedName name="_DAT6" localSheetId="5">#REF!</definedName>
    <definedName name="_DAT6" localSheetId="6">#REF!</definedName>
    <definedName name="_DAT6">#REF!</definedName>
    <definedName name="_DAT7" localSheetId="2">#REF!</definedName>
    <definedName name="_DAT7" localSheetId="1">#REF!</definedName>
    <definedName name="_DAT7" localSheetId="3">#REF!</definedName>
    <definedName name="_DAT7" localSheetId="5">#REF!</definedName>
    <definedName name="_DAT7" localSheetId="6">#REF!</definedName>
    <definedName name="_DAT7">#REF!</definedName>
    <definedName name="_DAT8" localSheetId="2">#REF!</definedName>
    <definedName name="_DAT8" localSheetId="1">#REF!</definedName>
    <definedName name="_DAT8" localSheetId="3">#REF!</definedName>
    <definedName name="_DAT8" localSheetId="5">#REF!</definedName>
    <definedName name="_DAT8" localSheetId="6">#REF!</definedName>
    <definedName name="_DAT8">#REF!</definedName>
    <definedName name="_DAT9" localSheetId="2">#REF!</definedName>
    <definedName name="_DAT9" localSheetId="1">#REF!</definedName>
    <definedName name="_DAT9" localSheetId="3">#REF!</definedName>
    <definedName name="_DAT9" localSheetId="5">#REF!</definedName>
    <definedName name="_DAT9" localSheetId="6">#REF!</definedName>
    <definedName name="_DAT9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4" hidden="1">'Consolidted PnL-May'!$A$6:$K$152</definedName>
    <definedName name="_xlnm._FilterDatabase" localSheetId="5" hidden="1">'Holding Detailed Exp summary'!#REF!</definedName>
    <definedName name="_xlnm._FilterDatabase" localSheetId="6" hidden="1">'Subs Detailed Exp Summary'!$A$1:$W$193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6" hidden="1">#REF!</definedName>
    <definedName name="_Key1" hidden="1">#REF!</definedName>
    <definedName name="_MAR9091" localSheetId="2">#REF!</definedName>
    <definedName name="_MAR9091" localSheetId="1">#REF!</definedName>
    <definedName name="_MAR9091" localSheetId="3">#REF!</definedName>
    <definedName name="_MAR9091" localSheetId="5">#REF!</definedName>
    <definedName name="_MAR9091" localSheetId="6">#REF!</definedName>
    <definedName name="_MAR9091">#REF!</definedName>
    <definedName name="_mar98" localSheetId="2">#REF!</definedName>
    <definedName name="_mar98" localSheetId="1">#REF!</definedName>
    <definedName name="_mar98" localSheetId="3">#REF!</definedName>
    <definedName name="_mar98" localSheetId="5">#REF!</definedName>
    <definedName name="_mar98" localSheetId="6">#REF!</definedName>
    <definedName name="_mar98">#REF!</definedName>
    <definedName name="_mar99" localSheetId="2">#REF!</definedName>
    <definedName name="_mar99" localSheetId="1">#REF!</definedName>
    <definedName name="_mar99" localSheetId="3">#REF!</definedName>
    <definedName name="_mar99" localSheetId="5">#REF!</definedName>
    <definedName name="_mar99" localSheetId="6">#REF!</definedName>
    <definedName name="_mar99">#REF!</definedName>
    <definedName name="_msy1" localSheetId="2">#REF!</definedName>
    <definedName name="_msy1" localSheetId="1">#REF!</definedName>
    <definedName name="_msy1" localSheetId="3">#REF!</definedName>
    <definedName name="_msy1" localSheetId="5">#REF!</definedName>
    <definedName name="_msy1" localSheetId="6">#REF!</definedName>
    <definedName name="_msy1">#REF!</definedName>
    <definedName name="_msy2" localSheetId="2">#REF!</definedName>
    <definedName name="_msy2" localSheetId="1">#REF!</definedName>
    <definedName name="_msy2" localSheetId="3">#REF!</definedName>
    <definedName name="_msy2" localSheetId="5">#REF!</definedName>
    <definedName name="_msy2" localSheetId="6">#REF!</definedName>
    <definedName name="_msy2">#REF!</definedName>
    <definedName name="_msy3" localSheetId="2">#REF!</definedName>
    <definedName name="_msy3" localSheetId="1">#REF!</definedName>
    <definedName name="_msy3" localSheetId="3">#REF!</definedName>
    <definedName name="_msy3" localSheetId="5">#REF!</definedName>
    <definedName name="_msy3" localSheetId="6">#REF!</definedName>
    <definedName name="_msy3">#REF!</definedName>
    <definedName name="_msy4" localSheetId="2">#REF!</definedName>
    <definedName name="_msy4" localSheetId="1">#REF!</definedName>
    <definedName name="_msy4" localSheetId="3">#REF!</definedName>
    <definedName name="_msy4" localSheetId="5">#REF!</definedName>
    <definedName name="_msy4" localSheetId="6">#REF!</definedName>
    <definedName name="_msy4">#REF!</definedName>
    <definedName name="_nav2000" localSheetId="2">#REF!</definedName>
    <definedName name="_nav2000" localSheetId="1">#REF!</definedName>
    <definedName name="_nav2000" localSheetId="3">#REF!</definedName>
    <definedName name="_nav2000" localSheetId="5">#REF!</definedName>
    <definedName name="_nav2000" localSheetId="6">#REF!</definedName>
    <definedName name="_nav2000">#REF!</definedName>
    <definedName name="_net99" localSheetId="2">#REF!</definedName>
    <definedName name="_net99" localSheetId="1">#REF!</definedName>
    <definedName name="_net99" localSheetId="3">#REF!</definedName>
    <definedName name="_net99" localSheetId="5">#REF!</definedName>
    <definedName name="_net99" localSheetId="6">#REF!</definedName>
    <definedName name="_net99">#REF!</definedName>
    <definedName name="_New1" localSheetId="2">#REF!</definedName>
    <definedName name="_New1" localSheetId="1">#REF!</definedName>
    <definedName name="_New1" localSheetId="3">#REF!</definedName>
    <definedName name="_New1" localSheetId="5">#REF!</definedName>
    <definedName name="_New1" localSheetId="6">#REF!</definedName>
    <definedName name="_New1">#REF!</definedName>
    <definedName name="_nov99" localSheetId="2">#REF!</definedName>
    <definedName name="_nov99" localSheetId="1">#REF!</definedName>
    <definedName name="_nov99" localSheetId="3">#REF!</definedName>
    <definedName name="_nov99" localSheetId="5">#REF!</definedName>
    <definedName name="_nov99" localSheetId="6">#REF!</definedName>
    <definedName name="_nov99">#REF!</definedName>
    <definedName name="_Order1">255</definedName>
    <definedName name="_Order2">0</definedName>
    <definedName name="_P1" localSheetId="2">#REF!</definedName>
    <definedName name="_P1" localSheetId="1">#REF!</definedName>
    <definedName name="_P1" localSheetId="3">#REF!</definedName>
    <definedName name="_P1" localSheetId="5">#REF!</definedName>
    <definedName name="_P1" localSheetId="6">#REF!</definedName>
    <definedName name="_P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g1" localSheetId="2">#REF!</definedName>
    <definedName name="_pg1" localSheetId="1">#REF!</definedName>
    <definedName name="_pg1" localSheetId="3">#REF!</definedName>
    <definedName name="_pg1" localSheetId="5">#REF!</definedName>
    <definedName name="_pg1" localSheetId="6">#REF!</definedName>
    <definedName name="_pg1">#REF!</definedName>
    <definedName name="_pg2" localSheetId="2">#REF!</definedName>
    <definedName name="_pg2" localSheetId="1">#REF!</definedName>
    <definedName name="_pg2" localSheetId="3">#REF!</definedName>
    <definedName name="_pg2" localSheetId="5">#REF!</definedName>
    <definedName name="_pg2" localSheetId="6">#REF!</definedName>
    <definedName name="_pg2">#REF!</definedName>
    <definedName name="_PG6" localSheetId="2">#REF!</definedName>
    <definedName name="_PG6" localSheetId="1">#REF!</definedName>
    <definedName name="_PG6" localSheetId="3">#REF!</definedName>
    <definedName name="_PG6" localSheetId="5">#REF!</definedName>
    <definedName name="_PG6" localSheetId="6">#REF!</definedName>
    <definedName name="_PG6">#REF!</definedName>
    <definedName name="_rev1" localSheetId="2">#REF!</definedName>
    <definedName name="_rev1" localSheetId="1">#REF!</definedName>
    <definedName name="_rev1" localSheetId="3">#REF!</definedName>
    <definedName name="_rev1" localSheetId="5">#REF!</definedName>
    <definedName name="_rev1" localSheetId="6">#REF!</definedName>
    <definedName name="_rev1">#REF!</definedName>
    <definedName name="_rev10" localSheetId="2">#REF!</definedName>
    <definedName name="_rev10" localSheetId="1">#REF!</definedName>
    <definedName name="_rev10" localSheetId="3">#REF!</definedName>
    <definedName name="_rev10" localSheetId="5">#REF!</definedName>
    <definedName name="_rev10" localSheetId="6">#REF!</definedName>
    <definedName name="_rev10">#REF!</definedName>
    <definedName name="_rev11" localSheetId="2">#REF!</definedName>
    <definedName name="_rev11" localSheetId="1">#REF!</definedName>
    <definedName name="_rev11" localSheetId="3">#REF!</definedName>
    <definedName name="_rev11" localSheetId="5">#REF!</definedName>
    <definedName name="_rev11" localSheetId="6">#REF!</definedName>
    <definedName name="_rev11">#REF!</definedName>
    <definedName name="_rev12" localSheetId="2">#REF!</definedName>
    <definedName name="_rev12" localSheetId="1">#REF!</definedName>
    <definedName name="_rev12" localSheetId="3">#REF!</definedName>
    <definedName name="_rev12" localSheetId="5">#REF!</definedName>
    <definedName name="_rev12" localSheetId="6">#REF!</definedName>
    <definedName name="_rev12">#REF!</definedName>
    <definedName name="_rev13" localSheetId="2">#REF!</definedName>
    <definedName name="_rev13" localSheetId="1">#REF!</definedName>
    <definedName name="_rev13" localSheetId="3">#REF!</definedName>
    <definedName name="_rev13" localSheetId="5">#REF!</definedName>
    <definedName name="_rev13" localSheetId="6">#REF!</definedName>
    <definedName name="_rev13">#REF!</definedName>
    <definedName name="_rev14" localSheetId="2">#REF!</definedName>
    <definedName name="_rev14" localSheetId="1">#REF!</definedName>
    <definedName name="_rev14" localSheetId="3">#REF!</definedName>
    <definedName name="_rev14" localSheetId="5">#REF!</definedName>
    <definedName name="_rev14" localSheetId="6">#REF!</definedName>
    <definedName name="_rev14">#REF!</definedName>
    <definedName name="_rev15" localSheetId="2">#REF!</definedName>
    <definedName name="_rev15" localSheetId="1">#REF!</definedName>
    <definedName name="_rev15" localSheetId="3">#REF!</definedName>
    <definedName name="_rev15" localSheetId="5">#REF!</definedName>
    <definedName name="_rev15" localSheetId="6">#REF!</definedName>
    <definedName name="_rev15">#REF!</definedName>
    <definedName name="_rev16" localSheetId="2">#REF!</definedName>
    <definedName name="_rev16" localSheetId="1">#REF!</definedName>
    <definedName name="_rev16" localSheetId="3">#REF!</definedName>
    <definedName name="_rev16" localSheetId="5">#REF!</definedName>
    <definedName name="_rev16" localSheetId="6">#REF!</definedName>
    <definedName name="_rev16">#REF!</definedName>
    <definedName name="_rev17" localSheetId="2">#REF!</definedName>
    <definedName name="_rev17" localSheetId="1">#REF!</definedName>
    <definedName name="_rev17" localSheetId="3">#REF!</definedName>
    <definedName name="_rev17" localSheetId="5">#REF!</definedName>
    <definedName name="_rev17" localSheetId="6">#REF!</definedName>
    <definedName name="_rev17">#REF!</definedName>
    <definedName name="_rev18" localSheetId="2">#REF!</definedName>
    <definedName name="_rev18" localSheetId="1">#REF!</definedName>
    <definedName name="_rev18" localSheetId="3">#REF!</definedName>
    <definedName name="_rev18" localSheetId="5">#REF!</definedName>
    <definedName name="_rev18" localSheetId="6">#REF!</definedName>
    <definedName name="_rev18">#REF!</definedName>
    <definedName name="_rev19" localSheetId="2">#REF!</definedName>
    <definedName name="_rev19" localSheetId="1">#REF!</definedName>
    <definedName name="_rev19" localSheetId="3">#REF!</definedName>
    <definedName name="_rev19" localSheetId="5">#REF!</definedName>
    <definedName name="_rev19" localSheetId="6">#REF!</definedName>
    <definedName name="_rev19">#REF!</definedName>
    <definedName name="_rev2" localSheetId="2">#REF!</definedName>
    <definedName name="_rev2" localSheetId="1">#REF!</definedName>
    <definedName name="_rev2" localSheetId="3">#REF!</definedName>
    <definedName name="_rev2" localSheetId="5">#REF!</definedName>
    <definedName name="_rev2" localSheetId="6">#REF!</definedName>
    <definedName name="_rev2">#REF!</definedName>
    <definedName name="_rev20" localSheetId="2">#REF!</definedName>
    <definedName name="_rev20" localSheetId="1">#REF!</definedName>
    <definedName name="_rev20" localSheetId="3">#REF!</definedName>
    <definedName name="_rev20" localSheetId="5">#REF!</definedName>
    <definedName name="_rev20" localSheetId="6">#REF!</definedName>
    <definedName name="_rev20">#REF!</definedName>
    <definedName name="_rev3" localSheetId="2">#REF!</definedName>
    <definedName name="_rev3" localSheetId="1">#REF!</definedName>
    <definedName name="_rev3" localSheetId="3">#REF!</definedName>
    <definedName name="_rev3" localSheetId="5">#REF!</definedName>
    <definedName name="_rev3" localSheetId="6">#REF!</definedName>
    <definedName name="_rev3">#REF!</definedName>
    <definedName name="_rev4" localSheetId="2">#REF!</definedName>
    <definedName name="_rev4" localSheetId="1">#REF!</definedName>
    <definedName name="_rev4" localSheetId="3">#REF!</definedName>
    <definedName name="_rev4" localSheetId="5">#REF!</definedName>
    <definedName name="_rev4" localSheetId="6">#REF!</definedName>
    <definedName name="_rev4">#REF!</definedName>
    <definedName name="_rev5" localSheetId="2">#REF!</definedName>
    <definedName name="_rev5" localSheetId="1">#REF!</definedName>
    <definedName name="_rev5" localSheetId="3">#REF!</definedName>
    <definedName name="_rev5" localSheetId="5">#REF!</definedName>
    <definedName name="_rev5" localSheetId="6">#REF!</definedName>
    <definedName name="_rev5">#REF!</definedName>
    <definedName name="_rev6" localSheetId="2">#REF!</definedName>
    <definedName name="_rev6" localSheetId="1">#REF!</definedName>
    <definedName name="_rev6" localSheetId="3">#REF!</definedName>
    <definedName name="_rev6" localSheetId="5">#REF!</definedName>
    <definedName name="_rev6" localSheetId="6">#REF!</definedName>
    <definedName name="_rev6">#REF!</definedName>
    <definedName name="_rev7" localSheetId="2">#REF!</definedName>
    <definedName name="_rev7" localSheetId="1">#REF!</definedName>
    <definedName name="_rev7" localSheetId="3">#REF!</definedName>
    <definedName name="_rev7" localSheetId="5">#REF!</definedName>
    <definedName name="_rev7" localSheetId="6">#REF!</definedName>
    <definedName name="_rev7">#REF!</definedName>
    <definedName name="_rev8" localSheetId="2">#REF!</definedName>
    <definedName name="_rev8" localSheetId="1">#REF!</definedName>
    <definedName name="_rev8" localSheetId="3">#REF!</definedName>
    <definedName name="_rev8" localSheetId="5">#REF!</definedName>
    <definedName name="_rev8" localSheetId="6">#REF!</definedName>
    <definedName name="_rev8">#REF!</definedName>
    <definedName name="_rev9" localSheetId="2">#REF!</definedName>
    <definedName name="_rev9" localSheetId="1">#REF!</definedName>
    <definedName name="_rev9" localSheetId="3">#REF!</definedName>
    <definedName name="_rev9" localSheetId="5">#REF!</definedName>
    <definedName name="_rev9" localSheetId="6">#REF!</definedName>
    <definedName name="_rev9">#REF!</definedName>
    <definedName name="_sch13" localSheetId="2">#REF!</definedName>
    <definedName name="_sch13" localSheetId="1">#REF!</definedName>
    <definedName name="_sch13" localSheetId="3">#REF!</definedName>
    <definedName name="_sch13" localSheetId="5">#REF!</definedName>
    <definedName name="_sch13" localSheetId="6">#REF!</definedName>
    <definedName name="_sch13">#REF!</definedName>
    <definedName name="_sch14" localSheetId="2">#REF!</definedName>
    <definedName name="_sch14" localSheetId="1">#REF!</definedName>
    <definedName name="_sch14" localSheetId="3">#REF!</definedName>
    <definedName name="_sch14" localSheetId="5">#REF!</definedName>
    <definedName name="_sch14" localSheetId="6">#REF!</definedName>
    <definedName name="_sch14">#REF!</definedName>
    <definedName name="_sch15" localSheetId="2">#REF!</definedName>
    <definedName name="_sch15" localSheetId="1">#REF!</definedName>
    <definedName name="_sch15" localSheetId="3">#REF!</definedName>
    <definedName name="_sch15" localSheetId="5">#REF!</definedName>
    <definedName name="_sch15" localSheetId="6">#REF!</definedName>
    <definedName name="_sch15">#REF!</definedName>
    <definedName name="_sch16" localSheetId="2">#REF!</definedName>
    <definedName name="_sch16" localSheetId="1">#REF!</definedName>
    <definedName name="_sch16" localSheetId="3">#REF!</definedName>
    <definedName name="_sch16" localSheetId="5">#REF!</definedName>
    <definedName name="_sch16" localSheetId="6">#REF!</definedName>
    <definedName name="_sch16">#REF!</definedName>
    <definedName name="_sep97" localSheetId="2">#REF!</definedName>
    <definedName name="_sep97" localSheetId="1">#REF!</definedName>
    <definedName name="_sep97" localSheetId="3">#REF!</definedName>
    <definedName name="_sep97" localSheetId="5">#REF!</definedName>
    <definedName name="_sep97" localSheetId="6">#REF!</definedName>
    <definedName name="_sep97">#REF!</definedName>
    <definedName name="_sht1" localSheetId="2">#REF!</definedName>
    <definedName name="_sht1" localSheetId="1">#REF!</definedName>
    <definedName name="_sht1" localSheetId="3">#REF!</definedName>
    <definedName name="_sht1" localSheetId="5">#REF!</definedName>
    <definedName name="_sht1" localSheetId="6">#REF!</definedName>
    <definedName name="_sht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6" hidden="1">#REF!</definedName>
    <definedName name="_Sort" hidden="1">#REF!</definedName>
    <definedName name="_TAB1" localSheetId="2">#REF!</definedName>
    <definedName name="_TAB1" localSheetId="1">#REF!</definedName>
    <definedName name="_TAB1" localSheetId="3">#REF!</definedName>
    <definedName name="_TAB1" localSheetId="5">#REF!</definedName>
    <definedName name="_TAB1" localSheetId="6">#REF!</definedName>
    <definedName name="_TAB1">#REF!</definedName>
    <definedName name="_Table2_In1" localSheetId="2" hidden="1">#REF!</definedName>
    <definedName name="_Table2_In1" localSheetId="1" hidden="1">#REF!</definedName>
    <definedName name="_Table2_In1" localSheetId="3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localSheetId="2" hidden="1">#REF!</definedName>
    <definedName name="_Table2_In2" localSheetId="1" hidden="1">#REF!</definedName>
    <definedName name="_Table2_In2" localSheetId="3" hidden="1">#REF!</definedName>
    <definedName name="_Table2_In2" localSheetId="5" hidden="1">#REF!</definedName>
    <definedName name="_Table2_In2" localSheetId="6" hidden="1">#REF!</definedName>
    <definedName name="_Table2_In2" hidden="1">#REF!</definedName>
    <definedName name="_Table2_Out" localSheetId="2" hidden="1">#REF!</definedName>
    <definedName name="_Table2_Out" localSheetId="1" hidden="1">#REF!</definedName>
    <definedName name="_Table2_Out" localSheetId="3" hidden="1">#REF!</definedName>
    <definedName name="_Table2_Out" localSheetId="5" hidden="1">#REF!</definedName>
    <definedName name="_Table2_Out" localSheetId="6" hidden="1">#REF!</definedName>
    <definedName name="_Table2_Out" hidden="1">#REF!</definedName>
    <definedName name="_Table3_In2" localSheetId="2" hidden="1">#REF!</definedName>
    <definedName name="_Table3_In2" localSheetId="1" hidden="1">#REF!</definedName>
    <definedName name="_Table3_In2" localSheetId="3" hidden="1">#REF!</definedName>
    <definedName name="_Table3_In2" localSheetId="5" hidden="1">#REF!</definedName>
    <definedName name="_Table3_In2" localSheetId="6" hidden="1">#REF!</definedName>
    <definedName name="_Table3_In2" hidden="1">#REF!</definedName>
    <definedName name="_TAX1" localSheetId="2">#REF!</definedName>
    <definedName name="_TAX1" localSheetId="1">#REF!</definedName>
    <definedName name="_TAX1" localSheetId="3">#REF!</definedName>
    <definedName name="_TAX1" localSheetId="5">#REF!</definedName>
    <definedName name="_TAX1" localSheetId="6">#REF!</definedName>
    <definedName name="_TAX1">#REF!</definedName>
    <definedName name="_TB2004" localSheetId="2">#REF!</definedName>
    <definedName name="_TB2004" localSheetId="1">#REF!</definedName>
    <definedName name="_TB2004" localSheetId="3">#REF!</definedName>
    <definedName name="_TB2004" localSheetId="5">#REF!</definedName>
    <definedName name="_TB2004" localSheetId="6">#REF!</definedName>
    <definedName name="_TB2004">#REF!</definedName>
    <definedName name="_TR1" localSheetId="2">#REF!</definedName>
    <definedName name="_TR1" localSheetId="1">#REF!</definedName>
    <definedName name="_TR1" localSheetId="3">#REF!</definedName>
    <definedName name="_TR1" localSheetId="5">#REF!</definedName>
    <definedName name="_TR1" localSheetId="6">#REF!</definedName>
    <definedName name="_TR1">#REF!</definedName>
    <definedName name="_TR3">#N/A</definedName>
    <definedName name="_TRA2" localSheetId="2">#REF!</definedName>
    <definedName name="_TRA2" localSheetId="1">#REF!</definedName>
    <definedName name="_TRA2" localSheetId="3">#REF!</definedName>
    <definedName name="_TRA2" localSheetId="5">#REF!</definedName>
    <definedName name="_TRA2" localSheetId="6">#REF!</definedName>
    <definedName name="_TRA2">#REF!</definedName>
    <definedName name="_YE45" localSheetId="2">#REF!</definedName>
    <definedName name="_YE45" localSheetId="1">#REF!</definedName>
    <definedName name="_YE45" localSheetId="3">#REF!</definedName>
    <definedName name="_YE45" localSheetId="5">#REF!</definedName>
    <definedName name="_YE45" localSheetId="6">#REF!</definedName>
    <definedName name="_YE45">#REF!</definedName>
    <definedName name="a" localSheetId="2">#REF!</definedName>
    <definedName name="a" localSheetId="1">#REF!</definedName>
    <definedName name="a" localSheetId="3">#REF!</definedName>
    <definedName name="a" localSheetId="5">#REF!</definedName>
    <definedName name="a" localSheetId="6">#REF!</definedName>
    <definedName name="a">#REF!</definedName>
    <definedName name="a654645454545" localSheetId="2">#REF!</definedName>
    <definedName name="a654645454545" localSheetId="1">#REF!</definedName>
    <definedName name="a654645454545" localSheetId="3">#REF!</definedName>
    <definedName name="a654645454545" localSheetId="5">#REF!</definedName>
    <definedName name="a654645454545" localSheetId="6">#REF!</definedName>
    <definedName name="a654645454545">#REF!</definedName>
    <definedName name="aa" localSheetId="2">#REF!</definedName>
    <definedName name="aa" localSheetId="1">#REF!</definedName>
    <definedName name="aa" localSheetId="3">#REF!</definedName>
    <definedName name="aa" localSheetId="5">#REF!</definedName>
    <definedName name="aa" localSheetId="6">#REF!</definedName>
    <definedName name="aa">#REF!</definedName>
    <definedName name="acc" localSheetId="2">#REF!</definedName>
    <definedName name="acc" localSheetId="1">#REF!</definedName>
    <definedName name="acc" localSheetId="3">#REF!</definedName>
    <definedName name="acc" localSheetId="5">#REF!</definedName>
    <definedName name="acc" localSheetId="6">#REF!</definedName>
    <definedName name="acc">#REF!</definedName>
    <definedName name="Access" localSheetId="2">#REF!</definedName>
    <definedName name="Access" localSheetId="1">#REF!</definedName>
    <definedName name="Access" localSheetId="3">#REF!</definedName>
    <definedName name="Access" localSheetId="5">#REF!</definedName>
    <definedName name="Access" localSheetId="6">#REF!</definedName>
    <definedName name="Access">#REF!</definedName>
    <definedName name="AccessDatabase">"H:\Comps Table\Comp Sheet V4.1 (25th May 2000).mdb"</definedName>
    <definedName name="Account_Balance" localSheetId="2">#REF!</definedName>
    <definedName name="Account_Balance" localSheetId="1">#REF!</definedName>
    <definedName name="Account_Balance" localSheetId="3">#REF!</definedName>
    <definedName name="Account_Balance" localSheetId="5">#REF!</definedName>
    <definedName name="Account_Balance" localSheetId="6">#REF!</definedName>
    <definedName name="Account_Balance">#REF!</definedName>
    <definedName name="ACK" localSheetId="2">#REF!</definedName>
    <definedName name="ACK" localSheetId="1">#REF!</definedName>
    <definedName name="ACK" localSheetId="3">#REF!</definedName>
    <definedName name="ACK" localSheetId="5">#REF!</definedName>
    <definedName name="ACK" localSheetId="6">#REF!</definedName>
    <definedName name="ACK">#REF!</definedName>
    <definedName name="Active_currency" localSheetId="2">#REF!</definedName>
    <definedName name="Active_currency" localSheetId="1">#REF!</definedName>
    <definedName name="Active_currency" localSheetId="3">#REF!</definedName>
    <definedName name="Active_currency" localSheetId="5">#REF!</definedName>
    <definedName name="Active_currency" localSheetId="6">#REF!</definedName>
    <definedName name="Active_currency">#REF!</definedName>
    <definedName name="Active_currency_symbol" localSheetId="2">#REF!</definedName>
    <definedName name="Active_currency_symbol" localSheetId="1">#REF!</definedName>
    <definedName name="Active_currency_symbol" localSheetId="3">#REF!</definedName>
    <definedName name="Active_currency_symbol" localSheetId="5">#REF!</definedName>
    <definedName name="Active_currency_symbol" localSheetId="6">#REF!</definedName>
    <definedName name="Active_currency_symbol">#REF!</definedName>
    <definedName name="actual" localSheetId="2">#REF!</definedName>
    <definedName name="actual" localSheetId="1">#REF!</definedName>
    <definedName name="actual" localSheetId="3">#REF!</definedName>
    <definedName name="actual" localSheetId="5">#REF!</definedName>
    <definedName name="actual" localSheetId="6">#REF!</definedName>
    <definedName name="actual">#REF!</definedName>
    <definedName name="AddFormula" localSheetId="2">#REF!</definedName>
    <definedName name="AddFormula" localSheetId="1">#REF!</definedName>
    <definedName name="AddFormula" localSheetId="3">#REF!</definedName>
    <definedName name="AddFormula" localSheetId="5">#REF!</definedName>
    <definedName name="AddFormula" localSheetId="6">#REF!</definedName>
    <definedName name="AddFormula">#REF!</definedName>
    <definedName name="ADF" localSheetId="2">#REF!</definedName>
    <definedName name="ADF" localSheetId="1">#REF!</definedName>
    <definedName name="ADF" localSheetId="3">#REF!</definedName>
    <definedName name="ADF" localSheetId="5">#REF!</definedName>
    <definedName name="ADF" localSheetId="6">#REF!</definedName>
    <definedName name="ADF">#REF!</definedName>
    <definedName name="adfjasjddf" localSheetId="2">#REF!</definedName>
    <definedName name="adfjasjddf" localSheetId="1">#REF!</definedName>
    <definedName name="adfjasjddf" localSheetId="3">#REF!</definedName>
    <definedName name="adfjasjddf" localSheetId="5">#REF!</definedName>
    <definedName name="adfjasjddf" localSheetId="6">#REF!</definedName>
    <definedName name="adfjasjddf">#REF!</definedName>
    <definedName name="ADSF" localSheetId="2">#REF!</definedName>
    <definedName name="ADSF" localSheetId="1">#REF!</definedName>
    <definedName name="ADSF" localSheetId="3">#REF!</definedName>
    <definedName name="ADSF" localSheetId="5">#REF!</definedName>
    <definedName name="ADSF" localSheetId="6">#REF!</definedName>
    <definedName name="ADSF">#REF!</definedName>
    <definedName name="adsgag" localSheetId="2">#REF!</definedName>
    <definedName name="adsgag" localSheetId="1">#REF!</definedName>
    <definedName name="adsgag" localSheetId="3">#REF!</definedName>
    <definedName name="adsgag" localSheetId="5">#REF!</definedName>
    <definedName name="adsgag" localSheetId="6">#REF!</definedName>
    <definedName name="adsgag">#REF!</definedName>
    <definedName name="adsjhFAKHF" localSheetId="2">#REF!</definedName>
    <definedName name="adsjhFAKHF" localSheetId="1">#REF!</definedName>
    <definedName name="adsjhFAKHF" localSheetId="3">#REF!</definedName>
    <definedName name="adsjhFAKHF" localSheetId="5">#REF!</definedName>
    <definedName name="adsjhFAKHF" localSheetId="6">#REF!</definedName>
    <definedName name="adsjhFAKHF">#REF!</definedName>
    <definedName name="AdvOthers" localSheetId="2">#REF!</definedName>
    <definedName name="AdvOthers" localSheetId="1">#REF!</definedName>
    <definedName name="AdvOthers" localSheetId="3">#REF!</definedName>
    <definedName name="AdvOthers" localSheetId="5">#REF!</definedName>
    <definedName name="AdvOthers" localSheetId="6">#REF!</definedName>
    <definedName name="AdvOthers">#REF!</definedName>
    <definedName name="advtgcost" localSheetId="2">#REF!</definedName>
    <definedName name="advtgcost" localSheetId="1">#REF!</definedName>
    <definedName name="advtgcost" localSheetId="3">#REF!</definedName>
    <definedName name="advtgcost" localSheetId="5">#REF!</definedName>
    <definedName name="advtgcost" localSheetId="6">#REF!</definedName>
    <definedName name="advtgcost">#REF!</definedName>
    <definedName name="afafd" localSheetId="2">#REF!</definedName>
    <definedName name="afafd" localSheetId="1">#REF!</definedName>
    <definedName name="afafd" localSheetId="3">#REF!</definedName>
    <definedName name="afafd" localSheetId="5">#REF!</definedName>
    <definedName name="afafd" localSheetId="6">#REF!</definedName>
    <definedName name="afafd">#REF!</definedName>
    <definedName name="Afferguson" localSheetId="2">#REF!</definedName>
    <definedName name="Afferguson" localSheetId="1">#REF!</definedName>
    <definedName name="Afferguson" localSheetId="3">#REF!</definedName>
    <definedName name="Afferguson" localSheetId="5">#REF!</definedName>
    <definedName name="Afferguson" localSheetId="6">#REF!</definedName>
    <definedName name="Afferguson">#REF!</definedName>
    <definedName name="agpl_data_tb" localSheetId="2">#REF!</definedName>
    <definedName name="agpl_data_tb" localSheetId="1">#REF!</definedName>
    <definedName name="agpl_data_tb" localSheetId="3">#REF!</definedName>
    <definedName name="agpl_data_tb" localSheetId="5">#REF!</definedName>
    <definedName name="agpl_data_tb" localSheetId="6">#REF!</definedName>
    <definedName name="agpl_data_tb">#REF!</definedName>
    <definedName name="AGPL_TB" localSheetId="2">#REF!</definedName>
    <definedName name="AGPL_TB" localSheetId="1">#REF!</definedName>
    <definedName name="AGPL_TB" localSheetId="3">#REF!</definedName>
    <definedName name="AGPL_TB" localSheetId="5">#REF!</definedName>
    <definedName name="AGPL_TB" localSheetId="6">#REF!</definedName>
    <definedName name="AGPL_TB">#REF!</definedName>
    <definedName name="ALL" localSheetId="2">#REF!</definedName>
    <definedName name="ALL" localSheetId="1">#REF!</definedName>
    <definedName name="ALL" localSheetId="3">#REF!</definedName>
    <definedName name="ALL" localSheetId="5">#REF!</definedName>
    <definedName name="ALL" localSheetId="6">#REF!</definedName>
    <definedName name="ALL">#REF!</definedName>
    <definedName name="AllTables" localSheetId="2">{1}</definedName>
    <definedName name="AllTables" localSheetId="1">{1}</definedName>
    <definedName name="AllTables" localSheetId="3">{1}</definedName>
    <definedName name="AllTables" localSheetId="4">{1}</definedName>
    <definedName name="AllTables" localSheetId="5">{1}</definedName>
    <definedName name="AllTables" localSheetId="6">{1}</definedName>
    <definedName name="AllTables">{1}</definedName>
    <definedName name="Amortisationperiod" localSheetId="2">#REF!</definedName>
    <definedName name="Amortisationperiod" localSheetId="1">#REF!</definedName>
    <definedName name="Amortisationperiod" localSheetId="3">#REF!</definedName>
    <definedName name="Amortisationperiod" localSheetId="5">#REF!</definedName>
    <definedName name="Amortisationperiod" localSheetId="6">#REF!</definedName>
    <definedName name="Amortisationperiod">#REF!</definedName>
    <definedName name="AnnAvail" localSheetId="2">#REF!</definedName>
    <definedName name="AnnAvail" localSheetId="1">#REF!</definedName>
    <definedName name="AnnAvail" localSheetId="3">#REF!</definedName>
    <definedName name="AnnAvail" localSheetId="5">#REF!</definedName>
    <definedName name="AnnAvail" localSheetId="6">#REF!</definedName>
    <definedName name="AnnAvail">#REF!</definedName>
    <definedName name="annC" localSheetId="2">#REF!</definedName>
    <definedName name="annC" localSheetId="1">#REF!</definedName>
    <definedName name="annC" localSheetId="3">#REF!</definedName>
    <definedName name="annC" localSheetId="5">#REF!</definedName>
    <definedName name="annC" localSheetId="6">#REF!</definedName>
    <definedName name="annC">#REF!</definedName>
    <definedName name="AnnCapacity" localSheetId="2">#REF!</definedName>
    <definedName name="AnnCapacity" localSheetId="1">#REF!</definedName>
    <definedName name="AnnCapacity" localSheetId="3">#REF!</definedName>
    <definedName name="AnnCapacity" localSheetId="5">#REF!</definedName>
    <definedName name="AnnCapacity" localSheetId="6">#REF!</definedName>
    <definedName name="AnnCapacity">#REF!</definedName>
    <definedName name="annexA" localSheetId="2">#REF!</definedName>
    <definedName name="annexA" localSheetId="1">#REF!</definedName>
    <definedName name="annexA" localSheetId="3">#REF!</definedName>
    <definedName name="annexA" localSheetId="5">#REF!</definedName>
    <definedName name="annexA" localSheetId="6">#REF!</definedName>
    <definedName name="annexA">#REF!</definedName>
    <definedName name="annexB" localSheetId="2">#REF!</definedName>
    <definedName name="annexB" localSheetId="1">#REF!</definedName>
    <definedName name="annexB" localSheetId="3">#REF!</definedName>
    <definedName name="annexB" localSheetId="5">#REF!</definedName>
    <definedName name="annexB" localSheetId="6">#REF!</definedName>
    <definedName name="annexB">#REF!</definedName>
    <definedName name="annexC" localSheetId="2">#REF!</definedName>
    <definedName name="annexC" localSheetId="1">#REF!</definedName>
    <definedName name="annexC" localSheetId="3">#REF!</definedName>
    <definedName name="annexC" localSheetId="5">#REF!</definedName>
    <definedName name="annexC" localSheetId="6">#REF!</definedName>
    <definedName name="annexC">#REF!</definedName>
    <definedName name="Annexure2" localSheetId="2">#REF!</definedName>
    <definedName name="Annexure2" localSheetId="1">#REF!</definedName>
    <definedName name="Annexure2" localSheetId="3">#REF!</definedName>
    <definedName name="Annexure2" localSheetId="5">#REF!</definedName>
    <definedName name="Annexure2" localSheetId="6">#REF!</definedName>
    <definedName name="Annexure2">#REF!</definedName>
    <definedName name="annexurea" localSheetId="2">#REF!</definedName>
    <definedName name="annexurea" localSheetId="1">#REF!</definedName>
    <definedName name="annexurea" localSheetId="3">#REF!</definedName>
    <definedName name="annexurea" localSheetId="5">#REF!</definedName>
    <definedName name="annexurea" localSheetId="6">#REF!</definedName>
    <definedName name="annexurea">#REF!</definedName>
    <definedName name="annexureb" localSheetId="2">#REF!</definedName>
    <definedName name="annexureb" localSheetId="1">#REF!</definedName>
    <definedName name="annexureb" localSheetId="3">#REF!</definedName>
    <definedName name="annexureb" localSheetId="5">#REF!</definedName>
    <definedName name="annexureb" localSheetId="6">#REF!</definedName>
    <definedName name="annexureb">#REF!</definedName>
    <definedName name="annexureC" localSheetId="2">#REF!</definedName>
    <definedName name="annexureC" localSheetId="1">#REF!</definedName>
    <definedName name="annexureC" localSheetId="3">#REF!</definedName>
    <definedName name="annexureC" localSheetId="5">#REF!</definedName>
    <definedName name="annexureC" localSheetId="6">#REF!</definedName>
    <definedName name="annexureC">#REF!</definedName>
    <definedName name="AnnII" localSheetId="2">#REF!</definedName>
    <definedName name="AnnII" localSheetId="1">#REF!</definedName>
    <definedName name="AnnII" localSheetId="3">#REF!</definedName>
    <definedName name="AnnII" localSheetId="5">#REF!</definedName>
    <definedName name="AnnII" localSheetId="6">#REF!</definedName>
    <definedName name="AnnII">#REF!</definedName>
    <definedName name="AnnIIIa" localSheetId="2">#REF!</definedName>
    <definedName name="AnnIIIa" localSheetId="1">#REF!</definedName>
    <definedName name="AnnIIIa" localSheetId="3">#REF!</definedName>
    <definedName name="AnnIIIa" localSheetId="5">#REF!</definedName>
    <definedName name="AnnIIIa" localSheetId="6">#REF!</definedName>
    <definedName name="AnnIIIa">#REF!</definedName>
    <definedName name="AnnIIIb" localSheetId="2">#REF!</definedName>
    <definedName name="AnnIIIb" localSheetId="1">#REF!</definedName>
    <definedName name="AnnIIIb" localSheetId="3">#REF!</definedName>
    <definedName name="AnnIIIb" localSheetId="5">#REF!</definedName>
    <definedName name="AnnIIIb" localSheetId="6">#REF!</definedName>
    <definedName name="AnnIIIb">#REF!</definedName>
    <definedName name="AnnIIIc" localSheetId="2">#REF!</definedName>
    <definedName name="AnnIIIc" localSheetId="1">#REF!</definedName>
    <definedName name="AnnIIIc" localSheetId="3">#REF!</definedName>
    <definedName name="AnnIIIc" localSheetId="5">#REF!</definedName>
    <definedName name="AnnIIIc" localSheetId="6">#REF!</definedName>
    <definedName name="AnnIIIc">#REF!</definedName>
    <definedName name="AnnIVa" localSheetId="2">#REF!</definedName>
    <definedName name="AnnIVa" localSheetId="1">#REF!</definedName>
    <definedName name="AnnIVa" localSheetId="3">#REF!</definedName>
    <definedName name="AnnIVa" localSheetId="5">#REF!</definedName>
    <definedName name="AnnIVa" localSheetId="6">#REF!</definedName>
    <definedName name="AnnIVa">#REF!</definedName>
    <definedName name="AnnIVb" localSheetId="2">#REF!</definedName>
    <definedName name="AnnIVb" localSheetId="1">#REF!</definedName>
    <definedName name="AnnIVb" localSheetId="3">#REF!</definedName>
    <definedName name="AnnIVb" localSheetId="5">#REF!</definedName>
    <definedName name="AnnIVb" localSheetId="6">#REF!</definedName>
    <definedName name="AnnIVb">#REF!</definedName>
    <definedName name="AnnIXa" localSheetId="2">#REF!</definedName>
    <definedName name="AnnIXa" localSheetId="1">#REF!</definedName>
    <definedName name="AnnIXa" localSheetId="3">#REF!</definedName>
    <definedName name="AnnIXa" localSheetId="5">#REF!</definedName>
    <definedName name="AnnIXa" localSheetId="6">#REF!</definedName>
    <definedName name="AnnIXa">#REF!</definedName>
    <definedName name="AnnIXb" localSheetId="2">#REF!</definedName>
    <definedName name="AnnIXb" localSheetId="1">#REF!</definedName>
    <definedName name="AnnIXb" localSheetId="3">#REF!</definedName>
    <definedName name="AnnIXb" localSheetId="5">#REF!</definedName>
    <definedName name="AnnIXb" localSheetId="6">#REF!</definedName>
    <definedName name="AnnIXb">#REF!</definedName>
    <definedName name="AnnIXc" localSheetId="2">#REF!</definedName>
    <definedName name="AnnIXc" localSheetId="1">#REF!</definedName>
    <definedName name="AnnIXc" localSheetId="3">#REF!</definedName>
    <definedName name="AnnIXc" localSheetId="5">#REF!</definedName>
    <definedName name="AnnIXc" localSheetId="6">#REF!</definedName>
    <definedName name="AnnIXc">#REF!</definedName>
    <definedName name="AnnVI" localSheetId="2">#REF!</definedName>
    <definedName name="AnnVI" localSheetId="1">#REF!</definedName>
    <definedName name="AnnVI" localSheetId="3">#REF!</definedName>
    <definedName name="AnnVI" localSheetId="5">#REF!</definedName>
    <definedName name="AnnVI" localSheetId="6">#REF!</definedName>
    <definedName name="AnnVI">#REF!</definedName>
    <definedName name="AnnVIIa" localSheetId="2">#REF!</definedName>
    <definedName name="AnnVIIa" localSheetId="1">#REF!</definedName>
    <definedName name="AnnVIIa" localSheetId="3">#REF!</definedName>
    <definedName name="AnnVIIa" localSheetId="5">#REF!</definedName>
    <definedName name="AnnVIIa" localSheetId="6">#REF!</definedName>
    <definedName name="AnnVIIa">#REF!</definedName>
    <definedName name="AnnVIII" localSheetId="2">#REF!</definedName>
    <definedName name="AnnVIII" localSheetId="1">#REF!</definedName>
    <definedName name="AnnVIII" localSheetId="3">#REF!</definedName>
    <definedName name="AnnVIII" localSheetId="5">#REF!</definedName>
    <definedName name="AnnVIII" localSheetId="6">#REF!</definedName>
    <definedName name="AnnVIII">#REF!</definedName>
    <definedName name="AnnX" localSheetId="2">#REF!</definedName>
    <definedName name="AnnX" localSheetId="1">#REF!</definedName>
    <definedName name="AnnX" localSheetId="3">#REF!</definedName>
    <definedName name="AnnX" localSheetId="5">#REF!</definedName>
    <definedName name="AnnX" localSheetId="6">#REF!</definedName>
    <definedName name="AnnX">#REF!</definedName>
    <definedName name="annxA" localSheetId="2">#REF!</definedName>
    <definedName name="annxA" localSheetId="1">#REF!</definedName>
    <definedName name="annxA" localSheetId="3">#REF!</definedName>
    <definedName name="annxA" localSheetId="5">#REF!</definedName>
    <definedName name="annxA" localSheetId="6">#REF!</definedName>
    <definedName name="annxA">#REF!</definedName>
    <definedName name="annxB" localSheetId="2">#REF!</definedName>
    <definedName name="annxB" localSheetId="1">#REF!</definedName>
    <definedName name="annxB" localSheetId="3">#REF!</definedName>
    <definedName name="annxB" localSheetId="5">#REF!</definedName>
    <definedName name="annxB" localSheetId="6">#REF!</definedName>
    <definedName name="annxB">#REF!</definedName>
    <definedName name="annxC" localSheetId="2">#REF!</definedName>
    <definedName name="annxC" localSheetId="1">#REF!</definedName>
    <definedName name="annxC" localSheetId="3">#REF!</definedName>
    <definedName name="annxC" localSheetId="5">#REF!</definedName>
    <definedName name="annxC" localSheetId="6">#REF!</definedName>
    <definedName name="annxC">#REF!</definedName>
    <definedName name="annxE" localSheetId="2">#REF!</definedName>
    <definedName name="annxE" localSheetId="1">#REF!</definedName>
    <definedName name="annxE" localSheetId="3">#REF!</definedName>
    <definedName name="annxE" localSheetId="5">#REF!</definedName>
    <definedName name="annxE" localSheetId="6">#REF!</definedName>
    <definedName name="annxE">#REF!</definedName>
    <definedName name="AnnXI" localSheetId="2">#REF!</definedName>
    <definedName name="AnnXI" localSheetId="1">#REF!</definedName>
    <definedName name="AnnXI" localSheetId="3">#REF!</definedName>
    <definedName name="AnnXI" localSheetId="5">#REF!</definedName>
    <definedName name="AnnXI" localSheetId="6">#REF!</definedName>
    <definedName name="AnnXI">#REF!</definedName>
    <definedName name="AnnXIc" localSheetId="2">#REF!</definedName>
    <definedName name="AnnXIc" localSheetId="1">#REF!</definedName>
    <definedName name="AnnXIc" localSheetId="3">#REF!</definedName>
    <definedName name="AnnXIc" localSheetId="5">#REF!</definedName>
    <definedName name="AnnXIc" localSheetId="6">#REF!</definedName>
    <definedName name="AnnXIc">#REF!</definedName>
    <definedName name="AnnXIIb" localSheetId="2">#REF!</definedName>
    <definedName name="AnnXIIb" localSheetId="1">#REF!</definedName>
    <definedName name="AnnXIIb" localSheetId="3">#REF!</definedName>
    <definedName name="AnnXIIb" localSheetId="5">#REF!</definedName>
    <definedName name="AnnXIIb" localSheetId="6">#REF!</definedName>
    <definedName name="AnnXIIb">#REF!</definedName>
    <definedName name="AnnXIIc" localSheetId="2">#REF!</definedName>
    <definedName name="AnnXIIc" localSheetId="1">#REF!</definedName>
    <definedName name="AnnXIIc" localSheetId="3">#REF!</definedName>
    <definedName name="AnnXIIc" localSheetId="5">#REF!</definedName>
    <definedName name="AnnXIIc" localSheetId="6">#REF!</definedName>
    <definedName name="AnnXIIc">#REF!</definedName>
    <definedName name="AnnXIV" localSheetId="2">#REF!</definedName>
    <definedName name="AnnXIV" localSheetId="1">#REF!</definedName>
    <definedName name="AnnXIV" localSheetId="3">#REF!</definedName>
    <definedName name="AnnXIV" localSheetId="5">#REF!</definedName>
    <definedName name="AnnXIV" localSheetId="6">#REF!</definedName>
    <definedName name="AnnXIV">#REF!</definedName>
    <definedName name="AnnXV" localSheetId="2">#REF!</definedName>
    <definedName name="AnnXV" localSheetId="1">#REF!</definedName>
    <definedName name="AnnXV" localSheetId="3">#REF!</definedName>
    <definedName name="AnnXV" localSheetId="5">#REF!</definedName>
    <definedName name="AnnXV" localSheetId="6">#REF!</definedName>
    <definedName name="AnnXV">#REF!</definedName>
    <definedName name="AnnXVAFF" localSheetId="2">#REF!</definedName>
    <definedName name="AnnXVAFF" localSheetId="1">#REF!</definedName>
    <definedName name="AnnXVAFF" localSheetId="3">#REF!</definedName>
    <definedName name="AnnXVAFF" localSheetId="5">#REF!</definedName>
    <definedName name="AnnXVAFF" localSheetId="6">#REF!</definedName>
    <definedName name="AnnXVAFF">#REF!</definedName>
    <definedName name="AP" localSheetId="2">#REF!</definedName>
    <definedName name="AP" localSheetId="1">#REF!</definedName>
    <definedName name="AP" localSheetId="3">#REF!</definedName>
    <definedName name="AP" localSheetId="5">#REF!</definedName>
    <definedName name="AP" localSheetId="6">#REF!</definedName>
    <definedName name="AP">#REF!</definedName>
    <definedName name="Apr" localSheetId="2">#REF!</definedName>
    <definedName name="Apr" localSheetId="1">#REF!</definedName>
    <definedName name="Apr" localSheetId="3">#REF!</definedName>
    <definedName name="Apr" localSheetId="5">#REF!</definedName>
    <definedName name="Apr" localSheetId="6">#REF!</definedName>
    <definedName name="Apr">#REF!</definedName>
    <definedName name="APRDATA?" localSheetId="2">#REF!</definedName>
    <definedName name="APRDATA?" localSheetId="1">#REF!</definedName>
    <definedName name="APRDATA?" localSheetId="3">#REF!</definedName>
    <definedName name="APRDATA?" localSheetId="5">#REF!</definedName>
    <definedName name="APRDATA?" localSheetId="6">#REF!</definedName>
    <definedName name="APRDATA?">#REF!</definedName>
    <definedName name="ARA_Threshold" localSheetId="2">#REF!</definedName>
    <definedName name="ARA_Threshold" localSheetId="1">#REF!</definedName>
    <definedName name="ARA_Threshold" localSheetId="3">#REF!</definedName>
    <definedName name="ARA_Threshold" localSheetId="5">#REF!</definedName>
    <definedName name="ARA_Threshold" localSheetId="6">#REF!</definedName>
    <definedName name="ARA_Threshold">#REF!</definedName>
    <definedName name="Area" localSheetId="2">#REF!</definedName>
    <definedName name="Area" localSheetId="1">#REF!</definedName>
    <definedName name="Area" localSheetId="3">#REF!</definedName>
    <definedName name="Area" localSheetId="5">#REF!</definedName>
    <definedName name="Area" localSheetId="6">#REF!</definedName>
    <definedName name="Area">#REF!</definedName>
    <definedName name="area_avail_del_hoarding" localSheetId="2">#REF!</definedName>
    <definedName name="area_avail_del_hoarding" localSheetId="1">#REF!</definedName>
    <definedName name="area_avail_del_hoarding" localSheetId="3">#REF!</definedName>
    <definedName name="area_avail_del_hoarding" localSheetId="5">#REF!</definedName>
    <definedName name="area_avail_del_hoarding" localSheetId="6">#REF!</definedName>
    <definedName name="area_avail_del_hoarding">#REF!</definedName>
    <definedName name="area_avail_del_utility" localSheetId="2">#REF!</definedName>
    <definedName name="area_avail_del_utility" localSheetId="1">#REF!</definedName>
    <definedName name="area_avail_del_utility" localSheetId="3">#REF!</definedName>
    <definedName name="area_avail_del_utility" localSheetId="5">#REF!</definedName>
    <definedName name="area_avail_del_utility" localSheetId="6">#REF!</definedName>
    <definedName name="area_avail_del_utility">#REF!</definedName>
    <definedName name="area_avail_kol_mpillars" localSheetId="2">#REF!</definedName>
    <definedName name="area_avail_kol_mpillars" localSheetId="1">#REF!</definedName>
    <definedName name="area_avail_kol_mpillars" localSheetId="3">#REF!</definedName>
    <definedName name="area_avail_kol_mpillars" localSheetId="5">#REF!</definedName>
    <definedName name="area_avail_kol_mpillars" localSheetId="6">#REF!</definedName>
    <definedName name="area_avail_kol_mpillars">#REF!</definedName>
    <definedName name="area_available_mum_bqs" localSheetId="2">#REF!</definedName>
    <definedName name="area_available_mum_bqs" localSheetId="1">#REF!</definedName>
    <definedName name="area_available_mum_bqs" localSheetId="3">#REF!</definedName>
    <definedName name="area_available_mum_bqs" localSheetId="5">#REF!</definedName>
    <definedName name="area_available_mum_bqs" localSheetId="6">#REF!</definedName>
    <definedName name="area_available_mum_bqs">#REF!</definedName>
    <definedName name="area_available_mum_hoarding" localSheetId="2">#REF!</definedName>
    <definedName name="area_available_mum_hoarding" localSheetId="1">#REF!</definedName>
    <definedName name="area_available_mum_hoarding" localSheetId="3">#REF!</definedName>
    <definedName name="area_available_mum_hoarding" localSheetId="5">#REF!</definedName>
    <definedName name="area_available_mum_hoarding" localSheetId="6">#REF!</definedName>
    <definedName name="area_available_mum_hoarding">#REF!</definedName>
    <definedName name="area_available_mum_kiosk" localSheetId="2">#REF!</definedName>
    <definedName name="area_available_mum_kiosk" localSheetId="1">#REF!</definedName>
    <definedName name="area_available_mum_kiosk" localSheetId="3">#REF!</definedName>
    <definedName name="area_available_mum_kiosk" localSheetId="5">#REF!</definedName>
    <definedName name="area_available_mum_kiosk" localSheetId="6">#REF!</definedName>
    <definedName name="area_available_mum_kiosk">#REF!</definedName>
    <definedName name="area_available_mum_utility" localSheetId="2">#REF!</definedName>
    <definedName name="area_available_mum_utility" localSheetId="1">#REF!</definedName>
    <definedName name="area_available_mum_utility" localSheetId="3">#REF!</definedName>
    <definedName name="area_available_mum_utility" localSheetId="5">#REF!</definedName>
    <definedName name="area_available_mum_utility" localSheetId="6">#REF!</definedName>
    <definedName name="area_available_mum_utility">#REF!</definedName>
    <definedName name="area_available_new_r1" localSheetId="2">#REF!</definedName>
    <definedName name="area_available_new_r1" localSheetId="1">#REF!</definedName>
    <definedName name="area_available_new_r1" localSheetId="3">#REF!</definedName>
    <definedName name="area_available_new_r1" localSheetId="5">#REF!</definedName>
    <definedName name="area_available_new_r1" localSheetId="6">#REF!</definedName>
    <definedName name="area_available_new_r1">#REF!</definedName>
    <definedName name="area_available_new_s1" localSheetId="2">#REF!</definedName>
    <definedName name="area_available_new_s1" localSheetId="1">#REF!</definedName>
    <definedName name="area_available_new_s1" localSheetId="3">#REF!</definedName>
    <definedName name="area_available_new_s1" localSheetId="5">#REF!</definedName>
    <definedName name="area_available_new_s1" localSheetId="6">#REF!</definedName>
    <definedName name="area_available_new_s1">#REF!</definedName>
    <definedName name="area_available_new_s2" localSheetId="2">#REF!</definedName>
    <definedName name="area_available_new_s2" localSheetId="1">#REF!</definedName>
    <definedName name="area_available_new_s2" localSheetId="3">#REF!</definedName>
    <definedName name="area_available_new_s2" localSheetId="5">#REF!</definedName>
    <definedName name="area_available_new_s2" localSheetId="6">#REF!</definedName>
    <definedName name="area_available_new_s2">#REF!</definedName>
    <definedName name="area_available_new_sf1" localSheetId="2">#REF!</definedName>
    <definedName name="area_available_new_sf1" localSheetId="1">#REF!</definedName>
    <definedName name="area_available_new_sf1" localSheetId="3">#REF!</definedName>
    <definedName name="area_available_new_sf1" localSheetId="5">#REF!</definedName>
    <definedName name="area_available_new_sf1" localSheetId="6">#REF!</definedName>
    <definedName name="area_available_new_sf1">#REF!</definedName>
    <definedName name="area_available_new_sf2" localSheetId="2">#REF!</definedName>
    <definedName name="area_available_new_sf2" localSheetId="1">#REF!</definedName>
    <definedName name="area_available_new_sf2" localSheetId="3">#REF!</definedName>
    <definedName name="area_available_new_sf2" localSheetId="5">#REF!</definedName>
    <definedName name="area_available_new_sf2" localSheetId="6">#REF!</definedName>
    <definedName name="area_available_new_sf2">#REF!</definedName>
    <definedName name="area_available_new_sf3" localSheetId="2">#REF!</definedName>
    <definedName name="area_available_new_sf3" localSheetId="1">#REF!</definedName>
    <definedName name="area_available_new_sf3" localSheetId="3">#REF!</definedName>
    <definedName name="area_available_new_sf3" localSheetId="5">#REF!</definedName>
    <definedName name="area_available_new_sf3" localSheetId="6">#REF!</definedName>
    <definedName name="area_available_new_sf3">#REF!</definedName>
    <definedName name="area_sold_del_bqs" localSheetId="2">#REF!</definedName>
    <definedName name="area_sold_del_bqs" localSheetId="1">#REF!</definedName>
    <definedName name="area_sold_del_bqs" localSheetId="3">#REF!</definedName>
    <definedName name="area_sold_del_bqs" localSheetId="5">#REF!</definedName>
    <definedName name="area_sold_del_bqs" localSheetId="6">#REF!</definedName>
    <definedName name="area_sold_del_bqs">#REF!</definedName>
    <definedName name="area_sold_del_dmrc1_bridgepanel" localSheetId="2">#REF!</definedName>
    <definedName name="area_sold_del_dmrc1_bridgepanel" localSheetId="1">#REF!</definedName>
    <definedName name="area_sold_del_dmrc1_bridgepanel" localSheetId="3">#REF!</definedName>
    <definedName name="area_sold_del_dmrc1_bridgepanel" localSheetId="5">#REF!</definedName>
    <definedName name="area_sold_del_dmrc1_bridgepanel" localSheetId="6">#REF!</definedName>
    <definedName name="area_sold_del_dmrc1_bridgepanel">#REF!</definedName>
    <definedName name="area_sold_del_dmrc1_hoarding" localSheetId="2">#REF!</definedName>
    <definedName name="area_sold_del_dmrc1_hoarding" localSheetId="1">#REF!</definedName>
    <definedName name="area_sold_del_dmrc1_hoarding" localSheetId="3">#REF!</definedName>
    <definedName name="area_sold_del_dmrc1_hoarding" localSheetId="5">#REF!</definedName>
    <definedName name="area_sold_del_dmrc1_hoarding" localSheetId="6">#REF!</definedName>
    <definedName name="area_sold_del_dmrc1_hoarding">#REF!</definedName>
    <definedName name="area_sold_del_dmrc1_mpillars" localSheetId="2">#REF!</definedName>
    <definedName name="area_sold_del_dmrc1_mpillars" localSheetId="1">#REF!</definedName>
    <definedName name="area_sold_del_dmrc1_mpillars" localSheetId="3">#REF!</definedName>
    <definedName name="area_sold_del_dmrc1_mpillars" localSheetId="5">#REF!</definedName>
    <definedName name="area_sold_del_dmrc1_mpillars" localSheetId="6">#REF!</definedName>
    <definedName name="area_sold_del_dmrc1_mpillars">#REF!</definedName>
    <definedName name="area_sold_del_dmrc2_bridgepanel" localSheetId="2">#REF!</definedName>
    <definedName name="area_sold_del_dmrc2_bridgepanel" localSheetId="1">#REF!</definedName>
    <definedName name="area_sold_del_dmrc2_bridgepanel" localSheetId="3">#REF!</definedName>
    <definedName name="area_sold_del_dmrc2_bridgepanel" localSheetId="5">#REF!</definedName>
    <definedName name="area_sold_del_dmrc2_bridgepanel" localSheetId="6">#REF!</definedName>
    <definedName name="area_sold_del_dmrc2_bridgepanel">#REF!</definedName>
    <definedName name="area_sold_del_dmrc2_hoarding" localSheetId="2">#REF!</definedName>
    <definedName name="area_sold_del_dmrc2_hoarding" localSheetId="1">#REF!</definedName>
    <definedName name="area_sold_del_dmrc2_hoarding" localSheetId="3">#REF!</definedName>
    <definedName name="area_sold_del_dmrc2_hoarding" localSheetId="5">#REF!</definedName>
    <definedName name="area_sold_del_dmrc2_hoarding" localSheetId="6">#REF!</definedName>
    <definedName name="area_sold_del_dmrc2_hoarding">#REF!</definedName>
    <definedName name="area_sold_del_dmrc3_mpillars" localSheetId="2">#REF!</definedName>
    <definedName name="area_sold_del_dmrc3_mpillars" localSheetId="1">#REF!</definedName>
    <definedName name="area_sold_del_dmrc3_mpillars" localSheetId="3">#REF!</definedName>
    <definedName name="area_sold_del_dmrc3_mpillars" localSheetId="5">#REF!</definedName>
    <definedName name="area_sold_del_dmrc3_mpillars" localSheetId="6">#REF!</definedName>
    <definedName name="area_sold_del_dmrc3_mpillars">#REF!</definedName>
    <definedName name="area_sold_del_dmrc4_mpillars" localSheetId="2">#REF!</definedName>
    <definedName name="area_sold_del_dmrc4_mpillars" localSheetId="1">#REF!</definedName>
    <definedName name="area_sold_del_dmrc4_mpillars" localSheetId="3">#REF!</definedName>
    <definedName name="area_sold_del_dmrc4_mpillars" localSheetId="5">#REF!</definedName>
    <definedName name="area_sold_del_dmrc4_mpillars" localSheetId="6">#REF!</definedName>
    <definedName name="area_sold_del_dmrc4_mpillars">#REF!</definedName>
    <definedName name="area_sold_del_hoarding" localSheetId="2">#REF!</definedName>
    <definedName name="area_sold_del_hoarding" localSheetId="1">#REF!</definedName>
    <definedName name="area_sold_del_hoarding" localSheetId="3">#REF!</definedName>
    <definedName name="area_sold_del_hoarding" localSheetId="5">#REF!</definedName>
    <definedName name="area_sold_del_hoarding" localSheetId="6">#REF!</definedName>
    <definedName name="area_sold_del_hoarding">#REF!</definedName>
    <definedName name="area_sold_del_mcd1_hoarding" localSheetId="2">#REF!</definedName>
    <definedName name="area_sold_del_mcd1_hoarding" localSheetId="1">#REF!</definedName>
    <definedName name="area_sold_del_mcd1_hoarding" localSheetId="3">#REF!</definedName>
    <definedName name="area_sold_del_mcd1_hoarding" localSheetId="5">#REF!</definedName>
    <definedName name="area_sold_del_mcd1_hoarding" localSheetId="6">#REF!</definedName>
    <definedName name="area_sold_del_mcd1_hoarding">#REF!</definedName>
    <definedName name="area_sold_del_mcd2_kiosk" localSheetId="2">#REF!</definedName>
    <definedName name="area_sold_del_mcd2_kiosk" localSheetId="1">#REF!</definedName>
    <definedName name="area_sold_del_mcd2_kiosk" localSheetId="3">#REF!</definedName>
    <definedName name="area_sold_del_mcd2_kiosk" localSheetId="5">#REF!</definedName>
    <definedName name="area_sold_del_mcd2_kiosk" localSheetId="6">#REF!</definedName>
    <definedName name="area_sold_del_mcd2_kiosk">#REF!</definedName>
    <definedName name="area_sold_del_mcd3_hoarding" localSheetId="2">#REF!</definedName>
    <definedName name="area_sold_del_mcd3_hoarding" localSheetId="1">#REF!</definedName>
    <definedName name="area_sold_del_mcd3_hoarding" localSheetId="3">#REF!</definedName>
    <definedName name="area_sold_del_mcd3_hoarding" localSheetId="5">#REF!</definedName>
    <definedName name="area_sold_del_mcd3_hoarding" localSheetId="6">#REF!</definedName>
    <definedName name="area_sold_del_mcd3_hoarding">#REF!</definedName>
    <definedName name="area_sold_del_mcd4_hoarding" localSheetId="2">#REF!</definedName>
    <definedName name="area_sold_del_mcd4_hoarding" localSheetId="1">#REF!</definedName>
    <definedName name="area_sold_del_mcd4_hoarding" localSheetId="3">#REF!</definedName>
    <definedName name="area_sold_del_mcd4_hoarding" localSheetId="5">#REF!</definedName>
    <definedName name="area_sold_del_mcd4_hoarding" localSheetId="6">#REF!</definedName>
    <definedName name="area_sold_del_mcd4_hoarding">#REF!</definedName>
    <definedName name="area_sold_del_mcd5_hoarding" localSheetId="2">#REF!</definedName>
    <definedName name="area_sold_del_mcd5_hoarding" localSheetId="1">#REF!</definedName>
    <definedName name="area_sold_del_mcd5_hoarding" localSheetId="3">#REF!</definedName>
    <definedName name="area_sold_del_mcd5_hoarding" localSheetId="5">#REF!</definedName>
    <definedName name="area_sold_del_mcd5_hoarding" localSheetId="6">#REF!</definedName>
    <definedName name="area_sold_del_mcd5_hoarding">#REF!</definedName>
    <definedName name="area_sold_del_nrdd_bridgepanel" localSheetId="2">#REF!</definedName>
    <definedName name="area_sold_del_nrdd_bridgepanel" localSheetId="1">#REF!</definedName>
    <definedName name="area_sold_del_nrdd_bridgepanel" localSheetId="3">#REF!</definedName>
    <definedName name="area_sold_del_nrdd_bridgepanel" localSheetId="5">#REF!</definedName>
    <definedName name="area_sold_del_nrdd_bridgepanel" localSheetId="6">#REF!</definedName>
    <definedName name="area_sold_del_nrdd_bridgepanel">#REF!</definedName>
    <definedName name="area_sold_del_nrdd_hoarding" localSheetId="2">#REF!</definedName>
    <definedName name="area_sold_del_nrdd_hoarding" localSheetId="1">#REF!</definedName>
    <definedName name="area_sold_del_nrdd_hoarding" localSheetId="3">#REF!</definedName>
    <definedName name="area_sold_del_nrdd_hoarding" localSheetId="5">#REF!</definedName>
    <definedName name="area_sold_del_nrdd_hoarding" localSheetId="6">#REF!</definedName>
    <definedName name="area_sold_del_nrdd_hoarding">#REF!</definedName>
    <definedName name="area_sold_del_nrdd_utility" localSheetId="2">#REF!</definedName>
    <definedName name="area_sold_del_nrdd_utility" localSheetId="1">#REF!</definedName>
    <definedName name="area_sold_del_nrdd_utility" localSheetId="3">#REF!</definedName>
    <definedName name="area_sold_del_nrdd_utility" localSheetId="5">#REF!</definedName>
    <definedName name="area_sold_del_nrdd_utility" localSheetId="6">#REF!</definedName>
    <definedName name="area_sold_del_nrdd_utility">#REF!</definedName>
    <definedName name="area_sold_del_utility" localSheetId="2">#REF!</definedName>
    <definedName name="area_sold_del_utility" localSheetId="1">#REF!</definedName>
    <definedName name="area_sold_del_utility" localSheetId="3">#REF!</definedName>
    <definedName name="area_sold_del_utility" localSheetId="5">#REF!</definedName>
    <definedName name="area_sold_del_utility" localSheetId="6">#REF!</definedName>
    <definedName name="area_sold_del_utility">#REF!</definedName>
    <definedName name="area_sold_kol_bqs" localSheetId="2">#REF!</definedName>
    <definedName name="area_sold_kol_bqs" localSheetId="1">#REF!</definedName>
    <definedName name="area_sold_kol_bqs" localSheetId="3">#REF!</definedName>
    <definedName name="area_sold_kol_bqs" localSheetId="5">#REF!</definedName>
    <definedName name="area_sold_kol_bqs" localSheetId="6">#REF!</definedName>
    <definedName name="area_sold_kol_bqs">#REF!</definedName>
    <definedName name="area_sold_kol_bridgepanel" localSheetId="2">#REF!</definedName>
    <definedName name="area_sold_kol_bridgepanel" localSheetId="1">#REF!</definedName>
    <definedName name="area_sold_kol_bridgepanel" localSheetId="3">#REF!</definedName>
    <definedName name="area_sold_kol_bridgepanel" localSheetId="5">#REF!</definedName>
    <definedName name="area_sold_kol_bridgepanel" localSheetId="6">#REF!</definedName>
    <definedName name="area_sold_kol_bridgepanel">#REF!</definedName>
    <definedName name="area_sold_kol_hoarding" localSheetId="2">#REF!</definedName>
    <definedName name="area_sold_kol_hoarding" localSheetId="1">#REF!</definedName>
    <definedName name="area_sold_kol_hoarding" localSheetId="3">#REF!</definedName>
    <definedName name="area_sold_kol_hoarding" localSheetId="5">#REF!</definedName>
    <definedName name="area_sold_kol_hoarding" localSheetId="6">#REF!</definedName>
    <definedName name="area_sold_kol_hoarding">#REF!</definedName>
    <definedName name="area_sold_kol_kiosk" localSheetId="2">#REF!</definedName>
    <definedName name="area_sold_kol_kiosk" localSheetId="1">#REF!</definedName>
    <definedName name="area_sold_kol_kiosk" localSheetId="3">#REF!</definedName>
    <definedName name="area_sold_kol_kiosk" localSheetId="5">#REF!</definedName>
    <definedName name="area_sold_kol_kiosk" localSheetId="6">#REF!</definedName>
    <definedName name="area_sold_kol_kiosk">#REF!</definedName>
    <definedName name="area_sold_kol_mpillars" localSheetId="2">#REF!</definedName>
    <definedName name="area_sold_kol_mpillars" localSheetId="1">#REF!</definedName>
    <definedName name="area_sold_kol_mpillars" localSheetId="3">#REF!</definedName>
    <definedName name="area_sold_kol_mpillars" localSheetId="5">#REF!</definedName>
    <definedName name="area_sold_kol_mpillars" localSheetId="6">#REF!</definedName>
    <definedName name="area_sold_kol_mpillars">#REF!</definedName>
    <definedName name="area_sold_kol_pillarwrap" localSheetId="2">#REF!</definedName>
    <definedName name="area_sold_kol_pillarwrap" localSheetId="1">#REF!</definedName>
    <definedName name="area_sold_kol_pillarwrap" localSheetId="3">#REF!</definedName>
    <definedName name="area_sold_kol_pillarwrap" localSheetId="5">#REF!</definedName>
    <definedName name="area_sold_kol_pillarwrap" localSheetId="6">#REF!</definedName>
    <definedName name="area_sold_kol_pillarwrap">#REF!</definedName>
    <definedName name="area_sold_kol_ts" localSheetId="2">#REF!</definedName>
    <definedName name="area_sold_kol_ts" localSheetId="1">#REF!</definedName>
    <definedName name="area_sold_kol_ts" localSheetId="3">#REF!</definedName>
    <definedName name="area_sold_kol_ts" localSheetId="5">#REF!</definedName>
    <definedName name="area_sold_kol_ts" localSheetId="6">#REF!</definedName>
    <definedName name="area_sold_kol_ts">#REF!</definedName>
    <definedName name="area_sold_mum_bestbus" localSheetId="2">#REF!</definedName>
    <definedName name="area_sold_mum_bestbus" localSheetId="1">#REF!</definedName>
    <definedName name="area_sold_mum_bestbus" localSheetId="3">#REF!</definedName>
    <definedName name="area_sold_mum_bestbus" localSheetId="5">#REF!</definedName>
    <definedName name="area_sold_mum_bestbus" localSheetId="6">#REF!</definedName>
    <definedName name="area_sold_mum_bestbus">#REF!</definedName>
    <definedName name="area_sold_mum_bqs" localSheetId="2">#REF!</definedName>
    <definedName name="area_sold_mum_bqs" localSheetId="1">#REF!</definedName>
    <definedName name="area_sold_mum_bqs" localSheetId="3">#REF!</definedName>
    <definedName name="area_sold_mum_bqs" localSheetId="5">#REF!</definedName>
    <definedName name="area_sold_mum_bqs" localSheetId="6">#REF!</definedName>
    <definedName name="area_sold_mum_bqs">#REF!</definedName>
    <definedName name="area_sold_mum_hoarding" localSheetId="2">#REF!</definedName>
    <definedName name="area_sold_mum_hoarding" localSheetId="1">#REF!</definedName>
    <definedName name="area_sold_mum_hoarding" localSheetId="3">#REF!</definedName>
    <definedName name="area_sold_mum_hoarding" localSheetId="5">#REF!</definedName>
    <definedName name="area_sold_mum_hoarding" localSheetId="6">#REF!</definedName>
    <definedName name="area_sold_mum_hoarding">#REF!</definedName>
    <definedName name="area_sold_mum_kiosk" localSheetId="2">#REF!</definedName>
    <definedName name="area_sold_mum_kiosk" localSheetId="1">#REF!</definedName>
    <definedName name="area_sold_mum_kiosk" localSheetId="3">#REF!</definedName>
    <definedName name="area_sold_mum_kiosk" localSheetId="5">#REF!</definedName>
    <definedName name="area_sold_mum_kiosk" localSheetId="6">#REF!</definedName>
    <definedName name="area_sold_mum_kiosk">#REF!</definedName>
    <definedName name="area_sold_mum_utility" localSheetId="2">#REF!</definedName>
    <definedName name="area_sold_mum_utility" localSheetId="1">#REF!</definedName>
    <definedName name="area_sold_mum_utility" localSheetId="3">#REF!</definedName>
    <definedName name="area_sold_mum_utility" localSheetId="5">#REF!</definedName>
    <definedName name="area_sold_mum_utility" localSheetId="6">#REF!</definedName>
    <definedName name="area_sold_mum_utility">#REF!</definedName>
    <definedName name="area_sold_pun_bqs" localSheetId="2">#REF!</definedName>
    <definedName name="area_sold_pun_bqs" localSheetId="1">#REF!</definedName>
    <definedName name="area_sold_pun_bqs" localSheetId="3">#REF!</definedName>
    <definedName name="area_sold_pun_bqs" localSheetId="5">#REF!</definedName>
    <definedName name="area_sold_pun_bqs" localSheetId="6">#REF!</definedName>
    <definedName name="area_sold_pun_bqs">#REF!</definedName>
    <definedName name="area_sold_pun_hoarding" localSheetId="2">#REF!</definedName>
    <definedName name="area_sold_pun_hoarding" localSheetId="1">#REF!</definedName>
    <definedName name="area_sold_pun_hoarding" localSheetId="3">#REF!</definedName>
    <definedName name="area_sold_pun_hoarding" localSheetId="5">#REF!</definedName>
    <definedName name="area_sold_pun_hoarding" localSheetId="6">#REF!</definedName>
    <definedName name="area_sold_pun_hoarding">#REF!</definedName>
    <definedName name="area_sold_pun_kiosk" localSheetId="2">#REF!</definedName>
    <definedName name="area_sold_pun_kiosk" localSheetId="1">#REF!</definedName>
    <definedName name="area_sold_pun_kiosk" localSheetId="3">#REF!</definedName>
    <definedName name="area_sold_pun_kiosk" localSheetId="5">#REF!</definedName>
    <definedName name="area_sold_pun_kiosk" localSheetId="6">#REF!</definedName>
    <definedName name="area_sold_pun_kiosk">#REF!</definedName>
    <definedName name="area_sold_pun_utility" localSheetId="2">#REF!</definedName>
    <definedName name="area_sold_pun_utility" localSheetId="1">#REF!</definedName>
    <definedName name="area_sold_pun_utility" localSheetId="3">#REF!</definedName>
    <definedName name="area_sold_pun_utility" localSheetId="5">#REF!</definedName>
    <definedName name="area_sold_pun_utility" localSheetId="6">#REF!</definedName>
    <definedName name="area_sold_pun_utility">#REF!</definedName>
    <definedName name="areais" localSheetId="2">#REF!</definedName>
    <definedName name="areais" localSheetId="1">#REF!</definedName>
    <definedName name="areais" localSheetId="3">#REF!</definedName>
    <definedName name="areais" localSheetId="5">#REF!</definedName>
    <definedName name="areais" localSheetId="6">#REF!</definedName>
    <definedName name="areais">#REF!</definedName>
    <definedName name="areamcn" localSheetId="2">#REF!</definedName>
    <definedName name="areamcn" localSheetId="1">#REF!</definedName>
    <definedName name="areamcn" localSheetId="3">#REF!</definedName>
    <definedName name="areamcn" localSheetId="5">#REF!</definedName>
    <definedName name="areamcn" localSheetId="6">#REF!</definedName>
    <definedName name="areamcn">#REF!</definedName>
    <definedName name="areaotherpoi" localSheetId="2">#REF!</definedName>
    <definedName name="areaotherpoi" localSheetId="1">#REF!</definedName>
    <definedName name="areaotherpoi" localSheetId="3">#REF!</definedName>
    <definedName name="areaotherpoi" localSheetId="5">#REF!</definedName>
    <definedName name="areaotherpoi" localSheetId="6">#REF!</definedName>
    <definedName name="areaotherpoi">#REF!</definedName>
    <definedName name="ARP_Threshold" localSheetId="2">#REF!</definedName>
    <definedName name="ARP_Threshold" localSheetId="1">#REF!</definedName>
    <definedName name="ARP_Threshold" localSheetId="3">#REF!</definedName>
    <definedName name="ARP_Threshold" localSheetId="5">#REF!</definedName>
    <definedName name="ARP_Threshold" localSheetId="6">#REF!</definedName>
    <definedName name="ARP_Threshold">#REF!</definedName>
    <definedName name="AS2DocOpenMode">"AS2DocumentEdit"</definedName>
    <definedName name="AS2NamedRange">16</definedName>
    <definedName name="AS2ReportLS">1</definedName>
    <definedName name="AS2StaticLS" localSheetId="2" hidden="1">#REF!</definedName>
    <definedName name="AS2StaticLS" localSheetId="1" hidden="1">#REF!</definedName>
    <definedName name="AS2StaticLS" localSheetId="3" hidden="1">#REF!</definedName>
    <definedName name="AS2StaticLS" localSheetId="5" hidden="1">#REF!</definedName>
    <definedName name="AS2StaticLS" localSheetId="6" hidden="1">#REF!</definedName>
    <definedName name="AS2StaticLS" hidden="1">#REF!</definedName>
    <definedName name="AS2SyncStepLS">0</definedName>
    <definedName name="AS2TickmarkLS" localSheetId="2" hidden="1">#REF!</definedName>
    <definedName name="AS2TickmarkLS" localSheetId="1" hidden="1">#REF!</definedName>
    <definedName name="AS2TickmarkLS" localSheetId="3" hidden="1">#REF!</definedName>
    <definedName name="AS2TickmarkLS" localSheetId="5" hidden="1">#REF!</definedName>
    <definedName name="AS2TickmarkLS" localSheetId="6" hidden="1">#REF!</definedName>
    <definedName name="AS2TickmarkLS" hidden="1">#REF!</definedName>
    <definedName name="AS2VersionLS">300</definedName>
    <definedName name="asdafd" localSheetId="2">#REF!</definedName>
    <definedName name="asdafd" localSheetId="1">#REF!</definedName>
    <definedName name="asdafd" localSheetId="3">#REF!</definedName>
    <definedName name="asdafd" localSheetId="5">#REF!</definedName>
    <definedName name="asdafd" localSheetId="6">#REF!</definedName>
    <definedName name="asdafd">#REF!</definedName>
    <definedName name="asdf" localSheetId="2">#REF!</definedName>
    <definedName name="asdf" localSheetId="1">#REF!</definedName>
    <definedName name="asdf" localSheetId="3">#REF!</definedName>
    <definedName name="asdf" localSheetId="5">#REF!</definedName>
    <definedName name="asdf" localSheetId="6">#REF!</definedName>
    <definedName name="asdf">#REF!</definedName>
    <definedName name="asdgasg" localSheetId="2">#REF!</definedName>
    <definedName name="asdgasg" localSheetId="1">#REF!</definedName>
    <definedName name="asdgasg" localSheetId="3">#REF!</definedName>
    <definedName name="asdgasg" localSheetId="5">#REF!</definedName>
    <definedName name="asdgasg" localSheetId="6">#REF!</definedName>
    <definedName name="asdgasg">#REF!</definedName>
    <definedName name="asf" localSheetId="2">#REF!</definedName>
    <definedName name="asf" localSheetId="1">#REF!</definedName>
    <definedName name="asf" localSheetId="3">#REF!</definedName>
    <definedName name="asf" localSheetId="5">#REF!</definedName>
    <definedName name="asf" localSheetId="6">#REF!</definedName>
    <definedName name="asf">#REF!</definedName>
    <definedName name="asfdadf" localSheetId="2">#REF!</definedName>
    <definedName name="asfdadf" localSheetId="1">#REF!</definedName>
    <definedName name="asfdadf" localSheetId="3">#REF!</definedName>
    <definedName name="asfdadf" localSheetId="5">#REF!</definedName>
    <definedName name="asfdadf" localSheetId="6">#REF!</definedName>
    <definedName name="asfdadf">#REF!</definedName>
    <definedName name="ASIA_PLASTIC_in_KUSD" localSheetId="2">#REF!</definedName>
    <definedName name="ASIA_PLASTIC_in_KUSD" localSheetId="1">#REF!</definedName>
    <definedName name="ASIA_PLASTIC_in_KUSD" localSheetId="3">#REF!</definedName>
    <definedName name="ASIA_PLASTIC_in_KUSD" localSheetId="5">#REF!</definedName>
    <definedName name="ASIA_PLASTIC_in_KUSD" localSheetId="6">#REF!</definedName>
    <definedName name="ASIA_PLASTIC_in_KUSD">#REF!</definedName>
    <definedName name="AsstYr" localSheetId="2">#REF!</definedName>
    <definedName name="AsstYr" localSheetId="1">#REF!</definedName>
    <definedName name="AsstYr" localSheetId="3">#REF!</definedName>
    <definedName name="AsstYr" localSheetId="5">#REF!</definedName>
    <definedName name="AsstYr" localSheetId="6">#REF!</definedName>
    <definedName name="AsstYr">#REF!</definedName>
    <definedName name="assump" localSheetId="2">#REF!</definedName>
    <definedName name="assump" localSheetId="1">#REF!</definedName>
    <definedName name="assump" localSheetId="3">#REF!</definedName>
    <definedName name="assump" localSheetId="5">#REF!</definedName>
    <definedName name="assump" localSheetId="6">#REF!</definedName>
    <definedName name="assump">#REF!</definedName>
    <definedName name="Aug" localSheetId="2">#REF!</definedName>
    <definedName name="Aug" localSheetId="1">#REF!</definedName>
    <definedName name="Aug" localSheetId="3">#REF!</definedName>
    <definedName name="Aug" localSheetId="5">#REF!</definedName>
    <definedName name="Aug" localSheetId="6">#REF!</definedName>
    <definedName name="Aug">#REF!</definedName>
    <definedName name="AUGDATA?" localSheetId="2">#REF!</definedName>
    <definedName name="AUGDATA?" localSheetId="1">#REF!</definedName>
    <definedName name="AUGDATA?" localSheetId="3">#REF!</definedName>
    <definedName name="AUGDATA?" localSheetId="5">#REF!</definedName>
    <definedName name="AUGDATA?" localSheetId="6">#REF!</definedName>
    <definedName name="AUGDATA?">#REF!</definedName>
    <definedName name="AUTOPRINT_1" localSheetId="2">#REF!</definedName>
    <definedName name="AUTOPRINT_1" localSheetId="1">#REF!</definedName>
    <definedName name="AUTOPRINT_1" localSheetId="3">#REF!</definedName>
    <definedName name="AUTOPRINT_1" localSheetId="5">#REF!</definedName>
    <definedName name="AUTOPRINT_1" localSheetId="6">#REF!</definedName>
    <definedName name="AUTOPRINT_1">#REF!</definedName>
    <definedName name="AUTOPRINT_2" localSheetId="2">#REF!</definedName>
    <definedName name="AUTOPRINT_2" localSheetId="1">#REF!</definedName>
    <definedName name="AUTOPRINT_2" localSheetId="3">#REF!</definedName>
    <definedName name="AUTOPRINT_2" localSheetId="5">#REF!</definedName>
    <definedName name="AUTOPRINT_2" localSheetId="6">#REF!</definedName>
    <definedName name="AUTOPRINT_2">#REF!</definedName>
    <definedName name="axedoc" localSheetId="2">#REF!</definedName>
    <definedName name="axedoc" localSheetId="1">#REF!</definedName>
    <definedName name="axedoc" localSheetId="3">#REF!</definedName>
    <definedName name="axedoc" localSheetId="5">#REF!</definedName>
    <definedName name="axedoc" localSheetId="6">#REF!</definedName>
    <definedName name="axedoc">#REF!</definedName>
    <definedName name="b" localSheetId="2">#REF!</definedName>
    <definedName name="b" localSheetId="1">#REF!</definedName>
    <definedName name="b" localSheetId="3">#REF!</definedName>
    <definedName name="b" localSheetId="5">#REF!</definedName>
    <definedName name="b" localSheetId="6">#REF!</definedName>
    <definedName name="b">#REF!</definedName>
    <definedName name="ba_diat" localSheetId="2">#REF!</definedName>
    <definedName name="ba_diat" localSheetId="1">#REF!</definedName>
    <definedName name="ba_diat" localSheetId="3">#REF!</definedName>
    <definedName name="ba_diat" localSheetId="5">#REF!</definedName>
    <definedName name="ba_diat" localSheetId="6">#REF!</definedName>
    <definedName name="ba_diat">#REF!</definedName>
    <definedName name="BACK_A" localSheetId="2">#REF!</definedName>
    <definedName name="BACK_A" localSheetId="1">#REF!</definedName>
    <definedName name="BACK_A" localSheetId="3">#REF!</definedName>
    <definedName name="BACK_A" localSheetId="5">#REF!</definedName>
    <definedName name="BACK_A" localSheetId="6">#REF!</definedName>
    <definedName name="BACK_A">#REF!</definedName>
    <definedName name="Bal_TB" localSheetId="2">#REF!</definedName>
    <definedName name="Bal_TB" localSheetId="1">#REF!</definedName>
    <definedName name="Bal_TB" localSheetId="3">#REF!</definedName>
    <definedName name="Bal_TB" localSheetId="5">#REF!</definedName>
    <definedName name="Bal_TB" localSheetId="6">#REF!</definedName>
    <definedName name="Bal_TB">#REF!</definedName>
    <definedName name="Balance_Sheet" localSheetId="2">#REF!</definedName>
    <definedName name="Balance_Sheet" localSheetId="1">#REF!</definedName>
    <definedName name="Balance_Sheet" localSheetId="3">#REF!</definedName>
    <definedName name="Balance_Sheet" localSheetId="5">#REF!</definedName>
    <definedName name="Balance_Sheet" localSheetId="6">#REF!</definedName>
    <definedName name="Balance_Sheet">#REF!</definedName>
    <definedName name="BalanceSheet" localSheetId="2">#REF!</definedName>
    <definedName name="BalanceSheet" localSheetId="1">#REF!</definedName>
    <definedName name="BalanceSheet" localSheetId="3">#REF!</definedName>
    <definedName name="BalanceSheet" localSheetId="5">#REF!</definedName>
    <definedName name="BalanceSheet" localSheetId="6">#REF!</definedName>
    <definedName name="BalanceSheet">#REF!</definedName>
    <definedName name="BASE" localSheetId="2">#REF!</definedName>
    <definedName name="BASE" localSheetId="1">#REF!</definedName>
    <definedName name="BASE" localSheetId="3">#REF!</definedName>
    <definedName name="BASE" localSheetId="5">#REF!</definedName>
    <definedName name="BASE" localSheetId="6">#REF!</definedName>
    <definedName name="BASE">#REF!</definedName>
    <definedName name="BASE_YEAR" localSheetId="2">#REF!</definedName>
    <definedName name="BASE_YEAR" localSheetId="1">#REF!</definedName>
    <definedName name="BASE_YEAR" localSheetId="3">#REF!</definedName>
    <definedName name="BASE_YEAR" localSheetId="5">#REF!</definedName>
    <definedName name="BASE_YEAR" localSheetId="6">#REF!</definedName>
    <definedName name="BASE_YEAR">#REF!</definedName>
    <definedName name="Basepopulation" localSheetId="2">#REF!</definedName>
    <definedName name="Basepopulation" localSheetId="1">#REF!</definedName>
    <definedName name="Basepopulation" localSheetId="3">#REF!</definedName>
    <definedName name="Basepopulation" localSheetId="5">#REF!</definedName>
    <definedName name="Basepopulation" localSheetId="6">#REF!</definedName>
    <definedName name="Basepopulation">#REF!</definedName>
    <definedName name="BASIS_YEAR" localSheetId="2">#REF!</definedName>
    <definedName name="BASIS_YEAR" localSheetId="1">#REF!</definedName>
    <definedName name="BASIS_YEAR" localSheetId="3">#REF!</definedName>
    <definedName name="BASIS_YEAR" localSheetId="5">#REF!</definedName>
    <definedName name="BASIS_YEAR" localSheetId="6">#REF!</definedName>
    <definedName name="BASIS_YEAR">#REF!</definedName>
    <definedName name="Beurteilung" localSheetId="2">#REF!</definedName>
    <definedName name="Beurteilung" localSheetId="1">#REF!</definedName>
    <definedName name="Beurteilung" localSheetId="3">#REF!</definedName>
    <definedName name="Beurteilung" localSheetId="5">#REF!</definedName>
    <definedName name="Beurteilung" localSheetId="6">#REF!</definedName>
    <definedName name="Beurteilung">#REF!</definedName>
    <definedName name="BG_Del">15</definedName>
    <definedName name="BG_Ins">4</definedName>
    <definedName name="BG_Mod">6</definedName>
    <definedName name="bgcharge" localSheetId="2">#REF!</definedName>
    <definedName name="bgcharge" localSheetId="1">#REF!</definedName>
    <definedName name="bgcharge" localSheetId="3">#REF!</definedName>
    <definedName name="bgcharge" localSheetId="5">#REF!</definedName>
    <definedName name="bgcharge" localSheetId="6">#REF!</definedName>
    <definedName name="bgcharge">#REF!</definedName>
    <definedName name="bhjvjcg" localSheetId="2">#REF!</definedName>
    <definedName name="bhjvjcg" localSheetId="1">#REF!</definedName>
    <definedName name="bhjvjcg" localSheetId="3">#REF!</definedName>
    <definedName name="bhjvjcg" localSheetId="5">#REF!</definedName>
    <definedName name="bhjvjcg" localSheetId="6">#REF!</definedName>
    <definedName name="bhjvjcg">#REF!</definedName>
    <definedName name="bih" localSheetId="2">#REF!</definedName>
    <definedName name="bih" localSheetId="1">#REF!</definedName>
    <definedName name="bih" localSheetId="3">#REF!</definedName>
    <definedName name="bih" localSheetId="5">#REF!</definedName>
    <definedName name="bih" localSheetId="6">#REF!</definedName>
    <definedName name="bih">#REF!</definedName>
    <definedName name="Billable_Hours_for_IBS" localSheetId="2">#REF!</definedName>
    <definedName name="Billable_Hours_for_IBS" localSheetId="1">#REF!</definedName>
    <definedName name="Billable_Hours_for_IBS" localSheetId="3">#REF!</definedName>
    <definedName name="Billable_Hours_for_IBS" localSheetId="5">#REF!</definedName>
    <definedName name="Billable_Hours_for_IBS" localSheetId="6">#REF!</definedName>
    <definedName name="Billable_Hours_for_IBS">#REF!</definedName>
    <definedName name="BILLING">#N/A</definedName>
    <definedName name="BILLING_RATE" localSheetId="2">#REF!</definedName>
    <definedName name="BILLING_RATE" localSheetId="1">#REF!</definedName>
    <definedName name="BILLING_RATE" localSheetId="3">#REF!</definedName>
    <definedName name="BILLING_RATE" localSheetId="5">#REF!</definedName>
    <definedName name="BILLING_RATE" localSheetId="6">#REF!</definedName>
    <definedName name="BILLING_RATE">#REF!</definedName>
    <definedName name="billingcollectionexpense" localSheetId="2">#REF!</definedName>
    <definedName name="billingcollectionexpense" localSheetId="1">#REF!</definedName>
    <definedName name="billingcollectionexpense" localSheetId="3">#REF!</definedName>
    <definedName name="billingcollectionexpense" localSheetId="5">#REF!</definedName>
    <definedName name="billingcollectionexpense" localSheetId="6">#REF!</definedName>
    <definedName name="billingcollectionexpense">#REF!</definedName>
    <definedName name="Blanket" localSheetId="2">#REF!</definedName>
    <definedName name="Blanket" localSheetId="1">#REF!</definedName>
    <definedName name="Blanket" localSheetId="3">#REF!</definedName>
    <definedName name="Blanket" localSheetId="5">#REF!</definedName>
    <definedName name="Blanket" localSheetId="6">#REF!</definedName>
    <definedName name="Blanket">#REF!</definedName>
    <definedName name="bldgaqscharge" localSheetId="2">#REF!</definedName>
    <definedName name="bldgaqscharge" localSheetId="1">#REF!</definedName>
    <definedName name="bldgaqscharge" localSheetId="3">#REF!</definedName>
    <definedName name="bldgaqscharge" localSheetId="5">#REF!</definedName>
    <definedName name="bldgaqscharge" localSheetId="6">#REF!</definedName>
    <definedName name="bldgaqscharge">#REF!</definedName>
    <definedName name="BLPH1" localSheetId="2" hidden="1">#REF!</definedName>
    <definedName name="BLPH1" localSheetId="1" hidden="1">#REF!</definedName>
    <definedName name="BLPH1" localSheetId="3" hidden="1">#REF!</definedName>
    <definedName name="BLPH1" localSheetId="5" hidden="1">#REF!</definedName>
    <definedName name="BLPH1" localSheetId="6" hidden="1">#REF!</definedName>
    <definedName name="BLPH1" hidden="1">#REF!</definedName>
    <definedName name="BlrChemCost" localSheetId="2">#REF!</definedName>
    <definedName name="BlrChemCost" localSheetId="1">#REF!</definedName>
    <definedName name="BlrChemCost" localSheetId="3">#REF!</definedName>
    <definedName name="BlrChemCost" localSheetId="5">#REF!</definedName>
    <definedName name="BlrChemCost" localSheetId="6">#REF!</definedName>
    <definedName name="BlrChemCost">#REF!</definedName>
    <definedName name="BonusFee" localSheetId="2">#REF!</definedName>
    <definedName name="BonusFee" localSheetId="1">#REF!</definedName>
    <definedName name="BonusFee" localSheetId="3">#REF!</definedName>
    <definedName name="BonusFee" localSheetId="5">#REF!</definedName>
    <definedName name="BonusFee" localSheetId="6">#REF!</definedName>
    <definedName name="BonusFee">#REF!</definedName>
    <definedName name="boxes" localSheetId="2">#REF!,#REF!</definedName>
    <definedName name="boxes" localSheetId="1">#REF!,#REF!</definedName>
    <definedName name="boxes" localSheetId="3">#REF!,#REF!</definedName>
    <definedName name="boxes" localSheetId="5">#REF!,#REF!</definedName>
    <definedName name="boxes" localSheetId="6">#REF!,#REF!</definedName>
    <definedName name="boxes">#REF!,#REF!</definedName>
    <definedName name="bremer_eff_tax_rate" localSheetId="2">#REF!</definedName>
    <definedName name="bremer_eff_tax_rate" localSheetId="1">#REF!</definedName>
    <definedName name="bremer_eff_tax_rate" localSheetId="3">#REF!</definedName>
    <definedName name="bremer_eff_tax_rate" localSheetId="5">#REF!</definedName>
    <definedName name="bremer_eff_tax_rate" localSheetId="6">#REF!</definedName>
    <definedName name="bremer_eff_tax_rate">#REF!</definedName>
    <definedName name="bs" localSheetId="2">#REF!</definedName>
    <definedName name="bs" localSheetId="1">#REF!</definedName>
    <definedName name="bs" localSheetId="3">#REF!</definedName>
    <definedName name="bs" localSheetId="5">#REF!</definedName>
    <definedName name="bs" localSheetId="6">#REF!</definedName>
    <definedName name="bs">#REF!</definedName>
    <definedName name="BSDateSF" localSheetId="2">#REF!</definedName>
    <definedName name="BSDateSF" localSheetId="1">#REF!</definedName>
    <definedName name="BSDateSF" localSheetId="3">#REF!</definedName>
    <definedName name="BSDateSF" localSheetId="5">#REF!</definedName>
    <definedName name="BSDateSF" localSheetId="6">#REF!</definedName>
    <definedName name="BSDateSF">#REF!</definedName>
    <definedName name="BSMurty" localSheetId="2">#REF!</definedName>
    <definedName name="BSMurty" localSheetId="1">#REF!</definedName>
    <definedName name="BSMurty" localSheetId="3">#REF!</definedName>
    <definedName name="BSMurty" localSheetId="5">#REF!</definedName>
    <definedName name="BSMurty" localSheetId="6">#REF!</definedName>
    <definedName name="BSMurty">#REF!</definedName>
    <definedName name="BUDGET_YEAR" localSheetId="2">#REF!</definedName>
    <definedName name="BUDGET_YEAR" localSheetId="1">#REF!</definedName>
    <definedName name="BUDGET_YEAR" localSheetId="3">#REF!</definedName>
    <definedName name="BUDGET_YEAR" localSheetId="5">#REF!</definedName>
    <definedName name="BUDGET_YEAR" localSheetId="6">#REF!</definedName>
    <definedName name="BUDGET_YEAR">#REF!</definedName>
    <definedName name="budVsAct" localSheetId="2">#REF!</definedName>
    <definedName name="budVsAct" localSheetId="1">#REF!</definedName>
    <definedName name="budVsAct" localSheetId="3">#REF!</definedName>
    <definedName name="budVsAct" localSheetId="5">#REF!</definedName>
    <definedName name="budVsAct" localSheetId="6">#REF!</definedName>
    <definedName name="budVsAct">#REF!</definedName>
    <definedName name="BuiltIn_Print_Area___0___0___0___0___0" localSheetId="2">#REF!</definedName>
    <definedName name="BuiltIn_Print_Area___0___0___0___0___0" localSheetId="1">#REF!</definedName>
    <definedName name="BuiltIn_Print_Area___0___0___0___0___0" localSheetId="3">#REF!</definedName>
    <definedName name="BuiltIn_Print_Area___0___0___0___0___0" localSheetId="5">#REF!</definedName>
    <definedName name="BuiltIn_Print_Area___0___0___0___0___0" localSheetId="6">#REF!</definedName>
    <definedName name="BuiltIn_Print_Area___0___0___0___0___0">#REF!</definedName>
    <definedName name="BuiltIn_Print_Area___4" localSheetId="2">#REF!</definedName>
    <definedName name="BuiltIn_Print_Area___4" localSheetId="1">#REF!</definedName>
    <definedName name="BuiltIn_Print_Area___4" localSheetId="3">#REF!</definedName>
    <definedName name="BuiltIn_Print_Area___4" localSheetId="5">#REF!</definedName>
    <definedName name="BuiltIn_Print_Area___4" localSheetId="6">#REF!</definedName>
    <definedName name="BuiltIn_Print_Area___4">#REF!</definedName>
    <definedName name="BuiltIn_Print_Area___5" localSheetId="2">#REF!</definedName>
    <definedName name="BuiltIn_Print_Area___5" localSheetId="1">#REF!</definedName>
    <definedName name="BuiltIn_Print_Area___5" localSheetId="3">#REF!</definedName>
    <definedName name="BuiltIn_Print_Area___5" localSheetId="5">#REF!</definedName>
    <definedName name="BuiltIn_Print_Area___5" localSheetId="6">#REF!</definedName>
    <definedName name="BuiltIn_Print_Area___5">#REF!</definedName>
    <definedName name="BuiltIn_Print_Area___7" localSheetId="2">#REF!</definedName>
    <definedName name="BuiltIn_Print_Area___7" localSheetId="1">#REF!</definedName>
    <definedName name="BuiltIn_Print_Area___7" localSheetId="3">#REF!</definedName>
    <definedName name="BuiltIn_Print_Area___7" localSheetId="5">#REF!</definedName>
    <definedName name="BuiltIn_Print_Area___7" localSheetId="6">#REF!</definedName>
    <definedName name="BuiltIn_Print_Area___7">#REF!</definedName>
    <definedName name="BusMGT" localSheetId="2">#REF!</definedName>
    <definedName name="BusMGT" localSheetId="1">#REF!</definedName>
    <definedName name="BusMGT" localSheetId="3">#REF!</definedName>
    <definedName name="BusMGT" localSheetId="5">#REF!</definedName>
    <definedName name="BusMGT" localSheetId="6">#REF!</definedName>
    <definedName name="BusMGT">#REF!</definedName>
    <definedName name="bvc" localSheetId="2">#REF!</definedName>
    <definedName name="bvc" localSheetId="1">#REF!</definedName>
    <definedName name="bvc" localSheetId="3">#REF!</definedName>
    <definedName name="bvc" localSheetId="5">#REF!</definedName>
    <definedName name="bvc" localSheetId="6">#REF!</definedName>
    <definedName name="bvc">#REF!</definedName>
    <definedName name="cablelomif" localSheetId="2">#REF!</definedName>
    <definedName name="cablelomif" localSheetId="1">#REF!</definedName>
    <definedName name="cablelomif" localSheetId="3">#REF!</definedName>
    <definedName name="cablelomif" localSheetId="5">#REF!</definedName>
    <definedName name="cablelomif" localSheetId="6">#REF!</definedName>
    <definedName name="cablelomif">#REF!</definedName>
    <definedName name="CalDate" localSheetId="2">#REF!</definedName>
    <definedName name="CalDate" localSheetId="1">#REF!</definedName>
    <definedName name="CalDate" localSheetId="3">#REF!</definedName>
    <definedName name="CalDate" localSheetId="5">#REF!</definedName>
    <definedName name="CalDate" localSheetId="6">#REF!</definedName>
    <definedName name="CalDate">#REF!</definedName>
    <definedName name="can1_240fixed" localSheetId="2">#REF!</definedName>
    <definedName name="can1_240fixed" localSheetId="1">#REF!</definedName>
    <definedName name="can1_240fixed" localSheetId="3">#REF!</definedName>
    <definedName name="can1_240fixed" localSheetId="5">#REF!</definedName>
    <definedName name="can1_240fixed" localSheetId="6">#REF!</definedName>
    <definedName name="can1_240fixed">#REF!</definedName>
    <definedName name="can1_240var" localSheetId="2">#REF!</definedName>
    <definedName name="can1_240var" localSheetId="1">#REF!</definedName>
    <definedName name="can1_240var" localSheetId="3">#REF!</definedName>
    <definedName name="can1_240var" localSheetId="5">#REF!</definedName>
    <definedName name="can1_240var" localSheetId="6">#REF!</definedName>
    <definedName name="can1_240var">#REF!</definedName>
    <definedName name="can1_480fixed" localSheetId="2">#REF!</definedName>
    <definedName name="can1_480fixed" localSheetId="1">#REF!</definedName>
    <definedName name="can1_480fixed" localSheetId="3">#REF!</definedName>
    <definedName name="can1_480fixed" localSheetId="5">#REF!</definedName>
    <definedName name="can1_480fixed" localSheetId="6">#REF!</definedName>
    <definedName name="can1_480fixed">#REF!</definedName>
    <definedName name="can1_480var" localSheetId="2">#REF!</definedName>
    <definedName name="can1_480var" localSheetId="1">#REF!</definedName>
    <definedName name="can1_480var" localSheetId="3">#REF!</definedName>
    <definedName name="can1_480var" localSheetId="5">#REF!</definedName>
    <definedName name="can1_480var" localSheetId="6">#REF!</definedName>
    <definedName name="can1_480var">#REF!</definedName>
    <definedName name="can1_960fixed" localSheetId="2">#REF!</definedName>
    <definedName name="can1_960fixed" localSheetId="1">#REF!</definedName>
    <definedName name="can1_960fixed" localSheetId="3">#REF!</definedName>
    <definedName name="can1_960fixed" localSheetId="5">#REF!</definedName>
    <definedName name="can1_960fixed" localSheetId="6">#REF!</definedName>
    <definedName name="can1_960fixed">#REF!</definedName>
    <definedName name="can1_960var" localSheetId="2">#REF!</definedName>
    <definedName name="can1_960var" localSheetId="1">#REF!</definedName>
    <definedName name="can1_960var" localSheetId="3">#REF!</definedName>
    <definedName name="can1_960var" localSheetId="5">#REF!</definedName>
    <definedName name="can1_960var" localSheetId="6">#REF!</definedName>
    <definedName name="can1_960var">#REF!</definedName>
    <definedName name="can1fixed" localSheetId="2">#REF!</definedName>
    <definedName name="can1fixed" localSheetId="1">#REF!</definedName>
    <definedName name="can1fixed" localSheetId="3">#REF!</definedName>
    <definedName name="can1fixed" localSheetId="5">#REF!</definedName>
    <definedName name="can1fixed" localSheetId="6">#REF!</definedName>
    <definedName name="can1fixed">#REF!</definedName>
    <definedName name="can1fixed_960" localSheetId="2">#REF!</definedName>
    <definedName name="can1fixed_960" localSheetId="1">#REF!</definedName>
    <definedName name="can1fixed_960" localSheetId="3">#REF!</definedName>
    <definedName name="can1fixed_960" localSheetId="5">#REF!</definedName>
    <definedName name="can1fixed_960" localSheetId="6">#REF!</definedName>
    <definedName name="can1fixed_960">#REF!</definedName>
    <definedName name="can1fixed960" localSheetId="2">#REF!</definedName>
    <definedName name="can1fixed960" localSheetId="1">#REF!</definedName>
    <definedName name="can1fixed960" localSheetId="3">#REF!</definedName>
    <definedName name="can1fixed960" localSheetId="5">#REF!</definedName>
    <definedName name="can1fixed960" localSheetId="6">#REF!</definedName>
    <definedName name="can1fixed960">#REF!</definedName>
    <definedName name="can1mediacost" localSheetId="2">#REF!</definedName>
    <definedName name="can1mediacost" localSheetId="1">#REF!</definedName>
    <definedName name="can1mediacost" localSheetId="3">#REF!</definedName>
    <definedName name="can1mediacost" localSheetId="5">#REF!</definedName>
    <definedName name="can1mediacost" localSheetId="6">#REF!</definedName>
    <definedName name="can1mediacost">#REF!</definedName>
    <definedName name="can1var" localSheetId="2">#REF!</definedName>
    <definedName name="can1var" localSheetId="1">#REF!</definedName>
    <definedName name="can1var" localSheetId="3">#REF!</definedName>
    <definedName name="can1var" localSheetId="5">#REF!</definedName>
    <definedName name="can1var" localSheetId="6">#REF!</definedName>
    <definedName name="can1var">#REF!</definedName>
    <definedName name="can2_240fixed" localSheetId="2">#REF!</definedName>
    <definedName name="can2_240fixed" localSheetId="1">#REF!</definedName>
    <definedName name="can2_240fixed" localSheetId="3">#REF!</definedName>
    <definedName name="can2_240fixed" localSheetId="5">#REF!</definedName>
    <definedName name="can2_240fixed" localSheetId="6">#REF!</definedName>
    <definedName name="can2_240fixed">#REF!</definedName>
    <definedName name="can2_240var" localSheetId="2">#REF!</definedName>
    <definedName name="can2_240var" localSheetId="1">#REF!</definedName>
    <definedName name="can2_240var" localSheetId="3">#REF!</definedName>
    <definedName name="can2_240var" localSheetId="5">#REF!</definedName>
    <definedName name="can2_240var" localSheetId="6">#REF!</definedName>
    <definedName name="can2_240var">#REF!</definedName>
    <definedName name="can2_480fixed" localSheetId="2">#REF!</definedName>
    <definedName name="can2_480fixed" localSheetId="1">#REF!</definedName>
    <definedName name="can2_480fixed" localSheetId="3">#REF!</definedName>
    <definedName name="can2_480fixed" localSheetId="5">#REF!</definedName>
    <definedName name="can2_480fixed" localSheetId="6">#REF!</definedName>
    <definedName name="can2_480fixed">#REF!</definedName>
    <definedName name="can2_480var" localSheetId="2">#REF!</definedName>
    <definedName name="can2_480var" localSheetId="1">#REF!</definedName>
    <definedName name="can2_480var" localSheetId="3">#REF!</definedName>
    <definedName name="can2_480var" localSheetId="5">#REF!</definedName>
    <definedName name="can2_480var" localSheetId="6">#REF!</definedName>
    <definedName name="can2_480var">#REF!</definedName>
    <definedName name="can2_960fixed" localSheetId="2">#REF!</definedName>
    <definedName name="can2_960fixed" localSheetId="1">#REF!</definedName>
    <definedName name="can2_960fixed" localSheetId="3">#REF!</definedName>
    <definedName name="can2_960fixed" localSheetId="5">#REF!</definedName>
    <definedName name="can2_960fixed" localSheetId="6">#REF!</definedName>
    <definedName name="can2_960fixed">#REF!</definedName>
    <definedName name="can2_960var" localSheetId="2">#REF!</definedName>
    <definedName name="can2_960var" localSheetId="1">#REF!</definedName>
    <definedName name="can2_960var" localSheetId="3">#REF!</definedName>
    <definedName name="can2_960var" localSheetId="5">#REF!</definedName>
    <definedName name="can2_960var" localSheetId="6">#REF!</definedName>
    <definedName name="can2_960var">#REF!</definedName>
    <definedName name="can4_240" localSheetId="2">#REF!</definedName>
    <definedName name="can4_240" localSheetId="1">#REF!</definedName>
    <definedName name="can4_240" localSheetId="3">#REF!</definedName>
    <definedName name="can4_240" localSheetId="5">#REF!</definedName>
    <definedName name="can4_240" localSheetId="6">#REF!</definedName>
    <definedName name="can4_240">#REF!</definedName>
    <definedName name="can4_240fixed" localSheetId="2">#REF!</definedName>
    <definedName name="can4_240fixed" localSheetId="1">#REF!</definedName>
    <definedName name="can4_240fixed" localSheetId="3">#REF!</definedName>
    <definedName name="can4_240fixed" localSheetId="5">#REF!</definedName>
    <definedName name="can4_240fixed" localSheetId="6">#REF!</definedName>
    <definedName name="can4_240fixed">#REF!</definedName>
    <definedName name="can4_240var" localSheetId="2">#REF!</definedName>
    <definedName name="can4_240var" localSheetId="1">#REF!</definedName>
    <definedName name="can4_240var" localSheetId="3">#REF!</definedName>
    <definedName name="can4_240var" localSheetId="5">#REF!</definedName>
    <definedName name="can4_240var" localSheetId="6">#REF!</definedName>
    <definedName name="can4_240var">#REF!</definedName>
    <definedName name="can4_480" localSheetId="2">#REF!</definedName>
    <definedName name="can4_480" localSheetId="1">#REF!</definedName>
    <definedName name="can4_480" localSheetId="3">#REF!</definedName>
    <definedName name="can4_480" localSheetId="5">#REF!</definedName>
    <definedName name="can4_480" localSheetId="6">#REF!</definedName>
    <definedName name="can4_480">#REF!</definedName>
    <definedName name="can4_480fixed" localSheetId="2">#REF!</definedName>
    <definedName name="can4_480fixed" localSheetId="1">#REF!</definedName>
    <definedName name="can4_480fixed" localSheetId="3">#REF!</definedName>
    <definedName name="can4_480fixed" localSheetId="5">#REF!</definedName>
    <definedName name="can4_480fixed" localSheetId="6">#REF!</definedName>
    <definedName name="can4_480fixed">#REF!</definedName>
    <definedName name="can4_480var" localSheetId="2">#REF!</definedName>
    <definedName name="can4_480var" localSheetId="1">#REF!</definedName>
    <definedName name="can4_480var" localSheetId="3">#REF!</definedName>
    <definedName name="can4_480var" localSheetId="5">#REF!</definedName>
    <definedName name="can4_480var" localSheetId="6">#REF!</definedName>
    <definedName name="can4_480var">#REF!</definedName>
    <definedName name="can4_960" localSheetId="2">#REF!</definedName>
    <definedName name="can4_960" localSheetId="1">#REF!</definedName>
    <definedName name="can4_960" localSheetId="3">#REF!</definedName>
    <definedName name="can4_960" localSheetId="5">#REF!</definedName>
    <definedName name="can4_960" localSheetId="6">#REF!</definedName>
    <definedName name="can4_960">#REF!</definedName>
    <definedName name="can4_960fixed" localSheetId="2">#REF!</definedName>
    <definedName name="can4_960fixed" localSheetId="1">#REF!</definedName>
    <definedName name="can4_960fixed" localSheetId="3">#REF!</definedName>
    <definedName name="can4_960fixed" localSheetId="5">#REF!</definedName>
    <definedName name="can4_960fixed" localSheetId="6">#REF!</definedName>
    <definedName name="can4_960fixed">#REF!</definedName>
    <definedName name="can4_960var" localSheetId="2">#REF!</definedName>
    <definedName name="can4_960var" localSheetId="1">#REF!</definedName>
    <definedName name="can4_960var" localSheetId="3">#REF!</definedName>
    <definedName name="can4_960var" localSheetId="5">#REF!</definedName>
    <definedName name="can4_960var" localSheetId="6">#REF!</definedName>
    <definedName name="can4_960var">#REF!</definedName>
    <definedName name="can4_power" localSheetId="2">#REF!</definedName>
    <definedName name="can4_power" localSheetId="1">#REF!</definedName>
    <definedName name="can4_power" localSheetId="3">#REF!</definedName>
    <definedName name="can4_power" localSheetId="5">#REF!</definedName>
    <definedName name="can4_power" localSheetId="6">#REF!</definedName>
    <definedName name="can4_power">#REF!</definedName>
    <definedName name="can8_240fixed" localSheetId="2">#REF!</definedName>
    <definedName name="can8_240fixed" localSheetId="1">#REF!</definedName>
    <definedName name="can8_240fixed" localSheetId="3">#REF!</definedName>
    <definedName name="can8_240fixed" localSheetId="5">#REF!</definedName>
    <definedName name="can8_240fixed" localSheetId="6">#REF!</definedName>
    <definedName name="can8_240fixed">#REF!</definedName>
    <definedName name="can8_240var" localSheetId="2">#REF!</definedName>
    <definedName name="can8_240var" localSheetId="1">#REF!</definedName>
    <definedName name="can8_240var" localSheetId="3">#REF!</definedName>
    <definedName name="can8_240var" localSheetId="5">#REF!</definedName>
    <definedName name="can8_240var" localSheetId="6">#REF!</definedName>
    <definedName name="can8_240var">#REF!</definedName>
    <definedName name="can8_480fixed" localSheetId="2">#REF!</definedName>
    <definedName name="can8_480fixed" localSheetId="1">#REF!</definedName>
    <definedName name="can8_480fixed" localSheetId="3">#REF!</definedName>
    <definedName name="can8_480fixed" localSheetId="5">#REF!</definedName>
    <definedName name="can8_480fixed" localSheetId="6">#REF!</definedName>
    <definedName name="can8_480fixed">#REF!</definedName>
    <definedName name="can8_480var" localSheetId="2">#REF!</definedName>
    <definedName name="can8_480var" localSheetId="1">#REF!</definedName>
    <definedName name="can8_480var" localSheetId="3">#REF!</definedName>
    <definedName name="can8_480var" localSheetId="5">#REF!</definedName>
    <definedName name="can8_480var" localSheetId="6">#REF!</definedName>
    <definedName name="can8_480var">#REF!</definedName>
    <definedName name="can8_960fixed" localSheetId="2">#REF!</definedName>
    <definedName name="can8_960fixed" localSheetId="1">#REF!</definedName>
    <definedName name="can8_960fixed" localSheetId="3">#REF!</definedName>
    <definedName name="can8_960fixed" localSheetId="5">#REF!</definedName>
    <definedName name="can8_960fixed" localSheetId="6">#REF!</definedName>
    <definedName name="can8_960fixed">#REF!</definedName>
    <definedName name="can8_960var" localSheetId="2">#REF!</definedName>
    <definedName name="can8_960var" localSheetId="1">#REF!</definedName>
    <definedName name="can8_960var" localSheetId="3">#REF!</definedName>
    <definedName name="can8_960var" localSheetId="5">#REF!</definedName>
    <definedName name="can8_960var" localSheetId="6">#REF!</definedName>
    <definedName name="can8_960var">#REF!</definedName>
    <definedName name="can8_power" localSheetId="2">#REF!</definedName>
    <definedName name="can8_power" localSheetId="1">#REF!</definedName>
    <definedName name="can8_power" localSheetId="3">#REF!</definedName>
    <definedName name="can8_power" localSheetId="5">#REF!</definedName>
    <definedName name="can8_power" localSheetId="6">#REF!</definedName>
    <definedName name="can8_power">#REF!</definedName>
    <definedName name="can8media" localSheetId="2">#REF!</definedName>
    <definedName name="can8media" localSheetId="1">#REF!</definedName>
    <definedName name="can8media" localSheetId="3">#REF!</definedName>
    <definedName name="can8media" localSheetId="5">#REF!</definedName>
    <definedName name="can8media" localSheetId="6">#REF!</definedName>
    <definedName name="can8media">#REF!</definedName>
    <definedName name="canfourmediacost" localSheetId="2">#REF!</definedName>
    <definedName name="canfourmediacost" localSheetId="1">#REF!</definedName>
    <definedName name="canfourmediacost" localSheetId="3">#REF!</definedName>
    <definedName name="canfourmediacost" localSheetId="5">#REF!</definedName>
    <definedName name="canfourmediacost" localSheetId="6">#REF!</definedName>
    <definedName name="canfourmediacost">#REF!</definedName>
    <definedName name="cantwomediacost" localSheetId="2">#REF!</definedName>
    <definedName name="cantwomediacost" localSheetId="1">#REF!</definedName>
    <definedName name="cantwomediacost" localSheetId="3">#REF!</definedName>
    <definedName name="cantwomediacost" localSheetId="5">#REF!</definedName>
    <definedName name="cantwomediacost" localSheetId="6">#REF!</definedName>
    <definedName name="cantwomediacost">#REF!</definedName>
    <definedName name="capex_r1" localSheetId="2">#REF!</definedName>
    <definedName name="capex_r1" localSheetId="1">#REF!</definedName>
    <definedName name="capex_r1" localSheetId="3">#REF!</definedName>
    <definedName name="capex_r1" localSheetId="5">#REF!</definedName>
    <definedName name="capex_r1" localSheetId="6">#REF!</definedName>
    <definedName name="capex_r1">#REF!</definedName>
    <definedName name="capex_s1" localSheetId="2">#REF!</definedName>
    <definedName name="capex_s1" localSheetId="1">#REF!</definedName>
    <definedName name="capex_s1" localSheetId="3">#REF!</definedName>
    <definedName name="capex_s1" localSheetId="5">#REF!</definedName>
    <definedName name="capex_s1" localSheetId="6">#REF!</definedName>
    <definedName name="capex_s1">#REF!</definedName>
    <definedName name="capex_s2" localSheetId="2">#REF!</definedName>
    <definedName name="capex_s2" localSheetId="1">#REF!</definedName>
    <definedName name="capex_s2" localSheetId="3">#REF!</definedName>
    <definedName name="capex_s2" localSheetId="5">#REF!</definedName>
    <definedName name="capex_s2" localSheetId="6">#REF!</definedName>
    <definedName name="capex_s2">#REF!</definedName>
    <definedName name="capex_sf1" localSheetId="2">#REF!</definedName>
    <definedName name="capex_sf1" localSheetId="1">#REF!</definedName>
    <definedName name="capex_sf1" localSheetId="3">#REF!</definedName>
    <definedName name="capex_sf1" localSheetId="5">#REF!</definedName>
    <definedName name="capex_sf1" localSheetId="6">#REF!</definedName>
    <definedName name="capex_sf1">#REF!</definedName>
    <definedName name="capex_sf2" localSheetId="2">#REF!</definedName>
    <definedName name="capex_sf2" localSheetId="1">#REF!</definedName>
    <definedName name="capex_sf2" localSheetId="3">#REF!</definedName>
    <definedName name="capex_sf2" localSheetId="5">#REF!</definedName>
    <definedName name="capex_sf2" localSheetId="6">#REF!</definedName>
    <definedName name="capex_sf2">#REF!</definedName>
    <definedName name="capex_sf3" localSheetId="2">#REF!</definedName>
    <definedName name="capex_sf3" localSheetId="1">#REF!</definedName>
    <definedName name="capex_sf3" localSheetId="3">#REF!</definedName>
    <definedName name="capex_sf3" localSheetId="5">#REF!</definedName>
    <definedName name="capex_sf3" localSheetId="6">#REF!</definedName>
    <definedName name="capex_sf3">#REF!</definedName>
    <definedName name="capex1a" localSheetId="2">#REF!</definedName>
    <definedName name="capex1a" localSheetId="1">#REF!</definedName>
    <definedName name="capex1a" localSheetId="3">#REF!</definedName>
    <definedName name="capex1a" localSheetId="5">#REF!</definedName>
    <definedName name="capex1a" localSheetId="6">#REF!</definedName>
    <definedName name="capex1a">#REF!</definedName>
    <definedName name="capex1b" localSheetId="2">#REF!</definedName>
    <definedName name="capex1b" localSheetId="1">#REF!</definedName>
    <definedName name="capex1b" localSheetId="3">#REF!</definedName>
    <definedName name="capex1b" localSheetId="5">#REF!</definedName>
    <definedName name="capex1b" localSheetId="6">#REF!</definedName>
    <definedName name="capex1b">#REF!</definedName>
    <definedName name="capex2" localSheetId="2">#REF!</definedName>
    <definedName name="capex2" localSheetId="1">#REF!</definedName>
    <definedName name="capex2" localSheetId="3">#REF!</definedName>
    <definedName name="capex2" localSheetId="5">#REF!</definedName>
    <definedName name="capex2" localSheetId="6">#REF!</definedName>
    <definedName name="capex2">#REF!</definedName>
    <definedName name="CapitalGains_exempt_PrintArea" localSheetId="2">#REF!</definedName>
    <definedName name="CapitalGains_exempt_PrintArea" localSheetId="1">#REF!</definedName>
    <definedName name="CapitalGains_exempt_PrintArea" localSheetId="3">#REF!</definedName>
    <definedName name="CapitalGains_exempt_PrintArea" localSheetId="5">#REF!</definedName>
    <definedName name="CapitalGains_exempt_PrintArea" localSheetId="6">#REF!</definedName>
    <definedName name="CapitalGains_exempt_PrintArea">#REF!</definedName>
    <definedName name="CapitalGains_taxable_PrintArea" localSheetId="2">#REF!</definedName>
    <definedName name="CapitalGains_taxable_PrintArea" localSheetId="1">#REF!</definedName>
    <definedName name="CapitalGains_taxable_PrintArea" localSheetId="3">#REF!</definedName>
    <definedName name="CapitalGains_taxable_PrintArea" localSheetId="5">#REF!</definedName>
    <definedName name="CapitalGains_taxable_PrintArea" localSheetId="6">#REF!</definedName>
    <definedName name="CapitalGains_taxable_PrintArea">#REF!</definedName>
    <definedName name="cars_comp" localSheetId="2">#REF!</definedName>
    <definedName name="cars_comp" localSheetId="1">#REF!</definedName>
    <definedName name="cars_comp" localSheetId="3">#REF!</definedName>
    <definedName name="cars_comp" localSheetId="5">#REF!</definedName>
    <definedName name="cars_comp" localSheetId="6">#REF!</definedName>
    <definedName name="cars_comp">#REF!</definedName>
    <definedName name="CashFlow" localSheetId="2">#REF!</definedName>
    <definedName name="CashFlow" localSheetId="1">#REF!</definedName>
    <definedName name="CashFlow" localSheetId="3">#REF!</definedName>
    <definedName name="CashFlow" localSheetId="5">#REF!</definedName>
    <definedName name="CashFlow" localSheetId="6">#REF!</definedName>
    <definedName name="CashFlow">#REF!</definedName>
    <definedName name="CashFlow2" localSheetId="2">#REF!</definedName>
    <definedName name="CashFlow2" localSheetId="1">#REF!</definedName>
    <definedName name="CashFlow2" localSheetId="3">#REF!</definedName>
    <definedName name="CashFlow2" localSheetId="5">#REF!</definedName>
    <definedName name="CashFlow2" localSheetId="6">#REF!</definedName>
    <definedName name="CashFlow2">#REF!</definedName>
    <definedName name="CATEGORY_HEADER" localSheetId="2">#REF!</definedName>
    <definedName name="CATEGORY_HEADER" localSheetId="1">#REF!</definedName>
    <definedName name="CATEGORY_HEADER" localSheetId="3">#REF!</definedName>
    <definedName name="CATEGORY_HEADER" localSheetId="5">#REF!</definedName>
    <definedName name="CATEGORY_HEADER" localSheetId="6">#REF!</definedName>
    <definedName name="CATEGORY_HEADER">#REF!</definedName>
    <definedName name="CATP" localSheetId="2">#REF!</definedName>
    <definedName name="CATP" localSheetId="1">#REF!</definedName>
    <definedName name="CATP" localSheetId="3">#REF!</definedName>
    <definedName name="CATP" localSheetId="5">#REF!</definedName>
    <definedName name="CATP" localSheetId="6">#REF!</definedName>
    <definedName name="CATP">#REF!</definedName>
    <definedName name="CBXFBSDFB" localSheetId="2">#REF!</definedName>
    <definedName name="CBXFBSDFB" localSheetId="1">#REF!</definedName>
    <definedName name="CBXFBSDFB" localSheetId="3">#REF!</definedName>
    <definedName name="CBXFBSDFB" localSheetId="5">#REF!</definedName>
    <definedName name="CBXFBSDFB" localSheetId="6">#REF!</definedName>
    <definedName name="CBXFBSDFB">#REF!</definedName>
    <definedName name="CC" localSheetId="2">#REF!</definedName>
    <definedName name="CC" localSheetId="1">#REF!</definedName>
    <definedName name="CC" localSheetId="3">#REF!</definedName>
    <definedName name="CC" localSheetId="5">#REF!</definedName>
    <definedName name="CC" localSheetId="6">#REF!</definedName>
    <definedName name="CC">#REF!</definedName>
    <definedName name="CCC100prcost" localSheetId="2">#REF!</definedName>
    <definedName name="CCC100prcost" localSheetId="1">#REF!</definedName>
    <definedName name="CCC100prcost" localSheetId="3">#REF!</definedName>
    <definedName name="CCC100prcost" localSheetId="5">#REF!</definedName>
    <definedName name="CCC100prcost" localSheetId="6">#REF!</definedName>
    <definedName name="CCC100prcost">#REF!</definedName>
    <definedName name="cccccccccc" localSheetId="2">#REF!</definedName>
    <definedName name="cccccccccc" localSheetId="1">#REF!</definedName>
    <definedName name="cccccccccc" localSheetId="3">#REF!</definedName>
    <definedName name="cccccccccc" localSheetId="5">#REF!</definedName>
    <definedName name="cccccccccc" localSheetId="6">#REF!</definedName>
    <definedName name="cccccccccc">#REF!</definedName>
    <definedName name="CCT" localSheetId="2">#REF!</definedName>
    <definedName name="CCT" localSheetId="1">#REF!</definedName>
    <definedName name="CCT" localSheetId="3">#REF!</definedName>
    <definedName name="CCT" localSheetId="5">#REF!</definedName>
    <definedName name="CCT" localSheetId="6">#REF!</definedName>
    <definedName name="CCT">#REF!</definedName>
    <definedName name="CEFF" localSheetId="2">#REF!</definedName>
    <definedName name="CEFF" localSheetId="1">#REF!</definedName>
    <definedName name="CEFF" localSheetId="3">#REF!</definedName>
    <definedName name="CEFF" localSheetId="5">#REF!</definedName>
    <definedName name="CEFF" localSheetId="6">#REF!</definedName>
    <definedName name="CEFF">#REF!</definedName>
    <definedName name="celltips_area" localSheetId="2">#REF!</definedName>
    <definedName name="celltips_area" localSheetId="1">#REF!</definedName>
    <definedName name="celltips_area" localSheetId="3">#REF!</definedName>
    <definedName name="celltips_area" localSheetId="5">#REF!</definedName>
    <definedName name="celltips_area" localSheetId="6">#REF!</definedName>
    <definedName name="celltips_area">#REF!</definedName>
    <definedName name="Cellulargrowthrate" localSheetId="2">#REF!</definedName>
    <definedName name="Cellulargrowthrate" localSheetId="1">#REF!</definedName>
    <definedName name="Cellulargrowthrate" localSheetId="3">#REF!</definedName>
    <definedName name="Cellulargrowthrate" localSheetId="5">#REF!</definedName>
    <definedName name="Cellulargrowthrate" localSheetId="6">#REF!</definedName>
    <definedName name="Cellulargrowthrate">#REF!</definedName>
    <definedName name="CellularsubscriberperE1" localSheetId="2">#REF!</definedName>
    <definedName name="CellularsubscriberperE1" localSheetId="1">#REF!</definedName>
    <definedName name="CellularsubscriberperE1" localSheetId="3">#REF!</definedName>
    <definedName name="CellularsubscriberperE1" localSheetId="5">#REF!</definedName>
    <definedName name="CellularsubscriberperE1" localSheetId="6">#REF!</definedName>
    <definedName name="CellularsubscriberperE1">#REF!</definedName>
    <definedName name="cellularsubscribers" localSheetId="2">#REF!</definedName>
    <definedName name="cellularsubscribers" localSheetId="1">#REF!</definedName>
    <definedName name="cellularsubscribers" localSheetId="3">#REF!</definedName>
    <definedName name="cellularsubscribers" localSheetId="5">#REF!</definedName>
    <definedName name="cellularsubscribers" localSheetId="6">#REF!</definedName>
    <definedName name="cellularsubscribers">#REF!</definedName>
    <definedName name="CENC_140_" localSheetId="2">#REF!</definedName>
    <definedName name="CENC_140_" localSheetId="1">#REF!</definedName>
    <definedName name="CENC_140_" localSheetId="3">#REF!</definedName>
    <definedName name="CENC_140_" localSheetId="5">#REF!</definedName>
    <definedName name="CENC_140_" localSheetId="6">#REF!</definedName>
    <definedName name="CENC_140_">#REF!</definedName>
    <definedName name="cgfcf" localSheetId="2">#REF!</definedName>
    <definedName name="cgfcf" localSheetId="1">#REF!</definedName>
    <definedName name="cgfcf" localSheetId="3">#REF!</definedName>
    <definedName name="cgfcf" localSheetId="5">#REF!</definedName>
    <definedName name="cgfcf" localSheetId="6">#REF!</definedName>
    <definedName name="cgfcf">#REF!</definedName>
    <definedName name="CGTScale" localSheetId="2">#REF!</definedName>
    <definedName name="CGTScale" localSheetId="1">#REF!</definedName>
    <definedName name="CGTScale" localSheetId="3">#REF!</definedName>
    <definedName name="CGTScale" localSheetId="5">#REF!</definedName>
    <definedName name="CGTScale" localSheetId="6">#REF!</definedName>
    <definedName name="CGTScale">#REF!</definedName>
    <definedName name="CHA" localSheetId="2">#REF!</definedName>
    <definedName name="CHA" localSheetId="1">#REF!</definedName>
    <definedName name="CHA" localSheetId="3">#REF!</definedName>
    <definedName name="CHA" localSheetId="5">#REF!</definedName>
    <definedName name="CHA" localSheetId="6">#REF!</definedName>
    <definedName name="CHA">#REF!</definedName>
    <definedName name="ChallanSrnoList" localSheetId="2">#REF!</definedName>
    <definedName name="ChallanSrnoList" localSheetId="1">#REF!</definedName>
    <definedName name="ChallanSrnoList" localSheetId="3">#REF!</definedName>
    <definedName name="ChallanSrnoList" localSheetId="5">#REF!</definedName>
    <definedName name="ChallanSrnoList" localSheetId="6">#REF!</definedName>
    <definedName name="ChallanSrnoList">#REF!</definedName>
    <definedName name="CHANGE" localSheetId="2">#REF!</definedName>
    <definedName name="CHANGE" localSheetId="1">#REF!</definedName>
    <definedName name="CHANGE" localSheetId="3">#REF!</definedName>
    <definedName name="CHANGE" localSheetId="5">#REF!</definedName>
    <definedName name="CHANGE" localSheetId="6">#REF!</definedName>
    <definedName name="CHANGE">#REF!</definedName>
    <definedName name="ChartCaptions" localSheetId="2">#REF!</definedName>
    <definedName name="ChartCaptions" localSheetId="1">#REF!</definedName>
    <definedName name="ChartCaptions" localSheetId="3">#REF!</definedName>
    <definedName name="ChartCaptions" localSheetId="5">#REF!</definedName>
    <definedName name="ChartCaptions" localSheetId="6">#REF!</definedName>
    <definedName name="ChartCaptions">#REF!</definedName>
    <definedName name="ChartingArea" localSheetId="2">#REF!,#REF!</definedName>
    <definedName name="ChartingArea" localSheetId="1">#REF!,#REF!</definedName>
    <definedName name="ChartingArea" localSheetId="3">#REF!,#REF!</definedName>
    <definedName name="ChartingArea" localSheetId="5">#REF!,#REF!</definedName>
    <definedName name="ChartingArea" localSheetId="6">#REF!,#REF!</definedName>
    <definedName name="ChartingArea">#REF!,#REF!</definedName>
    <definedName name="ChartingLabels" localSheetId="2">#REF!</definedName>
    <definedName name="ChartingLabels" localSheetId="1">#REF!</definedName>
    <definedName name="ChartingLabels" localSheetId="3">#REF!</definedName>
    <definedName name="ChartingLabels" localSheetId="5">#REF!</definedName>
    <definedName name="ChartingLabels" localSheetId="6">#REF!</definedName>
    <definedName name="ChartingLabels">#REF!</definedName>
    <definedName name="CHINA_PLASTIC_in_KUSD" localSheetId="2">#REF!</definedName>
    <definedName name="CHINA_PLASTIC_in_KUSD" localSheetId="1">#REF!</definedName>
    <definedName name="CHINA_PLASTIC_in_KUSD" localSheetId="3">#REF!</definedName>
    <definedName name="CHINA_PLASTIC_in_KUSD" localSheetId="5">#REF!</definedName>
    <definedName name="CHINA_PLASTIC_in_KUSD" localSheetId="6">#REF!</definedName>
    <definedName name="CHINA_PLASTIC_in_KUSD">#REF!</definedName>
    <definedName name="CityName" localSheetId="2">#REF!</definedName>
    <definedName name="CityName" localSheetId="1">#REF!</definedName>
    <definedName name="CityName" localSheetId="3">#REF!</definedName>
    <definedName name="CityName" localSheetId="5">#REF!</definedName>
    <definedName name="CityName" localSheetId="6">#REF!</definedName>
    <definedName name="CityName">#REF!</definedName>
    <definedName name="clause10" localSheetId="2">#REF!</definedName>
    <definedName name="clause10" localSheetId="1">#REF!</definedName>
    <definedName name="clause10" localSheetId="3">#REF!</definedName>
    <definedName name="clause10" localSheetId="5">#REF!</definedName>
    <definedName name="clause10" localSheetId="6">#REF!</definedName>
    <definedName name="clause10">#REF!</definedName>
    <definedName name="CLAUSE13" localSheetId="2">#REF!</definedName>
    <definedName name="CLAUSE13" localSheetId="1">#REF!</definedName>
    <definedName name="CLAUSE13" localSheetId="3">#REF!</definedName>
    <definedName name="CLAUSE13" localSheetId="5">#REF!</definedName>
    <definedName name="CLAUSE13" localSheetId="6">#REF!</definedName>
    <definedName name="CLAUSE13">#REF!</definedName>
    <definedName name="CLAUSE13b" localSheetId="2">#REF!</definedName>
    <definedName name="CLAUSE13b" localSheetId="1">#REF!</definedName>
    <definedName name="CLAUSE13b" localSheetId="3">#REF!</definedName>
    <definedName name="CLAUSE13b" localSheetId="5">#REF!</definedName>
    <definedName name="CLAUSE13b" localSheetId="6">#REF!</definedName>
    <definedName name="CLAUSE13b">#REF!</definedName>
    <definedName name="clause14" localSheetId="2">#REF!</definedName>
    <definedName name="clause14" localSheetId="1">#REF!</definedName>
    <definedName name="clause14" localSheetId="3">#REF!</definedName>
    <definedName name="clause14" localSheetId="5">#REF!</definedName>
    <definedName name="clause14" localSheetId="6">#REF!</definedName>
    <definedName name="clause14">#REF!</definedName>
    <definedName name="clause14d" localSheetId="2">#REF!</definedName>
    <definedName name="clause14d" localSheetId="1">#REF!</definedName>
    <definedName name="clause14d" localSheetId="3">#REF!</definedName>
    <definedName name="clause14d" localSheetId="5">#REF!</definedName>
    <definedName name="clause14d" localSheetId="6">#REF!</definedName>
    <definedName name="clause14d">#REF!</definedName>
    <definedName name="clause15" localSheetId="2">#REF!</definedName>
    <definedName name="clause15" localSheetId="1">#REF!</definedName>
    <definedName name="clause15" localSheetId="3">#REF!</definedName>
    <definedName name="clause15" localSheetId="5">#REF!</definedName>
    <definedName name="clause15" localSheetId="6">#REF!</definedName>
    <definedName name="clause15">#REF!</definedName>
    <definedName name="clause16b" localSheetId="2">#REF!</definedName>
    <definedName name="clause16b" localSheetId="1">#REF!</definedName>
    <definedName name="clause16b" localSheetId="3">#REF!</definedName>
    <definedName name="clause16b" localSheetId="5">#REF!</definedName>
    <definedName name="clause16b" localSheetId="6">#REF!</definedName>
    <definedName name="clause16b">#REF!</definedName>
    <definedName name="clause17a" localSheetId="2">#REF!</definedName>
    <definedName name="clause17a" localSheetId="1">#REF!</definedName>
    <definedName name="clause17a" localSheetId="3">#REF!</definedName>
    <definedName name="clause17a" localSheetId="5">#REF!</definedName>
    <definedName name="clause17a" localSheetId="6">#REF!</definedName>
    <definedName name="clause17a">#REF!</definedName>
    <definedName name="clause17B" localSheetId="2">#REF!</definedName>
    <definedName name="clause17B" localSheetId="1">#REF!</definedName>
    <definedName name="clause17B" localSheetId="3">#REF!</definedName>
    <definedName name="clause17B" localSheetId="5">#REF!</definedName>
    <definedName name="clause17B" localSheetId="6">#REF!</definedName>
    <definedName name="clause17B">#REF!</definedName>
    <definedName name="clause17C" localSheetId="2">#REF!</definedName>
    <definedName name="clause17C" localSheetId="1">#REF!</definedName>
    <definedName name="clause17C" localSheetId="3">#REF!</definedName>
    <definedName name="clause17C" localSheetId="5">#REF!</definedName>
    <definedName name="clause17C" localSheetId="6">#REF!</definedName>
    <definedName name="clause17C">#REF!</definedName>
    <definedName name="CLAUSE17D" localSheetId="2">#REF!</definedName>
    <definedName name="CLAUSE17D" localSheetId="1">#REF!</definedName>
    <definedName name="CLAUSE17D" localSheetId="3">#REF!</definedName>
    <definedName name="CLAUSE17D" localSheetId="5">#REF!</definedName>
    <definedName name="CLAUSE17D" localSheetId="6">#REF!</definedName>
    <definedName name="CLAUSE17D">#REF!</definedName>
    <definedName name="clause17E" localSheetId="2">#REF!</definedName>
    <definedName name="clause17E" localSheetId="1">#REF!</definedName>
    <definedName name="clause17E" localSheetId="3">#REF!</definedName>
    <definedName name="clause17E" localSheetId="5">#REF!</definedName>
    <definedName name="clause17E" localSheetId="6">#REF!</definedName>
    <definedName name="clause17E">#REF!</definedName>
    <definedName name="clause17F" localSheetId="2">#REF!</definedName>
    <definedName name="clause17F" localSheetId="1">#REF!</definedName>
    <definedName name="clause17F" localSheetId="3">#REF!</definedName>
    <definedName name="clause17F" localSheetId="5">#REF!</definedName>
    <definedName name="clause17F" localSheetId="6">#REF!</definedName>
    <definedName name="clause17F">#REF!</definedName>
    <definedName name="clause17h" localSheetId="2">#REF!</definedName>
    <definedName name="clause17h" localSheetId="1">#REF!</definedName>
    <definedName name="clause17h" localSheetId="3">#REF!</definedName>
    <definedName name="clause17h" localSheetId="5">#REF!</definedName>
    <definedName name="clause17h" localSheetId="6">#REF!</definedName>
    <definedName name="clause17h">#REF!</definedName>
    <definedName name="clause17K" localSheetId="2">#REF!</definedName>
    <definedName name="clause17K" localSheetId="1">#REF!</definedName>
    <definedName name="clause17K" localSheetId="3">#REF!</definedName>
    <definedName name="clause17K" localSheetId="5">#REF!</definedName>
    <definedName name="clause17K" localSheetId="6">#REF!</definedName>
    <definedName name="clause17K">#REF!</definedName>
    <definedName name="clause18" localSheetId="2">#REF!</definedName>
    <definedName name="clause18" localSheetId="1">#REF!</definedName>
    <definedName name="clause18" localSheetId="3">#REF!</definedName>
    <definedName name="clause18" localSheetId="5">#REF!</definedName>
    <definedName name="clause18" localSheetId="6">#REF!</definedName>
    <definedName name="clause18">#REF!</definedName>
    <definedName name="CLAUSE20" localSheetId="2">#REF!</definedName>
    <definedName name="CLAUSE20" localSheetId="1">#REF!</definedName>
    <definedName name="CLAUSE20" localSheetId="3">#REF!</definedName>
    <definedName name="CLAUSE20" localSheetId="5">#REF!</definedName>
    <definedName name="CLAUSE20" localSheetId="6">#REF!</definedName>
    <definedName name="CLAUSE20">#REF!</definedName>
    <definedName name="clause21" localSheetId="2">#REF!</definedName>
    <definedName name="clause21" localSheetId="1">#REF!</definedName>
    <definedName name="clause21" localSheetId="3">#REF!</definedName>
    <definedName name="clause21" localSheetId="5">#REF!</definedName>
    <definedName name="clause21" localSheetId="6">#REF!</definedName>
    <definedName name="clause21">#REF!</definedName>
    <definedName name="CLAUSE22A" localSheetId="2">#REF!</definedName>
    <definedName name="CLAUSE22A" localSheetId="1">#REF!</definedName>
    <definedName name="CLAUSE22A" localSheetId="3">#REF!</definedName>
    <definedName name="CLAUSE22A" localSheetId="5">#REF!</definedName>
    <definedName name="CLAUSE22A" localSheetId="6">#REF!</definedName>
    <definedName name="CLAUSE22A">#REF!</definedName>
    <definedName name="CLAUSE22B" localSheetId="2">#REF!</definedName>
    <definedName name="CLAUSE22B" localSheetId="1">#REF!</definedName>
    <definedName name="CLAUSE22B" localSheetId="3">#REF!</definedName>
    <definedName name="CLAUSE22B" localSheetId="5">#REF!</definedName>
    <definedName name="CLAUSE22B" localSheetId="6">#REF!</definedName>
    <definedName name="CLAUSE22B">#REF!</definedName>
    <definedName name="clause23" localSheetId="2">#REF!</definedName>
    <definedName name="clause23" localSheetId="1">#REF!</definedName>
    <definedName name="clause23" localSheetId="3">#REF!</definedName>
    <definedName name="clause23" localSheetId="5">#REF!</definedName>
    <definedName name="clause23" localSheetId="6">#REF!</definedName>
    <definedName name="clause23">#REF!</definedName>
    <definedName name="clause24" localSheetId="2">#REF!</definedName>
    <definedName name="clause24" localSheetId="1">#REF!</definedName>
    <definedName name="clause24" localSheetId="3">#REF!</definedName>
    <definedName name="clause24" localSheetId="5">#REF!</definedName>
    <definedName name="clause24" localSheetId="6">#REF!</definedName>
    <definedName name="clause24">#REF!</definedName>
    <definedName name="clause24b" localSheetId="2">#REF!</definedName>
    <definedName name="clause24b" localSheetId="1">#REF!</definedName>
    <definedName name="clause24b" localSheetId="3">#REF!</definedName>
    <definedName name="clause24b" localSheetId="5">#REF!</definedName>
    <definedName name="clause24b" localSheetId="6">#REF!</definedName>
    <definedName name="clause24b">#REF!</definedName>
    <definedName name="clause25" localSheetId="2">#REF!</definedName>
    <definedName name="clause25" localSheetId="1">#REF!</definedName>
    <definedName name="clause25" localSheetId="3">#REF!</definedName>
    <definedName name="clause25" localSheetId="5">#REF!</definedName>
    <definedName name="clause25" localSheetId="6">#REF!</definedName>
    <definedName name="clause25">#REF!</definedName>
    <definedName name="clause26" localSheetId="2">#REF!</definedName>
    <definedName name="clause26" localSheetId="1">#REF!</definedName>
    <definedName name="clause26" localSheetId="3">#REF!</definedName>
    <definedName name="clause26" localSheetId="5">#REF!</definedName>
    <definedName name="clause26" localSheetId="6">#REF!</definedName>
    <definedName name="clause26">#REF!</definedName>
    <definedName name="clause27" localSheetId="2">#REF!</definedName>
    <definedName name="clause27" localSheetId="1">#REF!</definedName>
    <definedName name="clause27" localSheetId="3">#REF!</definedName>
    <definedName name="clause27" localSheetId="5">#REF!</definedName>
    <definedName name="clause27" localSheetId="6">#REF!</definedName>
    <definedName name="clause27">#REF!</definedName>
    <definedName name="clause28" localSheetId="2">#REF!</definedName>
    <definedName name="clause28" localSheetId="1">#REF!</definedName>
    <definedName name="clause28" localSheetId="3">#REF!</definedName>
    <definedName name="clause28" localSheetId="5">#REF!</definedName>
    <definedName name="clause28" localSheetId="6">#REF!</definedName>
    <definedName name="clause28">#REF!</definedName>
    <definedName name="clause28b" localSheetId="2">#REF!</definedName>
    <definedName name="clause28b" localSheetId="1">#REF!</definedName>
    <definedName name="clause28b" localSheetId="3">#REF!</definedName>
    <definedName name="clause28b" localSheetId="5">#REF!</definedName>
    <definedName name="clause28b" localSheetId="6">#REF!</definedName>
    <definedName name="clause28b">#REF!</definedName>
    <definedName name="cn1_240" localSheetId="2">#REF!</definedName>
    <definedName name="cn1_240" localSheetId="1">#REF!</definedName>
    <definedName name="cn1_240" localSheetId="3">#REF!</definedName>
    <definedName name="cn1_240" localSheetId="5">#REF!</definedName>
    <definedName name="cn1_240" localSheetId="6">#REF!</definedName>
    <definedName name="cn1_240">#REF!</definedName>
    <definedName name="cn1_480" localSheetId="2">#REF!</definedName>
    <definedName name="cn1_480" localSheetId="1">#REF!</definedName>
    <definedName name="cn1_480" localSheetId="3">#REF!</definedName>
    <definedName name="cn1_480" localSheetId="5">#REF!</definedName>
    <definedName name="cn1_480" localSheetId="6">#REF!</definedName>
    <definedName name="cn1_480">#REF!</definedName>
    <definedName name="cn1_960" localSheetId="2">#REF!</definedName>
    <definedName name="cn1_960" localSheetId="1">#REF!</definedName>
    <definedName name="cn1_960" localSheetId="3">#REF!</definedName>
    <definedName name="cn1_960" localSheetId="5">#REF!</definedName>
    <definedName name="cn1_960" localSheetId="6">#REF!</definedName>
    <definedName name="cn1_960">#REF!</definedName>
    <definedName name="cn1_power" localSheetId="2">#REF!</definedName>
    <definedName name="cn1_power" localSheetId="1">#REF!</definedName>
    <definedName name="cn1_power" localSheetId="3">#REF!</definedName>
    <definedName name="cn1_power" localSheetId="5">#REF!</definedName>
    <definedName name="cn1_power" localSheetId="6">#REF!</definedName>
    <definedName name="cn1_power">#REF!</definedName>
    <definedName name="cn1fixed960" localSheetId="2">#REF!</definedName>
    <definedName name="cn1fixed960" localSheetId="1">#REF!</definedName>
    <definedName name="cn1fixed960" localSheetId="3">#REF!</definedName>
    <definedName name="cn1fixed960" localSheetId="5">#REF!</definedName>
    <definedName name="cn1fixed960" localSheetId="6">#REF!</definedName>
    <definedName name="cn1fixed960">#REF!</definedName>
    <definedName name="cn2_240" localSheetId="2">#REF!</definedName>
    <definedName name="cn2_240" localSheetId="1">#REF!</definedName>
    <definedName name="cn2_240" localSheetId="3">#REF!</definedName>
    <definedName name="cn2_240" localSheetId="5">#REF!</definedName>
    <definedName name="cn2_240" localSheetId="6">#REF!</definedName>
    <definedName name="cn2_240">#REF!</definedName>
    <definedName name="cn2_480" localSheetId="2">#REF!</definedName>
    <definedName name="cn2_480" localSheetId="1">#REF!</definedName>
    <definedName name="cn2_480" localSheetId="3">#REF!</definedName>
    <definedName name="cn2_480" localSheetId="5">#REF!</definedName>
    <definedName name="cn2_480" localSheetId="6">#REF!</definedName>
    <definedName name="cn2_480">#REF!</definedName>
    <definedName name="cn2_960" localSheetId="2">#REF!</definedName>
    <definedName name="cn2_960" localSheetId="1">#REF!</definedName>
    <definedName name="cn2_960" localSheetId="3">#REF!</definedName>
    <definedName name="cn2_960" localSheetId="5">#REF!</definedName>
    <definedName name="cn2_960" localSheetId="6">#REF!</definedName>
    <definedName name="cn2_960">#REF!</definedName>
    <definedName name="cn2_power" localSheetId="2">#REF!</definedName>
    <definedName name="cn2_power" localSheetId="1">#REF!</definedName>
    <definedName name="cn2_power" localSheetId="3">#REF!</definedName>
    <definedName name="cn2_power" localSheetId="5">#REF!</definedName>
    <definedName name="cn2_power" localSheetId="6">#REF!</definedName>
    <definedName name="cn2_power">#REF!</definedName>
    <definedName name="cn3_960" localSheetId="2">#REF!</definedName>
    <definedName name="cn3_960" localSheetId="1">#REF!</definedName>
    <definedName name="cn3_960" localSheetId="3">#REF!</definedName>
    <definedName name="cn3_960" localSheetId="5">#REF!</definedName>
    <definedName name="cn3_960" localSheetId="6">#REF!</definedName>
    <definedName name="cn3_960">#REF!</definedName>
    <definedName name="cn4_960" localSheetId="2">#REF!</definedName>
    <definedName name="cn4_960" localSheetId="1">#REF!</definedName>
    <definedName name="cn4_960" localSheetId="3">#REF!</definedName>
    <definedName name="cn4_960" localSheetId="5">#REF!</definedName>
    <definedName name="cn4_960" localSheetId="6">#REF!</definedName>
    <definedName name="cn4_960">#REF!</definedName>
    <definedName name="COA" localSheetId="2">#REF!</definedName>
    <definedName name="COA" localSheetId="1">#REF!</definedName>
    <definedName name="COA" localSheetId="3">#REF!</definedName>
    <definedName name="COA" localSheetId="5">#REF!</definedName>
    <definedName name="COA" localSheetId="6">#REF!</definedName>
    <definedName name="COA">#REF!</definedName>
    <definedName name="CoAdd" localSheetId="2">#REF!</definedName>
    <definedName name="CoAdd" localSheetId="1">#REF!</definedName>
    <definedName name="CoAdd" localSheetId="3">#REF!</definedName>
    <definedName name="CoAdd" localSheetId="5">#REF!</definedName>
    <definedName name="CoAdd" localSheetId="6">#REF!</definedName>
    <definedName name="CoAdd">#REF!</definedName>
    <definedName name="COMM_L_MONTHS" localSheetId="2">#REF!</definedName>
    <definedName name="COMM_L_MONTHS" localSheetId="1">#REF!</definedName>
    <definedName name="COMM_L_MONTHS" localSheetId="3">#REF!</definedName>
    <definedName name="COMM_L_MONTHS" localSheetId="5">#REF!</definedName>
    <definedName name="COMM_L_MONTHS" localSheetId="6">#REF!</definedName>
    <definedName name="COMM_L_MONTHS">#REF!</definedName>
    <definedName name="comminfracost" localSheetId="2">#REF!</definedName>
    <definedName name="comminfracost" localSheetId="1">#REF!</definedName>
    <definedName name="comminfracost" localSheetId="3">#REF!</definedName>
    <definedName name="comminfracost" localSheetId="5">#REF!</definedName>
    <definedName name="comminfracost" localSheetId="6">#REF!</definedName>
    <definedName name="comminfracost">#REF!</definedName>
    <definedName name="commit" localSheetId="2">#REF!</definedName>
    <definedName name="commit" localSheetId="1">#REF!</definedName>
    <definedName name="commit" localSheetId="3">#REF!</definedName>
    <definedName name="commit" localSheetId="5">#REF!</definedName>
    <definedName name="commit" localSheetId="6">#REF!</definedName>
    <definedName name="commit">#REF!</definedName>
    <definedName name="COMP" localSheetId="2">#REF!</definedName>
    <definedName name="COMP" localSheetId="1">#REF!</definedName>
    <definedName name="COMP" localSheetId="3">#REF!</definedName>
    <definedName name="COMP" localSheetId="5">#REF!</definedName>
    <definedName name="COMP" localSheetId="6">#REF!</definedName>
    <definedName name="COMP">#REF!</definedName>
    <definedName name="company" localSheetId="2">#REF!</definedName>
    <definedName name="company" localSheetId="1">#REF!</definedName>
    <definedName name="company" localSheetId="3">#REF!</definedName>
    <definedName name="company" localSheetId="5">#REF!</definedName>
    <definedName name="company" localSheetId="6">#REF!</definedName>
    <definedName name="company">#REF!</definedName>
    <definedName name="computation" localSheetId="2">#REF!</definedName>
    <definedName name="computation" localSheetId="1">#REF!</definedName>
    <definedName name="computation" localSheetId="3">#REF!</definedName>
    <definedName name="computation" localSheetId="5">#REF!</definedName>
    <definedName name="computation" localSheetId="6">#REF!</definedName>
    <definedName name="computation">#REF!</definedName>
    <definedName name="COMPUTATION_OF_INTEREST_UNDER_SECTION_234_C" localSheetId="2">#REF!</definedName>
    <definedName name="COMPUTATION_OF_INTEREST_UNDER_SECTION_234_C" localSheetId="1">#REF!</definedName>
    <definedName name="COMPUTATION_OF_INTEREST_UNDER_SECTION_234_C" localSheetId="3">#REF!</definedName>
    <definedName name="COMPUTATION_OF_INTEREST_UNDER_SECTION_234_C" localSheetId="5">#REF!</definedName>
    <definedName name="COMPUTATION_OF_INTEREST_UNDER_SECTION_234_C" localSheetId="6">#REF!</definedName>
    <definedName name="COMPUTATION_OF_INTEREST_UNDER_SECTION_234_C">#REF!</definedName>
    <definedName name="CoName" localSheetId="2">#REF!</definedName>
    <definedName name="CoName" localSheetId="1">#REF!</definedName>
    <definedName name="CoName" localSheetId="3">#REF!</definedName>
    <definedName name="CoName" localSheetId="5">#REF!</definedName>
    <definedName name="CoName" localSheetId="6">#REF!</definedName>
    <definedName name="CoName">#REF!</definedName>
    <definedName name="CondensateRtrn" localSheetId="2">#REF!</definedName>
    <definedName name="CondensateRtrn" localSheetId="1">#REF!</definedName>
    <definedName name="CondensateRtrn" localSheetId="3">#REF!</definedName>
    <definedName name="CondensateRtrn" localSheetId="5">#REF!</definedName>
    <definedName name="CondensateRtrn" localSheetId="6">#REF!</definedName>
    <definedName name="CondensateRtrn">#REF!</definedName>
    <definedName name="CONSTANT" localSheetId="2">#REF!</definedName>
    <definedName name="CONSTANT" localSheetId="1">#REF!</definedName>
    <definedName name="CONSTANT" localSheetId="3">#REF!</definedName>
    <definedName name="CONSTANT" localSheetId="5">#REF!</definedName>
    <definedName name="CONSTANT" localSheetId="6">#REF!</definedName>
    <definedName name="CONSTANT">#REF!</definedName>
    <definedName name="contract_status_del_dmrc1" localSheetId="2">#REF!</definedName>
    <definedName name="contract_status_del_dmrc1" localSheetId="1">#REF!</definedName>
    <definedName name="contract_status_del_dmrc1" localSheetId="3">#REF!</definedName>
    <definedName name="contract_status_del_dmrc1" localSheetId="5">#REF!</definedName>
    <definedName name="contract_status_del_dmrc1" localSheetId="6">#REF!</definedName>
    <definedName name="contract_status_del_dmrc1">#REF!</definedName>
    <definedName name="contract_status_del_dmrc2" localSheetId="2">#REF!</definedName>
    <definedName name="contract_status_del_dmrc2" localSheetId="1">#REF!</definedName>
    <definedName name="contract_status_del_dmrc2" localSheetId="3">#REF!</definedName>
    <definedName name="contract_status_del_dmrc2" localSheetId="5">#REF!</definedName>
    <definedName name="contract_status_del_dmrc2" localSheetId="6">#REF!</definedName>
    <definedName name="contract_status_del_dmrc2">#REF!</definedName>
    <definedName name="contract_status_del_dmrc3" localSheetId="2">#REF!</definedName>
    <definedName name="contract_status_del_dmrc3" localSheetId="1">#REF!</definedName>
    <definedName name="contract_status_del_dmrc3" localSheetId="3">#REF!</definedName>
    <definedName name="contract_status_del_dmrc3" localSheetId="5">#REF!</definedName>
    <definedName name="contract_status_del_dmrc3" localSheetId="6">#REF!</definedName>
    <definedName name="contract_status_del_dmrc3">#REF!</definedName>
    <definedName name="contract_status_del_dmrc4" localSheetId="2">#REF!</definedName>
    <definedName name="contract_status_del_dmrc4" localSheetId="1">#REF!</definedName>
    <definedName name="contract_status_del_dmrc4" localSheetId="3">#REF!</definedName>
    <definedName name="contract_status_del_dmrc4" localSheetId="5">#REF!</definedName>
    <definedName name="contract_status_del_dmrc4" localSheetId="6">#REF!</definedName>
    <definedName name="contract_status_del_dmrc4">#REF!</definedName>
    <definedName name="contract_status_del_dtc_bqs" localSheetId="2">#REF!</definedName>
    <definedName name="contract_status_del_dtc_bqs" localSheetId="1">#REF!</definedName>
    <definedName name="contract_status_del_dtc_bqs" localSheetId="3">#REF!</definedName>
    <definedName name="contract_status_del_dtc_bqs" localSheetId="5">#REF!</definedName>
    <definedName name="contract_status_del_dtc_bqs" localSheetId="6">#REF!</definedName>
    <definedName name="contract_status_del_dtc_bqs">#REF!</definedName>
    <definedName name="contract_status_del_hoarding" localSheetId="2">#REF!</definedName>
    <definedName name="contract_status_del_hoarding" localSheetId="1">#REF!</definedName>
    <definedName name="contract_status_del_hoarding" localSheetId="3">#REF!</definedName>
    <definedName name="contract_status_del_hoarding" localSheetId="5">#REF!</definedName>
    <definedName name="contract_status_del_hoarding" localSheetId="6">#REF!</definedName>
    <definedName name="contract_status_del_hoarding">#REF!</definedName>
    <definedName name="contract_status_del_mcd1" localSheetId="2">#REF!</definedName>
    <definedName name="contract_status_del_mcd1" localSheetId="1">#REF!</definedName>
    <definedName name="contract_status_del_mcd1" localSheetId="3">#REF!</definedName>
    <definedName name="contract_status_del_mcd1" localSheetId="5">#REF!</definedName>
    <definedName name="contract_status_del_mcd1" localSheetId="6">#REF!</definedName>
    <definedName name="contract_status_del_mcd1">#REF!</definedName>
    <definedName name="contract_status_del_mcd2" localSheetId="2">#REF!</definedName>
    <definedName name="contract_status_del_mcd2" localSheetId="1">#REF!</definedName>
    <definedName name="contract_status_del_mcd2" localSheetId="3">#REF!</definedName>
    <definedName name="contract_status_del_mcd2" localSheetId="5">#REF!</definedName>
    <definedName name="contract_status_del_mcd2" localSheetId="6">#REF!</definedName>
    <definedName name="contract_status_del_mcd2">#REF!</definedName>
    <definedName name="contract_status_del_mcd3" localSheetId="2">#REF!</definedName>
    <definedName name="contract_status_del_mcd3" localSheetId="1">#REF!</definedName>
    <definedName name="contract_status_del_mcd3" localSheetId="3">#REF!</definedName>
    <definedName name="contract_status_del_mcd3" localSheetId="5">#REF!</definedName>
    <definedName name="contract_status_del_mcd3" localSheetId="6">#REF!</definedName>
    <definedName name="contract_status_del_mcd3">#REF!</definedName>
    <definedName name="contract_status_del_mcd4" localSheetId="2">#REF!</definedName>
    <definedName name="contract_status_del_mcd4" localSheetId="1">#REF!</definedName>
    <definedName name="contract_status_del_mcd4" localSheetId="3">#REF!</definedName>
    <definedName name="contract_status_del_mcd4" localSheetId="5">#REF!</definedName>
    <definedName name="contract_status_del_mcd4" localSheetId="6">#REF!</definedName>
    <definedName name="contract_status_del_mcd4">#REF!</definedName>
    <definedName name="contract_status_del_mcd5" localSheetId="2">#REF!</definedName>
    <definedName name="contract_status_del_mcd5" localSheetId="1">#REF!</definedName>
    <definedName name="contract_status_del_mcd5" localSheetId="3">#REF!</definedName>
    <definedName name="contract_status_del_mcd5" localSheetId="5">#REF!</definedName>
    <definedName name="contract_status_del_mcd5" localSheetId="6">#REF!</definedName>
    <definedName name="contract_status_del_mcd5">#REF!</definedName>
    <definedName name="contract_status_del_nrdd" localSheetId="2">#REF!</definedName>
    <definedName name="contract_status_del_nrdd" localSheetId="1">#REF!</definedName>
    <definedName name="contract_status_del_nrdd" localSheetId="3">#REF!</definedName>
    <definedName name="contract_status_del_nrdd" localSheetId="5">#REF!</definedName>
    <definedName name="contract_status_del_nrdd" localSheetId="6">#REF!</definedName>
    <definedName name="contract_status_del_nrdd">#REF!</definedName>
    <definedName name="contract_status_del_utility" localSheetId="2">#REF!</definedName>
    <definedName name="contract_status_del_utility" localSheetId="1">#REF!</definedName>
    <definedName name="contract_status_del_utility" localSheetId="3">#REF!</definedName>
    <definedName name="contract_status_del_utility" localSheetId="5">#REF!</definedName>
    <definedName name="contract_status_del_utility" localSheetId="6">#REF!</definedName>
    <definedName name="contract_status_del_utility">#REF!</definedName>
    <definedName name="contract_status_kol_bqs" localSheetId="2">#REF!</definedName>
    <definedName name="contract_status_kol_bqs" localSheetId="1">#REF!</definedName>
    <definedName name="contract_status_kol_bqs" localSheetId="3">#REF!</definedName>
    <definedName name="contract_status_kol_bqs" localSheetId="5">#REF!</definedName>
    <definedName name="contract_status_kol_bqs" localSheetId="6">#REF!</definedName>
    <definedName name="contract_status_kol_bqs">#REF!</definedName>
    <definedName name="contract_status_kol_bridgepanel" localSheetId="2">#REF!</definedName>
    <definedName name="contract_status_kol_bridgepanel" localSheetId="1">#REF!</definedName>
    <definedName name="contract_status_kol_bridgepanel" localSheetId="3">#REF!</definedName>
    <definedName name="contract_status_kol_bridgepanel" localSheetId="5">#REF!</definedName>
    <definedName name="contract_status_kol_bridgepanel" localSheetId="6">#REF!</definedName>
    <definedName name="contract_status_kol_bridgepanel">#REF!</definedName>
    <definedName name="contract_status_kol_hoarding" localSheetId="2">#REF!</definedName>
    <definedName name="contract_status_kol_hoarding" localSheetId="1">#REF!</definedName>
    <definedName name="contract_status_kol_hoarding" localSheetId="3">#REF!</definedName>
    <definedName name="contract_status_kol_hoarding" localSheetId="5">#REF!</definedName>
    <definedName name="contract_status_kol_hoarding" localSheetId="6">#REF!</definedName>
    <definedName name="contract_status_kol_hoarding">#REF!</definedName>
    <definedName name="contract_status_kol_kiosk" localSheetId="2">#REF!</definedName>
    <definedName name="contract_status_kol_kiosk" localSheetId="1">#REF!</definedName>
    <definedName name="contract_status_kol_kiosk" localSheetId="3">#REF!</definedName>
    <definedName name="contract_status_kol_kiosk" localSheetId="5">#REF!</definedName>
    <definedName name="contract_status_kol_kiosk" localSheetId="6">#REF!</definedName>
    <definedName name="contract_status_kol_kiosk">#REF!</definedName>
    <definedName name="contract_status_kol_mpillars" localSheetId="2">#REF!</definedName>
    <definedName name="contract_status_kol_mpillars" localSheetId="1">#REF!</definedName>
    <definedName name="contract_status_kol_mpillars" localSheetId="3">#REF!</definedName>
    <definedName name="contract_status_kol_mpillars" localSheetId="5">#REF!</definedName>
    <definedName name="contract_status_kol_mpillars" localSheetId="6">#REF!</definedName>
    <definedName name="contract_status_kol_mpillars">#REF!</definedName>
    <definedName name="contract_status_kol_pillarwrap" localSheetId="2">#REF!</definedName>
    <definedName name="contract_status_kol_pillarwrap" localSheetId="1">#REF!</definedName>
    <definedName name="contract_status_kol_pillarwrap" localSheetId="3">#REF!</definedName>
    <definedName name="contract_status_kol_pillarwrap" localSheetId="5">#REF!</definedName>
    <definedName name="contract_status_kol_pillarwrap" localSheetId="6">#REF!</definedName>
    <definedName name="contract_status_kol_pillarwrap">#REF!</definedName>
    <definedName name="contract_status_kol_ts" localSheetId="2">#REF!</definedName>
    <definedName name="contract_status_kol_ts" localSheetId="1">#REF!</definedName>
    <definedName name="contract_status_kol_ts" localSheetId="3">#REF!</definedName>
    <definedName name="contract_status_kol_ts" localSheetId="5">#REF!</definedName>
    <definedName name="contract_status_kol_ts" localSheetId="6">#REF!</definedName>
    <definedName name="contract_status_kol_ts">#REF!</definedName>
    <definedName name="contract_status_mum_bestbus" localSheetId="2">#REF!</definedName>
    <definedName name="contract_status_mum_bestbus" localSheetId="1">#REF!</definedName>
    <definedName name="contract_status_mum_bestbus" localSheetId="3">#REF!</definedName>
    <definedName name="contract_status_mum_bestbus" localSheetId="5">#REF!</definedName>
    <definedName name="contract_status_mum_bestbus" localSheetId="6">#REF!</definedName>
    <definedName name="contract_status_mum_bestbus">#REF!</definedName>
    <definedName name="contract_status_mum_bqs" localSheetId="2">#REF!</definedName>
    <definedName name="contract_status_mum_bqs" localSheetId="1">#REF!</definedName>
    <definedName name="contract_status_mum_bqs" localSheetId="3">#REF!</definedName>
    <definedName name="contract_status_mum_bqs" localSheetId="5">#REF!</definedName>
    <definedName name="contract_status_mum_bqs" localSheetId="6">#REF!</definedName>
    <definedName name="contract_status_mum_bqs">#REF!</definedName>
    <definedName name="contract_status_mum_hoarding" localSheetId="2">#REF!</definedName>
    <definedName name="contract_status_mum_hoarding" localSheetId="1">#REF!</definedName>
    <definedName name="contract_status_mum_hoarding" localSheetId="3">#REF!</definedName>
    <definedName name="contract_status_mum_hoarding" localSheetId="5">#REF!</definedName>
    <definedName name="contract_status_mum_hoarding" localSheetId="6">#REF!</definedName>
    <definedName name="contract_status_mum_hoarding">#REF!</definedName>
    <definedName name="contract_status_mum_kiosk" localSheetId="2">#REF!</definedName>
    <definedName name="contract_status_mum_kiosk" localSheetId="1">#REF!</definedName>
    <definedName name="contract_status_mum_kiosk" localSheetId="3">#REF!</definedName>
    <definedName name="contract_status_mum_kiosk" localSheetId="5">#REF!</definedName>
    <definedName name="contract_status_mum_kiosk" localSheetId="6">#REF!</definedName>
    <definedName name="contract_status_mum_kiosk">#REF!</definedName>
    <definedName name="contract_status_mum_utility" localSheetId="2">#REF!</definedName>
    <definedName name="contract_status_mum_utility" localSheetId="1">#REF!</definedName>
    <definedName name="contract_status_mum_utility" localSheetId="3">#REF!</definedName>
    <definedName name="contract_status_mum_utility" localSheetId="5">#REF!</definedName>
    <definedName name="contract_status_mum_utility" localSheetId="6">#REF!</definedName>
    <definedName name="contract_status_mum_utility">#REF!</definedName>
    <definedName name="CONTRACTOR" localSheetId="2">#REF!</definedName>
    <definedName name="CONTRACTOR" localSheetId="1">#REF!</definedName>
    <definedName name="CONTRACTOR" localSheetId="3">#REF!</definedName>
    <definedName name="CONTRACTOR" localSheetId="5">#REF!</definedName>
    <definedName name="CONTRACTOR" localSheetId="6">#REF!</definedName>
    <definedName name="CONTRACTOR">#REF!</definedName>
    <definedName name="COPM" localSheetId="2">#REF!</definedName>
    <definedName name="COPM" localSheetId="1">#REF!</definedName>
    <definedName name="COPM" localSheetId="3">#REF!</definedName>
    <definedName name="COPM" localSheetId="5">#REF!</definedName>
    <definedName name="COPM" localSheetId="6">#REF!</definedName>
    <definedName name="COPM">#REF!</definedName>
    <definedName name="corptax" localSheetId="2">#REF!</definedName>
    <definedName name="corptax" localSheetId="1">#REF!</definedName>
    <definedName name="corptax" localSheetId="3">#REF!</definedName>
    <definedName name="corptax" localSheetId="5">#REF!</definedName>
    <definedName name="corptax" localSheetId="6">#REF!</definedName>
    <definedName name="corptax">#REF!</definedName>
    <definedName name="COST" localSheetId="2">#REF!</definedName>
    <definedName name="COST" localSheetId="1">#REF!</definedName>
    <definedName name="COST" localSheetId="3">#REF!</definedName>
    <definedName name="COST" localSheetId="5">#REF!</definedName>
    <definedName name="COST" localSheetId="6">#REF!</definedName>
    <definedName name="COST">#REF!</definedName>
    <definedName name="cost_calcn" localSheetId="2">#REF!</definedName>
    <definedName name="cost_calcn" localSheetId="1">#REF!</definedName>
    <definedName name="cost_calcn" localSheetId="3">#REF!</definedName>
    <definedName name="cost_calcn" localSheetId="5">#REF!</definedName>
    <definedName name="cost_calcn" localSheetId="6">#REF!</definedName>
    <definedName name="cost_calcn">#REF!</definedName>
    <definedName name="CoStatus" localSheetId="2">#REF!</definedName>
    <definedName name="CoStatus" localSheetId="1">#REF!</definedName>
    <definedName name="CoStatus" localSheetId="3">#REF!</definedName>
    <definedName name="CoStatus" localSheetId="5">#REF!</definedName>
    <definedName name="CoStatus" localSheetId="6">#REF!</definedName>
    <definedName name="CoStatus">#REF!</definedName>
    <definedName name="cr_knnl_mrbc_ron" localSheetId="2">#REF!</definedName>
    <definedName name="cr_knnl_mrbc_ron" localSheetId="1">#REF!</definedName>
    <definedName name="cr_knnl_mrbc_ron" localSheetId="3">#REF!</definedName>
    <definedName name="cr_knnl_mrbc_ron" localSheetId="5">#REF!</definedName>
    <definedName name="cr_knnl_mrbc_ron" localSheetId="6">#REF!</definedName>
    <definedName name="cr_knnl_mrbc_ron">#REF!</definedName>
    <definedName name="Creditors" localSheetId="2">#REF!</definedName>
    <definedName name="Creditors" localSheetId="1">#REF!</definedName>
    <definedName name="Creditors" localSheetId="3">#REF!</definedName>
    <definedName name="Creditors" localSheetId="5">#REF!</definedName>
    <definedName name="Creditors" localSheetId="6">#REF!</definedName>
    <definedName name="Creditors">#REF!</definedName>
    <definedName name="CRS" localSheetId="2">#REF!</definedName>
    <definedName name="CRS" localSheetId="1">#REF!</definedName>
    <definedName name="CRS" localSheetId="3">#REF!</definedName>
    <definedName name="CRS" localSheetId="5">#REF!</definedName>
    <definedName name="CRS" localSheetId="6">#REF!</definedName>
    <definedName name="CRS">#REF!</definedName>
    <definedName name="CSPL" localSheetId="2">#REF!</definedName>
    <definedName name="CSPL" localSheetId="1">#REF!</definedName>
    <definedName name="CSPL" localSheetId="3">#REF!</definedName>
    <definedName name="CSPL" localSheetId="5">#REF!</definedName>
    <definedName name="CSPL" localSheetId="6">#REF!</definedName>
    <definedName name="CSPL">#REF!</definedName>
    <definedName name="CT10490_T11_GDA" localSheetId="2">#REF!</definedName>
    <definedName name="CT10490_T11_GDA" localSheetId="1">#REF!</definedName>
    <definedName name="CT10490_T11_GDA" localSheetId="3">#REF!</definedName>
    <definedName name="CT10490_T11_GDA" localSheetId="5">#REF!</definedName>
    <definedName name="CT10490_T11_GDA" localSheetId="6">#REF!</definedName>
    <definedName name="CT10490_T11_GDA">#REF!</definedName>
    <definedName name="CT10490_T11_T1" localSheetId="2">#REF!</definedName>
    <definedName name="CT10490_T11_T1" localSheetId="1">#REF!</definedName>
    <definedName name="CT10490_T11_T1" localSheetId="3">#REF!</definedName>
    <definedName name="CT10490_T11_T1" localSheetId="5">#REF!</definedName>
    <definedName name="CT10490_T11_T1" localSheetId="6">#REF!</definedName>
    <definedName name="CT10490_T11_T1">#REF!</definedName>
    <definedName name="CT10490_T9_56k" localSheetId="2">#REF!</definedName>
    <definedName name="CT10490_T9_56k" localSheetId="1">#REF!</definedName>
    <definedName name="CT10490_T9_56k" localSheetId="3">#REF!</definedName>
    <definedName name="CT10490_T9_56k" localSheetId="5">#REF!</definedName>
    <definedName name="CT10490_T9_56k" localSheetId="6">#REF!</definedName>
    <definedName name="CT10490_T9_56k">#REF!</definedName>
    <definedName name="CT10490_T9_IBR" localSheetId="2">#REF!</definedName>
    <definedName name="CT10490_T9_IBR" localSheetId="1">#REF!</definedName>
    <definedName name="CT10490_T9_IBR" localSheetId="3">#REF!</definedName>
    <definedName name="CT10490_T9_IBR" localSheetId="5">#REF!</definedName>
    <definedName name="CT10490_T9_IBR" localSheetId="6">#REF!</definedName>
    <definedName name="CT10490_T9_IBR">#REF!</definedName>
    <definedName name="CT10490_T9_T1" localSheetId="2">#REF!</definedName>
    <definedName name="CT10490_T9_T1" localSheetId="1">#REF!</definedName>
    <definedName name="CT10490_T9_T1" localSheetId="3">#REF!</definedName>
    <definedName name="CT10490_T9_T1" localSheetId="5">#REF!</definedName>
    <definedName name="CT10490_T9_T1" localSheetId="6">#REF!</definedName>
    <definedName name="CT10490_T9_T1">#REF!</definedName>
    <definedName name="CT10587_T11_GDA" localSheetId="2">#REF!</definedName>
    <definedName name="CT10587_T11_GDA" localSheetId="1">#REF!</definedName>
    <definedName name="CT10587_T11_GDA" localSheetId="3">#REF!</definedName>
    <definedName name="CT10587_T11_GDA" localSheetId="5">#REF!</definedName>
    <definedName name="CT10587_T11_GDA" localSheetId="6">#REF!</definedName>
    <definedName name="CT10587_T11_GDA">#REF!</definedName>
    <definedName name="CT10587_T11_T1" localSheetId="2">#REF!</definedName>
    <definedName name="CT10587_T11_T1" localSheetId="1">#REF!</definedName>
    <definedName name="CT10587_T11_T1" localSheetId="3">#REF!</definedName>
    <definedName name="CT10587_T11_T1" localSheetId="5">#REF!</definedName>
    <definedName name="CT10587_T11_T1" localSheetId="6">#REF!</definedName>
    <definedName name="CT10587_T11_T1">#REF!</definedName>
    <definedName name="CT10587_T9_56k" localSheetId="2">#REF!</definedName>
    <definedName name="CT10587_T9_56k" localSheetId="1">#REF!</definedName>
    <definedName name="CT10587_T9_56k" localSheetId="3">#REF!</definedName>
    <definedName name="CT10587_T9_56k" localSheetId="5">#REF!</definedName>
    <definedName name="CT10587_T9_56k" localSheetId="6">#REF!</definedName>
    <definedName name="CT10587_T9_56k">#REF!</definedName>
    <definedName name="CT10587_T9_IBR" localSheetId="2">#REF!</definedName>
    <definedName name="CT10587_T9_IBR" localSheetId="1">#REF!</definedName>
    <definedName name="CT10587_T9_IBR" localSheetId="3">#REF!</definedName>
    <definedName name="CT10587_T9_IBR" localSheetId="5">#REF!</definedName>
    <definedName name="CT10587_T9_IBR" localSheetId="6">#REF!</definedName>
    <definedName name="CT10587_T9_IBR">#REF!</definedName>
    <definedName name="CT10587_T9_T1" localSheetId="2">#REF!</definedName>
    <definedName name="CT10587_T9_T1" localSheetId="1">#REF!</definedName>
    <definedName name="CT10587_T9_T1" localSheetId="3">#REF!</definedName>
    <definedName name="CT10587_T9_T1" localSheetId="5">#REF!</definedName>
    <definedName name="CT10587_T9_T1" localSheetId="6">#REF!</definedName>
    <definedName name="CT10587_T9_T1">#REF!</definedName>
    <definedName name="CT10613_T11_GDA" localSheetId="2">#REF!</definedName>
    <definedName name="CT10613_T11_GDA" localSheetId="1">#REF!</definedName>
    <definedName name="CT10613_T11_GDA" localSheetId="3">#REF!</definedName>
    <definedName name="CT10613_T11_GDA" localSheetId="5">#REF!</definedName>
    <definedName name="CT10613_T11_GDA" localSheetId="6">#REF!</definedName>
    <definedName name="CT10613_T11_GDA">#REF!</definedName>
    <definedName name="CT10613_T11_T1" localSheetId="2">#REF!</definedName>
    <definedName name="CT10613_T11_T1" localSheetId="1">#REF!</definedName>
    <definedName name="CT10613_T11_T1" localSheetId="3">#REF!</definedName>
    <definedName name="CT10613_T11_T1" localSheetId="5">#REF!</definedName>
    <definedName name="CT10613_T11_T1" localSheetId="6">#REF!</definedName>
    <definedName name="CT10613_T11_T1">#REF!</definedName>
    <definedName name="CT10613_T9_56k" localSheetId="2">#REF!</definedName>
    <definedName name="CT10613_T9_56k" localSheetId="1">#REF!</definedName>
    <definedName name="CT10613_T9_56k" localSheetId="3">#REF!</definedName>
    <definedName name="CT10613_T9_56k" localSheetId="5">#REF!</definedName>
    <definedName name="CT10613_T9_56k" localSheetId="6">#REF!</definedName>
    <definedName name="CT10613_T9_56k">#REF!</definedName>
    <definedName name="CT10613_T9_IBR" localSheetId="2">#REF!</definedName>
    <definedName name="CT10613_T9_IBR" localSheetId="1">#REF!</definedName>
    <definedName name="CT10613_T9_IBR" localSheetId="3">#REF!</definedName>
    <definedName name="CT10613_T9_IBR" localSheetId="5">#REF!</definedName>
    <definedName name="CT10613_T9_IBR" localSheetId="6">#REF!</definedName>
    <definedName name="CT10613_T9_IBR">#REF!</definedName>
    <definedName name="CT10613_T9_T1" localSheetId="2">#REF!</definedName>
    <definedName name="CT10613_T9_T1" localSheetId="1">#REF!</definedName>
    <definedName name="CT10613_T9_T1" localSheetId="3">#REF!</definedName>
    <definedName name="CT10613_T9_T1" localSheetId="5">#REF!</definedName>
    <definedName name="CT10613_T9_T1" localSheetId="6">#REF!</definedName>
    <definedName name="CT10613_T9_T1">#REF!</definedName>
    <definedName name="CT10881_IOC" localSheetId="2">#REF!</definedName>
    <definedName name="CT10881_IOC" localSheetId="1">#REF!</definedName>
    <definedName name="CT10881_IOC" localSheetId="3">#REF!</definedName>
    <definedName name="CT10881_IOC" localSheetId="5">#REF!</definedName>
    <definedName name="CT10881_IOC" localSheetId="6">#REF!</definedName>
    <definedName name="CT10881_IOC">#REF!</definedName>
    <definedName name="CT10881_LC" localSheetId="2">#REF!</definedName>
    <definedName name="CT10881_LC" localSheetId="1">#REF!</definedName>
    <definedName name="CT10881_LC" localSheetId="3">#REF!</definedName>
    <definedName name="CT10881_LC" localSheetId="5">#REF!</definedName>
    <definedName name="CT10881_LC" localSheetId="6">#REF!</definedName>
    <definedName name="CT10881_LC">#REF!</definedName>
    <definedName name="CTGMW" localSheetId="2">#REF!</definedName>
    <definedName name="CTGMW" localSheetId="1">#REF!</definedName>
    <definedName name="CTGMW" localSheetId="3">#REF!</definedName>
    <definedName name="CTGMW" localSheetId="5">#REF!</definedName>
    <definedName name="CTGMW" localSheetId="6">#REF!</definedName>
    <definedName name="CTGMW">#REF!</definedName>
    <definedName name="CURRENCY" localSheetId="2">#REF!</definedName>
    <definedName name="CURRENCY" localSheetId="1">#REF!</definedName>
    <definedName name="CURRENCY" localSheetId="3">#REF!</definedName>
    <definedName name="CURRENCY" localSheetId="5">#REF!</definedName>
    <definedName name="CURRENCY" localSheetId="6">#REF!</definedName>
    <definedName name="CURRENCY">#REF!</definedName>
    <definedName name="CurrencySymbols" localSheetId="2">#REF!</definedName>
    <definedName name="CurrencySymbols" localSheetId="1">#REF!</definedName>
    <definedName name="CurrencySymbols" localSheetId="3">#REF!</definedName>
    <definedName name="CurrencySymbols" localSheetId="5">#REF!</definedName>
    <definedName name="CurrencySymbols" localSheetId="6">#REF!</definedName>
    <definedName name="CurrencySymbols">#REF!</definedName>
    <definedName name="Currentplugcost" localSheetId="2">#REF!</definedName>
    <definedName name="Currentplugcost" localSheetId="1">#REF!</definedName>
    <definedName name="Currentplugcost" localSheetId="3">#REF!</definedName>
    <definedName name="Currentplugcost" localSheetId="5">#REF!</definedName>
    <definedName name="Currentplugcost" localSheetId="6">#REF!</definedName>
    <definedName name="Currentplugcost">#REF!</definedName>
    <definedName name="Custom_MMRC" localSheetId="2">#REF!</definedName>
    <definedName name="Custom_MMRC" localSheetId="1">#REF!</definedName>
    <definedName name="Custom_MMRC" localSheetId="3">#REF!</definedName>
    <definedName name="Custom_MMRC" localSheetId="5">#REF!</definedName>
    <definedName name="Custom_MMRC" localSheetId="6">#REF!</definedName>
    <definedName name="Custom_MMRC">#REF!</definedName>
    <definedName name="Custom_Term" localSheetId="2">#REF!</definedName>
    <definedName name="Custom_Term" localSheetId="1">#REF!</definedName>
    <definedName name="Custom_Term" localSheetId="3">#REF!</definedName>
    <definedName name="Custom_Term" localSheetId="5">#REF!</definedName>
    <definedName name="Custom_Term" localSheetId="6">#REF!</definedName>
    <definedName name="Custom_Term">#REF!</definedName>
    <definedName name="d" localSheetId="2">#REF!</definedName>
    <definedName name="d" localSheetId="1">#REF!</definedName>
    <definedName name="d" localSheetId="3">#REF!</definedName>
    <definedName name="d" localSheetId="5">#REF!</definedName>
    <definedName name="d" localSheetId="6">#REF!</definedName>
    <definedName name="d">#REF!</definedName>
    <definedName name="da" localSheetId="2">#REF!</definedName>
    <definedName name="da" localSheetId="1">#REF!</definedName>
    <definedName name="da" localSheetId="3">#REF!</definedName>
    <definedName name="da" localSheetId="5">#REF!</definedName>
    <definedName name="da" localSheetId="6">#REF!</definedName>
    <definedName name="da">#REF!</definedName>
    <definedName name="Data" localSheetId="2">#REF!</definedName>
    <definedName name="Data" localSheetId="1">#REF!</definedName>
    <definedName name="Data" localSheetId="3">#REF!</definedName>
    <definedName name="Data" localSheetId="5">#REF!</definedName>
    <definedName name="Data" localSheetId="6">#REF!</definedName>
    <definedName name="Data">#REF!</definedName>
    <definedName name="data1" localSheetId="2">#REF!</definedName>
    <definedName name="data1" localSheetId="1">#REF!</definedName>
    <definedName name="data1" localSheetId="3">#REF!</definedName>
    <definedName name="data1" localSheetId="5">#REF!</definedName>
    <definedName name="data1" localSheetId="6">#REF!</definedName>
    <definedName name="data1">#REF!</definedName>
    <definedName name="data10" localSheetId="2">#REF!</definedName>
    <definedName name="data10" localSheetId="1">#REF!</definedName>
    <definedName name="data10" localSheetId="3">#REF!</definedName>
    <definedName name="data10" localSheetId="5">#REF!</definedName>
    <definedName name="data10" localSheetId="6">#REF!</definedName>
    <definedName name="data10">#REF!</definedName>
    <definedName name="data100" localSheetId="2">#REF!</definedName>
    <definedName name="data100" localSheetId="1">#REF!</definedName>
    <definedName name="data100" localSheetId="3">#REF!</definedName>
    <definedName name="data100" localSheetId="5">#REF!</definedName>
    <definedName name="data100" localSheetId="6">#REF!</definedName>
    <definedName name="data100">#REF!</definedName>
    <definedName name="data101" localSheetId="2">#REF!</definedName>
    <definedName name="data101" localSheetId="1">#REF!</definedName>
    <definedName name="data101" localSheetId="3">#REF!</definedName>
    <definedName name="data101" localSheetId="5">#REF!</definedName>
    <definedName name="data101" localSheetId="6">#REF!</definedName>
    <definedName name="data101">#REF!</definedName>
    <definedName name="data11" localSheetId="2">#REF!</definedName>
    <definedName name="data11" localSheetId="1">#REF!</definedName>
    <definedName name="data11" localSheetId="3">#REF!</definedName>
    <definedName name="data11" localSheetId="5">#REF!</definedName>
    <definedName name="data11" localSheetId="6">#REF!</definedName>
    <definedName name="data11">#REF!</definedName>
    <definedName name="data12" localSheetId="2">#REF!</definedName>
    <definedName name="data12" localSheetId="1">#REF!</definedName>
    <definedName name="data12" localSheetId="3">#REF!</definedName>
    <definedName name="data12" localSheetId="5">#REF!</definedName>
    <definedName name="data12" localSheetId="6">#REF!</definedName>
    <definedName name="data12">#REF!</definedName>
    <definedName name="data13" localSheetId="2">#REF!</definedName>
    <definedName name="data13" localSheetId="1">#REF!</definedName>
    <definedName name="data13" localSheetId="3">#REF!</definedName>
    <definedName name="data13" localSheetId="5">#REF!</definedName>
    <definedName name="data13" localSheetId="6">#REF!</definedName>
    <definedName name="data13">#REF!</definedName>
    <definedName name="data14" localSheetId="2">#REF!</definedName>
    <definedName name="data14" localSheetId="1">#REF!</definedName>
    <definedName name="data14" localSheetId="3">#REF!</definedName>
    <definedName name="data14" localSheetId="5">#REF!</definedName>
    <definedName name="data14" localSheetId="6">#REF!</definedName>
    <definedName name="data14">#REF!</definedName>
    <definedName name="data15" localSheetId="2">#REF!</definedName>
    <definedName name="data15" localSheetId="1">#REF!</definedName>
    <definedName name="data15" localSheetId="3">#REF!</definedName>
    <definedName name="data15" localSheetId="5">#REF!</definedName>
    <definedName name="data15" localSheetId="6">#REF!</definedName>
    <definedName name="data15">#REF!</definedName>
    <definedName name="data16" localSheetId="2">#REF!</definedName>
    <definedName name="data16" localSheetId="1">#REF!</definedName>
    <definedName name="data16" localSheetId="3">#REF!</definedName>
    <definedName name="data16" localSheetId="5">#REF!</definedName>
    <definedName name="data16" localSheetId="6">#REF!</definedName>
    <definedName name="data16">#REF!</definedName>
    <definedName name="data17" localSheetId="2">#REF!</definedName>
    <definedName name="data17" localSheetId="1">#REF!</definedName>
    <definedName name="data17" localSheetId="3">#REF!</definedName>
    <definedName name="data17" localSheetId="5">#REF!</definedName>
    <definedName name="data17" localSheetId="6">#REF!</definedName>
    <definedName name="data17">#REF!</definedName>
    <definedName name="data18" localSheetId="2">#REF!</definedName>
    <definedName name="data18" localSheetId="1">#REF!</definedName>
    <definedName name="data18" localSheetId="3">#REF!</definedName>
    <definedName name="data18" localSheetId="5">#REF!</definedName>
    <definedName name="data18" localSheetId="6">#REF!</definedName>
    <definedName name="data18">#REF!</definedName>
    <definedName name="data19" localSheetId="2">#REF!</definedName>
    <definedName name="data19" localSheetId="1">#REF!</definedName>
    <definedName name="data19" localSheetId="3">#REF!</definedName>
    <definedName name="data19" localSheetId="5">#REF!</definedName>
    <definedName name="data19" localSheetId="6">#REF!</definedName>
    <definedName name="data19">#REF!</definedName>
    <definedName name="data2" localSheetId="2">#REF!</definedName>
    <definedName name="data2" localSheetId="1">#REF!</definedName>
    <definedName name="data2" localSheetId="3">#REF!</definedName>
    <definedName name="data2" localSheetId="5">#REF!</definedName>
    <definedName name="data2" localSheetId="6">#REF!</definedName>
    <definedName name="data2">#REF!</definedName>
    <definedName name="data20" localSheetId="2">#REF!</definedName>
    <definedName name="data20" localSheetId="1">#REF!</definedName>
    <definedName name="data20" localSheetId="3">#REF!</definedName>
    <definedName name="data20" localSheetId="5">#REF!</definedName>
    <definedName name="data20" localSheetId="6">#REF!</definedName>
    <definedName name="data20">#REF!</definedName>
    <definedName name="data21" localSheetId="2">#REF!</definedName>
    <definedName name="data21" localSheetId="1">#REF!</definedName>
    <definedName name="data21" localSheetId="3">#REF!</definedName>
    <definedName name="data21" localSheetId="5">#REF!</definedName>
    <definedName name="data21" localSheetId="6">#REF!</definedName>
    <definedName name="data21">#REF!</definedName>
    <definedName name="data22" localSheetId="2">#REF!</definedName>
    <definedName name="data22" localSheetId="1">#REF!</definedName>
    <definedName name="data22" localSheetId="3">#REF!</definedName>
    <definedName name="data22" localSheetId="5">#REF!</definedName>
    <definedName name="data22" localSheetId="6">#REF!</definedName>
    <definedName name="data22">#REF!</definedName>
    <definedName name="data23" localSheetId="2">#REF!</definedName>
    <definedName name="data23" localSheetId="1">#REF!</definedName>
    <definedName name="data23" localSheetId="3">#REF!</definedName>
    <definedName name="data23" localSheetId="5">#REF!</definedName>
    <definedName name="data23" localSheetId="6">#REF!</definedName>
    <definedName name="data23">#REF!</definedName>
    <definedName name="data24" localSheetId="2">#REF!</definedName>
    <definedName name="data24" localSheetId="1">#REF!</definedName>
    <definedName name="data24" localSheetId="3">#REF!</definedName>
    <definedName name="data24" localSheetId="5">#REF!</definedName>
    <definedName name="data24" localSheetId="6">#REF!</definedName>
    <definedName name="data24">#REF!</definedName>
    <definedName name="data25" localSheetId="2">#REF!</definedName>
    <definedName name="data25" localSheetId="1">#REF!</definedName>
    <definedName name="data25" localSheetId="3">#REF!</definedName>
    <definedName name="data25" localSheetId="5">#REF!</definedName>
    <definedName name="data25" localSheetId="6">#REF!</definedName>
    <definedName name="data25">#REF!</definedName>
    <definedName name="data26" localSheetId="2">#REF!</definedName>
    <definedName name="data26" localSheetId="1">#REF!</definedName>
    <definedName name="data26" localSheetId="3">#REF!</definedName>
    <definedName name="data26" localSheetId="5">#REF!</definedName>
    <definedName name="data26" localSheetId="6">#REF!</definedName>
    <definedName name="data26">#REF!</definedName>
    <definedName name="data27" localSheetId="2">#REF!</definedName>
    <definedName name="data27" localSheetId="1">#REF!</definedName>
    <definedName name="data27" localSheetId="3">#REF!</definedName>
    <definedName name="data27" localSheetId="5">#REF!</definedName>
    <definedName name="data27" localSheetId="6">#REF!</definedName>
    <definedName name="data27">#REF!</definedName>
    <definedName name="data28" localSheetId="2">#REF!</definedName>
    <definedName name="data28" localSheetId="1">#REF!</definedName>
    <definedName name="data28" localSheetId="3">#REF!</definedName>
    <definedName name="data28" localSheetId="5">#REF!</definedName>
    <definedName name="data28" localSheetId="6">#REF!</definedName>
    <definedName name="data28">#REF!</definedName>
    <definedName name="data29" localSheetId="2">#REF!</definedName>
    <definedName name="data29" localSheetId="1">#REF!</definedName>
    <definedName name="data29" localSheetId="3">#REF!</definedName>
    <definedName name="data29" localSheetId="5">#REF!</definedName>
    <definedName name="data29" localSheetId="6">#REF!</definedName>
    <definedName name="data29">#REF!</definedName>
    <definedName name="data3" localSheetId="2">#REF!</definedName>
    <definedName name="data3" localSheetId="1">#REF!</definedName>
    <definedName name="data3" localSheetId="3">#REF!</definedName>
    <definedName name="data3" localSheetId="5">#REF!</definedName>
    <definedName name="data3" localSheetId="6">#REF!</definedName>
    <definedName name="data3">#REF!</definedName>
    <definedName name="data30" localSheetId="2">#REF!</definedName>
    <definedName name="data30" localSheetId="1">#REF!</definedName>
    <definedName name="data30" localSheetId="3">#REF!</definedName>
    <definedName name="data30" localSheetId="5">#REF!</definedName>
    <definedName name="data30" localSheetId="6">#REF!</definedName>
    <definedName name="data30">#REF!</definedName>
    <definedName name="data31" localSheetId="2">#REF!</definedName>
    <definedName name="data31" localSheetId="1">#REF!</definedName>
    <definedName name="data31" localSheetId="3">#REF!</definedName>
    <definedName name="data31" localSheetId="5">#REF!</definedName>
    <definedName name="data31" localSheetId="6">#REF!</definedName>
    <definedName name="data31">#REF!</definedName>
    <definedName name="data32" localSheetId="2">#REF!</definedName>
    <definedName name="data32" localSheetId="1">#REF!</definedName>
    <definedName name="data32" localSheetId="3">#REF!</definedName>
    <definedName name="data32" localSheetId="5">#REF!</definedName>
    <definedName name="data32" localSheetId="6">#REF!</definedName>
    <definedName name="data32">#REF!</definedName>
    <definedName name="data33" localSheetId="2">#REF!</definedName>
    <definedName name="data33" localSheetId="1">#REF!</definedName>
    <definedName name="data33" localSheetId="3">#REF!</definedName>
    <definedName name="data33" localSheetId="5">#REF!</definedName>
    <definedName name="data33" localSheetId="6">#REF!</definedName>
    <definedName name="data33">#REF!</definedName>
    <definedName name="data34" localSheetId="2">#REF!</definedName>
    <definedName name="data34" localSheetId="1">#REF!</definedName>
    <definedName name="data34" localSheetId="3">#REF!</definedName>
    <definedName name="data34" localSheetId="5">#REF!</definedName>
    <definedName name="data34" localSheetId="6">#REF!</definedName>
    <definedName name="data34">#REF!</definedName>
    <definedName name="data35" localSheetId="2">#REF!</definedName>
    <definedName name="data35" localSheetId="1">#REF!</definedName>
    <definedName name="data35" localSheetId="3">#REF!</definedName>
    <definedName name="data35" localSheetId="5">#REF!</definedName>
    <definedName name="data35" localSheetId="6">#REF!</definedName>
    <definedName name="data35">#REF!</definedName>
    <definedName name="data36" localSheetId="2">#REF!</definedName>
    <definedName name="data36" localSheetId="1">#REF!</definedName>
    <definedName name="data36" localSheetId="3">#REF!</definedName>
    <definedName name="data36" localSheetId="5">#REF!</definedName>
    <definedName name="data36" localSheetId="6">#REF!</definedName>
    <definedName name="data36">#REF!</definedName>
    <definedName name="data37" localSheetId="2">#REF!</definedName>
    <definedName name="data37" localSheetId="1">#REF!</definedName>
    <definedName name="data37" localSheetId="3">#REF!</definedName>
    <definedName name="data37" localSheetId="5">#REF!</definedName>
    <definedName name="data37" localSheetId="6">#REF!</definedName>
    <definedName name="data37">#REF!</definedName>
    <definedName name="data38" localSheetId="2">#REF!</definedName>
    <definedName name="data38" localSheetId="1">#REF!</definedName>
    <definedName name="data38" localSheetId="3">#REF!</definedName>
    <definedName name="data38" localSheetId="5">#REF!</definedName>
    <definedName name="data38" localSheetId="6">#REF!</definedName>
    <definedName name="data38">#REF!</definedName>
    <definedName name="data39" localSheetId="2">#REF!</definedName>
    <definedName name="data39" localSheetId="1">#REF!</definedName>
    <definedName name="data39" localSheetId="3">#REF!</definedName>
    <definedName name="data39" localSheetId="5">#REF!</definedName>
    <definedName name="data39" localSheetId="6">#REF!</definedName>
    <definedName name="data39">#REF!</definedName>
    <definedName name="data4" localSheetId="2">#REF!</definedName>
    <definedName name="data4" localSheetId="1">#REF!</definedName>
    <definedName name="data4" localSheetId="3">#REF!</definedName>
    <definedName name="data4" localSheetId="5">#REF!</definedName>
    <definedName name="data4" localSheetId="6">#REF!</definedName>
    <definedName name="data4">#REF!</definedName>
    <definedName name="data40" localSheetId="2">#REF!</definedName>
    <definedName name="data40" localSheetId="1">#REF!</definedName>
    <definedName name="data40" localSheetId="3">#REF!</definedName>
    <definedName name="data40" localSheetId="5">#REF!</definedName>
    <definedName name="data40" localSheetId="6">#REF!</definedName>
    <definedName name="data40">#REF!</definedName>
    <definedName name="data41" localSheetId="2">#REF!</definedName>
    <definedName name="data41" localSheetId="1">#REF!</definedName>
    <definedName name="data41" localSheetId="3">#REF!</definedName>
    <definedName name="data41" localSheetId="5">#REF!</definedName>
    <definedName name="data41" localSheetId="6">#REF!</definedName>
    <definedName name="data41">#REF!</definedName>
    <definedName name="data42" localSheetId="2">#REF!</definedName>
    <definedName name="data42" localSheetId="1">#REF!</definedName>
    <definedName name="data42" localSheetId="3">#REF!</definedName>
    <definedName name="data42" localSheetId="5">#REF!</definedName>
    <definedName name="data42" localSheetId="6">#REF!</definedName>
    <definedName name="data42">#REF!</definedName>
    <definedName name="data43" localSheetId="2">#REF!</definedName>
    <definedName name="data43" localSheetId="1">#REF!</definedName>
    <definedName name="data43" localSheetId="3">#REF!</definedName>
    <definedName name="data43" localSheetId="5">#REF!</definedName>
    <definedName name="data43" localSheetId="6">#REF!</definedName>
    <definedName name="data43">#REF!</definedName>
    <definedName name="data44" localSheetId="2">#REF!</definedName>
    <definedName name="data44" localSheetId="1">#REF!</definedName>
    <definedName name="data44" localSheetId="3">#REF!</definedName>
    <definedName name="data44" localSheetId="5">#REF!</definedName>
    <definedName name="data44" localSheetId="6">#REF!</definedName>
    <definedName name="data44">#REF!</definedName>
    <definedName name="data45" localSheetId="2">#REF!</definedName>
    <definedName name="data45" localSheetId="1">#REF!</definedName>
    <definedName name="data45" localSheetId="3">#REF!</definedName>
    <definedName name="data45" localSheetId="5">#REF!</definedName>
    <definedName name="data45" localSheetId="6">#REF!</definedName>
    <definedName name="data45">#REF!</definedName>
    <definedName name="data46" localSheetId="2">#REF!</definedName>
    <definedName name="data46" localSheetId="1">#REF!</definedName>
    <definedName name="data46" localSheetId="3">#REF!</definedName>
    <definedName name="data46" localSheetId="5">#REF!</definedName>
    <definedName name="data46" localSheetId="6">#REF!</definedName>
    <definedName name="data46">#REF!</definedName>
    <definedName name="data47" localSheetId="2">#REF!</definedName>
    <definedName name="data47" localSheetId="1">#REF!</definedName>
    <definedName name="data47" localSheetId="3">#REF!</definedName>
    <definedName name="data47" localSheetId="5">#REF!</definedName>
    <definedName name="data47" localSheetId="6">#REF!</definedName>
    <definedName name="data47">#REF!</definedName>
    <definedName name="data48" localSheetId="2">#REF!</definedName>
    <definedName name="data48" localSheetId="1">#REF!</definedName>
    <definedName name="data48" localSheetId="3">#REF!</definedName>
    <definedName name="data48" localSheetId="5">#REF!</definedName>
    <definedName name="data48" localSheetId="6">#REF!</definedName>
    <definedName name="data48">#REF!</definedName>
    <definedName name="data49" localSheetId="2">#REF!</definedName>
    <definedName name="data49" localSheetId="1">#REF!</definedName>
    <definedName name="data49" localSheetId="3">#REF!</definedName>
    <definedName name="data49" localSheetId="5">#REF!</definedName>
    <definedName name="data49" localSheetId="6">#REF!</definedName>
    <definedName name="data49">#REF!</definedName>
    <definedName name="data5" localSheetId="2">#REF!</definedName>
    <definedName name="data5" localSheetId="1">#REF!</definedName>
    <definedName name="data5" localSheetId="3">#REF!</definedName>
    <definedName name="data5" localSheetId="5">#REF!</definedName>
    <definedName name="data5" localSheetId="6">#REF!</definedName>
    <definedName name="data5">#REF!</definedName>
    <definedName name="data50" localSheetId="2">#REF!</definedName>
    <definedName name="data50" localSheetId="1">#REF!</definedName>
    <definedName name="data50" localSheetId="3">#REF!</definedName>
    <definedName name="data50" localSheetId="5">#REF!</definedName>
    <definedName name="data50" localSheetId="6">#REF!</definedName>
    <definedName name="data50">#REF!</definedName>
    <definedName name="data51" localSheetId="2">#REF!</definedName>
    <definedName name="data51" localSheetId="1">#REF!</definedName>
    <definedName name="data51" localSheetId="3">#REF!</definedName>
    <definedName name="data51" localSheetId="5">#REF!</definedName>
    <definedName name="data51" localSheetId="6">#REF!</definedName>
    <definedName name="data51">#REF!</definedName>
    <definedName name="data52" localSheetId="2">#REF!</definedName>
    <definedName name="data52" localSheetId="1">#REF!</definedName>
    <definedName name="data52" localSheetId="3">#REF!</definedName>
    <definedName name="data52" localSheetId="5">#REF!</definedName>
    <definedName name="data52" localSheetId="6">#REF!</definedName>
    <definedName name="data52">#REF!</definedName>
    <definedName name="data53" localSheetId="2">#REF!</definedName>
    <definedName name="data53" localSheetId="1">#REF!</definedName>
    <definedName name="data53" localSheetId="3">#REF!</definedName>
    <definedName name="data53" localSheetId="5">#REF!</definedName>
    <definedName name="data53" localSheetId="6">#REF!</definedName>
    <definedName name="data53">#REF!</definedName>
    <definedName name="data54" localSheetId="2">#REF!</definedName>
    <definedName name="data54" localSheetId="1">#REF!</definedName>
    <definedName name="data54" localSheetId="3">#REF!</definedName>
    <definedName name="data54" localSheetId="5">#REF!</definedName>
    <definedName name="data54" localSheetId="6">#REF!</definedName>
    <definedName name="data54">#REF!</definedName>
    <definedName name="data55" localSheetId="2">#REF!</definedName>
    <definedName name="data55" localSheetId="1">#REF!</definedName>
    <definedName name="data55" localSheetId="3">#REF!</definedName>
    <definedName name="data55" localSheetId="5">#REF!</definedName>
    <definedName name="data55" localSheetId="6">#REF!</definedName>
    <definedName name="data55">#REF!</definedName>
    <definedName name="data56" localSheetId="2">#REF!</definedName>
    <definedName name="data56" localSheetId="1">#REF!</definedName>
    <definedName name="data56" localSheetId="3">#REF!</definedName>
    <definedName name="data56" localSheetId="5">#REF!</definedName>
    <definedName name="data56" localSheetId="6">#REF!</definedName>
    <definedName name="data56">#REF!</definedName>
    <definedName name="data57" localSheetId="2">#REF!</definedName>
    <definedName name="data57" localSheetId="1">#REF!</definedName>
    <definedName name="data57" localSheetId="3">#REF!</definedName>
    <definedName name="data57" localSheetId="5">#REF!</definedName>
    <definedName name="data57" localSheetId="6">#REF!</definedName>
    <definedName name="data57">#REF!</definedName>
    <definedName name="data58" localSheetId="2">#REF!</definedName>
    <definedName name="data58" localSheetId="1">#REF!</definedName>
    <definedName name="data58" localSheetId="3">#REF!</definedName>
    <definedName name="data58" localSheetId="5">#REF!</definedName>
    <definedName name="data58" localSheetId="6">#REF!</definedName>
    <definedName name="data58">#REF!</definedName>
    <definedName name="data59" localSheetId="2">#REF!</definedName>
    <definedName name="data59" localSheetId="1">#REF!</definedName>
    <definedName name="data59" localSheetId="3">#REF!</definedName>
    <definedName name="data59" localSheetId="5">#REF!</definedName>
    <definedName name="data59" localSheetId="6">#REF!</definedName>
    <definedName name="data59">#REF!</definedName>
    <definedName name="data6" localSheetId="2">#REF!</definedName>
    <definedName name="data6" localSheetId="1">#REF!</definedName>
    <definedName name="data6" localSheetId="3">#REF!</definedName>
    <definedName name="data6" localSheetId="5">#REF!</definedName>
    <definedName name="data6" localSheetId="6">#REF!</definedName>
    <definedName name="data6">#REF!</definedName>
    <definedName name="data60" localSheetId="2">#REF!</definedName>
    <definedName name="data60" localSheetId="1">#REF!</definedName>
    <definedName name="data60" localSheetId="3">#REF!</definedName>
    <definedName name="data60" localSheetId="5">#REF!</definedName>
    <definedName name="data60" localSheetId="6">#REF!</definedName>
    <definedName name="data60">#REF!</definedName>
    <definedName name="data61" localSheetId="2">#REF!</definedName>
    <definedName name="data61" localSheetId="1">#REF!</definedName>
    <definedName name="data61" localSheetId="3">#REF!</definedName>
    <definedName name="data61" localSheetId="5">#REF!</definedName>
    <definedName name="data61" localSheetId="6">#REF!</definedName>
    <definedName name="data61">#REF!</definedName>
    <definedName name="data62" localSheetId="2">#REF!</definedName>
    <definedName name="data62" localSheetId="1">#REF!</definedName>
    <definedName name="data62" localSheetId="3">#REF!</definedName>
    <definedName name="data62" localSheetId="5">#REF!</definedName>
    <definedName name="data62" localSheetId="6">#REF!</definedName>
    <definedName name="data62">#REF!</definedName>
    <definedName name="data63" localSheetId="2">#REF!</definedName>
    <definedName name="data63" localSheetId="1">#REF!</definedName>
    <definedName name="data63" localSheetId="3">#REF!</definedName>
    <definedName name="data63" localSheetId="5">#REF!</definedName>
    <definedName name="data63" localSheetId="6">#REF!</definedName>
    <definedName name="data63">#REF!</definedName>
    <definedName name="data64" localSheetId="2">#REF!</definedName>
    <definedName name="data64" localSheetId="1">#REF!</definedName>
    <definedName name="data64" localSheetId="3">#REF!</definedName>
    <definedName name="data64" localSheetId="5">#REF!</definedName>
    <definedName name="data64" localSheetId="6">#REF!</definedName>
    <definedName name="data64">#REF!</definedName>
    <definedName name="data65" localSheetId="2">#REF!</definedName>
    <definedName name="data65" localSheetId="1">#REF!</definedName>
    <definedName name="data65" localSheetId="3">#REF!</definedName>
    <definedName name="data65" localSheetId="5">#REF!</definedName>
    <definedName name="data65" localSheetId="6">#REF!</definedName>
    <definedName name="data65">#REF!</definedName>
    <definedName name="data66" localSheetId="2">#REF!</definedName>
    <definedName name="data66" localSheetId="1">#REF!</definedName>
    <definedName name="data66" localSheetId="3">#REF!</definedName>
    <definedName name="data66" localSheetId="5">#REF!</definedName>
    <definedName name="data66" localSheetId="6">#REF!</definedName>
    <definedName name="data66">#REF!</definedName>
    <definedName name="data67" localSheetId="2">#REF!</definedName>
    <definedName name="data67" localSheetId="1">#REF!</definedName>
    <definedName name="data67" localSheetId="3">#REF!</definedName>
    <definedName name="data67" localSheetId="5">#REF!</definedName>
    <definedName name="data67" localSheetId="6">#REF!</definedName>
    <definedName name="data67">#REF!</definedName>
    <definedName name="data68" localSheetId="2">#REF!</definedName>
    <definedName name="data68" localSheetId="1">#REF!</definedName>
    <definedName name="data68" localSheetId="3">#REF!</definedName>
    <definedName name="data68" localSheetId="5">#REF!</definedName>
    <definedName name="data68" localSheetId="6">#REF!</definedName>
    <definedName name="data68">#REF!</definedName>
    <definedName name="data69" localSheetId="2">#REF!</definedName>
    <definedName name="data69" localSheetId="1">#REF!</definedName>
    <definedName name="data69" localSheetId="3">#REF!</definedName>
    <definedName name="data69" localSheetId="5">#REF!</definedName>
    <definedName name="data69" localSheetId="6">#REF!</definedName>
    <definedName name="data69">#REF!</definedName>
    <definedName name="data7" localSheetId="2">#REF!</definedName>
    <definedName name="data7" localSheetId="1">#REF!</definedName>
    <definedName name="data7" localSheetId="3">#REF!</definedName>
    <definedName name="data7" localSheetId="5">#REF!</definedName>
    <definedName name="data7" localSheetId="6">#REF!</definedName>
    <definedName name="data7">#REF!</definedName>
    <definedName name="data70" localSheetId="2">#REF!</definedName>
    <definedName name="data70" localSheetId="1">#REF!</definedName>
    <definedName name="data70" localSheetId="3">#REF!</definedName>
    <definedName name="data70" localSheetId="5">#REF!</definedName>
    <definedName name="data70" localSheetId="6">#REF!</definedName>
    <definedName name="data70">#REF!</definedName>
    <definedName name="data71" localSheetId="2">#REF!</definedName>
    <definedName name="data71" localSheetId="1">#REF!</definedName>
    <definedName name="data71" localSheetId="3">#REF!</definedName>
    <definedName name="data71" localSheetId="5">#REF!</definedName>
    <definedName name="data71" localSheetId="6">#REF!</definedName>
    <definedName name="data71">#REF!</definedName>
    <definedName name="data72" localSheetId="2">#REF!</definedName>
    <definedName name="data72" localSheetId="1">#REF!</definedName>
    <definedName name="data72" localSheetId="3">#REF!</definedName>
    <definedName name="data72" localSheetId="5">#REF!</definedName>
    <definedName name="data72" localSheetId="6">#REF!</definedName>
    <definedName name="data72">#REF!</definedName>
    <definedName name="data73" localSheetId="2">#REF!</definedName>
    <definedName name="data73" localSheetId="1">#REF!</definedName>
    <definedName name="data73" localSheetId="3">#REF!</definedName>
    <definedName name="data73" localSheetId="5">#REF!</definedName>
    <definedName name="data73" localSheetId="6">#REF!</definedName>
    <definedName name="data73">#REF!</definedName>
    <definedName name="data74" localSheetId="2">#REF!</definedName>
    <definedName name="data74" localSheetId="1">#REF!</definedName>
    <definedName name="data74" localSheetId="3">#REF!</definedName>
    <definedName name="data74" localSheetId="5">#REF!</definedName>
    <definedName name="data74" localSheetId="6">#REF!</definedName>
    <definedName name="data74">#REF!</definedName>
    <definedName name="data75" localSheetId="2">#REF!</definedName>
    <definedName name="data75" localSheetId="1">#REF!</definedName>
    <definedName name="data75" localSheetId="3">#REF!</definedName>
    <definedName name="data75" localSheetId="5">#REF!</definedName>
    <definedName name="data75" localSheetId="6">#REF!</definedName>
    <definedName name="data75">#REF!</definedName>
    <definedName name="data76" localSheetId="2">#REF!</definedName>
    <definedName name="data76" localSheetId="1">#REF!</definedName>
    <definedName name="data76" localSheetId="3">#REF!</definedName>
    <definedName name="data76" localSheetId="5">#REF!</definedName>
    <definedName name="data76" localSheetId="6">#REF!</definedName>
    <definedName name="data76">#REF!</definedName>
    <definedName name="data77" localSheetId="2">#REF!</definedName>
    <definedName name="data77" localSheetId="1">#REF!</definedName>
    <definedName name="data77" localSheetId="3">#REF!</definedName>
    <definedName name="data77" localSheetId="5">#REF!</definedName>
    <definedName name="data77" localSheetId="6">#REF!</definedName>
    <definedName name="data77">#REF!</definedName>
    <definedName name="data78" localSheetId="2">#REF!</definedName>
    <definedName name="data78" localSheetId="1">#REF!</definedName>
    <definedName name="data78" localSheetId="3">#REF!</definedName>
    <definedName name="data78" localSheetId="5">#REF!</definedName>
    <definedName name="data78" localSheetId="6">#REF!</definedName>
    <definedName name="data78">#REF!</definedName>
    <definedName name="data79" localSheetId="2">#REF!</definedName>
    <definedName name="data79" localSheetId="1">#REF!</definedName>
    <definedName name="data79" localSheetId="3">#REF!</definedName>
    <definedName name="data79" localSheetId="5">#REF!</definedName>
    <definedName name="data79" localSheetId="6">#REF!</definedName>
    <definedName name="data79">#REF!</definedName>
    <definedName name="data8" localSheetId="2">#REF!</definedName>
    <definedName name="data8" localSheetId="1">#REF!</definedName>
    <definedName name="data8" localSheetId="3">#REF!</definedName>
    <definedName name="data8" localSheetId="5">#REF!</definedName>
    <definedName name="data8" localSheetId="6">#REF!</definedName>
    <definedName name="data8">#REF!</definedName>
    <definedName name="data80" localSheetId="2">#REF!</definedName>
    <definedName name="data80" localSheetId="1">#REF!</definedName>
    <definedName name="data80" localSheetId="3">#REF!</definedName>
    <definedName name="data80" localSheetId="5">#REF!</definedName>
    <definedName name="data80" localSheetId="6">#REF!</definedName>
    <definedName name="data80">#REF!</definedName>
    <definedName name="data81" localSheetId="2">#REF!</definedName>
    <definedName name="data81" localSheetId="1">#REF!</definedName>
    <definedName name="data81" localSheetId="3">#REF!</definedName>
    <definedName name="data81" localSheetId="5">#REF!</definedName>
    <definedName name="data81" localSheetId="6">#REF!</definedName>
    <definedName name="data81">#REF!</definedName>
    <definedName name="data82" localSheetId="2">#REF!</definedName>
    <definedName name="data82" localSheetId="1">#REF!</definedName>
    <definedName name="data82" localSheetId="3">#REF!</definedName>
    <definedName name="data82" localSheetId="5">#REF!</definedName>
    <definedName name="data82" localSheetId="6">#REF!</definedName>
    <definedName name="data82">#REF!</definedName>
    <definedName name="data83" localSheetId="2">#REF!</definedName>
    <definedName name="data83" localSheetId="1">#REF!</definedName>
    <definedName name="data83" localSheetId="3">#REF!</definedName>
    <definedName name="data83" localSheetId="5">#REF!</definedName>
    <definedName name="data83" localSheetId="6">#REF!</definedName>
    <definedName name="data83">#REF!</definedName>
    <definedName name="data84" localSheetId="2">#REF!</definedName>
    <definedName name="data84" localSheetId="1">#REF!</definedName>
    <definedName name="data84" localSheetId="3">#REF!</definedName>
    <definedName name="data84" localSheetId="5">#REF!</definedName>
    <definedName name="data84" localSheetId="6">#REF!</definedName>
    <definedName name="data84">#REF!</definedName>
    <definedName name="data85" localSheetId="2">#REF!</definedName>
    <definedName name="data85" localSheetId="1">#REF!</definedName>
    <definedName name="data85" localSheetId="3">#REF!</definedName>
    <definedName name="data85" localSheetId="5">#REF!</definedName>
    <definedName name="data85" localSheetId="6">#REF!</definedName>
    <definedName name="data85">#REF!</definedName>
    <definedName name="data86" localSheetId="2">#REF!</definedName>
    <definedName name="data86" localSheetId="1">#REF!</definedName>
    <definedName name="data86" localSheetId="3">#REF!</definedName>
    <definedName name="data86" localSheetId="5">#REF!</definedName>
    <definedName name="data86" localSheetId="6">#REF!</definedName>
    <definedName name="data86">#REF!</definedName>
    <definedName name="data87" localSheetId="2">#REF!</definedName>
    <definedName name="data87" localSheetId="1">#REF!</definedName>
    <definedName name="data87" localSheetId="3">#REF!</definedName>
    <definedName name="data87" localSheetId="5">#REF!</definedName>
    <definedName name="data87" localSheetId="6">#REF!</definedName>
    <definedName name="data87">#REF!</definedName>
    <definedName name="data88" localSheetId="2">#REF!</definedName>
    <definedName name="data88" localSheetId="1">#REF!</definedName>
    <definedName name="data88" localSheetId="3">#REF!</definedName>
    <definedName name="data88" localSheetId="5">#REF!</definedName>
    <definedName name="data88" localSheetId="6">#REF!</definedName>
    <definedName name="data88">#REF!</definedName>
    <definedName name="data89" localSheetId="2">#REF!</definedName>
    <definedName name="data89" localSheetId="1">#REF!</definedName>
    <definedName name="data89" localSheetId="3">#REF!</definedName>
    <definedName name="data89" localSheetId="5">#REF!</definedName>
    <definedName name="data89" localSheetId="6">#REF!</definedName>
    <definedName name="data89">#REF!</definedName>
    <definedName name="data9" localSheetId="2">#REF!</definedName>
    <definedName name="data9" localSheetId="1">#REF!</definedName>
    <definedName name="data9" localSheetId="3">#REF!</definedName>
    <definedName name="data9" localSheetId="5">#REF!</definedName>
    <definedName name="data9" localSheetId="6">#REF!</definedName>
    <definedName name="data9">#REF!</definedName>
    <definedName name="data90" localSheetId="2">#REF!</definedName>
    <definedName name="data90" localSheetId="1">#REF!</definedName>
    <definedName name="data90" localSheetId="3">#REF!</definedName>
    <definedName name="data90" localSheetId="5">#REF!</definedName>
    <definedName name="data90" localSheetId="6">#REF!</definedName>
    <definedName name="data90">#REF!</definedName>
    <definedName name="data91" localSheetId="2">#REF!</definedName>
    <definedName name="data91" localSheetId="1">#REF!</definedName>
    <definedName name="data91" localSheetId="3">#REF!</definedName>
    <definedName name="data91" localSheetId="5">#REF!</definedName>
    <definedName name="data91" localSheetId="6">#REF!</definedName>
    <definedName name="data91">#REF!</definedName>
    <definedName name="data92" localSheetId="2">#REF!</definedName>
    <definedName name="data92" localSheetId="1">#REF!</definedName>
    <definedName name="data92" localSheetId="3">#REF!</definedName>
    <definedName name="data92" localSheetId="5">#REF!</definedName>
    <definedName name="data92" localSheetId="6">#REF!</definedName>
    <definedName name="data92">#REF!</definedName>
    <definedName name="data93" localSheetId="2">#REF!</definedName>
    <definedName name="data93" localSheetId="1">#REF!</definedName>
    <definedName name="data93" localSheetId="3">#REF!</definedName>
    <definedName name="data93" localSheetId="5">#REF!</definedName>
    <definedName name="data93" localSheetId="6">#REF!</definedName>
    <definedName name="data93">#REF!</definedName>
    <definedName name="data94" localSheetId="2">#REF!</definedName>
    <definedName name="data94" localSheetId="1">#REF!</definedName>
    <definedName name="data94" localSheetId="3">#REF!</definedName>
    <definedName name="data94" localSheetId="5">#REF!</definedName>
    <definedName name="data94" localSheetId="6">#REF!</definedName>
    <definedName name="data94">#REF!</definedName>
    <definedName name="data95" localSheetId="2">#REF!</definedName>
    <definedName name="data95" localSheetId="1">#REF!</definedName>
    <definedName name="data95" localSheetId="3">#REF!</definedName>
    <definedName name="data95" localSheetId="5">#REF!</definedName>
    <definedName name="data95" localSheetId="6">#REF!</definedName>
    <definedName name="data95">#REF!</definedName>
    <definedName name="data96" localSheetId="2">#REF!</definedName>
    <definedName name="data96" localSheetId="1">#REF!</definedName>
    <definedName name="data96" localSheetId="3">#REF!</definedName>
    <definedName name="data96" localSheetId="5">#REF!</definedName>
    <definedName name="data96" localSheetId="6">#REF!</definedName>
    <definedName name="data96">#REF!</definedName>
    <definedName name="data97" localSheetId="2">#REF!</definedName>
    <definedName name="data97" localSheetId="1">#REF!</definedName>
    <definedName name="data97" localSheetId="3">#REF!</definedName>
    <definedName name="data97" localSheetId="5">#REF!</definedName>
    <definedName name="data97" localSheetId="6">#REF!</definedName>
    <definedName name="data97">#REF!</definedName>
    <definedName name="data98" localSheetId="2">#REF!</definedName>
    <definedName name="data98" localSheetId="1">#REF!</definedName>
    <definedName name="data98" localSheetId="3">#REF!</definedName>
    <definedName name="data98" localSheetId="5">#REF!</definedName>
    <definedName name="data98" localSheetId="6">#REF!</definedName>
    <definedName name="data98">#REF!</definedName>
    <definedName name="data99" localSheetId="2">#REF!</definedName>
    <definedName name="data99" localSheetId="1">#REF!</definedName>
    <definedName name="data99" localSheetId="3">#REF!</definedName>
    <definedName name="data99" localSheetId="5">#REF!</definedName>
    <definedName name="data99" localSheetId="6">#REF!</definedName>
    <definedName name="data99">#REF!</definedName>
    <definedName name="_xlnm.Database" localSheetId="2">#REF!</definedName>
    <definedName name="_xlnm.Database" localSheetId="1">#REF!</definedName>
    <definedName name="_xlnm.Database" localSheetId="3">#REF!</definedName>
    <definedName name="_xlnm.Database" localSheetId="5">#REF!</definedName>
    <definedName name="_xlnm.Database" localSheetId="6">#REF!</definedName>
    <definedName name="_xlnm.Database">#REF!</definedName>
    <definedName name="datagrowth" localSheetId="2">#REF!</definedName>
    <definedName name="datagrowth" localSheetId="1">#REF!</definedName>
    <definedName name="datagrowth" localSheetId="3">#REF!</definedName>
    <definedName name="datagrowth" localSheetId="5">#REF!</definedName>
    <definedName name="datagrowth" localSheetId="6">#REF!</definedName>
    <definedName name="datagrowth">#REF!</definedName>
    <definedName name="Date_updated" localSheetId="2">#REF!</definedName>
    <definedName name="Date_updated" localSheetId="1">#REF!</definedName>
    <definedName name="Date_updated" localSheetId="3">#REF!</definedName>
    <definedName name="Date_updated" localSheetId="5">#REF!</definedName>
    <definedName name="Date_updated" localSheetId="6">#REF!</definedName>
    <definedName name="Date_updated">#REF!</definedName>
    <definedName name="Date2" localSheetId="2">#REF!</definedName>
    <definedName name="Date2" localSheetId="1">#REF!</definedName>
    <definedName name="Date2" localSheetId="3">#REF!</definedName>
    <definedName name="Date2" localSheetId="5">#REF!</definedName>
    <definedName name="Date2" localSheetId="6">#REF!</definedName>
    <definedName name="Date2">#REF!</definedName>
    <definedName name="Date3" localSheetId="2">#REF!</definedName>
    <definedName name="Date3" localSheetId="1">#REF!</definedName>
    <definedName name="Date3" localSheetId="3">#REF!</definedName>
    <definedName name="Date3" localSheetId="5">#REF!</definedName>
    <definedName name="Date3" localSheetId="6">#REF!</definedName>
    <definedName name="Date3">#REF!</definedName>
    <definedName name="days_fy" localSheetId="2">#REF!</definedName>
    <definedName name="days_fy" localSheetId="1">#REF!</definedName>
    <definedName name="days_fy" localSheetId="3">#REF!</definedName>
    <definedName name="days_fy" localSheetId="5">#REF!</definedName>
    <definedName name="days_fy" localSheetId="6">#REF!</definedName>
    <definedName name="days_fy">#REF!</definedName>
    <definedName name="dbo_TimeSheetOnProjects" localSheetId="2">#REF!</definedName>
    <definedName name="dbo_TimeSheetOnProjects" localSheetId="1">#REF!</definedName>
    <definedName name="dbo_TimeSheetOnProjects" localSheetId="3">#REF!</definedName>
    <definedName name="dbo_TimeSheetOnProjects" localSheetId="5">#REF!</definedName>
    <definedName name="dbo_TimeSheetOnProjects" localSheetId="6">#REF!</definedName>
    <definedName name="dbo_TimeSheetOnProjects">#REF!</definedName>
    <definedName name="dd" localSheetId="2">#REF!</definedName>
    <definedName name="dd" localSheetId="1">#REF!</definedName>
    <definedName name="dd" localSheetId="3">#REF!</definedName>
    <definedName name="dd" localSheetId="5">#REF!</definedName>
    <definedName name="dd" localSheetId="6">#REF!</definedName>
    <definedName name="dd">#REF!</definedName>
    <definedName name="Debtors" localSheetId="2">#REF!</definedName>
    <definedName name="Debtors" localSheetId="1">#REF!</definedName>
    <definedName name="Debtors" localSheetId="3">#REF!</definedName>
    <definedName name="Debtors" localSheetId="5">#REF!</definedName>
    <definedName name="Debtors" localSheetId="6">#REF!</definedName>
    <definedName name="Debtors">#REF!</definedName>
    <definedName name="Debtors_4" localSheetId="2">#REF!</definedName>
    <definedName name="Debtors_4" localSheetId="1">#REF!</definedName>
    <definedName name="Debtors_4" localSheetId="3">#REF!</definedName>
    <definedName name="Debtors_4" localSheetId="5">#REF!</definedName>
    <definedName name="Debtors_4" localSheetId="6">#REF!</definedName>
    <definedName name="Debtors_4">#REF!</definedName>
    <definedName name="Dec" localSheetId="2">#REF!</definedName>
    <definedName name="Dec" localSheetId="1">#REF!</definedName>
    <definedName name="Dec" localSheetId="3">#REF!</definedName>
    <definedName name="Dec" localSheetId="5">#REF!</definedName>
    <definedName name="Dec" localSheetId="6">#REF!</definedName>
    <definedName name="Dec">#REF!</definedName>
    <definedName name="DECDATA?" localSheetId="2">#REF!</definedName>
    <definedName name="DECDATA?" localSheetId="1">#REF!</definedName>
    <definedName name="DECDATA?" localSheetId="3">#REF!</definedName>
    <definedName name="DECDATA?" localSheetId="5">#REF!</definedName>
    <definedName name="DECDATA?" localSheetId="6">#REF!</definedName>
    <definedName name="DECDATA?">#REF!</definedName>
    <definedName name="DefaultScaleAmount" localSheetId="2">#REF!</definedName>
    <definedName name="DefaultScaleAmount" localSheetId="1">#REF!</definedName>
    <definedName name="DefaultScaleAmount" localSheetId="3">#REF!</definedName>
    <definedName name="DefaultScaleAmount" localSheetId="5">#REF!</definedName>
    <definedName name="DefaultScaleAmount" localSheetId="6">#REF!</definedName>
    <definedName name="DefaultScaleAmount">#REF!</definedName>
    <definedName name="DEJB">{1}</definedName>
    <definedName name="del_num_bqs" localSheetId="2">#REF!</definedName>
    <definedName name="del_num_bqs" localSheetId="1">#REF!</definedName>
    <definedName name="del_num_bqs" localSheetId="3">#REF!</definedName>
    <definedName name="del_num_bqs" localSheetId="5">#REF!</definedName>
    <definedName name="del_num_bqs" localSheetId="6">#REF!</definedName>
    <definedName name="del_num_bqs">#REF!</definedName>
    <definedName name="del_num_dmrc1_bridgepanel" localSheetId="2">#REF!</definedName>
    <definedName name="del_num_dmrc1_bridgepanel" localSheetId="1">#REF!</definedName>
    <definedName name="del_num_dmrc1_bridgepanel" localSheetId="3">#REF!</definedName>
    <definedName name="del_num_dmrc1_bridgepanel" localSheetId="5">#REF!</definedName>
    <definedName name="del_num_dmrc1_bridgepanel" localSheetId="6">#REF!</definedName>
    <definedName name="del_num_dmrc1_bridgepanel">#REF!</definedName>
    <definedName name="del_num_dmrc1_hoarding" localSheetId="2">#REF!</definedName>
    <definedName name="del_num_dmrc1_hoarding" localSheetId="1">#REF!</definedName>
    <definedName name="del_num_dmrc1_hoarding" localSheetId="3">#REF!</definedName>
    <definedName name="del_num_dmrc1_hoarding" localSheetId="5">#REF!</definedName>
    <definedName name="del_num_dmrc1_hoarding" localSheetId="6">#REF!</definedName>
    <definedName name="del_num_dmrc1_hoarding">#REF!</definedName>
    <definedName name="del_num_dmrc1_mpillars" localSheetId="2">#REF!</definedName>
    <definedName name="del_num_dmrc1_mpillars" localSheetId="1">#REF!</definedName>
    <definedName name="del_num_dmrc1_mpillars" localSheetId="3">#REF!</definedName>
    <definedName name="del_num_dmrc1_mpillars" localSheetId="5">#REF!</definedName>
    <definedName name="del_num_dmrc1_mpillars" localSheetId="6">#REF!</definedName>
    <definedName name="del_num_dmrc1_mpillars">#REF!</definedName>
    <definedName name="del_num_dmrc2_bridgepanel" localSheetId="2">#REF!</definedName>
    <definedName name="del_num_dmrc2_bridgepanel" localSheetId="1">#REF!</definedName>
    <definedName name="del_num_dmrc2_bridgepanel" localSheetId="3">#REF!</definedName>
    <definedName name="del_num_dmrc2_bridgepanel" localSheetId="5">#REF!</definedName>
    <definedName name="del_num_dmrc2_bridgepanel" localSheetId="6">#REF!</definedName>
    <definedName name="del_num_dmrc2_bridgepanel">#REF!</definedName>
    <definedName name="del_num_dmrc2_hoarding" localSheetId="2">#REF!</definedName>
    <definedName name="del_num_dmrc2_hoarding" localSheetId="1">#REF!</definedName>
    <definedName name="del_num_dmrc2_hoarding" localSheetId="3">#REF!</definedName>
    <definedName name="del_num_dmrc2_hoarding" localSheetId="5">#REF!</definedName>
    <definedName name="del_num_dmrc2_hoarding" localSheetId="6">#REF!</definedName>
    <definedName name="del_num_dmrc2_hoarding">#REF!</definedName>
    <definedName name="del_num_dmrc3_mpillars" localSheetId="2">#REF!</definedName>
    <definedName name="del_num_dmrc3_mpillars" localSheetId="1">#REF!</definedName>
    <definedName name="del_num_dmrc3_mpillars" localSheetId="3">#REF!</definedName>
    <definedName name="del_num_dmrc3_mpillars" localSheetId="5">#REF!</definedName>
    <definedName name="del_num_dmrc3_mpillars" localSheetId="6">#REF!</definedName>
    <definedName name="del_num_dmrc3_mpillars">#REF!</definedName>
    <definedName name="del_num_dmrc4_mpillars" localSheetId="2">#REF!</definedName>
    <definedName name="del_num_dmrc4_mpillars" localSheetId="1">#REF!</definedName>
    <definedName name="del_num_dmrc4_mpillars" localSheetId="3">#REF!</definedName>
    <definedName name="del_num_dmrc4_mpillars" localSheetId="5">#REF!</definedName>
    <definedName name="del_num_dmrc4_mpillars" localSheetId="6">#REF!</definedName>
    <definedName name="del_num_dmrc4_mpillars">#REF!</definedName>
    <definedName name="del_num_hoarding" localSheetId="2">#REF!</definedName>
    <definedName name="del_num_hoarding" localSheetId="1">#REF!</definedName>
    <definedName name="del_num_hoarding" localSheetId="3">#REF!</definedName>
    <definedName name="del_num_hoarding" localSheetId="5">#REF!</definedName>
    <definedName name="del_num_hoarding" localSheetId="6">#REF!</definedName>
    <definedName name="del_num_hoarding">#REF!</definedName>
    <definedName name="del_num_mcd1_hoarding" localSheetId="2">#REF!</definedName>
    <definedName name="del_num_mcd1_hoarding" localSheetId="1">#REF!</definedName>
    <definedName name="del_num_mcd1_hoarding" localSheetId="3">#REF!</definedName>
    <definedName name="del_num_mcd1_hoarding" localSheetId="5">#REF!</definedName>
    <definedName name="del_num_mcd1_hoarding" localSheetId="6">#REF!</definedName>
    <definedName name="del_num_mcd1_hoarding">#REF!</definedName>
    <definedName name="del_num_mcd2_kiosk" localSheetId="2">#REF!</definedName>
    <definedName name="del_num_mcd2_kiosk" localSheetId="1">#REF!</definedName>
    <definedName name="del_num_mcd2_kiosk" localSheetId="3">#REF!</definedName>
    <definedName name="del_num_mcd2_kiosk" localSheetId="5">#REF!</definedName>
    <definedName name="del_num_mcd2_kiosk" localSheetId="6">#REF!</definedName>
    <definedName name="del_num_mcd2_kiosk">#REF!</definedName>
    <definedName name="del_num_mcd3_hoarding" localSheetId="2">#REF!</definedName>
    <definedName name="del_num_mcd3_hoarding" localSheetId="1">#REF!</definedName>
    <definedName name="del_num_mcd3_hoarding" localSheetId="3">#REF!</definedName>
    <definedName name="del_num_mcd3_hoarding" localSheetId="5">#REF!</definedName>
    <definedName name="del_num_mcd3_hoarding" localSheetId="6">#REF!</definedName>
    <definedName name="del_num_mcd3_hoarding">#REF!</definedName>
    <definedName name="del_num_mcd4_hoarding" localSheetId="2">#REF!</definedName>
    <definedName name="del_num_mcd4_hoarding" localSheetId="1">#REF!</definedName>
    <definedName name="del_num_mcd4_hoarding" localSheetId="3">#REF!</definedName>
    <definedName name="del_num_mcd4_hoarding" localSheetId="5">#REF!</definedName>
    <definedName name="del_num_mcd4_hoarding" localSheetId="6">#REF!</definedName>
    <definedName name="del_num_mcd4_hoarding">#REF!</definedName>
    <definedName name="del_num_mcd5_hoarding" localSheetId="2">#REF!</definedName>
    <definedName name="del_num_mcd5_hoarding" localSheetId="1">#REF!</definedName>
    <definedName name="del_num_mcd5_hoarding" localSheetId="3">#REF!</definedName>
    <definedName name="del_num_mcd5_hoarding" localSheetId="5">#REF!</definedName>
    <definedName name="del_num_mcd5_hoarding" localSheetId="6">#REF!</definedName>
    <definedName name="del_num_mcd5_hoarding">#REF!</definedName>
    <definedName name="del_num_nrdd_bridgepanel" localSheetId="2">#REF!</definedName>
    <definedName name="del_num_nrdd_bridgepanel" localSheetId="1">#REF!</definedName>
    <definedName name="del_num_nrdd_bridgepanel" localSheetId="3">#REF!</definedName>
    <definedName name="del_num_nrdd_bridgepanel" localSheetId="5">#REF!</definedName>
    <definedName name="del_num_nrdd_bridgepanel" localSheetId="6">#REF!</definedName>
    <definedName name="del_num_nrdd_bridgepanel">#REF!</definedName>
    <definedName name="del_num_nrdd_hoarding" localSheetId="2">#REF!</definedName>
    <definedName name="del_num_nrdd_hoarding" localSheetId="1">#REF!</definedName>
    <definedName name="del_num_nrdd_hoarding" localSheetId="3">#REF!</definedName>
    <definedName name="del_num_nrdd_hoarding" localSheetId="5">#REF!</definedName>
    <definedName name="del_num_nrdd_hoarding" localSheetId="6">#REF!</definedName>
    <definedName name="del_num_nrdd_hoarding">#REF!</definedName>
    <definedName name="del_num_nrdd_utility" localSheetId="2">#REF!</definedName>
    <definedName name="del_num_nrdd_utility" localSheetId="1">#REF!</definedName>
    <definedName name="del_num_nrdd_utility" localSheetId="3">#REF!</definedName>
    <definedName name="del_num_nrdd_utility" localSheetId="5">#REF!</definedName>
    <definedName name="del_num_nrdd_utility" localSheetId="6">#REF!</definedName>
    <definedName name="del_num_nrdd_utility">#REF!</definedName>
    <definedName name="del_num_pun_bqs" localSheetId="2">#REF!</definedName>
    <definedName name="del_num_pun_bqs" localSheetId="1">#REF!</definedName>
    <definedName name="del_num_pun_bqs" localSheetId="3">#REF!</definedName>
    <definedName name="del_num_pun_bqs" localSheetId="5">#REF!</definedName>
    <definedName name="del_num_pun_bqs" localSheetId="6">#REF!</definedName>
    <definedName name="del_num_pun_bqs">#REF!</definedName>
    <definedName name="del_num_pun_hoarding" localSheetId="2">#REF!</definedName>
    <definedName name="del_num_pun_hoarding" localSheetId="1">#REF!</definedName>
    <definedName name="del_num_pun_hoarding" localSheetId="3">#REF!</definedName>
    <definedName name="del_num_pun_hoarding" localSheetId="5">#REF!</definedName>
    <definedName name="del_num_pun_hoarding" localSheetId="6">#REF!</definedName>
    <definedName name="del_num_pun_hoarding">#REF!</definedName>
    <definedName name="del_num_pun_kiosk" localSheetId="2">#REF!</definedName>
    <definedName name="del_num_pun_kiosk" localSheetId="1">#REF!</definedName>
    <definedName name="del_num_pun_kiosk" localSheetId="3">#REF!</definedName>
    <definedName name="del_num_pun_kiosk" localSheetId="5">#REF!</definedName>
    <definedName name="del_num_pun_kiosk" localSheetId="6">#REF!</definedName>
    <definedName name="del_num_pun_kiosk">#REF!</definedName>
    <definedName name="del_num_pun_utility" localSheetId="2">#REF!</definedName>
    <definedName name="del_num_pun_utility" localSheetId="1">#REF!</definedName>
    <definedName name="del_num_pun_utility" localSheetId="3">#REF!</definedName>
    <definedName name="del_num_pun_utility" localSheetId="5">#REF!</definedName>
    <definedName name="del_num_pun_utility" localSheetId="6">#REF!</definedName>
    <definedName name="del_num_pun_utility">#REF!</definedName>
    <definedName name="del_num_utility" localSheetId="2">#REF!</definedName>
    <definedName name="del_num_utility" localSheetId="1">#REF!</definedName>
    <definedName name="del_num_utility" localSheetId="3">#REF!</definedName>
    <definedName name="del_num_utility" localSheetId="5">#REF!</definedName>
    <definedName name="del_num_utility" localSheetId="6">#REF!</definedName>
    <definedName name="del_num_utility">#REF!</definedName>
    <definedName name="del_occrate_bqs" localSheetId="2">#REF!</definedName>
    <definedName name="del_occrate_bqs" localSheetId="1">#REF!</definedName>
    <definedName name="del_occrate_bqs" localSheetId="3">#REF!</definedName>
    <definedName name="del_occrate_bqs" localSheetId="5">#REF!</definedName>
    <definedName name="del_occrate_bqs" localSheetId="6">#REF!</definedName>
    <definedName name="del_occrate_bqs">#REF!</definedName>
    <definedName name="del_occrate_dmrc1_bridgepanel" localSheetId="2">#REF!</definedName>
    <definedName name="del_occrate_dmrc1_bridgepanel" localSheetId="1">#REF!</definedName>
    <definedName name="del_occrate_dmrc1_bridgepanel" localSheetId="3">#REF!</definedName>
    <definedName name="del_occrate_dmrc1_bridgepanel" localSheetId="5">#REF!</definedName>
    <definedName name="del_occrate_dmrc1_bridgepanel" localSheetId="6">#REF!</definedName>
    <definedName name="del_occrate_dmrc1_bridgepanel">#REF!</definedName>
    <definedName name="del_occrate_dmrc1_hoarding" localSheetId="2">#REF!</definedName>
    <definedName name="del_occrate_dmrc1_hoarding" localSheetId="1">#REF!</definedName>
    <definedName name="del_occrate_dmrc1_hoarding" localSheetId="3">#REF!</definedName>
    <definedName name="del_occrate_dmrc1_hoarding" localSheetId="5">#REF!</definedName>
    <definedName name="del_occrate_dmrc1_hoarding" localSheetId="6">#REF!</definedName>
    <definedName name="del_occrate_dmrc1_hoarding">#REF!</definedName>
    <definedName name="del_occrate_dmrc1_mpillars" localSheetId="2">#REF!</definedName>
    <definedName name="del_occrate_dmrc1_mpillars" localSheetId="1">#REF!</definedName>
    <definedName name="del_occrate_dmrc1_mpillars" localSheetId="3">#REF!</definedName>
    <definedName name="del_occrate_dmrc1_mpillars" localSheetId="5">#REF!</definedName>
    <definedName name="del_occrate_dmrc1_mpillars" localSheetId="6">#REF!</definedName>
    <definedName name="del_occrate_dmrc1_mpillars">#REF!</definedName>
    <definedName name="del_occrate_dmrc2_bridgepanel" localSheetId="2">#REF!</definedName>
    <definedName name="del_occrate_dmrc2_bridgepanel" localSheetId="1">#REF!</definedName>
    <definedName name="del_occrate_dmrc2_bridgepanel" localSheetId="3">#REF!</definedName>
    <definedName name="del_occrate_dmrc2_bridgepanel" localSheetId="5">#REF!</definedName>
    <definedName name="del_occrate_dmrc2_bridgepanel" localSheetId="6">#REF!</definedName>
    <definedName name="del_occrate_dmrc2_bridgepanel">#REF!</definedName>
    <definedName name="del_occrate_dmrc2_hoarding" localSheetId="2">#REF!</definedName>
    <definedName name="del_occrate_dmrc2_hoarding" localSheetId="1">#REF!</definedName>
    <definedName name="del_occrate_dmrc2_hoarding" localSheetId="3">#REF!</definedName>
    <definedName name="del_occrate_dmrc2_hoarding" localSheetId="5">#REF!</definedName>
    <definedName name="del_occrate_dmrc2_hoarding" localSheetId="6">#REF!</definedName>
    <definedName name="del_occrate_dmrc2_hoarding">#REF!</definedName>
    <definedName name="del_occrate_dmrc3_mpillars" localSheetId="2">#REF!</definedName>
    <definedName name="del_occrate_dmrc3_mpillars" localSheetId="1">#REF!</definedName>
    <definedName name="del_occrate_dmrc3_mpillars" localSheetId="3">#REF!</definedName>
    <definedName name="del_occrate_dmrc3_mpillars" localSheetId="5">#REF!</definedName>
    <definedName name="del_occrate_dmrc3_mpillars" localSheetId="6">#REF!</definedName>
    <definedName name="del_occrate_dmrc3_mpillars">#REF!</definedName>
    <definedName name="del_occrate_dmrc4_mpillars" localSheetId="2">#REF!</definedName>
    <definedName name="del_occrate_dmrc4_mpillars" localSheetId="1">#REF!</definedName>
    <definedName name="del_occrate_dmrc4_mpillars" localSheetId="3">#REF!</definedName>
    <definedName name="del_occrate_dmrc4_mpillars" localSheetId="5">#REF!</definedName>
    <definedName name="del_occrate_dmrc4_mpillars" localSheetId="6">#REF!</definedName>
    <definedName name="del_occrate_dmrc4_mpillars">#REF!</definedName>
    <definedName name="del_occrate_hoarding" localSheetId="2">#REF!</definedName>
    <definedName name="del_occrate_hoarding" localSheetId="1">#REF!</definedName>
    <definedName name="del_occrate_hoarding" localSheetId="3">#REF!</definedName>
    <definedName name="del_occrate_hoarding" localSheetId="5">#REF!</definedName>
    <definedName name="del_occrate_hoarding" localSheetId="6">#REF!</definedName>
    <definedName name="del_occrate_hoarding">#REF!</definedName>
    <definedName name="del_occrate_mcd1_hoarding" localSheetId="2">#REF!</definedName>
    <definedName name="del_occrate_mcd1_hoarding" localSheetId="1">#REF!</definedName>
    <definedName name="del_occrate_mcd1_hoarding" localSheetId="3">#REF!</definedName>
    <definedName name="del_occrate_mcd1_hoarding" localSheetId="5">#REF!</definedName>
    <definedName name="del_occrate_mcd1_hoarding" localSheetId="6">#REF!</definedName>
    <definedName name="del_occrate_mcd1_hoarding">#REF!</definedName>
    <definedName name="del_occrate_mcd2_kiosk" localSheetId="2">#REF!</definedName>
    <definedName name="del_occrate_mcd2_kiosk" localSheetId="1">#REF!</definedName>
    <definedName name="del_occrate_mcd2_kiosk" localSheetId="3">#REF!</definedName>
    <definedName name="del_occrate_mcd2_kiosk" localSheetId="5">#REF!</definedName>
    <definedName name="del_occrate_mcd2_kiosk" localSheetId="6">#REF!</definedName>
    <definedName name="del_occrate_mcd2_kiosk">#REF!</definedName>
    <definedName name="del_occrate_mcd3_hoarding" localSheetId="2">#REF!</definedName>
    <definedName name="del_occrate_mcd3_hoarding" localSheetId="1">#REF!</definedName>
    <definedName name="del_occrate_mcd3_hoarding" localSheetId="3">#REF!</definedName>
    <definedName name="del_occrate_mcd3_hoarding" localSheetId="5">#REF!</definedName>
    <definedName name="del_occrate_mcd3_hoarding" localSheetId="6">#REF!</definedName>
    <definedName name="del_occrate_mcd3_hoarding">#REF!</definedName>
    <definedName name="del_occrate_mcd4_hoarding" localSheetId="2">#REF!</definedName>
    <definedName name="del_occrate_mcd4_hoarding" localSheetId="1">#REF!</definedName>
    <definedName name="del_occrate_mcd4_hoarding" localSheetId="3">#REF!</definedName>
    <definedName name="del_occrate_mcd4_hoarding" localSheetId="5">#REF!</definedName>
    <definedName name="del_occrate_mcd4_hoarding" localSheetId="6">#REF!</definedName>
    <definedName name="del_occrate_mcd4_hoarding">#REF!</definedName>
    <definedName name="del_occrate_mcd5_hoarding" localSheetId="2">#REF!</definedName>
    <definedName name="del_occrate_mcd5_hoarding" localSheetId="1">#REF!</definedName>
    <definedName name="del_occrate_mcd5_hoarding" localSheetId="3">#REF!</definedName>
    <definedName name="del_occrate_mcd5_hoarding" localSheetId="5">#REF!</definedName>
    <definedName name="del_occrate_mcd5_hoarding" localSheetId="6">#REF!</definedName>
    <definedName name="del_occrate_mcd5_hoarding">#REF!</definedName>
    <definedName name="del_occrate_nrdd_bridgepanel" localSheetId="2">#REF!</definedName>
    <definedName name="del_occrate_nrdd_bridgepanel" localSheetId="1">#REF!</definedName>
    <definedName name="del_occrate_nrdd_bridgepanel" localSheetId="3">#REF!</definedName>
    <definedName name="del_occrate_nrdd_bridgepanel" localSheetId="5">#REF!</definedName>
    <definedName name="del_occrate_nrdd_bridgepanel" localSheetId="6">#REF!</definedName>
    <definedName name="del_occrate_nrdd_bridgepanel">#REF!</definedName>
    <definedName name="del_occrate_nrdd_hoarding" localSheetId="2">#REF!</definedName>
    <definedName name="del_occrate_nrdd_hoarding" localSheetId="1">#REF!</definedName>
    <definedName name="del_occrate_nrdd_hoarding" localSheetId="3">#REF!</definedName>
    <definedName name="del_occrate_nrdd_hoarding" localSheetId="5">#REF!</definedName>
    <definedName name="del_occrate_nrdd_hoarding" localSheetId="6">#REF!</definedName>
    <definedName name="del_occrate_nrdd_hoarding">#REF!</definedName>
    <definedName name="del_occrate_nrdd_utility" localSheetId="2">#REF!</definedName>
    <definedName name="del_occrate_nrdd_utility" localSheetId="1">#REF!</definedName>
    <definedName name="del_occrate_nrdd_utility" localSheetId="3">#REF!</definedName>
    <definedName name="del_occrate_nrdd_utility" localSheetId="5">#REF!</definedName>
    <definedName name="del_occrate_nrdd_utility" localSheetId="6">#REF!</definedName>
    <definedName name="del_occrate_nrdd_utility">#REF!</definedName>
    <definedName name="del_occrate_pun_bqs" localSheetId="2">#REF!</definedName>
    <definedName name="del_occrate_pun_bqs" localSheetId="1">#REF!</definedName>
    <definedName name="del_occrate_pun_bqs" localSheetId="3">#REF!</definedName>
    <definedName name="del_occrate_pun_bqs" localSheetId="5">#REF!</definedName>
    <definedName name="del_occrate_pun_bqs" localSheetId="6">#REF!</definedName>
    <definedName name="del_occrate_pun_bqs">#REF!</definedName>
    <definedName name="del_occrate_pun_hoarding" localSheetId="2">#REF!</definedName>
    <definedName name="del_occrate_pun_hoarding" localSheetId="1">#REF!</definedName>
    <definedName name="del_occrate_pun_hoarding" localSheetId="3">#REF!</definedName>
    <definedName name="del_occrate_pun_hoarding" localSheetId="5">#REF!</definedName>
    <definedName name="del_occrate_pun_hoarding" localSheetId="6">#REF!</definedName>
    <definedName name="del_occrate_pun_hoarding">#REF!</definedName>
    <definedName name="del_occrate_pun_kiosk" localSheetId="2">#REF!</definedName>
    <definedName name="del_occrate_pun_kiosk" localSheetId="1">#REF!</definedName>
    <definedName name="del_occrate_pun_kiosk" localSheetId="3">#REF!</definedName>
    <definedName name="del_occrate_pun_kiosk" localSheetId="5">#REF!</definedName>
    <definedName name="del_occrate_pun_kiosk" localSheetId="6">#REF!</definedName>
    <definedName name="del_occrate_pun_kiosk">#REF!</definedName>
    <definedName name="del_occrate_pun_utility" localSheetId="2">#REF!</definedName>
    <definedName name="del_occrate_pun_utility" localSheetId="1">#REF!</definedName>
    <definedName name="del_occrate_pun_utility" localSheetId="3">#REF!</definedName>
    <definedName name="del_occrate_pun_utility" localSheetId="5">#REF!</definedName>
    <definedName name="del_occrate_pun_utility" localSheetId="6">#REF!</definedName>
    <definedName name="del_occrate_pun_utility">#REF!</definedName>
    <definedName name="del_occrate_utility" localSheetId="2">#REF!</definedName>
    <definedName name="del_occrate_utility" localSheetId="1">#REF!</definedName>
    <definedName name="del_occrate_utility" localSheetId="3">#REF!</definedName>
    <definedName name="del_occrate_utility" localSheetId="5">#REF!</definedName>
    <definedName name="del_occrate_utility" localSheetId="6">#REF!</definedName>
    <definedName name="del_occrate_utility">#REF!</definedName>
    <definedName name="dep" localSheetId="2">#REF!</definedName>
    <definedName name="dep" localSheetId="1">#REF!</definedName>
    <definedName name="dep" localSheetId="3">#REF!</definedName>
    <definedName name="dep" localSheetId="5">#REF!</definedName>
    <definedName name="dep" localSheetId="6">#REF!</definedName>
    <definedName name="dep">#REF!</definedName>
    <definedName name="dep_rate" localSheetId="2">#REF!</definedName>
    <definedName name="dep_rate" localSheetId="1">#REF!</definedName>
    <definedName name="dep_rate" localSheetId="3">#REF!</definedName>
    <definedName name="dep_rate" localSheetId="5">#REF!</definedName>
    <definedName name="dep_rate" localSheetId="6">#REF!</definedName>
    <definedName name="dep_rate">#REF!</definedName>
    <definedName name="Dep_Rates" localSheetId="2">#REF!</definedName>
    <definedName name="Dep_Rates" localSheetId="1">#REF!</definedName>
    <definedName name="Dep_Rates" localSheetId="3">#REF!</definedName>
    <definedName name="Dep_Rates" localSheetId="5">#REF!</definedName>
    <definedName name="Dep_Rates" localSheetId="6">#REF!</definedName>
    <definedName name="Dep_Rates">#REF!</definedName>
    <definedName name="depn" localSheetId="2">#REF!</definedName>
    <definedName name="depn" localSheetId="1">#REF!</definedName>
    <definedName name="depn" localSheetId="3">#REF!</definedName>
    <definedName name="depn" localSheetId="5">#REF!</definedName>
    <definedName name="depn" localSheetId="6">#REF!</definedName>
    <definedName name="depn">#REF!</definedName>
    <definedName name="Depreciation" localSheetId="2">#REF!</definedName>
    <definedName name="Depreciation" localSheetId="1">#REF!</definedName>
    <definedName name="Depreciation" localSheetId="3">#REF!</definedName>
    <definedName name="Depreciation" localSheetId="5">#REF!</definedName>
    <definedName name="Depreciation" localSheetId="6">#REF!</definedName>
    <definedName name="Depreciation">#REF!</definedName>
    <definedName name="der" localSheetId="2">#REF!</definedName>
    <definedName name="der" localSheetId="1">#REF!</definedName>
    <definedName name="der" localSheetId="3">#REF!</definedName>
    <definedName name="der" localSheetId="5">#REF!</definedName>
    <definedName name="der" localSheetId="6">#REF!</definedName>
    <definedName name="der">#REF!</definedName>
    <definedName name="DETAILS" localSheetId="2">#REF!</definedName>
    <definedName name="DETAILS" localSheetId="1">#REF!</definedName>
    <definedName name="DETAILS" localSheetId="3">#REF!</definedName>
    <definedName name="DETAILS" localSheetId="5">#REF!</definedName>
    <definedName name="DETAILS" localSheetId="6">#REF!</definedName>
    <definedName name="DETAILS">#REF!</definedName>
    <definedName name="df" localSheetId="2">#REF!</definedName>
    <definedName name="df" localSheetId="1">#REF!</definedName>
    <definedName name="df" localSheetId="3">#REF!</definedName>
    <definedName name="df" localSheetId="5">#REF!</definedName>
    <definedName name="df" localSheetId="6">#REF!</definedName>
    <definedName name="df">#REF!</definedName>
    <definedName name="dfg" localSheetId="2">#REF!</definedName>
    <definedName name="dfg" localSheetId="1">#REF!</definedName>
    <definedName name="dfg" localSheetId="3">#REF!</definedName>
    <definedName name="dfg" localSheetId="5">#REF!</definedName>
    <definedName name="dfg" localSheetId="6">#REF!</definedName>
    <definedName name="dfg">#REF!</definedName>
    <definedName name="dfn" localSheetId="2">#REF!,#REF!</definedName>
    <definedName name="dfn" localSheetId="1">#REF!,#REF!</definedName>
    <definedName name="dfn" localSheetId="3">#REF!,#REF!</definedName>
    <definedName name="dfn" localSheetId="5">#REF!,#REF!</definedName>
    <definedName name="dfn" localSheetId="6">#REF!,#REF!</definedName>
    <definedName name="dfn">#REF!,#REF!</definedName>
    <definedName name="DFT_BS" localSheetId="2">#REF!</definedName>
    <definedName name="DFT_BS" localSheetId="1">#REF!</definedName>
    <definedName name="DFT_BS" localSheetId="3">#REF!</definedName>
    <definedName name="DFT_BS" localSheetId="5">#REF!</definedName>
    <definedName name="DFT_BS" localSheetId="6">#REF!</definedName>
    <definedName name="DFT_BS">#REF!</definedName>
    <definedName name="DFT_PL" localSheetId="2">#REF!</definedName>
    <definedName name="DFT_PL" localSheetId="1">#REF!</definedName>
    <definedName name="DFT_PL" localSheetId="3">#REF!</definedName>
    <definedName name="DFT_PL" localSheetId="5">#REF!</definedName>
    <definedName name="DFT_PL" localSheetId="6">#REF!</definedName>
    <definedName name="DFT_PL">#REF!</definedName>
    <definedName name="DFT_SCH" localSheetId="2">#REF!</definedName>
    <definedName name="DFT_SCH" localSheetId="1">#REF!</definedName>
    <definedName name="DFT_SCH" localSheetId="3">#REF!</definedName>
    <definedName name="DFT_SCH" localSheetId="5">#REF!</definedName>
    <definedName name="DFT_SCH" localSheetId="6">#REF!</definedName>
    <definedName name="DFT_SCH">#REF!</definedName>
    <definedName name="dHkjahjg" localSheetId="2">#REF!</definedName>
    <definedName name="dHkjahjg" localSheetId="1">#REF!</definedName>
    <definedName name="dHkjahjg" localSheetId="3">#REF!</definedName>
    <definedName name="dHkjahjg" localSheetId="5">#REF!</definedName>
    <definedName name="dHkjahjg" localSheetId="6">#REF!</definedName>
    <definedName name="dHkjahjg">#REF!</definedName>
    <definedName name="Di" localSheetId="2">#REF!</definedName>
    <definedName name="Di" localSheetId="1">#REF!</definedName>
    <definedName name="Di" localSheetId="3">#REF!</definedName>
    <definedName name="Di" localSheetId="5">#REF!</definedName>
    <definedName name="Di" localSheetId="6">#REF!</definedName>
    <definedName name="Di">#REF!</definedName>
    <definedName name="Difference" localSheetId="2">#REF!</definedName>
    <definedName name="Difference" localSheetId="1">#REF!</definedName>
    <definedName name="Difference" localSheetId="3">#REF!</definedName>
    <definedName name="Difference" localSheetId="5">#REF!</definedName>
    <definedName name="Difference" localSheetId="6">#REF!</definedName>
    <definedName name="Difference">#REF!</definedName>
    <definedName name="disc" localSheetId="2">#REF!</definedName>
    <definedName name="disc" localSheetId="1">#REF!</definedName>
    <definedName name="disc" localSheetId="3">#REF!</definedName>
    <definedName name="disc" localSheetId="5">#REF!</definedName>
    <definedName name="disc" localSheetId="6">#REF!</definedName>
    <definedName name="disc">#REF!</definedName>
    <definedName name="display_area_2" localSheetId="2">#REF!</definedName>
    <definedName name="display_area_2" localSheetId="1">#REF!</definedName>
    <definedName name="display_area_2" localSheetId="3">#REF!</definedName>
    <definedName name="display_area_2" localSheetId="5">#REF!</definedName>
    <definedName name="display_area_2" localSheetId="6">#REF!</definedName>
    <definedName name="display_area_2">#REF!</definedName>
    <definedName name="Disruptive" localSheetId="2">#REF!</definedName>
    <definedName name="Disruptive" localSheetId="1">#REF!</definedName>
    <definedName name="Disruptive" localSheetId="3">#REF!</definedName>
    <definedName name="Disruptive" localSheetId="5">#REF!</definedName>
    <definedName name="Disruptive" localSheetId="6">#REF!</definedName>
    <definedName name="Disruptive">#REF!</definedName>
    <definedName name="DISTRIBUTORS" localSheetId="2">#REF!</definedName>
    <definedName name="DISTRIBUTORS" localSheetId="1">#REF!</definedName>
    <definedName name="DISTRIBUTORS" localSheetId="3">#REF!</definedName>
    <definedName name="DISTRIBUTORS" localSheetId="5">#REF!</definedName>
    <definedName name="DISTRIBUTORS" localSheetId="6">#REF!</definedName>
    <definedName name="DISTRIBUTORS">#REF!</definedName>
    <definedName name="Div" localSheetId="2">#REF!</definedName>
    <definedName name="Div" localSheetId="1">#REF!</definedName>
    <definedName name="Div" localSheetId="3">#REF!</definedName>
    <definedName name="Div" localSheetId="5">#REF!</definedName>
    <definedName name="Div" localSheetId="6">#REF!</definedName>
    <definedName name="Div">#REF!</definedName>
    <definedName name="Divisor" localSheetId="2">#REF!</definedName>
    <definedName name="Divisor" localSheetId="1">#REF!</definedName>
    <definedName name="Divisor" localSheetId="3">#REF!</definedName>
    <definedName name="Divisor" localSheetId="5">#REF!</definedName>
    <definedName name="Divisor" localSheetId="6">#REF!</definedName>
    <definedName name="Divisor">#REF!</definedName>
    <definedName name="dkfa" localSheetId="2">#REF!</definedName>
    <definedName name="dkfa" localSheetId="1">#REF!</definedName>
    <definedName name="dkfa" localSheetId="3">#REF!</definedName>
    <definedName name="dkfa" localSheetId="5">#REF!</definedName>
    <definedName name="dkfa" localSheetId="6">#REF!</definedName>
    <definedName name="dkfa">#REF!</definedName>
    <definedName name="Documentationcharges" localSheetId="2">#REF!</definedName>
    <definedName name="Documentationcharges" localSheetId="1">#REF!</definedName>
    <definedName name="Documentationcharges" localSheetId="3">#REF!</definedName>
    <definedName name="Documentationcharges" localSheetId="5">#REF!</definedName>
    <definedName name="Documentationcharges" localSheetId="6">#REF!</definedName>
    <definedName name="Documentationcharges">#REF!</definedName>
    <definedName name="Dollar_Rate" localSheetId="2">#REF!</definedName>
    <definedName name="Dollar_Rate" localSheetId="1">#REF!</definedName>
    <definedName name="Dollar_Rate" localSheetId="3">#REF!</definedName>
    <definedName name="Dollar_Rate" localSheetId="5">#REF!</definedName>
    <definedName name="Dollar_Rate" localSheetId="6">#REF!</definedName>
    <definedName name="Dollar_Rate">#REF!</definedName>
    <definedName name="dp10prcost" localSheetId="2">#REF!</definedName>
    <definedName name="dp10prcost" localSheetId="1">#REF!</definedName>
    <definedName name="dp10prcost" localSheetId="3">#REF!</definedName>
    <definedName name="dp10prcost" localSheetId="5">#REF!</definedName>
    <definedName name="dp10prcost" localSheetId="6">#REF!</definedName>
    <definedName name="dp10prcost">#REF!</definedName>
    <definedName name="draft" localSheetId="2">#REF!</definedName>
    <definedName name="draft" localSheetId="1">#REF!</definedName>
    <definedName name="draft" localSheetId="3">#REF!</definedName>
    <definedName name="draft" localSheetId="5">#REF!</definedName>
    <definedName name="draft" localSheetId="6">#REF!</definedName>
    <definedName name="draft">#REF!</definedName>
    <definedName name="dsffdsf" localSheetId="2">#REF!</definedName>
    <definedName name="dsffdsf" localSheetId="1">#REF!</definedName>
    <definedName name="dsffdsf" localSheetId="3">#REF!</definedName>
    <definedName name="dsffdsf" localSheetId="5">#REF!</definedName>
    <definedName name="dsffdsf" localSheetId="6">#REF!</definedName>
    <definedName name="dsffdsf">#REF!</definedName>
    <definedName name="dskjgsghk\" localSheetId="2">#REF!</definedName>
    <definedName name="dskjgsghk\" localSheetId="1">#REF!</definedName>
    <definedName name="dskjgsghk\" localSheetId="3">#REF!</definedName>
    <definedName name="dskjgsghk\" localSheetId="5">#REF!</definedName>
    <definedName name="dskjgsghk\" localSheetId="6">#REF!</definedName>
    <definedName name="dskjgsghk\">#REF!</definedName>
    <definedName name="DSM" localSheetId="2">#REF!</definedName>
    <definedName name="DSM" localSheetId="1">#REF!</definedName>
    <definedName name="DSM" localSheetId="3">#REF!</definedName>
    <definedName name="DSM" localSheetId="5">#REF!</definedName>
    <definedName name="DSM" localSheetId="6">#REF!</definedName>
    <definedName name="DSM">#REF!</definedName>
    <definedName name="DSVPP_T11_GDA" localSheetId="2">#REF!</definedName>
    <definedName name="DSVPP_T11_GDA" localSheetId="1">#REF!</definedName>
    <definedName name="DSVPP_T11_GDA" localSheetId="3">#REF!</definedName>
    <definedName name="DSVPP_T11_GDA" localSheetId="5">#REF!</definedName>
    <definedName name="DSVPP_T11_GDA" localSheetId="6">#REF!</definedName>
    <definedName name="DSVPP_T11_GDA">#REF!</definedName>
    <definedName name="DSVPP_T11_T1" localSheetId="2">#REF!</definedName>
    <definedName name="DSVPP_T11_T1" localSheetId="1">#REF!</definedName>
    <definedName name="DSVPP_T11_T1" localSheetId="3">#REF!</definedName>
    <definedName name="DSVPP_T11_T1" localSheetId="5">#REF!</definedName>
    <definedName name="DSVPP_T11_T1" localSheetId="6">#REF!</definedName>
    <definedName name="DSVPP_T11_T1">#REF!</definedName>
    <definedName name="DSVPP_T9_56k" localSheetId="2">#REF!</definedName>
    <definedName name="DSVPP_T9_56k" localSheetId="1">#REF!</definedName>
    <definedName name="DSVPP_T9_56k" localSheetId="3">#REF!</definedName>
    <definedName name="DSVPP_T9_56k" localSheetId="5">#REF!</definedName>
    <definedName name="DSVPP_T9_56k" localSheetId="6">#REF!</definedName>
    <definedName name="DSVPP_T9_56k">#REF!</definedName>
    <definedName name="DSVPP_T9_IBR" localSheetId="2">#REF!</definedName>
    <definedName name="DSVPP_T9_IBR" localSheetId="1">#REF!</definedName>
    <definedName name="DSVPP_T9_IBR" localSheetId="3">#REF!</definedName>
    <definedName name="DSVPP_T9_IBR" localSheetId="5">#REF!</definedName>
    <definedName name="DSVPP_T9_IBR" localSheetId="6">#REF!</definedName>
    <definedName name="DSVPP_T9_IBR">#REF!</definedName>
    <definedName name="DSVPP_T9_T1" localSheetId="2">#REF!</definedName>
    <definedName name="DSVPP_T9_T1" localSheetId="1">#REF!</definedName>
    <definedName name="DSVPP_T9_T1" localSheetId="3">#REF!</definedName>
    <definedName name="DSVPP_T9_T1" localSheetId="5">#REF!</definedName>
    <definedName name="DSVPP_T9_T1" localSheetId="6">#REF!</definedName>
    <definedName name="DSVPP_T9_T1">#REF!</definedName>
    <definedName name="DUAL_FUEL_BURNER_FOR_6TPH_BOILER" localSheetId="2">#REF!</definedName>
    <definedName name="DUAL_FUEL_BURNER_FOR_6TPH_BOILER" localSheetId="1">#REF!</definedName>
    <definedName name="DUAL_FUEL_BURNER_FOR_6TPH_BOILER" localSheetId="3">#REF!</definedName>
    <definedName name="DUAL_FUEL_BURNER_FOR_6TPH_BOILER" localSheetId="5">#REF!</definedName>
    <definedName name="DUAL_FUEL_BURNER_FOR_6TPH_BOILER" localSheetId="6">#REF!</definedName>
    <definedName name="DUAL_FUEL_BURNER_FOR_6TPH_BOILER">#REF!</definedName>
    <definedName name="ductlabourcost" localSheetId="2">#REF!</definedName>
    <definedName name="ductlabourcost" localSheetId="1">#REF!</definedName>
    <definedName name="ductlabourcost" localSheetId="3">#REF!</definedName>
    <definedName name="ductlabourcost" localSheetId="5">#REF!</definedName>
    <definedName name="ductlabourcost" localSheetId="6">#REF!</definedName>
    <definedName name="ductlabourcost">#REF!</definedName>
    <definedName name="duty" localSheetId="2">#REF!</definedName>
    <definedName name="duty" localSheetId="1">#REF!</definedName>
    <definedName name="duty" localSheetId="3">#REF!</definedName>
    <definedName name="duty" localSheetId="5">#REF!</definedName>
    <definedName name="duty" localSheetId="6">#REF!</definedName>
    <definedName name="duty">#REF!</definedName>
    <definedName name="DutyAppl" localSheetId="2">#REF!</definedName>
    <definedName name="DutyAppl" localSheetId="1">#REF!</definedName>
    <definedName name="DutyAppl" localSheetId="3">#REF!</definedName>
    <definedName name="DutyAppl" localSheetId="5">#REF!</definedName>
    <definedName name="DutyAppl" localSheetId="6">#REF!</definedName>
    <definedName name="DutyAppl">#REF!</definedName>
    <definedName name="DutyRate" localSheetId="2">#REF!</definedName>
    <definedName name="DutyRate" localSheetId="1">#REF!</definedName>
    <definedName name="DutyRate" localSheetId="3">#REF!</definedName>
    <definedName name="DutyRate" localSheetId="5">#REF!</definedName>
    <definedName name="DutyRate" localSheetId="6">#REF!</definedName>
    <definedName name="DutyRate">#REF!</definedName>
    <definedName name="e" localSheetId="2">#REF!</definedName>
    <definedName name="e" localSheetId="1">#REF!</definedName>
    <definedName name="e" localSheetId="3">#REF!</definedName>
    <definedName name="e" localSheetId="5">#REF!</definedName>
    <definedName name="e" localSheetId="6">#REF!</definedName>
    <definedName name="e">#REF!</definedName>
    <definedName name="e2k" localSheetId="2">#REF!</definedName>
    <definedName name="e2k" localSheetId="1">#REF!</definedName>
    <definedName name="e2k" localSheetId="3">#REF!</definedName>
    <definedName name="e2k" localSheetId="5">#REF!</definedName>
    <definedName name="e2k" localSheetId="6">#REF!</definedName>
    <definedName name="e2k">#REF!</definedName>
    <definedName name="ebbsosbal" localSheetId="2">#REF!</definedName>
    <definedName name="ebbsosbal" localSheetId="1">#REF!</definedName>
    <definedName name="ebbsosbal" localSheetId="3">#REF!</definedName>
    <definedName name="ebbsosbal" localSheetId="5">#REF!</definedName>
    <definedName name="ebbsosbal" localSheetId="6">#REF!</definedName>
    <definedName name="ebbsosbal">#REF!</definedName>
    <definedName name="EBITDA_Bridge" localSheetId="2">#REF!</definedName>
    <definedName name="EBITDA_Bridge" localSheetId="1">#REF!</definedName>
    <definedName name="EBITDA_Bridge" localSheetId="3">#REF!</definedName>
    <definedName name="EBITDA_Bridge" localSheetId="5">#REF!</definedName>
    <definedName name="EBITDA_Bridge" localSheetId="6">#REF!</definedName>
    <definedName name="EBITDA_Bridge">#REF!</definedName>
    <definedName name="Ecapturedmarket" localSheetId="2">#REF!</definedName>
    <definedName name="Ecapturedmarket" localSheetId="1">#REF!</definedName>
    <definedName name="Ecapturedmarket" localSheetId="3">#REF!</definedName>
    <definedName name="Ecapturedmarket" localSheetId="5">#REF!</definedName>
    <definedName name="Ecapturedmarket" localSheetId="6">#REF!</definedName>
    <definedName name="Ecapturedmarket">#REF!</definedName>
    <definedName name="EDA" localSheetId="2">#REF!</definedName>
    <definedName name="EDA" localSheetId="1">#REF!</definedName>
    <definedName name="EDA" localSheetId="3">#REF!</definedName>
    <definedName name="EDA" localSheetId="5">#REF!</definedName>
    <definedName name="EDA" localSheetId="6">#REF!</definedName>
    <definedName name="EDA">#REF!</definedName>
    <definedName name="EDAsum" localSheetId="2">#REF!</definedName>
    <definedName name="EDAsum" localSheetId="1">#REF!</definedName>
    <definedName name="EDAsum" localSheetId="3">#REF!</definedName>
    <definedName name="EDAsum" localSheetId="5">#REF!</definedName>
    <definedName name="EDAsum" localSheetId="6">#REF!</definedName>
    <definedName name="EDAsum">#REF!</definedName>
    <definedName name="EDCDMA" localSheetId="2">#REF!</definedName>
    <definedName name="EDCDMA" localSheetId="1">#REF!</definedName>
    <definedName name="EDCDMA" localSheetId="3">#REF!</definedName>
    <definedName name="EDCDMA" localSheetId="5">#REF!</definedName>
    <definedName name="EDCDMA" localSheetId="6">#REF!</definedName>
    <definedName name="EDCDMA">#REF!</definedName>
    <definedName name="EDFTTB" localSheetId="2">#REF!</definedName>
    <definedName name="EDFTTB" localSheetId="1">#REF!</definedName>
    <definedName name="EDFTTB" localSheetId="3">#REF!</definedName>
    <definedName name="EDFTTB" localSheetId="5">#REF!</definedName>
    <definedName name="EDFTTB" localSheetId="6">#REF!</definedName>
    <definedName name="EDFTTB">#REF!</definedName>
    <definedName name="EDHFC" localSheetId="2">#REF!</definedName>
    <definedName name="EDHFC" localSheetId="1">#REF!</definedName>
    <definedName name="EDHFC" localSheetId="3">#REF!</definedName>
    <definedName name="EDHFC" localSheetId="5">#REF!</definedName>
    <definedName name="EDHFC" localSheetId="6">#REF!</definedName>
    <definedName name="EDHFC">#REF!</definedName>
    <definedName name="edpcas" localSheetId="2">#REF!</definedName>
    <definedName name="edpcas" localSheetId="1">#REF!</definedName>
    <definedName name="edpcas" localSheetId="3">#REF!</definedName>
    <definedName name="edpcas" localSheetId="5">#REF!</definedName>
    <definedName name="edpcas" localSheetId="6">#REF!</definedName>
    <definedName name="edpcas">#REF!</definedName>
    <definedName name="efgh" localSheetId="2">#REF!</definedName>
    <definedName name="efgh" localSheetId="1">#REF!</definedName>
    <definedName name="efgh" localSheetId="3">#REF!</definedName>
    <definedName name="efgh" localSheetId="5">#REF!</definedName>
    <definedName name="efgh" localSheetId="6">#REF!</definedName>
    <definedName name="efgh">#REF!</definedName>
    <definedName name="elasticity" localSheetId="2">#REF!</definedName>
    <definedName name="elasticity" localSheetId="1">#REF!</definedName>
    <definedName name="elasticity" localSheetId="3">#REF!</definedName>
    <definedName name="elasticity" localSheetId="5">#REF!</definedName>
    <definedName name="elasticity" localSheetId="6">#REF!</definedName>
    <definedName name="elasticity">#REF!</definedName>
    <definedName name="elasticity_ild" localSheetId="2">#REF!</definedName>
    <definedName name="elasticity_ild" localSheetId="1">#REF!</definedName>
    <definedName name="elasticity_ild" localSheetId="3">#REF!</definedName>
    <definedName name="elasticity_ild" localSheetId="5">#REF!</definedName>
    <definedName name="elasticity_ild" localSheetId="6">#REF!</definedName>
    <definedName name="elasticity_ild">#REF!</definedName>
    <definedName name="ELK" localSheetId="2">#REF!</definedName>
    <definedName name="ELK" localSheetId="1">#REF!</definedName>
    <definedName name="ELK" localSheetId="3">#REF!</definedName>
    <definedName name="ELK" localSheetId="5">#REF!</definedName>
    <definedName name="ELK" localSheetId="6">#REF!</definedName>
    <definedName name="ELK">#REF!</definedName>
    <definedName name="Embsw" localSheetId="2">#REF!</definedName>
    <definedName name="Embsw" localSheetId="1">#REF!</definedName>
    <definedName name="Embsw" localSheetId="3">#REF!</definedName>
    <definedName name="Embsw" localSheetId="5">#REF!</definedName>
    <definedName name="Embsw" localSheetId="6">#REF!</definedName>
    <definedName name="Embsw">#REF!</definedName>
    <definedName name="Embswsum" localSheetId="2">#REF!</definedName>
    <definedName name="Embswsum" localSheetId="1">#REF!</definedName>
    <definedName name="Embswsum" localSheetId="3">#REF!</definedName>
    <definedName name="Embswsum" localSheetId="5">#REF!</definedName>
    <definedName name="Embswsum" localSheetId="6">#REF!</definedName>
    <definedName name="Embswsum">#REF!</definedName>
    <definedName name="EndDelete" localSheetId="2">#REF!</definedName>
    <definedName name="EndDelete" localSheetId="1">#REF!</definedName>
    <definedName name="EndDelete" localSheetId="3">#REF!</definedName>
    <definedName name="EndDelete" localSheetId="5">#REF!</definedName>
    <definedName name="EndDelete" localSheetId="6">#REF!</definedName>
    <definedName name="EndDelete">#REF!</definedName>
    <definedName name="EndDelete2" localSheetId="2">#REF!</definedName>
    <definedName name="EndDelete2" localSheetId="1">#REF!</definedName>
    <definedName name="EndDelete2" localSheetId="3">#REF!</definedName>
    <definedName name="EndDelete2" localSheetId="5">#REF!</definedName>
    <definedName name="EndDelete2" localSheetId="6">#REF!</definedName>
    <definedName name="EndDelete2">#REF!</definedName>
    <definedName name="EndFormat" localSheetId="2">#REF!</definedName>
    <definedName name="EndFormat" localSheetId="1">#REF!</definedName>
    <definedName name="EndFormat" localSheetId="3">#REF!</definedName>
    <definedName name="EndFormat" localSheetId="5">#REF!</definedName>
    <definedName name="EndFormat" localSheetId="6">#REF!</definedName>
    <definedName name="EndFormat">#REF!</definedName>
    <definedName name="Epenrate" localSheetId="2">#REF!</definedName>
    <definedName name="Epenrate" localSheetId="1">#REF!</definedName>
    <definedName name="Epenrate" localSheetId="3">#REF!</definedName>
    <definedName name="Epenrate" localSheetId="5">#REF!</definedName>
    <definedName name="Epenrate" localSheetId="6">#REF!</definedName>
    <definedName name="Epenrate">#REF!</definedName>
    <definedName name="equity_raised" localSheetId="2">#REF!</definedName>
    <definedName name="equity_raised" localSheetId="1">#REF!</definedName>
    <definedName name="equity_raised" localSheetId="3">#REF!</definedName>
    <definedName name="equity_raised" localSheetId="5">#REF!</definedName>
    <definedName name="equity_raised" localSheetId="6">#REF!</definedName>
    <definedName name="equity_raised">#REF!</definedName>
    <definedName name="equityupfront" localSheetId="2">#REF!</definedName>
    <definedName name="equityupfront" localSheetId="1">#REF!</definedName>
    <definedName name="equityupfront" localSheetId="3">#REF!</definedName>
    <definedName name="equityupfront" localSheetId="5">#REF!</definedName>
    <definedName name="equityupfront" localSheetId="6">#REF!</definedName>
    <definedName name="equityupfront">#REF!</definedName>
    <definedName name="er" localSheetId="2">#REF!</definedName>
    <definedName name="er" localSheetId="1">#REF!</definedName>
    <definedName name="er" localSheetId="3">#REF!</definedName>
    <definedName name="er" localSheetId="5">#REF!</definedName>
    <definedName name="er" localSheetId="6">#REF!</definedName>
    <definedName name="er">#REF!</definedName>
    <definedName name="ert" localSheetId="2">#REF!</definedName>
    <definedName name="ert" localSheetId="1">#REF!</definedName>
    <definedName name="ert" localSheetId="3">#REF!</definedName>
    <definedName name="ert" localSheetId="5">#REF!</definedName>
    <definedName name="ert" localSheetId="6">#REF!</definedName>
    <definedName name="ert">#REF!</definedName>
    <definedName name="et" localSheetId="2">#REF!</definedName>
    <definedName name="et" localSheetId="1">#REF!</definedName>
    <definedName name="et" localSheetId="3">#REF!</definedName>
    <definedName name="et" localSheetId="5">#REF!</definedName>
    <definedName name="et" localSheetId="6">#REF!</definedName>
    <definedName name="et">#REF!</definedName>
    <definedName name="etc" localSheetId="2" hidden="1">#REF!</definedName>
    <definedName name="etc" localSheetId="1" hidden="1">#REF!</definedName>
    <definedName name="etc" localSheetId="3" hidden="1">#REF!</definedName>
    <definedName name="etc" localSheetId="5" hidden="1">#REF!</definedName>
    <definedName name="etc" localSheetId="6" hidden="1">#REF!</definedName>
    <definedName name="etc" hidden="1">#REF!</definedName>
    <definedName name="ETRAS" localSheetId="2">#REF!</definedName>
    <definedName name="ETRAS" localSheetId="1">#REF!</definedName>
    <definedName name="ETRAS" localSheetId="3">#REF!</definedName>
    <definedName name="ETRAS" localSheetId="5">#REF!</definedName>
    <definedName name="ETRAS" localSheetId="6">#REF!</definedName>
    <definedName name="ETRAS">#REF!</definedName>
    <definedName name="euro_inr" localSheetId="2">#REF!</definedName>
    <definedName name="euro_inr" localSheetId="1">#REF!</definedName>
    <definedName name="euro_inr" localSheetId="3">#REF!</definedName>
    <definedName name="euro_inr" localSheetId="5">#REF!</definedName>
    <definedName name="euro_inr" localSheetId="6">#REF!</definedName>
    <definedName name="euro_inr">#REF!</definedName>
    <definedName name="EVIS" localSheetId="2">#REF!</definedName>
    <definedName name="EVIS" localSheetId="1">#REF!</definedName>
    <definedName name="EVIS" localSheetId="3">#REF!</definedName>
    <definedName name="EVIS" localSheetId="5">#REF!</definedName>
    <definedName name="EVIS" localSheetId="6">#REF!</definedName>
    <definedName name="EVIS">#REF!</definedName>
    <definedName name="ex" localSheetId="2">#REF!</definedName>
    <definedName name="ex" localSheetId="1">#REF!</definedName>
    <definedName name="ex" localSheetId="3">#REF!</definedName>
    <definedName name="ex" localSheetId="5">#REF!</definedName>
    <definedName name="ex" localSheetId="6">#REF!</definedName>
    <definedName name="ex">#REF!</definedName>
    <definedName name="exc" localSheetId="2">#REF!</definedName>
    <definedName name="exc" localSheetId="1">#REF!</definedName>
    <definedName name="exc" localSheetId="3">#REF!</definedName>
    <definedName name="exc" localSheetId="5">#REF!</definedName>
    <definedName name="exc" localSheetId="6">#REF!</definedName>
    <definedName name="exc">#REF!</definedName>
    <definedName name="exch" localSheetId="2">#REF!</definedName>
    <definedName name="exch" localSheetId="1">#REF!</definedName>
    <definedName name="exch" localSheetId="3">#REF!</definedName>
    <definedName name="exch" localSheetId="5">#REF!</definedName>
    <definedName name="exch" localSheetId="6">#REF!</definedName>
    <definedName name="exch">#REF!</definedName>
    <definedName name="ExchangeRt" localSheetId="2">#REF!</definedName>
    <definedName name="ExchangeRt" localSheetId="1">#REF!</definedName>
    <definedName name="ExchangeRt" localSheetId="3">#REF!</definedName>
    <definedName name="ExchangeRt" localSheetId="5">#REF!</definedName>
    <definedName name="ExchangeRt" localSheetId="6">#REF!</definedName>
    <definedName name="ExchangeRt">#REF!</definedName>
    <definedName name="existing_contracts_del_rev" localSheetId="2">#REF!</definedName>
    <definedName name="existing_contracts_del_rev" localSheetId="1">#REF!</definedName>
    <definedName name="existing_contracts_del_rev" localSheetId="3">#REF!</definedName>
    <definedName name="existing_contracts_del_rev" localSheetId="5">#REF!</definedName>
    <definedName name="existing_contracts_del_rev" localSheetId="6">#REF!</definedName>
    <definedName name="existing_contracts_del_rev">#REF!</definedName>
    <definedName name="existing_contracts_kol_rev" localSheetId="2">#REF!</definedName>
    <definedName name="existing_contracts_kol_rev" localSheetId="1">#REF!</definedName>
    <definedName name="existing_contracts_kol_rev" localSheetId="3">#REF!</definedName>
    <definedName name="existing_contracts_kol_rev" localSheetId="5">#REF!</definedName>
    <definedName name="existing_contracts_kol_rev" localSheetId="6">#REF!</definedName>
    <definedName name="existing_contracts_kol_rev">#REF!</definedName>
    <definedName name="existing_contracts_mum_rev" localSheetId="2">#REF!</definedName>
    <definedName name="existing_contracts_mum_rev" localSheetId="1">#REF!</definedName>
    <definedName name="existing_contracts_mum_rev" localSheetId="3">#REF!</definedName>
    <definedName name="existing_contracts_mum_rev" localSheetId="5">#REF!</definedName>
    <definedName name="existing_contracts_mum_rev" localSheetId="6">#REF!</definedName>
    <definedName name="existing_contracts_mum_rev">#REF!</definedName>
    <definedName name="EXITYEAR" localSheetId="2">#REF!</definedName>
    <definedName name="EXITYEAR" localSheetId="1">#REF!</definedName>
    <definedName name="EXITYEAR" localSheetId="3">#REF!</definedName>
    <definedName name="EXITYEAR" localSheetId="5">#REF!</definedName>
    <definedName name="EXITYEAR" localSheetId="6">#REF!</definedName>
    <definedName name="EXITYEAR">#REF!</definedName>
    <definedName name="Expected_balance" localSheetId="2">#REF!</definedName>
    <definedName name="Expected_balance" localSheetId="1">#REF!</definedName>
    <definedName name="Expected_balance" localSheetId="3">#REF!</definedName>
    <definedName name="Expected_balance" localSheetId="5">#REF!</definedName>
    <definedName name="Expected_balance" localSheetId="6">#REF!</definedName>
    <definedName name="Expected_balance">#REF!</definedName>
    <definedName name="Expenses" localSheetId="2">#REF!</definedName>
    <definedName name="Expenses" localSheetId="1">#REF!</definedName>
    <definedName name="Expenses" localSheetId="3">#REF!</definedName>
    <definedName name="Expenses" localSheetId="5">#REF!</definedName>
    <definedName name="Expenses" localSheetId="6">#REF!</definedName>
    <definedName name="Expenses">#REF!</definedName>
    <definedName name="expiry_date_mum_bestbus" localSheetId="2">#REF!</definedName>
    <definedName name="expiry_date_mum_bestbus" localSheetId="1">#REF!</definedName>
    <definedName name="expiry_date_mum_bestbus" localSheetId="3">#REF!</definedName>
    <definedName name="expiry_date_mum_bestbus" localSheetId="5">#REF!</definedName>
    <definedName name="expiry_date_mum_bestbus" localSheetId="6">#REF!</definedName>
    <definedName name="expiry_date_mum_bestbus">#REF!</definedName>
    <definedName name="expiry_date_mum_bqs" localSheetId="2">#REF!</definedName>
    <definedName name="expiry_date_mum_bqs" localSheetId="1">#REF!</definedName>
    <definedName name="expiry_date_mum_bqs" localSheetId="3">#REF!</definedName>
    <definedName name="expiry_date_mum_bqs" localSheetId="5">#REF!</definedName>
    <definedName name="expiry_date_mum_bqs" localSheetId="6">#REF!</definedName>
    <definedName name="expiry_date_mum_bqs">#REF!</definedName>
    <definedName name="expiry_date_mum_kiosk" localSheetId="2">#REF!</definedName>
    <definedName name="expiry_date_mum_kiosk" localSheetId="1">#REF!</definedName>
    <definedName name="expiry_date_mum_kiosk" localSheetId="3">#REF!</definedName>
    <definedName name="expiry_date_mum_kiosk" localSheetId="5">#REF!</definedName>
    <definedName name="expiry_date_mum_kiosk" localSheetId="6">#REF!</definedName>
    <definedName name="expiry_date_mum_kiosk">#REF!</definedName>
    <definedName name="ExportFile" localSheetId="2">#REF!</definedName>
    <definedName name="ExportFile" localSheetId="1">#REF!</definedName>
    <definedName name="ExportFile" localSheetId="3">#REF!</definedName>
    <definedName name="ExportFile" localSheetId="5">#REF!</definedName>
    <definedName name="ExportFile" localSheetId="6">#REF!</definedName>
    <definedName name="ExportFile">#REF!</definedName>
    <definedName name="exrate" localSheetId="2">#REF!</definedName>
    <definedName name="exrate" localSheetId="1">#REF!</definedName>
    <definedName name="exrate" localSheetId="3">#REF!</definedName>
    <definedName name="exrate" localSheetId="5">#REF!</definedName>
    <definedName name="exrate" localSheetId="6">#REF!</definedName>
    <definedName name="exrate">#REF!</definedName>
    <definedName name="extrckcost" localSheetId="2">#REF!</definedName>
    <definedName name="extrckcost" localSheetId="1">#REF!</definedName>
    <definedName name="extrckcost" localSheetId="3">#REF!</definedName>
    <definedName name="extrckcost" localSheetId="5">#REF!</definedName>
    <definedName name="extrckcost" localSheetId="6">#REF!</definedName>
    <definedName name="extrckcost">#REF!</definedName>
    <definedName name="f" localSheetId="2">#REF!</definedName>
    <definedName name="f" localSheetId="1">#REF!</definedName>
    <definedName name="f" localSheetId="3">#REF!</definedName>
    <definedName name="f" localSheetId="5">#REF!</definedName>
    <definedName name="f" localSheetId="6">#REF!</definedName>
    <definedName name="f">#REF!</definedName>
    <definedName name="f.asset" localSheetId="2">#REF!</definedName>
    <definedName name="f.asset" localSheetId="1">#REF!</definedName>
    <definedName name="f.asset" localSheetId="3">#REF!</definedName>
    <definedName name="f.asset" localSheetId="5">#REF!</definedName>
    <definedName name="f.asset" localSheetId="6">#REF!</definedName>
    <definedName name="f.asset">#REF!</definedName>
    <definedName name="Feb" localSheetId="2">#REF!</definedName>
    <definedName name="Feb" localSheetId="1">#REF!</definedName>
    <definedName name="Feb" localSheetId="3">#REF!</definedName>
    <definedName name="Feb" localSheetId="5">#REF!</definedName>
    <definedName name="Feb" localSheetId="6">#REF!</definedName>
    <definedName name="Feb">#REF!</definedName>
    <definedName name="FEBDATA?" localSheetId="2">#REF!</definedName>
    <definedName name="FEBDATA?" localSheetId="1">#REF!</definedName>
    <definedName name="FEBDATA?" localSheetId="3">#REF!</definedName>
    <definedName name="FEBDATA?" localSheetId="5">#REF!</definedName>
    <definedName name="FEBDATA?" localSheetId="6">#REF!</definedName>
    <definedName name="FEBDATA?">#REF!</definedName>
    <definedName name="ff" localSheetId="2">#REF!</definedName>
    <definedName name="ff" localSheetId="1">#REF!</definedName>
    <definedName name="ff" localSheetId="3">#REF!</definedName>
    <definedName name="ff" localSheetId="5">#REF!</definedName>
    <definedName name="ff" localSheetId="6">#REF!</definedName>
    <definedName name="ff">#REF!</definedName>
    <definedName name="ffffffffff" localSheetId="2">#REF!</definedName>
    <definedName name="ffffffffff" localSheetId="1">#REF!</definedName>
    <definedName name="ffffffffff" localSheetId="3">#REF!</definedName>
    <definedName name="ffffffffff" localSheetId="5">#REF!</definedName>
    <definedName name="ffffffffff" localSheetId="6">#REF!</definedName>
    <definedName name="ffffffffff">#REF!</definedName>
    <definedName name="ffgf" localSheetId="2">#REF!</definedName>
    <definedName name="ffgf" localSheetId="1">#REF!</definedName>
    <definedName name="ffgf" localSheetId="3">#REF!</definedName>
    <definedName name="ffgf" localSheetId="5">#REF!</definedName>
    <definedName name="ffgf" localSheetId="6">#REF!</definedName>
    <definedName name="ffgf">#REF!</definedName>
    <definedName name="fgf" localSheetId="2">#REF!</definedName>
    <definedName name="fgf" localSheetId="1">#REF!</definedName>
    <definedName name="fgf" localSheetId="3">#REF!</definedName>
    <definedName name="fgf" localSheetId="5">#REF!</definedName>
    <definedName name="fgf" localSheetId="6">#REF!</definedName>
    <definedName name="fgf">#REF!</definedName>
    <definedName name="fgff" localSheetId="2">#REF!</definedName>
    <definedName name="fgff" localSheetId="1">#REF!</definedName>
    <definedName name="fgff" localSheetId="3">#REF!</definedName>
    <definedName name="fgff" localSheetId="5">#REF!</definedName>
    <definedName name="fgff" localSheetId="6">#REF!</definedName>
    <definedName name="fgff">#REF!</definedName>
    <definedName name="finaldep" localSheetId="2">#REF!</definedName>
    <definedName name="finaldep" localSheetId="1">#REF!</definedName>
    <definedName name="finaldep" localSheetId="3">#REF!</definedName>
    <definedName name="finaldep" localSheetId="5">#REF!</definedName>
    <definedName name="finaldep" localSheetId="6">#REF!</definedName>
    <definedName name="finaldep">#REF!</definedName>
    <definedName name="FirstCommYr" localSheetId="2">#REF!</definedName>
    <definedName name="FirstCommYr" localSheetId="1">#REF!</definedName>
    <definedName name="FirstCommYr" localSheetId="3">#REF!</definedName>
    <definedName name="FirstCommYr" localSheetId="5">#REF!</definedName>
    <definedName name="FirstCommYr" localSheetId="6">#REF!</definedName>
    <definedName name="FirstCommYr">#REF!</definedName>
    <definedName name="FIRSTYEAR" localSheetId="2">#REF!</definedName>
    <definedName name="FIRSTYEAR" localSheetId="1">#REF!</definedName>
    <definedName name="FIRSTYEAR" localSheetId="3">#REF!</definedName>
    <definedName name="FIRSTYEAR" localSheetId="5">#REF!</definedName>
    <definedName name="FIRSTYEAR" localSheetId="6">#REF!</definedName>
    <definedName name="FIRSTYEAR">#REF!</definedName>
    <definedName name="FIVEDAY" localSheetId="2">#REF!</definedName>
    <definedName name="FIVEDAY" localSheetId="1">#REF!</definedName>
    <definedName name="FIVEDAY" localSheetId="3">#REF!</definedName>
    <definedName name="FIVEDAY" localSheetId="5">#REF!</definedName>
    <definedName name="FIVEDAY" localSheetId="6">#REF!</definedName>
    <definedName name="FIVEDAY">#REF!</definedName>
    <definedName name="fKAFJKJG" localSheetId="2">#REF!</definedName>
    <definedName name="fKAFJKJG" localSheetId="1">#REF!</definedName>
    <definedName name="fKAFJKJG" localSheetId="3">#REF!</definedName>
    <definedName name="fKAFJKJG" localSheetId="5">#REF!</definedName>
    <definedName name="fKAFJKJG" localSheetId="6">#REF!</definedName>
    <definedName name="fKAFJKJG">#REF!</definedName>
    <definedName name="FNL_BS" localSheetId="2">#REF!</definedName>
    <definedName name="FNL_BS" localSheetId="1">#REF!</definedName>
    <definedName name="FNL_BS" localSheetId="3">#REF!</definedName>
    <definedName name="FNL_BS" localSheetId="5">#REF!</definedName>
    <definedName name="FNL_BS" localSheetId="6">#REF!</definedName>
    <definedName name="FNL_BS">#REF!</definedName>
    <definedName name="FNL_PL" localSheetId="2">#REF!</definedName>
    <definedName name="FNL_PL" localSheetId="1">#REF!</definedName>
    <definedName name="FNL_PL" localSheetId="3">#REF!</definedName>
    <definedName name="FNL_PL" localSheetId="5">#REF!</definedName>
    <definedName name="FNL_PL" localSheetId="6">#REF!</definedName>
    <definedName name="FNL_PL">#REF!</definedName>
    <definedName name="FNL_SCH" localSheetId="2">#REF!</definedName>
    <definedName name="FNL_SCH" localSheetId="1">#REF!</definedName>
    <definedName name="FNL_SCH" localSheetId="3">#REF!</definedName>
    <definedName name="FNL_SCH" localSheetId="5">#REF!</definedName>
    <definedName name="FNL_SCH" localSheetId="6">#REF!</definedName>
    <definedName name="FNL_SCH">#REF!</definedName>
    <definedName name="forecourt_staff_urban" localSheetId="2">#REF!</definedName>
    <definedName name="forecourt_staff_urban" localSheetId="1">#REF!</definedName>
    <definedName name="forecourt_staff_urban" localSheetId="3">#REF!</definedName>
    <definedName name="forecourt_staff_urban" localSheetId="5">#REF!</definedName>
    <definedName name="forecourt_staff_urban" localSheetId="6">#REF!</definedName>
    <definedName name="forecourt_staff_urban">#REF!</definedName>
    <definedName name="forex" localSheetId="2">#REF!</definedName>
    <definedName name="forex" localSheetId="1">#REF!</definedName>
    <definedName name="forex" localSheetId="3">#REF!</definedName>
    <definedName name="forex" localSheetId="5">#REF!</definedName>
    <definedName name="forex" localSheetId="6">#REF!</definedName>
    <definedName name="forex">#REF!</definedName>
    <definedName name="Format" localSheetId="2">#REF!</definedName>
    <definedName name="Format" localSheetId="1">#REF!</definedName>
    <definedName name="Format" localSheetId="3">#REF!</definedName>
    <definedName name="Format" localSheetId="5">#REF!</definedName>
    <definedName name="Format" localSheetId="6">#REF!</definedName>
    <definedName name="Format">#REF!</definedName>
    <definedName name="Formulas" localSheetId="2">#REF!</definedName>
    <definedName name="Formulas" localSheetId="1">#REF!</definedName>
    <definedName name="Formulas" localSheetId="3">#REF!</definedName>
    <definedName name="Formulas" localSheetId="5">#REF!</definedName>
    <definedName name="Formulas" localSheetId="6">#REF!</definedName>
    <definedName name="Formulas">#REF!</definedName>
    <definedName name="fspsubscribersperE1" localSheetId="2">#REF!</definedName>
    <definedName name="fspsubscribersperE1" localSheetId="1">#REF!</definedName>
    <definedName name="fspsubscribersperE1" localSheetId="3">#REF!</definedName>
    <definedName name="fspsubscribersperE1" localSheetId="5">#REF!</definedName>
    <definedName name="fspsubscribersperE1" localSheetId="6">#REF!</definedName>
    <definedName name="fspsubscribersperE1">#REF!</definedName>
    <definedName name="FST" localSheetId="2">#REF!</definedName>
    <definedName name="FST" localSheetId="1">#REF!</definedName>
    <definedName name="FST" localSheetId="3">#REF!</definedName>
    <definedName name="FST" localSheetId="5">#REF!</definedName>
    <definedName name="FST" localSheetId="6">#REF!</definedName>
    <definedName name="FST">#REF!</definedName>
    <definedName name="FUEL" localSheetId="2">#REF!</definedName>
    <definedName name="FUEL" localSheetId="1">#REF!</definedName>
    <definedName name="FUEL" localSheetId="3">#REF!</definedName>
    <definedName name="FUEL" localSheetId="5">#REF!</definedName>
    <definedName name="FUEL" localSheetId="6">#REF!</definedName>
    <definedName name="FUEL">#REF!</definedName>
    <definedName name="fyColHeading" localSheetId="2">#REF!</definedName>
    <definedName name="fyColHeading" localSheetId="1">#REF!</definedName>
    <definedName name="fyColHeading" localSheetId="3">#REF!</definedName>
    <definedName name="fyColHeading" localSheetId="5">#REF!</definedName>
    <definedName name="fyColHeading" localSheetId="6">#REF!</definedName>
    <definedName name="fyColHeading">#REF!</definedName>
    <definedName name="fyCoverDate" localSheetId="2">#REF!</definedName>
    <definedName name="fyCoverDate" localSheetId="1">#REF!</definedName>
    <definedName name="fyCoverDate" localSheetId="3">#REF!</definedName>
    <definedName name="fyCoverDate" localSheetId="5">#REF!</definedName>
    <definedName name="fyCoverDate" localSheetId="6">#REF!</definedName>
    <definedName name="fyCoverDate">#REF!</definedName>
    <definedName name="FYEND" localSheetId="2">#REF!</definedName>
    <definedName name="FYEND" localSheetId="1">#REF!</definedName>
    <definedName name="FYEND" localSheetId="3">#REF!</definedName>
    <definedName name="FYEND" localSheetId="5">#REF!</definedName>
    <definedName name="FYEND" localSheetId="6">#REF!</definedName>
    <definedName name="FYEND">#REF!</definedName>
    <definedName name="fySubsectName" localSheetId="2">#REF!</definedName>
    <definedName name="fySubsectName" localSheetId="1">#REF!</definedName>
    <definedName name="fySubsectName" localSheetId="3">#REF!</definedName>
    <definedName name="fySubsectName" localSheetId="5">#REF!</definedName>
    <definedName name="fySubsectName" localSheetId="6">#REF!</definedName>
    <definedName name="fySubsectName">#REF!</definedName>
    <definedName name="g" localSheetId="2">#REF!</definedName>
    <definedName name="g" localSheetId="1">#REF!</definedName>
    <definedName name="g" localSheetId="3">#REF!</definedName>
    <definedName name="g" localSheetId="5">#REF!</definedName>
    <definedName name="g" localSheetId="6">#REF!</definedName>
    <definedName name="g">#REF!</definedName>
    <definedName name="gdhshdh" localSheetId="2">#REF!</definedName>
    <definedName name="gdhshdh" localSheetId="1">#REF!</definedName>
    <definedName name="gdhshdh" localSheetId="3">#REF!</definedName>
    <definedName name="gdhshdh" localSheetId="5">#REF!</definedName>
    <definedName name="gdhshdh" localSheetId="6">#REF!</definedName>
    <definedName name="gdhshdh">#REF!</definedName>
    <definedName name="GDTubecost" localSheetId="2">#REF!</definedName>
    <definedName name="GDTubecost" localSheetId="1">#REF!</definedName>
    <definedName name="GDTubecost" localSheetId="3">#REF!</definedName>
    <definedName name="GDTubecost" localSheetId="5">#REF!</definedName>
    <definedName name="GDTubecost" localSheetId="6">#REF!</definedName>
    <definedName name="GDTubecost">#REF!</definedName>
    <definedName name="genandadmin" localSheetId="2">#REF!</definedName>
    <definedName name="genandadmin" localSheetId="1">#REF!</definedName>
    <definedName name="genandadmin" localSheetId="3">#REF!</definedName>
    <definedName name="genandadmin" localSheetId="5">#REF!</definedName>
    <definedName name="genandadmin" localSheetId="6">#REF!</definedName>
    <definedName name="genandadmin">#REF!</definedName>
    <definedName name="Genesc" localSheetId="2">#REF!</definedName>
    <definedName name="Genesc" localSheetId="1">#REF!</definedName>
    <definedName name="Genesc" localSheetId="3">#REF!</definedName>
    <definedName name="Genesc" localSheetId="5">#REF!</definedName>
    <definedName name="Genesc" localSheetId="6">#REF!</definedName>
    <definedName name="Genesc">#REF!</definedName>
    <definedName name="gfjh" localSheetId="2">#REF!</definedName>
    <definedName name="gfjh" localSheetId="1">#REF!</definedName>
    <definedName name="gfjh" localSheetId="3">#REF!</definedName>
    <definedName name="gfjh" localSheetId="5">#REF!</definedName>
    <definedName name="gfjh" localSheetId="6">#REF!</definedName>
    <definedName name="gfjh">#REF!</definedName>
    <definedName name="ggfcgf" localSheetId="2">#REF!</definedName>
    <definedName name="ggfcgf" localSheetId="1">#REF!</definedName>
    <definedName name="ggfcgf" localSheetId="3">#REF!</definedName>
    <definedName name="ggfcgf" localSheetId="5">#REF!</definedName>
    <definedName name="ggfcgf" localSheetId="6">#REF!</definedName>
    <definedName name="ggfcgf">#REF!</definedName>
    <definedName name="ggg" localSheetId="2">#REF!</definedName>
    <definedName name="ggg" localSheetId="1">#REF!</definedName>
    <definedName name="ggg" localSheetId="3">#REF!</definedName>
    <definedName name="ggg" localSheetId="5">#REF!</definedName>
    <definedName name="ggg" localSheetId="6">#REF!</definedName>
    <definedName name="ggg">#REF!</definedName>
    <definedName name="ghghg" localSheetId="2">#REF!</definedName>
    <definedName name="ghghg" localSheetId="1">#REF!</definedName>
    <definedName name="ghghg" localSheetId="3">#REF!</definedName>
    <definedName name="ghghg" localSheetId="5">#REF!</definedName>
    <definedName name="ghghg" localSheetId="6">#REF!</definedName>
    <definedName name="ghghg">#REF!</definedName>
    <definedName name="ghghgh" localSheetId="2">#REF!</definedName>
    <definedName name="ghghgh" localSheetId="1">#REF!</definedName>
    <definedName name="ghghgh" localSheetId="3">#REF!</definedName>
    <definedName name="ghghgh" localSheetId="5">#REF!</definedName>
    <definedName name="ghghgh" localSheetId="6">#REF!</definedName>
    <definedName name="ghghgh">#REF!</definedName>
    <definedName name="ghjjkh" localSheetId="2">#REF!</definedName>
    <definedName name="ghjjkh" localSheetId="1">#REF!</definedName>
    <definedName name="ghjjkh" localSheetId="3">#REF!</definedName>
    <definedName name="ghjjkh" localSheetId="5">#REF!</definedName>
    <definedName name="ghjjkh" localSheetId="6">#REF!</definedName>
    <definedName name="ghjjkh">#REF!</definedName>
    <definedName name="GINPUT" localSheetId="2">#REF!</definedName>
    <definedName name="GINPUT" localSheetId="1">#REF!</definedName>
    <definedName name="GINPUT" localSheetId="3">#REF!</definedName>
    <definedName name="GINPUT" localSheetId="5">#REF!</definedName>
    <definedName name="GINPUT" localSheetId="6">#REF!</definedName>
    <definedName name="GINPUT">#REF!</definedName>
    <definedName name="GIpipecost" localSheetId="2">#REF!</definedName>
    <definedName name="GIpipecost" localSheetId="1">#REF!</definedName>
    <definedName name="GIpipecost" localSheetId="3">#REF!</definedName>
    <definedName name="GIpipecost" localSheetId="5">#REF!</definedName>
    <definedName name="GIpipecost" localSheetId="6">#REF!</definedName>
    <definedName name="GIpipecost">#REF!</definedName>
    <definedName name="GIpipelength" localSheetId="2">#REF!</definedName>
    <definedName name="GIpipelength" localSheetId="1">#REF!</definedName>
    <definedName name="GIpipelength" localSheetId="3">#REF!</definedName>
    <definedName name="GIpipelength" localSheetId="5">#REF!</definedName>
    <definedName name="GIpipelength" localSheetId="6">#REF!</definedName>
    <definedName name="GIpipelength">#REF!</definedName>
    <definedName name="global_rate_increase" localSheetId="2">#REF!</definedName>
    <definedName name="global_rate_increase" localSheetId="1">#REF!</definedName>
    <definedName name="global_rate_increase" localSheetId="3">#REF!</definedName>
    <definedName name="global_rate_increase" localSheetId="5">#REF!</definedName>
    <definedName name="global_rate_increase" localSheetId="6">#REF!</definedName>
    <definedName name="global_rate_increase">#REF!</definedName>
    <definedName name="GoCallbackImpact" localSheetId="2">#REF!</definedName>
    <definedName name="GoCallbackImpact" localSheetId="1">#REF!</definedName>
    <definedName name="GoCallbackImpact" localSheetId="3">#REF!</definedName>
    <definedName name="GoCallbackImpact" localSheetId="5">#REF!</definedName>
    <definedName name="GoCallbackImpact" localSheetId="6">#REF!</definedName>
    <definedName name="GoCallbackImpact">#REF!</definedName>
    <definedName name="GoDCFValuation" localSheetId="2">#REF!</definedName>
    <definedName name="GoDCFValuation" localSheetId="1">#REF!</definedName>
    <definedName name="GoDCFValuation" localSheetId="3">#REF!</definedName>
    <definedName name="GoDCFValuation" localSheetId="5">#REF!</definedName>
    <definedName name="GoDCFValuation" localSheetId="6">#REF!</definedName>
    <definedName name="GoDCFValuation">#REF!</definedName>
    <definedName name="GoFixedTelAcqCosts" localSheetId="2">#REF!</definedName>
    <definedName name="GoFixedTelAcqCosts" localSheetId="1">#REF!</definedName>
    <definedName name="GoFixedTelAcqCosts" localSheetId="3">#REF!</definedName>
    <definedName name="GoFixedTelAcqCosts" localSheetId="5">#REF!</definedName>
    <definedName name="GoFixedTelAcqCosts" localSheetId="6">#REF!</definedName>
    <definedName name="GoFixedTelAcqCosts">#REF!</definedName>
    <definedName name="GoFixedTelBusMarket" localSheetId="2">#REF!</definedName>
    <definedName name="GoFixedTelBusMarket" localSheetId="1">#REF!</definedName>
    <definedName name="GoFixedTelBusMarket" localSheetId="3">#REF!</definedName>
    <definedName name="GoFixedTelBusMarket" localSheetId="5">#REF!</definedName>
    <definedName name="GoFixedTelBusMarket" localSheetId="6">#REF!</definedName>
    <definedName name="GoFixedTelBusMarket">#REF!</definedName>
    <definedName name="GoFixedTelHanMarket" localSheetId="2">#REF!</definedName>
    <definedName name="GoFixedTelHanMarket" localSheetId="1">#REF!</definedName>
    <definedName name="GoFixedTelHanMarket" localSheetId="3">#REF!</definedName>
    <definedName name="GoFixedTelHanMarket" localSheetId="5">#REF!</definedName>
    <definedName name="GoFixedTelHanMarket" localSheetId="6">#REF!</definedName>
    <definedName name="GoFixedTelHanMarket">#REF!</definedName>
    <definedName name="GoFixedTelHanRev" localSheetId="2">#REF!</definedName>
    <definedName name="GoFixedTelHanRev" localSheetId="1">#REF!</definedName>
    <definedName name="GoFixedTelHanRev" localSheetId="3">#REF!</definedName>
    <definedName name="GoFixedTelHanRev" localSheetId="5">#REF!</definedName>
    <definedName name="GoFixedTelHanRev" localSheetId="6">#REF!</definedName>
    <definedName name="GoFixedTelHanRev">#REF!</definedName>
    <definedName name="GoFixedTelMarketAss" localSheetId="2">#REF!</definedName>
    <definedName name="GoFixedTelMarketAss" localSheetId="1">#REF!</definedName>
    <definedName name="GoFixedTelMarketAss" localSheetId="3">#REF!</definedName>
    <definedName name="GoFixedTelMarketAss" localSheetId="5">#REF!</definedName>
    <definedName name="GoFixedTelMarketAss" localSheetId="6">#REF!</definedName>
    <definedName name="GoFixedTelMarketAss">#REF!</definedName>
    <definedName name="GoFixedTelPrices" localSheetId="2">#REF!</definedName>
    <definedName name="GoFixedTelPrices" localSheetId="1">#REF!</definedName>
    <definedName name="GoFixedTelPrices" localSheetId="3">#REF!</definedName>
    <definedName name="GoFixedTelPrices" localSheetId="5">#REF!</definedName>
    <definedName name="GoFixedTelPrices" localSheetId="6">#REF!</definedName>
    <definedName name="GoFixedTelPrices">#REF!</definedName>
    <definedName name="GoFixedTelResMarket" localSheetId="2">#REF!</definedName>
    <definedName name="GoFixedTelResMarket" localSheetId="1">#REF!</definedName>
    <definedName name="GoFixedTelResMarket" localSheetId="3">#REF!</definedName>
    <definedName name="GoFixedTelResMarket" localSheetId="5">#REF!</definedName>
    <definedName name="GoFixedTelResMarket" localSheetId="6">#REF!</definedName>
    <definedName name="GoFixedTelResMarket">#REF!</definedName>
    <definedName name="GoHanADCRev" localSheetId="2">#REF!</definedName>
    <definedName name="GoHanADCRev" localSheetId="1">#REF!</definedName>
    <definedName name="GoHanADCRev" localSheetId="3">#REF!</definedName>
    <definedName name="GoHanADCRev" localSheetId="5">#REF!</definedName>
    <definedName name="GoHanADCRev" localSheetId="6">#REF!</definedName>
    <definedName name="GoHanADCRev">#REF!</definedName>
    <definedName name="GoHanComputerRev" localSheetId="2">#REF!</definedName>
    <definedName name="GoHanComputerRev" localSheetId="1">#REF!</definedName>
    <definedName name="GoHanComputerRev" localSheetId="3">#REF!</definedName>
    <definedName name="GoHanComputerRev" localSheetId="5">#REF!</definedName>
    <definedName name="GoHanComputerRev" localSheetId="6">#REF!</definedName>
    <definedName name="GoHanComputerRev">#REF!</definedName>
    <definedName name="GoHanDataRev" localSheetId="2">#REF!</definedName>
    <definedName name="GoHanDataRev" localSheetId="1">#REF!</definedName>
    <definedName name="GoHanDataRev" localSheetId="3">#REF!</definedName>
    <definedName name="GoHanDataRev" localSheetId="5">#REF!</definedName>
    <definedName name="GoHanDataRev" localSheetId="6">#REF!</definedName>
    <definedName name="GoHanDataRev">#REF!</definedName>
    <definedName name="GoHanFinancials" localSheetId="2">#REF!</definedName>
    <definedName name="GoHanFinancials" localSheetId="1">#REF!</definedName>
    <definedName name="GoHanFinancials" localSheetId="3">#REF!</definedName>
    <definedName name="GoHanFinancials" localSheetId="5">#REF!</definedName>
    <definedName name="GoHanFinancials" localSheetId="6">#REF!</definedName>
    <definedName name="GoHanFinancials">#REF!</definedName>
    <definedName name="GoHanIMSRev" localSheetId="2">#REF!</definedName>
    <definedName name="GoHanIMSRev" localSheetId="1">#REF!</definedName>
    <definedName name="GoHanIMSRev" localSheetId="3">#REF!</definedName>
    <definedName name="GoHanIMSRev" localSheetId="5">#REF!</definedName>
    <definedName name="GoHanIMSRev" localSheetId="6">#REF!</definedName>
    <definedName name="GoHanIMSRev">#REF!</definedName>
    <definedName name="GoHanINSRev" localSheetId="2">#REF!</definedName>
    <definedName name="GoHanINSRev" localSheetId="1">#REF!</definedName>
    <definedName name="GoHanINSRev" localSheetId="3">#REF!</definedName>
    <definedName name="GoHanINSRev" localSheetId="5">#REF!</definedName>
    <definedName name="GoHanINSRev" localSheetId="6">#REF!</definedName>
    <definedName name="GoHanINSRev">#REF!</definedName>
    <definedName name="GoHanInternetRev" localSheetId="2">#REF!</definedName>
    <definedName name="GoHanInternetRev" localSheetId="1">#REF!</definedName>
    <definedName name="GoHanInternetRev" localSheetId="3">#REF!</definedName>
    <definedName name="GoHanInternetRev" localSheetId="5">#REF!</definedName>
    <definedName name="GoHanInternetRev" localSheetId="6">#REF!</definedName>
    <definedName name="GoHanInternetRev">#REF!</definedName>
    <definedName name="GoHanLLRev" localSheetId="2">#REF!</definedName>
    <definedName name="GoHanLLRev" localSheetId="1">#REF!</definedName>
    <definedName name="GoHanLLRev" localSheetId="3">#REF!</definedName>
    <definedName name="GoHanLLRev" localSheetId="5">#REF!</definedName>
    <definedName name="GoHanLLRev" localSheetId="6">#REF!</definedName>
    <definedName name="GoHanLLRev">#REF!</definedName>
    <definedName name="GoHanPagingRev" localSheetId="2">#REF!</definedName>
    <definedName name="GoHanPagingRev" localSheetId="1">#REF!</definedName>
    <definedName name="GoHanPagingRev" localSheetId="3">#REF!</definedName>
    <definedName name="GoHanPagingRev" localSheetId="5">#REF!</definedName>
    <definedName name="GoHanPagingRev" localSheetId="6">#REF!</definedName>
    <definedName name="GoHanPagingRev">#REF!</definedName>
    <definedName name="GoHanSettlementRev" localSheetId="2">#REF!</definedName>
    <definedName name="GoHanSettlementRev" localSheetId="1">#REF!</definedName>
    <definedName name="GoHanSettlementRev" localSheetId="3">#REF!</definedName>
    <definedName name="GoHanSettlementRev" localSheetId="5">#REF!</definedName>
    <definedName name="GoHanSettlementRev" localSheetId="6">#REF!</definedName>
    <definedName name="GoHanSettlementRev">#REF!</definedName>
    <definedName name="GoHanTotalRev" localSheetId="2">#REF!</definedName>
    <definedName name="GoHanTotalRev" localSheetId="1">#REF!</definedName>
    <definedName name="GoHanTotalRev" localSheetId="3">#REF!</definedName>
    <definedName name="GoHanTotalRev" localSheetId="5">#REF!</definedName>
    <definedName name="GoHanTotalRev" localSheetId="6">#REF!</definedName>
    <definedName name="GoHanTotalRev">#REF!</definedName>
    <definedName name="GoHanVASRev" localSheetId="2">#REF!</definedName>
    <definedName name="GoHanVASRev" localSheetId="1">#REF!</definedName>
    <definedName name="GoHanVASRev" localSheetId="3">#REF!</definedName>
    <definedName name="GoHanVASRev" localSheetId="5">#REF!</definedName>
    <definedName name="GoHanVASRev" localSheetId="6">#REF!</definedName>
    <definedName name="GoHanVASRev">#REF!</definedName>
    <definedName name="GoIntercoHanCosts" localSheetId="2">#REF!</definedName>
    <definedName name="GoIntercoHanCosts" localSheetId="1">#REF!</definedName>
    <definedName name="GoIntercoHanCosts" localSheetId="3">#REF!</definedName>
    <definedName name="GoIntercoHanCosts" localSheetId="5">#REF!</definedName>
    <definedName name="GoIntercoHanCosts" localSheetId="6">#REF!</definedName>
    <definedName name="GoIntercoHanCosts">#REF!</definedName>
    <definedName name="GoIntercoHanRev" localSheetId="2">#REF!</definedName>
    <definedName name="GoIntercoHanRev" localSheetId="1">#REF!</definedName>
    <definedName name="GoIntercoHanRev" localSheetId="3">#REF!</definedName>
    <definedName name="GoIntercoHanRev" localSheetId="5">#REF!</definedName>
    <definedName name="GoIntercoHanRev" localSheetId="6">#REF!</definedName>
    <definedName name="GoIntercoHanRev">#REF!</definedName>
    <definedName name="GoIntercoHanVolume" localSheetId="2">#REF!</definedName>
    <definedName name="GoIntercoHanVolume" localSheetId="1">#REF!</definedName>
    <definedName name="GoIntercoHanVolume" localSheetId="3">#REF!</definedName>
    <definedName name="GoIntercoHanVolume" localSheetId="5">#REF!</definedName>
    <definedName name="GoIntercoHanVolume" localSheetId="6">#REF!</definedName>
    <definedName name="GoIntercoHanVolume">#REF!</definedName>
    <definedName name="GoMobileOne" localSheetId="2">#REF!</definedName>
    <definedName name="GoMobileOne" localSheetId="1">#REF!</definedName>
    <definedName name="GoMobileOne" localSheetId="3">#REF!</definedName>
    <definedName name="GoMobileOne" localSheetId="5">#REF!</definedName>
    <definedName name="GoMobileOne" localSheetId="6">#REF!</definedName>
    <definedName name="GoMobileOne">#REF!</definedName>
    <definedName name="GoMobTelBusMarket" localSheetId="2">#REF!</definedName>
    <definedName name="GoMobTelBusMarket" localSheetId="1">#REF!</definedName>
    <definedName name="GoMobTelBusMarket" localSheetId="3">#REF!</definedName>
    <definedName name="GoMobTelBusMarket" localSheetId="5">#REF!</definedName>
    <definedName name="GoMobTelBusMarket" localSheetId="6">#REF!</definedName>
    <definedName name="GoMobTelBusMarket">#REF!</definedName>
    <definedName name="GoMobTelHanMarket" localSheetId="2">#REF!</definedName>
    <definedName name="GoMobTelHanMarket" localSheetId="1">#REF!</definedName>
    <definedName name="GoMobTelHanMarket" localSheetId="3">#REF!</definedName>
    <definedName name="GoMobTelHanMarket" localSheetId="5">#REF!</definedName>
    <definedName name="GoMobTelHanMarket" localSheetId="6">#REF!</definedName>
    <definedName name="GoMobTelHanMarket">#REF!</definedName>
    <definedName name="GoMobTelHanMarketShare" localSheetId="2">#REF!</definedName>
    <definedName name="GoMobTelHanMarketShare" localSheetId="1">#REF!</definedName>
    <definedName name="GoMobTelHanMarketShare" localSheetId="3">#REF!</definedName>
    <definedName name="GoMobTelHanMarketShare" localSheetId="5">#REF!</definedName>
    <definedName name="GoMobTelHanMarketShare" localSheetId="6">#REF!</definedName>
    <definedName name="GoMobTelHanMarketShare">#REF!</definedName>
    <definedName name="GoMobTelHanPriceAss" localSheetId="2">#REF!</definedName>
    <definedName name="GoMobTelHanPriceAss" localSheetId="1">#REF!</definedName>
    <definedName name="GoMobTelHanPriceAss" localSheetId="3">#REF!</definedName>
    <definedName name="GoMobTelHanPriceAss" localSheetId="5">#REF!</definedName>
    <definedName name="GoMobTelHanPriceAss" localSheetId="6">#REF!</definedName>
    <definedName name="GoMobTelHanPriceAss">#REF!</definedName>
    <definedName name="GoMobTelHanRev" localSheetId="2">#REF!</definedName>
    <definedName name="GoMobTelHanRev" localSheetId="1">#REF!</definedName>
    <definedName name="GoMobTelHanRev" localSheetId="3">#REF!</definedName>
    <definedName name="GoMobTelHanRev" localSheetId="5">#REF!</definedName>
    <definedName name="GoMobTelHanRev" localSheetId="6">#REF!</definedName>
    <definedName name="GoMobTelHanRev">#REF!</definedName>
    <definedName name="GoMobTelMarketAss" localSheetId="2">#REF!</definedName>
    <definedName name="GoMobTelMarketAss" localSheetId="1">#REF!</definedName>
    <definedName name="GoMobTelMarketAss" localSheetId="3">#REF!</definedName>
    <definedName name="GoMobTelMarketAss" localSheetId="5">#REF!</definedName>
    <definedName name="GoMobTelMarketAss" localSheetId="6">#REF!</definedName>
    <definedName name="GoMobTelMarketAss">#REF!</definedName>
    <definedName name="GoMobTelPrices" localSheetId="2">#REF!</definedName>
    <definedName name="GoMobTelPrices" localSheetId="1">#REF!</definedName>
    <definedName name="GoMobTelPrices" localSheetId="3">#REF!</definedName>
    <definedName name="GoMobTelPrices" localSheetId="5">#REF!</definedName>
    <definedName name="GoMobTelPrices" localSheetId="6">#REF!</definedName>
    <definedName name="GoMobTelPrices">#REF!</definedName>
    <definedName name="GoMobTelResMarket" localSheetId="2">#REF!</definedName>
    <definedName name="GoMobTelResMarket" localSheetId="1">#REF!</definedName>
    <definedName name="GoMobTelResMarket" localSheetId="3">#REF!</definedName>
    <definedName name="GoMobTelResMarket" localSheetId="5">#REF!</definedName>
    <definedName name="GoMobTelResMarket" localSheetId="6">#REF!</definedName>
    <definedName name="GoMobTelResMarket">#REF!</definedName>
    <definedName name="GoScenarios" localSheetId="2">#REF!</definedName>
    <definedName name="GoScenarios" localSheetId="1">#REF!</definedName>
    <definedName name="GoScenarios" localSheetId="3">#REF!</definedName>
    <definedName name="GoScenarios" localSheetId="5">#REF!</definedName>
    <definedName name="GoScenarios" localSheetId="6">#REF!</definedName>
    <definedName name="GoScenarios">#REF!</definedName>
    <definedName name="GoTelMarketShareAss" localSheetId="2">#REF!</definedName>
    <definedName name="GoTelMarketShareAss" localSheetId="1">#REF!</definedName>
    <definedName name="GoTelMarketShareAss" localSheetId="3">#REF!</definedName>
    <definedName name="GoTelMarketShareAss" localSheetId="5">#REF!</definedName>
    <definedName name="GoTelMarketShareAss" localSheetId="6">#REF!</definedName>
    <definedName name="GoTelMarketShareAss">#REF!</definedName>
    <definedName name="GoTotalCosts" localSheetId="2">#REF!</definedName>
    <definedName name="GoTotalCosts" localSheetId="1">#REF!</definedName>
    <definedName name="GoTotalCosts" localSheetId="3">#REF!</definedName>
    <definedName name="GoTotalCosts" localSheetId="5">#REF!</definedName>
    <definedName name="GoTotalCosts" localSheetId="6">#REF!</definedName>
    <definedName name="GoTotalCosts">#REF!</definedName>
    <definedName name="GovtOthers" localSheetId="2">#REF!</definedName>
    <definedName name="GovtOthers" localSheetId="1">#REF!</definedName>
    <definedName name="GovtOthers" localSheetId="3">#REF!</definedName>
    <definedName name="GovtOthers" localSheetId="5">#REF!</definedName>
    <definedName name="GovtOthers" localSheetId="6">#REF!</definedName>
    <definedName name="GovtOthers">#REF!</definedName>
    <definedName name="graph1" localSheetId="2">#REF!</definedName>
    <definedName name="graph1" localSheetId="1">#REF!</definedName>
    <definedName name="graph1" localSheetId="3">#REF!</definedName>
    <definedName name="graph1" localSheetId="5">#REF!</definedName>
    <definedName name="graph1" localSheetId="6">#REF!</definedName>
    <definedName name="graph1">#REF!</definedName>
    <definedName name="graph2" localSheetId="2">#REF!</definedName>
    <definedName name="graph2" localSheetId="1">#REF!</definedName>
    <definedName name="graph2" localSheetId="3">#REF!</definedName>
    <definedName name="graph2" localSheetId="5">#REF!</definedName>
    <definedName name="graph2" localSheetId="6">#REF!</definedName>
    <definedName name="graph2">#REF!</definedName>
    <definedName name="Gross_Margin___Rs_M" localSheetId="2">#REF!</definedName>
    <definedName name="Gross_Margin___Rs_M" localSheetId="1">#REF!</definedName>
    <definedName name="Gross_Margin___Rs_M" localSheetId="3">#REF!</definedName>
    <definedName name="Gross_Margin___Rs_M" localSheetId="5">#REF!</definedName>
    <definedName name="Gross_Margin___Rs_M" localSheetId="6">#REF!</definedName>
    <definedName name="Gross_Margin___Rs_M">#REF!</definedName>
    <definedName name="GROUP" localSheetId="2">#REF!</definedName>
    <definedName name="GROUP" localSheetId="1">#REF!</definedName>
    <definedName name="GROUP" localSheetId="3">#REF!</definedName>
    <definedName name="GROUP" localSheetId="5">#REF!</definedName>
    <definedName name="GROUP" localSheetId="6">#REF!</definedName>
    <definedName name="GROUP">#REF!</definedName>
    <definedName name="Group4">#N/A</definedName>
    <definedName name="GroupData" localSheetId="2">#REF!</definedName>
    <definedName name="GroupData" localSheetId="1">#REF!</definedName>
    <definedName name="GroupData" localSheetId="3">#REF!</definedName>
    <definedName name="GroupData" localSheetId="5">#REF!</definedName>
    <definedName name="GroupData" localSheetId="6">#REF!</definedName>
    <definedName name="GroupData">#REF!</definedName>
    <definedName name="groupings" localSheetId="2">#REF!</definedName>
    <definedName name="groupings" localSheetId="1">#REF!</definedName>
    <definedName name="groupings" localSheetId="3">#REF!</definedName>
    <definedName name="groupings" localSheetId="5">#REF!</definedName>
    <definedName name="groupings" localSheetId="6">#REF!</definedName>
    <definedName name="groupings">#REF!</definedName>
    <definedName name="GRPDATA" localSheetId="2">#REF!</definedName>
    <definedName name="GRPDATA" localSheetId="1">#REF!</definedName>
    <definedName name="GRPDATA" localSheetId="3">#REF!</definedName>
    <definedName name="GRPDATA" localSheetId="5">#REF!</definedName>
    <definedName name="GRPDATA" localSheetId="6">#REF!</definedName>
    <definedName name="GRPDATA">#REF!</definedName>
    <definedName name="GTFixedPrice" localSheetId="2">#REF!</definedName>
    <definedName name="GTFixedPrice" localSheetId="1">#REF!</definedName>
    <definedName name="GTFixedPrice" localSheetId="3">#REF!</definedName>
    <definedName name="GTFixedPrice" localSheetId="5">#REF!</definedName>
    <definedName name="GTFixedPrice" localSheetId="6">#REF!</definedName>
    <definedName name="GTFixedPrice">#REF!</definedName>
    <definedName name="GTScaler" localSheetId="2">#REF!</definedName>
    <definedName name="GTScaler" localSheetId="1">#REF!</definedName>
    <definedName name="GTScaler" localSheetId="3">#REF!</definedName>
    <definedName name="GTScaler" localSheetId="5">#REF!</definedName>
    <definedName name="GTScaler" localSheetId="6">#REF!</definedName>
    <definedName name="GTScaler">#REF!</definedName>
    <definedName name="GTVariablePrice" localSheetId="2">#REF!</definedName>
    <definedName name="GTVariablePrice" localSheetId="1">#REF!</definedName>
    <definedName name="GTVariablePrice" localSheetId="3">#REF!</definedName>
    <definedName name="GTVariablePrice" localSheetId="5">#REF!</definedName>
    <definedName name="GTVariablePrice" localSheetId="6">#REF!</definedName>
    <definedName name="GTVariablePrice">#REF!</definedName>
    <definedName name="hardsurfacecutcost" localSheetId="2">#REF!</definedName>
    <definedName name="hardsurfacecutcost" localSheetId="1">#REF!</definedName>
    <definedName name="hardsurfacecutcost" localSheetId="3">#REF!</definedName>
    <definedName name="hardsurfacecutcost" localSheetId="5">#REF!</definedName>
    <definedName name="hardsurfacecutcost" localSheetId="6">#REF!</definedName>
    <definedName name="hardsurfacecutcost">#REF!</definedName>
    <definedName name="HDP" localSheetId="2">#REF!</definedName>
    <definedName name="HDP" localSheetId="1">#REF!</definedName>
    <definedName name="HDP" localSheetId="3">#REF!</definedName>
    <definedName name="HDP" localSheetId="5">#REF!</definedName>
    <definedName name="HDP" localSheetId="6">#REF!</definedName>
    <definedName name="HDP">#REF!</definedName>
    <definedName name="HDPE40mmcost" localSheetId="2">#REF!</definedName>
    <definedName name="HDPE40mmcost" localSheetId="1">#REF!</definedName>
    <definedName name="HDPE40mmcost" localSheetId="3">#REF!</definedName>
    <definedName name="HDPE40mmcost" localSheetId="5">#REF!</definedName>
    <definedName name="HDPE40mmcost" localSheetId="6">#REF!</definedName>
    <definedName name="HDPE40mmcost">#REF!</definedName>
    <definedName name="HEAD_GROUP" localSheetId="2">#REF!</definedName>
    <definedName name="HEAD_GROUP" localSheetId="1">#REF!</definedName>
    <definedName name="HEAD_GROUP" localSheetId="3">#REF!</definedName>
    <definedName name="HEAD_GROUP" localSheetId="5">#REF!</definedName>
    <definedName name="HEAD_GROUP" localSheetId="6">#REF!</definedName>
    <definedName name="HEAD_GROUP">#REF!</definedName>
    <definedName name="HEAD_SCH" localSheetId="2">#REF!</definedName>
    <definedName name="HEAD_SCH" localSheetId="1">#REF!</definedName>
    <definedName name="HEAD_SCH" localSheetId="3">#REF!</definedName>
    <definedName name="HEAD_SCH" localSheetId="5">#REF!</definedName>
    <definedName name="HEAD_SCH" localSheetId="6">#REF!</definedName>
    <definedName name="HEAD_SCH">#REF!</definedName>
    <definedName name="Header" localSheetId="2">#REF!</definedName>
    <definedName name="Header" localSheetId="1">#REF!</definedName>
    <definedName name="Header" localSheetId="3">#REF!</definedName>
    <definedName name="Header" localSheetId="5">#REF!</definedName>
    <definedName name="Header" localSheetId="6">#REF!</definedName>
    <definedName name="Header">#REF!</definedName>
    <definedName name="hjkbu" localSheetId="2">#REF!</definedName>
    <definedName name="hjkbu" localSheetId="1">#REF!</definedName>
    <definedName name="hjkbu" localSheetId="3">#REF!</definedName>
    <definedName name="hjkbu" localSheetId="5">#REF!</definedName>
    <definedName name="hjkbu" localSheetId="6">#REF!</definedName>
    <definedName name="hjkbu">#REF!</definedName>
    <definedName name="hkbhi" localSheetId="2">#REF!</definedName>
    <definedName name="hkbhi" localSheetId="1">#REF!</definedName>
    <definedName name="hkbhi" localSheetId="3">#REF!</definedName>
    <definedName name="hkbhi" localSheetId="5">#REF!</definedName>
    <definedName name="hkbhi" localSheetId="6">#REF!</definedName>
    <definedName name="hkbhi">#REF!</definedName>
    <definedName name="HQOTHER" localSheetId="2">#REF!</definedName>
    <definedName name="HQOTHER" localSheetId="1">#REF!</definedName>
    <definedName name="HQOTHER" localSheetId="3">#REF!</definedName>
    <definedName name="HQOTHER" localSheetId="5">#REF!</definedName>
    <definedName name="HQOTHER" localSheetId="6">#REF!</definedName>
    <definedName name="HQOTHER">#REF!</definedName>
    <definedName name="HR">#N/A</definedName>
    <definedName name="HRSGFlow" localSheetId="2">#REF!</definedName>
    <definedName name="HRSGFlow" localSheetId="1">#REF!</definedName>
    <definedName name="HRSGFlow" localSheetId="3">#REF!</definedName>
    <definedName name="HRSGFlow" localSheetId="5">#REF!</definedName>
    <definedName name="HRSGFlow" localSheetId="6">#REF!</definedName>
    <definedName name="HRSGFlow">#REF!</definedName>
    <definedName name="HTML_CodePage">1252</definedName>
    <definedName name="HTML_Control" localSheetId="2">{"'subnets'!$A$1:$F$20"}</definedName>
    <definedName name="HTML_Control" localSheetId="1">{"'subnets'!$A$1:$F$20"}</definedName>
    <definedName name="HTML_Control" localSheetId="3">{"'subnets'!$A$1:$F$20"}</definedName>
    <definedName name="HTML_Control" localSheetId="4">{"'subnets'!$A$1:$F$20"}</definedName>
    <definedName name="HTML_Control" localSheetId="5">{"'subnets'!$A$1:$F$20"}</definedName>
    <definedName name="HTML_Control" localSheetId="6">{"'subnets'!$A$1:$F$20"}</definedName>
    <definedName name="HTML_Control">{"'subnets'!$A$1:$F$20"}</definedName>
    <definedName name="HTML_Description">""</definedName>
    <definedName name="HTML_Email">""</definedName>
    <definedName name="HTML_Header">"SUBNETS"</definedName>
    <definedName name="HTML_LastUpdate">"01/25/2000"</definedName>
    <definedName name="HTML_LineAfter">TRUE</definedName>
    <definedName name="HTML_LineBefore">FALSE</definedName>
    <definedName name="HTML_Name">"Jerry George"</definedName>
    <definedName name="HTML_OBDlg2">TRUE</definedName>
    <definedName name="HTML_OBDlg4">TRUE</definedName>
    <definedName name="HTML_OS">0</definedName>
    <definedName name="HTML_PathFile">"C:\WWW\IT\network\subnets.htm"</definedName>
    <definedName name="HTML_Title">"Subnets"</definedName>
    <definedName name="IAfixed" localSheetId="2">#REF!</definedName>
    <definedName name="IAfixed" localSheetId="1">#REF!</definedName>
    <definedName name="IAfixed" localSheetId="3">#REF!</definedName>
    <definedName name="IAfixed" localSheetId="5">#REF!</definedName>
    <definedName name="IAfixed" localSheetId="6">#REF!</definedName>
    <definedName name="IAfixed">#REF!</definedName>
    <definedName name="Identifier" localSheetId="2">#REF!</definedName>
    <definedName name="Identifier" localSheetId="1">#REF!</definedName>
    <definedName name="Identifier" localSheetId="3">#REF!</definedName>
    <definedName name="Identifier" localSheetId="5">#REF!</definedName>
    <definedName name="Identifier" localSheetId="6">#REF!</definedName>
    <definedName name="Identifier">#REF!</definedName>
    <definedName name="Identifier2" localSheetId="2">#REF!</definedName>
    <definedName name="Identifier2" localSheetId="1">#REF!</definedName>
    <definedName name="Identifier2" localSheetId="3">#REF!</definedName>
    <definedName name="Identifier2" localSheetId="5">#REF!</definedName>
    <definedName name="Identifier2" localSheetId="6">#REF!</definedName>
    <definedName name="Identifier2">#REF!</definedName>
    <definedName name="IK" localSheetId="2">#REF!</definedName>
    <definedName name="IK" localSheetId="1">#REF!</definedName>
    <definedName name="IK" localSheetId="3">#REF!</definedName>
    <definedName name="IK" localSheetId="5">#REF!</definedName>
    <definedName name="IK" localSheetId="6">#REF!</definedName>
    <definedName name="IK">#REF!</definedName>
    <definedName name="ILT" localSheetId="2">#REF!</definedName>
    <definedName name="ILT" localSheetId="1">#REF!</definedName>
    <definedName name="ILT" localSheetId="3">#REF!</definedName>
    <definedName name="ILT" localSheetId="5">#REF!</definedName>
    <definedName name="ILT" localSheetId="6">#REF!</definedName>
    <definedName name="ILT">#REF!</definedName>
    <definedName name="ImportFile" localSheetId="2">#REF!</definedName>
    <definedName name="ImportFile" localSheetId="1">#REF!</definedName>
    <definedName name="ImportFile" localSheetId="3">#REF!</definedName>
    <definedName name="ImportFile" localSheetId="5">#REF!</definedName>
    <definedName name="ImportFile" localSheetId="6">#REF!</definedName>
    <definedName name="ImportFile">#REF!</definedName>
    <definedName name="incr" localSheetId="2">#REF!</definedName>
    <definedName name="incr" localSheetId="1">#REF!</definedName>
    <definedName name="incr" localSheetId="3">#REF!</definedName>
    <definedName name="incr" localSheetId="5">#REF!</definedName>
    <definedName name="incr" localSheetId="6">#REF!</definedName>
    <definedName name="incr">#REF!</definedName>
    <definedName name="increase_in_ospmaintenance" localSheetId="2">#REF!</definedName>
    <definedName name="increase_in_ospmaintenance" localSheetId="1">#REF!</definedName>
    <definedName name="increase_in_ospmaintenance" localSheetId="3">#REF!</definedName>
    <definedName name="increase_in_ospmaintenance" localSheetId="5">#REF!</definedName>
    <definedName name="increase_in_ospmaintenance" localSheetId="6">#REF!</definedName>
    <definedName name="increase_in_ospmaintenance">#REF!</definedName>
    <definedName name="INCREASED" localSheetId="2">#REF!</definedName>
    <definedName name="INCREASED" localSheetId="1">#REF!</definedName>
    <definedName name="INCREASED" localSheetId="3">#REF!</definedName>
    <definedName name="INCREASED" localSheetId="5">#REF!</definedName>
    <definedName name="INCREASED" localSheetId="6">#REF!</definedName>
    <definedName name="INCREASED">#REF!</definedName>
    <definedName name="increaseinhousesalary" localSheetId="2">#REF!</definedName>
    <definedName name="increaseinhousesalary" localSheetId="1">#REF!</definedName>
    <definedName name="increaseinhousesalary" localSheetId="3">#REF!</definedName>
    <definedName name="increaseinhousesalary" localSheetId="5">#REF!</definedName>
    <definedName name="increaseinhousesalary" localSheetId="6">#REF!</definedName>
    <definedName name="increaseinhousesalary">#REF!</definedName>
    <definedName name="increaseoutsourcedsalary" localSheetId="2">#REF!</definedName>
    <definedName name="increaseoutsourcedsalary" localSheetId="1">#REF!</definedName>
    <definedName name="increaseoutsourcedsalary" localSheetId="3">#REF!</definedName>
    <definedName name="increaseoutsourcedsalary" localSheetId="5">#REF!</definedName>
    <definedName name="increaseoutsourcedsalary" localSheetId="6">#REF!</definedName>
    <definedName name="increaseoutsourcedsalary">#REF!</definedName>
    <definedName name="INDIA_PLASTIC_in_KUSD" localSheetId="2">#REF!</definedName>
    <definedName name="INDIA_PLASTIC_in_KUSD" localSheetId="1">#REF!</definedName>
    <definedName name="INDIA_PLASTIC_in_KUSD" localSheetId="3">#REF!</definedName>
    <definedName name="INDIA_PLASTIC_in_KUSD" localSheetId="5">#REF!</definedName>
    <definedName name="INDIA_PLASTIC_in_KUSD" localSheetId="6">#REF!</definedName>
    <definedName name="INDIA_PLASTIC_in_KUSD">#REF!</definedName>
    <definedName name="INETOTHER" localSheetId="2">#REF!</definedName>
    <definedName name="INETOTHER" localSheetId="1">#REF!</definedName>
    <definedName name="INETOTHER" localSheetId="3">#REF!</definedName>
    <definedName name="INETOTHER" localSheetId="5">#REF!</definedName>
    <definedName name="INETOTHER" localSheetId="6">#REF!</definedName>
    <definedName name="INETOTHER">#REF!</definedName>
    <definedName name="INETPPE" localSheetId="2">#REF!</definedName>
    <definedName name="INETPPE" localSheetId="1">#REF!</definedName>
    <definedName name="INETPPE" localSheetId="3">#REF!</definedName>
    <definedName name="INETPPE" localSheetId="5">#REF!</definedName>
    <definedName name="INETPPE" localSheetId="6">#REF!</definedName>
    <definedName name="INETPPE">#REF!</definedName>
    <definedName name="inflind" localSheetId="2">#REF!</definedName>
    <definedName name="inflind" localSheetId="1">#REF!</definedName>
    <definedName name="inflind" localSheetId="3">#REF!</definedName>
    <definedName name="inflind" localSheetId="5">#REF!</definedName>
    <definedName name="inflind" localSheetId="6">#REF!</definedName>
    <definedName name="inflind">#REF!</definedName>
    <definedName name="inflUS" localSheetId="2">#REF!</definedName>
    <definedName name="inflUS" localSheetId="1">#REF!</definedName>
    <definedName name="inflUS" localSheetId="3">#REF!</definedName>
    <definedName name="inflUS" localSheetId="5">#REF!</definedName>
    <definedName name="inflUS" localSheetId="6">#REF!</definedName>
    <definedName name="inflUS">#REF!</definedName>
    <definedName name="Information" localSheetId="2">#REF!</definedName>
    <definedName name="Information" localSheetId="1">#REF!</definedName>
    <definedName name="Information" localSheetId="3">#REF!</definedName>
    <definedName name="Information" localSheetId="5">#REF!</definedName>
    <definedName name="Information" localSheetId="6">#REF!</definedName>
    <definedName name="Information">#REF!</definedName>
    <definedName name="inhousemanpowerph1a" localSheetId="2">#REF!</definedName>
    <definedName name="inhousemanpowerph1a" localSheetId="1">#REF!</definedName>
    <definedName name="inhousemanpowerph1a" localSheetId="3">#REF!</definedName>
    <definedName name="inhousemanpowerph1a" localSheetId="5">#REF!</definedName>
    <definedName name="inhousemanpowerph1a" localSheetId="6">#REF!</definedName>
    <definedName name="inhousemanpowerph1a">#REF!</definedName>
    <definedName name="inhousemanpowerph1b" localSheetId="2">#REF!</definedName>
    <definedName name="inhousemanpowerph1b" localSheetId="1">#REF!</definedName>
    <definedName name="inhousemanpowerph1b" localSheetId="3">#REF!</definedName>
    <definedName name="inhousemanpowerph1b" localSheetId="5">#REF!</definedName>
    <definedName name="inhousemanpowerph1b" localSheetId="6">#REF!</definedName>
    <definedName name="inhousemanpowerph1b">#REF!</definedName>
    <definedName name="inhousemanpowerph2" localSheetId="2">#REF!</definedName>
    <definedName name="inhousemanpowerph2" localSheetId="1">#REF!</definedName>
    <definedName name="inhousemanpowerph2" localSheetId="3">#REF!</definedName>
    <definedName name="inhousemanpowerph2" localSheetId="5">#REF!</definedName>
    <definedName name="inhousemanpowerph2" localSheetId="6">#REF!</definedName>
    <definedName name="inhousemanpowerph2">#REF!</definedName>
    <definedName name="installationcost" localSheetId="2">#REF!</definedName>
    <definedName name="installationcost" localSheetId="1">#REF!</definedName>
    <definedName name="installationcost" localSheetId="3">#REF!</definedName>
    <definedName name="installationcost" localSheetId="5">#REF!</definedName>
    <definedName name="installationcost" localSheetId="6">#REF!</definedName>
    <definedName name="installationcost">#REF!</definedName>
    <definedName name="int_rate_cash_bankbal" localSheetId="2">#REF!</definedName>
    <definedName name="int_rate_cash_bankbal" localSheetId="1">#REF!</definedName>
    <definedName name="int_rate_cash_bankbal" localSheetId="3">#REF!</definedName>
    <definedName name="int_rate_cash_bankbal" localSheetId="5">#REF!</definedName>
    <definedName name="int_rate_cash_bankbal" localSheetId="6">#REF!</definedName>
    <definedName name="int_rate_cash_bankbal">#REF!</definedName>
    <definedName name="int_rate_termloan" localSheetId="2">#REF!</definedName>
    <definedName name="int_rate_termloan" localSheetId="1">#REF!</definedName>
    <definedName name="int_rate_termloan" localSheetId="3">#REF!</definedName>
    <definedName name="int_rate_termloan" localSheetId="5">#REF!</definedName>
    <definedName name="int_rate_termloan" localSheetId="6">#REF!</definedName>
    <definedName name="int_rate_termloan">#REF!</definedName>
    <definedName name="int_rate_wcloan" localSheetId="2">#REF!</definedName>
    <definedName name="int_rate_wcloan" localSheetId="1">#REF!</definedName>
    <definedName name="int_rate_wcloan" localSheetId="3">#REF!</definedName>
    <definedName name="int_rate_wcloan" localSheetId="5">#REF!</definedName>
    <definedName name="int_rate_wcloan" localSheetId="6">#REF!</definedName>
    <definedName name="int_rate_wcloan">#REF!</definedName>
    <definedName name="Integ" localSheetId="2">#REF!</definedName>
    <definedName name="Integ" localSheetId="1">#REF!</definedName>
    <definedName name="Integ" localSheetId="3">#REF!</definedName>
    <definedName name="Integ" localSheetId="5">#REF!</definedName>
    <definedName name="Integ" localSheetId="6">#REF!</definedName>
    <definedName name="Integ">#REF!</definedName>
    <definedName name="inter_bldng" localSheetId="2">#REF!</definedName>
    <definedName name="inter_bldng" localSheetId="1">#REF!</definedName>
    <definedName name="inter_bldng" localSheetId="3">#REF!</definedName>
    <definedName name="inter_bldng" localSheetId="5">#REF!</definedName>
    <definedName name="inter_bldng" localSheetId="6">#REF!</definedName>
    <definedName name="inter_bldng">#REF!</definedName>
    <definedName name="INTEREST1" localSheetId="2">#REF!</definedName>
    <definedName name="INTEREST1" localSheetId="1">#REF!</definedName>
    <definedName name="INTEREST1" localSheetId="3">#REF!</definedName>
    <definedName name="INTEREST1" localSheetId="5">#REF!</definedName>
    <definedName name="INTEREST1" localSheetId="6">#REF!</definedName>
    <definedName name="INTEREST1">#REF!</definedName>
    <definedName name="InterestCaln" localSheetId="2">#REF!</definedName>
    <definedName name="InterestCaln" localSheetId="1">#REF!</definedName>
    <definedName name="InterestCaln" localSheetId="3">#REF!</definedName>
    <definedName name="InterestCaln" localSheetId="5">#REF!</definedName>
    <definedName name="InterestCaln" localSheetId="6">#REF!</definedName>
    <definedName name="InterestCaln">#REF!</definedName>
    <definedName name="intracirclegrowth" localSheetId="2">#REF!</definedName>
    <definedName name="intracirclegrowth" localSheetId="1">#REF!</definedName>
    <definedName name="intracirclegrowth" localSheetId="3">#REF!</definedName>
    <definedName name="intracirclegrowth" localSheetId="5">#REF!</definedName>
    <definedName name="intracirclegrowth" localSheetId="6">#REF!</definedName>
    <definedName name="intracirclegrowth">#REF!</definedName>
    <definedName name="intratetl" localSheetId="2">#REF!</definedName>
    <definedName name="intratetl" localSheetId="1">#REF!</definedName>
    <definedName name="intratetl" localSheetId="3">#REF!</definedName>
    <definedName name="intratetl" localSheetId="5">#REF!</definedName>
    <definedName name="intratetl" localSheetId="6">#REF!</definedName>
    <definedName name="intratetl">#REF!</definedName>
    <definedName name="intratewc" localSheetId="2">#REF!</definedName>
    <definedName name="intratewc" localSheetId="1">#REF!</definedName>
    <definedName name="intratewc" localSheetId="3">#REF!</definedName>
    <definedName name="intratewc" localSheetId="5">#REF!</definedName>
    <definedName name="intratewc" localSheetId="6">#REF!</definedName>
    <definedName name="intratewc">#REF!</definedName>
    <definedName name="INTRO" localSheetId="2">#REF!</definedName>
    <definedName name="INTRO" localSheetId="1">#REF!</definedName>
    <definedName name="INTRO" localSheetId="3">#REF!</definedName>
    <definedName name="INTRO" localSheetId="5">#REF!</definedName>
    <definedName name="INTRO" localSheetId="6">#REF!</definedName>
    <definedName name="INTRO">#REF!</definedName>
    <definedName name="inv_avail_best" localSheetId="2">#REF!</definedName>
    <definedName name="inv_avail_best" localSheetId="1">#REF!</definedName>
    <definedName name="inv_avail_best" localSheetId="3">#REF!</definedName>
    <definedName name="inv_avail_best" localSheetId="5">#REF!</definedName>
    <definedName name="inv_avail_best" localSheetId="6">#REF!</definedName>
    <definedName name="inv_avail_best">#REF!</definedName>
    <definedName name="inv_avail_del_bqs" localSheetId="2">#REF!</definedName>
    <definedName name="inv_avail_del_bqs" localSheetId="1">#REF!</definedName>
    <definedName name="inv_avail_del_bqs" localSheetId="3">#REF!</definedName>
    <definedName name="inv_avail_del_bqs" localSheetId="5">#REF!</definedName>
    <definedName name="inv_avail_del_bqs" localSheetId="6">#REF!</definedName>
    <definedName name="inv_avail_del_bqs">#REF!</definedName>
    <definedName name="inv_avail_del_dmrc1_bridgepanel" localSheetId="2">#REF!</definedName>
    <definedName name="inv_avail_del_dmrc1_bridgepanel" localSheetId="1">#REF!</definedName>
    <definedName name="inv_avail_del_dmrc1_bridgepanel" localSheetId="3">#REF!</definedName>
    <definedName name="inv_avail_del_dmrc1_bridgepanel" localSheetId="5">#REF!</definedName>
    <definedName name="inv_avail_del_dmrc1_bridgepanel" localSheetId="6">#REF!</definedName>
    <definedName name="inv_avail_del_dmrc1_bridgepanel">#REF!</definedName>
    <definedName name="inv_avail_del_dmrc1_hoarding" localSheetId="2">#REF!</definedName>
    <definedName name="inv_avail_del_dmrc1_hoarding" localSheetId="1">#REF!</definedName>
    <definedName name="inv_avail_del_dmrc1_hoarding" localSheetId="3">#REF!</definedName>
    <definedName name="inv_avail_del_dmrc1_hoarding" localSheetId="5">#REF!</definedName>
    <definedName name="inv_avail_del_dmrc1_hoarding" localSheetId="6">#REF!</definedName>
    <definedName name="inv_avail_del_dmrc1_hoarding">#REF!</definedName>
    <definedName name="inv_avail_del_dmrc1_mpillars" localSheetId="2">#REF!</definedName>
    <definedName name="inv_avail_del_dmrc1_mpillars" localSheetId="1">#REF!</definedName>
    <definedName name="inv_avail_del_dmrc1_mpillars" localSheetId="3">#REF!</definedName>
    <definedName name="inv_avail_del_dmrc1_mpillars" localSheetId="5">#REF!</definedName>
    <definedName name="inv_avail_del_dmrc1_mpillars" localSheetId="6">#REF!</definedName>
    <definedName name="inv_avail_del_dmrc1_mpillars">#REF!</definedName>
    <definedName name="inv_avail_del_dmrc2_bridgepanel" localSheetId="2">#REF!</definedName>
    <definedName name="inv_avail_del_dmrc2_bridgepanel" localSheetId="1">#REF!</definedName>
    <definedName name="inv_avail_del_dmrc2_bridgepanel" localSheetId="3">#REF!</definedName>
    <definedName name="inv_avail_del_dmrc2_bridgepanel" localSheetId="5">#REF!</definedName>
    <definedName name="inv_avail_del_dmrc2_bridgepanel" localSheetId="6">#REF!</definedName>
    <definedName name="inv_avail_del_dmrc2_bridgepanel">#REF!</definedName>
    <definedName name="inv_avail_del_dmrc2_hoarding" localSheetId="2">#REF!</definedName>
    <definedName name="inv_avail_del_dmrc2_hoarding" localSheetId="1">#REF!</definedName>
    <definedName name="inv_avail_del_dmrc2_hoarding" localSheetId="3">#REF!</definedName>
    <definedName name="inv_avail_del_dmrc2_hoarding" localSheetId="5">#REF!</definedName>
    <definedName name="inv_avail_del_dmrc2_hoarding" localSheetId="6">#REF!</definedName>
    <definedName name="inv_avail_del_dmrc2_hoarding">#REF!</definedName>
    <definedName name="inv_avail_del_dmrc3_mpillars" localSheetId="2">#REF!</definedName>
    <definedName name="inv_avail_del_dmrc3_mpillars" localSheetId="1">#REF!</definedName>
    <definedName name="inv_avail_del_dmrc3_mpillars" localSheetId="3">#REF!</definedName>
    <definedName name="inv_avail_del_dmrc3_mpillars" localSheetId="5">#REF!</definedName>
    <definedName name="inv_avail_del_dmrc3_mpillars" localSheetId="6">#REF!</definedName>
    <definedName name="inv_avail_del_dmrc3_mpillars">#REF!</definedName>
    <definedName name="inv_avail_del_dmrc4_mpillars" localSheetId="2">#REF!</definedName>
    <definedName name="inv_avail_del_dmrc4_mpillars" localSheetId="1">#REF!</definedName>
    <definedName name="inv_avail_del_dmrc4_mpillars" localSheetId="3">#REF!</definedName>
    <definedName name="inv_avail_del_dmrc4_mpillars" localSheetId="5">#REF!</definedName>
    <definedName name="inv_avail_del_dmrc4_mpillars" localSheetId="6">#REF!</definedName>
    <definedName name="inv_avail_del_dmrc4_mpillars">#REF!</definedName>
    <definedName name="inv_avail_del_hoarding" localSheetId="2">#REF!</definedName>
    <definedName name="inv_avail_del_hoarding" localSheetId="1">#REF!</definedName>
    <definedName name="inv_avail_del_hoarding" localSheetId="3">#REF!</definedName>
    <definedName name="inv_avail_del_hoarding" localSheetId="5">#REF!</definedName>
    <definedName name="inv_avail_del_hoarding" localSheetId="6">#REF!</definedName>
    <definedName name="inv_avail_del_hoarding">#REF!</definedName>
    <definedName name="inv_avail_del_mcd1_hoarding" localSheetId="2">#REF!</definedName>
    <definedName name="inv_avail_del_mcd1_hoarding" localSheetId="1">#REF!</definedName>
    <definedName name="inv_avail_del_mcd1_hoarding" localSheetId="3">#REF!</definedName>
    <definedName name="inv_avail_del_mcd1_hoarding" localSheetId="5">#REF!</definedName>
    <definedName name="inv_avail_del_mcd1_hoarding" localSheetId="6">#REF!</definedName>
    <definedName name="inv_avail_del_mcd1_hoarding">#REF!</definedName>
    <definedName name="inv_avail_del_mcd2_kiosk" localSheetId="2">#REF!</definedName>
    <definedName name="inv_avail_del_mcd2_kiosk" localSheetId="1">#REF!</definedName>
    <definedName name="inv_avail_del_mcd2_kiosk" localSheetId="3">#REF!</definedName>
    <definedName name="inv_avail_del_mcd2_kiosk" localSheetId="5">#REF!</definedName>
    <definedName name="inv_avail_del_mcd2_kiosk" localSheetId="6">#REF!</definedName>
    <definedName name="inv_avail_del_mcd2_kiosk">#REF!</definedName>
    <definedName name="inv_avail_del_mcd3_hoarding" localSheetId="2">#REF!</definedName>
    <definedName name="inv_avail_del_mcd3_hoarding" localSheetId="1">#REF!</definedName>
    <definedName name="inv_avail_del_mcd3_hoarding" localSheetId="3">#REF!</definedName>
    <definedName name="inv_avail_del_mcd3_hoarding" localSheetId="5">#REF!</definedName>
    <definedName name="inv_avail_del_mcd3_hoarding" localSheetId="6">#REF!</definedName>
    <definedName name="inv_avail_del_mcd3_hoarding">#REF!</definedName>
    <definedName name="inv_avail_del_mcd4_hoarding" localSheetId="2">#REF!</definedName>
    <definedName name="inv_avail_del_mcd4_hoarding" localSheetId="1">#REF!</definedName>
    <definedName name="inv_avail_del_mcd4_hoarding" localSheetId="3">#REF!</definedName>
    <definedName name="inv_avail_del_mcd4_hoarding" localSheetId="5">#REF!</definedName>
    <definedName name="inv_avail_del_mcd4_hoarding" localSheetId="6">#REF!</definedName>
    <definedName name="inv_avail_del_mcd4_hoarding">#REF!</definedName>
    <definedName name="inv_avail_del_mcd5_hoarding" localSheetId="2">#REF!</definedName>
    <definedName name="inv_avail_del_mcd5_hoarding" localSheetId="1">#REF!</definedName>
    <definedName name="inv_avail_del_mcd5_hoarding" localSheetId="3">#REF!</definedName>
    <definedName name="inv_avail_del_mcd5_hoarding" localSheetId="5">#REF!</definedName>
    <definedName name="inv_avail_del_mcd5_hoarding" localSheetId="6">#REF!</definedName>
    <definedName name="inv_avail_del_mcd5_hoarding">#REF!</definedName>
    <definedName name="inv_avail_del_nrdd_bridgepanel" localSheetId="2">#REF!</definedName>
    <definedName name="inv_avail_del_nrdd_bridgepanel" localSheetId="1">#REF!</definedName>
    <definedName name="inv_avail_del_nrdd_bridgepanel" localSheetId="3">#REF!</definedName>
    <definedName name="inv_avail_del_nrdd_bridgepanel" localSheetId="5">#REF!</definedName>
    <definedName name="inv_avail_del_nrdd_bridgepanel" localSheetId="6">#REF!</definedName>
    <definedName name="inv_avail_del_nrdd_bridgepanel">#REF!</definedName>
    <definedName name="inv_avail_del_nrdd_hoarding" localSheetId="2">#REF!</definedName>
    <definedName name="inv_avail_del_nrdd_hoarding" localSheetId="1">#REF!</definedName>
    <definedName name="inv_avail_del_nrdd_hoarding" localSheetId="3">#REF!</definedName>
    <definedName name="inv_avail_del_nrdd_hoarding" localSheetId="5">#REF!</definedName>
    <definedName name="inv_avail_del_nrdd_hoarding" localSheetId="6">#REF!</definedName>
    <definedName name="inv_avail_del_nrdd_hoarding">#REF!</definedName>
    <definedName name="inv_avail_del_nrdd_utility" localSheetId="2">#REF!</definedName>
    <definedName name="inv_avail_del_nrdd_utility" localSheetId="1">#REF!</definedName>
    <definedName name="inv_avail_del_nrdd_utility" localSheetId="3">#REF!</definedName>
    <definedName name="inv_avail_del_nrdd_utility" localSheetId="5">#REF!</definedName>
    <definedName name="inv_avail_del_nrdd_utility" localSheetId="6">#REF!</definedName>
    <definedName name="inv_avail_del_nrdd_utility">#REF!</definedName>
    <definedName name="inv_avail_del_utility" localSheetId="2">#REF!</definedName>
    <definedName name="inv_avail_del_utility" localSheetId="1">#REF!</definedName>
    <definedName name="inv_avail_del_utility" localSheetId="3">#REF!</definedName>
    <definedName name="inv_avail_del_utility" localSheetId="5">#REF!</definedName>
    <definedName name="inv_avail_del_utility" localSheetId="6">#REF!</definedName>
    <definedName name="inv_avail_del_utility">#REF!</definedName>
    <definedName name="inv_avail_kol_bqs" localSheetId="2">#REF!</definedName>
    <definedName name="inv_avail_kol_bqs" localSheetId="1">#REF!</definedName>
    <definedName name="inv_avail_kol_bqs" localSheetId="3">#REF!</definedName>
    <definedName name="inv_avail_kol_bqs" localSheetId="5">#REF!</definedName>
    <definedName name="inv_avail_kol_bqs" localSheetId="6">#REF!</definedName>
    <definedName name="inv_avail_kol_bqs">#REF!</definedName>
    <definedName name="inv_avail_kol_bridgepanel" localSheetId="2">#REF!</definedName>
    <definedName name="inv_avail_kol_bridgepanel" localSheetId="1">#REF!</definedName>
    <definedName name="inv_avail_kol_bridgepanel" localSheetId="3">#REF!</definedName>
    <definedName name="inv_avail_kol_bridgepanel" localSheetId="5">#REF!</definedName>
    <definedName name="inv_avail_kol_bridgepanel" localSheetId="6">#REF!</definedName>
    <definedName name="inv_avail_kol_bridgepanel">#REF!</definedName>
    <definedName name="inv_avail_kol_hoarding" localSheetId="2">#REF!</definedName>
    <definedName name="inv_avail_kol_hoarding" localSheetId="1">#REF!</definedName>
    <definedName name="inv_avail_kol_hoarding" localSheetId="3">#REF!</definedName>
    <definedName name="inv_avail_kol_hoarding" localSheetId="5">#REF!</definedName>
    <definedName name="inv_avail_kol_hoarding" localSheetId="6">#REF!</definedName>
    <definedName name="inv_avail_kol_hoarding">#REF!</definedName>
    <definedName name="inv_avail_kol_kiosk" localSheetId="2">#REF!</definedName>
    <definedName name="inv_avail_kol_kiosk" localSheetId="1">#REF!</definedName>
    <definedName name="inv_avail_kol_kiosk" localSheetId="3">#REF!</definedName>
    <definedName name="inv_avail_kol_kiosk" localSheetId="5">#REF!</definedName>
    <definedName name="inv_avail_kol_kiosk" localSheetId="6">#REF!</definedName>
    <definedName name="inv_avail_kol_kiosk">#REF!</definedName>
    <definedName name="inv_avail_kol_mpillars" localSheetId="2">#REF!</definedName>
    <definedName name="inv_avail_kol_mpillars" localSheetId="1">#REF!</definedName>
    <definedName name="inv_avail_kol_mpillars" localSheetId="3">#REF!</definedName>
    <definedName name="inv_avail_kol_mpillars" localSheetId="5">#REF!</definedName>
    <definedName name="inv_avail_kol_mpillars" localSheetId="6">#REF!</definedName>
    <definedName name="inv_avail_kol_mpillars">#REF!</definedName>
    <definedName name="inv_avail_kol_pillarwrap" localSheetId="2">#REF!</definedName>
    <definedName name="inv_avail_kol_pillarwrap" localSheetId="1">#REF!</definedName>
    <definedName name="inv_avail_kol_pillarwrap" localSheetId="3">#REF!</definedName>
    <definedName name="inv_avail_kol_pillarwrap" localSheetId="5">#REF!</definedName>
    <definedName name="inv_avail_kol_pillarwrap" localSheetId="6">#REF!</definedName>
    <definedName name="inv_avail_kol_pillarwrap">#REF!</definedName>
    <definedName name="inv_avail_kol_ts" localSheetId="2">#REF!</definedName>
    <definedName name="inv_avail_kol_ts" localSheetId="1">#REF!</definedName>
    <definedName name="inv_avail_kol_ts" localSheetId="3">#REF!</definedName>
    <definedName name="inv_avail_kol_ts" localSheetId="5">#REF!</definedName>
    <definedName name="inv_avail_kol_ts" localSheetId="6">#REF!</definedName>
    <definedName name="inv_avail_kol_ts">#REF!</definedName>
    <definedName name="inv_avail_mum_bqs" localSheetId="2">#REF!</definedName>
    <definedName name="inv_avail_mum_bqs" localSheetId="1">#REF!</definedName>
    <definedName name="inv_avail_mum_bqs" localSheetId="3">#REF!</definedName>
    <definedName name="inv_avail_mum_bqs" localSheetId="5">#REF!</definedName>
    <definedName name="inv_avail_mum_bqs" localSheetId="6">#REF!</definedName>
    <definedName name="inv_avail_mum_bqs">#REF!</definedName>
    <definedName name="inv_avail_mum_hoarding" localSheetId="2">#REF!</definedName>
    <definedName name="inv_avail_mum_hoarding" localSheetId="1">#REF!</definedName>
    <definedName name="inv_avail_mum_hoarding" localSheetId="3">#REF!</definedName>
    <definedName name="inv_avail_mum_hoarding" localSheetId="5">#REF!</definedName>
    <definedName name="inv_avail_mum_hoarding" localSheetId="6">#REF!</definedName>
    <definedName name="inv_avail_mum_hoarding">#REF!</definedName>
    <definedName name="inv_avail_mum_kiosk" localSheetId="2">#REF!</definedName>
    <definedName name="inv_avail_mum_kiosk" localSheetId="1">#REF!</definedName>
    <definedName name="inv_avail_mum_kiosk" localSheetId="3">#REF!</definedName>
    <definedName name="inv_avail_mum_kiosk" localSheetId="5">#REF!</definedName>
    <definedName name="inv_avail_mum_kiosk" localSheetId="6">#REF!</definedName>
    <definedName name="inv_avail_mum_kiosk">#REF!</definedName>
    <definedName name="inv_avail_mum_utility" localSheetId="2">#REF!</definedName>
    <definedName name="inv_avail_mum_utility" localSheetId="1">#REF!</definedName>
    <definedName name="inv_avail_mum_utility" localSheetId="3">#REF!</definedName>
    <definedName name="inv_avail_mum_utility" localSheetId="5">#REF!</definedName>
    <definedName name="inv_avail_mum_utility" localSheetId="6">#REF!</definedName>
    <definedName name="inv_avail_mum_utility">#REF!</definedName>
    <definedName name="inv_avail_pun_bqs" localSheetId="2">#REF!</definedName>
    <definedName name="inv_avail_pun_bqs" localSheetId="1">#REF!</definedName>
    <definedName name="inv_avail_pun_bqs" localSheetId="3">#REF!</definedName>
    <definedName name="inv_avail_pun_bqs" localSheetId="5">#REF!</definedName>
    <definedName name="inv_avail_pun_bqs" localSheetId="6">#REF!</definedName>
    <definedName name="inv_avail_pun_bqs">#REF!</definedName>
    <definedName name="inv_avail_pun_hoarding" localSheetId="2">#REF!</definedName>
    <definedName name="inv_avail_pun_hoarding" localSheetId="1">#REF!</definedName>
    <definedName name="inv_avail_pun_hoarding" localSheetId="3">#REF!</definedName>
    <definedName name="inv_avail_pun_hoarding" localSheetId="5">#REF!</definedName>
    <definedName name="inv_avail_pun_hoarding" localSheetId="6">#REF!</definedName>
    <definedName name="inv_avail_pun_hoarding">#REF!</definedName>
    <definedName name="inv_avail_pun_kiosk" localSheetId="2">#REF!</definedName>
    <definedName name="inv_avail_pun_kiosk" localSheetId="1">#REF!</definedName>
    <definedName name="inv_avail_pun_kiosk" localSheetId="3">#REF!</definedName>
    <definedName name="inv_avail_pun_kiosk" localSheetId="5">#REF!</definedName>
    <definedName name="inv_avail_pun_kiosk" localSheetId="6">#REF!</definedName>
    <definedName name="inv_avail_pun_kiosk">#REF!</definedName>
    <definedName name="inv_avail_pun_utility" localSheetId="2">#REF!</definedName>
    <definedName name="inv_avail_pun_utility" localSheetId="1">#REF!</definedName>
    <definedName name="inv_avail_pun_utility" localSheetId="3">#REF!</definedName>
    <definedName name="inv_avail_pun_utility" localSheetId="5">#REF!</definedName>
    <definedName name="inv_avail_pun_utility" localSheetId="6">#REF!</definedName>
    <definedName name="inv_avail_pun_utility">#REF!</definedName>
    <definedName name="inv_sold_best" localSheetId="2">#REF!</definedName>
    <definedName name="inv_sold_best" localSheetId="1">#REF!</definedName>
    <definedName name="inv_sold_best" localSheetId="3">#REF!</definedName>
    <definedName name="inv_sold_best" localSheetId="5">#REF!</definedName>
    <definedName name="inv_sold_best" localSheetId="6">#REF!</definedName>
    <definedName name="inv_sold_best">#REF!</definedName>
    <definedName name="inv_sold_best_ac" localSheetId="2">#REF!</definedName>
    <definedName name="inv_sold_best_ac" localSheetId="1">#REF!</definedName>
    <definedName name="inv_sold_best_ac" localSheetId="3">#REF!</definedName>
    <definedName name="inv_sold_best_ac" localSheetId="5">#REF!</definedName>
    <definedName name="inv_sold_best_ac" localSheetId="6">#REF!</definedName>
    <definedName name="inv_sold_best_ac">#REF!</definedName>
    <definedName name="inv_sold_best_bp" localSheetId="2">#REF!</definedName>
    <definedName name="inv_sold_best_bp" localSheetId="1">#REF!</definedName>
    <definedName name="inv_sold_best_bp" localSheetId="3">#REF!</definedName>
    <definedName name="inv_sold_best_bp" localSheetId="5">#REF!</definedName>
    <definedName name="inv_sold_best_bp" localSheetId="6">#REF!</definedName>
    <definedName name="inv_sold_best_bp">#REF!</definedName>
    <definedName name="inv_sold_best_ip" localSheetId="2">#REF!</definedName>
    <definedName name="inv_sold_best_ip" localSheetId="1">#REF!</definedName>
    <definedName name="inv_sold_best_ip" localSheetId="3">#REF!</definedName>
    <definedName name="inv_sold_best_ip" localSheetId="5">#REF!</definedName>
    <definedName name="inv_sold_best_ip" localSheetId="6">#REF!</definedName>
    <definedName name="inv_sold_best_ip">#REF!</definedName>
    <definedName name="inv_sold_best_lsp" localSheetId="2">#REF!</definedName>
    <definedName name="inv_sold_best_lsp" localSheetId="1">#REF!</definedName>
    <definedName name="inv_sold_best_lsp" localSheetId="3">#REF!</definedName>
    <definedName name="inv_sold_best_lsp" localSheetId="5">#REF!</definedName>
    <definedName name="inv_sold_best_lsp" localSheetId="6">#REF!</definedName>
    <definedName name="inv_sold_best_lsp">#REF!</definedName>
    <definedName name="inv_sold_best_rsp" localSheetId="2">#REF!</definedName>
    <definedName name="inv_sold_best_rsp" localSheetId="1">#REF!</definedName>
    <definedName name="inv_sold_best_rsp" localSheetId="3">#REF!</definedName>
    <definedName name="inv_sold_best_rsp" localSheetId="5">#REF!</definedName>
    <definedName name="inv_sold_best_rsp" localSheetId="6">#REF!</definedName>
    <definedName name="inv_sold_best_rsp">#REF!</definedName>
    <definedName name="inv_sold_best_s" localSheetId="2">#REF!</definedName>
    <definedName name="inv_sold_best_s" localSheetId="1">#REF!</definedName>
    <definedName name="inv_sold_best_s" localSheetId="3">#REF!</definedName>
    <definedName name="inv_sold_best_s" localSheetId="5">#REF!</definedName>
    <definedName name="inv_sold_best_s" localSheetId="6">#REF!</definedName>
    <definedName name="inv_sold_best_s">#REF!</definedName>
    <definedName name="inv_sold_del_bqs" localSheetId="2">#REF!</definedName>
    <definedName name="inv_sold_del_bqs" localSheetId="1">#REF!</definedName>
    <definedName name="inv_sold_del_bqs" localSheetId="3">#REF!</definedName>
    <definedName name="inv_sold_del_bqs" localSheetId="5">#REF!</definedName>
    <definedName name="inv_sold_del_bqs" localSheetId="6">#REF!</definedName>
    <definedName name="inv_sold_del_bqs">#REF!</definedName>
    <definedName name="inv_sold_del_dmrc1_bridgepanel" localSheetId="2">#REF!</definedName>
    <definedName name="inv_sold_del_dmrc1_bridgepanel" localSheetId="1">#REF!</definedName>
    <definedName name="inv_sold_del_dmrc1_bridgepanel" localSheetId="3">#REF!</definedName>
    <definedName name="inv_sold_del_dmrc1_bridgepanel" localSheetId="5">#REF!</definedName>
    <definedName name="inv_sold_del_dmrc1_bridgepanel" localSheetId="6">#REF!</definedName>
    <definedName name="inv_sold_del_dmrc1_bridgepanel">#REF!</definedName>
    <definedName name="inv_sold_del_dmrc1_hoarding" localSheetId="2">#REF!</definedName>
    <definedName name="inv_sold_del_dmrc1_hoarding" localSheetId="1">#REF!</definedName>
    <definedName name="inv_sold_del_dmrc1_hoarding" localSheetId="3">#REF!</definedName>
    <definedName name="inv_sold_del_dmrc1_hoarding" localSheetId="5">#REF!</definedName>
    <definedName name="inv_sold_del_dmrc1_hoarding" localSheetId="6">#REF!</definedName>
    <definedName name="inv_sold_del_dmrc1_hoarding">#REF!</definedName>
    <definedName name="inv_sold_del_dmrc1_mpillars" localSheetId="2">#REF!</definedName>
    <definedName name="inv_sold_del_dmrc1_mpillars" localSheetId="1">#REF!</definedName>
    <definedName name="inv_sold_del_dmrc1_mpillars" localSheetId="3">#REF!</definedName>
    <definedName name="inv_sold_del_dmrc1_mpillars" localSheetId="5">#REF!</definedName>
    <definedName name="inv_sold_del_dmrc1_mpillars" localSheetId="6">#REF!</definedName>
    <definedName name="inv_sold_del_dmrc1_mpillars">#REF!</definedName>
    <definedName name="inv_sold_del_dmrc2_bridgepanel" localSheetId="2">#REF!</definedName>
    <definedName name="inv_sold_del_dmrc2_bridgepanel" localSheetId="1">#REF!</definedName>
    <definedName name="inv_sold_del_dmrc2_bridgepanel" localSheetId="3">#REF!</definedName>
    <definedName name="inv_sold_del_dmrc2_bridgepanel" localSheetId="5">#REF!</definedName>
    <definedName name="inv_sold_del_dmrc2_bridgepanel" localSheetId="6">#REF!</definedName>
    <definedName name="inv_sold_del_dmrc2_bridgepanel">#REF!</definedName>
    <definedName name="inv_sold_del_dmrc2_hoarding" localSheetId="2">#REF!</definedName>
    <definedName name="inv_sold_del_dmrc2_hoarding" localSheetId="1">#REF!</definedName>
    <definedName name="inv_sold_del_dmrc2_hoarding" localSheetId="3">#REF!</definedName>
    <definedName name="inv_sold_del_dmrc2_hoarding" localSheetId="5">#REF!</definedName>
    <definedName name="inv_sold_del_dmrc2_hoarding" localSheetId="6">#REF!</definedName>
    <definedName name="inv_sold_del_dmrc2_hoarding">#REF!</definedName>
    <definedName name="inv_sold_del_dmrc3_mpillars" localSheetId="2">#REF!</definedName>
    <definedName name="inv_sold_del_dmrc3_mpillars" localSheetId="1">#REF!</definedName>
    <definedName name="inv_sold_del_dmrc3_mpillars" localSheetId="3">#REF!</definedName>
    <definedName name="inv_sold_del_dmrc3_mpillars" localSheetId="5">#REF!</definedName>
    <definedName name="inv_sold_del_dmrc3_mpillars" localSheetId="6">#REF!</definedName>
    <definedName name="inv_sold_del_dmrc3_mpillars">#REF!</definedName>
    <definedName name="inv_sold_del_dmrc4_mpillars" localSheetId="2">#REF!</definedName>
    <definedName name="inv_sold_del_dmrc4_mpillars" localSheetId="1">#REF!</definedName>
    <definedName name="inv_sold_del_dmrc4_mpillars" localSheetId="3">#REF!</definedName>
    <definedName name="inv_sold_del_dmrc4_mpillars" localSheetId="5">#REF!</definedName>
    <definedName name="inv_sold_del_dmrc4_mpillars" localSheetId="6">#REF!</definedName>
    <definedName name="inv_sold_del_dmrc4_mpillars">#REF!</definedName>
    <definedName name="inv_sold_del_hoarding" localSheetId="2">#REF!</definedName>
    <definedName name="inv_sold_del_hoarding" localSheetId="1">#REF!</definedName>
    <definedName name="inv_sold_del_hoarding" localSheetId="3">#REF!</definedName>
    <definedName name="inv_sold_del_hoarding" localSheetId="5">#REF!</definedName>
    <definedName name="inv_sold_del_hoarding" localSheetId="6">#REF!</definedName>
    <definedName name="inv_sold_del_hoarding">#REF!</definedName>
    <definedName name="inv_sold_del_mcd1_hoarding" localSheetId="2">#REF!</definedName>
    <definedName name="inv_sold_del_mcd1_hoarding" localSheetId="1">#REF!</definedName>
    <definedName name="inv_sold_del_mcd1_hoarding" localSheetId="3">#REF!</definedName>
    <definedName name="inv_sold_del_mcd1_hoarding" localSheetId="5">#REF!</definedName>
    <definedName name="inv_sold_del_mcd1_hoarding" localSheetId="6">#REF!</definedName>
    <definedName name="inv_sold_del_mcd1_hoarding">#REF!</definedName>
    <definedName name="inv_sold_del_mcd2_kiosk" localSheetId="2">#REF!</definedName>
    <definedName name="inv_sold_del_mcd2_kiosk" localSheetId="1">#REF!</definedName>
    <definedName name="inv_sold_del_mcd2_kiosk" localSheetId="3">#REF!</definedName>
    <definedName name="inv_sold_del_mcd2_kiosk" localSheetId="5">#REF!</definedName>
    <definedName name="inv_sold_del_mcd2_kiosk" localSheetId="6">#REF!</definedName>
    <definedName name="inv_sold_del_mcd2_kiosk">#REF!</definedName>
    <definedName name="inv_sold_del_mcd3_hoarding" localSheetId="2">#REF!</definedName>
    <definedName name="inv_sold_del_mcd3_hoarding" localSheetId="1">#REF!</definedName>
    <definedName name="inv_sold_del_mcd3_hoarding" localSheetId="3">#REF!</definedName>
    <definedName name="inv_sold_del_mcd3_hoarding" localSheetId="5">#REF!</definedName>
    <definedName name="inv_sold_del_mcd3_hoarding" localSheetId="6">#REF!</definedName>
    <definedName name="inv_sold_del_mcd3_hoarding">#REF!</definedName>
    <definedName name="inv_sold_del_mcd4_hoarding" localSheetId="2">#REF!</definedName>
    <definedName name="inv_sold_del_mcd4_hoarding" localSheetId="1">#REF!</definedName>
    <definedName name="inv_sold_del_mcd4_hoarding" localSheetId="3">#REF!</definedName>
    <definedName name="inv_sold_del_mcd4_hoarding" localSheetId="5">#REF!</definedName>
    <definedName name="inv_sold_del_mcd4_hoarding" localSheetId="6">#REF!</definedName>
    <definedName name="inv_sold_del_mcd4_hoarding">#REF!</definedName>
    <definedName name="inv_sold_del_mcd5_hoarding" localSheetId="2">#REF!</definedName>
    <definedName name="inv_sold_del_mcd5_hoarding" localSheetId="1">#REF!</definedName>
    <definedName name="inv_sold_del_mcd5_hoarding" localSheetId="3">#REF!</definedName>
    <definedName name="inv_sold_del_mcd5_hoarding" localSheetId="5">#REF!</definedName>
    <definedName name="inv_sold_del_mcd5_hoarding" localSheetId="6">#REF!</definedName>
    <definedName name="inv_sold_del_mcd5_hoarding">#REF!</definedName>
    <definedName name="inv_sold_del_nrdd_bridgepanel" localSheetId="2">#REF!</definedName>
    <definedName name="inv_sold_del_nrdd_bridgepanel" localSheetId="1">#REF!</definedName>
    <definedName name="inv_sold_del_nrdd_bridgepanel" localSheetId="3">#REF!</definedName>
    <definedName name="inv_sold_del_nrdd_bridgepanel" localSheetId="5">#REF!</definedName>
    <definedName name="inv_sold_del_nrdd_bridgepanel" localSheetId="6">#REF!</definedName>
    <definedName name="inv_sold_del_nrdd_bridgepanel">#REF!</definedName>
    <definedName name="inv_sold_del_nrdd_hoarding" localSheetId="2">#REF!</definedName>
    <definedName name="inv_sold_del_nrdd_hoarding" localSheetId="1">#REF!</definedName>
    <definedName name="inv_sold_del_nrdd_hoarding" localSheetId="3">#REF!</definedName>
    <definedName name="inv_sold_del_nrdd_hoarding" localSheetId="5">#REF!</definedName>
    <definedName name="inv_sold_del_nrdd_hoarding" localSheetId="6">#REF!</definedName>
    <definedName name="inv_sold_del_nrdd_hoarding">#REF!</definedName>
    <definedName name="inv_sold_del_nrdd_utility" localSheetId="2">#REF!</definedName>
    <definedName name="inv_sold_del_nrdd_utility" localSheetId="1">#REF!</definedName>
    <definedName name="inv_sold_del_nrdd_utility" localSheetId="3">#REF!</definedName>
    <definedName name="inv_sold_del_nrdd_utility" localSheetId="5">#REF!</definedName>
    <definedName name="inv_sold_del_nrdd_utility" localSheetId="6">#REF!</definedName>
    <definedName name="inv_sold_del_nrdd_utility">#REF!</definedName>
    <definedName name="inv_sold_del_utility" localSheetId="2">#REF!</definedName>
    <definedName name="inv_sold_del_utility" localSheetId="1">#REF!</definedName>
    <definedName name="inv_sold_del_utility" localSheetId="3">#REF!</definedName>
    <definedName name="inv_sold_del_utility" localSheetId="5">#REF!</definedName>
    <definedName name="inv_sold_del_utility" localSheetId="6">#REF!</definedName>
    <definedName name="inv_sold_del_utility">#REF!</definedName>
    <definedName name="inv_sold_kol_bqs" localSheetId="2">#REF!</definedName>
    <definedName name="inv_sold_kol_bqs" localSheetId="1">#REF!</definedName>
    <definedName name="inv_sold_kol_bqs" localSheetId="3">#REF!</definedName>
    <definedName name="inv_sold_kol_bqs" localSheetId="5">#REF!</definedName>
    <definedName name="inv_sold_kol_bqs" localSheetId="6">#REF!</definedName>
    <definedName name="inv_sold_kol_bqs">#REF!</definedName>
    <definedName name="inv_sold_kol_bridgepanel" localSheetId="2">#REF!</definedName>
    <definedName name="inv_sold_kol_bridgepanel" localSheetId="1">#REF!</definedName>
    <definedName name="inv_sold_kol_bridgepanel" localSheetId="3">#REF!</definedName>
    <definedName name="inv_sold_kol_bridgepanel" localSheetId="5">#REF!</definedName>
    <definedName name="inv_sold_kol_bridgepanel" localSheetId="6">#REF!</definedName>
    <definedName name="inv_sold_kol_bridgepanel">#REF!</definedName>
    <definedName name="inv_sold_kol_hoarding" localSheetId="2">#REF!</definedName>
    <definedName name="inv_sold_kol_hoarding" localSheetId="1">#REF!</definedName>
    <definedName name="inv_sold_kol_hoarding" localSheetId="3">#REF!</definedName>
    <definedName name="inv_sold_kol_hoarding" localSheetId="5">#REF!</definedName>
    <definedName name="inv_sold_kol_hoarding" localSheetId="6">#REF!</definedName>
    <definedName name="inv_sold_kol_hoarding">#REF!</definedName>
    <definedName name="inv_sold_kol_kiosk" localSheetId="2">#REF!</definedName>
    <definedName name="inv_sold_kol_kiosk" localSheetId="1">#REF!</definedName>
    <definedName name="inv_sold_kol_kiosk" localSheetId="3">#REF!</definedName>
    <definedName name="inv_sold_kol_kiosk" localSheetId="5">#REF!</definedName>
    <definedName name="inv_sold_kol_kiosk" localSheetId="6">#REF!</definedName>
    <definedName name="inv_sold_kol_kiosk">#REF!</definedName>
    <definedName name="inv_sold_kol_mpillars" localSheetId="2">#REF!</definedName>
    <definedName name="inv_sold_kol_mpillars" localSheetId="1">#REF!</definedName>
    <definedName name="inv_sold_kol_mpillars" localSheetId="3">#REF!</definedName>
    <definedName name="inv_sold_kol_mpillars" localSheetId="5">#REF!</definedName>
    <definedName name="inv_sold_kol_mpillars" localSheetId="6">#REF!</definedName>
    <definedName name="inv_sold_kol_mpillars">#REF!</definedName>
    <definedName name="inv_sold_kol_pillarwrap" localSheetId="2">#REF!</definedName>
    <definedName name="inv_sold_kol_pillarwrap" localSheetId="1">#REF!</definedName>
    <definedName name="inv_sold_kol_pillarwrap" localSheetId="3">#REF!</definedName>
    <definedName name="inv_sold_kol_pillarwrap" localSheetId="5">#REF!</definedName>
    <definedName name="inv_sold_kol_pillarwrap" localSheetId="6">#REF!</definedName>
    <definedName name="inv_sold_kol_pillarwrap">#REF!</definedName>
    <definedName name="inv_sold_kol_ts" localSheetId="2">#REF!</definedName>
    <definedName name="inv_sold_kol_ts" localSheetId="1">#REF!</definedName>
    <definedName name="inv_sold_kol_ts" localSheetId="3">#REF!</definedName>
    <definedName name="inv_sold_kol_ts" localSheetId="5">#REF!</definedName>
    <definedName name="inv_sold_kol_ts" localSheetId="6">#REF!</definedName>
    <definedName name="inv_sold_kol_ts">#REF!</definedName>
    <definedName name="inv_sold_mum_bqs" localSheetId="2">#REF!</definedName>
    <definedName name="inv_sold_mum_bqs" localSheetId="1">#REF!</definedName>
    <definedName name="inv_sold_mum_bqs" localSheetId="3">#REF!</definedName>
    <definedName name="inv_sold_mum_bqs" localSheetId="5">#REF!</definedName>
    <definedName name="inv_sold_mum_bqs" localSheetId="6">#REF!</definedName>
    <definedName name="inv_sold_mum_bqs">#REF!</definedName>
    <definedName name="inv_sold_mum_hoarding" localSheetId="2">#REF!</definedName>
    <definedName name="inv_sold_mum_hoarding" localSheetId="1">#REF!</definedName>
    <definedName name="inv_sold_mum_hoarding" localSheetId="3">#REF!</definedName>
    <definedName name="inv_sold_mum_hoarding" localSheetId="5">#REF!</definedName>
    <definedName name="inv_sold_mum_hoarding" localSheetId="6">#REF!</definedName>
    <definedName name="inv_sold_mum_hoarding">#REF!</definedName>
    <definedName name="inv_sold_mum_kiosk" localSheetId="2">#REF!</definedName>
    <definedName name="inv_sold_mum_kiosk" localSheetId="1">#REF!</definedName>
    <definedName name="inv_sold_mum_kiosk" localSheetId="3">#REF!</definedName>
    <definedName name="inv_sold_mum_kiosk" localSheetId="5">#REF!</definedName>
    <definedName name="inv_sold_mum_kiosk" localSheetId="6">#REF!</definedName>
    <definedName name="inv_sold_mum_kiosk">#REF!</definedName>
    <definedName name="inv_sold_mum_utility" localSheetId="2">#REF!</definedName>
    <definedName name="inv_sold_mum_utility" localSheetId="1">#REF!</definedName>
    <definedName name="inv_sold_mum_utility" localSheetId="3">#REF!</definedName>
    <definedName name="inv_sold_mum_utility" localSheetId="5">#REF!</definedName>
    <definedName name="inv_sold_mum_utility" localSheetId="6">#REF!</definedName>
    <definedName name="inv_sold_mum_utility">#REF!</definedName>
    <definedName name="inv_sold_new_r1" localSheetId="2">#REF!</definedName>
    <definedName name="inv_sold_new_r1" localSheetId="1">#REF!</definedName>
    <definedName name="inv_sold_new_r1" localSheetId="3">#REF!</definedName>
    <definedName name="inv_sold_new_r1" localSheetId="5">#REF!</definedName>
    <definedName name="inv_sold_new_r1" localSheetId="6">#REF!</definedName>
    <definedName name="inv_sold_new_r1">#REF!</definedName>
    <definedName name="inv_sold_new_s1" localSheetId="2">#REF!</definedName>
    <definedName name="inv_sold_new_s1" localSheetId="1">#REF!</definedName>
    <definedName name="inv_sold_new_s1" localSheetId="3">#REF!</definedName>
    <definedName name="inv_sold_new_s1" localSheetId="5">#REF!</definedName>
    <definedName name="inv_sold_new_s1" localSheetId="6">#REF!</definedName>
    <definedName name="inv_sold_new_s1">#REF!</definedName>
    <definedName name="inv_sold_new_s2" localSheetId="2">#REF!</definedName>
    <definedName name="inv_sold_new_s2" localSheetId="1">#REF!</definedName>
    <definedName name="inv_sold_new_s2" localSheetId="3">#REF!</definedName>
    <definedName name="inv_sold_new_s2" localSheetId="5">#REF!</definedName>
    <definedName name="inv_sold_new_s2" localSheetId="6">#REF!</definedName>
    <definedName name="inv_sold_new_s2">#REF!</definedName>
    <definedName name="inv_sold_new_sf1" localSheetId="2">#REF!</definedName>
    <definedName name="inv_sold_new_sf1" localSheetId="1">#REF!</definedName>
    <definedName name="inv_sold_new_sf1" localSheetId="3">#REF!</definedName>
    <definedName name="inv_sold_new_sf1" localSheetId="5">#REF!</definedName>
    <definedName name="inv_sold_new_sf1" localSheetId="6">#REF!</definedName>
    <definedName name="inv_sold_new_sf1">#REF!</definedName>
    <definedName name="inv_sold_new_sf2" localSheetId="2">#REF!</definedName>
    <definedName name="inv_sold_new_sf2" localSheetId="1">#REF!</definedName>
    <definedName name="inv_sold_new_sf2" localSheetId="3">#REF!</definedName>
    <definedName name="inv_sold_new_sf2" localSheetId="5">#REF!</definedName>
    <definedName name="inv_sold_new_sf2" localSheetId="6">#REF!</definedName>
    <definedName name="inv_sold_new_sf2">#REF!</definedName>
    <definedName name="inv_sold_new_sf3" localSheetId="2">#REF!</definedName>
    <definedName name="inv_sold_new_sf3" localSheetId="1">#REF!</definedName>
    <definedName name="inv_sold_new_sf3" localSheetId="3">#REF!</definedName>
    <definedName name="inv_sold_new_sf3" localSheetId="5">#REF!</definedName>
    <definedName name="inv_sold_new_sf3" localSheetId="6">#REF!</definedName>
    <definedName name="inv_sold_new_sf3">#REF!</definedName>
    <definedName name="inv_sold_pun_bqs" localSheetId="2">#REF!</definedName>
    <definedName name="inv_sold_pun_bqs" localSheetId="1">#REF!</definedName>
    <definedName name="inv_sold_pun_bqs" localSheetId="3">#REF!</definedName>
    <definedName name="inv_sold_pun_bqs" localSheetId="5">#REF!</definedName>
    <definedName name="inv_sold_pun_bqs" localSheetId="6">#REF!</definedName>
    <definedName name="inv_sold_pun_bqs">#REF!</definedName>
    <definedName name="inv_sold_pun_hoarding" localSheetId="2">#REF!</definedName>
    <definedName name="inv_sold_pun_hoarding" localSheetId="1">#REF!</definedName>
    <definedName name="inv_sold_pun_hoarding" localSheetId="3">#REF!</definedName>
    <definedName name="inv_sold_pun_hoarding" localSheetId="5">#REF!</definedName>
    <definedName name="inv_sold_pun_hoarding" localSheetId="6">#REF!</definedName>
    <definedName name="inv_sold_pun_hoarding">#REF!</definedName>
    <definedName name="inv_sold_pun_kiosk" localSheetId="2">#REF!</definedName>
    <definedName name="inv_sold_pun_kiosk" localSheetId="1">#REF!</definedName>
    <definedName name="inv_sold_pun_kiosk" localSheetId="3">#REF!</definedName>
    <definedName name="inv_sold_pun_kiosk" localSheetId="5">#REF!</definedName>
    <definedName name="inv_sold_pun_kiosk" localSheetId="6">#REF!</definedName>
    <definedName name="inv_sold_pun_kiosk">#REF!</definedName>
    <definedName name="inv_sold_pun_utility" localSheetId="2">#REF!</definedName>
    <definedName name="inv_sold_pun_utility" localSheetId="1">#REF!</definedName>
    <definedName name="inv_sold_pun_utility" localSheetId="3">#REF!</definedName>
    <definedName name="inv_sold_pun_utility" localSheetId="5">#REF!</definedName>
    <definedName name="inv_sold_pun_utility" localSheetId="6">#REF!</definedName>
    <definedName name="inv_sold_pun_utility">#REF!</definedName>
    <definedName name="IOC" localSheetId="2">#REF!</definedName>
    <definedName name="IOC" localSheetId="1">#REF!</definedName>
    <definedName name="IOC" localSheetId="3">#REF!</definedName>
    <definedName name="IOC" localSheetId="5">#REF!</definedName>
    <definedName name="IOC" localSheetId="6">#REF!</definedName>
    <definedName name="IOC">#REF!</definedName>
    <definedName name="iop" localSheetId="2">#REF!</definedName>
    <definedName name="iop" localSheetId="1">#REF!</definedName>
    <definedName name="iop" localSheetId="3">#REF!</definedName>
    <definedName name="iop" localSheetId="5">#REF!</definedName>
    <definedName name="iop" localSheetId="6">#REF!</definedName>
    <definedName name="iop">#REF!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J_AVG_BANK_ASSETS">"c2671"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TIONS">"c2837"</definedName>
    <definedName name="IQ_AIR_ORDERS">"c2836"</definedName>
    <definedName name="IQ_AIR_OWNED">"c2832"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MT_OUT">"c2145"</definedName>
    <definedName name="IQ_ANNU_DISTRIBUTION_UNIT">"c3004"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SHAREOUTSTANDING">"c83"</definedName>
    <definedName name="IQ_AVG_TEV">"c84"</definedName>
    <definedName name="IQ_AVG_VOLUME">"c1346"</definedName>
    <definedName name="IQ_BANK_DEBT">"c2544"</definedName>
    <definedName name="IQ_BANK_DEBT_PCT">"c2545"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Y">"c102"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IZED_INTEREST">"c2076"</definedName>
    <definedName name="IQ_CASH">"c1458"</definedName>
    <definedName name="IQ_CASH_ACQUIRE_CF">"c116"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ED">"c2681"</definedName>
    <definedName name="IQ_CLASSA_OPTIONS_GRANTED">"c2680"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ST_BORROWING">"c2936"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P">"c2495"</definedName>
    <definedName name="IQ_CP_PCT">"c2496"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PORT_PCT">"c2541"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STRIBUTABLE_CASH">"c3002"</definedName>
    <definedName name="IQ_DISTRIBUTABLE_CASH_PAYOUT">"c3005"</definedName>
    <definedName name="IQ_DISTRIBUTABLE_CASH_SHARE">"c3003"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>"c2181"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ACT_OR_EST">"c2219"</definedName>
    <definedName name="IQ_EBIT_EST">"c1681"</definedName>
    <definedName name="IQ_EBIT_HIGH_EST">"c1683"</definedName>
    <definedName name="IQ_EBIT_INT">"c360"</definedName>
    <definedName name="IQ_EBIT_LOW_EST">"c1684"</definedName>
    <definedName name="IQ_EBIT_MARGIN">"c359"</definedName>
    <definedName name="IQ_EBIT_MEDIAN_EST">"c1682"</definedName>
    <definedName name="IQ_EBIT_NUM_EST">"c1685"</definedName>
    <definedName name="IQ_EBIT_OVER_IE">"c1369"</definedName>
    <definedName name="IQ_EBIT_STDDEV_EST">"c1686"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ACT_OR_EST">"c2215"</definedName>
    <definedName name="IQ_EBITDA_CAPEX_INT">"c368"</definedName>
    <definedName name="IQ_EBITDA_CAPEX_OVER_TOTAL_IE">"c1370"</definedName>
    <definedName name="IQ_EBITDA_EST">"c369"</definedName>
    <definedName name="IQ_EBITDA_HIGH_EST">"c370"</definedName>
    <definedName name="IQ_EBITDA_INT">"c373"</definedName>
    <definedName name="IQ_EBITDA_LOW_EST">"c371"</definedName>
    <definedName name="IQ_EBITDA_MARGIN">"c372"</definedName>
    <definedName name="IQ_EBITDA_MEDIAN_EST">"c1663"</definedName>
    <definedName name="IQ_EBITDA_NUM_EST">"c374"</definedName>
    <definedName name="IQ_EBITDA_OVER_TOTAL_IE">"c1371"</definedName>
    <definedName name="IQ_EBITDA_STDDEV_EST">"c375"</definedName>
    <definedName name="IQ_EBITDAR">"c2989"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GW_ACT_OR_EST">"c2223"</definedName>
    <definedName name="IQ_EPS_GW_EST">"c1737"</definedName>
    <definedName name="IQ_EPS_GW_HIGH_EST">"c1739"</definedName>
    <definedName name="IQ_EPS_GW_LOW_EST">"c1740"</definedName>
    <definedName name="IQ_EPS_GW_MEDIAN_EST">"c1738"</definedName>
    <definedName name="IQ_EPS_GW_NUM_EST">"c1741"</definedName>
    <definedName name="IQ_EPS_GW_STDDEV_EST">"c1742"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ORM_EST">"c2226"</definedName>
    <definedName name="IQ_EPS_NORM_HIGH_EST">"c2228"</definedName>
    <definedName name="IQ_EPS_NORM_LOW_EST">"c2229"</definedName>
    <definedName name="IQ_EPS_NORM_MEDIAN_EST">"c2227"</definedName>
    <definedName name="IQ_EPS_NORM_NUM_EST">"c2230"</definedName>
    <definedName name="IQ_EPS_NORM_STDDEV_EST">"c2231"</definedName>
    <definedName name="IQ_EPS_NUM_EST">"c402"</definedName>
    <definedName name="IQ_EPS_REPORT_ACT_OR_EST">"c2224"</definedName>
    <definedName name="IQ_EPS_REPORTED_EST">"c1744"</definedName>
    <definedName name="IQ_EPS_REPORTED_HIGH_EST">"c1746"</definedName>
    <definedName name="IQ_EPS_REPORTED_LOW_EST">"c1747"</definedName>
    <definedName name="IQ_EPS_REPORTED_MEDIAN_EST">"c1745"</definedName>
    <definedName name="IQ_EPS_REPORTED_NUM_EST">"c1748"</definedName>
    <definedName name="IQ_EPS_REPORTED_STDDEV_EST">"c1749"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NORM">"c2232"</definedName>
    <definedName name="IQ_EST_ACT_EPS_REPORTED">"c1750"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DATE">"c1634"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>"c1636"</definedName>
    <definedName name="IQ_EST_EPS_GROWTH_2YR">"c1637"</definedName>
    <definedName name="IQ_EST_EPS_GROWTH_5YR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STDDEV">"c1660"</definedName>
    <definedName name="IQ_EST_EPS_GROWTH_Q_1YR">"c1641"</definedName>
    <definedName name="IQ_EST_EPS_GW_DIFF">"c1891"</definedName>
    <definedName name="IQ_EST_EPS_GW_SURPRISE_PERCENT">"c1892"</definedName>
    <definedName name="IQ_EST_EPS_NORM_DIFF">"c2247"</definedName>
    <definedName name="IQ_EST_EPS_NORM_SURPRISE_PERCENT">"c2248"</definedName>
    <definedName name="IQ_EST_EPS_REPORT_DIFF">"c1893"</definedName>
    <definedName name="IQ_EST_EPS_REPORT_SURPRISE_PERCENT">"c1894"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FO_ACT_OR_EST">"c2216"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STDDEV_EST">"c422"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_TARGET_PRICE">"c1651"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H_STATUTORY_SURPLUS">"c2771"</definedName>
    <definedName name="IQ_LICENSED_POPS">"c2123"</definedName>
    <definedName name="IQ_LIFE_EARNED">"c2739"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SS_TO_NET_EARNED">"c2751"</definedName>
    <definedName name="IQ_LOW_TARGET_PRICE">"c1652"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MACHINERY">"c711"</definedName>
    <definedName name="IQ_MAINT_CAPEX">"c2947"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C_RATIO">"c2783"</definedName>
    <definedName name="IQ_MC_STATUTORY_SURPLUS">"c2772"</definedName>
    <definedName name="IQ_MEDIAN_TARGET_PRICE">"c1650"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EBITDA">"c750"</definedName>
    <definedName name="IQ_NET_DEBT_EBITDA_CAPEX">"c2949"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IFE_INS_IN_FORCE">"c2769"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ET_TO_GROSS_EARNED">"c2750"</definedName>
    <definedName name="IQ_NET_TO_GROSS_WRITTEN">"c2729"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CT_OR_EST">"c2222"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>"c794"</definedName>
    <definedName name="IQ_NI_MEDIAN_EST">"c1717"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FAS">"c795"</definedName>
    <definedName name="IQ_NI_STDDEV_EST">"c1721"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CASH_PENSION_EXP">"c3000"</definedName>
    <definedName name="IQ_NONRECOURSE_DEBT">"c2550"</definedName>
    <definedName name="IQ_NONRECOURSE_DEBT_PCT">"c2551"</definedName>
    <definedName name="IQ_NONUTIL_REV">"c2089"</definedName>
    <definedName name="IQ_NORM_EPS_ACT_OR_EST">"c2249"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PROD_GAS">"c2910"</definedName>
    <definedName name="IQ_OG_AVG_DAILY_PROD_NGL">"c2911"</definedName>
    <definedName name="IQ_OG_AVG_DAILY_PROD_OIL">"c2909"</definedName>
    <definedName name="IQ_OG_CLOSE_BALANCE_GAS">"c2049"</definedName>
    <definedName name="IQ_OG_CLOSE_BALANCE_NGL">"c2920"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VISIONS_GAS">"c2042"</definedName>
    <definedName name="IQ_OG_REVISIONS_NGL">"c2913"</definedName>
    <definedName name="IQ_OG_REVISIONS_OIL">"c2030"</definedName>
    <definedName name="IQ_OG_SALES_IN_PLACE_GAS">"c2046"</definedName>
    <definedName name="IQ_OG_SALES_IN_PLACE_NGL">"c2917"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UNDEVELOPED_RESERVES_GAS">"c2051"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ACT_OR_EST">"c2220"</definedName>
    <definedName name="IQ_OPER_INC_BR">"c850"</definedName>
    <definedName name="IQ_OPER_INC_EST">"c1688"</definedName>
    <definedName name="IQ_OPER_INC_FIN">"c851"</definedName>
    <definedName name="IQ_OPER_INC_HIGH_EST">"c1690"</definedName>
    <definedName name="IQ_OPER_INC_INS">"c852"</definedName>
    <definedName name="IQ_OPER_INC_LOW_EST">"c1691"</definedName>
    <definedName name="IQ_OPER_INC_MARGIN">"c1448"</definedName>
    <definedName name="IQ_OPER_INC_MEDIAN_EST">"c1689"</definedName>
    <definedName name="IQ_OPER_INC_NUM_EST">"c1692"</definedName>
    <definedName name="IQ_OPER_INC_REIT">"c853"</definedName>
    <definedName name="IQ_OPER_INC_STDDEV_EST">"c1693"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GRANTED">"c2673"</definedName>
    <definedName name="IQ_OPTIONS_ISSUED">"c857"</definedName>
    <definedName name="IQ_OPTIONS_STRIKE_PRICE_GRANTED">"c2678"</definedName>
    <definedName name="IQ_OPTIONS_STRIKE_PRICE_OS">"c2677"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ED">"c2688"</definedName>
    <definedName name="IQ_OTHER_OPTIONS_GRANTED">"c2687"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STRIKE_PRICE_GRANTED">"c2692"</definedName>
    <definedName name="IQ_OTHER_UNDRAWN">"c2522"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WNERSHIP">"c2160"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G_FWD">"c1863"</definedName>
    <definedName name="IQ_PENSION">"c1031"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RE_OPEN_COST">"c1040"</definedName>
    <definedName name="IQ_PRE_TAX_ACT_OR_EST">"c2221"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INCIPAL_AMT">"c2157"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T_DATE_SCHEDULE">"c2483"</definedName>
    <definedName name="IQ_PUT_NOTIFICATION">"c2485"</definedName>
    <definedName name="IQ_PUT_PRICE_SCHEDULE">"c2484"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CQUIRED_FRANCHISE_STORES">"c2903"</definedName>
    <definedName name="IQ_RETAIL_ACQUIRED_OWNED_STORES">"c2895"</definedName>
    <definedName name="IQ_RETAIL_ACQUIRED_STORES">"c2887"</definedName>
    <definedName name="IQ_RETAIL_AVG_STORE_SIZE_GROSS">"c2066"</definedName>
    <definedName name="IQ_RETAIL_AVG_STORE_SIZE_NET">"c2067"</definedName>
    <definedName name="IQ_RETAIL_AVG_WK_SALES">"c2891"</definedName>
    <definedName name="IQ_RETAIL_AVG_WK_SALES_FRANCHISE">"c2899"</definedName>
    <definedName name="IQ_RETAIL_AVG_WK_SALES_OWNED">"c2907"</definedName>
    <definedName name="IQ_RETAIL_CLOSED_FRANCHISE_STORES">"c2896"</definedName>
    <definedName name="IQ_RETAIL_CLOSED_OWNED_STORES">"c2904"</definedName>
    <definedName name="IQ_RETAIL_CLOSED_STORES">"c2063"</definedName>
    <definedName name="IQ_RETAIL_FRANCHISE_STORES_BEG">"c2893"</definedName>
    <definedName name="IQ_RETAIL_OPENED_FRANCHISE_STORES">"c2894"</definedName>
    <definedName name="IQ_RETAIL_OPENED_OWNED_STORES">"c2902"</definedName>
    <definedName name="IQ_RETAIL_OPENED_STORES">"c2062"</definedName>
    <definedName name="IQ_RETAIL_OWNED_STORES_BEG">"c2901"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FRANCHISE_STORES">"c2898"</definedName>
    <definedName name="IQ_RETAIL_TOTAL_OWNED_STORES">"c2906"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UTI">"c1125"</definedName>
    <definedName name="IQ_REVENUE">"c1422"</definedName>
    <definedName name="IQ_REVENUE_ACT_OR_EST">"c2214"</definedName>
    <definedName name="IQ_REVENUE_EST">"c1126"</definedName>
    <definedName name="IQ_REVENUE_HIGH_EST">"c1127"</definedName>
    <definedName name="IQ_REVENUE_LOW_EST">"c1128"</definedName>
    <definedName name="IQ_REVENUE_MEDIAN_EST">"c1662"</definedName>
    <definedName name="IQ_REVENUE_NUM_EST">"c1129"</definedName>
    <definedName name="IQ_REVISION_DATE_">39191.5891666667</definedName>
    <definedName name="IQ_RISK_ADJ_BANK_ASSETS">"c2670"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ECUR_RECEIV">"c1151"</definedName>
    <definedName name="IQ_SECURED_DEBT">"c2546"</definedName>
    <definedName name="IQ_SECURED_DEBT_PCT">"c2547"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PECIAL_DIV_SHARE">"c3007"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PCT">"c2539"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RGET_PRICE_NUM">"c1653"</definedName>
    <definedName name="IQ_TARGET_PRICE_STDDEV">"c1654"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UFCF">"c2208"</definedName>
    <definedName name="IQ_TIER_ONE_CAPITAL">"c2667"</definedName>
    <definedName name="IQ_TIER_ONE_RATIO">"c1229"</definedName>
    <definedName name="IQ_TIER_TWO_CAPITAL">"c2669"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BANK_CAPITAL">"c2668"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ED">"c2695"</definedName>
    <definedName name="IQ_TOTAL_OPTIONS_GRANTED">"c2694"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RINCIPAL">"c2509"</definedName>
    <definedName name="IQ_TOTAL_PRINCIPAL_PCT">"c2510"</definedName>
    <definedName name="IQ_TOTAL_PROVED_RESERVES_NGL">"c2924"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UNUSUAL">"c1508"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DA">"c2381"</definedName>
    <definedName name="IQ_TR_ACQ_FILING_CURRENCY">"c3033"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DA">"c2334"</definedName>
    <definedName name="IQ_TR_TARGET_FILING_CURRENCY">"c3034"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SECURED_DEBT">"c2548"</definedName>
    <definedName name="IQ_UNSECURED_DEBT_PCT">"c2549"</definedName>
    <definedName name="IQ_UNUSUAL_EXP">"c1456"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W">"c2163"</definedName>
    <definedName name="IQ_YTW_DATE">"c2164"</definedName>
    <definedName name="IQ_YTW_DATE_TYPE">"c2165"</definedName>
    <definedName name="IQ_Z_SCORE">"c1339"</definedName>
    <definedName name="IT" localSheetId="2">#REF!</definedName>
    <definedName name="IT" localSheetId="1">#REF!</definedName>
    <definedName name="IT" localSheetId="3">#REF!</definedName>
    <definedName name="IT" localSheetId="5">#REF!</definedName>
    <definedName name="IT" localSheetId="6">#REF!</definedName>
    <definedName name="IT">#REF!</definedName>
    <definedName name="itdep" localSheetId="2">#REF!</definedName>
    <definedName name="itdep" localSheetId="1">#REF!</definedName>
    <definedName name="itdep" localSheetId="3">#REF!</definedName>
    <definedName name="itdep" localSheetId="5">#REF!</definedName>
    <definedName name="itdep" localSheetId="6">#REF!</definedName>
    <definedName name="itdep">#REF!</definedName>
    <definedName name="Jambu" localSheetId="2">#REF!</definedName>
    <definedName name="Jambu" localSheetId="1">#REF!</definedName>
    <definedName name="Jambu" localSheetId="3">#REF!</definedName>
    <definedName name="Jambu" localSheetId="5">#REF!</definedName>
    <definedName name="Jambu" localSheetId="6">#REF!</definedName>
    <definedName name="Jambu">#REF!</definedName>
    <definedName name="Jan" localSheetId="2">#REF!</definedName>
    <definedName name="Jan" localSheetId="1">#REF!</definedName>
    <definedName name="Jan" localSheetId="3">#REF!</definedName>
    <definedName name="Jan" localSheetId="5">#REF!</definedName>
    <definedName name="Jan" localSheetId="6">#REF!</definedName>
    <definedName name="Jan">#REF!</definedName>
    <definedName name="JANDATA?" localSheetId="2">#REF!</definedName>
    <definedName name="JANDATA?" localSheetId="1">#REF!</definedName>
    <definedName name="JANDATA?" localSheetId="3">#REF!</definedName>
    <definedName name="JANDATA?" localSheetId="5">#REF!</definedName>
    <definedName name="JANDATA?" localSheetId="6">#REF!</definedName>
    <definedName name="JANDATA?">#REF!</definedName>
    <definedName name="jh" localSheetId="2">#REF!</definedName>
    <definedName name="jh" localSheetId="1">#REF!</definedName>
    <definedName name="jh" localSheetId="3">#REF!</definedName>
    <definedName name="jh" localSheetId="5">#REF!</definedName>
    <definedName name="jh" localSheetId="6">#REF!</definedName>
    <definedName name="jh">#REF!</definedName>
    <definedName name="jjjjjjjjjjjjj" localSheetId="2">#REF!</definedName>
    <definedName name="jjjjjjjjjjjjj" localSheetId="1">#REF!</definedName>
    <definedName name="jjjjjjjjjjjjj" localSheetId="3">#REF!</definedName>
    <definedName name="jjjjjjjjjjjjj" localSheetId="5">#REF!</definedName>
    <definedName name="jjjjjjjjjjjjj" localSheetId="6">#REF!</definedName>
    <definedName name="jjjjjjjjjjjjj">#REF!</definedName>
    <definedName name="jjkh" localSheetId="2">#REF!</definedName>
    <definedName name="jjkh" localSheetId="1">#REF!</definedName>
    <definedName name="jjkh" localSheetId="3">#REF!</definedName>
    <definedName name="jjkh" localSheetId="5">#REF!</definedName>
    <definedName name="jjkh" localSheetId="6">#REF!</definedName>
    <definedName name="jjkh">#REF!</definedName>
    <definedName name="jkbk" localSheetId="2">#REF!</definedName>
    <definedName name="jkbk" localSheetId="1">#REF!</definedName>
    <definedName name="jkbk" localSheetId="3">#REF!</definedName>
    <definedName name="jkbk" localSheetId="5">#REF!</definedName>
    <definedName name="jkbk" localSheetId="6">#REF!</definedName>
    <definedName name="jkbk">#REF!</definedName>
    <definedName name="jkbkhb" localSheetId="2">#REF!</definedName>
    <definedName name="jkbkhb" localSheetId="1">#REF!</definedName>
    <definedName name="jkbkhb" localSheetId="3">#REF!</definedName>
    <definedName name="jkbkhb" localSheetId="5">#REF!</definedName>
    <definedName name="jkbkhb" localSheetId="6">#REF!</definedName>
    <definedName name="jkbkhb">#REF!</definedName>
    <definedName name="jkkb" localSheetId="2">#REF!</definedName>
    <definedName name="jkkb" localSheetId="1">#REF!</definedName>
    <definedName name="jkkb" localSheetId="3">#REF!</definedName>
    <definedName name="jkkb" localSheetId="5">#REF!</definedName>
    <definedName name="jkkb" localSheetId="6">#REF!</definedName>
    <definedName name="jkkb">#REF!</definedName>
    <definedName name="jkkkklkl" localSheetId="2">#REF!</definedName>
    <definedName name="jkkkklkl" localSheetId="1">#REF!</definedName>
    <definedName name="jkkkklkl" localSheetId="3">#REF!</definedName>
    <definedName name="jkkkklkl" localSheetId="5">#REF!</definedName>
    <definedName name="jkkkklkl" localSheetId="6">#REF!</definedName>
    <definedName name="jkkkklkl">#REF!</definedName>
    <definedName name="johnny_5_is_alive" localSheetId="2">#REF!</definedName>
    <definedName name="johnny_5_is_alive" localSheetId="1">#REF!</definedName>
    <definedName name="johnny_5_is_alive" localSheetId="3">#REF!</definedName>
    <definedName name="johnny_5_is_alive" localSheetId="5">#REF!</definedName>
    <definedName name="johnny_5_is_alive" localSheetId="6">#REF!</definedName>
    <definedName name="johnny_5_is_alive">#REF!</definedName>
    <definedName name="johnny_6_is_alive" localSheetId="2">#REF!</definedName>
    <definedName name="johnny_6_is_alive" localSheetId="1">#REF!</definedName>
    <definedName name="johnny_6_is_alive" localSheetId="3">#REF!</definedName>
    <definedName name="johnny_6_is_alive" localSheetId="5">#REF!</definedName>
    <definedName name="johnny_6_is_alive" localSheetId="6">#REF!</definedName>
    <definedName name="johnny_6_is_alive">#REF!</definedName>
    <definedName name="Jul" localSheetId="2">#REF!</definedName>
    <definedName name="Jul" localSheetId="1">#REF!</definedName>
    <definedName name="Jul" localSheetId="3">#REF!</definedName>
    <definedName name="Jul" localSheetId="5">#REF!</definedName>
    <definedName name="Jul" localSheetId="6">#REF!</definedName>
    <definedName name="Jul">#REF!</definedName>
    <definedName name="JULDATA?" localSheetId="2">#REF!</definedName>
    <definedName name="JULDATA?" localSheetId="1">#REF!</definedName>
    <definedName name="JULDATA?" localSheetId="3">#REF!</definedName>
    <definedName name="JULDATA?" localSheetId="5">#REF!</definedName>
    <definedName name="JULDATA?" localSheetId="6">#REF!</definedName>
    <definedName name="JULDATA?">#REF!</definedName>
    <definedName name="Jun" localSheetId="2">#REF!</definedName>
    <definedName name="Jun" localSheetId="1">#REF!</definedName>
    <definedName name="Jun" localSheetId="3">#REF!</definedName>
    <definedName name="Jun" localSheetId="5">#REF!</definedName>
    <definedName name="Jun" localSheetId="6">#REF!</definedName>
    <definedName name="Jun">#REF!</definedName>
    <definedName name="junctionboxcost" localSheetId="2">#REF!</definedName>
    <definedName name="junctionboxcost" localSheetId="1">#REF!</definedName>
    <definedName name="junctionboxcost" localSheetId="3">#REF!</definedName>
    <definedName name="junctionboxcost" localSheetId="5">#REF!</definedName>
    <definedName name="junctionboxcost" localSheetId="6">#REF!</definedName>
    <definedName name="junctionboxcost">#REF!</definedName>
    <definedName name="JUNDATA?" localSheetId="2">#REF!</definedName>
    <definedName name="JUNDATA?" localSheetId="1">#REF!</definedName>
    <definedName name="JUNDATA?" localSheetId="3">#REF!</definedName>
    <definedName name="JUNDATA?" localSheetId="5">#REF!</definedName>
    <definedName name="JUNDATA?" localSheetId="6">#REF!</definedName>
    <definedName name="JUNDATA?">#REF!</definedName>
    <definedName name="jvbjgv" localSheetId="2">#REF!</definedName>
    <definedName name="jvbjgv" localSheetId="1">#REF!</definedName>
    <definedName name="jvbjgv" localSheetId="3">#REF!</definedName>
    <definedName name="jvbjgv" localSheetId="5">#REF!</definedName>
    <definedName name="jvbjgv" localSheetId="6">#REF!</definedName>
    <definedName name="jvbjgv">#REF!</definedName>
    <definedName name="jvjvg" localSheetId="2">#REF!</definedName>
    <definedName name="jvjvg" localSheetId="1">#REF!</definedName>
    <definedName name="jvjvg" localSheetId="3">#REF!</definedName>
    <definedName name="jvjvg" localSheetId="5">#REF!</definedName>
    <definedName name="jvjvg" localSheetId="6">#REF!</definedName>
    <definedName name="jvjvg">#REF!</definedName>
    <definedName name="k" localSheetId="2">#REF!</definedName>
    <definedName name="k" localSheetId="1">#REF!</definedName>
    <definedName name="k" localSheetId="3">#REF!</definedName>
    <definedName name="k" localSheetId="5">#REF!</definedName>
    <definedName name="k" localSheetId="6">#REF!</definedName>
    <definedName name="k">#REF!</definedName>
    <definedName name="KeyRatios" localSheetId="2">#REF!</definedName>
    <definedName name="KeyRatios" localSheetId="1">#REF!</definedName>
    <definedName name="KeyRatios" localSheetId="3">#REF!</definedName>
    <definedName name="KeyRatios" localSheetId="5">#REF!</definedName>
    <definedName name="KeyRatios" localSheetId="6">#REF!</definedName>
    <definedName name="KeyRatios">#REF!</definedName>
    <definedName name="KGP" localSheetId="2">#REF!</definedName>
    <definedName name="KGP" localSheetId="1">#REF!</definedName>
    <definedName name="KGP" localSheetId="3">#REF!</definedName>
    <definedName name="KGP" localSheetId="5">#REF!</definedName>
    <definedName name="KGP" localSheetId="6">#REF!</definedName>
    <definedName name="KGP">#REF!</definedName>
    <definedName name="khhj" localSheetId="2">#REF!</definedName>
    <definedName name="khhj" localSheetId="1">#REF!</definedName>
    <definedName name="khhj" localSheetId="3">#REF!</definedName>
    <definedName name="khhj" localSheetId="5">#REF!</definedName>
    <definedName name="khhj" localSheetId="6">#REF!</definedName>
    <definedName name="khhj">#REF!</definedName>
    <definedName name="KI_Dev_QA" localSheetId="2">#REF!</definedName>
    <definedName name="KI_Dev_QA" localSheetId="1">#REF!</definedName>
    <definedName name="KI_Dev_QA" localSheetId="3">#REF!</definedName>
    <definedName name="KI_Dev_QA" localSheetId="5">#REF!</definedName>
    <definedName name="KI_Dev_QA" localSheetId="6">#REF!</definedName>
    <definedName name="KI_Dev_QA">#REF!</definedName>
    <definedName name="kjvjg" localSheetId="2">#REF!</definedName>
    <definedName name="kjvjg" localSheetId="1">#REF!</definedName>
    <definedName name="kjvjg" localSheetId="3">#REF!</definedName>
    <definedName name="kjvjg" localSheetId="5">#REF!</definedName>
    <definedName name="kjvjg" localSheetId="6">#REF!</definedName>
    <definedName name="kjvjg">#REF!</definedName>
    <definedName name="kol_num_bqs" localSheetId="2">#REF!</definedName>
    <definedName name="kol_num_bqs" localSheetId="1">#REF!</definedName>
    <definedName name="kol_num_bqs" localSheetId="3">#REF!</definedName>
    <definedName name="kol_num_bqs" localSheetId="5">#REF!</definedName>
    <definedName name="kol_num_bqs" localSheetId="6">#REF!</definedName>
    <definedName name="kol_num_bqs">#REF!</definedName>
    <definedName name="kol_num_bridgepanel" localSheetId="2">#REF!</definedName>
    <definedName name="kol_num_bridgepanel" localSheetId="1">#REF!</definedName>
    <definedName name="kol_num_bridgepanel" localSheetId="3">#REF!</definedName>
    <definedName name="kol_num_bridgepanel" localSheetId="5">#REF!</definedName>
    <definedName name="kol_num_bridgepanel" localSheetId="6">#REF!</definedName>
    <definedName name="kol_num_bridgepanel">#REF!</definedName>
    <definedName name="kol_num_hoarding" localSheetId="2">#REF!</definedName>
    <definedName name="kol_num_hoarding" localSheetId="1">#REF!</definedName>
    <definedName name="kol_num_hoarding" localSheetId="3">#REF!</definedName>
    <definedName name="kol_num_hoarding" localSheetId="5">#REF!</definedName>
    <definedName name="kol_num_hoarding" localSheetId="6">#REF!</definedName>
    <definedName name="kol_num_hoarding">#REF!</definedName>
    <definedName name="kol_num_kiosk" localSheetId="2">#REF!</definedName>
    <definedName name="kol_num_kiosk" localSheetId="1">#REF!</definedName>
    <definedName name="kol_num_kiosk" localSheetId="3">#REF!</definedName>
    <definedName name="kol_num_kiosk" localSheetId="5">#REF!</definedName>
    <definedName name="kol_num_kiosk" localSheetId="6">#REF!</definedName>
    <definedName name="kol_num_kiosk">#REF!</definedName>
    <definedName name="kol_num_mpillars" localSheetId="2">#REF!</definedName>
    <definedName name="kol_num_mpillars" localSheetId="1">#REF!</definedName>
    <definedName name="kol_num_mpillars" localSheetId="3">#REF!</definedName>
    <definedName name="kol_num_mpillars" localSheetId="5">#REF!</definedName>
    <definedName name="kol_num_mpillars" localSheetId="6">#REF!</definedName>
    <definedName name="kol_num_mpillars">#REF!</definedName>
    <definedName name="kol_num_pillarwrap" localSheetId="2">#REF!</definedName>
    <definedName name="kol_num_pillarwrap" localSheetId="1">#REF!</definedName>
    <definedName name="kol_num_pillarwrap" localSheetId="3">#REF!</definedName>
    <definedName name="kol_num_pillarwrap" localSheetId="5">#REF!</definedName>
    <definedName name="kol_num_pillarwrap" localSheetId="6">#REF!</definedName>
    <definedName name="kol_num_pillarwrap">#REF!</definedName>
    <definedName name="kol_num_ts" localSheetId="2">#REF!</definedName>
    <definedName name="kol_num_ts" localSheetId="1">#REF!</definedName>
    <definedName name="kol_num_ts" localSheetId="3">#REF!</definedName>
    <definedName name="kol_num_ts" localSheetId="5">#REF!</definedName>
    <definedName name="kol_num_ts" localSheetId="6">#REF!</definedName>
    <definedName name="kol_num_ts">#REF!</definedName>
    <definedName name="kol_occrate_bqs" localSheetId="2">#REF!</definedName>
    <definedName name="kol_occrate_bqs" localSheetId="1">#REF!</definedName>
    <definedName name="kol_occrate_bqs" localSheetId="3">#REF!</definedName>
    <definedName name="kol_occrate_bqs" localSheetId="5">#REF!</definedName>
    <definedName name="kol_occrate_bqs" localSheetId="6">#REF!</definedName>
    <definedName name="kol_occrate_bqs">#REF!</definedName>
    <definedName name="kol_occrate_bridgepanel" localSheetId="2">#REF!</definedName>
    <definedName name="kol_occrate_bridgepanel" localSheetId="1">#REF!</definedName>
    <definedName name="kol_occrate_bridgepanel" localSheetId="3">#REF!</definedName>
    <definedName name="kol_occrate_bridgepanel" localSheetId="5">#REF!</definedName>
    <definedName name="kol_occrate_bridgepanel" localSheetId="6">#REF!</definedName>
    <definedName name="kol_occrate_bridgepanel">#REF!</definedName>
    <definedName name="kol_occrate_hoarding" localSheetId="2">#REF!</definedName>
    <definedName name="kol_occrate_hoarding" localSheetId="1">#REF!</definedName>
    <definedName name="kol_occrate_hoarding" localSheetId="3">#REF!</definedName>
    <definedName name="kol_occrate_hoarding" localSheetId="5">#REF!</definedName>
    <definedName name="kol_occrate_hoarding" localSheetId="6">#REF!</definedName>
    <definedName name="kol_occrate_hoarding">#REF!</definedName>
    <definedName name="kol_occrate_kiosk" localSheetId="2">#REF!</definedName>
    <definedName name="kol_occrate_kiosk" localSheetId="1">#REF!</definedName>
    <definedName name="kol_occrate_kiosk" localSheetId="3">#REF!</definedName>
    <definedName name="kol_occrate_kiosk" localSheetId="5">#REF!</definedName>
    <definedName name="kol_occrate_kiosk" localSheetId="6">#REF!</definedName>
    <definedName name="kol_occrate_kiosk">#REF!</definedName>
    <definedName name="kol_occrate_mpillars" localSheetId="2">#REF!</definedName>
    <definedName name="kol_occrate_mpillars" localSheetId="1">#REF!</definedName>
    <definedName name="kol_occrate_mpillars" localSheetId="3">#REF!</definedName>
    <definedName name="kol_occrate_mpillars" localSheetId="5">#REF!</definedName>
    <definedName name="kol_occrate_mpillars" localSheetId="6">#REF!</definedName>
    <definedName name="kol_occrate_mpillars">#REF!</definedName>
    <definedName name="kol_occrate_pillarwrap" localSheetId="2">#REF!</definedName>
    <definedName name="kol_occrate_pillarwrap" localSheetId="1">#REF!</definedName>
    <definedName name="kol_occrate_pillarwrap" localSheetId="3">#REF!</definedName>
    <definedName name="kol_occrate_pillarwrap" localSheetId="5">#REF!</definedName>
    <definedName name="kol_occrate_pillarwrap" localSheetId="6">#REF!</definedName>
    <definedName name="kol_occrate_pillarwrap">#REF!</definedName>
    <definedName name="kol_occrate_ts" localSheetId="2">#REF!</definedName>
    <definedName name="kol_occrate_ts" localSheetId="1">#REF!</definedName>
    <definedName name="kol_occrate_ts" localSheetId="3">#REF!</definedName>
    <definedName name="kol_occrate_ts" localSheetId="5">#REF!</definedName>
    <definedName name="kol_occrate_ts" localSheetId="6">#REF!</definedName>
    <definedName name="kol_occrate_ts">#REF!</definedName>
    <definedName name="KOREA_PLASTIC_in_KUSD" localSheetId="2">#REF!</definedName>
    <definedName name="KOREA_PLASTIC_in_KUSD" localSheetId="1">#REF!</definedName>
    <definedName name="KOREA_PLASTIC_in_KUSD" localSheetId="3">#REF!</definedName>
    <definedName name="KOREA_PLASTIC_in_KUSD" localSheetId="5">#REF!</definedName>
    <definedName name="KOREA_PLASTIC_in_KUSD" localSheetId="6">#REF!</definedName>
    <definedName name="KOREA_PLASTIC_in_KUSD">#REF!</definedName>
    <definedName name="l" localSheetId="2">#REF!</definedName>
    <definedName name="l" localSheetId="1">#REF!</definedName>
    <definedName name="l" localSheetId="3">#REF!</definedName>
    <definedName name="l" localSheetId="5">#REF!</definedName>
    <definedName name="l" localSheetId="6">#REF!</definedName>
    <definedName name="l">#REF!</definedName>
    <definedName name="L_TCost" localSheetId="2">#REF!</definedName>
    <definedName name="L_TCost" localSheetId="1">#REF!</definedName>
    <definedName name="L_TCost" localSheetId="3">#REF!</definedName>
    <definedName name="L_TCost" localSheetId="5">#REF!</definedName>
    <definedName name="L_TCost" localSheetId="6">#REF!</definedName>
    <definedName name="L_TCost">#REF!</definedName>
    <definedName name="LABOR3" localSheetId="2">#REF!</definedName>
    <definedName name="LABOR3" localSheetId="1">#REF!</definedName>
    <definedName name="LABOR3" localSheetId="3">#REF!</definedName>
    <definedName name="LABOR3" localSheetId="5">#REF!</definedName>
    <definedName name="LABOR3" localSheetId="6">#REF!</definedName>
    <definedName name="LABOR3">#REF!</definedName>
    <definedName name="LAC" localSheetId="2">#REF!</definedName>
    <definedName name="LAC" localSheetId="1">#REF!</definedName>
    <definedName name="LAC" localSheetId="3">#REF!</definedName>
    <definedName name="LAC" localSheetId="5">#REF!</definedName>
    <definedName name="LAC" localSheetId="6">#REF!</definedName>
    <definedName name="LAC">#REF!</definedName>
    <definedName name="lakdjg" localSheetId="2">#REF!</definedName>
    <definedName name="lakdjg" localSheetId="1">#REF!</definedName>
    <definedName name="lakdjg" localSheetId="3">#REF!</definedName>
    <definedName name="lakdjg" localSheetId="5">#REF!</definedName>
    <definedName name="lakdjg" localSheetId="6">#REF!</definedName>
    <definedName name="lakdjg">#REF!</definedName>
    <definedName name="Lakh" localSheetId="2">#REF!</definedName>
    <definedName name="Lakh" localSheetId="1">#REF!</definedName>
    <definedName name="Lakh" localSheetId="3">#REF!</definedName>
    <definedName name="Lakh" localSheetId="5">#REF!</definedName>
    <definedName name="Lakh" localSheetId="6">#REF!</definedName>
    <definedName name="Lakh">#REF!</definedName>
    <definedName name="launchexpense" localSheetId="2">#REF!</definedName>
    <definedName name="launchexpense" localSheetId="1">#REF!</definedName>
    <definedName name="launchexpense" localSheetId="3">#REF!</definedName>
    <definedName name="launchexpense" localSheetId="5">#REF!</definedName>
    <definedName name="launchexpense" localSheetId="6">#REF!</definedName>
    <definedName name="launchexpense">#REF!</definedName>
    <definedName name="LC" localSheetId="2">#REF!</definedName>
    <definedName name="LC" localSheetId="1">#REF!</definedName>
    <definedName name="LC" localSheetId="3">#REF!</definedName>
    <definedName name="LC" localSheetId="5">#REF!</definedName>
    <definedName name="LC" localSheetId="6">#REF!</definedName>
    <definedName name="LC">#REF!</definedName>
    <definedName name="lemu6" localSheetId="2">#REF!</definedName>
    <definedName name="lemu6" localSheetId="1">#REF!</definedName>
    <definedName name="lemu6" localSheetId="3">#REF!</definedName>
    <definedName name="lemu6" localSheetId="5">#REF!</definedName>
    <definedName name="lemu6" localSheetId="6">#REF!</definedName>
    <definedName name="lemu6">#REF!</definedName>
    <definedName name="lesa8" localSheetId="2">#REF!</definedName>
    <definedName name="lesa8" localSheetId="1">#REF!</definedName>
    <definedName name="lesa8" localSheetId="3">#REF!</definedName>
    <definedName name="lesa8" localSheetId="5">#REF!</definedName>
    <definedName name="lesa8" localSheetId="6">#REF!</definedName>
    <definedName name="lesa8">#REF!</definedName>
    <definedName name="LevMaint_" localSheetId="2">#REF!</definedName>
    <definedName name="LevMaint_" localSheetId="1">#REF!</definedName>
    <definedName name="LevMaint_" localSheetId="3">#REF!</definedName>
    <definedName name="LevMaint_" localSheetId="5">#REF!</definedName>
    <definedName name="LevMaint_" localSheetId="6">#REF!</definedName>
    <definedName name="LevMaint_">#REF!</definedName>
    <definedName name="linesprovidedperbldg" localSheetId="2">#REF!</definedName>
    <definedName name="linesprovidedperbldg" localSheetId="1">#REF!</definedName>
    <definedName name="linesprovidedperbldg" localSheetId="3">#REF!</definedName>
    <definedName name="linesprovidedperbldg" localSheetId="5">#REF!</definedName>
    <definedName name="linesprovidedperbldg" localSheetId="6">#REF!</definedName>
    <definedName name="linesprovidedperbldg">#REF!</definedName>
    <definedName name="ListNames" localSheetId="2">#REF!</definedName>
    <definedName name="ListNames" localSheetId="1">#REF!</definedName>
    <definedName name="ListNames" localSheetId="3">#REF!</definedName>
    <definedName name="ListNames" localSheetId="5">#REF!</definedName>
    <definedName name="ListNames" localSheetId="6">#REF!</definedName>
    <definedName name="ListNames">#REF!</definedName>
    <definedName name="lk" localSheetId="2">#REF!</definedName>
    <definedName name="lk" localSheetId="1">#REF!</definedName>
    <definedName name="lk" localSheetId="3">#REF!</definedName>
    <definedName name="lk" localSheetId="5">#REF!</definedName>
    <definedName name="lk" localSheetId="6">#REF!</definedName>
    <definedName name="lk">#REF!</definedName>
    <definedName name="lkjadsoij" localSheetId="2">#REF!</definedName>
    <definedName name="lkjadsoij" localSheetId="1">#REF!</definedName>
    <definedName name="lkjadsoij" localSheetId="3">#REF!</definedName>
    <definedName name="lkjadsoij" localSheetId="5">#REF!</definedName>
    <definedName name="lkjadsoij" localSheetId="6">#REF!</definedName>
    <definedName name="lkjadsoij">#REF!</definedName>
    <definedName name="lll" localSheetId="2">#REF!</definedName>
    <definedName name="lll" localSheetId="1">#REF!</definedName>
    <definedName name="lll" localSheetId="3">#REF!</definedName>
    <definedName name="lll" localSheetId="5">#REF!</definedName>
    <definedName name="lll" localSheetId="6">#REF!</definedName>
    <definedName name="lll">#REF!</definedName>
    <definedName name="llllasdg" localSheetId="2">#REF!</definedName>
    <definedName name="llllasdg" localSheetId="1">#REF!</definedName>
    <definedName name="llllasdg" localSheetId="3">#REF!</definedName>
    <definedName name="llllasdg" localSheetId="5">#REF!</definedName>
    <definedName name="llllasdg" localSheetId="6">#REF!</definedName>
    <definedName name="llllasdg">#REF!</definedName>
    <definedName name="lnjklbk" localSheetId="2">#REF!</definedName>
    <definedName name="lnjklbk" localSheetId="1">#REF!</definedName>
    <definedName name="lnjklbk" localSheetId="3">#REF!</definedName>
    <definedName name="lnjklbk" localSheetId="5">#REF!</definedName>
    <definedName name="lnjklbk" localSheetId="6">#REF!</definedName>
    <definedName name="lnjklbk">#REF!</definedName>
    <definedName name="Locations" localSheetId="2">OFFSET(#REF!,0,0,(COUNTA(#REF!)-1),1)</definedName>
    <definedName name="Locations" localSheetId="1">OFFSET(#REF!,0,0,(COUNTA(#REF!)-1),1)</definedName>
    <definedName name="Locations" localSheetId="3">OFFSET(#REF!,0,0,(COUNTA(#REF!)-1),1)</definedName>
    <definedName name="Locations" localSheetId="5">OFFSET(#REF!,0,0,(COUNTA(#REF!)-1),1)</definedName>
    <definedName name="Locations" localSheetId="6">OFFSET(#REF!,0,0,(COUNTA(#REF!)-1),1)</definedName>
    <definedName name="Locations">OFFSET(#REF!,0,0,(COUNTA(#REF!)-1),1)</definedName>
    <definedName name="lomif" localSheetId="2">#REF!</definedName>
    <definedName name="lomif" localSheetId="1">#REF!</definedName>
    <definedName name="lomif" localSheetId="3">#REF!</definedName>
    <definedName name="lomif" localSheetId="5">#REF!</definedName>
    <definedName name="lomif" localSheetId="6">#REF!</definedName>
    <definedName name="lomif">#REF!</definedName>
    <definedName name="lomifcable" localSheetId="2">#REF!</definedName>
    <definedName name="lomifcable" localSheetId="1">#REF!</definedName>
    <definedName name="lomifcable" localSheetId="3">#REF!</definedName>
    <definedName name="lomifcable" localSheetId="5">#REF!</definedName>
    <definedName name="lomifcable" localSheetId="6">#REF!</definedName>
    <definedName name="lomifcable">#REF!</definedName>
    <definedName name="lomifcard" localSheetId="2">#REF!</definedName>
    <definedName name="lomifcard" localSheetId="1">#REF!</definedName>
    <definedName name="lomifcard" localSheetId="3">#REF!</definedName>
    <definedName name="lomifcard" localSheetId="5">#REF!</definedName>
    <definedName name="lomifcard" localSheetId="6">#REF!</definedName>
    <definedName name="lomifcard">#REF!</definedName>
    <definedName name="lomifcble" localSheetId="2">#REF!</definedName>
    <definedName name="lomifcble" localSheetId="1">#REF!</definedName>
    <definedName name="lomifcble" localSheetId="3">#REF!</definedName>
    <definedName name="lomifcble" localSheetId="5">#REF!</definedName>
    <definedName name="lomifcble" localSheetId="6">#REF!</definedName>
    <definedName name="lomifcble">#REF!</definedName>
    <definedName name="Low_Sub" localSheetId="2">#REF!</definedName>
    <definedName name="Low_Sub" localSheetId="1">#REF!</definedName>
    <definedName name="Low_Sub" localSheetId="3">#REF!</definedName>
    <definedName name="Low_Sub" localSheetId="5">#REF!</definedName>
    <definedName name="Low_Sub" localSheetId="6">#REF!</definedName>
    <definedName name="Low_Sub">#REF!</definedName>
    <definedName name="Low_Sub1" localSheetId="2">#REF!</definedName>
    <definedName name="Low_Sub1" localSheetId="1">#REF!</definedName>
    <definedName name="Low_Sub1" localSheetId="3">#REF!</definedName>
    <definedName name="Low_Sub1" localSheetId="5">#REF!</definedName>
    <definedName name="Low_Sub1" localSheetId="6">#REF!</definedName>
    <definedName name="Low_Sub1">#REF!</definedName>
    <definedName name="Low_Tariff" localSheetId="2">#REF!</definedName>
    <definedName name="Low_Tariff" localSheetId="1">#REF!</definedName>
    <definedName name="Low_Tariff" localSheetId="3">#REF!</definedName>
    <definedName name="Low_Tariff" localSheetId="5">#REF!</definedName>
    <definedName name="Low_Tariff" localSheetId="6">#REF!</definedName>
    <definedName name="Low_Tariff">#REF!</definedName>
    <definedName name="Low_Use" localSheetId="2">#REF!</definedName>
    <definedName name="Low_Use" localSheetId="1">#REF!</definedName>
    <definedName name="Low_Use" localSheetId="3">#REF!</definedName>
    <definedName name="Low_Use" localSheetId="5">#REF!</definedName>
    <definedName name="Low_Use" localSheetId="6">#REF!</definedName>
    <definedName name="Low_Use">#REF!</definedName>
    <definedName name="Lowk" localSheetId="2">#REF!</definedName>
    <definedName name="Lowk" localSheetId="1">#REF!</definedName>
    <definedName name="Lowk" localSheetId="3">#REF!</definedName>
    <definedName name="Lowk" localSheetId="5">#REF!</definedName>
    <definedName name="Lowk" localSheetId="6">#REF!</definedName>
    <definedName name="Lowk">#REF!</definedName>
    <definedName name="LP" localSheetId="2">#REF!</definedName>
    <definedName name="LP" localSheetId="1">#REF!</definedName>
    <definedName name="LP" localSheetId="3">#REF!</definedName>
    <definedName name="LP" localSheetId="5">#REF!</definedName>
    <definedName name="LP" localSheetId="6">#REF!</definedName>
    <definedName name="LP">#REF!</definedName>
    <definedName name="M_ACost" localSheetId="2">#REF!</definedName>
    <definedName name="M_ACost" localSheetId="1">#REF!</definedName>
    <definedName name="M_ACost" localSheetId="3">#REF!</definedName>
    <definedName name="M_ACost" localSheetId="5">#REF!</definedName>
    <definedName name="M_ACost" localSheetId="6">#REF!</definedName>
    <definedName name="M_ACost">#REF!</definedName>
    <definedName name="mahesh" localSheetId="2">#REF!</definedName>
    <definedName name="mahesh" localSheetId="1">#REF!</definedName>
    <definedName name="mahesh" localSheetId="3">#REF!</definedName>
    <definedName name="mahesh" localSheetId="5">#REF!</definedName>
    <definedName name="mahesh" localSheetId="6">#REF!</definedName>
    <definedName name="mahesh">#REF!</definedName>
    <definedName name="mainrkcost" localSheetId="2">#REF!</definedName>
    <definedName name="mainrkcost" localSheetId="1">#REF!</definedName>
    <definedName name="mainrkcost" localSheetId="3">#REF!</definedName>
    <definedName name="mainrkcost" localSheetId="5">#REF!</definedName>
    <definedName name="mainrkcost" localSheetId="6">#REF!</definedName>
    <definedName name="mainrkcost">#REF!</definedName>
    <definedName name="MAJOR" localSheetId="2">#REF!</definedName>
    <definedName name="MAJOR" localSheetId="1">#REF!</definedName>
    <definedName name="MAJOR" localSheetId="3">#REF!</definedName>
    <definedName name="MAJOR" localSheetId="5">#REF!</definedName>
    <definedName name="MAJOR" localSheetId="6">#REF!</definedName>
    <definedName name="MAJOR">#REF!</definedName>
    <definedName name="MAJORFUND" localSheetId="2">#REF!</definedName>
    <definedName name="MAJORFUND" localSheetId="1">#REF!</definedName>
    <definedName name="MAJORFUND" localSheetId="3">#REF!</definedName>
    <definedName name="MAJORFUND" localSheetId="5">#REF!</definedName>
    <definedName name="MAJORFUND" localSheetId="6">#REF!</definedName>
    <definedName name="MAJORFUND">#REF!</definedName>
    <definedName name="MakeUpGPH" localSheetId="2">#REF!</definedName>
    <definedName name="MakeUpGPH" localSheetId="1">#REF!</definedName>
    <definedName name="MakeUpGPH" localSheetId="3">#REF!</definedName>
    <definedName name="MakeUpGPH" localSheetId="5">#REF!</definedName>
    <definedName name="MakeUpGPH" localSheetId="6">#REF!</definedName>
    <definedName name="MakeUpGPH">#REF!</definedName>
    <definedName name="Mar" localSheetId="2">#REF!</definedName>
    <definedName name="Mar" localSheetId="1">#REF!</definedName>
    <definedName name="Mar" localSheetId="3">#REF!</definedName>
    <definedName name="Mar" localSheetId="5">#REF!</definedName>
    <definedName name="Mar" localSheetId="6">#REF!</definedName>
    <definedName name="Mar">#REF!</definedName>
    <definedName name="MARDATA?" localSheetId="2">#REF!</definedName>
    <definedName name="MARDATA?" localSheetId="1">#REF!</definedName>
    <definedName name="MARDATA?" localSheetId="3">#REF!</definedName>
    <definedName name="MARDATA?" localSheetId="5">#REF!</definedName>
    <definedName name="MARDATA?" localSheetId="6">#REF!</definedName>
    <definedName name="MARDATA?">#REF!</definedName>
    <definedName name="Margin" localSheetId="2">#REF!</definedName>
    <definedName name="Margin" localSheetId="1">#REF!</definedName>
    <definedName name="Margin" localSheetId="3">#REF!</definedName>
    <definedName name="Margin" localSheetId="5">#REF!</definedName>
    <definedName name="Margin" localSheetId="6">#REF!</definedName>
    <definedName name="Margin">#REF!</definedName>
    <definedName name="mat" localSheetId="2">#REF!</definedName>
    <definedName name="mat" localSheetId="1">#REF!</definedName>
    <definedName name="mat" localSheetId="3">#REF!</definedName>
    <definedName name="mat" localSheetId="5">#REF!</definedName>
    <definedName name="mat" localSheetId="6">#REF!</definedName>
    <definedName name="mat">#REF!</definedName>
    <definedName name="May" localSheetId="2">#REF!</definedName>
    <definedName name="May" localSheetId="1">#REF!</definedName>
    <definedName name="May" localSheetId="3">#REF!</definedName>
    <definedName name="May" localSheetId="5">#REF!</definedName>
    <definedName name="May" localSheetId="6">#REF!</definedName>
    <definedName name="May">#REF!</definedName>
    <definedName name="MAYDATA?" localSheetId="2">#REF!</definedName>
    <definedName name="MAYDATA?" localSheetId="1">#REF!</definedName>
    <definedName name="MAYDATA?" localSheetId="3">#REF!</definedName>
    <definedName name="MAYDATA?" localSheetId="5">#REF!</definedName>
    <definedName name="MAYDATA?" localSheetId="6">#REF!</definedName>
    <definedName name="MAYDATA?">#REF!</definedName>
    <definedName name="MDEVISES" localSheetId="2">#REF!,#REF!,#REF!</definedName>
    <definedName name="MDEVISES" localSheetId="1">#REF!,#REF!,#REF!</definedName>
    <definedName name="MDEVISES" localSheetId="3">#REF!,#REF!,#REF!</definedName>
    <definedName name="MDEVISES" localSheetId="5">#REF!,#REF!,#REF!</definedName>
    <definedName name="MDEVISES" localSheetId="6">#REF!,#REF!,#REF!</definedName>
    <definedName name="MDEVISES">#REF!,#REF!,#REF!</definedName>
    <definedName name="me">"Button 5"</definedName>
    <definedName name="MethodAcc" localSheetId="2">#REF!</definedName>
    <definedName name="MethodAcc" localSheetId="1">#REF!</definedName>
    <definedName name="MethodAcc" localSheetId="3">#REF!</definedName>
    <definedName name="MethodAcc" localSheetId="5">#REF!</definedName>
    <definedName name="MethodAcc" localSheetId="6">#REF!</definedName>
    <definedName name="MethodAcc">#REF!</definedName>
    <definedName name="MFRF" localSheetId="2">#REF!,#REF!,#REF!,#REF!,#REF!</definedName>
    <definedName name="MFRF" localSheetId="1">#REF!,#REF!,#REF!,#REF!,#REF!</definedName>
    <definedName name="MFRF" localSheetId="3">#REF!,#REF!,#REF!,#REF!,#REF!</definedName>
    <definedName name="MFRF" localSheetId="5">#REF!,#REF!,#REF!,#REF!,#REF!</definedName>
    <definedName name="MFRF" localSheetId="6">#REF!,#REF!,#REF!,#REF!,#REF!</definedName>
    <definedName name="MFRF">#REF!,#REF!,#REF!,#REF!,#REF!</definedName>
    <definedName name="MHELP" localSheetId="2">#REF!</definedName>
    <definedName name="MHELP" localSheetId="1">#REF!</definedName>
    <definedName name="MHELP" localSheetId="3">#REF!</definedName>
    <definedName name="MHELP" localSheetId="5">#REF!</definedName>
    <definedName name="MHELP" localSheetId="6">#REF!</definedName>
    <definedName name="MHELP">#REF!</definedName>
    <definedName name="min_licensefee_s1" localSheetId="2">#REF!</definedName>
    <definedName name="min_licensefee_s1" localSheetId="1">#REF!</definedName>
    <definedName name="min_licensefee_s1" localSheetId="3">#REF!</definedName>
    <definedName name="min_licensefee_s1" localSheetId="5">#REF!</definedName>
    <definedName name="min_licensefee_s1" localSheetId="6">#REF!</definedName>
    <definedName name="min_licensefee_s1">#REF!</definedName>
    <definedName name="min_licensefee_s2" localSheetId="2">#REF!</definedName>
    <definedName name="min_licensefee_s2" localSheetId="1">#REF!</definedName>
    <definedName name="min_licensefee_s2" localSheetId="3">#REF!</definedName>
    <definedName name="min_licensefee_s2" localSheetId="5">#REF!</definedName>
    <definedName name="min_licensefee_s2" localSheetId="6">#REF!</definedName>
    <definedName name="min_licensefee_s2">#REF!</definedName>
    <definedName name="mkl" localSheetId="2">#REF!</definedName>
    <definedName name="mkl" localSheetId="1">#REF!</definedName>
    <definedName name="mkl" localSheetId="3">#REF!</definedName>
    <definedName name="mkl" localSheetId="5">#REF!</definedName>
    <definedName name="mkl" localSheetId="6">#REF!</definedName>
    <definedName name="mkl">#REF!</definedName>
    <definedName name="mkmk" localSheetId="2">#REF!</definedName>
    <definedName name="mkmk" localSheetId="1">#REF!</definedName>
    <definedName name="mkmk" localSheetId="3">#REF!</definedName>
    <definedName name="mkmk" localSheetId="5">#REF!</definedName>
    <definedName name="mkmk" localSheetId="6">#REF!</definedName>
    <definedName name="mkmk">#REF!</definedName>
    <definedName name="mktcoveredph1a" localSheetId="2">#REF!</definedName>
    <definedName name="mktcoveredph1a" localSheetId="1">#REF!</definedName>
    <definedName name="mktcoveredph1a" localSheetId="3">#REF!</definedName>
    <definedName name="mktcoveredph1a" localSheetId="5">#REF!</definedName>
    <definedName name="mktcoveredph1a" localSheetId="6">#REF!</definedName>
    <definedName name="mktcoveredph1a">#REF!</definedName>
    <definedName name="mktcoveredph1b" localSheetId="2">#REF!</definedName>
    <definedName name="mktcoveredph1b" localSheetId="1">#REF!</definedName>
    <definedName name="mktcoveredph1b" localSheetId="3">#REF!</definedName>
    <definedName name="mktcoveredph1b" localSheetId="5">#REF!</definedName>
    <definedName name="mktcoveredph1b" localSheetId="6">#REF!</definedName>
    <definedName name="mktcoveredph1b">#REF!</definedName>
    <definedName name="mktcoveredph2" localSheetId="2">#REF!</definedName>
    <definedName name="mktcoveredph2" localSheetId="1">#REF!</definedName>
    <definedName name="mktcoveredph2" localSheetId="3">#REF!</definedName>
    <definedName name="mktcoveredph2" localSheetId="5">#REF!</definedName>
    <definedName name="mktcoveredph2" localSheetId="6">#REF!</definedName>
    <definedName name="mktcoveredph2">#REF!</definedName>
    <definedName name="MM" localSheetId="2">#REF!</definedName>
    <definedName name="MM" localSheetId="1">#REF!</definedName>
    <definedName name="MM" localSheetId="3">#REF!</definedName>
    <definedName name="MM" localSheetId="5">#REF!</definedName>
    <definedName name="MM" localSheetId="6">#REF!</definedName>
    <definedName name="MM">#REF!</definedName>
    <definedName name="MMLB_SO_DECEMBE" localSheetId="2">#REF!</definedName>
    <definedName name="MMLB_SO_DECEMBE" localSheetId="1">#REF!</definedName>
    <definedName name="MMLB_SO_DECEMBE" localSheetId="3">#REF!</definedName>
    <definedName name="MMLB_SO_DECEMBE" localSheetId="5">#REF!</definedName>
    <definedName name="MMLB_SO_DECEMBE" localSheetId="6">#REF!</definedName>
    <definedName name="MMLB_SO_DECEMBE">#REF!</definedName>
    <definedName name="MMLB_SO_FEBRUAR" localSheetId="2">#REF!</definedName>
    <definedName name="MMLB_SO_FEBRUAR" localSheetId="1">#REF!</definedName>
    <definedName name="MMLB_SO_FEBRUAR" localSheetId="3">#REF!</definedName>
    <definedName name="MMLB_SO_FEBRUAR" localSheetId="5">#REF!</definedName>
    <definedName name="MMLB_SO_FEBRUAR" localSheetId="6">#REF!</definedName>
    <definedName name="MMLB_SO_FEBRUAR">#REF!</definedName>
    <definedName name="MMLB_SO_JANUARY" localSheetId="2">#REF!</definedName>
    <definedName name="MMLB_SO_JANUARY" localSheetId="1">#REF!</definedName>
    <definedName name="MMLB_SO_JANUARY" localSheetId="3">#REF!</definedName>
    <definedName name="MMLB_SO_JANUARY" localSheetId="5">#REF!</definedName>
    <definedName name="MMLB_SO_JANUARY" localSheetId="6">#REF!</definedName>
    <definedName name="MMLB_SO_JANUARY">#REF!</definedName>
    <definedName name="MMLB_SO_NOVEMBE" localSheetId="2">#REF!</definedName>
    <definedName name="MMLB_SO_NOVEMBE" localSheetId="1">#REF!</definedName>
    <definedName name="MMLB_SO_NOVEMBE" localSheetId="3">#REF!</definedName>
    <definedName name="MMLB_SO_NOVEMBE" localSheetId="5">#REF!</definedName>
    <definedName name="MMLB_SO_NOVEMBE" localSheetId="6">#REF!</definedName>
    <definedName name="MMLB_SO_NOVEMBE">#REF!</definedName>
    <definedName name="MMLB_SO_OCTOBER" localSheetId="2">#REF!</definedName>
    <definedName name="MMLB_SO_OCTOBER" localSheetId="1">#REF!</definedName>
    <definedName name="MMLB_SO_OCTOBER" localSheetId="3">#REF!</definedName>
    <definedName name="MMLB_SO_OCTOBER" localSheetId="5">#REF!</definedName>
    <definedName name="MMLB_SO_OCTOBER" localSheetId="6">#REF!</definedName>
    <definedName name="MMLB_SO_OCTOBER">#REF!</definedName>
    <definedName name="MMLB_SO_SEPTEMB" localSheetId="2">#REF!</definedName>
    <definedName name="MMLB_SO_SEPTEMB" localSheetId="1">#REF!</definedName>
    <definedName name="MMLB_SO_SEPTEMB" localSheetId="3">#REF!</definedName>
    <definedName name="MMLB_SO_SEPTEMB" localSheetId="5">#REF!</definedName>
    <definedName name="MMLB_SO_SEPTEMB" localSheetId="6">#REF!</definedName>
    <definedName name="MMLB_SO_SEPTEMB">#REF!</definedName>
    <definedName name="MMLB_SOLD_ANNUA" localSheetId="2">#REF!</definedName>
    <definedName name="MMLB_SOLD_ANNUA" localSheetId="1">#REF!</definedName>
    <definedName name="MMLB_SOLD_ANNUA" localSheetId="3">#REF!</definedName>
    <definedName name="MMLB_SOLD_ANNUA" localSheetId="5">#REF!</definedName>
    <definedName name="MMLB_SOLD_ANNUA" localSheetId="6">#REF!</definedName>
    <definedName name="MMLB_SOLD_ANNUA">#REF!</definedName>
    <definedName name="MMLB_SOLD_APRIL" localSheetId="2">#REF!</definedName>
    <definedName name="MMLB_SOLD_APRIL" localSheetId="1">#REF!</definedName>
    <definedName name="MMLB_SOLD_APRIL" localSheetId="3">#REF!</definedName>
    <definedName name="MMLB_SOLD_APRIL" localSheetId="5">#REF!</definedName>
    <definedName name="MMLB_SOLD_APRIL" localSheetId="6">#REF!</definedName>
    <definedName name="MMLB_SOLD_APRIL">#REF!</definedName>
    <definedName name="MMLB_SOLD_AUGUS" localSheetId="2">#REF!</definedName>
    <definedName name="MMLB_SOLD_AUGUS" localSheetId="1">#REF!</definedName>
    <definedName name="MMLB_SOLD_AUGUS" localSheetId="3">#REF!</definedName>
    <definedName name="MMLB_SOLD_AUGUS" localSheetId="5">#REF!</definedName>
    <definedName name="MMLB_SOLD_AUGUS" localSheetId="6">#REF!</definedName>
    <definedName name="MMLB_SOLD_AUGUS">#REF!</definedName>
    <definedName name="MMLB_SOLD_JULY" localSheetId="2">#REF!</definedName>
    <definedName name="MMLB_SOLD_JULY" localSheetId="1">#REF!</definedName>
    <definedName name="MMLB_SOLD_JULY" localSheetId="3">#REF!</definedName>
    <definedName name="MMLB_SOLD_JULY" localSheetId="5">#REF!</definedName>
    <definedName name="MMLB_SOLD_JULY" localSheetId="6">#REF!</definedName>
    <definedName name="MMLB_SOLD_JULY">#REF!</definedName>
    <definedName name="MMLB_SOLD_JUNE" localSheetId="2">#REF!</definedName>
    <definedName name="MMLB_SOLD_JUNE" localSheetId="1">#REF!</definedName>
    <definedName name="MMLB_SOLD_JUNE" localSheetId="3">#REF!</definedName>
    <definedName name="MMLB_SOLD_JUNE" localSheetId="5">#REF!</definedName>
    <definedName name="MMLB_SOLD_JUNE" localSheetId="6">#REF!</definedName>
    <definedName name="MMLB_SOLD_JUNE">#REF!</definedName>
    <definedName name="MMLB_SOLD_MARCH" localSheetId="2">#REF!</definedName>
    <definedName name="MMLB_SOLD_MARCH" localSheetId="1">#REF!</definedName>
    <definedName name="MMLB_SOLD_MARCH" localSheetId="3">#REF!</definedName>
    <definedName name="MMLB_SOLD_MARCH" localSheetId="5">#REF!</definedName>
    <definedName name="MMLB_SOLD_MARCH" localSheetId="6">#REF!</definedName>
    <definedName name="MMLB_SOLD_MARCH">#REF!</definedName>
    <definedName name="MMLB_SOLD_MAY" localSheetId="2">#REF!</definedName>
    <definedName name="MMLB_SOLD_MAY" localSheetId="1">#REF!</definedName>
    <definedName name="MMLB_SOLD_MAY" localSheetId="3">#REF!</definedName>
    <definedName name="MMLB_SOLD_MAY" localSheetId="5">#REF!</definedName>
    <definedName name="MMLB_SOLD_MAY" localSheetId="6">#REF!</definedName>
    <definedName name="MMLB_SOLD_MAY">#REF!</definedName>
    <definedName name="mmm" localSheetId="2">#REF!</definedName>
    <definedName name="mmm" localSheetId="1">#REF!</definedName>
    <definedName name="mmm" localSheetId="3">#REF!</definedName>
    <definedName name="mmm" localSheetId="5">#REF!</definedName>
    <definedName name="mmm" localSheetId="6">#REF!</definedName>
    <definedName name="mmm">#REF!</definedName>
    <definedName name="Module" localSheetId="2">#REF!</definedName>
    <definedName name="Module" localSheetId="1">#REF!</definedName>
    <definedName name="Module" localSheetId="3">#REF!</definedName>
    <definedName name="Module" localSheetId="5">#REF!</definedName>
    <definedName name="Module" localSheetId="6">#REF!</definedName>
    <definedName name="Module">#REF!</definedName>
    <definedName name="MONTH" localSheetId="2">#REF!</definedName>
    <definedName name="MONTH" localSheetId="1">#REF!</definedName>
    <definedName name="MONTH" localSheetId="3">#REF!</definedName>
    <definedName name="MONTH" localSheetId="5">#REF!</definedName>
    <definedName name="MONTH" localSheetId="6">#REF!</definedName>
    <definedName name="MONTH">#REF!</definedName>
    <definedName name="monthinr" localSheetId="2">#REF!</definedName>
    <definedName name="monthinr" localSheetId="1">#REF!</definedName>
    <definedName name="monthinr" localSheetId="3">#REF!</definedName>
    <definedName name="monthinr" localSheetId="5">#REF!</definedName>
    <definedName name="monthinr" localSheetId="6">#REF!</definedName>
    <definedName name="monthinr">#REF!</definedName>
    <definedName name="monthusd" localSheetId="2">#REF!</definedName>
    <definedName name="monthusd" localSheetId="1">#REF!</definedName>
    <definedName name="monthusd" localSheetId="3">#REF!</definedName>
    <definedName name="monthusd" localSheetId="5">#REF!</definedName>
    <definedName name="monthusd" localSheetId="6">#REF!</definedName>
    <definedName name="monthusd">#REF!</definedName>
    <definedName name="MStVal" localSheetId="2">#REF!</definedName>
    <definedName name="MStVal" localSheetId="1">#REF!</definedName>
    <definedName name="MStVal" localSheetId="3">#REF!</definedName>
    <definedName name="MStVal" localSheetId="5">#REF!</definedName>
    <definedName name="MStVal" localSheetId="6">#REF!</definedName>
    <definedName name="MStVal">#REF!</definedName>
    <definedName name="MSVPP_FT1" localSheetId="2">#REF!</definedName>
    <definedName name="MSVPP_FT1" localSheetId="1">#REF!</definedName>
    <definedName name="MSVPP_FT1" localSheetId="3">#REF!</definedName>
    <definedName name="MSVPP_FT1" localSheetId="5">#REF!</definedName>
    <definedName name="MSVPP_FT1" localSheetId="6">#REF!</definedName>
    <definedName name="MSVPP_FT1">#REF!</definedName>
    <definedName name="MSVPP_T1" localSheetId="2">#REF!</definedName>
    <definedName name="MSVPP_T1" localSheetId="1">#REF!</definedName>
    <definedName name="MSVPP_T1" localSheetId="3">#REF!</definedName>
    <definedName name="MSVPP_T1" localSheetId="5">#REF!</definedName>
    <definedName name="MSVPP_T1" localSheetId="6">#REF!</definedName>
    <definedName name="MSVPP_T1">#REF!</definedName>
    <definedName name="msy5onwards" localSheetId="2">#REF!</definedName>
    <definedName name="msy5onwards" localSheetId="1">#REF!</definedName>
    <definedName name="msy5onwards" localSheetId="3">#REF!</definedName>
    <definedName name="msy5onwards" localSheetId="5">#REF!</definedName>
    <definedName name="msy5onwards" localSheetId="6">#REF!</definedName>
    <definedName name="msy5onwards">#REF!</definedName>
    <definedName name="mth" localSheetId="2">#REF!</definedName>
    <definedName name="mth" localSheetId="1">#REF!</definedName>
    <definedName name="mth" localSheetId="3">#REF!</definedName>
    <definedName name="mth" localSheetId="5">#REF!</definedName>
    <definedName name="mth" localSheetId="6">#REF!</definedName>
    <definedName name="mth">#REF!</definedName>
    <definedName name="mum_num_bqs" localSheetId="2">#REF!</definedName>
    <definedName name="mum_num_bqs" localSheetId="1">#REF!</definedName>
    <definedName name="mum_num_bqs" localSheetId="3">#REF!</definedName>
    <definedName name="mum_num_bqs" localSheetId="5">#REF!</definedName>
    <definedName name="mum_num_bqs" localSheetId="6">#REF!</definedName>
    <definedName name="mum_num_bqs">#REF!</definedName>
    <definedName name="mum_num_hoarding" localSheetId="2">#REF!</definedName>
    <definedName name="mum_num_hoarding" localSheetId="1">#REF!</definedName>
    <definedName name="mum_num_hoarding" localSheetId="3">#REF!</definedName>
    <definedName name="mum_num_hoarding" localSheetId="5">#REF!</definedName>
    <definedName name="mum_num_hoarding" localSheetId="6">#REF!</definedName>
    <definedName name="mum_num_hoarding">#REF!</definedName>
    <definedName name="mum_num_kiosk" localSheetId="2">#REF!</definedName>
    <definedName name="mum_num_kiosk" localSheetId="1">#REF!</definedName>
    <definedName name="mum_num_kiosk" localSheetId="3">#REF!</definedName>
    <definedName name="mum_num_kiosk" localSheetId="5">#REF!</definedName>
    <definedName name="mum_num_kiosk" localSheetId="6">#REF!</definedName>
    <definedName name="mum_num_kiosk">#REF!</definedName>
    <definedName name="mum_num_utility" localSheetId="2">#REF!</definedName>
    <definedName name="mum_num_utility" localSheetId="1">#REF!</definedName>
    <definedName name="mum_num_utility" localSheetId="3">#REF!</definedName>
    <definedName name="mum_num_utility" localSheetId="5">#REF!</definedName>
    <definedName name="mum_num_utility" localSheetId="6">#REF!</definedName>
    <definedName name="mum_num_utility">#REF!</definedName>
    <definedName name="mum_occrate_bqs" localSheetId="2">#REF!</definedName>
    <definedName name="mum_occrate_bqs" localSheetId="1">#REF!</definedName>
    <definedName name="mum_occrate_bqs" localSheetId="3">#REF!</definedName>
    <definedName name="mum_occrate_bqs" localSheetId="5">#REF!</definedName>
    <definedName name="mum_occrate_bqs" localSheetId="6">#REF!</definedName>
    <definedName name="mum_occrate_bqs">#REF!</definedName>
    <definedName name="mum_occrate_hoarding" localSheetId="2">#REF!</definedName>
    <definedName name="mum_occrate_hoarding" localSheetId="1">#REF!</definedName>
    <definedName name="mum_occrate_hoarding" localSheetId="3">#REF!</definedName>
    <definedName name="mum_occrate_hoarding" localSheetId="5">#REF!</definedName>
    <definedName name="mum_occrate_hoarding" localSheetId="6">#REF!</definedName>
    <definedName name="mum_occrate_hoarding">#REF!</definedName>
    <definedName name="mum_occrate_kiosk" localSheetId="2">#REF!</definedName>
    <definedName name="mum_occrate_kiosk" localSheetId="1">#REF!</definedName>
    <definedName name="mum_occrate_kiosk" localSheetId="3">#REF!</definedName>
    <definedName name="mum_occrate_kiosk" localSheetId="5">#REF!</definedName>
    <definedName name="mum_occrate_kiosk" localSheetId="6">#REF!</definedName>
    <definedName name="mum_occrate_kiosk">#REF!</definedName>
    <definedName name="mum_occrate_utility" localSheetId="2">#REF!</definedName>
    <definedName name="mum_occrate_utility" localSheetId="1">#REF!</definedName>
    <definedName name="mum_occrate_utility" localSheetId="3">#REF!</definedName>
    <definedName name="mum_occrate_utility" localSheetId="5">#REF!</definedName>
    <definedName name="mum_occrate_utility" localSheetId="6">#REF!</definedName>
    <definedName name="mum_occrate_utility">#REF!</definedName>
    <definedName name="Murty" localSheetId="2">#REF!</definedName>
    <definedName name="Murty" localSheetId="1">#REF!</definedName>
    <definedName name="Murty" localSheetId="3">#REF!</definedName>
    <definedName name="Murty" localSheetId="5">#REF!</definedName>
    <definedName name="Murty" localSheetId="6">#REF!</definedName>
    <definedName name="Murty">#REF!</definedName>
    <definedName name="MWScale" localSheetId="2">#REF!</definedName>
    <definedName name="MWScale" localSheetId="1">#REF!</definedName>
    <definedName name="MWScale" localSheetId="3">#REF!</definedName>
    <definedName name="MWScale" localSheetId="5">#REF!</definedName>
    <definedName name="MWScale" localSheetId="6">#REF!</definedName>
    <definedName name="MWScale">#REF!</definedName>
    <definedName name="Name3" localSheetId="2">#REF!</definedName>
    <definedName name="Name3" localSheetId="1">#REF!</definedName>
    <definedName name="Name3" localSheetId="3">#REF!</definedName>
    <definedName name="Name3" localSheetId="5">#REF!</definedName>
    <definedName name="Name3" localSheetId="6">#REF!</definedName>
    <definedName name="Name3">#REF!</definedName>
    <definedName name="NATP" localSheetId="2">#REF!</definedName>
    <definedName name="NATP" localSheetId="1">#REF!</definedName>
    <definedName name="NATP" localSheetId="3">#REF!</definedName>
    <definedName name="NATP" localSheetId="5">#REF!</definedName>
    <definedName name="NATP" localSheetId="6">#REF!</definedName>
    <definedName name="NATP">#REF!</definedName>
    <definedName name="NatureBusiness" localSheetId="2">#REF!</definedName>
    <definedName name="NatureBusiness" localSheetId="1">#REF!</definedName>
    <definedName name="NatureBusiness" localSheetId="3">#REF!</definedName>
    <definedName name="NatureBusiness" localSheetId="5">#REF!</definedName>
    <definedName name="NatureBusiness" localSheetId="6">#REF!</definedName>
    <definedName name="NatureBusiness">#REF!</definedName>
    <definedName name="NBS2A">#N/A</definedName>
    <definedName name="NBS2B">#N/A</definedName>
    <definedName name="NBSA1A">#N/A</definedName>
    <definedName name="NBSA1B">#N/A</definedName>
    <definedName name="NBSL1A">#N/A</definedName>
    <definedName name="NBSL1B">#N/A</definedName>
    <definedName name="New" localSheetId="2">#REF!</definedName>
    <definedName name="New" localSheetId="1">#REF!</definedName>
    <definedName name="New" localSheetId="3">#REF!</definedName>
    <definedName name="New" localSheetId="5">#REF!</definedName>
    <definedName name="New" localSheetId="6">#REF!</definedName>
    <definedName name="New">#REF!</definedName>
    <definedName name="new_num_r1" localSheetId="2">#REF!</definedName>
    <definedName name="new_num_r1" localSheetId="1">#REF!</definedName>
    <definedName name="new_num_r1" localSheetId="3">#REF!</definedName>
    <definedName name="new_num_r1" localSheetId="5">#REF!</definedName>
    <definedName name="new_num_r1" localSheetId="6">#REF!</definedName>
    <definedName name="new_num_r1">#REF!</definedName>
    <definedName name="new_num_s1" localSheetId="2">#REF!</definedName>
    <definedName name="new_num_s1" localSheetId="1">#REF!</definedName>
    <definedName name="new_num_s1" localSheetId="3">#REF!</definedName>
    <definedName name="new_num_s1" localSheetId="5">#REF!</definedName>
    <definedName name="new_num_s1" localSheetId="6">#REF!</definedName>
    <definedName name="new_num_s1">#REF!</definedName>
    <definedName name="new_num_s2" localSheetId="2">#REF!</definedName>
    <definedName name="new_num_s2" localSheetId="1">#REF!</definedName>
    <definedName name="new_num_s2" localSheetId="3">#REF!</definedName>
    <definedName name="new_num_s2" localSheetId="5">#REF!</definedName>
    <definedName name="new_num_s2" localSheetId="6">#REF!</definedName>
    <definedName name="new_num_s2">#REF!</definedName>
    <definedName name="new_num_sf1" localSheetId="2">#REF!</definedName>
    <definedName name="new_num_sf1" localSheetId="1">#REF!</definedName>
    <definedName name="new_num_sf1" localSheetId="3">#REF!</definedName>
    <definedName name="new_num_sf1" localSheetId="5">#REF!</definedName>
    <definedName name="new_num_sf1" localSheetId="6">#REF!</definedName>
    <definedName name="new_num_sf1">#REF!</definedName>
    <definedName name="new_num_sf2" localSheetId="2">#REF!</definedName>
    <definedName name="new_num_sf2" localSheetId="1">#REF!</definedName>
    <definedName name="new_num_sf2" localSheetId="3">#REF!</definedName>
    <definedName name="new_num_sf2" localSheetId="5">#REF!</definedName>
    <definedName name="new_num_sf2" localSheetId="6">#REF!</definedName>
    <definedName name="new_num_sf2">#REF!</definedName>
    <definedName name="new_num_sf3" localSheetId="2">#REF!</definedName>
    <definedName name="new_num_sf3" localSheetId="1">#REF!</definedName>
    <definedName name="new_num_sf3" localSheetId="3">#REF!</definedName>
    <definedName name="new_num_sf3" localSheetId="5">#REF!</definedName>
    <definedName name="new_num_sf3" localSheetId="6">#REF!</definedName>
    <definedName name="new_num_sf3">#REF!</definedName>
    <definedName name="new_occrate_r1" localSheetId="2">#REF!</definedName>
    <definedName name="new_occrate_r1" localSheetId="1">#REF!</definedName>
    <definedName name="new_occrate_r1" localSheetId="3">#REF!</definedName>
    <definedName name="new_occrate_r1" localSheetId="5">#REF!</definedName>
    <definedName name="new_occrate_r1" localSheetId="6">#REF!</definedName>
    <definedName name="new_occrate_r1">#REF!</definedName>
    <definedName name="new_occrate_s1" localSheetId="2">#REF!</definedName>
    <definedName name="new_occrate_s1" localSheetId="1">#REF!</definedName>
    <definedName name="new_occrate_s1" localSheetId="3">#REF!</definedName>
    <definedName name="new_occrate_s1" localSheetId="5">#REF!</definedName>
    <definedName name="new_occrate_s1" localSheetId="6">#REF!</definedName>
    <definedName name="new_occrate_s1">#REF!</definedName>
    <definedName name="new_occrate_s2" localSheetId="2">#REF!</definedName>
    <definedName name="new_occrate_s2" localSheetId="1">#REF!</definedName>
    <definedName name="new_occrate_s2" localSheetId="3">#REF!</definedName>
    <definedName name="new_occrate_s2" localSheetId="5">#REF!</definedName>
    <definedName name="new_occrate_s2" localSheetId="6">#REF!</definedName>
    <definedName name="new_occrate_s2">#REF!</definedName>
    <definedName name="new_occrate_sf1" localSheetId="2">#REF!</definedName>
    <definedName name="new_occrate_sf1" localSheetId="1">#REF!</definedName>
    <definedName name="new_occrate_sf1" localSheetId="3">#REF!</definedName>
    <definedName name="new_occrate_sf1" localSheetId="5">#REF!</definedName>
    <definedName name="new_occrate_sf1" localSheetId="6">#REF!</definedName>
    <definedName name="new_occrate_sf1">#REF!</definedName>
    <definedName name="new_occrate_sf2" localSheetId="2">#REF!</definedName>
    <definedName name="new_occrate_sf2" localSheetId="1">#REF!</definedName>
    <definedName name="new_occrate_sf2" localSheetId="3">#REF!</definedName>
    <definedName name="new_occrate_sf2" localSheetId="5">#REF!</definedName>
    <definedName name="new_occrate_sf2" localSheetId="6">#REF!</definedName>
    <definedName name="new_occrate_sf2">#REF!</definedName>
    <definedName name="new_occrate_sf3" localSheetId="2">#REF!</definedName>
    <definedName name="new_occrate_sf3" localSheetId="1">#REF!</definedName>
    <definedName name="new_occrate_sf3" localSheetId="3">#REF!</definedName>
    <definedName name="new_occrate_sf3" localSheetId="5">#REF!</definedName>
    <definedName name="new_occrate_sf3" localSheetId="6">#REF!</definedName>
    <definedName name="new_occrate_sf3">#REF!</definedName>
    <definedName name="newmar99" localSheetId="2">#REF!</definedName>
    <definedName name="newmar99" localSheetId="1">#REF!</definedName>
    <definedName name="newmar99" localSheetId="3">#REF!</definedName>
    <definedName name="newmar99" localSheetId="5">#REF!</definedName>
    <definedName name="newmar99" localSheetId="6">#REF!</definedName>
    <definedName name="newmar99">#REF!</definedName>
    <definedName name="newpast" localSheetId="2">#REF!</definedName>
    <definedName name="newpast" localSheetId="1">#REF!</definedName>
    <definedName name="newpast" localSheetId="3">#REF!</definedName>
    <definedName name="newpast" localSheetId="5">#REF!</definedName>
    <definedName name="newpast" localSheetId="6">#REF!</definedName>
    <definedName name="newpast">#REF!</definedName>
    <definedName name="nldvoicegrowthyr1" localSheetId="2">#REF!</definedName>
    <definedName name="nldvoicegrowthyr1" localSheetId="1">#REF!</definedName>
    <definedName name="nldvoicegrowthyr1" localSheetId="3">#REF!</definedName>
    <definedName name="nldvoicegrowthyr1" localSheetId="5">#REF!</definedName>
    <definedName name="nldvoicegrowthyr1" localSheetId="6">#REF!</definedName>
    <definedName name="nldvoicegrowthyr1">#REF!</definedName>
    <definedName name="nldvoicegrowthyr2" localSheetId="2">#REF!</definedName>
    <definedName name="nldvoicegrowthyr2" localSheetId="1">#REF!</definedName>
    <definedName name="nldvoicegrowthyr2" localSheetId="3">#REF!</definedName>
    <definedName name="nldvoicegrowthyr2" localSheetId="5">#REF!</definedName>
    <definedName name="nldvoicegrowthyr2" localSheetId="6">#REF!</definedName>
    <definedName name="nldvoicegrowthyr2">#REF!</definedName>
    <definedName name="nldvoicegrowthyr3" localSheetId="2">#REF!</definedName>
    <definedName name="nldvoicegrowthyr3" localSheetId="1">#REF!</definedName>
    <definedName name="nldvoicegrowthyr3" localSheetId="3">#REF!</definedName>
    <definedName name="nldvoicegrowthyr3" localSheetId="5">#REF!</definedName>
    <definedName name="nldvoicegrowthyr3" localSheetId="6">#REF!</definedName>
    <definedName name="nldvoicegrowthyr3">#REF!</definedName>
    <definedName name="nldvoicegrowthyr4" localSheetId="2">#REF!</definedName>
    <definedName name="nldvoicegrowthyr4" localSheetId="1">#REF!</definedName>
    <definedName name="nldvoicegrowthyr4" localSheetId="3">#REF!</definedName>
    <definedName name="nldvoicegrowthyr4" localSheetId="5">#REF!</definedName>
    <definedName name="nldvoicegrowthyr4" localSheetId="6">#REF!</definedName>
    <definedName name="nldvoicegrowthyr4">#REF!</definedName>
    <definedName name="nldvoicegrowthyr5onwards" localSheetId="2">#REF!</definedName>
    <definedName name="nldvoicegrowthyr5onwards" localSheetId="1">#REF!</definedName>
    <definedName name="nldvoicegrowthyr5onwards" localSheetId="3">#REF!</definedName>
    <definedName name="nldvoicegrowthyr5onwards" localSheetId="5">#REF!</definedName>
    <definedName name="nldvoicegrowthyr5onwards" localSheetId="6">#REF!</definedName>
    <definedName name="nldvoicegrowthyr5onwards">#REF!</definedName>
    <definedName name="NMWH_ANNUAL" localSheetId="2">#REF!</definedName>
    <definedName name="NMWH_ANNUAL" localSheetId="1">#REF!</definedName>
    <definedName name="NMWH_ANNUAL" localSheetId="3">#REF!</definedName>
    <definedName name="NMWH_ANNUAL" localSheetId="5">#REF!</definedName>
    <definedName name="NMWH_ANNUAL" localSheetId="6">#REF!</definedName>
    <definedName name="NMWH_ANNUAL">#REF!</definedName>
    <definedName name="NMWH_APRIL" localSheetId="2">#REF!</definedName>
    <definedName name="NMWH_APRIL" localSheetId="1">#REF!</definedName>
    <definedName name="NMWH_APRIL" localSheetId="3">#REF!</definedName>
    <definedName name="NMWH_APRIL" localSheetId="5">#REF!</definedName>
    <definedName name="NMWH_APRIL" localSheetId="6">#REF!</definedName>
    <definedName name="NMWH_APRIL">#REF!</definedName>
    <definedName name="NMWH_AUGUST" localSheetId="2">#REF!</definedName>
    <definedName name="NMWH_AUGUST" localSheetId="1">#REF!</definedName>
    <definedName name="NMWH_AUGUST" localSheetId="3">#REF!</definedName>
    <definedName name="NMWH_AUGUST" localSheetId="5">#REF!</definedName>
    <definedName name="NMWH_AUGUST" localSheetId="6">#REF!</definedName>
    <definedName name="NMWH_AUGUST">#REF!</definedName>
    <definedName name="NMWH_DECEMBER" localSheetId="2">#REF!</definedName>
    <definedName name="NMWH_DECEMBER" localSheetId="1">#REF!</definedName>
    <definedName name="NMWH_DECEMBER" localSheetId="3">#REF!</definedName>
    <definedName name="NMWH_DECEMBER" localSheetId="5">#REF!</definedName>
    <definedName name="NMWH_DECEMBER" localSheetId="6">#REF!</definedName>
    <definedName name="NMWH_DECEMBER">#REF!</definedName>
    <definedName name="NMWH_FEBRUARY" localSheetId="2">#REF!</definedName>
    <definedName name="NMWH_FEBRUARY" localSheetId="1">#REF!</definedName>
    <definedName name="NMWH_FEBRUARY" localSheetId="3">#REF!</definedName>
    <definedName name="NMWH_FEBRUARY" localSheetId="5">#REF!</definedName>
    <definedName name="NMWH_FEBRUARY" localSheetId="6">#REF!</definedName>
    <definedName name="NMWH_FEBRUARY">#REF!</definedName>
    <definedName name="NMWH_JANUARY" localSheetId="2">#REF!</definedName>
    <definedName name="NMWH_JANUARY" localSheetId="1">#REF!</definedName>
    <definedName name="NMWH_JANUARY" localSheetId="3">#REF!</definedName>
    <definedName name="NMWH_JANUARY" localSheetId="5">#REF!</definedName>
    <definedName name="NMWH_JANUARY" localSheetId="6">#REF!</definedName>
    <definedName name="NMWH_JANUARY">#REF!</definedName>
    <definedName name="NMWH_JULY" localSheetId="2">#REF!</definedName>
    <definedName name="NMWH_JULY" localSheetId="1">#REF!</definedName>
    <definedName name="NMWH_JULY" localSheetId="3">#REF!</definedName>
    <definedName name="NMWH_JULY" localSheetId="5">#REF!</definedName>
    <definedName name="NMWH_JULY" localSheetId="6">#REF!</definedName>
    <definedName name="NMWH_JULY">#REF!</definedName>
    <definedName name="NMWH_JUNE" localSheetId="2">#REF!</definedName>
    <definedName name="NMWH_JUNE" localSheetId="1">#REF!</definedName>
    <definedName name="NMWH_JUNE" localSheetId="3">#REF!</definedName>
    <definedName name="NMWH_JUNE" localSheetId="5">#REF!</definedName>
    <definedName name="NMWH_JUNE" localSheetId="6">#REF!</definedName>
    <definedName name="NMWH_JUNE">#REF!</definedName>
    <definedName name="NMWH_MARCH" localSheetId="2">#REF!</definedName>
    <definedName name="NMWH_MARCH" localSheetId="1">#REF!</definedName>
    <definedName name="NMWH_MARCH" localSheetId="3">#REF!</definedName>
    <definedName name="NMWH_MARCH" localSheetId="5">#REF!</definedName>
    <definedName name="NMWH_MARCH" localSheetId="6">#REF!</definedName>
    <definedName name="NMWH_MARCH">#REF!</definedName>
    <definedName name="NMWH_MAY" localSheetId="2">#REF!</definedName>
    <definedName name="NMWH_MAY" localSheetId="1">#REF!</definedName>
    <definedName name="NMWH_MAY" localSheetId="3">#REF!</definedName>
    <definedName name="NMWH_MAY" localSheetId="5">#REF!</definedName>
    <definedName name="NMWH_MAY" localSheetId="6">#REF!</definedName>
    <definedName name="NMWH_MAY">#REF!</definedName>
    <definedName name="NMWH_NOVEMBER" localSheetId="2">#REF!</definedName>
    <definedName name="NMWH_NOVEMBER" localSheetId="1">#REF!</definedName>
    <definedName name="NMWH_NOVEMBER" localSheetId="3">#REF!</definedName>
    <definedName name="NMWH_NOVEMBER" localSheetId="5">#REF!</definedName>
    <definedName name="NMWH_NOVEMBER" localSheetId="6">#REF!</definedName>
    <definedName name="NMWH_NOVEMBER">#REF!</definedName>
    <definedName name="NMWH_OCTOBER" localSheetId="2">#REF!</definedName>
    <definedName name="NMWH_OCTOBER" localSheetId="1">#REF!</definedName>
    <definedName name="NMWH_OCTOBER" localSheetId="3">#REF!</definedName>
    <definedName name="NMWH_OCTOBER" localSheetId="5">#REF!</definedName>
    <definedName name="NMWH_OCTOBER" localSheetId="6">#REF!</definedName>
    <definedName name="NMWH_OCTOBER">#REF!</definedName>
    <definedName name="NMWH_SEPTEMBER" localSheetId="2">#REF!</definedName>
    <definedName name="NMWH_SEPTEMBER" localSheetId="1">#REF!</definedName>
    <definedName name="NMWH_SEPTEMBER" localSheetId="3">#REF!</definedName>
    <definedName name="NMWH_SEPTEMBER" localSheetId="5">#REF!</definedName>
    <definedName name="NMWH_SEPTEMBER" localSheetId="6">#REF!</definedName>
    <definedName name="NMWH_SEPTEMBER">#REF!</definedName>
    <definedName name="nnn" localSheetId="2">#REF!</definedName>
    <definedName name="nnn" localSheetId="1">#REF!</definedName>
    <definedName name="nnn" localSheetId="3">#REF!</definedName>
    <definedName name="nnn" localSheetId="5">#REF!</definedName>
    <definedName name="nnn" localSheetId="6">#REF!</definedName>
    <definedName name="nnn">#REF!</definedName>
    <definedName name="NO" localSheetId="2">#REF!</definedName>
    <definedName name="NO" localSheetId="1">#REF!</definedName>
    <definedName name="NO" localSheetId="3">#REF!</definedName>
    <definedName name="NO" localSheetId="5">#REF!</definedName>
    <definedName name="NO" localSheetId="6">#REF!</definedName>
    <definedName name="NO">#REF!</definedName>
    <definedName name="no_dys_yr_BEST" localSheetId="2">#REF!</definedName>
    <definedName name="no_dys_yr_BEST" localSheetId="1">#REF!</definedName>
    <definedName name="no_dys_yr_BEST" localSheetId="3">#REF!</definedName>
    <definedName name="no_dys_yr_BEST" localSheetId="5">#REF!</definedName>
    <definedName name="no_dys_yr_BEST" localSheetId="6">#REF!</definedName>
    <definedName name="no_dys_yr_BEST">#REF!</definedName>
    <definedName name="noj" localSheetId="2">#REF!</definedName>
    <definedName name="noj" localSheetId="1">#REF!</definedName>
    <definedName name="noj" localSheetId="3">#REF!</definedName>
    <definedName name="noj" localSheetId="5">#REF!</definedName>
    <definedName name="noj" localSheetId="6">#REF!</definedName>
    <definedName name="noj">#REF!</definedName>
    <definedName name="normalcapex" localSheetId="2">#REF!</definedName>
    <definedName name="normalcapex" localSheetId="1">#REF!</definedName>
    <definedName name="normalcapex" localSheetId="3">#REF!</definedName>
    <definedName name="normalcapex" localSheetId="5">#REF!</definedName>
    <definedName name="normalcapex" localSheetId="6">#REF!</definedName>
    <definedName name="normalcapex">#REF!</definedName>
    <definedName name="NOTE_1" localSheetId="2">#REF!</definedName>
    <definedName name="NOTE_1" localSheetId="1">#REF!</definedName>
    <definedName name="NOTE_1" localSheetId="3">#REF!</definedName>
    <definedName name="NOTE_1" localSheetId="5">#REF!</definedName>
    <definedName name="NOTE_1" localSheetId="6">#REF!</definedName>
    <definedName name="NOTE_1">#REF!</definedName>
    <definedName name="Nov" localSheetId="2">#REF!</definedName>
    <definedName name="Nov" localSheetId="1">#REF!</definedName>
    <definedName name="Nov" localSheetId="3">#REF!</definedName>
    <definedName name="Nov" localSheetId="5">#REF!</definedName>
    <definedName name="Nov" localSheetId="6">#REF!</definedName>
    <definedName name="Nov">#REF!</definedName>
    <definedName name="NOVDATA?" localSheetId="2">#REF!</definedName>
    <definedName name="NOVDATA?" localSheetId="1">#REF!</definedName>
    <definedName name="NOVDATA?" localSheetId="3">#REF!</definedName>
    <definedName name="NOVDATA?" localSheetId="5">#REF!</definedName>
    <definedName name="NOVDATA?" localSheetId="6">#REF!</definedName>
    <definedName name="NOVDATA?">#REF!</definedName>
    <definedName name="num_days_creditors" localSheetId="2">#REF!</definedName>
    <definedName name="num_days_creditors" localSheetId="1">#REF!</definedName>
    <definedName name="num_days_creditors" localSheetId="3">#REF!</definedName>
    <definedName name="num_days_creditors" localSheetId="5">#REF!</definedName>
    <definedName name="num_days_creditors" localSheetId="6">#REF!</definedName>
    <definedName name="num_days_creditors">#REF!</definedName>
    <definedName name="num_days_debtors" localSheetId="2">#REF!</definedName>
    <definedName name="num_days_debtors" localSheetId="1">#REF!</definedName>
    <definedName name="num_days_debtors" localSheetId="3">#REF!</definedName>
    <definedName name="num_days_debtors" localSheetId="5">#REF!</definedName>
    <definedName name="num_days_debtors" localSheetId="6">#REF!</definedName>
    <definedName name="num_days_debtors">#REF!</definedName>
    <definedName name="num_days_del_bqs" localSheetId="2">#REF!</definedName>
    <definedName name="num_days_del_bqs" localSheetId="1">#REF!</definedName>
    <definedName name="num_days_del_bqs" localSheetId="3">#REF!</definedName>
    <definedName name="num_days_del_bqs" localSheetId="5">#REF!</definedName>
    <definedName name="num_days_del_bqs" localSheetId="6">#REF!</definedName>
    <definedName name="num_days_del_bqs">#REF!</definedName>
    <definedName name="num_days_del_dmrc1" localSheetId="2">#REF!</definedName>
    <definedName name="num_days_del_dmrc1" localSheetId="1">#REF!</definedName>
    <definedName name="num_days_del_dmrc1" localSheetId="3">#REF!</definedName>
    <definedName name="num_days_del_dmrc1" localSheetId="5">#REF!</definedName>
    <definedName name="num_days_del_dmrc1" localSheetId="6">#REF!</definedName>
    <definedName name="num_days_del_dmrc1">#REF!</definedName>
    <definedName name="num_days_del_dmrc2" localSheetId="2">#REF!</definedName>
    <definedName name="num_days_del_dmrc2" localSheetId="1">#REF!</definedName>
    <definedName name="num_days_del_dmrc2" localSheetId="3">#REF!</definedName>
    <definedName name="num_days_del_dmrc2" localSheetId="5">#REF!</definedName>
    <definedName name="num_days_del_dmrc2" localSheetId="6">#REF!</definedName>
    <definedName name="num_days_del_dmrc2">#REF!</definedName>
    <definedName name="num_days_del_dmrc3" localSheetId="2">#REF!</definedName>
    <definedName name="num_days_del_dmrc3" localSheetId="1">#REF!</definedName>
    <definedName name="num_days_del_dmrc3" localSheetId="3">#REF!</definedName>
    <definedName name="num_days_del_dmrc3" localSheetId="5">#REF!</definedName>
    <definedName name="num_days_del_dmrc3" localSheetId="6">#REF!</definedName>
    <definedName name="num_days_del_dmrc3">#REF!</definedName>
    <definedName name="num_days_del_dmrc4" localSheetId="2">#REF!</definedName>
    <definedName name="num_days_del_dmrc4" localSheetId="1">#REF!</definedName>
    <definedName name="num_days_del_dmrc4" localSheetId="3">#REF!</definedName>
    <definedName name="num_days_del_dmrc4" localSheetId="5">#REF!</definedName>
    <definedName name="num_days_del_dmrc4" localSheetId="6">#REF!</definedName>
    <definedName name="num_days_del_dmrc4">#REF!</definedName>
    <definedName name="num_days_del_hoarding" localSheetId="2">#REF!</definedName>
    <definedName name="num_days_del_hoarding" localSheetId="1">#REF!</definedName>
    <definedName name="num_days_del_hoarding" localSheetId="3">#REF!</definedName>
    <definedName name="num_days_del_hoarding" localSheetId="5">#REF!</definedName>
    <definedName name="num_days_del_hoarding" localSheetId="6">#REF!</definedName>
    <definedName name="num_days_del_hoarding">#REF!</definedName>
    <definedName name="num_days_del_mcd1" localSheetId="2">#REF!</definedName>
    <definedName name="num_days_del_mcd1" localSheetId="1">#REF!</definedName>
    <definedName name="num_days_del_mcd1" localSheetId="3">#REF!</definedName>
    <definedName name="num_days_del_mcd1" localSheetId="5">#REF!</definedName>
    <definedName name="num_days_del_mcd1" localSheetId="6">#REF!</definedName>
    <definedName name="num_days_del_mcd1">#REF!</definedName>
    <definedName name="num_days_del_mcd2" localSheetId="2">#REF!</definedName>
    <definedName name="num_days_del_mcd2" localSheetId="1">#REF!</definedName>
    <definedName name="num_days_del_mcd2" localSheetId="3">#REF!</definedName>
    <definedName name="num_days_del_mcd2" localSheetId="5">#REF!</definedName>
    <definedName name="num_days_del_mcd2" localSheetId="6">#REF!</definedName>
    <definedName name="num_days_del_mcd2">#REF!</definedName>
    <definedName name="num_days_del_mcd3" localSheetId="2">#REF!</definedName>
    <definedName name="num_days_del_mcd3" localSheetId="1">#REF!</definedName>
    <definedName name="num_days_del_mcd3" localSheetId="3">#REF!</definedName>
    <definedName name="num_days_del_mcd3" localSheetId="5">#REF!</definedName>
    <definedName name="num_days_del_mcd3" localSheetId="6">#REF!</definedName>
    <definedName name="num_days_del_mcd3">#REF!</definedName>
    <definedName name="num_days_del_mcd4" localSheetId="2">#REF!</definedName>
    <definedName name="num_days_del_mcd4" localSheetId="1">#REF!</definedName>
    <definedName name="num_days_del_mcd4" localSheetId="3">#REF!</definedName>
    <definedName name="num_days_del_mcd4" localSheetId="5">#REF!</definedName>
    <definedName name="num_days_del_mcd4" localSheetId="6">#REF!</definedName>
    <definedName name="num_days_del_mcd4">#REF!</definedName>
    <definedName name="num_days_del_mcd5" localSheetId="2">#REF!</definedName>
    <definedName name="num_days_del_mcd5" localSheetId="1">#REF!</definedName>
    <definedName name="num_days_del_mcd5" localSheetId="3">#REF!</definedName>
    <definedName name="num_days_del_mcd5" localSheetId="5">#REF!</definedName>
    <definedName name="num_days_del_mcd5" localSheetId="6">#REF!</definedName>
    <definedName name="num_days_del_mcd5">#REF!</definedName>
    <definedName name="num_days_del_nrdd" localSheetId="2">#REF!</definedName>
    <definedName name="num_days_del_nrdd" localSheetId="1">#REF!</definedName>
    <definedName name="num_days_del_nrdd" localSheetId="3">#REF!</definedName>
    <definedName name="num_days_del_nrdd" localSheetId="5">#REF!</definedName>
    <definedName name="num_days_del_nrdd" localSheetId="6">#REF!</definedName>
    <definedName name="num_days_del_nrdd">#REF!</definedName>
    <definedName name="num_days_del_utility" localSheetId="2">#REF!</definedName>
    <definedName name="num_days_del_utility" localSheetId="1">#REF!</definedName>
    <definedName name="num_days_del_utility" localSheetId="3">#REF!</definedName>
    <definedName name="num_days_del_utility" localSheetId="5">#REF!</definedName>
    <definedName name="num_days_del_utility" localSheetId="6">#REF!</definedName>
    <definedName name="num_days_del_utility">#REF!</definedName>
    <definedName name="num_days_inventory" localSheetId="2">#REF!</definedName>
    <definedName name="num_days_inventory" localSheetId="1">#REF!</definedName>
    <definedName name="num_days_inventory" localSheetId="3">#REF!</definedName>
    <definedName name="num_days_inventory" localSheetId="5">#REF!</definedName>
    <definedName name="num_days_inventory" localSheetId="6">#REF!</definedName>
    <definedName name="num_days_inventory">#REF!</definedName>
    <definedName name="num_days_kol_bqs" localSheetId="2">#REF!</definedName>
    <definedName name="num_days_kol_bqs" localSheetId="1">#REF!</definedName>
    <definedName name="num_days_kol_bqs" localSheetId="3">#REF!</definedName>
    <definedName name="num_days_kol_bqs" localSheetId="5">#REF!</definedName>
    <definedName name="num_days_kol_bqs" localSheetId="6">#REF!</definedName>
    <definedName name="num_days_kol_bqs">#REF!</definedName>
    <definedName name="num_days_kol_bridgepanel" localSheetId="2">#REF!</definedName>
    <definedName name="num_days_kol_bridgepanel" localSheetId="1">#REF!</definedName>
    <definedName name="num_days_kol_bridgepanel" localSheetId="3">#REF!</definedName>
    <definedName name="num_days_kol_bridgepanel" localSheetId="5">#REF!</definedName>
    <definedName name="num_days_kol_bridgepanel" localSheetId="6">#REF!</definedName>
    <definedName name="num_days_kol_bridgepanel">#REF!</definedName>
    <definedName name="num_days_kol_hoarding" localSheetId="2">#REF!</definedName>
    <definedName name="num_days_kol_hoarding" localSheetId="1">#REF!</definedName>
    <definedName name="num_days_kol_hoarding" localSheetId="3">#REF!</definedName>
    <definedName name="num_days_kol_hoarding" localSheetId="5">#REF!</definedName>
    <definedName name="num_days_kol_hoarding" localSheetId="6">#REF!</definedName>
    <definedName name="num_days_kol_hoarding">#REF!</definedName>
    <definedName name="num_days_kol_kiosk" localSheetId="2">#REF!</definedName>
    <definedName name="num_days_kol_kiosk" localSheetId="1">#REF!</definedName>
    <definedName name="num_days_kol_kiosk" localSheetId="3">#REF!</definedName>
    <definedName name="num_days_kol_kiosk" localSheetId="5">#REF!</definedName>
    <definedName name="num_days_kol_kiosk" localSheetId="6">#REF!</definedName>
    <definedName name="num_days_kol_kiosk">#REF!</definedName>
    <definedName name="num_days_kol_mpillars" localSheetId="2">#REF!</definedName>
    <definedName name="num_days_kol_mpillars" localSheetId="1">#REF!</definedName>
    <definedName name="num_days_kol_mpillars" localSheetId="3">#REF!</definedName>
    <definedName name="num_days_kol_mpillars" localSheetId="5">#REF!</definedName>
    <definedName name="num_days_kol_mpillars" localSheetId="6">#REF!</definedName>
    <definedName name="num_days_kol_mpillars">#REF!</definedName>
    <definedName name="num_days_kol_pillarwrap" localSheetId="2">#REF!</definedName>
    <definedName name="num_days_kol_pillarwrap" localSheetId="1">#REF!</definedName>
    <definedName name="num_days_kol_pillarwrap" localSheetId="3">#REF!</definedName>
    <definedName name="num_days_kol_pillarwrap" localSheetId="5">#REF!</definedName>
    <definedName name="num_days_kol_pillarwrap" localSheetId="6">#REF!</definedName>
    <definedName name="num_days_kol_pillarwrap">#REF!</definedName>
    <definedName name="num_days_kol_ts" localSheetId="2">#REF!</definedName>
    <definedName name="num_days_kol_ts" localSheetId="1">#REF!</definedName>
    <definedName name="num_days_kol_ts" localSheetId="3">#REF!</definedName>
    <definedName name="num_days_kol_ts" localSheetId="5">#REF!</definedName>
    <definedName name="num_days_kol_ts" localSheetId="6">#REF!</definedName>
    <definedName name="num_days_kol_ts">#REF!</definedName>
    <definedName name="num_days_mum_bqs" localSheetId="2">#REF!</definedName>
    <definedName name="num_days_mum_bqs" localSheetId="1">#REF!</definedName>
    <definedName name="num_days_mum_bqs" localSheetId="3">#REF!</definedName>
    <definedName name="num_days_mum_bqs" localSheetId="5">#REF!</definedName>
    <definedName name="num_days_mum_bqs" localSheetId="6">#REF!</definedName>
    <definedName name="num_days_mum_bqs">#REF!</definedName>
    <definedName name="num_days_mum_hoarding" localSheetId="2">#REF!</definedName>
    <definedName name="num_days_mum_hoarding" localSheetId="1">#REF!</definedName>
    <definedName name="num_days_mum_hoarding" localSheetId="3">#REF!</definedName>
    <definedName name="num_days_mum_hoarding" localSheetId="5">#REF!</definedName>
    <definedName name="num_days_mum_hoarding" localSheetId="6">#REF!</definedName>
    <definedName name="num_days_mum_hoarding">#REF!</definedName>
    <definedName name="num_days_mum_kiosk" localSheetId="2">#REF!</definedName>
    <definedName name="num_days_mum_kiosk" localSheetId="1">#REF!</definedName>
    <definedName name="num_days_mum_kiosk" localSheetId="3">#REF!</definedName>
    <definedName name="num_days_mum_kiosk" localSheetId="5">#REF!</definedName>
    <definedName name="num_days_mum_kiosk" localSheetId="6">#REF!</definedName>
    <definedName name="num_days_mum_kiosk">#REF!</definedName>
    <definedName name="num_days_mum_utility" localSheetId="2">#REF!</definedName>
    <definedName name="num_days_mum_utility" localSheetId="1">#REF!</definedName>
    <definedName name="num_days_mum_utility" localSheetId="3">#REF!</definedName>
    <definedName name="num_days_mum_utility" localSheetId="5">#REF!</definedName>
    <definedName name="num_days_mum_utility" localSheetId="6">#REF!</definedName>
    <definedName name="num_days_mum_utility">#REF!</definedName>
    <definedName name="num_days_new_r1" localSheetId="2">#REF!</definedName>
    <definedName name="num_days_new_r1" localSheetId="1">#REF!</definedName>
    <definedName name="num_days_new_r1" localSheetId="3">#REF!</definedName>
    <definedName name="num_days_new_r1" localSheetId="5">#REF!</definedName>
    <definedName name="num_days_new_r1" localSheetId="6">#REF!</definedName>
    <definedName name="num_days_new_r1">#REF!</definedName>
    <definedName name="num_days_new_s1" localSheetId="2">#REF!</definedName>
    <definedName name="num_days_new_s1" localSheetId="1">#REF!</definedName>
    <definedName name="num_days_new_s1" localSheetId="3">#REF!</definedName>
    <definedName name="num_days_new_s1" localSheetId="5">#REF!</definedName>
    <definedName name="num_days_new_s1" localSheetId="6">#REF!</definedName>
    <definedName name="num_days_new_s1">#REF!</definedName>
    <definedName name="num_days_new_s2" localSheetId="2">#REF!</definedName>
    <definedName name="num_days_new_s2" localSheetId="1">#REF!</definedName>
    <definedName name="num_days_new_s2" localSheetId="3">#REF!</definedName>
    <definedName name="num_days_new_s2" localSheetId="5">#REF!</definedName>
    <definedName name="num_days_new_s2" localSheetId="6">#REF!</definedName>
    <definedName name="num_days_new_s2">#REF!</definedName>
    <definedName name="num_days_new_sf1" localSheetId="2">#REF!</definedName>
    <definedName name="num_days_new_sf1" localSheetId="1">#REF!</definedName>
    <definedName name="num_days_new_sf1" localSheetId="3">#REF!</definedName>
    <definedName name="num_days_new_sf1" localSheetId="5">#REF!</definedName>
    <definedName name="num_days_new_sf1" localSheetId="6">#REF!</definedName>
    <definedName name="num_days_new_sf1">#REF!</definedName>
    <definedName name="num_days_new_sf2" localSheetId="2">#REF!</definedName>
    <definedName name="num_days_new_sf2" localSheetId="1">#REF!</definedName>
    <definedName name="num_days_new_sf2" localSheetId="3">#REF!</definedName>
    <definedName name="num_days_new_sf2" localSheetId="5">#REF!</definedName>
    <definedName name="num_days_new_sf2" localSheetId="6">#REF!</definedName>
    <definedName name="num_days_new_sf2">#REF!</definedName>
    <definedName name="num_days_new_sf3" localSheetId="2">#REF!</definedName>
    <definedName name="num_days_new_sf3" localSheetId="1">#REF!</definedName>
    <definedName name="num_days_new_sf3" localSheetId="3">#REF!</definedName>
    <definedName name="num_days_new_sf3" localSheetId="5">#REF!</definedName>
    <definedName name="num_days_new_sf3" localSheetId="6">#REF!</definedName>
    <definedName name="num_days_new_sf3">#REF!</definedName>
    <definedName name="num_days_pun_bqs" localSheetId="2">#REF!</definedName>
    <definedName name="num_days_pun_bqs" localSheetId="1">#REF!</definedName>
    <definedName name="num_days_pun_bqs" localSheetId="3">#REF!</definedName>
    <definedName name="num_days_pun_bqs" localSheetId="5">#REF!</definedName>
    <definedName name="num_days_pun_bqs" localSheetId="6">#REF!</definedName>
    <definedName name="num_days_pun_bqs">#REF!</definedName>
    <definedName name="num_days_pun_hoarding" localSheetId="2">#REF!</definedName>
    <definedName name="num_days_pun_hoarding" localSheetId="1">#REF!</definedName>
    <definedName name="num_days_pun_hoarding" localSheetId="3">#REF!</definedName>
    <definedName name="num_days_pun_hoarding" localSheetId="5">#REF!</definedName>
    <definedName name="num_days_pun_hoarding" localSheetId="6">#REF!</definedName>
    <definedName name="num_days_pun_hoarding">#REF!</definedName>
    <definedName name="num_days_pun_kiosk" localSheetId="2">#REF!</definedName>
    <definedName name="num_days_pun_kiosk" localSheetId="1">#REF!</definedName>
    <definedName name="num_days_pun_kiosk" localSheetId="3">#REF!</definedName>
    <definedName name="num_days_pun_kiosk" localSheetId="5">#REF!</definedName>
    <definedName name="num_days_pun_kiosk" localSheetId="6">#REF!</definedName>
    <definedName name="num_days_pun_kiosk">#REF!</definedName>
    <definedName name="num_days_pun_utility" localSheetId="2">#REF!</definedName>
    <definedName name="num_days_pun_utility" localSheetId="1">#REF!</definedName>
    <definedName name="num_days_pun_utility" localSheetId="3">#REF!</definedName>
    <definedName name="num_days_pun_utility" localSheetId="5">#REF!</definedName>
    <definedName name="num_days_pun_utility" localSheetId="6">#REF!</definedName>
    <definedName name="num_days_pun_utility">#REF!</definedName>
    <definedName name="num_days_year" localSheetId="2">#REF!</definedName>
    <definedName name="num_days_year" localSheetId="1">#REF!</definedName>
    <definedName name="num_days_year" localSheetId="3">#REF!</definedName>
    <definedName name="num_days_year" localSheetId="5">#REF!</definedName>
    <definedName name="num_days_year" localSheetId="6">#REF!</definedName>
    <definedName name="num_days_year">#REF!</definedName>
    <definedName name="Oct" localSheetId="2">#REF!</definedName>
    <definedName name="Oct" localSheetId="1">#REF!</definedName>
    <definedName name="Oct" localSheetId="3">#REF!</definedName>
    <definedName name="Oct" localSheetId="5">#REF!</definedName>
    <definedName name="Oct" localSheetId="6">#REF!</definedName>
    <definedName name="Oct">#REF!</definedName>
    <definedName name="OCTDATA?" localSheetId="2">#REF!</definedName>
    <definedName name="OCTDATA?" localSheetId="1">#REF!</definedName>
    <definedName name="OCTDATA?" localSheetId="3">#REF!</definedName>
    <definedName name="OCTDATA?" localSheetId="5">#REF!</definedName>
    <definedName name="OCTDATA?" localSheetId="6">#REF!</definedName>
    <definedName name="OCTDATA?">#REF!</definedName>
    <definedName name="Offers" localSheetId="2">#REF!</definedName>
    <definedName name="Offers" localSheetId="1">#REF!</definedName>
    <definedName name="Offers" localSheetId="3">#REF!</definedName>
    <definedName name="Offers" localSheetId="5">#REF!</definedName>
    <definedName name="Offers" localSheetId="6">#REF!</definedName>
    <definedName name="Offers">#REF!</definedName>
    <definedName name="oldCoverDate" localSheetId="2">#REF!</definedName>
    <definedName name="oldCoverDate" localSheetId="1">#REF!</definedName>
    <definedName name="oldCoverDate" localSheetId="3">#REF!</definedName>
    <definedName name="oldCoverDate" localSheetId="5">#REF!</definedName>
    <definedName name="oldCoverDate" localSheetId="6">#REF!</definedName>
    <definedName name="oldCoverDate">#REF!</definedName>
    <definedName name="OPCAP" localSheetId="2">#REF!</definedName>
    <definedName name="OPCAP" localSheetId="1">#REF!</definedName>
    <definedName name="OPCAP" localSheetId="3">#REF!</definedName>
    <definedName name="OPCAP" localSheetId="5">#REF!</definedName>
    <definedName name="OPCAP" localSheetId="6">#REF!</definedName>
    <definedName name="OPCAP">#REF!</definedName>
    <definedName name="OperatingHrs" localSheetId="2">#REF!</definedName>
    <definedName name="OperatingHrs" localSheetId="1">#REF!</definedName>
    <definedName name="OperatingHrs" localSheetId="3">#REF!</definedName>
    <definedName name="OperatingHrs" localSheetId="5">#REF!</definedName>
    <definedName name="OperatingHrs" localSheetId="6">#REF!</definedName>
    <definedName name="OperatingHrs">#REF!</definedName>
    <definedName name="Operations" localSheetId="2">#REF!</definedName>
    <definedName name="Operations" localSheetId="1">#REF!</definedName>
    <definedName name="Operations" localSheetId="3">#REF!</definedName>
    <definedName name="Operations" localSheetId="5">#REF!</definedName>
    <definedName name="Operations" localSheetId="6">#REF!</definedName>
    <definedName name="Operations">#REF!</definedName>
    <definedName name="OPTexponents">"0 3 6"</definedName>
    <definedName name="optpatchcord" localSheetId="2">#REF!</definedName>
    <definedName name="optpatchcord" localSheetId="1">#REF!</definedName>
    <definedName name="optpatchcord" localSheetId="3">#REF!</definedName>
    <definedName name="optpatchcord" localSheetId="5">#REF!</definedName>
    <definedName name="optpatchcord" localSheetId="6">#REF!</definedName>
    <definedName name="optpatchcord">#REF!</definedName>
    <definedName name="OPTvec">"1 1 1 3 0 0 0 0 0 0 1 8 2 1 0 30 1 1 0 0 1 0 1 0 0 1 0 0 0 0 0 0 100 300 0 0 0 0 15 0 0 0 0"</definedName>
    <definedName name="ospmaintenance" localSheetId="2">#REF!</definedName>
    <definedName name="ospmaintenance" localSheetId="1">#REF!</definedName>
    <definedName name="ospmaintenance" localSheetId="3">#REF!</definedName>
    <definedName name="ospmaintenance" localSheetId="5">#REF!</definedName>
    <definedName name="ospmaintenance" localSheetId="6">#REF!</definedName>
    <definedName name="ospmaintenance">#REF!</definedName>
    <definedName name="otherfinancialcharge" localSheetId="2">#REF!</definedName>
    <definedName name="otherfinancialcharge" localSheetId="1">#REF!</definedName>
    <definedName name="otherfinancialcharge" localSheetId="3">#REF!</definedName>
    <definedName name="otherfinancialcharge" localSheetId="5">#REF!</definedName>
    <definedName name="otherfinancialcharge" localSheetId="6">#REF!</definedName>
    <definedName name="otherfinancialcharge">#REF!</definedName>
    <definedName name="otherinterconnectperldca" localSheetId="2">#REF!</definedName>
    <definedName name="otherinterconnectperldca" localSheetId="1">#REF!</definedName>
    <definedName name="otherinterconnectperldca" localSheetId="3">#REF!</definedName>
    <definedName name="otherinterconnectperldca" localSheetId="5">#REF!</definedName>
    <definedName name="otherinterconnectperldca" localSheetId="6">#REF!</definedName>
    <definedName name="otherinterconnectperldca">#REF!</definedName>
    <definedName name="othernwtfcy1" localSheetId="2">#REF!</definedName>
    <definedName name="othernwtfcy1" localSheetId="1">#REF!</definedName>
    <definedName name="othernwtfcy1" localSheetId="3">#REF!</definedName>
    <definedName name="othernwtfcy1" localSheetId="5">#REF!</definedName>
    <definedName name="othernwtfcy1" localSheetId="6">#REF!</definedName>
    <definedName name="othernwtfcy1">#REF!</definedName>
    <definedName name="othernwtfcy2" localSheetId="2">#REF!</definedName>
    <definedName name="othernwtfcy2" localSheetId="1">#REF!</definedName>
    <definedName name="othernwtfcy2" localSheetId="3">#REF!</definedName>
    <definedName name="othernwtfcy2" localSheetId="5">#REF!</definedName>
    <definedName name="othernwtfcy2" localSheetId="6">#REF!</definedName>
    <definedName name="othernwtfcy2">#REF!</definedName>
    <definedName name="othernwtfcy3" localSheetId="2">#REF!</definedName>
    <definedName name="othernwtfcy3" localSheetId="1">#REF!</definedName>
    <definedName name="othernwtfcy3" localSheetId="3">#REF!</definedName>
    <definedName name="othernwtfcy3" localSheetId="5">#REF!</definedName>
    <definedName name="othernwtfcy3" localSheetId="6">#REF!</definedName>
    <definedName name="othernwtfcy3">#REF!</definedName>
    <definedName name="othernwtfcy4" localSheetId="2">#REF!</definedName>
    <definedName name="othernwtfcy4" localSheetId="1">#REF!</definedName>
    <definedName name="othernwtfcy4" localSheetId="3">#REF!</definedName>
    <definedName name="othernwtfcy4" localSheetId="5">#REF!</definedName>
    <definedName name="othernwtfcy4" localSheetId="6">#REF!</definedName>
    <definedName name="othernwtfcy4">#REF!</definedName>
    <definedName name="othernwtfcy5onwards" localSheetId="2">#REF!</definedName>
    <definedName name="othernwtfcy5onwards" localSheetId="1">#REF!</definedName>
    <definedName name="othernwtfcy5onwards" localSheetId="3">#REF!</definedName>
    <definedName name="othernwtfcy5onwards" localSheetId="5">#REF!</definedName>
    <definedName name="othernwtfcy5onwards" localSheetId="6">#REF!</definedName>
    <definedName name="othernwtfcy5onwards">#REF!</definedName>
    <definedName name="others" localSheetId="2">#REF!</definedName>
    <definedName name="others" localSheetId="1">#REF!</definedName>
    <definedName name="others" localSheetId="3">#REF!</definedName>
    <definedName name="others" localSheetId="5">#REF!</definedName>
    <definedName name="others" localSheetId="6">#REF!</definedName>
    <definedName name="others">#REF!</definedName>
    <definedName name="Output_currency" localSheetId="2">#REF!</definedName>
    <definedName name="Output_currency" localSheetId="1">#REF!</definedName>
    <definedName name="Output_currency" localSheetId="3">#REF!</definedName>
    <definedName name="Output_currency" localSheetId="5">#REF!</definedName>
    <definedName name="Output_currency" localSheetId="6">#REF!</definedName>
    <definedName name="Output_currency">#REF!</definedName>
    <definedName name="outsourcedmanpowerph1a" localSheetId="2">#REF!</definedName>
    <definedName name="outsourcedmanpowerph1a" localSheetId="1">#REF!</definedName>
    <definedName name="outsourcedmanpowerph1a" localSheetId="3">#REF!</definedName>
    <definedName name="outsourcedmanpowerph1a" localSheetId="5">#REF!</definedName>
    <definedName name="outsourcedmanpowerph1a" localSheetId="6">#REF!</definedName>
    <definedName name="outsourcedmanpowerph1a">#REF!</definedName>
    <definedName name="outsourcedmanpowerph1b" localSheetId="2">#REF!</definedName>
    <definedName name="outsourcedmanpowerph1b" localSheetId="1">#REF!</definedName>
    <definedName name="outsourcedmanpowerph1b" localSheetId="3">#REF!</definedName>
    <definedName name="outsourcedmanpowerph1b" localSheetId="5">#REF!</definedName>
    <definedName name="outsourcedmanpowerph1b" localSheetId="6">#REF!</definedName>
    <definedName name="outsourcedmanpowerph1b">#REF!</definedName>
    <definedName name="outsourcedmanpowerph2" localSheetId="2">#REF!</definedName>
    <definedName name="outsourcedmanpowerph2" localSheetId="1">#REF!</definedName>
    <definedName name="outsourcedmanpowerph2" localSheetId="3">#REF!</definedName>
    <definedName name="outsourcedmanpowerph2" localSheetId="5">#REF!</definedName>
    <definedName name="outsourcedmanpowerph2" localSheetId="6">#REF!</definedName>
    <definedName name="outsourcedmanpowerph2">#REF!</definedName>
    <definedName name="OVERVIEW" localSheetId="2">#REF!</definedName>
    <definedName name="OVERVIEW" localSheetId="1">#REF!</definedName>
    <definedName name="OVERVIEW" localSheetId="3">#REF!</definedName>
    <definedName name="OVERVIEW" localSheetId="5">#REF!</definedName>
    <definedName name="OVERVIEW" localSheetId="6">#REF!</definedName>
    <definedName name="OVERVIEW">#REF!</definedName>
    <definedName name="P" localSheetId="2">#REF!</definedName>
    <definedName name="P" localSheetId="1">#REF!</definedName>
    <definedName name="P" localSheetId="3">#REF!</definedName>
    <definedName name="P" localSheetId="5">#REF!</definedName>
    <definedName name="P" localSheetId="6">#REF!</definedName>
    <definedName name="P">#REF!</definedName>
    <definedName name="P___L___Statement" localSheetId="2">#REF!</definedName>
    <definedName name="P___L___Statement" localSheetId="1">#REF!</definedName>
    <definedName name="P___L___Statement" localSheetId="3">#REF!</definedName>
    <definedName name="P___L___Statement" localSheetId="5">#REF!</definedName>
    <definedName name="P___L___Statement" localSheetId="6">#REF!</definedName>
    <definedName name="P___L___Statement">#REF!</definedName>
    <definedName name="PAge1" localSheetId="2">#REF!</definedName>
    <definedName name="PAge1" localSheetId="1">#REF!</definedName>
    <definedName name="PAge1" localSheetId="3">#REF!</definedName>
    <definedName name="PAge1" localSheetId="5">#REF!</definedName>
    <definedName name="PAge1" localSheetId="6">#REF!</definedName>
    <definedName name="PAge1">#REF!</definedName>
    <definedName name="page2" localSheetId="2">#REF!</definedName>
    <definedName name="page2" localSheetId="1">#REF!</definedName>
    <definedName name="page2" localSheetId="3">#REF!</definedName>
    <definedName name="page2" localSheetId="5">#REF!</definedName>
    <definedName name="page2" localSheetId="6">#REF!</definedName>
    <definedName name="page2">#REF!</definedName>
    <definedName name="PAGE22" localSheetId="2">#REF!</definedName>
    <definedName name="PAGE22" localSheetId="1">#REF!</definedName>
    <definedName name="PAGE22" localSheetId="3">#REF!</definedName>
    <definedName name="PAGE22" localSheetId="5">#REF!</definedName>
    <definedName name="PAGE22" localSheetId="6">#REF!</definedName>
    <definedName name="PAGE22">#REF!</definedName>
    <definedName name="page3" localSheetId="2">#REF!</definedName>
    <definedName name="page3" localSheetId="1">#REF!</definedName>
    <definedName name="page3" localSheetId="3">#REF!</definedName>
    <definedName name="page3" localSheetId="5">#REF!</definedName>
    <definedName name="page3" localSheetId="6">#REF!</definedName>
    <definedName name="page3">#REF!</definedName>
    <definedName name="page4" localSheetId="2">#REF!</definedName>
    <definedName name="page4" localSheetId="1">#REF!</definedName>
    <definedName name="page4" localSheetId="3">#REF!</definedName>
    <definedName name="page4" localSheetId="5">#REF!</definedName>
    <definedName name="page4" localSheetId="6">#REF!</definedName>
    <definedName name="page4">#REF!</definedName>
    <definedName name="page5" localSheetId="2">#REF!</definedName>
    <definedName name="page5" localSheetId="1">#REF!</definedName>
    <definedName name="page5" localSheetId="3">#REF!</definedName>
    <definedName name="page5" localSheetId="5">#REF!</definedName>
    <definedName name="page5" localSheetId="6">#REF!</definedName>
    <definedName name="page5">#REF!</definedName>
    <definedName name="page6" localSheetId="2">#REF!</definedName>
    <definedName name="page6" localSheetId="1">#REF!</definedName>
    <definedName name="page6" localSheetId="3">#REF!</definedName>
    <definedName name="page6" localSheetId="5">#REF!</definedName>
    <definedName name="page6" localSheetId="6">#REF!</definedName>
    <definedName name="page6">#REF!</definedName>
    <definedName name="page7" localSheetId="2">#REF!</definedName>
    <definedName name="page7" localSheetId="1">#REF!</definedName>
    <definedName name="page7" localSheetId="3">#REF!</definedName>
    <definedName name="page7" localSheetId="5">#REF!</definedName>
    <definedName name="page7" localSheetId="6">#REF!</definedName>
    <definedName name="page7">#REF!</definedName>
    <definedName name="PAN" localSheetId="2">#REF!</definedName>
    <definedName name="PAN" localSheetId="1">#REF!</definedName>
    <definedName name="PAN" localSheetId="3">#REF!</definedName>
    <definedName name="PAN" localSheetId="5">#REF!</definedName>
    <definedName name="PAN" localSheetId="6">#REF!</definedName>
    <definedName name="PAN">#REF!</definedName>
    <definedName name="PartDesignation" localSheetId="2">#REF!</definedName>
    <definedName name="PartDesignation" localSheetId="1">#REF!</definedName>
    <definedName name="PartDesignation" localSheetId="3">#REF!</definedName>
    <definedName name="PartDesignation" localSheetId="5">#REF!</definedName>
    <definedName name="PartDesignation" localSheetId="6">#REF!</definedName>
    <definedName name="PartDesignation">#REF!</definedName>
    <definedName name="past" localSheetId="2">#REF!</definedName>
    <definedName name="past" localSheetId="1">#REF!</definedName>
    <definedName name="past" localSheetId="3">#REF!</definedName>
    <definedName name="past" localSheetId="5">#REF!</definedName>
    <definedName name="past" localSheetId="6">#REF!</definedName>
    <definedName name="past">#REF!</definedName>
    <definedName name="PBinstalcost" localSheetId="2">#REF!</definedName>
    <definedName name="PBinstalcost" localSheetId="1">#REF!</definedName>
    <definedName name="PBinstalcost" localSheetId="3">#REF!</definedName>
    <definedName name="PBinstalcost" localSheetId="5">#REF!</definedName>
    <definedName name="PBinstalcost" localSheetId="6">#REF!</definedName>
    <definedName name="PBinstalcost">#REF!</definedName>
    <definedName name="pconv" localSheetId="2">#REF!</definedName>
    <definedName name="pconv" localSheetId="1">#REF!</definedName>
    <definedName name="pconv" localSheetId="3">#REF!</definedName>
    <definedName name="pconv" localSheetId="5">#REF!</definedName>
    <definedName name="pconv" localSheetId="6">#REF!</definedName>
    <definedName name="pconv">#REF!</definedName>
    <definedName name="pconvcable" localSheetId="2">#REF!</definedName>
    <definedName name="pconvcable" localSheetId="1">#REF!</definedName>
    <definedName name="pconvcable" localSheetId="3">#REF!</definedName>
    <definedName name="pconvcable" localSheetId="5">#REF!</definedName>
    <definedName name="pconvcable" localSheetId="6">#REF!</definedName>
    <definedName name="pconvcable">#REF!</definedName>
    <definedName name="percentagemarketcoveredph2" localSheetId="2">#REF!</definedName>
    <definedName name="percentagemarketcoveredph2" localSheetId="1">#REF!</definedName>
    <definedName name="percentagemarketcoveredph2" localSheetId="3">#REF!</definedName>
    <definedName name="percentagemarketcoveredph2" localSheetId="5">#REF!</definedName>
    <definedName name="percentagemarketcoveredph2" localSheetId="6">#REF!</definedName>
    <definedName name="percentagemarketcoveredph2">#REF!</definedName>
    <definedName name="percentagemktcoveredph1a" localSheetId="2">#REF!</definedName>
    <definedName name="percentagemktcoveredph1a" localSheetId="1">#REF!</definedName>
    <definedName name="percentagemktcoveredph1a" localSheetId="3">#REF!</definedName>
    <definedName name="percentagemktcoveredph1a" localSheetId="5">#REF!</definedName>
    <definedName name="percentagemktcoveredph1a" localSheetId="6">#REF!</definedName>
    <definedName name="percentagemktcoveredph1a">#REF!</definedName>
    <definedName name="percentagemktcoveredph1b" localSheetId="2">#REF!</definedName>
    <definedName name="percentagemktcoveredph1b" localSheetId="1">#REF!</definedName>
    <definedName name="percentagemktcoveredph1b" localSheetId="3">#REF!</definedName>
    <definedName name="percentagemktcoveredph1b" localSheetId="5">#REF!</definedName>
    <definedName name="percentagemktcoveredph1b" localSheetId="6">#REF!</definedName>
    <definedName name="percentagemktcoveredph1b">#REF!</definedName>
    <definedName name="percentcables" localSheetId="2">#REF!</definedName>
    <definedName name="percentcables" localSheetId="1">#REF!</definedName>
    <definedName name="percentcables" localSheetId="3">#REF!</definedName>
    <definedName name="percentcables" localSheetId="5">#REF!</definedName>
    <definedName name="percentcables" localSheetId="6">#REF!</definedName>
    <definedName name="percentcables">#REF!</definedName>
    <definedName name="percentcivil" localSheetId="2">#REF!</definedName>
    <definedName name="percentcivil" localSheetId="1">#REF!</definedName>
    <definedName name="percentcivil" localSheetId="3">#REF!</definedName>
    <definedName name="percentcivil" localSheetId="5">#REF!</definedName>
    <definedName name="percentcivil" localSheetId="6">#REF!</definedName>
    <definedName name="percentcivil">#REF!</definedName>
    <definedName name="percentducts" localSheetId="2">#REF!</definedName>
    <definedName name="percentducts" localSheetId="1">#REF!</definedName>
    <definedName name="percentducts" localSheetId="3">#REF!</definedName>
    <definedName name="percentducts" localSheetId="5">#REF!</definedName>
    <definedName name="percentducts" localSheetId="6">#REF!</definedName>
    <definedName name="percentducts">#REF!</definedName>
    <definedName name="percentelectro" localSheetId="2">#REF!</definedName>
    <definedName name="percentelectro" localSheetId="1">#REF!</definedName>
    <definedName name="percentelectro" localSheetId="3">#REF!</definedName>
    <definedName name="percentelectro" localSheetId="5">#REF!</definedName>
    <definedName name="percentelectro" localSheetId="6">#REF!</definedName>
    <definedName name="percentelectro">#REF!</definedName>
    <definedName name="percentland" localSheetId="2">#REF!</definedName>
    <definedName name="percentland" localSheetId="1">#REF!</definedName>
    <definedName name="percentland" localSheetId="3">#REF!</definedName>
    <definedName name="percentland" localSheetId="5">#REF!</definedName>
    <definedName name="percentland" localSheetId="6">#REF!</definedName>
    <definedName name="percentland">#REF!</definedName>
    <definedName name="percentothers" localSheetId="2">#REF!</definedName>
    <definedName name="percentothers" localSheetId="1">#REF!</definedName>
    <definedName name="percentothers" localSheetId="3">#REF!</definedName>
    <definedName name="percentothers" localSheetId="5">#REF!</definedName>
    <definedName name="percentothers" localSheetId="6">#REF!</definedName>
    <definedName name="percentothers">#REF!</definedName>
    <definedName name="percentrow" localSheetId="2">#REF!</definedName>
    <definedName name="percentrow" localSheetId="1">#REF!</definedName>
    <definedName name="percentrow" localSheetId="3">#REF!</definedName>
    <definedName name="percentrow" localSheetId="5">#REF!</definedName>
    <definedName name="percentrow" localSheetId="6">#REF!</definedName>
    <definedName name="percentrow">#REF!</definedName>
    <definedName name="PG_2" localSheetId="2">#REF!</definedName>
    <definedName name="PG_2" localSheetId="1">#REF!</definedName>
    <definedName name="PG_2" localSheetId="3">#REF!</definedName>
    <definedName name="PG_2" localSheetId="5">#REF!</definedName>
    <definedName name="PG_2" localSheetId="6">#REF!</definedName>
    <definedName name="PG_2">#REF!</definedName>
    <definedName name="PG_4" localSheetId="2">#REF!</definedName>
    <definedName name="PG_4" localSheetId="1">#REF!</definedName>
    <definedName name="PG_4" localSheetId="3">#REF!</definedName>
    <definedName name="PG_4" localSheetId="5">#REF!</definedName>
    <definedName name="PG_4" localSheetId="6">#REF!</definedName>
    <definedName name="PG_4">#REF!</definedName>
    <definedName name="PG_5" localSheetId="2">#REF!</definedName>
    <definedName name="PG_5" localSheetId="1">#REF!</definedName>
    <definedName name="PG_5" localSheetId="3">#REF!</definedName>
    <definedName name="PG_5" localSheetId="5">#REF!</definedName>
    <definedName name="PG_5" localSheetId="6">#REF!</definedName>
    <definedName name="PG_5">#REF!</definedName>
    <definedName name="piu" localSheetId="2">#REF!</definedName>
    <definedName name="piu" localSheetId="1">#REF!</definedName>
    <definedName name="piu" localSheetId="3">#REF!</definedName>
    <definedName name="piu" localSheetId="5">#REF!</definedName>
    <definedName name="piu" localSheetId="6">#REF!</definedName>
    <definedName name="piu">#REF!</definedName>
    <definedName name="PkgBrlFlow" localSheetId="2">#REF!</definedName>
    <definedName name="PkgBrlFlow" localSheetId="1">#REF!</definedName>
    <definedName name="PkgBrlFlow" localSheetId="3">#REF!</definedName>
    <definedName name="PkgBrlFlow" localSheetId="5">#REF!</definedName>
    <definedName name="PkgBrlFlow" localSheetId="6">#REF!</definedName>
    <definedName name="PkgBrlFlow">#REF!</definedName>
    <definedName name="pl" localSheetId="2">#REF!</definedName>
    <definedName name="pl" localSheetId="1">#REF!</definedName>
    <definedName name="pl" localSheetId="3">#REF!</definedName>
    <definedName name="pl" localSheetId="5">#REF!</definedName>
    <definedName name="pl" localSheetId="6">#REF!</definedName>
    <definedName name="pl">#REF!</definedName>
    <definedName name="PL1A">#N/A</definedName>
    <definedName name="PL1B">#N/A</definedName>
    <definedName name="PL2A">#N/A</definedName>
    <definedName name="PL2B">#N/A</definedName>
    <definedName name="PL3A">#N/A</definedName>
    <definedName name="PL3B">#N/A</definedName>
    <definedName name="PLAccount" localSheetId="2">#REF!</definedName>
    <definedName name="PLAccount" localSheetId="1">#REF!</definedName>
    <definedName name="PLAccount" localSheetId="3">#REF!</definedName>
    <definedName name="PLAccount" localSheetId="5">#REF!</definedName>
    <definedName name="PLAccount" localSheetId="6">#REF!</definedName>
    <definedName name="PLAccount">#REF!</definedName>
    <definedName name="populationgrowthrate" localSheetId="2">#REF!</definedName>
    <definedName name="populationgrowthrate" localSheetId="1">#REF!</definedName>
    <definedName name="populationgrowthrate" localSheetId="3">#REF!</definedName>
    <definedName name="populationgrowthrate" localSheetId="5">#REF!</definedName>
    <definedName name="populationgrowthrate" localSheetId="6">#REF!</definedName>
    <definedName name="populationgrowthrate">#REF!</definedName>
    <definedName name="pots30if" localSheetId="2">#REF!</definedName>
    <definedName name="pots30if" localSheetId="1">#REF!</definedName>
    <definedName name="pots30if" localSheetId="3">#REF!</definedName>
    <definedName name="pots30if" localSheetId="5">#REF!</definedName>
    <definedName name="pots30if" localSheetId="6">#REF!</definedName>
    <definedName name="pots30if">#REF!</definedName>
    <definedName name="potscable" localSheetId="2">#REF!</definedName>
    <definedName name="potscable" localSheetId="1">#REF!</definedName>
    <definedName name="potscable" localSheetId="3">#REF!</definedName>
    <definedName name="potscable" localSheetId="5">#REF!</definedName>
    <definedName name="potscable" localSheetId="6">#REF!</definedName>
    <definedName name="potscable">#REF!</definedName>
    <definedName name="potsif" localSheetId="2">#REF!</definedName>
    <definedName name="potsif" localSheetId="1">#REF!</definedName>
    <definedName name="potsif" localSheetId="3">#REF!</definedName>
    <definedName name="potsif" localSheetId="5">#REF!</definedName>
    <definedName name="potsif" localSheetId="6">#REF!</definedName>
    <definedName name="potsif">#REF!</definedName>
    <definedName name="premises" localSheetId="2">#REF!</definedName>
    <definedName name="premises" localSheetId="1">#REF!</definedName>
    <definedName name="premises" localSheetId="3">#REF!</definedName>
    <definedName name="premises" localSheetId="5">#REF!</definedName>
    <definedName name="premises" localSheetId="6">#REF!</definedName>
    <definedName name="premises">#REF!</definedName>
    <definedName name="price" localSheetId="2">#REF!</definedName>
    <definedName name="price" localSheetId="1">#REF!</definedName>
    <definedName name="price" localSheetId="3">#REF!</definedName>
    <definedName name="price" localSheetId="5">#REF!</definedName>
    <definedName name="price" localSheetId="6">#REF!</definedName>
    <definedName name="price">#REF!</definedName>
    <definedName name="_xlnm.Print_Area" localSheetId="2">#REF!</definedName>
    <definedName name="_xlnm.Print_Area" localSheetId="1">#REF!</definedName>
    <definedName name="_xlnm.Print_Area" localSheetId="3">#REF!</definedName>
    <definedName name="_xlnm.Print_Area" localSheetId="5">#REF!</definedName>
    <definedName name="_xlnm.Print_Area" localSheetId="6">'Subs Detailed Exp Summary'!$B$4:$J$159</definedName>
    <definedName name="_xlnm.Print_Area">#REF!</definedName>
    <definedName name="Print_Area_MI" localSheetId="2">#REF!</definedName>
    <definedName name="Print_Area_MI" localSheetId="1">#REF!</definedName>
    <definedName name="Print_Area_MI" localSheetId="3">#REF!</definedName>
    <definedName name="Print_Area_MI" localSheetId="5">#REF!</definedName>
    <definedName name="Print_Area_MI" localSheetId="6">#REF!</definedName>
    <definedName name="Print_Area_MI">#REF!</definedName>
    <definedName name="PRINT_SUMMARY" localSheetId="2">#REF!</definedName>
    <definedName name="PRINT_SUMMARY" localSheetId="1">#REF!</definedName>
    <definedName name="PRINT_SUMMARY" localSheetId="3">#REF!</definedName>
    <definedName name="PRINT_SUMMARY" localSheetId="5">#REF!</definedName>
    <definedName name="PRINT_SUMMARY" localSheetId="6">#REF!</definedName>
    <definedName name="PRINT_SUMMARY">#REF!</definedName>
    <definedName name="_xlnm.Print_Titles" localSheetId="2">#REF!,#REF!</definedName>
    <definedName name="_xlnm.Print_Titles" localSheetId="1">#REF!,#REF!</definedName>
    <definedName name="_xlnm.Print_Titles" localSheetId="3">#REF!,#REF!</definedName>
    <definedName name="_xlnm.Print_Titles" localSheetId="5">#REF!,#REF!</definedName>
    <definedName name="_xlnm.Print_Titles" localSheetId="6">#REF!,#REF!</definedName>
    <definedName name="_xlnm.Print_Titles">#REF!,#REF!</definedName>
    <definedName name="Print_Titles_MI" localSheetId="2">#REF!,#REF!</definedName>
    <definedName name="Print_Titles_MI" localSheetId="1">#REF!,#REF!</definedName>
    <definedName name="Print_Titles_MI" localSheetId="3">#REF!,#REF!</definedName>
    <definedName name="Print_Titles_MI" localSheetId="5">#REF!,#REF!</definedName>
    <definedName name="Print_Titles_MI" localSheetId="6">#REF!,#REF!</definedName>
    <definedName name="Print_Titles_MI">#REF!,#REF!</definedName>
    <definedName name="Print1" localSheetId="2">#REF!</definedName>
    <definedName name="Print1" localSheetId="1">#REF!</definedName>
    <definedName name="Print1" localSheetId="3">#REF!</definedName>
    <definedName name="Print1" localSheetId="5">#REF!</definedName>
    <definedName name="Print1" localSheetId="6">#REF!</definedName>
    <definedName name="Print1">#REF!</definedName>
    <definedName name="PrintHanBusinessModel" localSheetId="2">#REF!</definedName>
    <definedName name="PrintHanBusinessModel" localSheetId="1">#REF!</definedName>
    <definedName name="PrintHanBusinessModel" localSheetId="3">#REF!</definedName>
    <definedName name="PrintHanBusinessModel" localSheetId="5">#REF!</definedName>
    <definedName name="PrintHanBusinessModel" localSheetId="6">#REF!</definedName>
    <definedName name="PrintHanBusinessModel">#REF!</definedName>
    <definedName name="PROFIT" localSheetId="2">#REF!</definedName>
    <definedName name="PROFIT" localSheetId="1">#REF!</definedName>
    <definedName name="PROFIT" localSheetId="3">#REF!</definedName>
    <definedName name="PROFIT" localSheetId="5">#REF!</definedName>
    <definedName name="PROFIT" localSheetId="6">#REF!</definedName>
    <definedName name="PROFIT">#REF!</definedName>
    <definedName name="Profit_Loss" localSheetId="2">#REF!</definedName>
    <definedName name="Profit_Loss" localSheetId="1">#REF!</definedName>
    <definedName name="Profit_Loss" localSheetId="3">#REF!</definedName>
    <definedName name="Profit_Loss" localSheetId="5">#REF!</definedName>
    <definedName name="Profit_Loss" localSheetId="6">#REF!</definedName>
    <definedName name="Profit_Loss">#REF!</definedName>
    <definedName name="ProImportExport.ImportFile" localSheetId="2">#REF!</definedName>
    <definedName name="ProImportExport.ImportFile" localSheetId="1">#REF!</definedName>
    <definedName name="ProImportExport.ImportFile" localSheetId="3">#REF!</definedName>
    <definedName name="ProImportExport.ImportFile" localSheetId="5">#REF!</definedName>
    <definedName name="ProImportExport.ImportFile" localSheetId="6">#REF!</definedName>
    <definedName name="ProImportExport.ImportFile">#REF!</definedName>
    <definedName name="ProImportExport.SaveNewFile" localSheetId="2">#REF!</definedName>
    <definedName name="ProImportExport.SaveNewFile" localSheetId="1">#REF!</definedName>
    <definedName name="ProImportExport.SaveNewFile" localSheetId="3">#REF!</definedName>
    <definedName name="ProImportExport.SaveNewFile" localSheetId="5">#REF!</definedName>
    <definedName name="ProImportExport.SaveNewFile" localSheetId="6">#REF!</definedName>
    <definedName name="ProImportExport.SaveNewFile">#REF!</definedName>
    <definedName name="proj" localSheetId="2">#REF!</definedName>
    <definedName name="proj" localSheetId="1">#REF!</definedName>
    <definedName name="proj" localSheetId="3">#REF!</definedName>
    <definedName name="proj" localSheetId="5">#REF!</definedName>
    <definedName name="proj" localSheetId="6">#REF!</definedName>
    <definedName name="proj">#REF!</definedName>
    <definedName name="ProjDesc" localSheetId="2">#REF!</definedName>
    <definedName name="ProjDesc" localSheetId="1">#REF!</definedName>
    <definedName name="ProjDesc" localSheetId="3">#REF!</definedName>
    <definedName name="ProjDesc" localSheetId="5">#REF!</definedName>
    <definedName name="ProjDesc" localSheetId="6">#REF!</definedName>
    <definedName name="ProjDesc">#REF!</definedName>
    <definedName name="PROJECT" localSheetId="2">#REF!</definedName>
    <definedName name="PROJECT" localSheetId="1">#REF!</definedName>
    <definedName name="PROJECT" localSheetId="3">#REF!</definedName>
    <definedName name="PROJECT" localSheetId="5">#REF!</definedName>
    <definedName name="PROJECT" localSheetId="6">#REF!</definedName>
    <definedName name="PROJECT">#REF!</definedName>
    <definedName name="PROJECT_NAME" localSheetId="2">#REF!</definedName>
    <definedName name="PROJECT_NAME" localSheetId="1">#REF!</definedName>
    <definedName name="PROJECT_NAME" localSheetId="3">#REF!</definedName>
    <definedName name="PROJECT_NAME" localSheetId="5">#REF!</definedName>
    <definedName name="PROJECT_NAME" localSheetId="6">#REF!</definedName>
    <definedName name="PROJECT_NAME">#REF!</definedName>
    <definedName name="projected" localSheetId="2">#REF!</definedName>
    <definedName name="projected" localSheetId="1">#REF!</definedName>
    <definedName name="projected" localSheetId="3">#REF!</definedName>
    <definedName name="projected" localSheetId="5">#REF!</definedName>
    <definedName name="projected" localSheetId="6">#REF!</definedName>
    <definedName name="projected">#REF!</definedName>
    <definedName name="ProjectName" localSheetId="2">{"Client Name or Project Name"}</definedName>
    <definedName name="ProjectName" localSheetId="1">{"Client Name or Project Name"}</definedName>
    <definedName name="ProjectName" localSheetId="3">{"Client Name or Project Name"}</definedName>
    <definedName name="ProjectName" localSheetId="4">{"Client Name or Project Name"}</definedName>
    <definedName name="ProjectName" localSheetId="5">{"Client Name or Project Name"}</definedName>
    <definedName name="ProjectName" localSheetId="6">{"Client Name or Project Name"}</definedName>
    <definedName name="ProjectName">{"Client Name or Project Name"}</definedName>
    <definedName name="ProjName" localSheetId="2">#REF!</definedName>
    <definedName name="ProjName" localSheetId="1">#REF!</definedName>
    <definedName name="ProjName" localSheetId="3">#REF!</definedName>
    <definedName name="ProjName" localSheetId="5">#REF!</definedName>
    <definedName name="ProjName" localSheetId="6">#REF!</definedName>
    <definedName name="ProjName">#REF!</definedName>
    <definedName name="provision" localSheetId="2">#REF!</definedName>
    <definedName name="provision" localSheetId="1">#REF!</definedName>
    <definedName name="provision" localSheetId="3">#REF!</definedName>
    <definedName name="provision" localSheetId="5">#REF!</definedName>
    <definedName name="provision" localSheetId="6">#REF!</definedName>
    <definedName name="provision">#REF!</definedName>
    <definedName name="PrtMajMaint" localSheetId="2">#REF!</definedName>
    <definedName name="PrtMajMaint" localSheetId="1">#REF!</definedName>
    <definedName name="PrtMajMaint" localSheetId="3">#REF!</definedName>
    <definedName name="PrtMajMaint" localSheetId="5">#REF!</definedName>
    <definedName name="PrtMajMaint" localSheetId="6">#REF!</definedName>
    <definedName name="PrtMajMaint">#REF!</definedName>
    <definedName name="PrtOffsite" localSheetId="2">#REF!</definedName>
    <definedName name="PrtOffsite" localSheetId="1">#REF!</definedName>
    <definedName name="PrtOffsite" localSheetId="3">#REF!</definedName>
    <definedName name="PrtOffsite" localSheetId="5">#REF!</definedName>
    <definedName name="PrtOffsite" localSheetId="6">#REF!</definedName>
    <definedName name="PrtOffsite">#REF!</definedName>
    <definedName name="PrtPrecomm" localSheetId="2">#REF!</definedName>
    <definedName name="PrtPrecomm" localSheetId="1">#REF!</definedName>
    <definedName name="PrtPrecomm" localSheetId="3">#REF!</definedName>
    <definedName name="PrtPrecomm" localSheetId="5">#REF!</definedName>
    <definedName name="PrtPrecomm" localSheetId="6">#REF!</definedName>
    <definedName name="PrtPrecomm">#REF!</definedName>
    <definedName name="PrtSetup" localSheetId="2">#REF!</definedName>
    <definedName name="PrtSetup" localSheetId="1">#REF!</definedName>
    <definedName name="PrtSetup" localSheetId="3">#REF!</definedName>
    <definedName name="PrtSetup" localSheetId="5">#REF!</definedName>
    <definedName name="PrtSetup" localSheetId="6">#REF!</definedName>
    <definedName name="PrtSetup">#REF!</definedName>
    <definedName name="Ptas" localSheetId="2">#REF!</definedName>
    <definedName name="Ptas" localSheetId="1">#REF!</definedName>
    <definedName name="Ptas" localSheetId="3">#REF!</definedName>
    <definedName name="Ptas" localSheetId="5">#REF!</definedName>
    <definedName name="Ptas" localSheetId="6">#REF!</definedName>
    <definedName name="Ptas">#REF!</definedName>
    <definedName name="pullingcost" localSheetId="2">#REF!</definedName>
    <definedName name="pullingcost" localSheetId="1">#REF!</definedName>
    <definedName name="pullingcost" localSheetId="3">#REF!</definedName>
    <definedName name="pullingcost" localSheetId="5">#REF!</definedName>
    <definedName name="pullingcost" localSheetId="6">#REF!</definedName>
    <definedName name="pullingcost">#REF!</definedName>
    <definedName name="pun_num_bqs" localSheetId="2">#REF!</definedName>
    <definedName name="pun_num_bqs" localSheetId="1">#REF!</definedName>
    <definedName name="pun_num_bqs" localSheetId="3">#REF!</definedName>
    <definedName name="pun_num_bqs" localSheetId="5">#REF!</definedName>
    <definedName name="pun_num_bqs" localSheetId="6">#REF!</definedName>
    <definedName name="pun_num_bqs">#REF!</definedName>
    <definedName name="pun_num_hoarding" localSheetId="2">#REF!</definedName>
    <definedName name="pun_num_hoarding" localSheetId="1">#REF!</definedName>
    <definedName name="pun_num_hoarding" localSheetId="3">#REF!</definedName>
    <definedName name="pun_num_hoarding" localSheetId="5">#REF!</definedName>
    <definedName name="pun_num_hoarding" localSheetId="6">#REF!</definedName>
    <definedName name="pun_num_hoarding">#REF!</definedName>
    <definedName name="pun_num_kiosk" localSheetId="2">#REF!</definedName>
    <definedName name="pun_num_kiosk" localSheetId="1">#REF!</definedName>
    <definedName name="pun_num_kiosk" localSheetId="3">#REF!</definedName>
    <definedName name="pun_num_kiosk" localSheetId="5">#REF!</definedName>
    <definedName name="pun_num_kiosk" localSheetId="6">#REF!</definedName>
    <definedName name="pun_num_kiosk">#REF!</definedName>
    <definedName name="pun_num_utility" localSheetId="2">#REF!</definedName>
    <definedName name="pun_num_utility" localSheetId="1">#REF!</definedName>
    <definedName name="pun_num_utility" localSheetId="3">#REF!</definedName>
    <definedName name="pun_num_utility" localSheetId="5">#REF!</definedName>
    <definedName name="pun_num_utility" localSheetId="6">#REF!</definedName>
    <definedName name="pun_num_utility">#REF!</definedName>
    <definedName name="pun_occrate_bqs" localSheetId="2">#REF!</definedName>
    <definedName name="pun_occrate_bqs" localSheetId="1">#REF!</definedName>
    <definedName name="pun_occrate_bqs" localSheetId="3">#REF!</definedName>
    <definedName name="pun_occrate_bqs" localSheetId="5">#REF!</definedName>
    <definedName name="pun_occrate_bqs" localSheetId="6">#REF!</definedName>
    <definedName name="pun_occrate_bqs">#REF!</definedName>
    <definedName name="pun_occrate_hoarding" localSheetId="2">#REF!</definedName>
    <definedName name="pun_occrate_hoarding" localSheetId="1">#REF!</definedName>
    <definedName name="pun_occrate_hoarding" localSheetId="3">#REF!</definedName>
    <definedName name="pun_occrate_hoarding" localSheetId="5">#REF!</definedName>
    <definedName name="pun_occrate_hoarding" localSheetId="6">#REF!</definedName>
    <definedName name="pun_occrate_hoarding">#REF!</definedName>
    <definedName name="pun_occrate_kiosk" localSheetId="2">#REF!</definedName>
    <definedName name="pun_occrate_kiosk" localSheetId="1">#REF!</definedName>
    <definedName name="pun_occrate_kiosk" localSheetId="3">#REF!</definedName>
    <definedName name="pun_occrate_kiosk" localSheetId="5">#REF!</definedName>
    <definedName name="pun_occrate_kiosk" localSheetId="6">#REF!</definedName>
    <definedName name="pun_occrate_kiosk">#REF!</definedName>
    <definedName name="pun_occrate_utility" localSheetId="2">#REF!</definedName>
    <definedName name="pun_occrate_utility" localSheetId="1">#REF!</definedName>
    <definedName name="pun_occrate_utility" localSheetId="3">#REF!</definedName>
    <definedName name="pun_occrate_utility" localSheetId="5">#REF!</definedName>
    <definedName name="pun_occrate_utility" localSheetId="6">#REF!</definedName>
    <definedName name="pun_occrate_utility">#REF!</definedName>
    <definedName name="Q" localSheetId="2">#REF!</definedName>
    <definedName name="Q" localSheetId="1">#REF!</definedName>
    <definedName name="Q" localSheetId="3">#REF!</definedName>
    <definedName name="Q" localSheetId="5">#REF!</definedName>
    <definedName name="Q" localSheetId="6">#REF!</definedName>
    <definedName name="Q">#REF!</definedName>
    <definedName name="Q1Vsmonths" localSheetId="2">#REF!</definedName>
    <definedName name="Q1Vsmonths" localSheetId="1">#REF!</definedName>
    <definedName name="Q1Vsmonths" localSheetId="3">#REF!</definedName>
    <definedName name="Q1Vsmonths" localSheetId="5">#REF!</definedName>
    <definedName name="Q1Vsmonths" localSheetId="6">#REF!</definedName>
    <definedName name="Q1Vsmonths">#REF!</definedName>
    <definedName name="qwe" localSheetId="2">#REF!</definedName>
    <definedName name="qwe" localSheetId="1">#REF!</definedName>
    <definedName name="qwe" localSheetId="3">#REF!</definedName>
    <definedName name="qwe" localSheetId="5">#REF!</definedName>
    <definedName name="qwe" localSheetId="6">#REF!</definedName>
    <definedName name="qwe">#REF!</definedName>
    <definedName name="qzqzqz10" localSheetId="2">#REF!</definedName>
    <definedName name="qzqzqz10" localSheetId="1">#REF!</definedName>
    <definedName name="qzqzqz10" localSheetId="3">#REF!</definedName>
    <definedName name="qzqzqz10" localSheetId="5">#REF!</definedName>
    <definedName name="qzqzqz10" localSheetId="6">#REF!</definedName>
    <definedName name="qzqzqz10">#REF!</definedName>
    <definedName name="qzqzqz11" localSheetId="2">#REF!</definedName>
    <definedName name="qzqzqz11" localSheetId="1">#REF!</definedName>
    <definedName name="qzqzqz11" localSheetId="3">#REF!</definedName>
    <definedName name="qzqzqz11" localSheetId="5">#REF!</definedName>
    <definedName name="qzqzqz11" localSheetId="6">#REF!</definedName>
    <definedName name="qzqzqz11">#REF!</definedName>
    <definedName name="qzqzqz12" localSheetId="2">#REF!</definedName>
    <definedName name="qzqzqz12" localSheetId="1">#REF!</definedName>
    <definedName name="qzqzqz12" localSheetId="3">#REF!</definedName>
    <definedName name="qzqzqz12" localSheetId="5">#REF!</definedName>
    <definedName name="qzqzqz12" localSheetId="6">#REF!</definedName>
    <definedName name="qzqzqz12">#REF!</definedName>
    <definedName name="qzqzqz13" localSheetId="2">#REF!</definedName>
    <definedName name="qzqzqz13" localSheetId="1">#REF!</definedName>
    <definedName name="qzqzqz13" localSheetId="3">#REF!</definedName>
    <definedName name="qzqzqz13" localSheetId="5">#REF!</definedName>
    <definedName name="qzqzqz13" localSheetId="6">#REF!</definedName>
    <definedName name="qzqzqz13">#REF!</definedName>
    <definedName name="qzqzqz14" localSheetId="2">#REF!</definedName>
    <definedName name="qzqzqz14" localSheetId="1">#REF!</definedName>
    <definedName name="qzqzqz14" localSheetId="3">#REF!</definedName>
    <definedName name="qzqzqz14" localSheetId="5">#REF!</definedName>
    <definedName name="qzqzqz14" localSheetId="6">#REF!</definedName>
    <definedName name="qzqzqz14">#REF!</definedName>
    <definedName name="qzqzqz15" localSheetId="2">#REF!</definedName>
    <definedName name="qzqzqz15" localSheetId="1">#REF!</definedName>
    <definedName name="qzqzqz15" localSheetId="3">#REF!</definedName>
    <definedName name="qzqzqz15" localSheetId="5">#REF!</definedName>
    <definedName name="qzqzqz15" localSheetId="6">#REF!</definedName>
    <definedName name="qzqzqz15">#REF!</definedName>
    <definedName name="qzqzqz16" localSheetId="2">#REF!</definedName>
    <definedName name="qzqzqz16" localSheetId="1">#REF!</definedName>
    <definedName name="qzqzqz16" localSheetId="3">#REF!</definedName>
    <definedName name="qzqzqz16" localSheetId="5">#REF!</definedName>
    <definedName name="qzqzqz16" localSheetId="6">#REF!</definedName>
    <definedName name="qzqzqz16">#REF!</definedName>
    <definedName name="qzqzqz17" localSheetId="2">#REF!</definedName>
    <definedName name="qzqzqz17" localSheetId="1">#REF!</definedName>
    <definedName name="qzqzqz17" localSheetId="3">#REF!</definedName>
    <definedName name="qzqzqz17" localSheetId="5">#REF!</definedName>
    <definedName name="qzqzqz17" localSheetId="6">#REF!</definedName>
    <definedName name="qzqzqz17">#REF!</definedName>
    <definedName name="qzqzqz18" localSheetId="2">#REF!</definedName>
    <definedName name="qzqzqz18" localSheetId="1">#REF!</definedName>
    <definedName name="qzqzqz18" localSheetId="3">#REF!</definedName>
    <definedName name="qzqzqz18" localSheetId="5">#REF!</definedName>
    <definedName name="qzqzqz18" localSheetId="6">#REF!</definedName>
    <definedName name="qzqzqz18">#REF!</definedName>
    <definedName name="qzqzqz19" localSheetId="2">#REF!</definedName>
    <definedName name="qzqzqz19" localSheetId="1">#REF!</definedName>
    <definedName name="qzqzqz19" localSheetId="3">#REF!</definedName>
    <definedName name="qzqzqz19" localSheetId="5">#REF!</definedName>
    <definedName name="qzqzqz19" localSheetId="6">#REF!</definedName>
    <definedName name="qzqzqz19">#REF!</definedName>
    <definedName name="qzqzqz20" localSheetId="2">#REF!</definedName>
    <definedName name="qzqzqz20" localSheetId="1">#REF!</definedName>
    <definedName name="qzqzqz20" localSheetId="3">#REF!</definedName>
    <definedName name="qzqzqz20" localSheetId="5">#REF!</definedName>
    <definedName name="qzqzqz20" localSheetId="6">#REF!</definedName>
    <definedName name="qzqzqz20">#REF!</definedName>
    <definedName name="qzqzqz21" localSheetId="2">#REF!</definedName>
    <definedName name="qzqzqz21" localSheetId="1">#REF!</definedName>
    <definedName name="qzqzqz21" localSheetId="3">#REF!</definedName>
    <definedName name="qzqzqz21" localSheetId="5">#REF!</definedName>
    <definedName name="qzqzqz21" localSheetId="6">#REF!</definedName>
    <definedName name="qzqzqz21">#REF!</definedName>
    <definedName name="qzqzqz22" localSheetId="2">#REF!</definedName>
    <definedName name="qzqzqz22" localSheetId="1">#REF!</definedName>
    <definedName name="qzqzqz22" localSheetId="3">#REF!</definedName>
    <definedName name="qzqzqz22" localSheetId="5">#REF!</definedName>
    <definedName name="qzqzqz22" localSheetId="6">#REF!</definedName>
    <definedName name="qzqzqz22">#REF!</definedName>
    <definedName name="qzqzqz23" localSheetId="2">#REF!</definedName>
    <definedName name="qzqzqz23" localSheetId="1">#REF!</definedName>
    <definedName name="qzqzqz23" localSheetId="3">#REF!</definedName>
    <definedName name="qzqzqz23" localSheetId="5">#REF!</definedName>
    <definedName name="qzqzqz23" localSheetId="6">#REF!</definedName>
    <definedName name="qzqzqz23">#REF!</definedName>
    <definedName name="qzqzqz24" localSheetId="2">#REF!</definedName>
    <definedName name="qzqzqz24" localSheetId="1">#REF!</definedName>
    <definedName name="qzqzqz24" localSheetId="3">#REF!</definedName>
    <definedName name="qzqzqz24" localSheetId="5">#REF!</definedName>
    <definedName name="qzqzqz24" localSheetId="6">#REF!</definedName>
    <definedName name="qzqzqz24">#REF!</definedName>
    <definedName name="qzqzqz25" localSheetId="2">#REF!</definedName>
    <definedName name="qzqzqz25" localSheetId="1">#REF!</definedName>
    <definedName name="qzqzqz25" localSheetId="3">#REF!</definedName>
    <definedName name="qzqzqz25" localSheetId="5">#REF!</definedName>
    <definedName name="qzqzqz25" localSheetId="6">#REF!</definedName>
    <definedName name="qzqzqz25">#REF!</definedName>
    <definedName name="qzqzqz26" localSheetId="2">#REF!</definedName>
    <definedName name="qzqzqz26" localSheetId="1">#REF!</definedName>
    <definedName name="qzqzqz26" localSheetId="3">#REF!</definedName>
    <definedName name="qzqzqz26" localSheetId="5">#REF!</definedName>
    <definedName name="qzqzqz26" localSheetId="6">#REF!</definedName>
    <definedName name="qzqzqz26">#REF!</definedName>
    <definedName name="qzqzqz27" localSheetId="2">#REF!</definedName>
    <definedName name="qzqzqz27" localSheetId="1">#REF!</definedName>
    <definedName name="qzqzqz27" localSheetId="3">#REF!</definedName>
    <definedName name="qzqzqz27" localSheetId="5">#REF!</definedName>
    <definedName name="qzqzqz27" localSheetId="6">#REF!</definedName>
    <definedName name="qzqzqz27">#REF!</definedName>
    <definedName name="qzqzqz28" localSheetId="2">#REF!</definedName>
    <definedName name="qzqzqz28" localSheetId="1">#REF!</definedName>
    <definedName name="qzqzqz28" localSheetId="3">#REF!</definedName>
    <definedName name="qzqzqz28" localSheetId="5">#REF!</definedName>
    <definedName name="qzqzqz28" localSheetId="6">#REF!</definedName>
    <definedName name="qzqzqz28">#REF!</definedName>
    <definedName name="qzqzqz29" localSheetId="2">#REF!</definedName>
    <definedName name="qzqzqz29" localSheetId="1">#REF!</definedName>
    <definedName name="qzqzqz29" localSheetId="3">#REF!</definedName>
    <definedName name="qzqzqz29" localSheetId="5">#REF!</definedName>
    <definedName name="qzqzqz29" localSheetId="6">#REF!</definedName>
    <definedName name="qzqzqz29">#REF!</definedName>
    <definedName name="qzqzqz30" localSheetId="2">#REF!</definedName>
    <definedName name="qzqzqz30" localSheetId="1">#REF!</definedName>
    <definedName name="qzqzqz30" localSheetId="3">#REF!</definedName>
    <definedName name="qzqzqz30" localSheetId="5">#REF!</definedName>
    <definedName name="qzqzqz30" localSheetId="6">#REF!</definedName>
    <definedName name="qzqzqz30">#REF!</definedName>
    <definedName name="qzqzqz31" localSheetId="2">#REF!</definedName>
    <definedName name="qzqzqz31" localSheetId="1">#REF!</definedName>
    <definedName name="qzqzqz31" localSheetId="3">#REF!</definedName>
    <definedName name="qzqzqz31" localSheetId="5">#REF!</definedName>
    <definedName name="qzqzqz31" localSheetId="6">#REF!</definedName>
    <definedName name="qzqzqz31">#REF!</definedName>
    <definedName name="qzqzqz32" localSheetId="2">#REF!</definedName>
    <definedName name="qzqzqz32" localSheetId="1">#REF!</definedName>
    <definedName name="qzqzqz32" localSheetId="3">#REF!</definedName>
    <definedName name="qzqzqz32" localSheetId="5">#REF!</definedName>
    <definedName name="qzqzqz32" localSheetId="6">#REF!</definedName>
    <definedName name="qzqzqz32">#REF!</definedName>
    <definedName name="qzqzqz33" localSheetId="2">#REF!</definedName>
    <definedName name="qzqzqz33" localSheetId="1">#REF!</definedName>
    <definedName name="qzqzqz33" localSheetId="3">#REF!</definedName>
    <definedName name="qzqzqz33" localSheetId="5">#REF!</definedName>
    <definedName name="qzqzqz33" localSheetId="6">#REF!</definedName>
    <definedName name="qzqzqz33">#REF!</definedName>
    <definedName name="qzqzqz34" localSheetId="2">#REF!</definedName>
    <definedName name="qzqzqz34" localSheetId="1">#REF!</definedName>
    <definedName name="qzqzqz34" localSheetId="3">#REF!</definedName>
    <definedName name="qzqzqz34" localSheetId="5">#REF!</definedName>
    <definedName name="qzqzqz34" localSheetId="6">#REF!</definedName>
    <definedName name="qzqzqz34">#REF!</definedName>
    <definedName name="qzqzqz35" localSheetId="2">#REF!</definedName>
    <definedName name="qzqzqz35" localSheetId="1">#REF!</definedName>
    <definedName name="qzqzqz35" localSheetId="3">#REF!</definedName>
    <definedName name="qzqzqz35" localSheetId="5">#REF!</definedName>
    <definedName name="qzqzqz35" localSheetId="6">#REF!</definedName>
    <definedName name="qzqzqz35">#REF!</definedName>
    <definedName name="qzqzqz36" localSheetId="2">#REF!</definedName>
    <definedName name="qzqzqz36" localSheetId="1">#REF!</definedName>
    <definedName name="qzqzqz36" localSheetId="3">#REF!</definedName>
    <definedName name="qzqzqz36" localSheetId="5">#REF!</definedName>
    <definedName name="qzqzqz36" localSheetId="6">#REF!</definedName>
    <definedName name="qzqzqz36">#REF!</definedName>
    <definedName name="qzqzqz37" localSheetId="2">#REF!</definedName>
    <definedName name="qzqzqz37" localSheetId="1">#REF!</definedName>
    <definedName name="qzqzqz37" localSheetId="3">#REF!</definedName>
    <definedName name="qzqzqz37" localSheetId="5">#REF!</definedName>
    <definedName name="qzqzqz37" localSheetId="6">#REF!</definedName>
    <definedName name="qzqzqz37">#REF!</definedName>
    <definedName name="qzqzqz38" localSheetId="2">#REF!</definedName>
    <definedName name="qzqzqz38" localSheetId="1">#REF!</definedName>
    <definedName name="qzqzqz38" localSheetId="3">#REF!</definedName>
    <definedName name="qzqzqz38" localSheetId="5">#REF!</definedName>
    <definedName name="qzqzqz38" localSheetId="6">#REF!</definedName>
    <definedName name="qzqzqz38">#REF!</definedName>
    <definedName name="qzqzqz39" localSheetId="2">#REF!</definedName>
    <definedName name="qzqzqz39" localSheetId="1">#REF!</definedName>
    <definedName name="qzqzqz39" localSheetId="3">#REF!</definedName>
    <definedName name="qzqzqz39" localSheetId="5">#REF!</definedName>
    <definedName name="qzqzqz39" localSheetId="6">#REF!</definedName>
    <definedName name="qzqzqz39">#REF!</definedName>
    <definedName name="qzqzqz40" localSheetId="2">#REF!</definedName>
    <definedName name="qzqzqz40" localSheetId="1">#REF!</definedName>
    <definedName name="qzqzqz40" localSheetId="3">#REF!</definedName>
    <definedName name="qzqzqz40" localSheetId="5">#REF!</definedName>
    <definedName name="qzqzqz40" localSheetId="6">#REF!</definedName>
    <definedName name="qzqzqz40">#REF!</definedName>
    <definedName name="qzqzqz41" localSheetId="2">#REF!</definedName>
    <definedName name="qzqzqz41" localSheetId="1">#REF!</definedName>
    <definedName name="qzqzqz41" localSheetId="3">#REF!</definedName>
    <definedName name="qzqzqz41" localSheetId="5">#REF!</definedName>
    <definedName name="qzqzqz41" localSheetId="6">#REF!</definedName>
    <definedName name="qzqzqz41">#REF!</definedName>
    <definedName name="qzqzqz42" localSheetId="2">#REF!</definedName>
    <definedName name="qzqzqz42" localSheetId="1">#REF!</definedName>
    <definedName name="qzqzqz42" localSheetId="3">#REF!</definedName>
    <definedName name="qzqzqz42" localSheetId="5">#REF!</definedName>
    <definedName name="qzqzqz42" localSheetId="6">#REF!</definedName>
    <definedName name="qzqzqz42">#REF!</definedName>
    <definedName name="qzqzqz43" localSheetId="2">#REF!</definedName>
    <definedName name="qzqzqz43" localSheetId="1">#REF!</definedName>
    <definedName name="qzqzqz43" localSheetId="3">#REF!</definedName>
    <definedName name="qzqzqz43" localSheetId="5">#REF!</definedName>
    <definedName name="qzqzqz43" localSheetId="6">#REF!</definedName>
    <definedName name="qzqzqz43">#REF!</definedName>
    <definedName name="qzqzqz44" localSheetId="2">#REF!</definedName>
    <definedName name="qzqzqz44" localSheetId="1">#REF!</definedName>
    <definedName name="qzqzqz44" localSheetId="3">#REF!</definedName>
    <definedName name="qzqzqz44" localSheetId="5">#REF!</definedName>
    <definedName name="qzqzqz44" localSheetId="6">#REF!</definedName>
    <definedName name="qzqzqz44">#REF!</definedName>
    <definedName name="qzqzqz45" localSheetId="2">#REF!</definedName>
    <definedName name="qzqzqz45" localSheetId="1">#REF!</definedName>
    <definedName name="qzqzqz45" localSheetId="3">#REF!</definedName>
    <definedName name="qzqzqz45" localSheetId="5">#REF!</definedName>
    <definedName name="qzqzqz45" localSheetId="6">#REF!</definedName>
    <definedName name="qzqzqz45">#REF!</definedName>
    <definedName name="qzqzqz46" localSheetId="2">#REF!</definedName>
    <definedName name="qzqzqz46" localSheetId="1">#REF!</definedName>
    <definedName name="qzqzqz46" localSheetId="3">#REF!</definedName>
    <definedName name="qzqzqz46" localSheetId="5">#REF!</definedName>
    <definedName name="qzqzqz46" localSheetId="6">#REF!</definedName>
    <definedName name="qzqzqz46">#REF!</definedName>
    <definedName name="qzqzqz47" localSheetId="2">#REF!</definedName>
    <definedName name="qzqzqz47" localSheetId="1">#REF!</definedName>
    <definedName name="qzqzqz47" localSheetId="3">#REF!</definedName>
    <definedName name="qzqzqz47" localSheetId="5">#REF!</definedName>
    <definedName name="qzqzqz47" localSheetId="6">#REF!</definedName>
    <definedName name="qzqzqz47">#REF!</definedName>
    <definedName name="qzqzqz48" localSheetId="2">#REF!</definedName>
    <definedName name="qzqzqz48" localSheetId="1">#REF!</definedName>
    <definedName name="qzqzqz48" localSheetId="3">#REF!</definedName>
    <definedName name="qzqzqz48" localSheetId="5">#REF!</definedName>
    <definedName name="qzqzqz48" localSheetId="6">#REF!</definedName>
    <definedName name="qzqzqz48">#REF!</definedName>
    <definedName name="qzqzqz49" localSheetId="2">#REF!</definedName>
    <definedName name="qzqzqz49" localSheetId="1">#REF!</definedName>
    <definedName name="qzqzqz49" localSheetId="3">#REF!</definedName>
    <definedName name="qzqzqz49" localSheetId="5">#REF!</definedName>
    <definedName name="qzqzqz49" localSheetId="6">#REF!</definedName>
    <definedName name="qzqzqz49">#REF!</definedName>
    <definedName name="qzqzqz50" localSheetId="2">#REF!</definedName>
    <definedName name="qzqzqz50" localSheetId="1">#REF!</definedName>
    <definedName name="qzqzqz50" localSheetId="3">#REF!</definedName>
    <definedName name="qzqzqz50" localSheetId="5">#REF!</definedName>
    <definedName name="qzqzqz50" localSheetId="6">#REF!</definedName>
    <definedName name="qzqzqz50">#REF!</definedName>
    <definedName name="qzqzqz51" localSheetId="2">#REF!</definedName>
    <definedName name="qzqzqz51" localSheetId="1">#REF!</definedName>
    <definedName name="qzqzqz51" localSheetId="3">#REF!</definedName>
    <definedName name="qzqzqz51" localSheetId="5">#REF!</definedName>
    <definedName name="qzqzqz51" localSheetId="6">#REF!</definedName>
    <definedName name="qzqzqz51">#REF!</definedName>
    <definedName name="qzqzqz52" localSheetId="2">#REF!</definedName>
    <definedName name="qzqzqz52" localSheetId="1">#REF!</definedName>
    <definedName name="qzqzqz52" localSheetId="3">#REF!</definedName>
    <definedName name="qzqzqz52" localSheetId="5">#REF!</definedName>
    <definedName name="qzqzqz52" localSheetId="6">#REF!</definedName>
    <definedName name="qzqzqz52">#REF!</definedName>
    <definedName name="qzqzqz53" localSheetId="2">#REF!</definedName>
    <definedName name="qzqzqz53" localSheetId="1">#REF!</definedName>
    <definedName name="qzqzqz53" localSheetId="3">#REF!</definedName>
    <definedName name="qzqzqz53" localSheetId="5">#REF!</definedName>
    <definedName name="qzqzqz53" localSheetId="6">#REF!</definedName>
    <definedName name="qzqzqz53">#REF!</definedName>
    <definedName name="qzqzqz54" localSheetId="2">#REF!</definedName>
    <definedName name="qzqzqz54" localSheetId="1">#REF!</definedName>
    <definedName name="qzqzqz54" localSheetId="3">#REF!</definedName>
    <definedName name="qzqzqz54" localSheetId="5">#REF!</definedName>
    <definedName name="qzqzqz54" localSheetId="6">#REF!</definedName>
    <definedName name="qzqzqz54">#REF!</definedName>
    <definedName name="qzqzqz55" localSheetId="2">#REF!</definedName>
    <definedName name="qzqzqz55" localSheetId="1">#REF!</definedName>
    <definedName name="qzqzqz55" localSheetId="3">#REF!</definedName>
    <definedName name="qzqzqz55" localSheetId="5">#REF!</definedName>
    <definedName name="qzqzqz55" localSheetId="6">#REF!</definedName>
    <definedName name="qzqzqz55">#REF!</definedName>
    <definedName name="qzqzqz56" localSheetId="2">#REF!</definedName>
    <definedName name="qzqzqz56" localSheetId="1">#REF!</definedName>
    <definedName name="qzqzqz56" localSheetId="3">#REF!</definedName>
    <definedName name="qzqzqz56" localSheetId="5">#REF!</definedName>
    <definedName name="qzqzqz56" localSheetId="6">#REF!</definedName>
    <definedName name="qzqzqz56">#REF!</definedName>
    <definedName name="qzqzqz57" localSheetId="2">#REF!</definedName>
    <definedName name="qzqzqz57" localSheetId="1">#REF!</definedName>
    <definedName name="qzqzqz57" localSheetId="3">#REF!</definedName>
    <definedName name="qzqzqz57" localSheetId="5">#REF!</definedName>
    <definedName name="qzqzqz57" localSheetId="6">#REF!</definedName>
    <definedName name="qzqzqz57">#REF!</definedName>
    <definedName name="qzqzqz58" localSheetId="2">#REF!</definedName>
    <definedName name="qzqzqz58" localSheetId="1">#REF!</definedName>
    <definedName name="qzqzqz58" localSheetId="3">#REF!</definedName>
    <definedName name="qzqzqz58" localSheetId="5">#REF!</definedName>
    <definedName name="qzqzqz58" localSheetId="6">#REF!</definedName>
    <definedName name="qzqzqz58">#REF!</definedName>
    <definedName name="qzqzqz59" localSheetId="2">#REF!</definedName>
    <definedName name="qzqzqz59" localSheetId="1">#REF!</definedName>
    <definedName name="qzqzqz59" localSheetId="3">#REF!</definedName>
    <definedName name="qzqzqz59" localSheetId="5">#REF!</definedName>
    <definedName name="qzqzqz59" localSheetId="6">#REF!</definedName>
    <definedName name="qzqzqz59">#REF!</definedName>
    <definedName name="qzqzqz6" localSheetId="2">#REF!</definedName>
    <definedName name="qzqzqz6" localSheetId="1">#REF!</definedName>
    <definedName name="qzqzqz6" localSheetId="3">#REF!</definedName>
    <definedName name="qzqzqz6" localSheetId="5">#REF!</definedName>
    <definedName name="qzqzqz6" localSheetId="6">#REF!</definedName>
    <definedName name="qzqzqz6">#REF!</definedName>
    <definedName name="qzqzqz60" localSheetId="2">#REF!</definedName>
    <definedName name="qzqzqz60" localSheetId="1">#REF!</definedName>
    <definedName name="qzqzqz60" localSheetId="3">#REF!</definedName>
    <definedName name="qzqzqz60" localSheetId="5">#REF!</definedName>
    <definedName name="qzqzqz60" localSheetId="6">#REF!</definedName>
    <definedName name="qzqzqz60">#REF!</definedName>
    <definedName name="qzqzqz61" localSheetId="2">#REF!</definedName>
    <definedName name="qzqzqz61" localSheetId="1">#REF!</definedName>
    <definedName name="qzqzqz61" localSheetId="3">#REF!</definedName>
    <definedName name="qzqzqz61" localSheetId="5">#REF!</definedName>
    <definedName name="qzqzqz61" localSheetId="6">#REF!</definedName>
    <definedName name="qzqzqz61">#REF!</definedName>
    <definedName name="qzqzqz7" localSheetId="2">#REF!</definedName>
    <definedName name="qzqzqz7" localSheetId="1">#REF!</definedName>
    <definedName name="qzqzqz7" localSheetId="3">#REF!</definedName>
    <definedName name="qzqzqz7" localSheetId="5">#REF!</definedName>
    <definedName name="qzqzqz7" localSheetId="6">#REF!</definedName>
    <definedName name="qzqzqz7">#REF!</definedName>
    <definedName name="qzqzqz8" localSheetId="2">#REF!</definedName>
    <definedName name="qzqzqz8" localSheetId="1">#REF!</definedName>
    <definedName name="qzqzqz8" localSheetId="3">#REF!</definedName>
    <definedName name="qzqzqz8" localSheetId="5">#REF!</definedName>
    <definedName name="qzqzqz8" localSheetId="6">#REF!</definedName>
    <definedName name="qzqzqz8">#REF!</definedName>
    <definedName name="qzqzqz9" localSheetId="2">#REF!</definedName>
    <definedName name="qzqzqz9" localSheetId="1">#REF!</definedName>
    <definedName name="qzqzqz9" localSheetId="3">#REF!</definedName>
    <definedName name="qzqzqz9" localSheetId="5">#REF!</definedName>
    <definedName name="qzqzqz9" localSheetId="6">#REF!</definedName>
    <definedName name="qzqzqz9">#REF!</definedName>
    <definedName name="rate_dep_acplant" localSheetId="2">#REF!</definedName>
    <definedName name="rate_dep_acplant" localSheetId="1">#REF!</definedName>
    <definedName name="rate_dep_acplant" localSheetId="3">#REF!</definedName>
    <definedName name="rate_dep_acplant" localSheetId="5">#REF!</definedName>
    <definedName name="rate_dep_acplant" localSheetId="6">#REF!</definedName>
    <definedName name="rate_dep_acplant">#REF!</definedName>
    <definedName name="rate_dep_building" localSheetId="2">#REF!</definedName>
    <definedName name="rate_dep_building" localSheetId="1">#REF!</definedName>
    <definedName name="rate_dep_building" localSheetId="3">#REF!</definedName>
    <definedName name="rate_dep_building" localSheetId="5">#REF!</definedName>
    <definedName name="rate_dep_building" localSheetId="6">#REF!</definedName>
    <definedName name="rate_dep_building">#REF!</definedName>
    <definedName name="rate_dep_computer" localSheetId="2">#REF!</definedName>
    <definedName name="rate_dep_computer" localSheetId="1">#REF!</definedName>
    <definedName name="rate_dep_computer" localSheetId="3">#REF!</definedName>
    <definedName name="rate_dep_computer" localSheetId="5">#REF!</definedName>
    <definedName name="rate_dep_computer" localSheetId="6">#REF!</definedName>
    <definedName name="rate_dep_computer">#REF!</definedName>
    <definedName name="rate_dep_ff" localSheetId="2">#REF!</definedName>
    <definedName name="rate_dep_ff" localSheetId="1">#REF!</definedName>
    <definedName name="rate_dep_ff" localSheetId="3">#REF!</definedName>
    <definedName name="rate_dep_ff" localSheetId="5">#REF!</definedName>
    <definedName name="rate_dep_ff" localSheetId="6">#REF!</definedName>
    <definedName name="rate_dep_ff">#REF!</definedName>
    <definedName name="rate_dep_land" localSheetId="2">#REF!</definedName>
    <definedName name="rate_dep_land" localSheetId="1">#REF!</definedName>
    <definedName name="rate_dep_land" localSheetId="3">#REF!</definedName>
    <definedName name="rate_dep_land" localSheetId="5">#REF!</definedName>
    <definedName name="rate_dep_land" localSheetId="6">#REF!</definedName>
    <definedName name="rate_dep_land">#REF!</definedName>
    <definedName name="rate_dep_manualentries" localSheetId="2">#REF!</definedName>
    <definedName name="rate_dep_manualentries" localSheetId="1">#REF!</definedName>
    <definedName name="rate_dep_manualentries" localSheetId="3">#REF!</definedName>
    <definedName name="rate_dep_manualentries" localSheetId="5">#REF!</definedName>
    <definedName name="rate_dep_manualentries" localSheetId="6">#REF!</definedName>
    <definedName name="rate_dep_manualentries">#REF!</definedName>
    <definedName name="rate_dep_moulddies" localSheetId="2">#REF!</definedName>
    <definedName name="rate_dep_moulddies" localSheetId="1">#REF!</definedName>
    <definedName name="rate_dep_moulddies" localSheetId="3">#REF!</definedName>
    <definedName name="rate_dep_moulddies" localSheetId="5">#REF!</definedName>
    <definedName name="rate_dep_moulddies" localSheetId="6">#REF!</definedName>
    <definedName name="rate_dep_moulddies">#REF!</definedName>
    <definedName name="rate_dep_off_equipment" localSheetId="2">#REF!</definedName>
    <definedName name="rate_dep_off_equipment" localSheetId="1">#REF!</definedName>
    <definedName name="rate_dep_off_equipment" localSheetId="3">#REF!</definedName>
    <definedName name="rate_dep_off_equipment" localSheetId="5">#REF!</definedName>
    <definedName name="rate_dep_off_equipment" localSheetId="6">#REF!</definedName>
    <definedName name="rate_dep_off_equipment">#REF!</definedName>
    <definedName name="rate_dep_plantequipment" localSheetId="2">#REF!</definedName>
    <definedName name="rate_dep_plantequipment" localSheetId="1">#REF!</definedName>
    <definedName name="rate_dep_plantequipment" localSheetId="3">#REF!</definedName>
    <definedName name="rate_dep_plantequipment" localSheetId="5">#REF!</definedName>
    <definedName name="rate_dep_plantequipment" localSheetId="6">#REF!</definedName>
    <definedName name="rate_dep_plantequipment">#REF!</definedName>
    <definedName name="rate_dep_trademarks" localSheetId="2">#REF!</definedName>
    <definedName name="rate_dep_trademarks" localSheetId="1">#REF!</definedName>
    <definedName name="rate_dep_trademarks" localSheetId="3">#REF!</definedName>
    <definedName name="rate_dep_trademarks" localSheetId="5">#REF!</definedName>
    <definedName name="rate_dep_trademarks" localSheetId="6">#REF!</definedName>
    <definedName name="rate_dep_trademarks">#REF!</definedName>
    <definedName name="rate_dep_vehicle" localSheetId="2">#REF!</definedName>
    <definedName name="rate_dep_vehicle" localSheetId="1">#REF!</definedName>
    <definedName name="rate_dep_vehicle" localSheetId="3">#REF!</definedName>
    <definedName name="rate_dep_vehicle" localSheetId="5">#REF!</definedName>
    <definedName name="rate_dep_vehicle" localSheetId="6">#REF!</definedName>
    <definedName name="rate_dep_vehicle">#REF!</definedName>
    <definedName name="Rate_Half" localSheetId="2">#REF!</definedName>
    <definedName name="Rate_Half" localSheetId="1">#REF!</definedName>
    <definedName name="Rate_Half" localSheetId="3">#REF!</definedName>
    <definedName name="Rate_Half" localSheetId="5">#REF!</definedName>
    <definedName name="Rate_Half" localSheetId="6">#REF!</definedName>
    <definedName name="Rate_Half">#REF!</definedName>
    <definedName name="Rate_Peak" localSheetId="2">#REF!</definedName>
    <definedName name="Rate_Peak" localSheetId="1">#REF!</definedName>
    <definedName name="Rate_Peak" localSheetId="3">#REF!</definedName>
    <definedName name="Rate_Peak" localSheetId="5">#REF!</definedName>
    <definedName name="Rate_Peak" localSheetId="6">#REF!</definedName>
    <definedName name="Rate_Peak">#REF!</definedName>
    <definedName name="Rate_Std" localSheetId="2">#REF!</definedName>
    <definedName name="Rate_Std" localSheetId="1">#REF!</definedName>
    <definedName name="Rate_Std" localSheetId="3">#REF!</definedName>
    <definedName name="Rate_Std" localSheetId="5">#REF!</definedName>
    <definedName name="Rate_Std" localSheetId="6">#REF!</definedName>
    <definedName name="Rate_Std">#REF!</definedName>
    <definedName name="ratio_adtax_revenues" localSheetId="2">#REF!</definedName>
    <definedName name="ratio_adtax_revenues" localSheetId="1">#REF!</definedName>
    <definedName name="ratio_adtax_revenues" localSheetId="3">#REF!</definedName>
    <definedName name="ratio_adtax_revenues" localSheetId="5">#REF!</definedName>
    <definedName name="ratio_adtax_revenues" localSheetId="6">#REF!</definedName>
    <definedName name="ratio_adtax_revenues">#REF!</definedName>
    <definedName name="ratio_displaycharges_revenues" localSheetId="2">#REF!</definedName>
    <definedName name="ratio_displaycharges_revenues" localSheetId="1">#REF!</definedName>
    <definedName name="ratio_displaycharges_revenues" localSheetId="3">#REF!</definedName>
    <definedName name="ratio_displaycharges_revenues" localSheetId="5">#REF!</definedName>
    <definedName name="ratio_displaycharges_revenues" localSheetId="6">#REF!</definedName>
    <definedName name="ratio_displaycharges_revenues">#REF!</definedName>
    <definedName name="ratio_hoardingexp_revenues" localSheetId="2">#REF!</definedName>
    <definedName name="ratio_hoardingexp_revenues" localSheetId="1">#REF!</definedName>
    <definedName name="ratio_hoardingexp_revenues" localSheetId="3">#REF!</definedName>
    <definedName name="ratio_hoardingexp_revenues" localSheetId="5">#REF!</definedName>
    <definedName name="ratio_hoardingexp_revenues" localSheetId="6">#REF!</definedName>
    <definedName name="ratio_hoardingexp_revenues">#REF!</definedName>
    <definedName name="ratio_illumcharges_revenues" localSheetId="2">#REF!</definedName>
    <definedName name="ratio_illumcharges_revenues" localSheetId="1">#REF!</definedName>
    <definedName name="ratio_illumcharges_revenues" localSheetId="3">#REF!</definedName>
    <definedName name="ratio_illumcharges_revenues" localSheetId="5">#REF!</definedName>
    <definedName name="ratio_illumcharges_revenues" localSheetId="6">#REF!</definedName>
    <definedName name="ratio_illumcharges_revenues">#REF!</definedName>
    <definedName name="ratio_maintcharges_revenues" localSheetId="2">#REF!</definedName>
    <definedName name="ratio_maintcharges_revenues" localSheetId="1">#REF!</definedName>
    <definedName name="ratio_maintcharges_revenues" localSheetId="3">#REF!</definedName>
    <definedName name="ratio_maintcharges_revenues" localSheetId="5">#REF!</definedName>
    <definedName name="ratio_maintcharges_revenues" localSheetId="6">#REF!</definedName>
    <definedName name="ratio_maintcharges_revenues">#REF!</definedName>
    <definedName name="ratio_paintingcharges_revenues" localSheetId="2">#REF!</definedName>
    <definedName name="ratio_paintingcharges_revenues" localSheetId="1">#REF!</definedName>
    <definedName name="ratio_paintingcharges_revenues" localSheetId="3">#REF!</definedName>
    <definedName name="ratio_paintingcharges_revenues" localSheetId="5">#REF!</definedName>
    <definedName name="ratio_paintingcharges_revenues" localSheetId="6">#REF!</definedName>
    <definedName name="ratio_paintingcharges_revenues">#REF!</definedName>
    <definedName name="RawData" localSheetId="2">#REF!</definedName>
    <definedName name="RawData" localSheetId="1">#REF!</definedName>
    <definedName name="RawData" localSheetId="3">#REF!</definedName>
    <definedName name="RawData" localSheetId="5">#REF!</definedName>
    <definedName name="RawData" localSheetId="6">#REF!</definedName>
    <definedName name="RawData">#REF!</definedName>
    <definedName name="RawHeader" localSheetId="2">#REF!</definedName>
    <definedName name="RawHeader" localSheetId="1">#REF!</definedName>
    <definedName name="RawHeader" localSheetId="3">#REF!</definedName>
    <definedName name="RawHeader" localSheetId="5">#REF!</definedName>
    <definedName name="RawHeader" localSheetId="6">#REF!</definedName>
    <definedName name="RawHeader">#REF!</definedName>
    <definedName name="Realisations_salevalue" localSheetId="2">#REF!</definedName>
    <definedName name="Realisations_salevalue" localSheetId="1">#REF!</definedName>
    <definedName name="Realisations_salevalue" localSheetId="3">#REF!</definedName>
    <definedName name="Realisations_salevalue" localSheetId="5">#REF!</definedName>
    <definedName name="Realisations_salevalue" localSheetId="6">#REF!</definedName>
    <definedName name="Realisations_salevalue">#REF!</definedName>
    <definedName name="Rec" localSheetId="2">#REF!</definedName>
    <definedName name="Rec" localSheetId="1">#REF!</definedName>
    <definedName name="Rec" localSheetId="3">#REF!</definedName>
    <definedName name="Rec" localSheetId="5">#REF!</definedName>
    <definedName name="Rec" localSheetId="6">#REF!</definedName>
    <definedName name="Rec">#REF!</definedName>
    <definedName name="recon" localSheetId="2">#REF!</definedName>
    <definedName name="recon" localSheetId="1">#REF!</definedName>
    <definedName name="recon" localSheetId="3">#REF!</definedName>
    <definedName name="recon" localSheetId="5">#REF!</definedName>
    <definedName name="recon" localSheetId="6">#REF!</definedName>
    <definedName name="recon">#REF!</definedName>
    <definedName name="redep" localSheetId="2">#REF!</definedName>
    <definedName name="redep" localSheetId="1">#REF!</definedName>
    <definedName name="redep" localSheetId="3">#REF!</definedName>
    <definedName name="redep" localSheetId="5">#REF!</definedName>
    <definedName name="redep" localSheetId="6">#REF!</definedName>
    <definedName name="redep">#REF!</definedName>
    <definedName name="Reductioningrowthrate" localSheetId="2">#REF!</definedName>
    <definedName name="Reductioningrowthrate" localSheetId="1">#REF!</definedName>
    <definedName name="Reductioningrowthrate" localSheetId="3">#REF!</definedName>
    <definedName name="Reductioningrowthrate" localSheetId="5">#REF!</definedName>
    <definedName name="Reductioningrowthrate" localSheetId="6">#REF!</definedName>
    <definedName name="Reductioningrowthrate">#REF!</definedName>
    <definedName name="Ref_6" localSheetId="2">#REF!</definedName>
    <definedName name="Ref_6" localSheetId="1">#REF!</definedName>
    <definedName name="Ref_6" localSheetId="3">#REF!</definedName>
    <definedName name="Ref_6" localSheetId="5">#REF!</definedName>
    <definedName name="Ref_6" localSheetId="6">#REF!</definedName>
    <definedName name="Ref_6">#REF!</definedName>
    <definedName name="Ref_8" localSheetId="2">#REF!</definedName>
    <definedName name="Ref_8" localSheetId="1">#REF!</definedName>
    <definedName name="Ref_8" localSheetId="3">#REF!</definedName>
    <definedName name="Ref_8" localSheetId="5">#REF!</definedName>
    <definedName name="Ref_8" localSheetId="6">#REF!</definedName>
    <definedName name="Ref_8">#REF!</definedName>
    <definedName name="Ref_9" localSheetId="2">#REF!</definedName>
    <definedName name="Ref_9" localSheetId="1">#REF!</definedName>
    <definedName name="Ref_9" localSheetId="3">#REF!</definedName>
    <definedName name="Ref_9" localSheetId="5">#REF!</definedName>
    <definedName name="Ref_9" localSheetId="6">#REF!</definedName>
    <definedName name="Ref_9">#REF!</definedName>
    <definedName name="Refund" localSheetId="2">#REF!</definedName>
    <definedName name="Refund" localSheetId="1">#REF!</definedName>
    <definedName name="Refund" localSheetId="3">#REF!</definedName>
    <definedName name="Refund" localSheetId="5">#REF!</definedName>
    <definedName name="Refund" localSheetId="6">#REF!</definedName>
    <definedName name="Refund">#REF!</definedName>
    <definedName name="RegenCost" localSheetId="2">#REF!</definedName>
    <definedName name="RegenCost" localSheetId="1">#REF!</definedName>
    <definedName name="RegenCost" localSheetId="3">#REF!</definedName>
    <definedName name="RegenCost" localSheetId="5">#REF!</definedName>
    <definedName name="RegenCost" localSheetId="6">#REF!</definedName>
    <definedName name="RegenCost">#REF!</definedName>
    <definedName name="rentadv" localSheetId="2">#REF!</definedName>
    <definedName name="rentadv" localSheetId="1">#REF!</definedName>
    <definedName name="rentadv" localSheetId="3">#REF!</definedName>
    <definedName name="rentadv" localSheetId="5">#REF!</definedName>
    <definedName name="rentadv" localSheetId="6">#REF!</definedName>
    <definedName name="rentadv">#REF!</definedName>
    <definedName name="repayment" localSheetId="2">#REF!</definedName>
    <definedName name="repayment" localSheetId="1">#REF!</definedName>
    <definedName name="repayment" localSheetId="3">#REF!</definedName>
    <definedName name="repayment" localSheetId="5">#REF!</definedName>
    <definedName name="repayment" localSheetId="6">#REF!</definedName>
    <definedName name="repayment">#REF!</definedName>
    <definedName name="Residual_difference" localSheetId="2">#REF!</definedName>
    <definedName name="Residual_difference" localSheetId="1">#REF!</definedName>
    <definedName name="Residual_difference" localSheetId="3">#REF!</definedName>
    <definedName name="Residual_difference" localSheetId="5">#REF!</definedName>
    <definedName name="Residual_difference" localSheetId="6">#REF!</definedName>
    <definedName name="Residual_difference">#REF!</definedName>
    <definedName name="restorationcost" localSheetId="2">#REF!</definedName>
    <definedName name="restorationcost" localSheetId="1">#REF!</definedName>
    <definedName name="restorationcost" localSheetId="3">#REF!</definedName>
    <definedName name="restorationcost" localSheetId="5">#REF!</definedName>
    <definedName name="restorationcost" localSheetId="6">#REF!</definedName>
    <definedName name="restorationcost">#REF!</definedName>
    <definedName name="rev_del_bqs" localSheetId="2">#REF!</definedName>
    <definedName name="rev_del_bqs" localSheetId="1">#REF!</definedName>
    <definedName name="rev_del_bqs" localSheetId="3">#REF!</definedName>
    <definedName name="rev_del_bqs" localSheetId="5">#REF!</definedName>
    <definedName name="rev_del_bqs" localSheetId="6">#REF!</definedName>
    <definedName name="rev_del_bqs">#REF!</definedName>
    <definedName name="rev_del_dmrc1" localSheetId="2">#REF!</definedName>
    <definedName name="rev_del_dmrc1" localSheetId="1">#REF!</definedName>
    <definedName name="rev_del_dmrc1" localSheetId="3">#REF!</definedName>
    <definedName name="rev_del_dmrc1" localSheetId="5">#REF!</definedName>
    <definedName name="rev_del_dmrc1" localSheetId="6">#REF!</definedName>
    <definedName name="rev_del_dmrc1">#REF!</definedName>
    <definedName name="rev_del_dmrc2" localSheetId="2">#REF!</definedName>
    <definedName name="rev_del_dmrc2" localSheetId="1">#REF!</definedName>
    <definedName name="rev_del_dmrc2" localSheetId="3">#REF!</definedName>
    <definedName name="rev_del_dmrc2" localSheetId="5">#REF!</definedName>
    <definedName name="rev_del_dmrc2" localSheetId="6">#REF!</definedName>
    <definedName name="rev_del_dmrc2">#REF!</definedName>
    <definedName name="rev_del_dmrc3" localSheetId="2">#REF!</definedName>
    <definedName name="rev_del_dmrc3" localSheetId="1">#REF!</definedName>
    <definedName name="rev_del_dmrc3" localSheetId="3">#REF!</definedName>
    <definedName name="rev_del_dmrc3" localSheetId="5">#REF!</definedName>
    <definedName name="rev_del_dmrc3" localSheetId="6">#REF!</definedName>
    <definedName name="rev_del_dmrc3">#REF!</definedName>
    <definedName name="rev_del_dmrc4" localSheetId="2">#REF!</definedName>
    <definedName name="rev_del_dmrc4" localSheetId="1">#REF!</definedName>
    <definedName name="rev_del_dmrc4" localSheetId="3">#REF!</definedName>
    <definedName name="rev_del_dmrc4" localSheetId="5">#REF!</definedName>
    <definedName name="rev_del_dmrc4" localSheetId="6">#REF!</definedName>
    <definedName name="rev_del_dmrc4">#REF!</definedName>
    <definedName name="rev_del_hoarding" localSheetId="2">#REF!</definedName>
    <definedName name="rev_del_hoarding" localSheetId="1">#REF!</definedName>
    <definedName name="rev_del_hoarding" localSheetId="3">#REF!</definedName>
    <definedName name="rev_del_hoarding" localSheetId="5">#REF!</definedName>
    <definedName name="rev_del_hoarding" localSheetId="6">#REF!</definedName>
    <definedName name="rev_del_hoarding">#REF!</definedName>
    <definedName name="rev_del_mcd1" localSheetId="2">#REF!</definedName>
    <definedName name="rev_del_mcd1" localSheetId="1">#REF!</definedName>
    <definedName name="rev_del_mcd1" localSheetId="3">#REF!</definedName>
    <definedName name="rev_del_mcd1" localSheetId="5">#REF!</definedName>
    <definedName name="rev_del_mcd1" localSheetId="6">#REF!</definedName>
    <definedName name="rev_del_mcd1">#REF!</definedName>
    <definedName name="rev_del_mcd2" localSheetId="2">#REF!</definedName>
    <definedName name="rev_del_mcd2" localSheetId="1">#REF!</definedName>
    <definedName name="rev_del_mcd2" localSheetId="3">#REF!</definedName>
    <definedName name="rev_del_mcd2" localSheetId="5">#REF!</definedName>
    <definedName name="rev_del_mcd2" localSheetId="6">#REF!</definedName>
    <definedName name="rev_del_mcd2">#REF!</definedName>
    <definedName name="rev_del_mcd3" localSheetId="2">#REF!</definedName>
    <definedName name="rev_del_mcd3" localSheetId="1">#REF!</definedName>
    <definedName name="rev_del_mcd3" localSheetId="3">#REF!</definedName>
    <definedName name="rev_del_mcd3" localSheetId="5">#REF!</definedName>
    <definedName name="rev_del_mcd3" localSheetId="6">#REF!</definedName>
    <definedName name="rev_del_mcd3">#REF!</definedName>
    <definedName name="rev_del_mcd4" localSheetId="2">#REF!</definedName>
    <definedName name="rev_del_mcd4" localSheetId="1">#REF!</definedName>
    <definedName name="rev_del_mcd4" localSheetId="3">#REF!</definedName>
    <definedName name="rev_del_mcd4" localSheetId="5">#REF!</definedName>
    <definedName name="rev_del_mcd4" localSheetId="6">#REF!</definedName>
    <definedName name="rev_del_mcd4">#REF!</definedName>
    <definedName name="rev_del_mcd5" localSheetId="2">#REF!</definedName>
    <definedName name="rev_del_mcd5" localSheetId="1">#REF!</definedName>
    <definedName name="rev_del_mcd5" localSheetId="3">#REF!</definedName>
    <definedName name="rev_del_mcd5" localSheetId="5">#REF!</definedName>
    <definedName name="rev_del_mcd5" localSheetId="6">#REF!</definedName>
    <definedName name="rev_del_mcd5">#REF!</definedName>
    <definedName name="rev_del_nrdd" localSheetId="2">#REF!</definedName>
    <definedName name="rev_del_nrdd" localSheetId="1">#REF!</definedName>
    <definedName name="rev_del_nrdd" localSheetId="3">#REF!</definedName>
    <definedName name="rev_del_nrdd" localSheetId="5">#REF!</definedName>
    <definedName name="rev_del_nrdd" localSheetId="6">#REF!</definedName>
    <definedName name="rev_del_nrdd">#REF!</definedName>
    <definedName name="rev_del_utility" localSheetId="2">#REF!</definedName>
    <definedName name="rev_del_utility" localSheetId="1">#REF!</definedName>
    <definedName name="rev_del_utility" localSheetId="3">#REF!</definedName>
    <definedName name="rev_del_utility" localSheetId="5">#REF!</definedName>
    <definedName name="rev_del_utility" localSheetId="6">#REF!</definedName>
    <definedName name="rev_del_utility">#REF!</definedName>
    <definedName name="rev_kol_bqs" localSheetId="2">#REF!</definedName>
    <definedName name="rev_kol_bqs" localSheetId="1">#REF!</definedName>
    <definedName name="rev_kol_bqs" localSheetId="3">#REF!</definedName>
    <definedName name="rev_kol_bqs" localSheetId="5">#REF!</definedName>
    <definedName name="rev_kol_bqs" localSheetId="6">#REF!</definedName>
    <definedName name="rev_kol_bqs">#REF!</definedName>
    <definedName name="rev_kol_hoarding" localSheetId="2">#REF!</definedName>
    <definedName name="rev_kol_hoarding" localSheetId="1">#REF!</definedName>
    <definedName name="rev_kol_hoarding" localSheetId="3">#REF!</definedName>
    <definedName name="rev_kol_hoarding" localSheetId="5">#REF!</definedName>
    <definedName name="rev_kol_hoarding" localSheetId="6">#REF!</definedName>
    <definedName name="rev_kol_hoarding">#REF!</definedName>
    <definedName name="rev_kol_kiosk" localSheetId="2">#REF!</definedName>
    <definedName name="rev_kol_kiosk" localSheetId="1">#REF!</definedName>
    <definedName name="rev_kol_kiosk" localSheetId="3">#REF!</definedName>
    <definedName name="rev_kol_kiosk" localSheetId="5">#REF!</definedName>
    <definedName name="rev_kol_kiosk" localSheetId="6">#REF!</definedName>
    <definedName name="rev_kol_kiosk">#REF!</definedName>
    <definedName name="rev_kol_mpillars" localSheetId="2">#REF!</definedName>
    <definedName name="rev_kol_mpillars" localSheetId="1">#REF!</definedName>
    <definedName name="rev_kol_mpillars" localSheetId="3">#REF!</definedName>
    <definedName name="rev_kol_mpillars" localSheetId="5">#REF!</definedName>
    <definedName name="rev_kol_mpillars" localSheetId="6">#REF!</definedName>
    <definedName name="rev_kol_mpillars">#REF!</definedName>
    <definedName name="rev_kol_pillarwrap" localSheetId="2">#REF!</definedName>
    <definedName name="rev_kol_pillarwrap" localSheetId="1">#REF!</definedName>
    <definedName name="rev_kol_pillarwrap" localSheetId="3">#REF!</definedName>
    <definedName name="rev_kol_pillarwrap" localSheetId="5">#REF!</definedName>
    <definedName name="rev_kol_pillarwrap" localSheetId="6">#REF!</definedName>
    <definedName name="rev_kol_pillarwrap">#REF!</definedName>
    <definedName name="rev_mum_bestbus" localSheetId="2">#REF!</definedName>
    <definedName name="rev_mum_bestbus" localSheetId="1">#REF!</definedName>
    <definedName name="rev_mum_bestbus" localSheetId="3">#REF!</definedName>
    <definedName name="rev_mum_bestbus" localSheetId="5">#REF!</definedName>
    <definedName name="rev_mum_bestbus" localSheetId="6">#REF!</definedName>
    <definedName name="rev_mum_bestbus">#REF!</definedName>
    <definedName name="rev_mum_bqs" localSheetId="2">#REF!</definedName>
    <definedName name="rev_mum_bqs" localSheetId="1">#REF!</definedName>
    <definedName name="rev_mum_bqs" localSheetId="3">#REF!</definedName>
    <definedName name="rev_mum_bqs" localSheetId="5">#REF!</definedName>
    <definedName name="rev_mum_bqs" localSheetId="6">#REF!</definedName>
    <definedName name="rev_mum_bqs">#REF!</definedName>
    <definedName name="rev_mum_hoarding" localSheetId="2">#REF!</definedName>
    <definedName name="rev_mum_hoarding" localSheetId="1">#REF!</definedName>
    <definedName name="rev_mum_hoarding" localSheetId="3">#REF!</definedName>
    <definedName name="rev_mum_hoarding" localSheetId="5">#REF!</definedName>
    <definedName name="rev_mum_hoarding" localSheetId="6">#REF!</definedName>
    <definedName name="rev_mum_hoarding">#REF!</definedName>
    <definedName name="rev_mum_kiosk" localSheetId="2">#REF!</definedName>
    <definedName name="rev_mum_kiosk" localSheetId="1">#REF!</definedName>
    <definedName name="rev_mum_kiosk" localSheetId="3">#REF!</definedName>
    <definedName name="rev_mum_kiosk" localSheetId="5">#REF!</definedName>
    <definedName name="rev_mum_kiosk" localSheetId="6">#REF!</definedName>
    <definedName name="rev_mum_kiosk">#REF!</definedName>
    <definedName name="reva" localSheetId="2">#REF!</definedName>
    <definedName name="reva" localSheetId="1">#REF!</definedName>
    <definedName name="reva" localSheetId="3">#REF!</definedName>
    <definedName name="reva" localSheetId="5">#REF!</definedName>
    <definedName name="reva" localSheetId="6">#REF!</definedName>
    <definedName name="reva">#REF!</definedName>
    <definedName name="revloss1anoncolocation" localSheetId="2">#REF!</definedName>
    <definedName name="revloss1anoncolocation" localSheetId="1">#REF!</definedName>
    <definedName name="revloss1anoncolocation" localSheetId="3">#REF!</definedName>
    <definedName name="revloss1anoncolocation" localSheetId="5">#REF!</definedName>
    <definedName name="revloss1anoncolocation" localSheetId="6">#REF!</definedName>
    <definedName name="revloss1anoncolocation">#REF!</definedName>
    <definedName name="revloss1bnoncolocation" localSheetId="2">#REF!</definedName>
    <definedName name="revloss1bnoncolocation" localSheetId="1">#REF!</definedName>
    <definedName name="revloss1bnoncolocation" localSheetId="3">#REF!</definedName>
    <definedName name="revloss1bnoncolocation" localSheetId="5">#REF!</definedName>
    <definedName name="revloss1bnoncolocation" localSheetId="6">#REF!</definedName>
    <definedName name="revloss1bnoncolocation">#REF!</definedName>
    <definedName name="revloss2noncolocation" localSheetId="2">#REF!</definedName>
    <definedName name="revloss2noncolocation" localSheetId="1">#REF!</definedName>
    <definedName name="revloss2noncolocation" localSheetId="3">#REF!</definedName>
    <definedName name="revloss2noncolocation" localSheetId="5">#REF!</definedName>
    <definedName name="revloss2noncolocation" localSheetId="6">#REF!</definedName>
    <definedName name="revloss2noncolocation">#REF!</definedName>
    <definedName name="Revq1" localSheetId="2">#REF!</definedName>
    <definedName name="Revq1" localSheetId="1">#REF!</definedName>
    <definedName name="Revq1" localSheetId="3">#REF!</definedName>
    <definedName name="Revq1" localSheetId="5">#REF!</definedName>
    <definedName name="Revq1" localSheetId="6">#REF!</definedName>
    <definedName name="Revq1">#REF!</definedName>
    <definedName name="revq2" localSheetId="2">#REF!</definedName>
    <definedName name="revq2" localSheetId="1">#REF!</definedName>
    <definedName name="revq2" localSheetId="3">#REF!</definedName>
    <definedName name="revq2" localSheetId="5">#REF!</definedName>
    <definedName name="revq2" localSheetId="6">#REF!</definedName>
    <definedName name="revq2">#REF!</definedName>
    <definedName name="revq3" localSheetId="2">#REF!</definedName>
    <definedName name="revq3" localSheetId="1">#REF!</definedName>
    <definedName name="revq3" localSheetId="3">#REF!</definedName>
    <definedName name="revq3" localSheetId="5">#REF!</definedName>
    <definedName name="revq3" localSheetId="6">#REF!</definedName>
    <definedName name="revq3">#REF!</definedName>
    <definedName name="revq4" localSheetId="2">#REF!</definedName>
    <definedName name="revq4" localSheetId="1">#REF!</definedName>
    <definedName name="revq4" localSheetId="3">#REF!</definedName>
    <definedName name="revq4" localSheetId="5">#REF!</definedName>
    <definedName name="revq4" localSheetId="6">#REF!</definedName>
    <definedName name="revq4">#REF!</definedName>
    <definedName name="revshare" localSheetId="2">#REF!</definedName>
    <definedName name="revshare" localSheetId="1">#REF!</definedName>
    <definedName name="revshare" localSheetId="3">#REF!</definedName>
    <definedName name="revshare" localSheetId="5">#REF!</definedName>
    <definedName name="revshare" localSheetId="6">#REF!</definedName>
    <definedName name="revshare">#REF!</definedName>
    <definedName name="revsharebasis" localSheetId="2">#REF!</definedName>
    <definedName name="revsharebasis" localSheetId="1">#REF!</definedName>
    <definedName name="revsharebasis" localSheetId="3">#REF!</definedName>
    <definedName name="revsharebasis" localSheetId="5">#REF!</definedName>
    <definedName name="revsharebasis" localSheetId="6">#REF!</definedName>
    <definedName name="revsharebasis">#REF!</definedName>
    <definedName name="revshareSDCAtfc" localSheetId="2">#REF!</definedName>
    <definedName name="revshareSDCAtfc" localSheetId="1">#REF!</definedName>
    <definedName name="revshareSDCAtfc" localSheetId="3">#REF!</definedName>
    <definedName name="revshareSDCAtfc" localSheetId="5">#REF!</definedName>
    <definedName name="revshareSDCAtfc" localSheetId="6">#REF!</definedName>
    <definedName name="revshareSDCAtfc">#REF!</definedName>
    <definedName name="rilmkt" localSheetId="2">#REF!</definedName>
    <definedName name="rilmkt" localSheetId="1">#REF!</definedName>
    <definedName name="rilmkt" localSheetId="3">#REF!</definedName>
    <definedName name="rilmkt" localSheetId="5">#REF!</definedName>
    <definedName name="rilmkt" localSheetId="6">#REF!</definedName>
    <definedName name="rilmkt">#REF!</definedName>
    <definedName name="RMB" localSheetId="2">#REF!</definedName>
    <definedName name="RMB" localSheetId="1">#REF!</definedName>
    <definedName name="RMB" localSheetId="3">#REF!</definedName>
    <definedName name="RMB" localSheetId="5">#REF!</definedName>
    <definedName name="RMB" localSheetId="6">#REF!</definedName>
    <definedName name="RMB">#REF!</definedName>
    <definedName name="RO?" localSheetId="2">#REF!</definedName>
    <definedName name="RO?" localSheetId="1">#REF!</definedName>
    <definedName name="RO?" localSheetId="3">#REF!</definedName>
    <definedName name="RO?" localSheetId="5">#REF!</definedName>
    <definedName name="RO?" localSheetId="6">#REF!</definedName>
    <definedName name="RO?">#REF!</definedName>
    <definedName name="RunDate" localSheetId="2">#REF!</definedName>
    <definedName name="RunDate" localSheetId="1">#REF!</definedName>
    <definedName name="RunDate" localSheetId="3">#REF!</definedName>
    <definedName name="RunDate" localSheetId="5">#REF!</definedName>
    <definedName name="RunDate" localSheetId="6">#REF!</definedName>
    <definedName name="RunDate">#REF!</definedName>
    <definedName name="RunName" localSheetId="2">#REF!</definedName>
    <definedName name="RunName" localSheetId="1">#REF!</definedName>
    <definedName name="RunName" localSheetId="3">#REF!</definedName>
    <definedName name="RunName" localSheetId="5">#REF!</definedName>
    <definedName name="RunName" localSheetId="6">#REF!</definedName>
    <definedName name="RunName">#REF!</definedName>
    <definedName name="Ruraltitle" localSheetId="2">#REF!</definedName>
    <definedName name="Ruraltitle" localSheetId="1">#REF!</definedName>
    <definedName name="Ruraltitle" localSheetId="3">#REF!</definedName>
    <definedName name="Ruraltitle" localSheetId="5">#REF!</definedName>
    <definedName name="Ruraltitle" localSheetId="6">#REF!</definedName>
    <definedName name="Ruraltitle">#REF!</definedName>
    <definedName name="s" localSheetId="2">{"'subnets'!$A$1:$F$20"}</definedName>
    <definedName name="s" localSheetId="1">{"'subnets'!$A$1:$F$20"}</definedName>
    <definedName name="s" localSheetId="3">{"'subnets'!$A$1:$F$20"}</definedName>
    <definedName name="s" localSheetId="4">{"'subnets'!$A$1:$F$20"}</definedName>
    <definedName name="s" localSheetId="5">{"'subnets'!$A$1:$F$20"}</definedName>
    <definedName name="s" localSheetId="6">{"'subnets'!$A$1:$F$20"}</definedName>
    <definedName name="s">{"'subnets'!$A$1:$F$20"}</definedName>
    <definedName name="S_AcctDes" localSheetId="2">#REF!</definedName>
    <definedName name="S_AcctDes" localSheetId="1">#REF!</definedName>
    <definedName name="S_AcctDes" localSheetId="3">#REF!</definedName>
    <definedName name="S_AcctDes" localSheetId="5">#REF!</definedName>
    <definedName name="S_AcctDes" localSheetId="6">#REF!</definedName>
    <definedName name="S_AcctDes">#REF!</definedName>
    <definedName name="S_AcctNum" localSheetId="2">#REF!</definedName>
    <definedName name="S_AcctNum" localSheetId="1">#REF!</definedName>
    <definedName name="S_AcctNum" localSheetId="3">#REF!</definedName>
    <definedName name="S_AcctNum" localSheetId="5">#REF!</definedName>
    <definedName name="S_AcctNum" localSheetId="6">#REF!</definedName>
    <definedName name="S_AcctNum">#REF!</definedName>
    <definedName name="S_Adjust" localSheetId="2">#REF!</definedName>
    <definedName name="S_Adjust" localSheetId="1">#REF!</definedName>
    <definedName name="S_Adjust" localSheetId="3">#REF!</definedName>
    <definedName name="S_Adjust" localSheetId="5">#REF!</definedName>
    <definedName name="S_Adjust" localSheetId="6">#REF!</definedName>
    <definedName name="S_Adjust">#REF!</definedName>
    <definedName name="S_Adjust_Data" localSheetId="2">#REF!</definedName>
    <definedName name="S_Adjust_Data" localSheetId="1">#REF!</definedName>
    <definedName name="S_Adjust_Data" localSheetId="3">#REF!</definedName>
    <definedName name="S_Adjust_Data" localSheetId="5">#REF!</definedName>
    <definedName name="S_Adjust_Data" localSheetId="6">#REF!</definedName>
    <definedName name="S_Adjust_Data">#REF!</definedName>
    <definedName name="S_Adjust_GT" localSheetId="2">#REF!</definedName>
    <definedName name="S_Adjust_GT" localSheetId="1">#REF!</definedName>
    <definedName name="S_Adjust_GT" localSheetId="3">#REF!</definedName>
    <definedName name="S_Adjust_GT" localSheetId="5">#REF!</definedName>
    <definedName name="S_Adjust_GT" localSheetId="6">#REF!</definedName>
    <definedName name="S_Adjust_GT">#REF!</definedName>
    <definedName name="S_AJE_Tot" localSheetId="2">#REF!</definedName>
    <definedName name="S_AJE_Tot" localSheetId="1">#REF!</definedName>
    <definedName name="S_AJE_Tot" localSheetId="3">#REF!</definedName>
    <definedName name="S_AJE_Tot" localSheetId="5">#REF!</definedName>
    <definedName name="S_AJE_Tot" localSheetId="6">#REF!</definedName>
    <definedName name="S_AJE_Tot">#REF!</definedName>
    <definedName name="S_AJE_Tot_Data" localSheetId="2">#REF!</definedName>
    <definedName name="S_AJE_Tot_Data" localSheetId="1">#REF!</definedName>
    <definedName name="S_AJE_Tot_Data" localSheetId="3">#REF!</definedName>
    <definedName name="S_AJE_Tot_Data" localSheetId="5">#REF!</definedName>
    <definedName name="S_AJE_Tot_Data" localSheetId="6">#REF!</definedName>
    <definedName name="S_AJE_Tot_Data">#REF!</definedName>
    <definedName name="S_AJE_Tot_GT" localSheetId="2">#REF!</definedName>
    <definedName name="S_AJE_Tot_GT" localSheetId="1">#REF!</definedName>
    <definedName name="S_AJE_Tot_GT" localSheetId="3">#REF!</definedName>
    <definedName name="S_AJE_Tot_GT" localSheetId="5">#REF!</definedName>
    <definedName name="S_AJE_Tot_GT" localSheetId="6">#REF!</definedName>
    <definedName name="S_AJE_Tot_GT">#REF!</definedName>
    <definedName name="S_CompNum" localSheetId="2">#REF!</definedName>
    <definedName name="S_CompNum" localSheetId="1">#REF!</definedName>
    <definedName name="S_CompNum" localSheetId="3">#REF!</definedName>
    <definedName name="S_CompNum" localSheetId="5">#REF!</definedName>
    <definedName name="S_CompNum" localSheetId="6">#REF!</definedName>
    <definedName name="S_CompNum">#REF!</definedName>
    <definedName name="S_CY_Beg" localSheetId="2">#REF!</definedName>
    <definedName name="S_CY_Beg" localSheetId="1">#REF!</definedName>
    <definedName name="S_CY_Beg" localSheetId="3">#REF!</definedName>
    <definedName name="S_CY_Beg" localSheetId="5">#REF!</definedName>
    <definedName name="S_CY_Beg" localSheetId="6">#REF!</definedName>
    <definedName name="S_CY_Beg">#REF!</definedName>
    <definedName name="S_CY_Beg_Data" localSheetId="2">#REF!</definedName>
    <definedName name="S_CY_Beg_Data" localSheetId="1">#REF!</definedName>
    <definedName name="S_CY_Beg_Data" localSheetId="3">#REF!</definedName>
    <definedName name="S_CY_Beg_Data" localSheetId="5">#REF!</definedName>
    <definedName name="S_CY_Beg_Data" localSheetId="6">#REF!</definedName>
    <definedName name="S_CY_Beg_Data">#REF!</definedName>
    <definedName name="S_CY_Beg_GT" localSheetId="2">#REF!</definedName>
    <definedName name="S_CY_Beg_GT" localSheetId="1">#REF!</definedName>
    <definedName name="S_CY_Beg_GT" localSheetId="3">#REF!</definedName>
    <definedName name="S_CY_Beg_GT" localSheetId="5">#REF!</definedName>
    <definedName name="S_CY_Beg_GT" localSheetId="6">#REF!</definedName>
    <definedName name="S_CY_Beg_GT">#REF!</definedName>
    <definedName name="S_CY_End" localSheetId="2">#REF!</definedName>
    <definedName name="S_CY_End" localSheetId="1">#REF!</definedName>
    <definedName name="S_CY_End" localSheetId="3">#REF!</definedName>
    <definedName name="S_CY_End" localSheetId="5">#REF!</definedName>
    <definedName name="S_CY_End" localSheetId="6">#REF!</definedName>
    <definedName name="S_CY_End">#REF!</definedName>
    <definedName name="S_CY_End_Data" localSheetId="2">#REF!</definedName>
    <definedName name="S_CY_End_Data" localSheetId="1">#REF!</definedName>
    <definedName name="S_CY_End_Data" localSheetId="3">#REF!</definedName>
    <definedName name="S_CY_End_Data" localSheetId="5">#REF!</definedName>
    <definedName name="S_CY_End_Data" localSheetId="6">#REF!</definedName>
    <definedName name="S_CY_End_Data">#REF!</definedName>
    <definedName name="S_CY_End_GT" localSheetId="2">#REF!</definedName>
    <definedName name="S_CY_End_GT" localSheetId="1">#REF!</definedName>
    <definedName name="S_CY_End_GT" localSheetId="3">#REF!</definedName>
    <definedName name="S_CY_End_GT" localSheetId="5">#REF!</definedName>
    <definedName name="S_CY_End_GT" localSheetId="6">#REF!</definedName>
    <definedName name="S_CY_End_GT">#REF!</definedName>
    <definedName name="S_Diff_Amt" localSheetId="2">#REF!</definedName>
    <definedName name="S_Diff_Amt" localSheetId="1">#REF!</definedName>
    <definedName name="S_Diff_Amt" localSheetId="3">#REF!</definedName>
    <definedName name="S_Diff_Amt" localSheetId="5">#REF!</definedName>
    <definedName name="S_Diff_Amt" localSheetId="6">#REF!</definedName>
    <definedName name="S_Diff_Amt">#REF!</definedName>
    <definedName name="S_Diff_Pct" localSheetId="2">#REF!</definedName>
    <definedName name="S_Diff_Pct" localSheetId="1">#REF!</definedName>
    <definedName name="S_Diff_Pct" localSheetId="3">#REF!</definedName>
    <definedName name="S_Diff_Pct" localSheetId="5">#REF!</definedName>
    <definedName name="S_Diff_Pct" localSheetId="6">#REF!</definedName>
    <definedName name="S_Diff_Pct">#REF!</definedName>
    <definedName name="S_GrpNum" localSheetId="2">#REF!</definedName>
    <definedName name="S_GrpNum" localSheetId="1">#REF!</definedName>
    <definedName name="S_GrpNum" localSheetId="3">#REF!</definedName>
    <definedName name="S_GrpNum" localSheetId="5">#REF!</definedName>
    <definedName name="S_GrpNum" localSheetId="6">#REF!</definedName>
    <definedName name="S_GrpNum">#REF!</definedName>
    <definedName name="S_Headings" localSheetId="2">#REF!</definedName>
    <definedName name="S_Headings" localSheetId="1">#REF!</definedName>
    <definedName name="S_Headings" localSheetId="3">#REF!</definedName>
    <definedName name="S_Headings" localSheetId="5">#REF!</definedName>
    <definedName name="S_Headings" localSheetId="6">#REF!</definedName>
    <definedName name="S_Headings">#REF!</definedName>
    <definedName name="S_KeyValue" localSheetId="2">#REF!</definedName>
    <definedName name="S_KeyValue" localSheetId="1">#REF!</definedName>
    <definedName name="S_KeyValue" localSheetId="3">#REF!</definedName>
    <definedName name="S_KeyValue" localSheetId="5">#REF!</definedName>
    <definedName name="S_KeyValue" localSheetId="6">#REF!</definedName>
    <definedName name="S_KeyValue">#REF!</definedName>
    <definedName name="S_LSRange1" localSheetId="2">#REF!</definedName>
    <definedName name="S_LSRange1" localSheetId="1">#REF!</definedName>
    <definedName name="S_LSRange1" localSheetId="3">#REF!</definedName>
    <definedName name="S_LSRange1" localSheetId="5">#REF!</definedName>
    <definedName name="S_LSRange1" localSheetId="6">#REF!</definedName>
    <definedName name="S_LSRange1">#REF!</definedName>
    <definedName name="S_LSRange1Balance" localSheetId="2">#REF!</definedName>
    <definedName name="S_LSRange1Balance" localSheetId="1">#REF!</definedName>
    <definedName name="S_LSRange1Balance" localSheetId="3">#REF!</definedName>
    <definedName name="S_LSRange1Balance" localSheetId="5">#REF!</definedName>
    <definedName name="S_LSRange1Balance" localSheetId="6">#REF!</definedName>
    <definedName name="S_LSRange1Balance">#REF!</definedName>
    <definedName name="S_LSRange1Balance1" localSheetId="2">#REF!</definedName>
    <definedName name="S_LSRange1Balance1" localSheetId="1">#REF!</definedName>
    <definedName name="S_LSRange1Balance1" localSheetId="3">#REF!</definedName>
    <definedName name="S_LSRange1Balance1" localSheetId="5">#REF!</definedName>
    <definedName name="S_LSRange1Balance1" localSheetId="6">#REF!</definedName>
    <definedName name="S_LSRange1Balance1">#REF!</definedName>
    <definedName name="S_LSRange1Balance2" localSheetId="2">#REF!</definedName>
    <definedName name="S_LSRange1Balance2" localSheetId="1">#REF!</definedName>
    <definedName name="S_LSRange1Balance2" localSheetId="3">#REF!</definedName>
    <definedName name="S_LSRange1Balance2" localSheetId="5">#REF!</definedName>
    <definedName name="S_LSRange1Balance2" localSheetId="6">#REF!</definedName>
    <definedName name="S_LSRange1Balance2">#REF!</definedName>
    <definedName name="S_LSRange1Balance3" localSheetId="2">#REF!</definedName>
    <definedName name="S_LSRange1Balance3" localSheetId="1">#REF!</definedName>
    <definedName name="S_LSRange1Balance3" localSheetId="3">#REF!</definedName>
    <definedName name="S_LSRange1Balance3" localSheetId="5">#REF!</definedName>
    <definedName name="S_LSRange1Balance3" localSheetId="6">#REF!</definedName>
    <definedName name="S_LSRange1Balance3">#REF!</definedName>
    <definedName name="S_LSRange2" localSheetId="2">#REF!</definedName>
    <definedName name="S_LSRange2" localSheetId="1">#REF!</definedName>
    <definedName name="S_LSRange2" localSheetId="3">#REF!</definedName>
    <definedName name="S_LSRange2" localSheetId="5">#REF!</definedName>
    <definedName name="S_LSRange2" localSheetId="6">#REF!</definedName>
    <definedName name="S_LSRange2">#REF!</definedName>
    <definedName name="S_LSRange2Balance" localSheetId="2">#REF!</definedName>
    <definedName name="S_LSRange2Balance" localSheetId="1">#REF!</definedName>
    <definedName name="S_LSRange2Balance" localSheetId="3">#REF!</definedName>
    <definedName name="S_LSRange2Balance" localSheetId="5">#REF!</definedName>
    <definedName name="S_LSRange2Balance" localSheetId="6">#REF!</definedName>
    <definedName name="S_LSRange2Balance">#REF!</definedName>
    <definedName name="S_LSRange2Balance1" localSheetId="2">#REF!</definedName>
    <definedName name="S_LSRange2Balance1" localSheetId="1">#REF!</definedName>
    <definedName name="S_LSRange2Balance1" localSheetId="3">#REF!</definedName>
    <definedName name="S_LSRange2Balance1" localSheetId="5">#REF!</definedName>
    <definedName name="S_LSRange2Balance1" localSheetId="6">#REF!</definedName>
    <definedName name="S_LSRange2Balance1">#REF!</definedName>
    <definedName name="S_LSRange2Balance2" localSheetId="2">#REF!</definedName>
    <definedName name="S_LSRange2Balance2" localSheetId="1">#REF!</definedName>
    <definedName name="S_LSRange2Balance2" localSheetId="3">#REF!</definedName>
    <definedName name="S_LSRange2Balance2" localSheetId="5">#REF!</definedName>
    <definedName name="S_LSRange2Balance2" localSheetId="6">#REF!</definedName>
    <definedName name="S_LSRange2Balance2">#REF!</definedName>
    <definedName name="S_LSRange2Balance3" localSheetId="2">#REF!</definedName>
    <definedName name="S_LSRange2Balance3" localSheetId="1">#REF!</definedName>
    <definedName name="S_LSRange2Balance3" localSheetId="3">#REF!</definedName>
    <definedName name="S_LSRange2Balance3" localSheetId="5">#REF!</definedName>
    <definedName name="S_LSRange2Balance3" localSheetId="6">#REF!</definedName>
    <definedName name="S_LSRange2Balance3">#REF!</definedName>
    <definedName name="S_LSRange3" localSheetId="2">#REF!</definedName>
    <definedName name="S_LSRange3" localSheetId="1">#REF!</definedName>
    <definedName name="S_LSRange3" localSheetId="3">#REF!</definedName>
    <definedName name="S_LSRange3" localSheetId="5">#REF!</definedName>
    <definedName name="S_LSRange3" localSheetId="6">#REF!</definedName>
    <definedName name="S_LSRange3">#REF!</definedName>
    <definedName name="S_LSRange3Balance" localSheetId="2">#REF!</definedName>
    <definedName name="S_LSRange3Balance" localSheetId="1">#REF!</definedName>
    <definedName name="S_LSRange3Balance" localSheetId="3">#REF!</definedName>
    <definedName name="S_LSRange3Balance" localSheetId="5">#REF!</definedName>
    <definedName name="S_LSRange3Balance" localSheetId="6">#REF!</definedName>
    <definedName name="S_LSRange3Balance">#REF!</definedName>
    <definedName name="S_LSRange3Balance1" localSheetId="2">#REF!</definedName>
    <definedName name="S_LSRange3Balance1" localSheetId="1">#REF!</definedName>
    <definedName name="S_LSRange3Balance1" localSheetId="3">#REF!</definedName>
    <definedName name="S_LSRange3Balance1" localSheetId="5">#REF!</definedName>
    <definedName name="S_LSRange3Balance1" localSheetId="6">#REF!</definedName>
    <definedName name="S_LSRange3Balance1">#REF!</definedName>
    <definedName name="S_LSRange3Balance2" localSheetId="2">#REF!</definedName>
    <definedName name="S_LSRange3Balance2" localSheetId="1">#REF!</definedName>
    <definedName name="S_LSRange3Balance2" localSheetId="3">#REF!</definedName>
    <definedName name="S_LSRange3Balance2" localSheetId="5">#REF!</definedName>
    <definedName name="S_LSRange3Balance2" localSheetId="6">#REF!</definedName>
    <definedName name="S_LSRange3Balance2">#REF!</definedName>
    <definedName name="S_LSRange3Balance3" localSheetId="2">#REF!</definedName>
    <definedName name="S_LSRange3Balance3" localSheetId="1">#REF!</definedName>
    <definedName name="S_LSRange3Balance3" localSheetId="3">#REF!</definedName>
    <definedName name="S_LSRange3Balance3" localSheetId="5">#REF!</definedName>
    <definedName name="S_LSRange3Balance3" localSheetId="6">#REF!</definedName>
    <definedName name="S_LSRange3Balance3">#REF!</definedName>
    <definedName name="S_LSRange4" localSheetId="2">#REF!</definedName>
    <definedName name="S_LSRange4" localSheetId="1">#REF!</definedName>
    <definedName name="S_LSRange4" localSheetId="3">#REF!</definedName>
    <definedName name="S_LSRange4" localSheetId="5">#REF!</definedName>
    <definedName name="S_LSRange4" localSheetId="6">#REF!</definedName>
    <definedName name="S_LSRange4">#REF!</definedName>
    <definedName name="S_LSRange4Balance" localSheetId="2">#REF!</definedName>
    <definedName name="S_LSRange4Balance" localSheetId="1">#REF!</definedName>
    <definedName name="S_LSRange4Balance" localSheetId="3">#REF!</definedName>
    <definedName name="S_LSRange4Balance" localSheetId="5">#REF!</definedName>
    <definedName name="S_LSRange4Balance" localSheetId="6">#REF!</definedName>
    <definedName name="S_LSRange4Balance">#REF!</definedName>
    <definedName name="S_LSRange4Balance1" localSheetId="2">#REF!</definedName>
    <definedName name="S_LSRange4Balance1" localSheetId="1">#REF!</definedName>
    <definedName name="S_LSRange4Balance1" localSheetId="3">#REF!</definedName>
    <definedName name="S_LSRange4Balance1" localSheetId="5">#REF!</definedName>
    <definedName name="S_LSRange4Balance1" localSheetId="6">#REF!</definedName>
    <definedName name="S_LSRange4Balance1">#REF!</definedName>
    <definedName name="S_LSRange4Balance2" localSheetId="2">#REF!</definedName>
    <definedName name="S_LSRange4Balance2" localSheetId="1">#REF!</definedName>
    <definedName name="S_LSRange4Balance2" localSheetId="3">#REF!</definedName>
    <definedName name="S_LSRange4Balance2" localSheetId="5">#REF!</definedName>
    <definedName name="S_LSRange4Balance2" localSheetId="6">#REF!</definedName>
    <definedName name="S_LSRange4Balance2">#REF!</definedName>
    <definedName name="S_LSRange4Balance3" localSheetId="2">#REF!</definedName>
    <definedName name="S_LSRange4Balance3" localSheetId="1">#REF!</definedName>
    <definedName name="S_LSRange4Balance3" localSheetId="3">#REF!</definedName>
    <definedName name="S_LSRange4Balance3" localSheetId="5">#REF!</definedName>
    <definedName name="S_LSRange4Balance3" localSheetId="6">#REF!</definedName>
    <definedName name="S_LSRange4Balance3">#REF!</definedName>
    <definedName name="S_LSRange5" localSheetId="2">#REF!</definedName>
    <definedName name="S_LSRange5" localSheetId="1">#REF!</definedName>
    <definedName name="S_LSRange5" localSheetId="3">#REF!</definedName>
    <definedName name="S_LSRange5" localSheetId="5">#REF!</definedName>
    <definedName name="S_LSRange5" localSheetId="6">#REF!</definedName>
    <definedName name="S_LSRange5">#REF!</definedName>
    <definedName name="S_LSRange5Balance" localSheetId="2">#REF!</definedName>
    <definedName name="S_LSRange5Balance" localSheetId="1">#REF!</definedName>
    <definedName name="S_LSRange5Balance" localSheetId="3">#REF!</definedName>
    <definedName name="S_LSRange5Balance" localSheetId="5">#REF!</definedName>
    <definedName name="S_LSRange5Balance" localSheetId="6">#REF!</definedName>
    <definedName name="S_LSRange5Balance">#REF!</definedName>
    <definedName name="S_LSRange5Balance1" localSheetId="2">#REF!</definedName>
    <definedName name="S_LSRange5Balance1" localSheetId="1">#REF!</definedName>
    <definedName name="S_LSRange5Balance1" localSheetId="3">#REF!</definedName>
    <definedName name="S_LSRange5Balance1" localSheetId="5">#REF!</definedName>
    <definedName name="S_LSRange5Balance1" localSheetId="6">#REF!</definedName>
    <definedName name="S_LSRange5Balance1">#REF!</definedName>
    <definedName name="S_LSRange5Balance2" localSheetId="2">#REF!</definedName>
    <definedName name="S_LSRange5Balance2" localSheetId="1">#REF!</definedName>
    <definedName name="S_LSRange5Balance2" localSheetId="3">#REF!</definedName>
    <definedName name="S_LSRange5Balance2" localSheetId="5">#REF!</definedName>
    <definedName name="S_LSRange5Balance2" localSheetId="6">#REF!</definedName>
    <definedName name="S_LSRange5Balance2">#REF!</definedName>
    <definedName name="S_LSRange5Balance3" localSheetId="2">#REF!</definedName>
    <definedName name="S_LSRange5Balance3" localSheetId="1">#REF!</definedName>
    <definedName name="S_LSRange5Balance3" localSheetId="3">#REF!</definedName>
    <definedName name="S_LSRange5Balance3" localSheetId="5">#REF!</definedName>
    <definedName name="S_LSRange5Balance3" localSheetId="6">#REF!</definedName>
    <definedName name="S_LSRange5Balance3">#REF!</definedName>
    <definedName name="S_LSRange6" localSheetId="2">#REF!</definedName>
    <definedName name="S_LSRange6" localSheetId="1">#REF!</definedName>
    <definedName name="S_LSRange6" localSheetId="3">#REF!</definedName>
    <definedName name="S_LSRange6" localSheetId="5">#REF!</definedName>
    <definedName name="S_LSRange6" localSheetId="6">#REF!</definedName>
    <definedName name="S_LSRange6">#REF!</definedName>
    <definedName name="S_LSRange6Balance" localSheetId="2">#REF!</definedName>
    <definedName name="S_LSRange6Balance" localSheetId="1">#REF!</definedName>
    <definedName name="S_LSRange6Balance" localSheetId="3">#REF!</definedName>
    <definedName name="S_LSRange6Balance" localSheetId="5">#REF!</definedName>
    <definedName name="S_LSRange6Balance" localSheetId="6">#REF!</definedName>
    <definedName name="S_LSRange6Balance">#REF!</definedName>
    <definedName name="S_LSRange6Balance1" localSheetId="2">#REF!</definedName>
    <definedName name="S_LSRange6Balance1" localSheetId="1">#REF!</definedName>
    <definedName name="S_LSRange6Balance1" localSheetId="3">#REF!</definedName>
    <definedName name="S_LSRange6Balance1" localSheetId="5">#REF!</definedName>
    <definedName name="S_LSRange6Balance1" localSheetId="6">#REF!</definedName>
    <definedName name="S_LSRange6Balance1">#REF!</definedName>
    <definedName name="S_LSRange6Balance2" localSheetId="2">#REF!</definedName>
    <definedName name="S_LSRange6Balance2" localSheetId="1">#REF!</definedName>
    <definedName name="S_LSRange6Balance2" localSheetId="3">#REF!</definedName>
    <definedName name="S_LSRange6Balance2" localSheetId="5">#REF!</definedName>
    <definedName name="S_LSRange6Balance2" localSheetId="6">#REF!</definedName>
    <definedName name="S_LSRange6Balance2">#REF!</definedName>
    <definedName name="S_LSRange6Balance3" localSheetId="2">#REF!</definedName>
    <definedName name="S_LSRange6Balance3" localSheetId="1">#REF!</definedName>
    <definedName name="S_LSRange6Balance3" localSheetId="3">#REF!</definedName>
    <definedName name="S_LSRange6Balance3" localSheetId="5">#REF!</definedName>
    <definedName name="S_LSRange6Balance3" localSheetId="6">#REF!</definedName>
    <definedName name="S_LSRange6Balance3">#REF!</definedName>
    <definedName name="S_LSRange7" localSheetId="2">#REF!</definedName>
    <definedName name="S_LSRange7" localSheetId="1">#REF!</definedName>
    <definedName name="S_LSRange7" localSheetId="3">#REF!</definedName>
    <definedName name="S_LSRange7" localSheetId="5">#REF!</definedName>
    <definedName name="S_LSRange7" localSheetId="6">#REF!</definedName>
    <definedName name="S_LSRange7">#REF!</definedName>
    <definedName name="S_LSRange7Balance" localSheetId="2">#REF!</definedName>
    <definedName name="S_LSRange7Balance" localSheetId="1">#REF!</definedName>
    <definedName name="S_LSRange7Balance" localSheetId="3">#REF!</definedName>
    <definedName name="S_LSRange7Balance" localSheetId="5">#REF!</definedName>
    <definedName name="S_LSRange7Balance" localSheetId="6">#REF!</definedName>
    <definedName name="S_LSRange7Balance">#REF!</definedName>
    <definedName name="S_LSRange7Balance1" localSheetId="2">#REF!</definedName>
    <definedName name="S_LSRange7Balance1" localSheetId="1">#REF!</definedName>
    <definedName name="S_LSRange7Balance1" localSheetId="3">#REF!</definedName>
    <definedName name="S_LSRange7Balance1" localSheetId="5">#REF!</definedName>
    <definedName name="S_LSRange7Balance1" localSheetId="6">#REF!</definedName>
    <definedName name="S_LSRange7Balance1">#REF!</definedName>
    <definedName name="S_LSRange7Balance2" localSheetId="2">#REF!</definedName>
    <definedName name="S_LSRange7Balance2" localSheetId="1">#REF!</definedName>
    <definedName name="S_LSRange7Balance2" localSheetId="3">#REF!</definedName>
    <definedName name="S_LSRange7Balance2" localSheetId="5">#REF!</definedName>
    <definedName name="S_LSRange7Balance2" localSheetId="6">#REF!</definedName>
    <definedName name="S_LSRange7Balance2">#REF!</definedName>
    <definedName name="S_LSRange7Balance3" localSheetId="2">#REF!</definedName>
    <definedName name="S_LSRange7Balance3" localSheetId="1">#REF!</definedName>
    <definedName name="S_LSRange7Balance3" localSheetId="3">#REF!</definedName>
    <definedName name="S_LSRange7Balance3" localSheetId="5">#REF!</definedName>
    <definedName name="S_LSRange7Balance3" localSheetId="6">#REF!</definedName>
    <definedName name="S_LSRange7Balance3">#REF!</definedName>
    <definedName name="S_LSRange8" localSheetId="2">#REF!</definedName>
    <definedName name="S_LSRange8" localSheetId="1">#REF!</definedName>
    <definedName name="S_LSRange8" localSheetId="3">#REF!</definedName>
    <definedName name="S_LSRange8" localSheetId="5">#REF!</definedName>
    <definedName name="S_LSRange8" localSheetId="6">#REF!</definedName>
    <definedName name="S_LSRange8">#REF!</definedName>
    <definedName name="S_LSRange8Balance" localSheetId="2">#REF!</definedName>
    <definedName name="S_LSRange8Balance" localSheetId="1">#REF!</definedName>
    <definedName name="S_LSRange8Balance" localSheetId="3">#REF!</definedName>
    <definedName name="S_LSRange8Balance" localSheetId="5">#REF!</definedName>
    <definedName name="S_LSRange8Balance" localSheetId="6">#REF!</definedName>
    <definedName name="S_LSRange8Balance">#REF!</definedName>
    <definedName name="S_LSRange8Balance1" localSheetId="2">#REF!</definedName>
    <definedName name="S_LSRange8Balance1" localSheetId="1">#REF!</definedName>
    <definedName name="S_LSRange8Balance1" localSheetId="3">#REF!</definedName>
    <definedName name="S_LSRange8Balance1" localSheetId="5">#REF!</definedName>
    <definedName name="S_LSRange8Balance1" localSheetId="6">#REF!</definedName>
    <definedName name="S_LSRange8Balance1">#REF!</definedName>
    <definedName name="S_LSRange8Balance2" localSheetId="2">#REF!</definedName>
    <definedName name="S_LSRange8Balance2" localSheetId="1">#REF!</definedName>
    <definedName name="S_LSRange8Balance2" localSheetId="3">#REF!</definedName>
    <definedName name="S_LSRange8Balance2" localSheetId="5">#REF!</definedName>
    <definedName name="S_LSRange8Balance2" localSheetId="6">#REF!</definedName>
    <definedName name="S_LSRange8Balance2">#REF!</definedName>
    <definedName name="S_LSRange8Balance3" localSheetId="2">#REF!</definedName>
    <definedName name="S_LSRange8Balance3" localSheetId="1">#REF!</definedName>
    <definedName name="S_LSRange8Balance3" localSheetId="3">#REF!</definedName>
    <definedName name="S_LSRange8Balance3" localSheetId="5">#REF!</definedName>
    <definedName name="S_LSRange8Balance3" localSheetId="6">#REF!</definedName>
    <definedName name="S_LSRange8Balance3">#REF!</definedName>
    <definedName name="S_LSRange9" localSheetId="2">#REF!</definedName>
    <definedName name="S_LSRange9" localSheetId="1">#REF!</definedName>
    <definedName name="S_LSRange9" localSheetId="3">#REF!</definedName>
    <definedName name="S_LSRange9" localSheetId="5">#REF!</definedName>
    <definedName name="S_LSRange9" localSheetId="6">#REF!</definedName>
    <definedName name="S_LSRange9">#REF!</definedName>
    <definedName name="S_LSRange9Balance" localSheetId="2">#REF!</definedName>
    <definedName name="S_LSRange9Balance" localSheetId="1">#REF!</definedName>
    <definedName name="S_LSRange9Balance" localSheetId="3">#REF!</definedName>
    <definedName name="S_LSRange9Balance" localSheetId="5">#REF!</definedName>
    <definedName name="S_LSRange9Balance" localSheetId="6">#REF!</definedName>
    <definedName name="S_LSRange9Balance">#REF!</definedName>
    <definedName name="S_LSRange9Balance1" localSheetId="2">#REF!</definedName>
    <definedName name="S_LSRange9Balance1" localSheetId="1">#REF!</definedName>
    <definedName name="S_LSRange9Balance1" localSheetId="3">#REF!</definedName>
    <definedName name="S_LSRange9Balance1" localSheetId="5">#REF!</definedName>
    <definedName name="S_LSRange9Balance1" localSheetId="6">#REF!</definedName>
    <definedName name="S_LSRange9Balance1">#REF!</definedName>
    <definedName name="S_LSRange9Balance2" localSheetId="2">#REF!</definedName>
    <definedName name="S_LSRange9Balance2" localSheetId="1">#REF!</definedName>
    <definedName name="S_LSRange9Balance2" localSheetId="3">#REF!</definedName>
    <definedName name="S_LSRange9Balance2" localSheetId="5">#REF!</definedName>
    <definedName name="S_LSRange9Balance2" localSheetId="6">#REF!</definedName>
    <definedName name="S_LSRange9Balance2">#REF!</definedName>
    <definedName name="S_LSRange9Balance3" localSheetId="2">#REF!</definedName>
    <definedName name="S_LSRange9Balance3" localSheetId="1">#REF!</definedName>
    <definedName name="S_LSRange9Balance3" localSheetId="3">#REF!</definedName>
    <definedName name="S_LSRange9Balance3" localSheetId="5">#REF!</definedName>
    <definedName name="S_LSRange9Balance3" localSheetId="6">#REF!</definedName>
    <definedName name="S_LSRange9Balance3">#REF!</definedName>
    <definedName name="S_PY_End" localSheetId="2">#REF!</definedName>
    <definedName name="S_PY_End" localSheetId="1">#REF!</definedName>
    <definedName name="S_PY_End" localSheetId="3">#REF!</definedName>
    <definedName name="S_PY_End" localSheetId="5">#REF!</definedName>
    <definedName name="S_PY_End" localSheetId="6">#REF!</definedName>
    <definedName name="S_PY_End">#REF!</definedName>
    <definedName name="S_PY_End_Data" localSheetId="2">#REF!</definedName>
    <definedName name="S_PY_End_Data" localSheetId="1">#REF!</definedName>
    <definedName name="S_PY_End_Data" localSheetId="3">#REF!</definedName>
    <definedName name="S_PY_End_Data" localSheetId="5">#REF!</definedName>
    <definedName name="S_PY_End_Data" localSheetId="6">#REF!</definedName>
    <definedName name="S_PY_End_Data">#REF!</definedName>
    <definedName name="S_PY_End_GT" localSheetId="2">#REF!</definedName>
    <definedName name="S_PY_End_GT" localSheetId="1">#REF!</definedName>
    <definedName name="S_PY_End_GT" localSheetId="3">#REF!</definedName>
    <definedName name="S_PY_End_GT" localSheetId="5">#REF!</definedName>
    <definedName name="S_PY_End_GT" localSheetId="6">#REF!</definedName>
    <definedName name="S_PY_End_GT">#REF!</definedName>
    <definedName name="S_RJE_Tot" localSheetId="2">#REF!</definedName>
    <definedName name="S_RJE_Tot" localSheetId="1">#REF!</definedName>
    <definedName name="S_RJE_Tot" localSheetId="3">#REF!</definedName>
    <definedName name="S_RJE_Tot" localSheetId="5">#REF!</definedName>
    <definedName name="S_RJE_Tot" localSheetId="6">#REF!</definedName>
    <definedName name="S_RJE_Tot">#REF!</definedName>
    <definedName name="S_RJE_Tot_Data" localSheetId="2">#REF!</definedName>
    <definedName name="S_RJE_Tot_Data" localSheetId="1">#REF!</definedName>
    <definedName name="S_RJE_Tot_Data" localSheetId="3">#REF!</definedName>
    <definedName name="S_RJE_Tot_Data" localSheetId="5">#REF!</definedName>
    <definedName name="S_RJE_Tot_Data" localSheetId="6">#REF!</definedName>
    <definedName name="S_RJE_Tot_Data">#REF!</definedName>
    <definedName name="S_RJE_Tot_GT" localSheetId="2">#REF!</definedName>
    <definedName name="S_RJE_Tot_GT" localSheetId="1">#REF!</definedName>
    <definedName name="S_RJE_Tot_GT" localSheetId="3">#REF!</definedName>
    <definedName name="S_RJE_Tot_GT" localSheetId="5">#REF!</definedName>
    <definedName name="S_RJE_Tot_GT" localSheetId="6">#REF!</definedName>
    <definedName name="S_RJE_Tot_GT">#REF!</definedName>
    <definedName name="S_RowNum" localSheetId="2">#REF!</definedName>
    <definedName name="S_RowNum" localSheetId="1">#REF!</definedName>
    <definedName name="S_RowNum" localSheetId="3">#REF!</definedName>
    <definedName name="S_RowNum" localSheetId="5">#REF!</definedName>
    <definedName name="S_RowNum" localSheetId="6">#REF!</definedName>
    <definedName name="S_RowNum">#REF!</definedName>
    <definedName name="S_Total" localSheetId="2">#REF!</definedName>
    <definedName name="S_Total" localSheetId="1">#REF!</definedName>
    <definedName name="S_Total" localSheetId="3">#REF!</definedName>
    <definedName name="S_Total" localSheetId="5">#REF!</definedName>
    <definedName name="S_Total" localSheetId="6">#REF!</definedName>
    <definedName name="S_Total">#REF!</definedName>
    <definedName name="S_Total1" localSheetId="2">#REF!</definedName>
    <definedName name="S_Total1" localSheetId="1">#REF!</definedName>
    <definedName name="S_Total1" localSheetId="3">#REF!</definedName>
    <definedName name="S_Total1" localSheetId="5">#REF!</definedName>
    <definedName name="S_Total1" localSheetId="6">#REF!</definedName>
    <definedName name="S_Total1">#REF!</definedName>
    <definedName name="S_Total2" localSheetId="2">#REF!</definedName>
    <definedName name="S_Total2" localSheetId="1">#REF!</definedName>
    <definedName name="S_Total2" localSheetId="3">#REF!</definedName>
    <definedName name="S_Total2" localSheetId="5">#REF!</definedName>
    <definedName name="S_Total2" localSheetId="6">#REF!</definedName>
    <definedName name="S_Total2">#REF!</definedName>
    <definedName name="S_Total3" localSheetId="2">#REF!</definedName>
    <definedName name="S_Total3" localSheetId="1">#REF!</definedName>
    <definedName name="S_Total3" localSheetId="3">#REF!</definedName>
    <definedName name="S_Total3" localSheetId="5">#REF!</definedName>
    <definedName name="S_Total3" localSheetId="6">#REF!</definedName>
    <definedName name="S_Total3">#REF!</definedName>
    <definedName name="sabi" localSheetId="2">#REF!</definedName>
    <definedName name="sabi" localSheetId="1">#REF!</definedName>
    <definedName name="sabi" localSheetId="3">#REF!</definedName>
    <definedName name="sabi" localSheetId="5">#REF!</definedName>
    <definedName name="sabi" localSheetId="6">#REF!</definedName>
    <definedName name="sabi">#REF!</definedName>
    <definedName name="salaryinhouse" localSheetId="2">#REF!</definedName>
    <definedName name="salaryinhouse" localSheetId="1">#REF!</definedName>
    <definedName name="salaryinhouse" localSheetId="3">#REF!</definedName>
    <definedName name="salaryinhouse" localSheetId="5">#REF!</definedName>
    <definedName name="salaryinhouse" localSheetId="6">#REF!</definedName>
    <definedName name="salaryinhouse">#REF!</definedName>
    <definedName name="salaryoutsourced" localSheetId="2">#REF!</definedName>
    <definedName name="salaryoutsourced" localSheetId="1">#REF!</definedName>
    <definedName name="salaryoutsourced" localSheetId="3">#REF!</definedName>
    <definedName name="salaryoutsourced" localSheetId="5">#REF!</definedName>
    <definedName name="salaryoutsourced" localSheetId="6">#REF!</definedName>
    <definedName name="salaryoutsourced">#REF!</definedName>
    <definedName name="SALEDETL" localSheetId="2">#REF!</definedName>
    <definedName name="SALEDETL" localSheetId="1">#REF!</definedName>
    <definedName name="SALEDETL" localSheetId="3">#REF!</definedName>
    <definedName name="SALEDETL" localSheetId="5">#REF!</definedName>
    <definedName name="SALEDETL" localSheetId="6">#REF!</definedName>
    <definedName name="SALEDETL">#REF!</definedName>
    <definedName name="SALES" localSheetId="2">#REF!</definedName>
    <definedName name="SALES" localSheetId="1">#REF!</definedName>
    <definedName name="SALES" localSheetId="3">#REF!</definedName>
    <definedName name="SALES" localSheetId="5">#REF!</definedName>
    <definedName name="SALES" localSheetId="6">#REF!</definedName>
    <definedName name="SALES">#REF!</definedName>
    <definedName name="SaveNewFile" localSheetId="2">#REF!</definedName>
    <definedName name="SaveNewFile" localSheetId="1">#REF!</definedName>
    <definedName name="SaveNewFile" localSheetId="3">#REF!</definedName>
    <definedName name="SaveNewFile" localSheetId="5">#REF!</definedName>
    <definedName name="SaveNewFile" localSheetId="6">#REF!</definedName>
    <definedName name="SaveNewFile">#REF!</definedName>
    <definedName name="SaveWorkbookNo">#N/A</definedName>
    <definedName name="SaveWorkbookYes">#N/A</definedName>
    <definedName name="sc" localSheetId="2">#REF!</definedName>
    <definedName name="sc" localSheetId="1">#REF!</definedName>
    <definedName name="sc" localSheetId="3">#REF!</definedName>
    <definedName name="sc" localSheetId="5">#REF!</definedName>
    <definedName name="sc" localSheetId="6">#REF!</definedName>
    <definedName name="sc">#REF!</definedName>
    <definedName name="scaleupfactor" localSheetId="2">#REF!</definedName>
    <definedName name="scaleupfactor" localSheetId="1">#REF!</definedName>
    <definedName name="scaleupfactor" localSheetId="3">#REF!</definedName>
    <definedName name="scaleupfactor" localSheetId="5">#REF!</definedName>
    <definedName name="scaleupfactor" localSheetId="6">#REF!</definedName>
    <definedName name="scaleupfactor">#REF!</definedName>
    <definedName name="Sch_1_2_3" localSheetId="2">#REF!</definedName>
    <definedName name="Sch_1_2_3" localSheetId="1">#REF!</definedName>
    <definedName name="Sch_1_2_3" localSheetId="3">#REF!</definedName>
    <definedName name="Sch_1_2_3" localSheetId="5">#REF!</definedName>
    <definedName name="Sch_1_2_3" localSheetId="6">#REF!</definedName>
    <definedName name="Sch_1_2_3">#REF!</definedName>
    <definedName name="Sch_11_12" localSheetId="2">#REF!</definedName>
    <definedName name="Sch_11_12" localSheetId="1">#REF!</definedName>
    <definedName name="Sch_11_12" localSheetId="3">#REF!</definedName>
    <definedName name="Sch_11_12" localSheetId="5">#REF!</definedName>
    <definedName name="Sch_11_12" localSheetId="6">#REF!</definedName>
    <definedName name="Sch_11_12">#REF!</definedName>
    <definedName name="Sch_13" localSheetId="2">#REF!</definedName>
    <definedName name="Sch_13" localSheetId="1">#REF!</definedName>
    <definedName name="Sch_13" localSheetId="3">#REF!</definedName>
    <definedName name="Sch_13" localSheetId="5">#REF!</definedName>
    <definedName name="Sch_13" localSheetId="6">#REF!</definedName>
    <definedName name="Sch_13">#REF!</definedName>
    <definedName name="Sch_5_6_7" localSheetId="2">#REF!</definedName>
    <definedName name="Sch_5_6_7" localSheetId="1">#REF!</definedName>
    <definedName name="Sch_5_6_7" localSheetId="3">#REF!</definedName>
    <definedName name="Sch_5_6_7" localSheetId="5">#REF!</definedName>
    <definedName name="Sch_5_6_7" localSheetId="6">#REF!</definedName>
    <definedName name="Sch_5_6_7">#REF!</definedName>
    <definedName name="Sch_8_9_10" localSheetId="2">#REF!</definedName>
    <definedName name="Sch_8_9_10" localSheetId="1">#REF!</definedName>
    <definedName name="Sch_8_9_10" localSheetId="3">#REF!</definedName>
    <definedName name="Sch_8_9_10" localSheetId="5">#REF!</definedName>
    <definedName name="Sch_8_9_10" localSheetId="6">#REF!</definedName>
    <definedName name="Sch_8_9_10">#REF!</definedName>
    <definedName name="Sch11to13" localSheetId="2">#REF!</definedName>
    <definedName name="Sch11to13" localSheetId="1">#REF!</definedName>
    <definedName name="Sch11to13" localSheetId="3">#REF!</definedName>
    <definedName name="Sch11to13" localSheetId="5">#REF!</definedName>
    <definedName name="Sch11to13" localSheetId="6">#REF!</definedName>
    <definedName name="Sch11to13">#REF!</definedName>
    <definedName name="Sch1to5" localSheetId="2">#REF!</definedName>
    <definedName name="Sch1to5" localSheetId="1">#REF!</definedName>
    <definedName name="Sch1to5" localSheetId="3">#REF!</definedName>
    <definedName name="Sch1to5" localSheetId="5">#REF!</definedName>
    <definedName name="Sch1to5" localSheetId="6">#REF!</definedName>
    <definedName name="Sch1to5">#REF!</definedName>
    <definedName name="Sch6to10" localSheetId="2">#REF!</definedName>
    <definedName name="Sch6to10" localSheetId="1">#REF!</definedName>
    <definedName name="Sch6to10" localSheetId="3">#REF!</definedName>
    <definedName name="Sch6to10" localSheetId="5">#REF!</definedName>
    <definedName name="Sch6to10" localSheetId="6">#REF!</definedName>
    <definedName name="Sch6to10">#REF!</definedName>
    <definedName name="scs" localSheetId="2">#REF!</definedName>
    <definedName name="scs" localSheetId="1">#REF!</definedName>
    <definedName name="scs" localSheetId="3">#REF!</definedName>
    <definedName name="scs" localSheetId="5">#REF!</definedName>
    <definedName name="scs" localSheetId="6">#REF!</definedName>
    <definedName name="scs">#REF!</definedName>
    <definedName name="SDASD" localSheetId="2">#REF!</definedName>
    <definedName name="SDASD" localSheetId="1">#REF!</definedName>
    <definedName name="SDASD" localSheetId="3">#REF!</definedName>
    <definedName name="SDASD" localSheetId="5">#REF!</definedName>
    <definedName name="SDASD" localSheetId="6">#REF!</definedName>
    <definedName name="SDASD">#REF!</definedName>
    <definedName name="sdcacarriagetfc1a" localSheetId="2">#REF!</definedName>
    <definedName name="sdcacarriagetfc1a" localSheetId="1">#REF!</definedName>
    <definedName name="sdcacarriagetfc1a" localSheetId="3">#REF!</definedName>
    <definedName name="sdcacarriagetfc1a" localSheetId="5">#REF!</definedName>
    <definedName name="sdcacarriagetfc1a" localSheetId="6">#REF!</definedName>
    <definedName name="sdcacarriagetfc1a">#REF!</definedName>
    <definedName name="sdcacarriagetfc1b" localSheetId="2">#REF!</definedName>
    <definedName name="sdcacarriagetfc1b" localSheetId="1">#REF!</definedName>
    <definedName name="sdcacarriagetfc1b" localSheetId="3">#REF!</definedName>
    <definedName name="sdcacarriagetfc1b" localSheetId="5">#REF!</definedName>
    <definedName name="sdcacarriagetfc1b" localSheetId="6">#REF!</definedName>
    <definedName name="sdcacarriagetfc1b">#REF!</definedName>
    <definedName name="sdcacarriagetfc2" localSheetId="2">#REF!</definedName>
    <definedName name="sdcacarriagetfc2" localSheetId="1">#REF!</definedName>
    <definedName name="sdcacarriagetfc2" localSheetId="3">#REF!</definedName>
    <definedName name="sdcacarriagetfc2" localSheetId="5">#REF!</definedName>
    <definedName name="sdcacarriagetfc2" localSheetId="6">#REF!</definedName>
    <definedName name="sdcacarriagetfc2">#REF!</definedName>
    <definedName name="sdddd" localSheetId="2">#REF!</definedName>
    <definedName name="sdddd" localSheetId="1">#REF!</definedName>
    <definedName name="sdddd" localSheetId="3">#REF!</definedName>
    <definedName name="sdddd" localSheetId="5">#REF!</definedName>
    <definedName name="sdddd" localSheetId="6">#REF!</definedName>
    <definedName name="sdddd">#REF!</definedName>
    <definedName name="sDKJEHWGKJG" localSheetId="2">#REF!</definedName>
    <definedName name="sDKJEHWGKJG" localSheetId="1">#REF!</definedName>
    <definedName name="sDKJEHWGKJG" localSheetId="3">#REF!</definedName>
    <definedName name="sDKJEHWGKJG" localSheetId="5">#REF!</definedName>
    <definedName name="sDKJEHWGKJG" localSheetId="6">#REF!</definedName>
    <definedName name="sDKJEHWGKJG">#REF!</definedName>
    <definedName name="SEctionCode" localSheetId="2">#REF!</definedName>
    <definedName name="SEctionCode" localSheetId="1">#REF!</definedName>
    <definedName name="SEctionCode" localSheetId="3">#REF!</definedName>
    <definedName name="SEctionCode" localSheetId="5">#REF!</definedName>
    <definedName name="SEctionCode" localSheetId="6">#REF!</definedName>
    <definedName name="SEctionCode">#REF!</definedName>
    <definedName name="Sep" localSheetId="2">#REF!</definedName>
    <definedName name="Sep" localSheetId="1">#REF!</definedName>
    <definedName name="Sep" localSheetId="3">#REF!</definedName>
    <definedName name="Sep" localSheetId="5">#REF!</definedName>
    <definedName name="Sep" localSheetId="6">#REF!</definedName>
    <definedName name="Sep">#REF!</definedName>
    <definedName name="SEPDATA?" localSheetId="2">#REF!</definedName>
    <definedName name="SEPDATA?" localSheetId="1">#REF!</definedName>
    <definedName name="SEPDATA?" localSheetId="3">#REF!</definedName>
    <definedName name="SEPDATA?" localSheetId="5">#REF!</definedName>
    <definedName name="SEPDATA?" localSheetId="6">#REF!</definedName>
    <definedName name="SEPDATA?">#REF!</definedName>
    <definedName name="Service" localSheetId="2">#REF!</definedName>
    <definedName name="Service" localSheetId="1">#REF!</definedName>
    <definedName name="Service" localSheetId="3">#REF!</definedName>
    <definedName name="Service" localSheetId="5">#REF!</definedName>
    <definedName name="Service" localSheetId="6">#REF!</definedName>
    <definedName name="Service">#REF!</definedName>
    <definedName name="SETUP_PRINT" localSheetId="2">#REF!</definedName>
    <definedName name="SETUP_PRINT" localSheetId="1">#REF!</definedName>
    <definedName name="SETUP_PRINT" localSheetId="3">#REF!</definedName>
    <definedName name="SETUP_PRINT" localSheetId="5">#REF!</definedName>
    <definedName name="SETUP_PRINT" localSheetId="6">#REF!</definedName>
    <definedName name="SETUP_PRINT">#REF!</definedName>
    <definedName name="SEVENDAY" localSheetId="2">#REF!</definedName>
    <definedName name="SEVENDAY" localSheetId="1">#REF!</definedName>
    <definedName name="SEVENDAY" localSheetId="3">#REF!</definedName>
    <definedName name="SEVENDAY" localSheetId="5">#REF!</definedName>
    <definedName name="SEVENDAY" localSheetId="6">#REF!</definedName>
    <definedName name="SEVENDAY">#REF!</definedName>
    <definedName name="sf" localSheetId="2">#REF!</definedName>
    <definedName name="sf" localSheetId="1">#REF!</definedName>
    <definedName name="sf" localSheetId="3">#REF!</definedName>
    <definedName name="sf" localSheetId="5">#REF!</definedName>
    <definedName name="sf" localSheetId="6">#REF!</definedName>
    <definedName name="sf">#REF!</definedName>
    <definedName name="shelf_1_fixed" localSheetId="2">#REF!</definedName>
    <definedName name="shelf_1_fixed" localSheetId="1">#REF!</definedName>
    <definedName name="shelf_1_fixed" localSheetId="3">#REF!</definedName>
    <definedName name="shelf_1_fixed" localSheetId="5">#REF!</definedName>
    <definedName name="shelf_1_fixed" localSheetId="6">#REF!</definedName>
    <definedName name="shelf_1_fixed">#REF!</definedName>
    <definedName name="shelf_1A_var" localSheetId="2">#REF!</definedName>
    <definedName name="shelf_1A_var" localSheetId="1">#REF!</definedName>
    <definedName name="shelf_1A_var" localSheetId="3">#REF!</definedName>
    <definedName name="shelf_1A_var" localSheetId="5">#REF!</definedName>
    <definedName name="shelf_1A_var" localSheetId="6">#REF!</definedName>
    <definedName name="shelf_1A_var">#REF!</definedName>
    <definedName name="shelf_1B_fixed" localSheetId="2">#REF!</definedName>
    <definedName name="shelf_1B_fixed" localSheetId="1">#REF!</definedName>
    <definedName name="shelf_1B_fixed" localSheetId="3">#REF!</definedName>
    <definedName name="shelf_1B_fixed" localSheetId="5">#REF!</definedName>
    <definedName name="shelf_1B_fixed" localSheetId="6">#REF!</definedName>
    <definedName name="shelf_1B_fixed">#REF!</definedName>
    <definedName name="shelf_1B_var" localSheetId="2">#REF!</definedName>
    <definedName name="shelf_1B_var" localSheetId="1">#REF!</definedName>
    <definedName name="shelf_1B_var" localSheetId="3">#REF!</definedName>
    <definedName name="shelf_1B_var" localSheetId="5">#REF!</definedName>
    <definedName name="shelf_1B_var" localSheetId="6">#REF!</definedName>
    <definedName name="shelf_1B_var">#REF!</definedName>
    <definedName name="shelf_1C_fixed" localSheetId="2">#REF!</definedName>
    <definedName name="shelf_1C_fixed" localSheetId="1">#REF!</definedName>
    <definedName name="shelf_1C_fixed" localSheetId="3">#REF!</definedName>
    <definedName name="shelf_1C_fixed" localSheetId="5">#REF!</definedName>
    <definedName name="shelf_1C_fixed" localSheetId="6">#REF!</definedName>
    <definedName name="shelf_1C_fixed">#REF!</definedName>
    <definedName name="shelf_1C_var" localSheetId="2">#REF!</definedName>
    <definedName name="shelf_1C_var" localSheetId="1">#REF!</definedName>
    <definedName name="shelf_1C_var" localSheetId="3">#REF!</definedName>
    <definedName name="shelf_1C_var" localSheetId="5">#REF!</definedName>
    <definedName name="shelf_1C_var" localSheetId="6">#REF!</definedName>
    <definedName name="shelf_1C_var">#REF!</definedName>
    <definedName name="shelf_1D_fixed" localSheetId="2">#REF!</definedName>
    <definedName name="shelf_1D_fixed" localSheetId="1">#REF!</definedName>
    <definedName name="shelf_1D_fixed" localSheetId="3">#REF!</definedName>
    <definedName name="shelf_1D_fixed" localSheetId="5">#REF!</definedName>
    <definedName name="shelf_1D_fixed" localSheetId="6">#REF!</definedName>
    <definedName name="shelf_1D_fixed">#REF!</definedName>
    <definedName name="shelf_1D_var" localSheetId="2">#REF!</definedName>
    <definedName name="shelf_1D_var" localSheetId="1">#REF!</definedName>
    <definedName name="shelf_1D_var" localSheetId="3">#REF!</definedName>
    <definedName name="shelf_1D_var" localSheetId="5">#REF!</definedName>
    <definedName name="shelf_1D_var" localSheetId="6">#REF!</definedName>
    <definedName name="shelf_1D_var">#REF!</definedName>
    <definedName name="shelf_1E_fixed" localSheetId="2">#REF!</definedName>
    <definedName name="shelf_1E_fixed" localSheetId="1">#REF!</definedName>
    <definedName name="shelf_1E_fixed" localSheetId="3">#REF!</definedName>
    <definedName name="shelf_1E_fixed" localSheetId="5">#REF!</definedName>
    <definedName name="shelf_1E_fixed" localSheetId="6">#REF!</definedName>
    <definedName name="shelf_1E_fixed">#REF!</definedName>
    <definedName name="shelf_1E_var" localSheetId="2">#REF!</definedName>
    <definedName name="shelf_1E_var" localSheetId="1">#REF!</definedName>
    <definedName name="shelf_1E_var" localSheetId="3">#REF!</definedName>
    <definedName name="shelf_1E_var" localSheetId="5">#REF!</definedName>
    <definedName name="shelf_1E_var" localSheetId="6">#REF!</definedName>
    <definedName name="shelf_1E_var">#REF!</definedName>
    <definedName name="shelf_IIA_fixed" localSheetId="2">#REF!</definedName>
    <definedName name="shelf_IIA_fixed" localSheetId="1">#REF!</definedName>
    <definedName name="shelf_IIA_fixed" localSheetId="3">#REF!</definedName>
    <definedName name="shelf_IIA_fixed" localSheetId="5">#REF!</definedName>
    <definedName name="shelf_IIA_fixed" localSheetId="6">#REF!</definedName>
    <definedName name="shelf_IIA_fixed">#REF!</definedName>
    <definedName name="shelf_IIIA_fixed" localSheetId="2">#REF!</definedName>
    <definedName name="shelf_IIIA_fixed" localSheetId="1">#REF!</definedName>
    <definedName name="shelf_IIIA_fixed" localSheetId="3">#REF!</definedName>
    <definedName name="shelf_IIIA_fixed" localSheetId="5">#REF!</definedName>
    <definedName name="shelf_IIIA_fixed" localSheetId="6">#REF!</definedName>
    <definedName name="shelf_IIIA_fixed">#REF!</definedName>
    <definedName name="shelf_IIIA_var" localSheetId="2">#REF!</definedName>
    <definedName name="shelf_IIIA_var" localSheetId="1">#REF!</definedName>
    <definedName name="shelf_IIIA_var" localSheetId="3">#REF!</definedName>
    <definedName name="shelf_IIIA_var" localSheetId="5">#REF!</definedName>
    <definedName name="shelf_IIIA_var" localSheetId="6">#REF!</definedName>
    <definedName name="shelf_IIIA_var">#REF!</definedName>
    <definedName name="shelf_IIIB_fixed" localSheetId="2">#REF!</definedName>
    <definedName name="shelf_IIIB_fixed" localSheetId="1">#REF!</definedName>
    <definedName name="shelf_IIIB_fixed" localSheetId="3">#REF!</definedName>
    <definedName name="shelf_IIIB_fixed" localSheetId="5">#REF!</definedName>
    <definedName name="shelf_IIIB_fixed" localSheetId="6">#REF!</definedName>
    <definedName name="shelf_IIIB_fixed">#REF!</definedName>
    <definedName name="shelf_IIIB_var" localSheetId="2">#REF!</definedName>
    <definedName name="shelf_IIIB_var" localSheetId="1">#REF!</definedName>
    <definedName name="shelf_IIIB_var" localSheetId="3">#REF!</definedName>
    <definedName name="shelf_IIIB_var" localSheetId="5">#REF!</definedName>
    <definedName name="shelf_IIIB_var" localSheetId="6">#REF!</definedName>
    <definedName name="shelf_IIIB_var">#REF!</definedName>
    <definedName name="shelf_IIIC_fixed" localSheetId="2">#REF!</definedName>
    <definedName name="shelf_IIIC_fixed" localSheetId="1">#REF!</definedName>
    <definedName name="shelf_IIIC_fixed" localSheetId="3">#REF!</definedName>
    <definedName name="shelf_IIIC_fixed" localSheetId="5">#REF!</definedName>
    <definedName name="shelf_IIIC_fixed" localSheetId="6">#REF!</definedName>
    <definedName name="shelf_IIIC_fixed">#REF!</definedName>
    <definedName name="shelf_IIIC_var" localSheetId="2">#REF!</definedName>
    <definedName name="shelf_IIIC_var" localSheetId="1">#REF!</definedName>
    <definedName name="shelf_IIIC_var" localSheetId="3">#REF!</definedName>
    <definedName name="shelf_IIIC_var" localSheetId="5">#REF!</definedName>
    <definedName name="shelf_IIIC_var" localSheetId="6">#REF!</definedName>
    <definedName name="shelf_IIIC_var">#REF!</definedName>
    <definedName name="shelf_IIID_fixed" localSheetId="2">#REF!</definedName>
    <definedName name="shelf_IIID_fixed" localSheetId="1">#REF!</definedName>
    <definedName name="shelf_IIID_fixed" localSheetId="3">#REF!</definedName>
    <definedName name="shelf_IIID_fixed" localSheetId="5">#REF!</definedName>
    <definedName name="shelf_IIID_fixed" localSheetId="6">#REF!</definedName>
    <definedName name="shelf_IIID_fixed">#REF!</definedName>
    <definedName name="shelf_IIID_var" localSheetId="2">#REF!</definedName>
    <definedName name="shelf_IIID_var" localSheetId="1">#REF!</definedName>
    <definedName name="shelf_IIID_var" localSheetId="3">#REF!</definedName>
    <definedName name="shelf_IIID_var" localSheetId="5">#REF!</definedName>
    <definedName name="shelf_IIID_var" localSheetId="6">#REF!</definedName>
    <definedName name="shelf_IIID_var">#REF!</definedName>
    <definedName name="shelf_IIIE_fixed" localSheetId="2">#REF!</definedName>
    <definedName name="shelf_IIIE_fixed" localSheetId="1">#REF!</definedName>
    <definedName name="shelf_IIIE_fixed" localSheetId="3">#REF!</definedName>
    <definedName name="shelf_IIIE_fixed" localSheetId="5">#REF!</definedName>
    <definedName name="shelf_IIIE_fixed" localSheetId="6">#REF!</definedName>
    <definedName name="shelf_IIIE_fixed">#REF!</definedName>
    <definedName name="shelf_IIIE_var" localSheetId="2">#REF!</definedName>
    <definedName name="shelf_IIIE_var" localSheetId="1">#REF!</definedName>
    <definedName name="shelf_IIIE_var" localSheetId="3">#REF!</definedName>
    <definedName name="shelf_IIIE_var" localSheetId="5">#REF!</definedName>
    <definedName name="shelf_IIIE_var" localSheetId="6">#REF!</definedName>
    <definedName name="shelf_IIIE_var">#REF!</definedName>
    <definedName name="shelf_IVA_fixed" localSheetId="2">#REF!</definedName>
    <definedName name="shelf_IVA_fixed" localSheetId="1">#REF!</definedName>
    <definedName name="shelf_IVA_fixed" localSheetId="3">#REF!</definedName>
    <definedName name="shelf_IVA_fixed" localSheetId="5">#REF!</definedName>
    <definedName name="shelf_IVA_fixed" localSheetId="6">#REF!</definedName>
    <definedName name="shelf_IVA_fixed">#REF!</definedName>
    <definedName name="shelf_IVA_var" localSheetId="2">#REF!</definedName>
    <definedName name="shelf_IVA_var" localSheetId="1">#REF!</definedName>
    <definedName name="shelf_IVA_var" localSheetId="3">#REF!</definedName>
    <definedName name="shelf_IVA_var" localSheetId="5">#REF!</definedName>
    <definedName name="shelf_IVA_var" localSheetId="6">#REF!</definedName>
    <definedName name="shelf_IVA_var">#REF!</definedName>
    <definedName name="shelf_IVB_fixed" localSheetId="2">#REF!</definedName>
    <definedName name="shelf_IVB_fixed" localSheetId="1">#REF!</definedName>
    <definedName name="shelf_IVB_fixed" localSheetId="3">#REF!</definedName>
    <definedName name="shelf_IVB_fixed" localSheetId="5">#REF!</definedName>
    <definedName name="shelf_IVB_fixed" localSheetId="6">#REF!</definedName>
    <definedName name="shelf_IVB_fixed">#REF!</definedName>
    <definedName name="shelf_IVB_var" localSheetId="2">#REF!</definedName>
    <definedName name="shelf_IVB_var" localSheetId="1">#REF!</definedName>
    <definedName name="shelf_IVB_var" localSheetId="3">#REF!</definedName>
    <definedName name="shelf_IVB_var" localSheetId="5">#REF!</definedName>
    <definedName name="shelf_IVB_var" localSheetId="6">#REF!</definedName>
    <definedName name="shelf_IVB_var">#REF!</definedName>
    <definedName name="shelf_IVC_fixed" localSheetId="2">#REF!</definedName>
    <definedName name="shelf_IVC_fixed" localSheetId="1">#REF!</definedName>
    <definedName name="shelf_IVC_fixed" localSheetId="3">#REF!</definedName>
    <definedName name="shelf_IVC_fixed" localSheetId="5">#REF!</definedName>
    <definedName name="shelf_IVC_fixed" localSheetId="6">#REF!</definedName>
    <definedName name="shelf_IVC_fixed">#REF!</definedName>
    <definedName name="shelf_IVC_var" localSheetId="2">#REF!</definedName>
    <definedName name="shelf_IVC_var" localSheetId="1">#REF!</definedName>
    <definedName name="shelf_IVC_var" localSheetId="3">#REF!</definedName>
    <definedName name="shelf_IVC_var" localSheetId="5">#REF!</definedName>
    <definedName name="shelf_IVC_var" localSheetId="6">#REF!</definedName>
    <definedName name="shelf_IVC_var">#REF!</definedName>
    <definedName name="shelf_IVD_fixed" localSheetId="2">#REF!</definedName>
    <definedName name="shelf_IVD_fixed" localSheetId="1">#REF!</definedName>
    <definedName name="shelf_IVD_fixed" localSheetId="3">#REF!</definedName>
    <definedName name="shelf_IVD_fixed" localSheetId="5">#REF!</definedName>
    <definedName name="shelf_IVD_fixed" localSheetId="6">#REF!</definedName>
    <definedName name="shelf_IVD_fixed">#REF!</definedName>
    <definedName name="shelf_IVD_var" localSheetId="2">#REF!</definedName>
    <definedName name="shelf_IVD_var" localSheetId="1">#REF!</definedName>
    <definedName name="shelf_IVD_var" localSheetId="3">#REF!</definedName>
    <definedName name="shelf_IVD_var" localSheetId="5">#REF!</definedName>
    <definedName name="shelf_IVD_var" localSheetId="6">#REF!</definedName>
    <definedName name="shelf_IVD_var">#REF!</definedName>
    <definedName name="shelf_IVE_fixed" localSheetId="2">#REF!</definedName>
    <definedName name="shelf_IVE_fixed" localSheetId="1">#REF!</definedName>
    <definedName name="shelf_IVE_fixed" localSheetId="3">#REF!</definedName>
    <definedName name="shelf_IVE_fixed" localSheetId="5">#REF!</definedName>
    <definedName name="shelf_IVE_fixed" localSheetId="6">#REF!</definedName>
    <definedName name="shelf_IVE_fixed">#REF!</definedName>
    <definedName name="shelf_IVE_var" localSheetId="2">#REF!</definedName>
    <definedName name="shelf_IVE_var" localSheetId="1">#REF!</definedName>
    <definedName name="shelf_IVE_var" localSheetId="3">#REF!</definedName>
    <definedName name="shelf_IVE_var" localSheetId="5">#REF!</definedName>
    <definedName name="shelf_IVE_var" localSheetId="6">#REF!</definedName>
    <definedName name="shelf_IVE_var">#REF!</definedName>
    <definedName name="SHT" localSheetId="2">#REF!</definedName>
    <definedName name="SHT" localSheetId="1">#REF!</definedName>
    <definedName name="SHT" localSheetId="3">#REF!</definedName>
    <definedName name="SHT" localSheetId="5">#REF!</definedName>
    <definedName name="SHT" localSheetId="6">#REF!</definedName>
    <definedName name="SHT">#REF!</definedName>
    <definedName name="sig" localSheetId="2">#REF!</definedName>
    <definedName name="sig" localSheetId="1">#REF!</definedName>
    <definedName name="sig" localSheetId="3">#REF!</definedName>
    <definedName name="sig" localSheetId="5">#REF!</definedName>
    <definedName name="sig" localSheetId="6">#REF!</definedName>
    <definedName name="sig">#REF!</definedName>
    <definedName name="slmadditionalhead1" localSheetId="2">#REF!</definedName>
    <definedName name="slmadditionalhead1" localSheetId="1">#REF!</definedName>
    <definedName name="slmadditionalhead1" localSheetId="3">#REF!</definedName>
    <definedName name="slmadditionalhead1" localSheetId="5">#REF!</definedName>
    <definedName name="slmadditionalhead1" localSheetId="6">#REF!</definedName>
    <definedName name="slmadditionalhead1">#REF!</definedName>
    <definedName name="slmadditionalhead2" localSheetId="2">#REF!</definedName>
    <definedName name="slmadditionalhead2" localSheetId="1">#REF!</definedName>
    <definedName name="slmadditionalhead2" localSheetId="3">#REF!</definedName>
    <definedName name="slmadditionalhead2" localSheetId="5">#REF!</definedName>
    <definedName name="slmadditionalhead2" localSheetId="6">#REF!</definedName>
    <definedName name="slmadditionalhead2">#REF!</definedName>
    <definedName name="slmcivil" localSheetId="2">#REF!</definedName>
    <definedName name="slmcivil" localSheetId="1">#REF!</definedName>
    <definedName name="slmcivil" localSheetId="3">#REF!</definedName>
    <definedName name="slmcivil" localSheetId="5">#REF!</definedName>
    <definedName name="slmcivil" localSheetId="6">#REF!</definedName>
    <definedName name="slmcivil">#REF!</definedName>
    <definedName name="slmduct" localSheetId="2">#REF!</definedName>
    <definedName name="slmduct" localSheetId="1">#REF!</definedName>
    <definedName name="slmduct" localSheetId="3">#REF!</definedName>
    <definedName name="slmduct" localSheetId="5">#REF!</definedName>
    <definedName name="slmduct" localSheetId="6">#REF!</definedName>
    <definedName name="slmduct">#REF!</definedName>
    <definedName name="slmelectro" localSheetId="2">#REF!</definedName>
    <definedName name="slmelectro" localSheetId="1">#REF!</definedName>
    <definedName name="slmelectro" localSheetId="3">#REF!</definedName>
    <definedName name="slmelectro" localSheetId="5">#REF!</definedName>
    <definedName name="slmelectro" localSheetId="6">#REF!</definedName>
    <definedName name="slmelectro">#REF!</definedName>
    <definedName name="slmutilities" localSheetId="2">#REF!</definedName>
    <definedName name="slmutilities" localSheetId="1">#REF!</definedName>
    <definedName name="slmutilities" localSheetId="3">#REF!</definedName>
    <definedName name="slmutilities" localSheetId="5">#REF!</definedName>
    <definedName name="slmutilities" localSheetId="6">#REF!</definedName>
    <definedName name="slmutilities">#REF!</definedName>
    <definedName name="slotreq_LEMU6" localSheetId="2">#REF!</definedName>
    <definedName name="slotreq_LEMU6" localSheetId="1">#REF!</definedName>
    <definedName name="slotreq_LEMU6" localSheetId="3">#REF!</definedName>
    <definedName name="slotreq_LEMU6" localSheetId="5">#REF!</definedName>
    <definedName name="slotreq_LEMU6" localSheetId="6">#REF!</definedName>
    <definedName name="slotreq_LEMU6">#REF!</definedName>
    <definedName name="slotreq_LESA8" localSheetId="2">#REF!</definedName>
    <definedName name="slotreq_LESA8" localSheetId="1">#REF!</definedName>
    <definedName name="slotreq_LESA8" localSheetId="3">#REF!</definedName>
    <definedName name="slotreq_LESA8" localSheetId="5">#REF!</definedName>
    <definedName name="slotreq_LESA8" localSheetId="6">#REF!</definedName>
    <definedName name="slotreq_LESA8">#REF!</definedName>
    <definedName name="slotreq_LOMIF" localSheetId="2">#REF!</definedName>
    <definedName name="slotreq_LOMIF" localSheetId="1">#REF!</definedName>
    <definedName name="slotreq_LOMIF" localSheetId="3">#REF!</definedName>
    <definedName name="slotreq_LOMIF" localSheetId="5">#REF!</definedName>
    <definedName name="slotreq_LOMIF" localSheetId="6">#REF!</definedName>
    <definedName name="slotreq_LOMIF">#REF!</definedName>
    <definedName name="slotreq_PCONV" localSheetId="2">#REF!</definedName>
    <definedName name="slotreq_PCONV" localSheetId="1">#REF!</definedName>
    <definedName name="slotreq_PCONV" localSheetId="3">#REF!</definedName>
    <definedName name="slotreq_PCONV" localSheetId="5">#REF!</definedName>
    <definedName name="slotreq_PCONV" localSheetId="6">#REF!</definedName>
    <definedName name="slotreq_PCONV">#REF!</definedName>
    <definedName name="slotreq_PHLC30" localSheetId="2">#REF!</definedName>
    <definedName name="slotreq_PHLC30" localSheetId="1">#REF!</definedName>
    <definedName name="slotreq_PHLC30" localSheetId="3">#REF!</definedName>
    <definedName name="slotreq_PHLC30" localSheetId="5">#REF!</definedName>
    <definedName name="slotreq_PHLC30" localSheetId="6">#REF!</definedName>
    <definedName name="slotreq_PHLC30">#REF!</definedName>
    <definedName name="slotreq_PHLC60" localSheetId="2">#REF!</definedName>
    <definedName name="slotreq_PHLC60" localSheetId="1">#REF!</definedName>
    <definedName name="slotreq_PHLC60" localSheetId="3">#REF!</definedName>
    <definedName name="slotreq_PHLC60" localSheetId="5">#REF!</definedName>
    <definedName name="slotreq_PHLC60" localSheetId="6">#REF!</definedName>
    <definedName name="slotreq_PHLC60">#REF!</definedName>
    <definedName name="SortRange" localSheetId="2">#REF!</definedName>
    <definedName name="SortRange" localSheetId="1">#REF!</definedName>
    <definedName name="SortRange" localSheetId="3">#REF!</definedName>
    <definedName name="SortRange" localSheetId="5">#REF!</definedName>
    <definedName name="SortRange" localSheetId="6">#REF!</definedName>
    <definedName name="SortRange">#REF!</definedName>
    <definedName name="SP" localSheetId="2">#REF!</definedName>
    <definedName name="SP" localSheetId="1">#REF!</definedName>
    <definedName name="SP" localSheetId="3">#REF!</definedName>
    <definedName name="SP" localSheetId="5">#REF!</definedName>
    <definedName name="SP" localSheetId="6">#REF!</definedName>
    <definedName name="SP">#REF!</definedName>
    <definedName name="ss" localSheetId="2">{1}</definedName>
    <definedName name="ss" localSheetId="1">{1}</definedName>
    <definedName name="ss" localSheetId="3">{1}</definedName>
    <definedName name="ss" localSheetId="4">{1}</definedName>
    <definedName name="ss" localSheetId="5">{1}</definedName>
    <definedName name="ss" localSheetId="6">{1}</definedName>
    <definedName name="ss">{1}</definedName>
    <definedName name="ssa" localSheetId="2">#REF!</definedName>
    <definedName name="ssa" localSheetId="1">#REF!</definedName>
    <definedName name="ssa" localSheetId="3">#REF!</definedName>
    <definedName name="ssa" localSheetId="5">#REF!</definedName>
    <definedName name="ssa" localSheetId="6">#REF!</definedName>
    <definedName name="ssa">#REF!</definedName>
    <definedName name="ssss" localSheetId="2">#REF!,#REF!</definedName>
    <definedName name="ssss" localSheetId="1">#REF!,#REF!</definedName>
    <definedName name="ssss" localSheetId="3">#REF!,#REF!</definedName>
    <definedName name="ssss" localSheetId="5">#REF!,#REF!</definedName>
    <definedName name="ssss" localSheetId="6">#REF!,#REF!</definedName>
    <definedName name="ssss">#REF!,#REF!</definedName>
    <definedName name="ST" localSheetId="2">#REF!</definedName>
    <definedName name="ST" localSheetId="1">#REF!</definedName>
    <definedName name="ST" localSheetId="3">#REF!</definedName>
    <definedName name="ST" localSheetId="5">#REF!</definedName>
    <definedName name="ST" localSheetId="6">#REF!</definedName>
    <definedName name="ST">#REF!</definedName>
    <definedName name="staff_sal" localSheetId="2">#REF!</definedName>
    <definedName name="staff_sal" localSheetId="1">#REF!</definedName>
    <definedName name="staff_sal" localSheetId="3">#REF!</definedName>
    <definedName name="staff_sal" localSheetId="5">#REF!</definedName>
    <definedName name="staff_sal" localSheetId="6">#REF!</definedName>
    <definedName name="staff_sal">#REF!</definedName>
    <definedName name="StaffScale" localSheetId="2">#REF!</definedName>
    <definedName name="StaffScale" localSheetId="1">#REF!</definedName>
    <definedName name="StaffScale" localSheetId="3">#REF!</definedName>
    <definedName name="StaffScale" localSheetId="5">#REF!</definedName>
    <definedName name="StaffScale" localSheetId="6">#REF!</definedName>
    <definedName name="StaffScale">#REF!</definedName>
    <definedName name="staffwel" localSheetId="2">#REF!</definedName>
    <definedName name="staffwel" localSheetId="1">#REF!</definedName>
    <definedName name="staffwel" localSheetId="3">#REF!</definedName>
    <definedName name="staffwel" localSheetId="5">#REF!</definedName>
    <definedName name="staffwel" localSheetId="6">#REF!</definedName>
    <definedName name="staffwel">#REF!</definedName>
    <definedName name="StartDelete" localSheetId="2">#REF!</definedName>
    <definedName name="StartDelete" localSheetId="1">#REF!</definedName>
    <definedName name="StartDelete" localSheetId="3">#REF!</definedName>
    <definedName name="StartDelete" localSheetId="5">#REF!</definedName>
    <definedName name="StartDelete" localSheetId="6">#REF!</definedName>
    <definedName name="StartDelete">#REF!</definedName>
    <definedName name="StartDelete2" localSheetId="2">#REF!</definedName>
    <definedName name="StartDelete2" localSheetId="1">#REF!</definedName>
    <definedName name="StartDelete2" localSheetId="3">#REF!</definedName>
    <definedName name="StartDelete2" localSheetId="5">#REF!</definedName>
    <definedName name="StartDelete2" localSheetId="6">#REF!</definedName>
    <definedName name="StartDelete2">#REF!</definedName>
    <definedName name="StartFormat" localSheetId="2">#REF!</definedName>
    <definedName name="StartFormat" localSheetId="1">#REF!</definedName>
    <definedName name="StartFormat" localSheetId="3">#REF!</definedName>
    <definedName name="StartFormat" localSheetId="5">#REF!</definedName>
    <definedName name="StartFormat" localSheetId="6">#REF!</definedName>
    <definedName name="StartFormat">#REF!</definedName>
    <definedName name="Stocks" localSheetId="2">#REF!</definedName>
    <definedName name="Stocks" localSheetId="1">#REF!</definedName>
    <definedName name="Stocks" localSheetId="3">#REF!</definedName>
    <definedName name="Stocks" localSheetId="5">#REF!</definedName>
    <definedName name="Stocks" localSheetId="6">#REF!</definedName>
    <definedName name="Stocks">#REF!</definedName>
    <definedName name="STScale" localSheetId="2">#REF!</definedName>
    <definedName name="STScale" localSheetId="1">#REF!</definedName>
    <definedName name="STScale" localSheetId="3">#REF!</definedName>
    <definedName name="STScale" localSheetId="5">#REF!</definedName>
    <definedName name="STScale" localSheetId="6">#REF!</definedName>
    <definedName name="STScale">#REF!</definedName>
    <definedName name="sundry_creditors_num_days" localSheetId="2">#REF!</definedName>
    <definedName name="sundry_creditors_num_days" localSheetId="1">#REF!</definedName>
    <definedName name="sundry_creditors_num_days" localSheetId="3">#REF!</definedName>
    <definedName name="sundry_creditors_num_days" localSheetId="5">#REF!</definedName>
    <definedName name="sundry_creditors_num_days" localSheetId="6">#REF!</definedName>
    <definedName name="sundry_creditors_num_days">#REF!</definedName>
    <definedName name="sundry_debtors_num_days" localSheetId="2">#REF!</definedName>
    <definedName name="sundry_debtors_num_days" localSheetId="1">#REF!</definedName>
    <definedName name="sundry_debtors_num_days" localSheetId="3">#REF!</definedName>
    <definedName name="sundry_debtors_num_days" localSheetId="5">#REF!</definedName>
    <definedName name="sundry_debtors_num_days" localSheetId="6">#REF!</definedName>
    <definedName name="sundry_debtors_num_days">#REF!</definedName>
    <definedName name="Support" localSheetId="2">#REF!</definedName>
    <definedName name="Support" localSheetId="1">#REF!</definedName>
    <definedName name="Support" localSheetId="3">#REF!</definedName>
    <definedName name="Support" localSheetId="5">#REF!</definedName>
    <definedName name="Support" localSheetId="6">#REF!</definedName>
    <definedName name="Support">#REF!</definedName>
    <definedName name="swgrossnet" localSheetId="2">#REF!</definedName>
    <definedName name="swgrossnet" localSheetId="1">#REF!</definedName>
    <definedName name="swgrossnet" localSheetId="3">#REF!</definedName>
    <definedName name="swgrossnet" localSheetId="5">#REF!</definedName>
    <definedName name="swgrossnet" localSheetId="6">#REF!</definedName>
    <definedName name="swgrossnet">#REF!</definedName>
    <definedName name="swphase" localSheetId="2">#REF!</definedName>
    <definedName name="swphase" localSheetId="1">#REF!</definedName>
    <definedName name="swphase" localSheetId="3">#REF!</definedName>
    <definedName name="swphase" localSheetId="5">#REF!</definedName>
    <definedName name="swphase" localSheetId="6">#REF!</definedName>
    <definedName name="swphase">#REF!</definedName>
    <definedName name="swphase1a" localSheetId="2">#REF!</definedName>
    <definedName name="swphase1a" localSheetId="1">#REF!</definedName>
    <definedName name="swphase1a" localSheetId="3">#REF!</definedName>
    <definedName name="swphase1a" localSheetId="5">#REF!</definedName>
    <definedName name="swphase1a" localSheetId="6">#REF!</definedName>
    <definedName name="swphase1a">#REF!</definedName>
    <definedName name="swphase1b" localSheetId="2">#REF!</definedName>
    <definedName name="swphase1b" localSheetId="1">#REF!</definedName>
    <definedName name="swphase1b" localSheetId="3">#REF!</definedName>
    <definedName name="swphase1b" localSheetId="5">#REF!</definedName>
    <definedName name="swphase1b" localSheetId="6">#REF!</definedName>
    <definedName name="swphase1b">#REF!</definedName>
    <definedName name="swphase2" localSheetId="2">#REF!</definedName>
    <definedName name="swphase2" localSheetId="1">#REF!</definedName>
    <definedName name="swphase2" localSheetId="3">#REF!</definedName>
    <definedName name="swphase2" localSheetId="5">#REF!</definedName>
    <definedName name="swphase2" localSheetId="6">#REF!</definedName>
    <definedName name="swphase2">#REF!</definedName>
    <definedName name="TAFName" localSheetId="2">#REF!</definedName>
    <definedName name="TAFName" localSheetId="1">#REF!</definedName>
    <definedName name="TAFName" localSheetId="3">#REF!</definedName>
    <definedName name="TAFName" localSheetId="5">#REF!</definedName>
    <definedName name="TAFName" localSheetId="6">#REF!</definedName>
    <definedName name="TAFName">#REF!</definedName>
    <definedName name="TAMNo" localSheetId="2">#REF!</definedName>
    <definedName name="TAMNo" localSheetId="1">#REF!</definedName>
    <definedName name="TAMNo" localSheetId="3">#REF!</definedName>
    <definedName name="TAMNo" localSheetId="5">#REF!</definedName>
    <definedName name="TAMNo" localSheetId="6">#REF!</definedName>
    <definedName name="TAMNo">#REF!</definedName>
    <definedName name="TAName" localSheetId="2">#REF!</definedName>
    <definedName name="TAName" localSheetId="1">#REF!</definedName>
    <definedName name="TAName" localSheetId="3">#REF!</definedName>
    <definedName name="TAName" localSheetId="5">#REF!</definedName>
    <definedName name="TAName" localSheetId="6">#REF!</definedName>
    <definedName name="TAName">#REF!</definedName>
    <definedName name="TAPlace" localSheetId="2">#REF!</definedName>
    <definedName name="TAPlace" localSheetId="1">#REF!</definedName>
    <definedName name="TAPlace" localSheetId="3">#REF!</definedName>
    <definedName name="TAPlace" localSheetId="5">#REF!</definedName>
    <definedName name="TAPlace" localSheetId="6">#REF!</definedName>
    <definedName name="TAPlace">#REF!</definedName>
    <definedName name="tariffgrowthyr1" localSheetId="2">#REF!</definedName>
    <definedName name="tariffgrowthyr1" localSheetId="1">#REF!</definedName>
    <definedName name="tariffgrowthyr1" localSheetId="3">#REF!</definedName>
    <definedName name="tariffgrowthyr1" localSheetId="5">#REF!</definedName>
    <definedName name="tariffgrowthyr1" localSheetId="6">#REF!</definedName>
    <definedName name="tariffgrowthyr1">#REF!</definedName>
    <definedName name="tariffgrowthyr2" localSheetId="2">#REF!</definedName>
    <definedName name="tariffgrowthyr2" localSheetId="1">#REF!</definedName>
    <definedName name="tariffgrowthyr2" localSheetId="3">#REF!</definedName>
    <definedName name="tariffgrowthyr2" localSheetId="5">#REF!</definedName>
    <definedName name="tariffgrowthyr2" localSheetId="6">#REF!</definedName>
    <definedName name="tariffgrowthyr2">#REF!</definedName>
    <definedName name="tariffgrowthyr3" localSheetId="2">#REF!</definedName>
    <definedName name="tariffgrowthyr3" localSheetId="1">#REF!</definedName>
    <definedName name="tariffgrowthyr3" localSheetId="3">#REF!</definedName>
    <definedName name="tariffgrowthyr3" localSheetId="5">#REF!</definedName>
    <definedName name="tariffgrowthyr3" localSheetId="6">#REF!</definedName>
    <definedName name="tariffgrowthyr3">#REF!</definedName>
    <definedName name="tariffgrowthyr4" localSheetId="2">#REF!</definedName>
    <definedName name="tariffgrowthyr4" localSheetId="1">#REF!</definedName>
    <definedName name="tariffgrowthyr4" localSheetId="3">#REF!</definedName>
    <definedName name="tariffgrowthyr4" localSheetId="5">#REF!</definedName>
    <definedName name="tariffgrowthyr4" localSheetId="6">#REF!</definedName>
    <definedName name="tariffgrowthyr4">#REF!</definedName>
    <definedName name="tariffgrowthyr5onwards" localSheetId="2">#REF!</definedName>
    <definedName name="tariffgrowthyr5onwards" localSheetId="1">#REF!</definedName>
    <definedName name="tariffgrowthyr5onwards" localSheetId="3">#REF!</definedName>
    <definedName name="tariffgrowthyr5onwards" localSheetId="5">#REF!</definedName>
    <definedName name="tariffgrowthyr5onwards" localSheetId="6">#REF!</definedName>
    <definedName name="tariffgrowthyr5onwards">#REF!</definedName>
    <definedName name="tax" localSheetId="2">#REF!</definedName>
    <definedName name="tax" localSheetId="1">#REF!</definedName>
    <definedName name="tax" localSheetId="3">#REF!</definedName>
    <definedName name="tax" localSheetId="5">#REF!</definedName>
    <definedName name="tax" localSheetId="6">#REF!</definedName>
    <definedName name="tax">#REF!</definedName>
    <definedName name="tax_rate" localSheetId="2">#REF!</definedName>
    <definedName name="tax_rate" localSheetId="1">#REF!</definedName>
    <definedName name="tax_rate" localSheetId="3">#REF!</definedName>
    <definedName name="tax_rate" localSheetId="5">#REF!</definedName>
    <definedName name="tax_rate" localSheetId="6">#REF!</definedName>
    <definedName name="tax_rate">#REF!</definedName>
    <definedName name="TaxAudAdd" localSheetId="2">#REF!</definedName>
    <definedName name="TaxAudAdd" localSheetId="1">#REF!</definedName>
    <definedName name="TaxAudAdd" localSheetId="3">#REF!</definedName>
    <definedName name="TaxAudAdd" localSheetId="5">#REF!</definedName>
    <definedName name="TaxAudAdd" localSheetId="6">#REF!</definedName>
    <definedName name="TaxAudAdd">#REF!</definedName>
    <definedName name="TaxAuditDate" localSheetId="2">#REF!</definedName>
    <definedName name="TaxAuditDate" localSheetId="1">#REF!</definedName>
    <definedName name="TaxAuditDate" localSheetId="3">#REF!</definedName>
    <definedName name="TaxAuditDate" localSheetId="5">#REF!</definedName>
    <definedName name="TaxAuditDate" localSheetId="6">#REF!</definedName>
    <definedName name="TaxAuditDate">#REF!</definedName>
    <definedName name="TAXCOMP1" localSheetId="2">#REF!</definedName>
    <definedName name="TAXCOMP1" localSheetId="1">#REF!</definedName>
    <definedName name="TAXCOMP1" localSheetId="3">#REF!</definedName>
    <definedName name="TAXCOMP1" localSheetId="5">#REF!</definedName>
    <definedName name="TAXCOMP1" localSheetId="6">#REF!</definedName>
    <definedName name="TAXCOMP1">#REF!</definedName>
    <definedName name="tb" localSheetId="2">#REF!</definedName>
    <definedName name="tb" localSheetId="1">#REF!</definedName>
    <definedName name="tb" localSheetId="3">#REF!</definedName>
    <definedName name="tb" localSheetId="5">#REF!</definedName>
    <definedName name="tb" localSheetId="6">#REF!</definedName>
    <definedName name="tb">#REF!</definedName>
    <definedName name="TB_data" localSheetId="2">#REF!</definedName>
    <definedName name="TB_data" localSheetId="1">#REF!</definedName>
    <definedName name="TB_data" localSheetId="3">#REF!</definedName>
    <definedName name="TB_data" localSheetId="5">#REF!</definedName>
    <definedName name="TB_data" localSheetId="6">#REF!</definedName>
    <definedName name="TB_data">#REF!</definedName>
    <definedName name="TB_Phil" localSheetId="2">#REF!</definedName>
    <definedName name="TB_Phil" localSheetId="1">#REF!</definedName>
    <definedName name="TB_Phil" localSheetId="3">#REF!</definedName>
    <definedName name="TB_Phil" localSheetId="5">#REF!</definedName>
    <definedName name="TB_Phil" localSheetId="6">#REF!</definedName>
    <definedName name="TB_Phil">#REF!</definedName>
    <definedName name="tb17.04" localSheetId="2">#REF!</definedName>
    <definedName name="tb17.04" localSheetId="1">#REF!</definedName>
    <definedName name="tb17.04" localSheetId="3">#REF!</definedName>
    <definedName name="tb17.04" localSheetId="5">#REF!</definedName>
    <definedName name="tb17.04" localSheetId="6">#REF!</definedName>
    <definedName name="tb17.04">#REF!</definedName>
    <definedName name="tbchn" localSheetId="2">#REF!</definedName>
    <definedName name="tbchn" localSheetId="1">#REF!</definedName>
    <definedName name="tbchn" localSheetId="3">#REF!</definedName>
    <definedName name="tbchn" localSheetId="5">#REF!</definedName>
    <definedName name="tbchn" localSheetId="6">#REF!</definedName>
    <definedName name="tbchn">#REF!</definedName>
    <definedName name="TBdata" localSheetId="2">#REF!</definedName>
    <definedName name="TBdata" localSheetId="1">#REF!</definedName>
    <definedName name="TBdata" localSheetId="3">#REF!</definedName>
    <definedName name="TBdata" localSheetId="5">#REF!</definedName>
    <definedName name="TBdata" localSheetId="6">#REF!</definedName>
    <definedName name="TBdata">#REF!</definedName>
    <definedName name="TBFINAL" localSheetId="2">#REF!</definedName>
    <definedName name="TBFINAL" localSheetId="1">#REF!</definedName>
    <definedName name="TBFINAL" localSheetId="3">#REF!</definedName>
    <definedName name="TBFINAL" localSheetId="5">#REF!</definedName>
    <definedName name="TBFINAL" localSheetId="6">#REF!</definedName>
    <definedName name="TBFINAL">#REF!</definedName>
    <definedName name="tbnod" localSheetId="2">#REF!</definedName>
    <definedName name="tbnod" localSheetId="1">#REF!</definedName>
    <definedName name="tbnod" localSheetId="3">#REF!</definedName>
    <definedName name="tbnod" localSheetId="5">#REF!</definedName>
    <definedName name="tbnod" localSheetId="6">#REF!</definedName>
    <definedName name="tbnod">#REF!</definedName>
    <definedName name="TDS" localSheetId="2">#REF!</definedName>
    <definedName name="TDS" localSheetId="1">#REF!</definedName>
    <definedName name="TDS" localSheetId="3">#REF!</definedName>
    <definedName name="TDS" localSheetId="5">#REF!</definedName>
    <definedName name="TDS" localSheetId="6">#REF!</definedName>
    <definedName name="TDS">#REF!</definedName>
    <definedName name="TENDAY" localSheetId="2">#REF!</definedName>
    <definedName name="TENDAY" localSheetId="1">#REF!</definedName>
    <definedName name="TENDAY" localSheetId="3">#REF!</definedName>
    <definedName name="TENDAY" localSheetId="5">#REF!</definedName>
    <definedName name="TENDAY" localSheetId="6">#REF!</definedName>
    <definedName name="TENDAY">#REF!</definedName>
    <definedName name="TEST0" localSheetId="2">#REF!</definedName>
    <definedName name="TEST0" localSheetId="1">#REF!</definedName>
    <definedName name="TEST0" localSheetId="3">#REF!</definedName>
    <definedName name="TEST0" localSheetId="5">#REF!</definedName>
    <definedName name="TEST0" localSheetId="6">#REF!</definedName>
    <definedName name="TEST0">#REF!</definedName>
    <definedName name="TESTHKEY" localSheetId="2">#REF!</definedName>
    <definedName name="TESTHKEY" localSheetId="1">#REF!</definedName>
    <definedName name="TESTHKEY" localSheetId="3">#REF!</definedName>
    <definedName name="TESTHKEY" localSheetId="5">#REF!</definedName>
    <definedName name="TESTHKEY" localSheetId="6">#REF!</definedName>
    <definedName name="TESTHKEY">#REF!</definedName>
    <definedName name="TESTKEYS" localSheetId="2">#REF!</definedName>
    <definedName name="TESTKEYS" localSheetId="1">#REF!</definedName>
    <definedName name="TESTKEYS" localSheetId="3">#REF!</definedName>
    <definedName name="TESTKEYS" localSheetId="5">#REF!</definedName>
    <definedName name="TESTKEYS" localSheetId="6">#REF!</definedName>
    <definedName name="TESTKEYS">#REF!</definedName>
    <definedName name="TESTVKEY" localSheetId="2">#REF!</definedName>
    <definedName name="TESTVKEY" localSheetId="1">#REF!</definedName>
    <definedName name="TESTVKEY" localSheetId="3">#REF!</definedName>
    <definedName name="TESTVKEY" localSheetId="5">#REF!</definedName>
    <definedName name="TESTVKEY" localSheetId="6">#REF!</definedName>
    <definedName name="TESTVKEY">#REF!</definedName>
    <definedName name="TextRefCopy1" localSheetId="2">#REF!</definedName>
    <definedName name="TextRefCopy1" localSheetId="1">#REF!</definedName>
    <definedName name="TextRefCopy1" localSheetId="3">#REF!</definedName>
    <definedName name="TextRefCopy1" localSheetId="5">#REF!</definedName>
    <definedName name="TextRefCopy1" localSheetId="6">#REF!</definedName>
    <definedName name="TextRefCopy1">#REF!</definedName>
    <definedName name="TextRefCopy9" localSheetId="2">#REF!</definedName>
    <definedName name="TextRefCopy9" localSheetId="1">#REF!</definedName>
    <definedName name="TextRefCopy9" localSheetId="3">#REF!</definedName>
    <definedName name="TextRefCopy9" localSheetId="5">#REF!</definedName>
    <definedName name="TextRefCopy9" localSheetId="6">#REF!</definedName>
    <definedName name="TextRefCopy9">#REF!</definedName>
    <definedName name="TextRefCopyRangeCount">9</definedName>
    <definedName name="tfcq1" localSheetId="2">#REF!</definedName>
    <definedName name="tfcq1" localSheetId="1">#REF!</definedName>
    <definedName name="tfcq1" localSheetId="3">#REF!</definedName>
    <definedName name="tfcq1" localSheetId="5">#REF!</definedName>
    <definedName name="tfcq1" localSheetId="6">#REF!</definedName>
    <definedName name="tfcq1">#REF!</definedName>
    <definedName name="tfcq2" localSheetId="2">#REF!</definedName>
    <definedName name="tfcq2" localSheetId="1">#REF!</definedName>
    <definedName name="tfcq2" localSheetId="3">#REF!</definedName>
    <definedName name="tfcq2" localSheetId="5">#REF!</definedName>
    <definedName name="tfcq2" localSheetId="6">#REF!</definedName>
    <definedName name="tfcq2">#REF!</definedName>
    <definedName name="tfcq3" localSheetId="2">#REF!</definedName>
    <definedName name="tfcq3" localSheetId="1">#REF!</definedName>
    <definedName name="tfcq3" localSheetId="3">#REF!</definedName>
    <definedName name="tfcq3" localSheetId="5">#REF!</definedName>
    <definedName name="tfcq3" localSheetId="6">#REF!</definedName>
    <definedName name="tfcq3">#REF!</definedName>
    <definedName name="tfcq4" localSheetId="2">#REF!</definedName>
    <definedName name="tfcq4" localSheetId="1">#REF!</definedName>
    <definedName name="tfcq4" localSheetId="3">#REF!</definedName>
    <definedName name="tfcq4" localSheetId="5">#REF!</definedName>
    <definedName name="tfcq4" localSheetId="6">#REF!</definedName>
    <definedName name="tfcq4">#REF!</definedName>
    <definedName name="THAI_PLASTIC_in_KUSD" localSheetId="2">#REF!</definedName>
    <definedName name="THAI_PLASTIC_in_KUSD" localSheetId="1">#REF!</definedName>
    <definedName name="THAI_PLASTIC_in_KUSD" localSheetId="3">#REF!</definedName>
    <definedName name="THAI_PLASTIC_in_KUSD" localSheetId="5">#REF!</definedName>
    <definedName name="THAI_PLASTIC_in_KUSD" localSheetId="6">#REF!</definedName>
    <definedName name="THAI_PLASTIC_in_KUSD">#REF!</definedName>
    <definedName name="ThreeCD" localSheetId="2">#REF!</definedName>
    <definedName name="ThreeCD" localSheetId="1">#REF!</definedName>
    <definedName name="ThreeCD" localSheetId="3">#REF!</definedName>
    <definedName name="ThreeCD" localSheetId="5">#REF!</definedName>
    <definedName name="ThreeCD" localSheetId="6">#REF!</definedName>
    <definedName name="ThreeCD">#REF!</definedName>
    <definedName name="THREEDAY" localSheetId="2">#REF!</definedName>
    <definedName name="THREEDAY" localSheetId="1">#REF!</definedName>
    <definedName name="THREEDAY" localSheetId="3">#REF!</definedName>
    <definedName name="THREEDAY" localSheetId="5">#REF!</definedName>
    <definedName name="THREEDAY" localSheetId="6">#REF!</definedName>
    <definedName name="THREEDAY">#REF!</definedName>
    <definedName name="Threshold" localSheetId="2">#REF!</definedName>
    <definedName name="Threshold" localSheetId="1">#REF!</definedName>
    <definedName name="Threshold" localSheetId="3">#REF!</definedName>
    <definedName name="Threshold" localSheetId="5">#REF!</definedName>
    <definedName name="Threshold" localSheetId="6">#REF!</definedName>
    <definedName name="Threshold">#REF!</definedName>
    <definedName name="Ticker" localSheetId="2">#REF!</definedName>
    <definedName name="Ticker" localSheetId="1">#REF!</definedName>
    <definedName name="Ticker" localSheetId="3">#REF!</definedName>
    <definedName name="Ticker" localSheetId="5">#REF!</definedName>
    <definedName name="Ticker" localSheetId="6">#REF!</definedName>
    <definedName name="Ticker">#REF!</definedName>
    <definedName name="TimeSheetOnProjects" localSheetId="2">#REF!</definedName>
    <definedName name="TimeSheetOnProjects" localSheetId="1">#REF!</definedName>
    <definedName name="TimeSheetOnProjects" localSheetId="3">#REF!</definedName>
    <definedName name="TimeSheetOnProjects" localSheetId="5">#REF!</definedName>
    <definedName name="TimeSheetOnProjects" localSheetId="6">#REF!</definedName>
    <definedName name="TimeSheetOnProjects">#REF!</definedName>
    <definedName name="TITLE_1" localSheetId="2">#REF!</definedName>
    <definedName name="TITLE_1" localSheetId="1">#REF!</definedName>
    <definedName name="TITLE_1" localSheetId="3">#REF!</definedName>
    <definedName name="TITLE_1" localSheetId="5">#REF!</definedName>
    <definedName name="TITLE_1" localSheetId="6">#REF!</definedName>
    <definedName name="TITLE_1">#REF!</definedName>
    <definedName name="TITLE_2" localSheetId="2">#REF!</definedName>
    <definedName name="TITLE_2" localSheetId="1">#REF!</definedName>
    <definedName name="TITLE_2" localSheetId="3">#REF!</definedName>
    <definedName name="TITLE_2" localSheetId="5">#REF!</definedName>
    <definedName name="TITLE_2" localSheetId="6">#REF!</definedName>
    <definedName name="TITLE_2">#REF!</definedName>
    <definedName name="TITLE_3" localSheetId="2">#REF!</definedName>
    <definedName name="TITLE_3" localSheetId="1">#REF!</definedName>
    <definedName name="TITLE_3" localSheetId="3">#REF!</definedName>
    <definedName name="TITLE_3" localSheetId="5">#REF!</definedName>
    <definedName name="TITLE_3" localSheetId="6">#REF!</definedName>
    <definedName name="TITLE_3">#REF!</definedName>
    <definedName name="TITLE_4" localSheetId="2">#REF!</definedName>
    <definedName name="TITLE_4" localSheetId="1">#REF!</definedName>
    <definedName name="TITLE_4" localSheetId="3">#REF!</definedName>
    <definedName name="TITLE_4" localSheetId="5">#REF!</definedName>
    <definedName name="TITLE_4" localSheetId="6">#REF!</definedName>
    <definedName name="TITLE_4">#REF!</definedName>
    <definedName name="TITLE_5" localSheetId="2">#REF!</definedName>
    <definedName name="TITLE_5" localSheetId="1">#REF!</definedName>
    <definedName name="TITLE_5" localSheetId="3">#REF!</definedName>
    <definedName name="TITLE_5" localSheetId="5">#REF!</definedName>
    <definedName name="TITLE_5" localSheetId="6">#REF!</definedName>
    <definedName name="TITLE_5">#REF!</definedName>
    <definedName name="TITLE_6" localSheetId="2">#REF!</definedName>
    <definedName name="TITLE_6" localSheetId="1">#REF!</definedName>
    <definedName name="TITLE_6" localSheetId="3">#REF!</definedName>
    <definedName name="TITLE_6" localSheetId="5">#REF!</definedName>
    <definedName name="TITLE_6" localSheetId="6">#REF!</definedName>
    <definedName name="TITLE_6">#REF!</definedName>
    <definedName name="TITLE_7" localSheetId="2">#REF!</definedName>
    <definedName name="TITLE_7" localSheetId="1">#REF!</definedName>
    <definedName name="TITLE_7" localSheetId="3">#REF!</definedName>
    <definedName name="TITLE_7" localSheetId="5">#REF!</definedName>
    <definedName name="TITLE_7" localSheetId="6">#REF!</definedName>
    <definedName name="TITLE_7">#REF!</definedName>
    <definedName name="TLT" localSheetId="2">#REF!</definedName>
    <definedName name="TLT" localSheetId="1">#REF!</definedName>
    <definedName name="TLT" localSheetId="3">#REF!</definedName>
    <definedName name="TLT" localSheetId="5">#REF!</definedName>
    <definedName name="TLT" localSheetId="6">#REF!</definedName>
    <definedName name="TLT">#REF!</definedName>
    <definedName name="today" localSheetId="2">#REF!</definedName>
    <definedName name="today" localSheetId="1">#REF!</definedName>
    <definedName name="today" localSheetId="3">#REF!</definedName>
    <definedName name="today" localSheetId="5">#REF!</definedName>
    <definedName name="today" localSheetId="6">#REF!</definedName>
    <definedName name="today">#REF!</definedName>
    <definedName name="TOT" localSheetId="2">#REF!</definedName>
    <definedName name="TOT" localSheetId="1">#REF!</definedName>
    <definedName name="TOT" localSheetId="3">#REF!</definedName>
    <definedName name="TOT" localSheetId="5">#REF!</definedName>
    <definedName name="TOT" localSheetId="6">#REF!</definedName>
    <definedName name="TOT">#REF!</definedName>
    <definedName name="Total" localSheetId="2">#REF!</definedName>
    <definedName name="Total" localSheetId="1">#REF!</definedName>
    <definedName name="Total" localSheetId="3">#REF!</definedName>
    <definedName name="Total" localSheetId="5">#REF!</definedName>
    <definedName name="Total" localSheetId="6">#REF!</definedName>
    <definedName name="Total">#REF!</definedName>
    <definedName name="totalmiscecharge" localSheetId="2">#REF!</definedName>
    <definedName name="totalmiscecharge" localSheetId="1">#REF!</definedName>
    <definedName name="totalmiscecharge" localSheetId="3">#REF!</definedName>
    <definedName name="totalmiscecharge" localSheetId="5">#REF!</definedName>
    <definedName name="totalmiscecharge" localSheetId="6">#REF!</definedName>
    <definedName name="totalmiscecharge">#REF!</definedName>
    <definedName name="TotalStmFlw" localSheetId="2">#REF!</definedName>
    <definedName name="TotalStmFlw" localSheetId="1">#REF!</definedName>
    <definedName name="TotalStmFlw" localSheetId="3">#REF!</definedName>
    <definedName name="TotalStmFlw" localSheetId="5">#REF!</definedName>
    <definedName name="TotalStmFlw" localSheetId="6">#REF!</definedName>
    <definedName name="TotalStmFlw">#REF!</definedName>
    <definedName name="totslot_ext" localSheetId="2">#REF!</definedName>
    <definedName name="totslot_ext" localSheetId="1">#REF!</definedName>
    <definedName name="totslot_ext" localSheetId="3">#REF!</definedName>
    <definedName name="totslot_ext" localSheetId="5">#REF!</definedName>
    <definedName name="totslot_ext" localSheetId="6">#REF!</definedName>
    <definedName name="totslot_ext">#REF!</definedName>
    <definedName name="totsum" localSheetId="2">#REF!</definedName>
    <definedName name="totsum" localSheetId="1">#REF!</definedName>
    <definedName name="totsum" localSheetId="3">#REF!</definedName>
    <definedName name="totsum" localSheetId="5">#REF!</definedName>
    <definedName name="totsum" localSheetId="6">#REF!</definedName>
    <definedName name="totsum">#REF!</definedName>
    <definedName name="TPS" localSheetId="2">#REF!</definedName>
    <definedName name="TPS" localSheetId="1">#REF!</definedName>
    <definedName name="TPS" localSheetId="3">#REF!</definedName>
    <definedName name="TPS" localSheetId="5">#REF!</definedName>
    <definedName name="TPS" localSheetId="6">#REF!</definedName>
    <definedName name="TPS">#REF!</definedName>
    <definedName name="trafficgrowthyr1" localSheetId="2">#REF!</definedName>
    <definedName name="trafficgrowthyr1" localSheetId="1">#REF!</definedName>
    <definedName name="trafficgrowthyr1" localSheetId="3">#REF!</definedName>
    <definedName name="trafficgrowthyr1" localSheetId="5">#REF!</definedName>
    <definedName name="trafficgrowthyr1" localSheetId="6">#REF!</definedName>
    <definedName name="trafficgrowthyr1">#REF!</definedName>
    <definedName name="trafficgrowthyr2" localSheetId="2">#REF!</definedName>
    <definedName name="trafficgrowthyr2" localSheetId="1">#REF!</definedName>
    <definedName name="trafficgrowthyr2" localSheetId="3">#REF!</definedName>
    <definedName name="trafficgrowthyr2" localSheetId="5">#REF!</definedName>
    <definedName name="trafficgrowthyr2" localSheetId="6">#REF!</definedName>
    <definedName name="trafficgrowthyr2">#REF!</definedName>
    <definedName name="trafficgrowthyr3" localSheetId="2">#REF!</definedName>
    <definedName name="trafficgrowthyr3" localSheetId="1">#REF!</definedName>
    <definedName name="trafficgrowthyr3" localSheetId="3">#REF!</definedName>
    <definedName name="trafficgrowthyr3" localSheetId="5">#REF!</definedName>
    <definedName name="trafficgrowthyr3" localSheetId="6">#REF!</definedName>
    <definedName name="trafficgrowthyr3">#REF!</definedName>
    <definedName name="trafficgrowthyr4" localSheetId="2">#REF!</definedName>
    <definedName name="trafficgrowthyr4" localSheetId="1">#REF!</definedName>
    <definedName name="trafficgrowthyr4" localSheetId="3">#REF!</definedName>
    <definedName name="trafficgrowthyr4" localSheetId="5">#REF!</definedName>
    <definedName name="trafficgrowthyr4" localSheetId="6">#REF!</definedName>
    <definedName name="trafficgrowthyr4">#REF!</definedName>
    <definedName name="trafficgrowthyr5onwards" localSheetId="2">#REF!</definedName>
    <definedName name="trafficgrowthyr5onwards" localSheetId="1">#REF!</definedName>
    <definedName name="trafficgrowthyr5onwards" localSheetId="3">#REF!</definedName>
    <definedName name="trafficgrowthyr5onwards" localSheetId="5">#REF!</definedName>
    <definedName name="trafficgrowthyr5onwards" localSheetId="6">#REF!</definedName>
    <definedName name="trafficgrowthyr5onwards">#REF!</definedName>
    <definedName name="Traveltype" localSheetId="2">#REF!</definedName>
    <definedName name="Traveltype" localSheetId="1">#REF!</definedName>
    <definedName name="Traveltype" localSheetId="3">#REF!</definedName>
    <definedName name="Traveltype" localSheetId="5">#REF!</definedName>
    <definedName name="Traveltype" localSheetId="6">#REF!</definedName>
    <definedName name="Traveltype">#REF!</definedName>
    <definedName name="trenchingcost" localSheetId="2">#REF!</definedName>
    <definedName name="trenchingcost" localSheetId="1">#REF!</definedName>
    <definedName name="trenchingcost" localSheetId="3">#REF!</definedName>
    <definedName name="trenchingcost" localSheetId="5">#REF!</definedName>
    <definedName name="trenchingcost" localSheetId="6">#REF!</definedName>
    <definedName name="trenchingcost">#REF!</definedName>
    <definedName name="Trg" localSheetId="2">#REF!</definedName>
    <definedName name="Trg" localSheetId="1">#REF!</definedName>
    <definedName name="Trg" localSheetId="3">#REF!</definedName>
    <definedName name="Trg" localSheetId="5">#REF!</definedName>
    <definedName name="Trg" localSheetId="6">#REF!</definedName>
    <definedName name="Trg">#REF!</definedName>
    <definedName name="TrialBal" localSheetId="2">#REF!</definedName>
    <definedName name="TrialBal" localSheetId="1">#REF!</definedName>
    <definedName name="TrialBal" localSheetId="3">#REF!</definedName>
    <definedName name="TrialBal" localSheetId="5">#REF!</definedName>
    <definedName name="TrialBal" localSheetId="6">#REF!</definedName>
    <definedName name="TrialBal">#REF!</definedName>
    <definedName name="Trianglelosspercent" localSheetId="2">#REF!</definedName>
    <definedName name="Trianglelosspercent" localSheetId="1">#REF!</definedName>
    <definedName name="Trianglelosspercent" localSheetId="3">#REF!</definedName>
    <definedName name="Trianglelosspercent" localSheetId="5">#REF!</definedName>
    <definedName name="Trianglelosspercent" localSheetId="6">#REF!</definedName>
    <definedName name="Trianglelosspercent">#REF!</definedName>
    <definedName name="tttt" localSheetId="2">#REF!</definedName>
    <definedName name="tttt" localSheetId="1">#REF!</definedName>
    <definedName name="tttt" localSheetId="3">#REF!</definedName>
    <definedName name="tttt" localSheetId="5">#REF!</definedName>
    <definedName name="tttt" localSheetId="6">#REF!</definedName>
    <definedName name="tttt">#REF!</definedName>
    <definedName name="tyu" localSheetId="2">#REF!</definedName>
    <definedName name="tyu" localSheetId="1">#REF!</definedName>
    <definedName name="tyu" localSheetId="3">#REF!</definedName>
    <definedName name="tyu" localSheetId="5">#REF!</definedName>
    <definedName name="tyu" localSheetId="6">#REF!</definedName>
    <definedName name="tyu">#REF!</definedName>
    <definedName name="UER" localSheetId="2">#REF!</definedName>
    <definedName name="UER" localSheetId="1">#REF!</definedName>
    <definedName name="UER" localSheetId="3">#REF!</definedName>
    <definedName name="UER" localSheetId="5">#REF!</definedName>
    <definedName name="UER" localSheetId="6">#REF!</definedName>
    <definedName name="UER">#REF!</definedName>
    <definedName name="uio" localSheetId="2">#REF!</definedName>
    <definedName name="uio" localSheetId="1">#REF!</definedName>
    <definedName name="uio" localSheetId="3">#REF!</definedName>
    <definedName name="uio" localSheetId="5">#REF!</definedName>
    <definedName name="uio" localSheetId="6">#REF!</definedName>
    <definedName name="uio">#REF!</definedName>
    <definedName name="Unit_Cost" localSheetId="2">#REF!</definedName>
    <definedName name="Unit_Cost" localSheetId="1">#REF!</definedName>
    <definedName name="Unit_Cost" localSheetId="3">#REF!</definedName>
    <definedName name="Unit_Cost" localSheetId="5">#REF!</definedName>
    <definedName name="Unit_Cost" localSheetId="6">#REF!</definedName>
    <definedName name="Unit_Cost">#REF!</definedName>
    <definedName name="unit_sale_price_bp" localSheetId="2">#REF!</definedName>
    <definedName name="unit_sale_price_bp" localSheetId="1">#REF!</definedName>
    <definedName name="unit_sale_price_bp" localSheetId="3">#REF!</definedName>
    <definedName name="unit_sale_price_bp" localSheetId="5">#REF!</definedName>
    <definedName name="unit_sale_price_bp" localSheetId="6">#REF!</definedName>
    <definedName name="unit_sale_price_bp">#REF!</definedName>
    <definedName name="unit_sale_price_del_bqs" localSheetId="2">#REF!</definedName>
    <definedName name="unit_sale_price_del_bqs" localSheetId="1">#REF!</definedName>
    <definedName name="unit_sale_price_del_bqs" localSheetId="3">#REF!</definedName>
    <definedName name="unit_sale_price_del_bqs" localSheetId="5">#REF!</definedName>
    <definedName name="unit_sale_price_del_bqs" localSheetId="6">#REF!</definedName>
    <definedName name="unit_sale_price_del_bqs">#REF!</definedName>
    <definedName name="unit_sale_price_del_dmrc1_bqs" localSheetId="2">#REF!</definedName>
    <definedName name="unit_sale_price_del_dmrc1_bqs" localSheetId="1">#REF!</definedName>
    <definedName name="unit_sale_price_del_dmrc1_bqs" localSheetId="3">#REF!</definedName>
    <definedName name="unit_sale_price_del_dmrc1_bqs" localSheetId="5">#REF!</definedName>
    <definedName name="unit_sale_price_del_dmrc1_bqs" localSheetId="6">#REF!</definedName>
    <definedName name="unit_sale_price_del_dmrc1_bqs">#REF!</definedName>
    <definedName name="unit_sale_price_del_dmrc1_bridgepanel" localSheetId="2">#REF!</definedName>
    <definedName name="unit_sale_price_del_dmrc1_bridgepanel" localSheetId="1">#REF!</definedName>
    <definedName name="unit_sale_price_del_dmrc1_bridgepanel" localSheetId="3">#REF!</definedName>
    <definedName name="unit_sale_price_del_dmrc1_bridgepanel" localSheetId="5">#REF!</definedName>
    <definedName name="unit_sale_price_del_dmrc1_bridgepanel" localSheetId="6">#REF!</definedName>
    <definedName name="unit_sale_price_del_dmrc1_bridgepanel">#REF!</definedName>
    <definedName name="unit_sale_price_del_dmrc1_mpillars" localSheetId="2">#REF!</definedName>
    <definedName name="unit_sale_price_del_dmrc1_mpillars" localSheetId="1">#REF!</definedName>
    <definedName name="unit_sale_price_del_dmrc1_mpillars" localSheetId="3">#REF!</definedName>
    <definedName name="unit_sale_price_del_dmrc1_mpillars" localSheetId="5">#REF!</definedName>
    <definedName name="unit_sale_price_del_dmrc1_mpillars" localSheetId="6">#REF!</definedName>
    <definedName name="unit_sale_price_del_dmrc1_mpillars">#REF!</definedName>
    <definedName name="unit_sale_price_del_dmrc2_bridgepanel" localSheetId="2">#REF!</definedName>
    <definedName name="unit_sale_price_del_dmrc2_bridgepanel" localSheetId="1">#REF!</definedName>
    <definedName name="unit_sale_price_del_dmrc2_bridgepanel" localSheetId="3">#REF!</definedName>
    <definedName name="unit_sale_price_del_dmrc2_bridgepanel" localSheetId="5">#REF!</definedName>
    <definedName name="unit_sale_price_del_dmrc2_bridgepanel" localSheetId="6">#REF!</definedName>
    <definedName name="unit_sale_price_del_dmrc2_bridgepanel">#REF!</definedName>
    <definedName name="unit_sale_price_del_dmrc2_hoarding" localSheetId="2">#REF!</definedName>
    <definedName name="unit_sale_price_del_dmrc2_hoarding" localSheetId="1">#REF!</definedName>
    <definedName name="unit_sale_price_del_dmrc2_hoarding" localSheetId="3">#REF!</definedName>
    <definedName name="unit_sale_price_del_dmrc2_hoarding" localSheetId="5">#REF!</definedName>
    <definedName name="unit_sale_price_del_dmrc2_hoarding" localSheetId="6">#REF!</definedName>
    <definedName name="unit_sale_price_del_dmrc2_hoarding">#REF!</definedName>
    <definedName name="unit_sale_price_del_dmrc3_mpillars" localSheetId="2">#REF!</definedName>
    <definedName name="unit_sale_price_del_dmrc3_mpillars" localSheetId="1">#REF!</definedName>
    <definedName name="unit_sale_price_del_dmrc3_mpillars" localSheetId="3">#REF!</definedName>
    <definedName name="unit_sale_price_del_dmrc3_mpillars" localSheetId="5">#REF!</definedName>
    <definedName name="unit_sale_price_del_dmrc3_mpillars" localSheetId="6">#REF!</definedName>
    <definedName name="unit_sale_price_del_dmrc3_mpillars">#REF!</definedName>
    <definedName name="unit_sale_price_del_hoarding" localSheetId="2">#REF!</definedName>
    <definedName name="unit_sale_price_del_hoarding" localSheetId="1">#REF!</definedName>
    <definedName name="unit_sale_price_del_hoarding" localSheetId="3">#REF!</definedName>
    <definedName name="unit_sale_price_del_hoarding" localSheetId="5">#REF!</definedName>
    <definedName name="unit_sale_price_del_hoarding" localSheetId="6">#REF!</definedName>
    <definedName name="unit_sale_price_del_hoarding">#REF!</definedName>
    <definedName name="unit_sale_price_del_mcd1_hoarding" localSheetId="2">#REF!</definedName>
    <definedName name="unit_sale_price_del_mcd1_hoarding" localSheetId="1">#REF!</definedName>
    <definedName name="unit_sale_price_del_mcd1_hoarding" localSheetId="3">#REF!</definedName>
    <definedName name="unit_sale_price_del_mcd1_hoarding" localSheetId="5">#REF!</definedName>
    <definedName name="unit_sale_price_del_mcd1_hoarding" localSheetId="6">#REF!</definedName>
    <definedName name="unit_sale_price_del_mcd1_hoarding">#REF!</definedName>
    <definedName name="unit_sale_price_del_mcd2_kiosk" localSheetId="2">#REF!</definedName>
    <definedName name="unit_sale_price_del_mcd2_kiosk" localSheetId="1">#REF!</definedName>
    <definedName name="unit_sale_price_del_mcd2_kiosk" localSheetId="3">#REF!</definedName>
    <definedName name="unit_sale_price_del_mcd2_kiosk" localSheetId="5">#REF!</definedName>
    <definedName name="unit_sale_price_del_mcd2_kiosk" localSheetId="6">#REF!</definedName>
    <definedName name="unit_sale_price_del_mcd2_kiosk">#REF!</definedName>
    <definedName name="unit_sale_price_del_mcd3_hoarding" localSheetId="2">#REF!</definedName>
    <definedName name="unit_sale_price_del_mcd3_hoarding" localSheetId="1">#REF!</definedName>
    <definedName name="unit_sale_price_del_mcd3_hoarding" localSheetId="3">#REF!</definedName>
    <definedName name="unit_sale_price_del_mcd3_hoarding" localSheetId="5">#REF!</definedName>
    <definedName name="unit_sale_price_del_mcd3_hoarding" localSheetId="6">#REF!</definedName>
    <definedName name="unit_sale_price_del_mcd3_hoarding">#REF!</definedName>
    <definedName name="unit_sale_price_del_mcd5_hoarding" localSheetId="2">#REF!</definedName>
    <definedName name="unit_sale_price_del_mcd5_hoarding" localSheetId="1">#REF!</definedName>
    <definedName name="unit_sale_price_del_mcd5_hoarding" localSheetId="3">#REF!</definedName>
    <definedName name="unit_sale_price_del_mcd5_hoarding" localSheetId="5">#REF!</definedName>
    <definedName name="unit_sale_price_del_mcd5_hoarding" localSheetId="6">#REF!</definedName>
    <definedName name="unit_sale_price_del_mcd5_hoarding">#REF!</definedName>
    <definedName name="unit_sale_price_del_nrdd_bridgepanel" localSheetId="2">#REF!</definedName>
    <definedName name="unit_sale_price_del_nrdd_bridgepanel" localSheetId="1">#REF!</definedName>
    <definedName name="unit_sale_price_del_nrdd_bridgepanel" localSheetId="3">#REF!</definedName>
    <definedName name="unit_sale_price_del_nrdd_bridgepanel" localSheetId="5">#REF!</definedName>
    <definedName name="unit_sale_price_del_nrdd_bridgepanel" localSheetId="6">#REF!</definedName>
    <definedName name="unit_sale_price_del_nrdd_bridgepanel">#REF!</definedName>
    <definedName name="unit_sale_price_del_nrdd_hoarding" localSheetId="2">#REF!</definedName>
    <definedName name="unit_sale_price_del_nrdd_hoarding" localSheetId="1">#REF!</definedName>
    <definedName name="unit_sale_price_del_nrdd_hoarding" localSheetId="3">#REF!</definedName>
    <definedName name="unit_sale_price_del_nrdd_hoarding" localSheetId="5">#REF!</definedName>
    <definedName name="unit_sale_price_del_nrdd_hoarding" localSheetId="6">#REF!</definedName>
    <definedName name="unit_sale_price_del_nrdd_hoarding">#REF!</definedName>
    <definedName name="unit_sale_price_del_nrdd_utility" localSheetId="2">#REF!</definedName>
    <definedName name="unit_sale_price_del_nrdd_utility" localSheetId="1">#REF!</definedName>
    <definedName name="unit_sale_price_del_nrdd_utility" localSheetId="3">#REF!</definedName>
    <definedName name="unit_sale_price_del_nrdd_utility" localSheetId="5">#REF!</definedName>
    <definedName name="unit_sale_price_del_nrdd_utility" localSheetId="6">#REF!</definedName>
    <definedName name="unit_sale_price_del_nrdd_utility">#REF!</definedName>
    <definedName name="unit_sale_price_ip" localSheetId="2">#REF!</definedName>
    <definedName name="unit_sale_price_ip" localSheetId="1">#REF!</definedName>
    <definedName name="unit_sale_price_ip" localSheetId="3">#REF!</definedName>
    <definedName name="unit_sale_price_ip" localSheetId="5">#REF!</definedName>
    <definedName name="unit_sale_price_ip" localSheetId="6">#REF!</definedName>
    <definedName name="unit_sale_price_ip">#REF!</definedName>
    <definedName name="unit_sale_price_kol_bqs" localSheetId="2">#REF!</definedName>
    <definedName name="unit_sale_price_kol_bqs" localSheetId="1">#REF!</definedName>
    <definedName name="unit_sale_price_kol_bqs" localSheetId="3">#REF!</definedName>
    <definedName name="unit_sale_price_kol_bqs" localSheetId="5">#REF!</definedName>
    <definedName name="unit_sale_price_kol_bqs" localSheetId="6">#REF!</definedName>
    <definedName name="unit_sale_price_kol_bqs">#REF!</definedName>
    <definedName name="unit_sale_price_kol_bridgepanel" localSheetId="2">#REF!</definedName>
    <definedName name="unit_sale_price_kol_bridgepanel" localSheetId="1">#REF!</definedName>
    <definedName name="unit_sale_price_kol_bridgepanel" localSheetId="3">#REF!</definedName>
    <definedName name="unit_sale_price_kol_bridgepanel" localSheetId="5">#REF!</definedName>
    <definedName name="unit_sale_price_kol_bridgepanel" localSheetId="6">#REF!</definedName>
    <definedName name="unit_sale_price_kol_bridgepanel">#REF!</definedName>
    <definedName name="unit_sale_price_kol_hoarding" localSheetId="2">#REF!</definedName>
    <definedName name="unit_sale_price_kol_hoarding" localSheetId="1">#REF!</definedName>
    <definedName name="unit_sale_price_kol_hoarding" localSheetId="3">#REF!</definedName>
    <definedName name="unit_sale_price_kol_hoarding" localSheetId="5">#REF!</definedName>
    <definedName name="unit_sale_price_kol_hoarding" localSheetId="6">#REF!</definedName>
    <definedName name="unit_sale_price_kol_hoarding">#REF!</definedName>
    <definedName name="unit_sale_price_kol_mpillars" localSheetId="2">#REF!</definedName>
    <definedName name="unit_sale_price_kol_mpillars" localSheetId="1">#REF!</definedName>
    <definedName name="unit_sale_price_kol_mpillars" localSheetId="3">#REF!</definedName>
    <definedName name="unit_sale_price_kol_mpillars" localSheetId="5">#REF!</definedName>
    <definedName name="unit_sale_price_kol_mpillars" localSheetId="6">#REF!</definedName>
    <definedName name="unit_sale_price_kol_mpillars">#REF!</definedName>
    <definedName name="unit_sale_price_kol_pillarwrap" localSheetId="2">#REF!</definedName>
    <definedName name="unit_sale_price_kol_pillarwrap" localSheetId="1">#REF!</definedName>
    <definedName name="unit_sale_price_kol_pillarwrap" localSheetId="3">#REF!</definedName>
    <definedName name="unit_sale_price_kol_pillarwrap" localSheetId="5">#REF!</definedName>
    <definedName name="unit_sale_price_kol_pillarwrap" localSheetId="6">#REF!</definedName>
    <definedName name="unit_sale_price_kol_pillarwrap">#REF!</definedName>
    <definedName name="unit_sale_price_kol_ts" localSheetId="2">#REF!</definedName>
    <definedName name="unit_sale_price_kol_ts" localSheetId="1">#REF!</definedName>
    <definedName name="unit_sale_price_kol_ts" localSheetId="3">#REF!</definedName>
    <definedName name="unit_sale_price_kol_ts" localSheetId="5">#REF!</definedName>
    <definedName name="unit_sale_price_kol_ts" localSheetId="6">#REF!</definedName>
    <definedName name="unit_sale_price_kol_ts">#REF!</definedName>
    <definedName name="unit_sale_price_lsp" localSheetId="2">#REF!</definedName>
    <definedName name="unit_sale_price_lsp" localSheetId="1">#REF!</definedName>
    <definedName name="unit_sale_price_lsp" localSheetId="3">#REF!</definedName>
    <definedName name="unit_sale_price_lsp" localSheetId="5">#REF!</definedName>
    <definedName name="unit_sale_price_lsp" localSheetId="6">#REF!</definedName>
    <definedName name="unit_sale_price_lsp">#REF!</definedName>
    <definedName name="unit_sale_price_mum_hoarding" localSheetId="2">#REF!</definedName>
    <definedName name="unit_sale_price_mum_hoarding" localSheetId="1">#REF!</definedName>
    <definedName name="unit_sale_price_mum_hoarding" localSheetId="3">#REF!</definedName>
    <definedName name="unit_sale_price_mum_hoarding" localSheetId="5">#REF!</definedName>
    <definedName name="unit_sale_price_mum_hoarding" localSheetId="6">#REF!</definedName>
    <definedName name="unit_sale_price_mum_hoarding">#REF!</definedName>
    <definedName name="unit_sale_price_mum_kiosk" localSheetId="2">#REF!</definedName>
    <definedName name="unit_sale_price_mum_kiosk" localSheetId="1">#REF!</definedName>
    <definedName name="unit_sale_price_mum_kiosk" localSheetId="3">#REF!</definedName>
    <definedName name="unit_sale_price_mum_kiosk" localSheetId="5">#REF!</definedName>
    <definedName name="unit_sale_price_mum_kiosk" localSheetId="6">#REF!</definedName>
    <definedName name="unit_sale_price_mum_kiosk">#REF!</definedName>
    <definedName name="unit_sale_price_mum_utility" localSheetId="2">#REF!</definedName>
    <definedName name="unit_sale_price_mum_utility" localSheetId="1">#REF!</definedName>
    <definedName name="unit_sale_price_mum_utility" localSheetId="3">#REF!</definedName>
    <definedName name="unit_sale_price_mum_utility" localSheetId="5">#REF!</definedName>
    <definedName name="unit_sale_price_mum_utility" localSheetId="6">#REF!</definedName>
    <definedName name="unit_sale_price_mum_utility">#REF!</definedName>
    <definedName name="unit_sale_price_new_r1" localSheetId="2">#REF!</definedName>
    <definedName name="unit_sale_price_new_r1" localSheetId="1">#REF!</definedName>
    <definedName name="unit_sale_price_new_r1" localSheetId="3">#REF!</definedName>
    <definedName name="unit_sale_price_new_r1" localSheetId="5">#REF!</definedName>
    <definedName name="unit_sale_price_new_r1" localSheetId="6">#REF!</definedName>
    <definedName name="unit_sale_price_new_r1">#REF!</definedName>
    <definedName name="unit_sale_price_new_s2" localSheetId="2">#REF!</definedName>
    <definedName name="unit_sale_price_new_s2" localSheetId="1">#REF!</definedName>
    <definedName name="unit_sale_price_new_s2" localSheetId="3">#REF!</definedName>
    <definedName name="unit_sale_price_new_s2" localSheetId="5">#REF!</definedName>
    <definedName name="unit_sale_price_new_s2" localSheetId="6">#REF!</definedName>
    <definedName name="unit_sale_price_new_s2">#REF!</definedName>
    <definedName name="unit_sale_price_new_sf1" localSheetId="2">#REF!</definedName>
    <definedName name="unit_sale_price_new_sf1" localSheetId="1">#REF!</definedName>
    <definedName name="unit_sale_price_new_sf1" localSheetId="3">#REF!</definedName>
    <definedName name="unit_sale_price_new_sf1" localSheetId="5">#REF!</definedName>
    <definedName name="unit_sale_price_new_sf1" localSheetId="6">#REF!</definedName>
    <definedName name="unit_sale_price_new_sf1">#REF!</definedName>
    <definedName name="unit_sale_price_new_sf2" localSheetId="2">#REF!</definedName>
    <definedName name="unit_sale_price_new_sf2" localSheetId="1">#REF!</definedName>
    <definedName name="unit_sale_price_new_sf2" localSheetId="3">#REF!</definedName>
    <definedName name="unit_sale_price_new_sf2" localSheetId="5">#REF!</definedName>
    <definedName name="unit_sale_price_new_sf2" localSheetId="6">#REF!</definedName>
    <definedName name="unit_sale_price_new_sf2">#REF!</definedName>
    <definedName name="unit_sale_price_new_sf3" localSheetId="2">#REF!</definedName>
    <definedName name="unit_sale_price_new_sf3" localSheetId="1">#REF!</definedName>
    <definedName name="unit_sale_price_new_sf3" localSheetId="3">#REF!</definedName>
    <definedName name="unit_sale_price_new_sf3" localSheetId="5">#REF!</definedName>
    <definedName name="unit_sale_price_new_sf3" localSheetId="6">#REF!</definedName>
    <definedName name="unit_sale_price_new_sf3">#REF!</definedName>
    <definedName name="unit_sale_price_pun_hoarding" localSheetId="2">#REF!</definedName>
    <definedName name="unit_sale_price_pun_hoarding" localSheetId="1">#REF!</definedName>
    <definedName name="unit_sale_price_pun_hoarding" localSheetId="3">#REF!</definedName>
    <definedName name="unit_sale_price_pun_hoarding" localSheetId="5">#REF!</definedName>
    <definedName name="unit_sale_price_pun_hoarding" localSheetId="6">#REF!</definedName>
    <definedName name="unit_sale_price_pun_hoarding">#REF!</definedName>
    <definedName name="unit_sale_price_pun_kiosk" localSheetId="2">#REF!</definedName>
    <definedName name="unit_sale_price_pun_kiosk" localSheetId="1">#REF!</definedName>
    <definedName name="unit_sale_price_pun_kiosk" localSheetId="3">#REF!</definedName>
    <definedName name="unit_sale_price_pun_kiosk" localSheetId="5">#REF!</definedName>
    <definedName name="unit_sale_price_pun_kiosk" localSheetId="6">#REF!</definedName>
    <definedName name="unit_sale_price_pun_kiosk">#REF!</definedName>
    <definedName name="unit_sale_price_pun_utility" localSheetId="2">#REF!</definedName>
    <definedName name="unit_sale_price_pun_utility" localSheetId="1">#REF!</definedName>
    <definedName name="unit_sale_price_pun_utility" localSheetId="3">#REF!</definedName>
    <definedName name="unit_sale_price_pun_utility" localSheetId="5">#REF!</definedName>
    <definedName name="unit_sale_price_pun_utility" localSheetId="6">#REF!</definedName>
    <definedName name="unit_sale_price_pun_utility">#REF!</definedName>
    <definedName name="unit_sale_price_rsp" localSheetId="2">#REF!</definedName>
    <definedName name="unit_sale_price_rsp" localSheetId="1">#REF!</definedName>
    <definedName name="unit_sale_price_rsp" localSheetId="3">#REF!</definedName>
    <definedName name="unit_sale_price_rsp" localSheetId="5">#REF!</definedName>
    <definedName name="unit_sale_price_rsp" localSheetId="6">#REF!</definedName>
    <definedName name="unit_sale_price_rsp">#REF!</definedName>
    <definedName name="unit_sale_price_s" localSheetId="2">#REF!</definedName>
    <definedName name="unit_sale_price_s" localSheetId="1">#REF!</definedName>
    <definedName name="unit_sale_price_s" localSheetId="3">#REF!</definedName>
    <definedName name="unit_sale_price_s" localSheetId="5">#REF!</definedName>
    <definedName name="unit_sale_price_s" localSheetId="6">#REF!</definedName>
    <definedName name="unit_sale_price_s">#REF!</definedName>
    <definedName name="Untitled" localSheetId="2">#REF!</definedName>
    <definedName name="Untitled" localSheetId="1">#REF!</definedName>
    <definedName name="Untitled" localSheetId="3">#REF!</definedName>
    <definedName name="Untitled" localSheetId="5">#REF!</definedName>
    <definedName name="Untitled" localSheetId="6">#REF!</definedName>
    <definedName name="Untitled">#REF!</definedName>
    <definedName name="urban_kiosk_to" localSheetId="2">#REF!</definedName>
    <definedName name="urban_kiosk_to" localSheetId="1">#REF!</definedName>
    <definedName name="urban_kiosk_to" localSheetId="3">#REF!</definedName>
    <definedName name="urban_kiosk_to" localSheetId="5">#REF!</definedName>
    <definedName name="urban_kiosk_to" localSheetId="6">#REF!</definedName>
    <definedName name="urban_kiosk_to">#REF!</definedName>
    <definedName name="urban_shop_TO" localSheetId="2">#REF!</definedName>
    <definedName name="urban_shop_TO" localSheetId="1">#REF!</definedName>
    <definedName name="urban_shop_TO" localSheetId="3">#REF!</definedName>
    <definedName name="urban_shop_TO" localSheetId="5">#REF!</definedName>
    <definedName name="urban_shop_TO" localSheetId="6">#REF!</definedName>
    <definedName name="urban_shop_TO">#REF!</definedName>
    <definedName name="Urbanpopulationpercentage" localSheetId="2">#REF!</definedName>
    <definedName name="Urbanpopulationpercentage" localSheetId="1">#REF!</definedName>
    <definedName name="Urbanpopulationpercentage" localSheetId="3">#REF!</definedName>
    <definedName name="Urbanpopulationpercentage" localSheetId="5">#REF!</definedName>
    <definedName name="Urbanpopulationpercentage" localSheetId="6">#REF!</definedName>
    <definedName name="Urbanpopulationpercentage">#REF!</definedName>
    <definedName name="USD.A" localSheetId="2">#REF!</definedName>
    <definedName name="USD.A" localSheetId="1">#REF!</definedName>
    <definedName name="USD.A" localSheetId="3">#REF!</definedName>
    <definedName name="USD.A" localSheetId="5">#REF!</definedName>
    <definedName name="USD.A" localSheetId="6">#REF!</definedName>
    <definedName name="USD.A">#REF!</definedName>
    <definedName name="USD.E" localSheetId="2">#REF!</definedName>
    <definedName name="USD.E" localSheetId="1">#REF!</definedName>
    <definedName name="USD.E" localSheetId="3">#REF!</definedName>
    <definedName name="USD.E" localSheetId="5">#REF!</definedName>
    <definedName name="USD.E" localSheetId="6">#REF!</definedName>
    <definedName name="USD.E">#REF!</definedName>
    <definedName name="USD_B" localSheetId="2">#REF!</definedName>
    <definedName name="USD_B" localSheetId="1">#REF!</definedName>
    <definedName name="USD_B" localSheetId="3">#REF!</definedName>
    <definedName name="USD_B" localSheetId="5">#REF!</definedName>
    <definedName name="USD_B" localSheetId="6">#REF!</definedName>
    <definedName name="USD_B">#REF!</definedName>
    <definedName name="UseEPS" localSheetId="2">#REF!</definedName>
    <definedName name="UseEPS" localSheetId="1">#REF!</definedName>
    <definedName name="UseEPS" localSheetId="3">#REF!</definedName>
    <definedName name="UseEPS" localSheetId="5">#REF!</definedName>
    <definedName name="UseEPS" localSheetId="6">#REF!</definedName>
    <definedName name="UseEPS">#REF!</definedName>
    <definedName name="User1_Access" localSheetId="2">#REF!</definedName>
    <definedName name="User1_Access" localSheetId="1">#REF!</definedName>
    <definedName name="User1_Access" localSheetId="3">#REF!</definedName>
    <definedName name="User1_Access" localSheetId="5">#REF!</definedName>
    <definedName name="User1_Access" localSheetId="6">#REF!</definedName>
    <definedName name="User1_Access">#REF!</definedName>
    <definedName name="User1_IOC" localSheetId="2">#REF!</definedName>
    <definedName name="User1_IOC" localSheetId="1">#REF!</definedName>
    <definedName name="User1_IOC" localSheetId="3">#REF!</definedName>
    <definedName name="User1_IOC" localSheetId="5">#REF!</definedName>
    <definedName name="User1_IOC" localSheetId="6">#REF!</definedName>
    <definedName name="User1_IOC">#REF!</definedName>
    <definedName name="User2_Access" localSheetId="2">#REF!</definedName>
    <definedName name="User2_Access" localSheetId="1">#REF!</definedName>
    <definedName name="User2_Access" localSheetId="3">#REF!</definedName>
    <definedName name="User2_Access" localSheetId="5">#REF!</definedName>
    <definedName name="User2_Access" localSheetId="6">#REF!</definedName>
    <definedName name="User2_Access">#REF!</definedName>
    <definedName name="User2_IOC" localSheetId="2">#REF!</definedName>
    <definedName name="User2_IOC" localSheetId="1">#REF!</definedName>
    <definedName name="User2_IOC" localSheetId="3">#REF!</definedName>
    <definedName name="User2_IOC" localSheetId="5">#REF!</definedName>
    <definedName name="User2_IOC" localSheetId="6">#REF!</definedName>
    <definedName name="User2_IOC">#REF!</definedName>
    <definedName name="User3_T11_GDA" localSheetId="2">#REF!</definedName>
    <definedName name="User3_T11_GDA" localSheetId="1">#REF!</definedName>
    <definedName name="User3_T11_GDA" localSheetId="3">#REF!</definedName>
    <definedName name="User3_T11_GDA" localSheetId="5">#REF!</definedName>
    <definedName name="User3_T11_GDA" localSheetId="6">#REF!</definedName>
    <definedName name="User3_T11_GDA">#REF!</definedName>
    <definedName name="User3_T11_T1" localSheetId="2">#REF!</definedName>
    <definedName name="User3_T11_T1" localSheetId="1">#REF!</definedName>
    <definedName name="User3_T11_T1" localSheetId="3">#REF!</definedName>
    <definedName name="User3_T11_T1" localSheetId="5">#REF!</definedName>
    <definedName name="User3_T11_T1" localSheetId="6">#REF!</definedName>
    <definedName name="User3_T11_T1">#REF!</definedName>
    <definedName name="User3_T9_56k" localSheetId="2">#REF!</definedName>
    <definedName name="User3_T9_56k" localSheetId="1">#REF!</definedName>
    <definedName name="User3_T9_56k" localSheetId="3">#REF!</definedName>
    <definedName name="User3_T9_56k" localSheetId="5">#REF!</definedName>
    <definedName name="User3_T9_56k" localSheetId="6">#REF!</definedName>
    <definedName name="User3_T9_56k">#REF!</definedName>
    <definedName name="User3_T9_IBR" localSheetId="2">#REF!</definedName>
    <definedName name="User3_T9_IBR" localSheetId="1">#REF!</definedName>
    <definedName name="User3_T9_IBR" localSheetId="3">#REF!</definedName>
    <definedName name="User3_T9_IBR" localSheetId="5">#REF!</definedName>
    <definedName name="User3_T9_IBR" localSheetId="6">#REF!</definedName>
    <definedName name="User3_T9_IBR">#REF!</definedName>
    <definedName name="User3_T9_T1" localSheetId="2">#REF!</definedName>
    <definedName name="User3_T9_T1" localSheetId="1">#REF!</definedName>
    <definedName name="User3_T9_T1" localSheetId="3">#REF!</definedName>
    <definedName name="User3_T9_T1" localSheetId="5">#REF!</definedName>
    <definedName name="User3_T9_T1" localSheetId="6">#REF!</definedName>
    <definedName name="User3_T9_T1">#REF!</definedName>
    <definedName name="User4_T11_GDA" localSheetId="2">#REF!</definedName>
    <definedName name="User4_T11_GDA" localSheetId="1">#REF!</definedName>
    <definedName name="User4_T11_GDA" localSheetId="3">#REF!</definedName>
    <definedName name="User4_T11_GDA" localSheetId="5">#REF!</definedName>
    <definedName name="User4_T11_GDA" localSheetId="6">#REF!</definedName>
    <definedName name="User4_T11_GDA">#REF!</definedName>
    <definedName name="User4_T11_T1" localSheetId="2">#REF!</definedName>
    <definedName name="User4_T11_T1" localSheetId="1">#REF!</definedName>
    <definedName name="User4_T11_T1" localSheetId="3">#REF!</definedName>
    <definedName name="User4_T11_T1" localSheetId="5">#REF!</definedName>
    <definedName name="User4_T11_T1" localSheetId="6">#REF!</definedName>
    <definedName name="User4_T11_T1">#REF!</definedName>
    <definedName name="User4_T9_56k" localSheetId="2">#REF!</definedName>
    <definedName name="User4_T9_56k" localSheetId="1">#REF!</definedName>
    <definedName name="User4_T9_56k" localSheetId="3">#REF!</definedName>
    <definedName name="User4_T9_56k" localSheetId="5">#REF!</definedName>
    <definedName name="User4_T9_56k" localSheetId="6">#REF!</definedName>
    <definedName name="User4_T9_56k">#REF!</definedName>
    <definedName name="User4_T9_IBR" localSheetId="2">#REF!</definedName>
    <definedName name="User4_T9_IBR" localSheetId="1">#REF!</definedName>
    <definedName name="User4_T9_IBR" localSheetId="3">#REF!</definedName>
    <definedName name="User4_T9_IBR" localSheetId="5">#REF!</definedName>
    <definedName name="User4_T9_IBR" localSheetId="6">#REF!</definedName>
    <definedName name="User4_T9_IBR">#REF!</definedName>
    <definedName name="User4_T9_T1" localSheetId="2">#REF!</definedName>
    <definedName name="User4_T9_T1" localSheetId="1">#REF!</definedName>
    <definedName name="User4_T9_T1" localSheetId="3">#REF!</definedName>
    <definedName name="User4_T9_T1" localSheetId="5">#REF!</definedName>
    <definedName name="User4_T9_T1" localSheetId="6">#REF!</definedName>
    <definedName name="User4_T9_T1">#REF!</definedName>
    <definedName name="User5_Access" localSheetId="2">#REF!</definedName>
    <definedName name="User5_Access" localSheetId="1">#REF!</definedName>
    <definedName name="User5_Access" localSheetId="3">#REF!</definedName>
    <definedName name="User5_Access" localSheetId="5">#REF!</definedName>
    <definedName name="User5_Access" localSheetId="6">#REF!</definedName>
    <definedName name="User5_Access">#REF!</definedName>
    <definedName name="User5_Components" localSheetId="2">#REF!</definedName>
    <definedName name="User5_Components" localSheetId="1">#REF!</definedName>
    <definedName name="User5_Components" localSheetId="3">#REF!</definedName>
    <definedName name="User5_Components" localSheetId="5">#REF!</definedName>
    <definedName name="User5_Components" localSheetId="6">#REF!</definedName>
    <definedName name="User5_Components">#REF!</definedName>
    <definedName name="User5_IOC" localSheetId="2">#REF!</definedName>
    <definedName name="User5_IOC" localSheetId="1">#REF!</definedName>
    <definedName name="User5_IOC" localSheetId="3">#REF!</definedName>
    <definedName name="User5_IOC" localSheetId="5">#REF!</definedName>
    <definedName name="User5_IOC" localSheetId="6">#REF!</definedName>
    <definedName name="User5_IOC">#REF!</definedName>
    <definedName name="uy" localSheetId="2">#REF!</definedName>
    <definedName name="uy" localSheetId="1">#REF!</definedName>
    <definedName name="uy" localSheetId="3">#REF!</definedName>
    <definedName name="uy" localSheetId="5">#REF!</definedName>
    <definedName name="uy" localSheetId="6">#REF!</definedName>
    <definedName name="uy">#REF!</definedName>
    <definedName name="v" localSheetId="2">#REF!,#REF!</definedName>
    <definedName name="v" localSheetId="1">#REF!,#REF!</definedName>
    <definedName name="v" localSheetId="3">#REF!,#REF!</definedName>
    <definedName name="v" localSheetId="5">#REF!,#REF!</definedName>
    <definedName name="v" localSheetId="6">#REF!,#REF!</definedName>
    <definedName name="v">#REF!,#REF!</definedName>
    <definedName name="vdfv" localSheetId="2">#REF!</definedName>
    <definedName name="vdfv" localSheetId="1">#REF!</definedName>
    <definedName name="vdfv" localSheetId="3">#REF!</definedName>
    <definedName name="vdfv" localSheetId="5">#REF!</definedName>
    <definedName name="vdfv" localSheetId="6">#REF!</definedName>
    <definedName name="vdfv">#REF!</definedName>
    <definedName name="VLSI" localSheetId="2">#REF!</definedName>
    <definedName name="VLSI" localSheetId="1">#REF!</definedName>
    <definedName name="VLSI" localSheetId="3">#REF!</definedName>
    <definedName name="VLSI" localSheetId="5">#REF!</definedName>
    <definedName name="VLSI" localSheetId="6">#REF!</definedName>
    <definedName name="VLSI">#REF!</definedName>
    <definedName name="VLSIsum" localSheetId="2">#REF!</definedName>
    <definedName name="VLSIsum" localSheetId="1">#REF!</definedName>
    <definedName name="VLSIsum" localSheetId="3">#REF!</definedName>
    <definedName name="VLSIsum" localSheetId="5">#REF!</definedName>
    <definedName name="VLSIsum" localSheetId="6">#REF!</definedName>
    <definedName name="VLSIsum">#REF!</definedName>
    <definedName name="Volume" localSheetId="2">#REF!</definedName>
    <definedName name="Volume" localSheetId="1">#REF!</definedName>
    <definedName name="Volume" localSheetId="3">#REF!</definedName>
    <definedName name="Volume" localSheetId="5">#REF!</definedName>
    <definedName name="Volume" localSheetId="6">#REF!</definedName>
    <definedName name="Volume">#REF!</definedName>
    <definedName name="VOLVO_INDIA_PRIVATE_LIMITED" localSheetId="2">#REF!</definedName>
    <definedName name="VOLVO_INDIA_PRIVATE_LIMITED" localSheetId="1">#REF!</definedName>
    <definedName name="VOLVO_INDIA_PRIVATE_LIMITED" localSheetId="3">#REF!</definedName>
    <definedName name="VOLVO_INDIA_PRIVATE_LIMITED" localSheetId="5">#REF!</definedName>
    <definedName name="VOLVO_INDIA_PRIVATE_LIMITED" localSheetId="6">#REF!</definedName>
    <definedName name="VOLVO_INDIA_PRIVATE_LIMITED">#REF!</definedName>
    <definedName name="VP" localSheetId="2">#REF!</definedName>
    <definedName name="VP" localSheetId="1">#REF!</definedName>
    <definedName name="VP" localSheetId="3">#REF!</definedName>
    <definedName name="VP" localSheetId="5">#REF!</definedName>
    <definedName name="VP" localSheetId="6">#REF!</definedName>
    <definedName name="VP">#REF!</definedName>
    <definedName name="vpc_share" localSheetId="2">#REF!</definedName>
    <definedName name="vpc_share" localSheetId="1">#REF!</definedName>
    <definedName name="vpc_share" localSheetId="3">#REF!</definedName>
    <definedName name="vpc_share" localSheetId="5">#REF!</definedName>
    <definedName name="vpc_share" localSheetId="6">#REF!</definedName>
    <definedName name="vpc_share">#REF!</definedName>
    <definedName name="vvvv" localSheetId="2">#REF!</definedName>
    <definedName name="vvvv" localSheetId="1">#REF!</definedName>
    <definedName name="vvvv" localSheetId="3">#REF!</definedName>
    <definedName name="vvvv" localSheetId="5">#REF!</definedName>
    <definedName name="vvvv" localSheetId="6">#REF!</definedName>
    <definedName name="vvvv">#REF!</definedName>
    <definedName name="wcap" localSheetId="2">#REF!</definedName>
    <definedName name="wcap" localSheetId="1">#REF!</definedName>
    <definedName name="wcap" localSheetId="3">#REF!</definedName>
    <definedName name="wcap" localSheetId="5">#REF!</definedName>
    <definedName name="wcap" localSheetId="6">#REF!</definedName>
    <definedName name="wcap">#REF!</definedName>
    <definedName name="wdvadditionalhead1" localSheetId="2">#REF!</definedName>
    <definedName name="wdvadditionalhead1" localSheetId="1">#REF!</definedName>
    <definedName name="wdvadditionalhead1" localSheetId="3">#REF!</definedName>
    <definedName name="wdvadditionalhead1" localSheetId="5">#REF!</definedName>
    <definedName name="wdvadditionalhead1" localSheetId="6">#REF!</definedName>
    <definedName name="wdvadditionalhead1">#REF!</definedName>
    <definedName name="wdvadditionalhead2" localSheetId="2">#REF!</definedName>
    <definedName name="wdvadditionalhead2" localSheetId="1">#REF!</definedName>
    <definedName name="wdvadditionalhead2" localSheetId="3">#REF!</definedName>
    <definedName name="wdvadditionalhead2" localSheetId="5">#REF!</definedName>
    <definedName name="wdvadditionalhead2" localSheetId="6">#REF!</definedName>
    <definedName name="wdvadditionalhead2">#REF!</definedName>
    <definedName name="wdvcivil" localSheetId="2">#REF!</definedName>
    <definedName name="wdvcivil" localSheetId="1">#REF!</definedName>
    <definedName name="wdvcivil" localSheetId="3">#REF!</definedName>
    <definedName name="wdvcivil" localSheetId="5">#REF!</definedName>
    <definedName name="wdvcivil" localSheetId="6">#REF!</definedName>
    <definedName name="wdvcivil">#REF!</definedName>
    <definedName name="wdvduct" localSheetId="2">#REF!</definedName>
    <definedName name="wdvduct" localSheetId="1">#REF!</definedName>
    <definedName name="wdvduct" localSheetId="3">#REF!</definedName>
    <definedName name="wdvduct" localSheetId="5">#REF!</definedName>
    <definedName name="wdvduct" localSheetId="6">#REF!</definedName>
    <definedName name="wdvduct">#REF!</definedName>
    <definedName name="wdvelectro" localSheetId="2">#REF!</definedName>
    <definedName name="wdvelectro" localSheetId="1">#REF!</definedName>
    <definedName name="wdvelectro" localSheetId="3">#REF!</definedName>
    <definedName name="wdvelectro" localSheetId="5">#REF!</definedName>
    <definedName name="wdvelectro" localSheetId="6">#REF!</definedName>
    <definedName name="wdvelectro">#REF!</definedName>
    <definedName name="wdvutilities" localSheetId="2">#REF!</definedName>
    <definedName name="wdvutilities" localSheetId="1">#REF!</definedName>
    <definedName name="wdvutilities" localSheetId="3">#REF!</definedName>
    <definedName name="wdvutilities" localSheetId="5">#REF!</definedName>
    <definedName name="wdvutilities" localSheetId="6">#REF!</definedName>
    <definedName name="wdvutilities">#REF!</definedName>
    <definedName name="we" localSheetId="2">#REF!</definedName>
    <definedName name="we" localSheetId="1">#REF!</definedName>
    <definedName name="we" localSheetId="3">#REF!</definedName>
    <definedName name="we" localSheetId="5">#REF!</definedName>
    <definedName name="we" localSheetId="6">#REF!</definedName>
    <definedName name="we">#REF!</definedName>
    <definedName name="wer" localSheetId="2">#REF!</definedName>
    <definedName name="wer" localSheetId="1">#REF!</definedName>
    <definedName name="wer" localSheetId="3">#REF!</definedName>
    <definedName name="wer" localSheetId="5">#REF!</definedName>
    <definedName name="wer" localSheetId="6">#REF!</definedName>
    <definedName name="wer">#REF!</definedName>
    <definedName name="Work_C" localSheetId="2">#REF!</definedName>
    <definedName name="Work_C" localSheetId="1">#REF!</definedName>
    <definedName name="Work_C" localSheetId="3">#REF!</definedName>
    <definedName name="Work_C" localSheetId="5">#REF!</definedName>
    <definedName name="Work_C" localSheetId="6">#REF!</definedName>
    <definedName name="Work_C">#REF!</definedName>
    <definedName name="Workings" localSheetId="2">#REF!</definedName>
    <definedName name="Workings" localSheetId="1">#REF!</definedName>
    <definedName name="Workings" localSheetId="3">#REF!</definedName>
    <definedName name="Workings" localSheetId="5">#REF!</definedName>
    <definedName name="Workings" localSheetId="6">#REF!</definedName>
    <definedName name="Workings">#REF!</definedName>
    <definedName name="wwwww" localSheetId="2">#REF!</definedName>
    <definedName name="wwwww" localSheetId="1">#REF!</definedName>
    <definedName name="wwwww" localSheetId="3">#REF!</definedName>
    <definedName name="wwwww" localSheetId="5">#REF!</definedName>
    <definedName name="wwwww" localSheetId="6">#REF!</definedName>
    <definedName name="wwwww">#REF!</definedName>
    <definedName name="x" localSheetId="2">#REF!</definedName>
    <definedName name="x" localSheetId="1">#REF!</definedName>
    <definedName name="x" localSheetId="3">#REF!</definedName>
    <definedName name="x" localSheetId="5">#REF!</definedName>
    <definedName name="x" localSheetId="6">#REF!</definedName>
    <definedName name="x">#REF!</definedName>
    <definedName name="XLOPTvec">"4 15 1 125 1 0 1 1 1 1 1 1 0 0 1 0 0 0 0 0"</definedName>
    <definedName name="xvhxh" localSheetId="2">#REF!</definedName>
    <definedName name="xvhxh" localSheetId="1">#REF!</definedName>
    <definedName name="xvhxh" localSheetId="3">#REF!</definedName>
    <definedName name="xvhxh" localSheetId="5">#REF!</definedName>
    <definedName name="xvhxh" localSheetId="6">#REF!</definedName>
    <definedName name="xvhxh">#REF!</definedName>
    <definedName name="xx">#N/A</definedName>
    <definedName name="XXX" localSheetId="2">#REF!</definedName>
    <definedName name="XXX" localSheetId="1">#REF!</definedName>
    <definedName name="XXX" localSheetId="3">#REF!</definedName>
    <definedName name="XXX" localSheetId="5">#REF!</definedName>
    <definedName name="XXX" localSheetId="6">#REF!</definedName>
    <definedName name="XXX">#REF!</definedName>
    <definedName name="XYZ" localSheetId="2">#REF!,#REF!</definedName>
    <definedName name="XYZ" localSheetId="1">#REF!,#REF!</definedName>
    <definedName name="XYZ" localSheetId="3">#REF!,#REF!</definedName>
    <definedName name="XYZ" localSheetId="5">#REF!,#REF!</definedName>
    <definedName name="XYZ" localSheetId="6">#REF!,#REF!</definedName>
    <definedName name="XYZ">#REF!,#REF!</definedName>
    <definedName name="y" localSheetId="2">#REF!</definedName>
    <definedName name="y" localSheetId="1">#REF!</definedName>
    <definedName name="y" localSheetId="3">#REF!</definedName>
    <definedName name="y" localSheetId="5">#REF!</definedName>
    <definedName name="y" localSheetId="6">#REF!</definedName>
    <definedName name="y">#REF!</definedName>
    <definedName name="YE8389DE" localSheetId="2">#REF!</definedName>
    <definedName name="YE8389DE" localSheetId="1">#REF!</definedName>
    <definedName name="YE8389DE" localSheetId="3">#REF!</definedName>
    <definedName name="YE8389DE" localSheetId="5">#REF!</definedName>
    <definedName name="YE8389DE" localSheetId="6">#REF!</definedName>
    <definedName name="YE8389DE">#REF!</definedName>
    <definedName name="yearly_inc_license_fee" localSheetId="2">#REF!</definedName>
    <definedName name="yearly_inc_license_fee" localSheetId="1">#REF!</definedName>
    <definedName name="yearly_inc_license_fee" localSheetId="3">#REF!</definedName>
    <definedName name="yearly_inc_license_fee" localSheetId="5">#REF!</definedName>
    <definedName name="yearly_inc_license_fee" localSheetId="6">#REF!</definedName>
    <definedName name="yearly_inc_license_fee">#REF!</definedName>
    <definedName name="YearStart1" localSheetId="2">#REF!</definedName>
    <definedName name="YearStart1" localSheetId="1">#REF!</definedName>
    <definedName name="YearStart1" localSheetId="3">#REF!</definedName>
    <definedName name="YearStart1" localSheetId="5">#REF!</definedName>
    <definedName name="YearStart1" localSheetId="6">#REF!</definedName>
    <definedName name="YearStart1">#REF!</definedName>
    <definedName name="YearStart2" localSheetId="2">#REF!</definedName>
    <definedName name="YearStart2" localSheetId="1">#REF!</definedName>
    <definedName name="YearStart2" localSheetId="3">#REF!</definedName>
    <definedName name="YearStart2" localSheetId="5">#REF!</definedName>
    <definedName name="YearStart2" localSheetId="6">#REF!</definedName>
    <definedName name="YearStart2">#REF!</definedName>
    <definedName name="YearStart3" localSheetId="2">#REF!</definedName>
    <definedName name="YearStart3" localSheetId="1">#REF!</definedName>
    <definedName name="YearStart3" localSheetId="3">#REF!</definedName>
    <definedName name="YearStart3" localSheetId="5">#REF!</definedName>
    <definedName name="YearStart3" localSheetId="6">#REF!</definedName>
    <definedName name="YearStart3">#REF!</definedName>
    <definedName name="YearStart4" localSheetId="2">#REF!</definedName>
    <definedName name="YearStart4" localSheetId="1">#REF!</definedName>
    <definedName name="YearStart4" localSheetId="3">#REF!</definedName>
    <definedName name="YearStart4" localSheetId="5">#REF!</definedName>
    <definedName name="YearStart4" localSheetId="6">#REF!</definedName>
    <definedName name="YearStart4">#REF!</definedName>
    <definedName name="YearStart5" localSheetId="2">#REF!</definedName>
    <definedName name="YearStart5" localSheetId="1">#REF!</definedName>
    <definedName name="YearStart5" localSheetId="3">#REF!</definedName>
    <definedName name="YearStart5" localSheetId="5">#REF!</definedName>
    <definedName name="YearStart5" localSheetId="6">#REF!</definedName>
    <definedName name="YearStart5">#REF!</definedName>
    <definedName name="YearStart6" localSheetId="2">#REF!</definedName>
    <definedName name="YearStart6" localSheetId="1">#REF!</definedName>
    <definedName name="YearStart6" localSheetId="3">#REF!</definedName>
    <definedName name="YearStart6" localSheetId="5">#REF!</definedName>
    <definedName name="YearStart6" localSheetId="6">#REF!</definedName>
    <definedName name="YearStart6">#REF!</definedName>
    <definedName name="YearStart7" localSheetId="2">#REF!</definedName>
    <definedName name="YearStart7" localSheetId="1">#REF!</definedName>
    <definedName name="YearStart7" localSheetId="3">#REF!</definedName>
    <definedName name="YearStart7" localSheetId="5">#REF!</definedName>
    <definedName name="YearStart7" localSheetId="6">#REF!</definedName>
    <definedName name="YearStart7">#REF!</definedName>
    <definedName name="Yr0days" localSheetId="2">#REF!</definedName>
    <definedName name="Yr0days" localSheetId="1">#REF!</definedName>
    <definedName name="Yr0days" localSheetId="3">#REF!</definedName>
    <definedName name="Yr0days" localSheetId="5">#REF!</definedName>
    <definedName name="Yr0days" localSheetId="6">#REF!</definedName>
    <definedName name="Yr0days">#REF!</definedName>
    <definedName name="Yr1_Months_of_opn" localSheetId="2">#REF!</definedName>
    <definedName name="Yr1_Months_of_opn" localSheetId="1">#REF!</definedName>
    <definedName name="Yr1_Months_of_opn" localSheetId="3">#REF!</definedName>
    <definedName name="Yr1_Months_of_opn" localSheetId="5">#REF!</definedName>
    <definedName name="Yr1_Months_of_opn" localSheetId="6">#REF!</definedName>
    <definedName name="Yr1_Months_of_opn">#REF!</definedName>
    <definedName name="ytdinr" localSheetId="2">#REF!</definedName>
    <definedName name="ytdinr" localSheetId="1">#REF!</definedName>
    <definedName name="ytdinr" localSheetId="3">#REF!</definedName>
    <definedName name="ytdinr" localSheetId="5">#REF!</definedName>
    <definedName name="ytdinr" localSheetId="6">#REF!</definedName>
    <definedName name="ytdinr">#REF!</definedName>
    <definedName name="ytdusd" localSheetId="2">#REF!</definedName>
    <definedName name="ytdusd" localSheetId="1">#REF!</definedName>
    <definedName name="ytdusd" localSheetId="3">#REF!</definedName>
    <definedName name="ytdusd" localSheetId="5">#REF!</definedName>
    <definedName name="ytdusd" localSheetId="6">#REF!</definedName>
    <definedName name="ytdusd">#REF!</definedName>
    <definedName name="yui" localSheetId="2">#REF!</definedName>
    <definedName name="yui" localSheetId="1">#REF!</definedName>
    <definedName name="yui" localSheetId="3">#REF!</definedName>
    <definedName name="yui" localSheetId="5">#REF!</definedName>
    <definedName name="yui" localSheetId="6">#REF!</definedName>
    <definedName name="yui">#REF!</definedName>
    <definedName name="Z_0185ADC1_3830_11D3_88E4_00104B2D4E50_.wvu.FilterData" localSheetId="2" hidden="1">#REF!</definedName>
    <definedName name="Z_0185ADC1_3830_11D3_88E4_00104B2D4E50_.wvu.FilterData" localSheetId="1" hidden="1">#REF!</definedName>
    <definedName name="Z_0185ADC1_3830_11D3_88E4_00104B2D4E50_.wvu.FilterData" localSheetId="3" hidden="1">#REF!</definedName>
    <definedName name="Z_0185ADC1_3830_11D3_88E4_00104B2D4E50_.wvu.FilterData" localSheetId="5" hidden="1">#REF!</definedName>
    <definedName name="Z_0185ADC1_3830_11D3_88E4_00104B2D4E50_.wvu.FilterData" localSheetId="6" hidden="1">#REF!</definedName>
    <definedName name="Z_0185ADC1_3830_11D3_88E4_00104B2D4E50_.wvu.FilterData" hidden="1">#REF!</definedName>
    <definedName name="Z_0185ADC2_3830_11D3_88E4_00104B2D4E50_.wvu.FilterData" localSheetId="2" hidden="1">#REF!</definedName>
    <definedName name="Z_0185ADC2_3830_11D3_88E4_00104B2D4E50_.wvu.FilterData" localSheetId="1" hidden="1">#REF!</definedName>
    <definedName name="Z_0185ADC2_3830_11D3_88E4_00104B2D4E50_.wvu.FilterData" localSheetId="3" hidden="1">#REF!</definedName>
    <definedName name="Z_0185ADC2_3830_11D3_88E4_00104B2D4E50_.wvu.FilterData" localSheetId="5" hidden="1">#REF!</definedName>
    <definedName name="Z_0185ADC2_3830_11D3_88E4_00104B2D4E50_.wvu.FilterData" localSheetId="6" hidden="1">#REF!</definedName>
    <definedName name="Z_0185ADC2_3830_11D3_88E4_00104B2D4E50_.wvu.FilterData" hidden="1">#REF!</definedName>
    <definedName name="Z_020243C4_4FC9_11D3_88E5_00104B2D4E50_.wvu.FilterData" localSheetId="2" hidden="1">#REF!</definedName>
    <definedName name="Z_020243C4_4FC9_11D3_88E5_00104B2D4E50_.wvu.FilterData" localSheetId="1" hidden="1">#REF!</definedName>
    <definedName name="Z_020243C4_4FC9_11D3_88E5_00104B2D4E50_.wvu.FilterData" localSheetId="3" hidden="1">#REF!</definedName>
    <definedName name="Z_020243C4_4FC9_11D3_88E5_00104B2D4E50_.wvu.FilterData" localSheetId="5" hidden="1">#REF!</definedName>
    <definedName name="Z_020243C4_4FC9_11D3_88E5_00104B2D4E50_.wvu.FilterData" localSheetId="6" hidden="1">#REF!</definedName>
    <definedName name="Z_020243C4_4FC9_11D3_88E5_00104B2D4E50_.wvu.FilterData" hidden="1">#REF!</definedName>
    <definedName name="Z_020243C5_4FC9_11D3_88E5_00104B2D4E50_.wvu.FilterData" localSheetId="2" hidden="1">#REF!</definedName>
    <definedName name="Z_020243C5_4FC9_11D3_88E5_00104B2D4E50_.wvu.FilterData" localSheetId="1" hidden="1">#REF!</definedName>
    <definedName name="Z_020243C5_4FC9_11D3_88E5_00104B2D4E50_.wvu.FilterData" localSheetId="3" hidden="1">#REF!</definedName>
    <definedName name="Z_020243C5_4FC9_11D3_88E5_00104B2D4E50_.wvu.FilterData" localSheetId="5" hidden="1">#REF!</definedName>
    <definedName name="Z_020243C5_4FC9_11D3_88E5_00104B2D4E50_.wvu.FilterData" localSheetId="6" hidden="1">#REF!</definedName>
    <definedName name="Z_020243C5_4FC9_11D3_88E5_00104B2D4E50_.wvu.FilterData" hidden="1">#REF!</definedName>
    <definedName name="Z_020243D6_4FC9_11D3_88E5_00104B2D4E50_.wvu.FilterData" localSheetId="2" hidden="1">#REF!</definedName>
    <definedName name="Z_020243D6_4FC9_11D3_88E5_00104B2D4E50_.wvu.FilterData" localSheetId="1" hidden="1">#REF!</definedName>
    <definedName name="Z_020243D6_4FC9_11D3_88E5_00104B2D4E50_.wvu.FilterData" localSheetId="3" hidden="1">#REF!</definedName>
    <definedName name="Z_020243D6_4FC9_11D3_88E5_00104B2D4E50_.wvu.FilterData" localSheetId="5" hidden="1">#REF!</definedName>
    <definedName name="Z_020243D6_4FC9_11D3_88E5_00104B2D4E50_.wvu.FilterData" localSheetId="6" hidden="1">#REF!</definedName>
    <definedName name="Z_020243D6_4FC9_11D3_88E5_00104B2D4E50_.wvu.FilterData" hidden="1">#REF!</definedName>
    <definedName name="Z_020243D9_4FC9_11D3_88E5_00104B2D4E50_.wvu.FilterData" localSheetId="2" hidden="1">#REF!</definedName>
    <definedName name="Z_020243D9_4FC9_11D3_88E5_00104B2D4E50_.wvu.FilterData" localSheetId="1" hidden="1">#REF!</definedName>
    <definedName name="Z_020243D9_4FC9_11D3_88E5_00104B2D4E50_.wvu.FilterData" localSheetId="3" hidden="1">#REF!</definedName>
    <definedName name="Z_020243D9_4FC9_11D3_88E5_00104B2D4E50_.wvu.FilterData" localSheetId="5" hidden="1">#REF!</definedName>
    <definedName name="Z_020243D9_4FC9_11D3_88E5_00104B2D4E50_.wvu.FilterData" localSheetId="6" hidden="1">#REF!</definedName>
    <definedName name="Z_020243D9_4FC9_11D3_88E5_00104B2D4E50_.wvu.FilterData" hidden="1">#REF!</definedName>
    <definedName name="Z_18E867C2_363F_11D3_B384_00104B203064_.wvu.Cols" localSheetId="2" hidden="1">#REF!</definedName>
    <definedName name="Z_18E867C2_363F_11D3_B384_00104B203064_.wvu.Cols" localSheetId="1" hidden="1">#REF!</definedName>
    <definedName name="Z_18E867C2_363F_11D3_B384_00104B203064_.wvu.Cols" localSheetId="3" hidden="1">#REF!</definedName>
    <definedName name="Z_18E867C2_363F_11D3_B384_00104B203064_.wvu.Cols" localSheetId="5" hidden="1">#REF!</definedName>
    <definedName name="Z_18E867C2_363F_11D3_B384_00104B203064_.wvu.Cols" localSheetId="6" hidden="1">#REF!</definedName>
    <definedName name="Z_18E867C2_363F_11D3_B384_00104B203064_.wvu.Cols" hidden="1">#REF!</definedName>
    <definedName name="Z_18E867C2_363F_11D3_B384_00104B203064_.wvu.FilterData" localSheetId="2" hidden="1">#REF!</definedName>
    <definedName name="Z_18E867C2_363F_11D3_B384_00104B203064_.wvu.FilterData" localSheetId="1" hidden="1">#REF!</definedName>
    <definedName name="Z_18E867C2_363F_11D3_B384_00104B203064_.wvu.FilterData" localSheetId="3" hidden="1">#REF!</definedName>
    <definedName name="Z_18E867C2_363F_11D3_B384_00104B203064_.wvu.FilterData" localSheetId="5" hidden="1">#REF!</definedName>
    <definedName name="Z_18E867C2_363F_11D3_B384_00104B203064_.wvu.FilterData" localSheetId="6" hidden="1">#REF!</definedName>
    <definedName name="Z_18E867C2_363F_11D3_B384_00104B203064_.wvu.FilterData" hidden="1">#REF!</definedName>
    <definedName name="Z_18E867C6_363F_11D3_B384_00104B203064_.wvu.FilterData" localSheetId="2" hidden="1">#REF!</definedName>
    <definedName name="Z_18E867C6_363F_11D3_B384_00104B203064_.wvu.FilterData" localSheetId="1" hidden="1">#REF!</definedName>
    <definedName name="Z_18E867C6_363F_11D3_B384_00104B203064_.wvu.FilterData" localSheetId="3" hidden="1">#REF!</definedName>
    <definedName name="Z_18E867C6_363F_11D3_B384_00104B203064_.wvu.FilterData" localSheetId="5" hidden="1">#REF!</definedName>
    <definedName name="Z_18E867C6_363F_11D3_B384_00104B203064_.wvu.FilterData" localSheetId="6" hidden="1">#REF!</definedName>
    <definedName name="Z_18E867C6_363F_11D3_B384_00104B203064_.wvu.FilterData" hidden="1">#REF!</definedName>
    <definedName name="Z_2529F30F_675A_11D3_88E6_00104B2D4E50_.wvu.FilterData" localSheetId="2" hidden="1">#REF!</definedName>
    <definedName name="Z_2529F30F_675A_11D3_88E6_00104B2D4E50_.wvu.FilterData" localSheetId="1" hidden="1">#REF!</definedName>
    <definedName name="Z_2529F30F_675A_11D3_88E6_00104B2D4E50_.wvu.FilterData" localSheetId="3" hidden="1">#REF!</definedName>
    <definedName name="Z_2529F30F_675A_11D3_88E6_00104B2D4E50_.wvu.FilterData" localSheetId="5" hidden="1">#REF!</definedName>
    <definedName name="Z_2529F30F_675A_11D3_88E6_00104B2D4E50_.wvu.FilterData" localSheetId="6" hidden="1">#REF!</definedName>
    <definedName name="Z_2529F30F_675A_11D3_88E6_00104B2D4E50_.wvu.FilterData" hidden="1">#REF!</definedName>
    <definedName name="Z_37C90060_2018_11D3_9FEA_008048EE1BB3_.wvu.Cols" localSheetId="2" hidden="1">#REF!</definedName>
    <definedName name="Z_37C90060_2018_11D3_9FEA_008048EE1BB3_.wvu.Cols" localSheetId="1" hidden="1">#REF!</definedName>
    <definedName name="Z_37C90060_2018_11D3_9FEA_008048EE1BB3_.wvu.Cols" localSheetId="3" hidden="1">#REF!</definedName>
    <definedName name="Z_37C90060_2018_11D3_9FEA_008048EE1BB3_.wvu.Cols" localSheetId="5" hidden="1">#REF!</definedName>
    <definedName name="Z_37C90060_2018_11D3_9FEA_008048EE1BB3_.wvu.Cols" localSheetId="6" hidden="1">#REF!</definedName>
    <definedName name="Z_37C90060_2018_11D3_9FEA_008048EE1BB3_.wvu.Cols" hidden="1">#REF!</definedName>
    <definedName name="Z_37C90060_2018_11D3_9FEA_008048EE1BB3_.wvu.FilterData" localSheetId="2" hidden="1">#REF!</definedName>
    <definedName name="Z_37C90060_2018_11D3_9FEA_008048EE1BB3_.wvu.FilterData" localSheetId="1" hidden="1">#REF!</definedName>
    <definedName name="Z_37C90060_2018_11D3_9FEA_008048EE1BB3_.wvu.FilterData" localSheetId="3" hidden="1">#REF!</definedName>
    <definedName name="Z_37C90060_2018_11D3_9FEA_008048EE1BB3_.wvu.FilterData" localSheetId="5" hidden="1">#REF!</definedName>
    <definedName name="Z_37C90060_2018_11D3_9FEA_008048EE1BB3_.wvu.FilterData" localSheetId="6" hidden="1">#REF!</definedName>
    <definedName name="Z_37C90060_2018_11D3_9FEA_008048EE1BB3_.wvu.FilterData" hidden="1">#REF!</definedName>
    <definedName name="Z_37C90061_2018_11D3_9FEA_008048EE1BB3_.wvu.FilterData" localSheetId="2" hidden="1">#REF!</definedName>
    <definedName name="Z_37C90061_2018_11D3_9FEA_008048EE1BB3_.wvu.FilterData" localSheetId="1" hidden="1">#REF!</definedName>
    <definedName name="Z_37C90061_2018_11D3_9FEA_008048EE1BB3_.wvu.FilterData" localSheetId="3" hidden="1">#REF!</definedName>
    <definedName name="Z_37C90061_2018_11D3_9FEA_008048EE1BB3_.wvu.FilterData" localSheetId="5" hidden="1">#REF!</definedName>
    <definedName name="Z_37C90061_2018_11D3_9FEA_008048EE1BB3_.wvu.FilterData" localSheetId="6" hidden="1">#REF!</definedName>
    <definedName name="Z_37C90061_2018_11D3_9FEA_008048EE1BB3_.wvu.FilterData" hidden="1">#REF!</definedName>
    <definedName name="Z_37C90063_2018_11D3_9FEA_008048EE1BB3_.wvu.FilterData" localSheetId="2" hidden="1">#REF!</definedName>
    <definedName name="Z_37C90063_2018_11D3_9FEA_008048EE1BB3_.wvu.FilterData" localSheetId="1" hidden="1">#REF!</definedName>
    <definedName name="Z_37C90063_2018_11D3_9FEA_008048EE1BB3_.wvu.FilterData" localSheetId="3" hidden="1">#REF!</definedName>
    <definedName name="Z_37C90063_2018_11D3_9FEA_008048EE1BB3_.wvu.FilterData" localSheetId="5" hidden="1">#REF!</definedName>
    <definedName name="Z_37C90063_2018_11D3_9FEA_008048EE1BB3_.wvu.FilterData" localSheetId="6" hidden="1">#REF!</definedName>
    <definedName name="Z_37C90063_2018_11D3_9FEA_008048EE1BB3_.wvu.FilterData" hidden="1">#REF!</definedName>
    <definedName name="Z_42177D60_3622_11D3_B2D2_008048EE2662_.wvu.FilterData" localSheetId="2" hidden="1">#REF!</definedName>
    <definedName name="Z_42177D60_3622_11D3_B2D2_008048EE2662_.wvu.FilterData" localSheetId="1" hidden="1">#REF!</definedName>
    <definedName name="Z_42177D60_3622_11D3_B2D2_008048EE2662_.wvu.FilterData" localSheetId="3" hidden="1">#REF!</definedName>
    <definedName name="Z_42177D60_3622_11D3_B2D2_008048EE2662_.wvu.FilterData" localSheetId="5" hidden="1">#REF!</definedName>
    <definedName name="Z_42177D60_3622_11D3_B2D2_008048EE2662_.wvu.FilterData" localSheetId="6" hidden="1">#REF!</definedName>
    <definedName name="Z_42177D60_3622_11D3_B2D2_008048EE2662_.wvu.FilterData" hidden="1">#REF!</definedName>
    <definedName name="Z_87846904_F246_11D2_88E4_00104B2D4E50_.wvu.PrintTitles" localSheetId="2">#REF!,#REF!</definedName>
    <definedName name="Z_87846904_F246_11D2_88E4_00104B2D4E50_.wvu.PrintTitles" localSheetId="1">#REF!,#REF!</definedName>
    <definedName name="Z_87846904_F246_11D2_88E4_00104B2D4E50_.wvu.PrintTitles" localSheetId="3">#REF!,#REF!</definedName>
    <definedName name="Z_87846904_F246_11D2_88E4_00104B2D4E50_.wvu.PrintTitles" localSheetId="5">#REF!,#REF!</definedName>
    <definedName name="Z_87846904_F246_11D2_88E4_00104B2D4E50_.wvu.PrintTitles" localSheetId="6">#REF!,#REF!</definedName>
    <definedName name="Z_87846904_F246_11D2_88E4_00104B2D4E50_.wvu.PrintTitles">#REF!,#REF!</definedName>
    <definedName name="Z_9C36B7A0_8E17_11D3_B2D2_008048EE2662_.wvu.Rows" localSheetId="2">#REF!,#REF!,#REF!</definedName>
    <definedName name="Z_9C36B7A0_8E17_11D3_B2D2_008048EE2662_.wvu.Rows" localSheetId="1">#REF!,#REF!,#REF!</definedName>
    <definedName name="Z_9C36B7A0_8E17_11D3_B2D2_008048EE2662_.wvu.Rows" localSheetId="3">#REF!,#REF!,#REF!</definedName>
    <definedName name="Z_9C36B7A0_8E17_11D3_B2D2_008048EE2662_.wvu.Rows" localSheetId="5">#REF!,#REF!,#REF!</definedName>
    <definedName name="Z_9C36B7A0_8E17_11D3_B2D2_008048EE2662_.wvu.Rows" localSheetId="6">#REF!,#REF!,#REF!</definedName>
    <definedName name="Z_9C36B7A0_8E17_11D3_B2D2_008048EE2662_.wvu.Rows">#REF!,#REF!,#REF!</definedName>
    <definedName name="Z_AF67EA27_37A9_11D3_88E4_00104B2D4E50_.wvu.FilterData" localSheetId="2" hidden="1">#REF!</definedName>
    <definedName name="Z_AF67EA27_37A9_11D3_88E4_00104B2D4E50_.wvu.FilterData" localSheetId="1" hidden="1">#REF!</definedName>
    <definedName name="Z_AF67EA27_37A9_11D3_88E4_00104B2D4E50_.wvu.FilterData" localSheetId="3" hidden="1">#REF!</definedName>
    <definedName name="Z_AF67EA27_37A9_11D3_88E4_00104B2D4E50_.wvu.FilterData" localSheetId="5" hidden="1">#REF!</definedName>
    <definedName name="Z_AF67EA27_37A9_11D3_88E4_00104B2D4E50_.wvu.FilterData" localSheetId="6" hidden="1">#REF!</definedName>
    <definedName name="Z_AF67EA27_37A9_11D3_88E4_00104B2D4E50_.wvu.FilterData" hidden="1">#REF!</definedName>
    <definedName name="Z_CC26C000_67A6_11D3_B801_444553540000_.wvu.FilterData" localSheetId="2" hidden="1">#REF!</definedName>
    <definedName name="Z_CC26C000_67A6_11D3_B801_444553540000_.wvu.FilterData" localSheetId="1" hidden="1">#REF!</definedName>
    <definedName name="Z_CC26C000_67A6_11D3_B801_444553540000_.wvu.FilterData" localSheetId="3" hidden="1">#REF!</definedName>
    <definedName name="Z_CC26C000_67A6_11D3_B801_444553540000_.wvu.FilterData" localSheetId="5" hidden="1">#REF!</definedName>
    <definedName name="Z_CC26C000_67A6_11D3_B801_444553540000_.wvu.FilterData" localSheetId="6" hidden="1">#REF!</definedName>
    <definedName name="Z_CC26C000_67A6_11D3_B801_444553540000_.wvu.FilterData" hidden="1">#REF!</definedName>
    <definedName name="Z_D840F8B1_668B_11D3_88E6_00104B2D4E50_.wvu.FilterData" localSheetId="2" hidden="1">#REF!</definedName>
    <definedName name="Z_D840F8B1_668B_11D3_88E6_00104B2D4E50_.wvu.FilterData" localSheetId="1" hidden="1">#REF!</definedName>
    <definedName name="Z_D840F8B1_668B_11D3_88E6_00104B2D4E50_.wvu.FilterData" localSheetId="3" hidden="1">#REF!</definedName>
    <definedName name="Z_D840F8B1_668B_11D3_88E6_00104B2D4E50_.wvu.FilterData" localSheetId="5" hidden="1">#REF!</definedName>
    <definedName name="Z_D840F8B1_668B_11D3_88E6_00104B2D4E50_.wvu.FilterData" localSheetId="6" hidden="1">#REF!</definedName>
    <definedName name="Z_D840F8B1_668B_11D3_88E6_00104B2D4E50_.wvu.FilterData" hidden="1">#REF!</definedName>
    <definedName name="Z_F0339D6F_2232_11D3_88E4_00104B2D4E50_.wvu.FilterData" localSheetId="2" hidden="1">#REF!</definedName>
    <definedName name="Z_F0339D6F_2232_11D3_88E4_00104B2D4E50_.wvu.FilterData" localSheetId="1" hidden="1">#REF!</definedName>
    <definedName name="Z_F0339D6F_2232_11D3_88E4_00104B2D4E50_.wvu.FilterData" localSheetId="3" hidden="1">#REF!</definedName>
    <definedName name="Z_F0339D6F_2232_11D3_88E4_00104B2D4E50_.wvu.FilterData" localSheetId="5" hidden="1">#REF!</definedName>
    <definedName name="Z_F0339D6F_2232_11D3_88E4_00104B2D4E50_.wvu.FilterData" localSheetId="6" hidden="1">#REF!</definedName>
    <definedName name="Z_F0339D6F_2232_11D3_88E4_00104B2D4E50_.wvu.FilterData" hidden="1">#REF!</definedName>
    <definedName name="zz" localSheetId="2">#REF!</definedName>
    <definedName name="zz" localSheetId="1">#REF!</definedName>
    <definedName name="zz" localSheetId="3">#REF!</definedName>
    <definedName name="zz" localSheetId="5">#REF!</definedName>
    <definedName name="zz" localSheetId="6">#REF!</definedName>
    <definedName name="zz">#REF!</definedName>
    <definedName name="ZZZZZ" localSheetId="2">#REF!</definedName>
    <definedName name="ZZZZZ" localSheetId="1">#REF!</definedName>
    <definedName name="ZZZZZ" localSheetId="3">#REF!</definedName>
    <definedName name="ZZZZZ" localSheetId="5">#REF!</definedName>
    <definedName name="ZZZZZ" localSheetId="6">#REF!</definedName>
    <definedName name="ZZZZZ">#REF!</definedName>
  </definedNames>
  <calcPr calcId="191029"/>
  <pivotCaches>
    <pivotCache cacheId="27" r:id="rId9"/>
    <pivotCache cacheId="2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V6" i="7" l="1"/>
  <c r="W6" i="7"/>
  <c r="Y6" i="7"/>
  <c r="V7" i="7"/>
  <c r="W7" i="7"/>
  <c r="Y7" i="7"/>
  <c r="V8" i="7"/>
  <c r="W8" i="7"/>
  <c r="Y8" i="7"/>
  <c r="V9" i="7"/>
  <c r="W9" i="7"/>
  <c r="Y9" i="7"/>
  <c r="V10" i="7"/>
  <c r="W10" i="7"/>
  <c r="Y10" i="7"/>
  <c r="V11" i="7"/>
  <c r="W11" i="7"/>
  <c r="Y11" i="7"/>
  <c r="V12" i="7"/>
  <c r="W12" i="7"/>
  <c r="Y12" i="7"/>
  <c r="V13" i="7"/>
  <c r="W13" i="7"/>
  <c r="Y13" i="7"/>
  <c r="V14" i="7"/>
  <c r="W14" i="7"/>
  <c r="Y14" i="7"/>
  <c r="V15" i="7"/>
  <c r="W15" i="7"/>
  <c r="Y15" i="7"/>
  <c r="V16" i="7"/>
  <c r="W16" i="7"/>
  <c r="Y16" i="7"/>
  <c r="V17" i="7"/>
  <c r="W17" i="7"/>
  <c r="Y17" i="7"/>
  <c r="V18" i="7"/>
  <c r="W18" i="7"/>
  <c r="Y18" i="7"/>
  <c r="V19" i="7"/>
  <c r="W19" i="7"/>
  <c r="Y19" i="7"/>
  <c r="V20" i="7"/>
  <c r="W20" i="7"/>
  <c r="Y20" i="7"/>
  <c r="V21" i="7"/>
  <c r="W21" i="7"/>
  <c r="Y21" i="7"/>
  <c r="V22" i="7"/>
  <c r="W22" i="7"/>
  <c r="Y22" i="7"/>
  <c r="V23" i="7"/>
  <c r="W23" i="7" s="1"/>
  <c r="Y23" i="7"/>
  <c r="V24" i="7"/>
  <c r="W24" i="7"/>
  <c r="Y24" i="7"/>
  <c r="V25" i="7"/>
  <c r="W25" i="7"/>
  <c r="Y25" i="7"/>
  <c r="V26" i="7"/>
  <c r="W26" i="7"/>
  <c r="Y26" i="7"/>
  <c r="V27" i="7"/>
  <c r="W27" i="7"/>
  <c r="Y27" i="7"/>
  <c r="V28" i="7"/>
  <c r="W28" i="7"/>
  <c r="Y28" i="7"/>
  <c r="V29" i="7"/>
  <c r="W29" i="7"/>
  <c r="Y29" i="7"/>
  <c r="V30" i="7"/>
  <c r="W30" i="7"/>
  <c r="Y30" i="7"/>
  <c r="V31" i="7"/>
  <c r="W31" i="7"/>
  <c r="Y31" i="7"/>
  <c r="V32" i="7"/>
  <c r="W32" i="7"/>
  <c r="Y32" i="7"/>
  <c r="V33" i="7"/>
  <c r="W33" i="7"/>
  <c r="Y33" i="7"/>
  <c r="V34" i="7"/>
  <c r="W34" i="7"/>
  <c r="Y34" i="7"/>
  <c r="V35" i="7"/>
  <c r="W35" i="7" s="1"/>
  <c r="Y35" i="7"/>
  <c r="V36" i="7"/>
  <c r="W36" i="7"/>
  <c r="Y36" i="7"/>
  <c r="V37" i="7"/>
  <c r="W37" i="7"/>
  <c r="Y37" i="7"/>
  <c r="V38" i="7"/>
  <c r="W38" i="7"/>
  <c r="Y38" i="7"/>
  <c r="V39" i="7"/>
  <c r="W39" i="7"/>
  <c r="Y39" i="7"/>
  <c r="V40" i="7"/>
  <c r="W40" i="7"/>
  <c r="Y40" i="7"/>
  <c r="V41" i="7"/>
  <c r="W41" i="7"/>
  <c r="Y41" i="7"/>
  <c r="V42" i="7"/>
  <c r="W42" i="7"/>
  <c r="Y42" i="7"/>
  <c r="V43" i="7"/>
  <c r="W43" i="7" s="1"/>
  <c r="Y43" i="7"/>
  <c r="V44" i="7"/>
  <c r="W44" i="7"/>
  <c r="Y44" i="7"/>
  <c r="V45" i="7"/>
  <c r="W45" i="7"/>
  <c r="Y45" i="7"/>
  <c r="V46" i="7"/>
  <c r="W46" i="7"/>
  <c r="Y46" i="7"/>
  <c r="V47" i="7"/>
  <c r="W47" i="7"/>
  <c r="Y47" i="7"/>
  <c r="V48" i="7"/>
  <c r="W48" i="7"/>
  <c r="Y48" i="7"/>
  <c r="V49" i="7"/>
  <c r="W49" i="7"/>
  <c r="Y49" i="7"/>
  <c r="V50" i="7"/>
  <c r="W50" i="7"/>
  <c r="Y50" i="7"/>
  <c r="V51" i="7"/>
  <c r="W51" i="7"/>
  <c r="Y51" i="7"/>
  <c r="V52" i="7"/>
  <c r="W52" i="7"/>
  <c r="Y52" i="7"/>
  <c r="V53" i="7"/>
  <c r="W53" i="7"/>
  <c r="Y53" i="7"/>
  <c r="V54" i="7"/>
  <c r="W54" i="7"/>
  <c r="Y54" i="7"/>
  <c r="V55" i="7"/>
  <c r="W55" i="7" s="1"/>
  <c r="Y55" i="7"/>
  <c r="V56" i="7"/>
  <c r="W56" i="7"/>
  <c r="Y56" i="7"/>
  <c r="V57" i="7"/>
  <c r="W57" i="7" s="1"/>
  <c r="Y57" i="7"/>
  <c r="V58" i="7"/>
  <c r="W58" i="7" s="1"/>
  <c r="Y58" i="7"/>
  <c r="V59" i="7"/>
  <c r="W59" i="7" s="1"/>
  <c r="Y59" i="7"/>
  <c r="V60" i="7"/>
  <c r="W60" i="7" s="1"/>
  <c r="Y60" i="7"/>
  <c r="V61" i="7"/>
  <c r="W61" i="7" s="1"/>
  <c r="Y61" i="7"/>
  <c r="V62" i="7"/>
  <c r="W62" i="7" s="1"/>
  <c r="Y62" i="7"/>
  <c r="V63" i="7"/>
  <c r="W63" i="7" s="1"/>
  <c r="Y63" i="7"/>
  <c r="V64" i="7"/>
  <c r="W64" i="7" s="1"/>
  <c r="Y64" i="7"/>
  <c r="V65" i="7"/>
  <c r="W65" i="7" s="1"/>
  <c r="Y65" i="7"/>
  <c r="V66" i="7"/>
  <c r="W66" i="7" s="1"/>
  <c r="Y66" i="7"/>
  <c r="V67" i="7"/>
  <c r="W67" i="7" s="1"/>
  <c r="Y67" i="7"/>
  <c r="V68" i="7"/>
  <c r="W68" i="7" s="1"/>
  <c r="Y68" i="7"/>
  <c r="V69" i="7"/>
  <c r="W69" i="7"/>
  <c r="Y69" i="7"/>
  <c r="V70" i="7"/>
  <c r="W70" i="7"/>
  <c r="Y70" i="7"/>
  <c r="V71" i="7"/>
  <c r="W71" i="7"/>
  <c r="Y71" i="7"/>
  <c r="V72" i="7"/>
  <c r="W72" i="7"/>
  <c r="Y72" i="7"/>
  <c r="V73" i="7"/>
  <c r="W73" i="7" s="1"/>
  <c r="Y73" i="7"/>
  <c r="V74" i="7"/>
  <c r="W74" i="7"/>
  <c r="Y74" i="7"/>
  <c r="V75" i="7"/>
  <c r="W75" i="7"/>
  <c r="Y75" i="7"/>
  <c r="V76" i="7"/>
  <c r="W76" i="7"/>
  <c r="Y76" i="7"/>
  <c r="V77" i="7"/>
  <c r="W77" i="7"/>
  <c r="Y77" i="7"/>
  <c r="V78" i="7"/>
  <c r="W78" i="7"/>
  <c r="Y78" i="7"/>
  <c r="V79" i="7"/>
  <c r="W79" i="7"/>
  <c r="Y79" i="7"/>
  <c r="V80" i="7"/>
  <c r="W80" i="7"/>
  <c r="Y80" i="7"/>
  <c r="V81" i="7"/>
  <c r="W81" i="7" s="1"/>
  <c r="Y81" i="7"/>
  <c r="V82" i="7"/>
  <c r="W82" i="7" s="1"/>
  <c r="Y82" i="7"/>
  <c r="V83" i="7"/>
  <c r="W83" i="7" s="1"/>
  <c r="Y83" i="7"/>
  <c r="V84" i="7"/>
  <c r="W84" i="7" s="1"/>
  <c r="Y84" i="7"/>
  <c r="V85" i="7"/>
  <c r="W85" i="7" s="1"/>
  <c r="Y85" i="7"/>
  <c r="V86" i="7"/>
  <c r="W86" i="7" s="1"/>
  <c r="Y86" i="7"/>
  <c r="V87" i="7"/>
  <c r="W87" i="7" s="1"/>
  <c r="Y87" i="7"/>
  <c r="V88" i="7"/>
  <c r="W88" i="7" s="1"/>
  <c r="Y88" i="7"/>
  <c r="V89" i="7"/>
  <c r="W89" i="7"/>
  <c r="Y89" i="7"/>
  <c r="V90" i="7"/>
  <c r="W90" i="7"/>
  <c r="Y90" i="7"/>
  <c r="V91" i="7"/>
  <c r="W91" i="7" s="1"/>
  <c r="Y91" i="7"/>
  <c r="V92" i="7"/>
  <c r="W92" i="7" s="1"/>
  <c r="Y92" i="7"/>
  <c r="V93" i="7"/>
  <c r="W93" i="7" s="1"/>
  <c r="Y93" i="7"/>
  <c r="V94" i="7"/>
  <c r="W94" i="7" s="1"/>
  <c r="Y94" i="7"/>
  <c r="V95" i="7"/>
  <c r="W95" i="7" s="1"/>
  <c r="Y95" i="7"/>
  <c r="V96" i="7"/>
  <c r="W96" i="7" s="1"/>
  <c r="Y96" i="7"/>
  <c r="Z98" i="7" s="1"/>
  <c r="V97" i="7"/>
  <c r="W97" i="7" s="1"/>
  <c r="Y97" i="7"/>
  <c r="V98" i="7"/>
  <c r="W98" i="7"/>
  <c r="Y98" i="7"/>
  <c r="V99" i="7"/>
  <c r="W99" i="7"/>
  <c r="Y99" i="7"/>
  <c r="V100" i="7"/>
  <c r="W100" i="7"/>
  <c r="Y100" i="7"/>
  <c r="V101" i="7"/>
  <c r="W101" i="7"/>
  <c r="Y101" i="7"/>
  <c r="V102" i="7"/>
  <c r="W102" i="7"/>
  <c r="Y102" i="7"/>
  <c r="V103" i="7"/>
  <c r="W103" i="7"/>
  <c r="Y103" i="7"/>
  <c r="V104" i="7"/>
  <c r="W104" i="7"/>
  <c r="Y104" i="7"/>
  <c r="V105" i="7"/>
  <c r="W105" i="7"/>
  <c r="Y105" i="7"/>
  <c r="V106" i="7"/>
  <c r="W106" i="7"/>
  <c r="Y106" i="7"/>
  <c r="V107" i="7"/>
  <c r="W107" i="7"/>
  <c r="Y107" i="7"/>
  <c r="V108" i="7"/>
  <c r="W108" i="7"/>
  <c r="Y108" i="7"/>
  <c r="V109" i="7"/>
  <c r="W109" i="7"/>
  <c r="Y109" i="7"/>
  <c r="V110" i="7"/>
  <c r="W110" i="7"/>
  <c r="Y110" i="7"/>
  <c r="V111" i="7"/>
  <c r="W111" i="7"/>
  <c r="Y111" i="7"/>
  <c r="V112" i="7"/>
  <c r="W112" i="7"/>
  <c r="Y112" i="7"/>
  <c r="V113" i="7"/>
  <c r="W113" i="7"/>
  <c r="Y113" i="7"/>
  <c r="V114" i="7"/>
  <c r="W114" i="7"/>
  <c r="Y114" i="7"/>
  <c r="V115" i="7"/>
  <c r="W115" i="7"/>
  <c r="Y115" i="7"/>
  <c r="V116" i="7"/>
  <c r="W116" i="7"/>
  <c r="Y116" i="7"/>
  <c r="V117" i="7"/>
  <c r="W117" i="7"/>
  <c r="Y117" i="7"/>
  <c r="V118" i="7"/>
  <c r="W118" i="7"/>
  <c r="Y118" i="7"/>
  <c r="V119" i="7"/>
  <c r="W119" i="7"/>
  <c r="Y119" i="7"/>
  <c r="V120" i="7"/>
  <c r="W120" i="7"/>
  <c r="Y120" i="7"/>
  <c r="V121" i="7"/>
  <c r="W121" i="7"/>
  <c r="Y121" i="7"/>
  <c r="V122" i="7"/>
  <c r="W122" i="7"/>
  <c r="Y122" i="7"/>
  <c r="V123" i="7"/>
  <c r="W123" i="7"/>
  <c r="Y123" i="7"/>
  <c r="V124" i="7"/>
  <c r="W124" i="7"/>
  <c r="Y124" i="7"/>
  <c r="V125" i="7"/>
  <c r="W125" i="7"/>
  <c r="Y125" i="7"/>
  <c r="V126" i="7"/>
  <c r="W126" i="7"/>
  <c r="Y126" i="7"/>
  <c r="V127" i="7"/>
  <c r="W127" i="7"/>
  <c r="Y127" i="7"/>
  <c r="V128" i="7"/>
  <c r="W128" i="7" s="1"/>
  <c r="Y128" i="7"/>
  <c r="V129" i="7"/>
  <c r="W129" i="7" s="1"/>
  <c r="Y129" i="7"/>
  <c r="V130" i="7"/>
  <c r="W130" i="7" s="1"/>
  <c r="Y130" i="7"/>
  <c r="V131" i="7"/>
  <c r="W131" i="7" s="1"/>
  <c r="Y131" i="7"/>
  <c r="V132" i="7"/>
  <c r="W132" i="7" s="1"/>
  <c r="Y132" i="7"/>
  <c r="V133" i="7"/>
  <c r="W133" i="7"/>
  <c r="Y133" i="7"/>
  <c r="V134" i="7"/>
  <c r="W134" i="7"/>
  <c r="Y134" i="7"/>
  <c r="V135" i="7"/>
  <c r="W135" i="7" s="1"/>
  <c r="Y135" i="7"/>
  <c r="V136" i="7"/>
  <c r="W136" i="7" s="1"/>
  <c r="Y136" i="7"/>
  <c r="V137" i="7"/>
  <c r="W137" i="7" s="1"/>
  <c r="Y137" i="7"/>
  <c r="V138" i="7"/>
  <c r="W138" i="7" s="1"/>
  <c r="Y138" i="7"/>
  <c r="V139" i="7"/>
  <c r="W139" i="7" s="1"/>
  <c r="Y139" i="7"/>
  <c r="V140" i="7"/>
  <c r="W140" i="7" s="1"/>
  <c r="Y140" i="7"/>
  <c r="V141" i="7"/>
  <c r="W141" i="7" s="1"/>
  <c r="Y141" i="7"/>
  <c r="V142" i="7"/>
  <c r="W142" i="7" s="1"/>
  <c r="Y142" i="7"/>
  <c r="V143" i="7"/>
  <c r="W143" i="7" s="1"/>
  <c r="Y143" i="7"/>
  <c r="V144" i="7"/>
  <c r="W144" i="7" s="1"/>
  <c r="Y144" i="7"/>
  <c r="V145" i="7"/>
  <c r="W145" i="7"/>
  <c r="Y145" i="7"/>
  <c r="V146" i="7"/>
  <c r="W146" i="7" s="1"/>
  <c r="Y146" i="7"/>
  <c r="V147" i="7"/>
  <c r="W147" i="7"/>
  <c r="Y147" i="7"/>
  <c r="V148" i="7"/>
  <c r="W148" i="7" s="1"/>
  <c r="Y148" i="7"/>
  <c r="V149" i="7"/>
  <c r="W149" i="7" s="1"/>
  <c r="Y149" i="7"/>
  <c r="V150" i="7"/>
  <c r="W150" i="7" s="1"/>
  <c r="Y150" i="7"/>
  <c r="V151" i="7"/>
  <c r="W151" i="7" s="1"/>
  <c r="Y151" i="7"/>
  <c r="V152" i="7"/>
  <c r="W152" i="7"/>
  <c r="Y152" i="7"/>
  <c r="V153" i="7"/>
  <c r="W153" i="7" s="1"/>
  <c r="Y153" i="7"/>
  <c r="V154" i="7"/>
  <c r="W154" i="7" s="1"/>
  <c r="Y154" i="7"/>
  <c r="V155" i="7"/>
  <c r="W155" i="7" s="1"/>
  <c r="Y155" i="7"/>
  <c r="V156" i="7"/>
  <c r="W156" i="7" s="1"/>
  <c r="Y156" i="7"/>
  <c r="V157" i="7"/>
  <c r="W157" i="7" s="1"/>
  <c r="Y157" i="7"/>
  <c r="V158" i="7"/>
  <c r="W158" i="7" s="1"/>
  <c r="Y158" i="7"/>
  <c r="V159" i="7"/>
  <c r="W159" i="7" s="1"/>
  <c r="Y159" i="7"/>
  <c r="V160" i="7"/>
  <c r="W160" i="7" s="1"/>
  <c r="Y160" i="7"/>
  <c r="V161" i="7"/>
  <c r="W161" i="7" s="1"/>
  <c r="Y161" i="7"/>
  <c r="V162" i="7"/>
  <c r="W162" i="7"/>
  <c r="Y162" i="7"/>
  <c r="V163" i="7"/>
  <c r="W163" i="7" s="1"/>
  <c r="Y163" i="7"/>
  <c r="V164" i="7"/>
  <c r="W164" i="7" s="1"/>
  <c r="Y164" i="7"/>
  <c r="V165" i="7"/>
  <c r="W165" i="7"/>
  <c r="Y165" i="7"/>
  <c r="V166" i="7"/>
  <c r="W166" i="7" s="1"/>
  <c r="Y166" i="7"/>
  <c r="V167" i="7"/>
  <c r="W167" i="7" s="1"/>
  <c r="Y167" i="7"/>
  <c r="V168" i="7"/>
  <c r="W168" i="7" s="1"/>
  <c r="Y168" i="7"/>
  <c r="V169" i="7"/>
  <c r="W169" i="7"/>
  <c r="Y169" i="7"/>
  <c r="V170" i="7"/>
  <c r="W170" i="7" s="1"/>
  <c r="Y170" i="7"/>
  <c r="V171" i="7"/>
  <c r="W171" i="7" s="1"/>
  <c r="Y171" i="7"/>
  <c r="V172" i="7"/>
  <c r="W172" i="7"/>
  <c r="Y172" i="7"/>
  <c r="V173" i="7"/>
  <c r="W173" i="7" s="1"/>
  <c r="Y173" i="7"/>
  <c r="V174" i="7"/>
  <c r="W174" i="7" s="1"/>
  <c r="Y174" i="7"/>
  <c r="V175" i="7"/>
  <c r="W175" i="7" s="1"/>
  <c r="Y175" i="7"/>
  <c r="V176" i="7"/>
  <c r="W176" i="7"/>
  <c r="Y176" i="7"/>
  <c r="V177" i="7"/>
  <c r="W177" i="7" s="1"/>
  <c r="Y177" i="7"/>
  <c r="V178" i="7"/>
  <c r="W178" i="7"/>
  <c r="Y178" i="7"/>
  <c r="V179" i="7"/>
  <c r="W179" i="7"/>
  <c r="Y179" i="7"/>
  <c r="V180" i="7"/>
  <c r="W180" i="7" s="1"/>
  <c r="Y180" i="7"/>
  <c r="V181" i="7"/>
  <c r="W181" i="7" s="1"/>
  <c r="Y181" i="7"/>
  <c r="V182" i="7"/>
  <c r="W182" i="7"/>
  <c r="Y182" i="7"/>
  <c r="V183" i="7"/>
  <c r="W183" i="7"/>
  <c r="Y183" i="7"/>
  <c r="V184" i="7"/>
  <c r="W184" i="7" s="1"/>
  <c r="Y184" i="7"/>
  <c r="V185" i="7"/>
  <c r="W185" i="7" s="1"/>
  <c r="Y185" i="7"/>
  <c r="V186" i="7"/>
  <c r="W186" i="7"/>
  <c r="Y186" i="7"/>
  <c r="V187" i="7"/>
  <c r="W187" i="7" s="1"/>
  <c r="Y187" i="7"/>
  <c r="V188" i="7"/>
  <c r="W188" i="7" s="1"/>
  <c r="Y188" i="7"/>
  <c r="V189" i="7"/>
  <c r="W189" i="7"/>
  <c r="Y189" i="7"/>
  <c r="V190" i="7"/>
  <c r="W190" i="7"/>
  <c r="Y190" i="7"/>
  <c r="V191" i="7"/>
  <c r="W191" i="7"/>
  <c r="Y191" i="7"/>
  <c r="V192" i="7"/>
  <c r="W192" i="7"/>
  <c r="Y192" i="7"/>
  <c r="V193" i="7"/>
  <c r="W193" i="7"/>
  <c r="Y193" i="7"/>
  <c r="V194" i="7"/>
  <c r="W194" i="7"/>
  <c r="Y194" i="7"/>
  <c r="V195" i="7"/>
  <c r="W195" i="7"/>
  <c r="Y195" i="7"/>
  <c r="V196" i="7"/>
  <c r="W196" i="7"/>
  <c r="Y196" i="7"/>
  <c r="V197" i="7"/>
  <c r="W197" i="7"/>
  <c r="Y197" i="7"/>
  <c r="V198" i="7"/>
  <c r="W198" i="7"/>
  <c r="Y198" i="7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B2" i="5"/>
  <c r="E43" i="5"/>
  <c r="E50" i="5"/>
  <c r="E51" i="5"/>
  <c r="B70" i="5"/>
  <c r="C70" i="5"/>
  <c r="D70" i="5"/>
  <c r="E70" i="5"/>
  <c r="F70" i="5"/>
  <c r="C72" i="5"/>
  <c r="C73" i="5"/>
  <c r="E73" i="5" s="1"/>
  <c r="C74" i="5"/>
  <c r="E74" i="5" s="1"/>
  <c r="D74" i="5"/>
  <c r="C75" i="5"/>
  <c r="E75" i="5" s="1"/>
  <c r="D75" i="5"/>
  <c r="D77" i="5" s="1"/>
  <c r="D6" i="5" s="1"/>
  <c r="D7" i="5" s="1"/>
  <c r="C76" i="5"/>
  <c r="E76" i="5" s="1"/>
  <c r="C81" i="5"/>
  <c r="E81" i="5" s="1"/>
  <c r="D81" i="5"/>
  <c r="D86" i="5" s="1"/>
  <c r="C82" i="5"/>
  <c r="D82" i="5"/>
  <c r="C83" i="5"/>
  <c r="E83" i="5" s="1"/>
  <c r="D83" i="5"/>
  <c r="C84" i="5"/>
  <c r="E84" i="5" s="1"/>
  <c r="D84" i="5"/>
  <c r="C85" i="5"/>
  <c r="E85" i="5" s="1"/>
  <c r="D85" i="5"/>
  <c r="C89" i="5"/>
  <c r="E89" i="5" s="1"/>
  <c r="D89" i="5"/>
  <c r="C90" i="5"/>
  <c r="E90" i="5" s="1"/>
  <c r="D90" i="5"/>
  <c r="C91" i="5"/>
  <c r="E91" i="5" s="1"/>
  <c r="D91" i="5"/>
  <c r="C92" i="5"/>
  <c r="E92" i="5" s="1"/>
  <c r="D92" i="5"/>
  <c r="C93" i="5"/>
  <c r="E93" i="5" s="1"/>
  <c r="D93" i="5"/>
  <c r="C94" i="5"/>
  <c r="E94" i="5" s="1"/>
  <c r="D94" i="5"/>
  <c r="C95" i="5"/>
  <c r="D95" i="5"/>
  <c r="C96" i="5"/>
  <c r="E96" i="5" s="1"/>
  <c r="D96" i="5"/>
  <c r="D97" i="5" s="1"/>
  <c r="C102" i="5"/>
  <c r="E102" i="5" s="1"/>
  <c r="D102" i="5"/>
  <c r="C103" i="5"/>
  <c r="E103" i="5" s="1"/>
  <c r="D103" i="5"/>
  <c r="C104" i="5"/>
  <c r="E104" i="5" s="1"/>
  <c r="D104" i="5"/>
  <c r="C105" i="5"/>
  <c r="E105" i="5" s="1"/>
  <c r="D105" i="5"/>
  <c r="C106" i="5"/>
  <c r="E106" i="5" s="1"/>
  <c r="D106" i="5"/>
  <c r="C107" i="5"/>
  <c r="D107" i="5"/>
  <c r="C108" i="5"/>
  <c r="E108" i="5" s="1"/>
  <c r="D108" i="5"/>
  <c r="C109" i="5"/>
  <c r="E109" i="5" s="1"/>
  <c r="D109" i="5"/>
  <c r="C110" i="5"/>
  <c r="E110" i="5" s="1"/>
  <c r="D110" i="5"/>
  <c r="C111" i="5"/>
  <c r="E111" i="5" s="1"/>
  <c r="D111" i="5"/>
  <c r="D112" i="5" s="1"/>
  <c r="D11" i="5" s="1"/>
  <c r="C116" i="5"/>
  <c r="E116" i="5" s="1"/>
  <c r="D116" i="5"/>
  <c r="C117" i="5"/>
  <c r="E117" i="5" s="1"/>
  <c r="D117" i="5"/>
  <c r="D123" i="5" s="1"/>
  <c r="D12" i="5" s="1"/>
  <c r="C118" i="5"/>
  <c r="E118" i="5" s="1"/>
  <c r="D118" i="5"/>
  <c r="C119" i="5"/>
  <c r="E119" i="5" s="1"/>
  <c r="D119" i="5"/>
  <c r="C120" i="5"/>
  <c r="E120" i="5" s="1"/>
  <c r="D120" i="5"/>
  <c r="C121" i="5"/>
  <c r="D121" i="5"/>
  <c r="C122" i="5"/>
  <c r="E122" i="5" s="1"/>
  <c r="D122" i="5"/>
  <c r="C126" i="5"/>
  <c r="D126" i="5"/>
  <c r="D127" i="5" s="1"/>
  <c r="D13" i="5" s="1"/>
  <c r="C130" i="5"/>
  <c r="E130" i="5" s="1"/>
  <c r="D130" i="5"/>
  <c r="C131" i="5"/>
  <c r="E131" i="5" s="1"/>
  <c r="D131" i="5"/>
  <c r="C132" i="5"/>
  <c r="E132" i="5" s="1"/>
  <c r="D132" i="5"/>
  <c r="C133" i="5"/>
  <c r="E133" i="5" s="1"/>
  <c r="D133" i="5"/>
  <c r="C134" i="5"/>
  <c r="E134" i="5" s="1"/>
  <c r="D134" i="5"/>
  <c r="C135" i="5"/>
  <c r="E135" i="5" s="1"/>
  <c r="D135" i="5"/>
  <c r="C136" i="5"/>
  <c r="E136" i="5" s="1"/>
  <c r="D136" i="5"/>
  <c r="C137" i="5"/>
  <c r="D137" i="5"/>
  <c r="E137" i="5" s="1"/>
  <c r="C138" i="5"/>
  <c r="E138" i="5" s="1"/>
  <c r="D138" i="5"/>
  <c r="C139" i="5"/>
  <c r="E139" i="5" s="1"/>
  <c r="D139" i="5"/>
  <c r="C140" i="5"/>
  <c r="D140" i="5"/>
  <c r="D142" i="5" s="1"/>
  <c r="D14" i="5" s="1"/>
  <c r="C141" i="5"/>
  <c r="E141" i="5" s="1"/>
  <c r="D141" i="5"/>
  <c r="C146" i="5"/>
  <c r="D146" i="5"/>
  <c r="D159" i="5" s="1"/>
  <c r="D21" i="5" s="1"/>
  <c r="C147" i="5"/>
  <c r="E147" i="5" s="1"/>
  <c r="D147" i="5"/>
  <c r="C148" i="5"/>
  <c r="E148" i="5" s="1"/>
  <c r="D148" i="5"/>
  <c r="C149" i="5"/>
  <c r="E149" i="5" s="1"/>
  <c r="D149" i="5"/>
  <c r="C150" i="5"/>
  <c r="E150" i="5" s="1"/>
  <c r="D150" i="5"/>
  <c r="C151" i="5"/>
  <c r="E151" i="5" s="1"/>
  <c r="D151" i="5"/>
  <c r="C152" i="5"/>
  <c r="E152" i="5" s="1"/>
  <c r="D152" i="5"/>
  <c r="C153" i="5"/>
  <c r="E153" i="5" s="1"/>
  <c r="D153" i="5"/>
  <c r="C154" i="5"/>
  <c r="E154" i="5" s="1"/>
  <c r="D154" i="5"/>
  <c r="C155" i="5"/>
  <c r="E155" i="5" s="1"/>
  <c r="D155" i="5"/>
  <c r="C156" i="5"/>
  <c r="E156" i="5" s="1"/>
  <c r="D156" i="5"/>
  <c r="C157" i="5"/>
  <c r="D157" i="5"/>
  <c r="E157" i="5"/>
  <c r="C158" i="5"/>
  <c r="D158" i="5"/>
  <c r="E158" i="5"/>
  <c r="C162" i="5"/>
  <c r="D162" i="5"/>
  <c r="E162" i="5"/>
  <c r="C163" i="5"/>
  <c r="D163" i="5"/>
  <c r="E163" i="5"/>
  <c r="C164" i="5"/>
  <c r="D164" i="5"/>
  <c r="E164" i="5"/>
  <c r="C165" i="5"/>
  <c r="D165" i="5"/>
  <c r="E165" i="5"/>
  <c r="C166" i="5"/>
  <c r="D166" i="5"/>
  <c r="E166" i="5"/>
  <c r="C167" i="5"/>
  <c r="D167" i="5"/>
  <c r="E167" i="5"/>
  <c r="C168" i="5"/>
  <c r="E168" i="5" s="1"/>
  <c r="D168" i="5"/>
  <c r="C169" i="5"/>
  <c r="E169" i="5" s="1"/>
  <c r="D169" i="5"/>
  <c r="C170" i="5"/>
  <c r="E170" i="5" s="1"/>
  <c r="D170" i="5"/>
  <c r="C171" i="5"/>
  <c r="E171" i="5" s="1"/>
  <c r="D171" i="5"/>
  <c r="C172" i="5"/>
  <c r="E172" i="5" s="1"/>
  <c r="D172" i="5"/>
  <c r="C173" i="5"/>
  <c r="E173" i="5" s="1"/>
  <c r="D173" i="5"/>
  <c r="C174" i="5"/>
  <c r="D174" i="5"/>
  <c r="E174" i="5" s="1"/>
  <c r="C175" i="5"/>
  <c r="E175" i="5" s="1"/>
  <c r="D175" i="5"/>
  <c r="C176" i="5"/>
  <c r="E176" i="5" s="1"/>
  <c r="D176" i="5"/>
  <c r="C177" i="5"/>
  <c r="E177" i="5" s="1"/>
  <c r="D177" i="5"/>
  <c r="C178" i="5"/>
  <c r="E178" i="5" s="1"/>
  <c r="D178" i="5"/>
  <c r="C179" i="5"/>
  <c r="E179" i="5" s="1"/>
  <c r="D179" i="5"/>
  <c r="C180" i="5"/>
  <c r="E180" i="5" s="1"/>
  <c r="D180" i="5"/>
  <c r="C181" i="5"/>
  <c r="E181" i="5" s="1"/>
  <c r="D181" i="5"/>
  <c r="C182" i="5"/>
  <c r="E182" i="5" s="1"/>
  <c r="D182" i="5"/>
  <c r="D190" i="5" s="1"/>
  <c r="D26" i="5" s="1"/>
  <c r="C183" i="5"/>
  <c r="E183" i="5" s="1"/>
  <c r="D183" i="5"/>
  <c r="C184" i="5"/>
  <c r="E184" i="5" s="1"/>
  <c r="D184" i="5"/>
  <c r="C185" i="5"/>
  <c r="E185" i="5" s="1"/>
  <c r="D185" i="5"/>
  <c r="C186" i="5"/>
  <c r="D186" i="5"/>
  <c r="C187" i="5"/>
  <c r="E187" i="5" s="1"/>
  <c r="D187" i="5"/>
  <c r="C188" i="5"/>
  <c r="D188" i="5"/>
  <c r="E188" i="5" s="1"/>
  <c r="C189" i="5"/>
  <c r="E189" i="5" s="1"/>
  <c r="D189" i="5"/>
  <c r="C193" i="5"/>
  <c r="D193" i="5"/>
  <c r="D198" i="5" s="1"/>
  <c r="D25" i="5" s="1"/>
  <c r="C194" i="5"/>
  <c r="E194" i="5" s="1"/>
  <c r="D194" i="5"/>
  <c r="C195" i="5"/>
  <c r="E195" i="5" s="1"/>
  <c r="D195" i="5"/>
  <c r="C196" i="5"/>
  <c r="E196" i="5" s="1"/>
  <c r="D196" i="5"/>
  <c r="C197" i="5"/>
  <c r="D197" i="5"/>
  <c r="C201" i="5"/>
  <c r="E201" i="5" s="1"/>
  <c r="D201" i="5"/>
  <c r="C202" i="5"/>
  <c r="E202" i="5" s="1"/>
  <c r="D202" i="5"/>
  <c r="D205" i="5" s="1"/>
  <c r="D24" i="5" s="1"/>
  <c r="C203" i="5"/>
  <c r="E203" i="5" s="1"/>
  <c r="D203" i="5"/>
  <c r="C204" i="5"/>
  <c r="D204" i="5"/>
  <c r="C208" i="5"/>
  <c r="E208" i="5" s="1"/>
  <c r="D208" i="5"/>
  <c r="D210" i="5" s="1"/>
  <c r="D23" i="5" s="1"/>
  <c r="C209" i="5"/>
  <c r="D209" i="5"/>
  <c r="C213" i="5"/>
  <c r="E213" i="5" s="1"/>
  <c r="D213" i="5"/>
  <c r="C214" i="5"/>
  <c r="E214" i="5" s="1"/>
  <c r="D214" i="5"/>
  <c r="C215" i="5"/>
  <c r="E215" i="5" s="1"/>
  <c r="D215" i="5"/>
  <c r="C216" i="5"/>
  <c r="E216" i="5" s="1"/>
  <c r="D216" i="5"/>
  <c r="D219" i="5" s="1"/>
  <c r="D34" i="5" s="1"/>
  <c r="C217" i="5"/>
  <c r="D217" i="5"/>
  <c r="C218" i="5"/>
  <c r="E218" i="5" s="1"/>
  <c r="D218" i="5"/>
  <c r="C221" i="5"/>
  <c r="D221" i="5"/>
  <c r="C222" i="5"/>
  <c r="D222" i="5"/>
  <c r="D36" i="5" s="1"/>
  <c r="K8" i="4"/>
  <c r="K16" i="4"/>
  <c r="K23" i="4"/>
  <c r="K32" i="4"/>
  <c r="K43" i="4"/>
  <c r="K44" i="4"/>
  <c r="K45" i="4"/>
  <c r="K46" i="4"/>
  <c r="K47" i="4"/>
  <c r="K48" i="4"/>
  <c r="K49" i="4"/>
  <c r="K50" i="4"/>
  <c r="K51" i="4"/>
  <c r="K52" i="4"/>
  <c r="K53" i="4"/>
  <c r="K66" i="4"/>
  <c r="K70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8" i="3"/>
  <c r="K9" i="3"/>
  <c r="K10" i="3"/>
  <c r="K12" i="3"/>
  <c r="K14" i="3"/>
  <c r="K16" i="3"/>
  <c r="K18" i="3"/>
  <c r="K19" i="3"/>
  <c r="K20" i="3"/>
  <c r="K21" i="3"/>
  <c r="K22" i="3"/>
  <c r="K23" i="3"/>
  <c r="K25" i="3"/>
  <c r="K26" i="3"/>
  <c r="K27" i="3"/>
  <c r="K29" i="3"/>
  <c r="K32" i="3"/>
  <c r="K34" i="3"/>
  <c r="K36" i="3"/>
  <c r="K37" i="3"/>
  <c r="K38" i="3"/>
  <c r="K39" i="3"/>
  <c r="K40" i="3"/>
  <c r="K41" i="3"/>
  <c r="K43" i="3"/>
  <c r="K44" i="3"/>
  <c r="K45" i="3"/>
  <c r="K46" i="3"/>
  <c r="K47" i="3"/>
  <c r="K48" i="3"/>
  <c r="K49" i="3"/>
  <c r="K50" i="3"/>
  <c r="K51" i="3"/>
  <c r="K52" i="3"/>
  <c r="K56" i="3"/>
  <c r="K59" i="3"/>
  <c r="K62" i="3"/>
  <c r="K63" i="3"/>
  <c r="K64" i="3"/>
  <c r="K65" i="3"/>
  <c r="K66" i="3"/>
  <c r="K68" i="3"/>
  <c r="K72" i="3"/>
  <c r="K76" i="3"/>
  <c r="K78" i="3"/>
  <c r="K79" i="3"/>
  <c r="K83" i="3"/>
  <c r="K84" i="3"/>
  <c r="K85" i="3"/>
  <c r="K86" i="3"/>
  <c r="K88" i="3"/>
  <c r="K89" i="3"/>
  <c r="K91" i="3"/>
  <c r="K92" i="3"/>
  <c r="K93" i="3"/>
  <c r="K94" i="3"/>
  <c r="K95" i="3"/>
  <c r="K97" i="3"/>
  <c r="K102" i="3"/>
  <c r="K103" i="3"/>
  <c r="K105" i="3"/>
  <c r="K106" i="3"/>
  <c r="K107" i="3"/>
  <c r="K108" i="3"/>
  <c r="K109" i="3"/>
  <c r="K111" i="3"/>
  <c r="K112" i="3"/>
  <c r="K115" i="3"/>
  <c r="K116" i="3"/>
  <c r="K119" i="3"/>
  <c r="K121" i="3"/>
  <c r="K123" i="3"/>
  <c r="K126" i="3"/>
  <c r="K129" i="3"/>
  <c r="K130" i="3"/>
  <c r="K131" i="3"/>
  <c r="K132" i="3"/>
  <c r="K133" i="3"/>
  <c r="K135" i="3"/>
  <c r="K137" i="3"/>
  <c r="K138" i="3"/>
  <c r="K140" i="3"/>
  <c r="K142" i="3"/>
  <c r="K143" i="3"/>
  <c r="K144" i="3"/>
  <c r="K145" i="3"/>
  <c r="K148" i="3"/>
  <c r="K150" i="3"/>
  <c r="K151" i="3"/>
  <c r="K8" i="2"/>
  <c r="K9" i="2"/>
  <c r="K10" i="2"/>
  <c r="K12" i="2"/>
  <c r="K13" i="2"/>
  <c r="K14" i="2"/>
  <c r="K16" i="2"/>
  <c r="K18" i="2"/>
  <c r="K19" i="2"/>
  <c r="K20" i="2"/>
  <c r="K21" i="2"/>
  <c r="K22" i="2"/>
  <c r="K23" i="2"/>
  <c r="K25" i="2"/>
  <c r="K26" i="2"/>
  <c r="K27" i="2"/>
  <c r="K29" i="2"/>
  <c r="K33" i="2"/>
  <c r="K35" i="2"/>
  <c r="K37" i="2"/>
  <c r="K38" i="2"/>
  <c r="K39" i="2"/>
  <c r="K40" i="2"/>
  <c r="K41" i="2"/>
  <c r="K42" i="2"/>
  <c r="K44" i="2"/>
  <c r="K45" i="2"/>
  <c r="K46" i="2"/>
  <c r="K47" i="2"/>
  <c r="K48" i="2"/>
  <c r="K49" i="2"/>
  <c r="K50" i="2"/>
  <c r="K51" i="2"/>
  <c r="K52" i="2"/>
  <c r="K53" i="2"/>
  <c r="K57" i="2"/>
  <c r="K60" i="2"/>
  <c r="K63" i="2"/>
  <c r="K64" i="2"/>
  <c r="F65" i="2"/>
  <c r="K65" i="2"/>
  <c r="K66" i="2"/>
  <c r="K67" i="2"/>
  <c r="K69" i="2"/>
  <c r="K73" i="2"/>
  <c r="K77" i="2"/>
  <c r="K79" i="2"/>
  <c r="K80" i="2"/>
  <c r="K84" i="2"/>
  <c r="K85" i="2"/>
  <c r="K86" i="2"/>
  <c r="K87" i="2"/>
  <c r="K89" i="2"/>
  <c r="K90" i="2"/>
  <c r="K92" i="2"/>
  <c r="K93" i="2"/>
  <c r="K94" i="2"/>
  <c r="K95" i="2"/>
  <c r="K96" i="2"/>
  <c r="K98" i="2"/>
  <c r="K103" i="2"/>
  <c r="K104" i="2"/>
  <c r="K106" i="2"/>
  <c r="K107" i="2"/>
  <c r="K108" i="2"/>
  <c r="K109" i="2"/>
  <c r="K110" i="2"/>
  <c r="K112" i="2"/>
  <c r="K113" i="2"/>
  <c r="K116" i="2"/>
  <c r="K117" i="2"/>
  <c r="K120" i="2"/>
  <c r="K122" i="2"/>
  <c r="K124" i="2"/>
  <c r="K127" i="2"/>
  <c r="K128" i="2"/>
  <c r="K129" i="2"/>
  <c r="K130" i="2"/>
  <c r="K131" i="2"/>
  <c r="K132" i="2"/>
  <c r="K133" i="2"/>
  <c r="K134" i="2"/>
  <c r="K136" i="2"/>
  <c r="K138" i="2"/>
  <c r="K139" i="2"/>
  <c r="K141" i="2"/>
  <c r="K143" i="2"/>
  <c r="K144" i="2"/>
  <c r="K145" i="2"/>
  <c r="K146" i="2"/>
  <c r="K149" i="2"/>
  <c r="K150" i="2"/>
  <c r="K151" i="2"/>
  <c r="K152" i="2"/>
  <c r="E193" i="5" l="1"/>
  <c r="E72" i="5"/>
  <c r="E77" i="5" s="1"/>
  <c r="E42" i="5"/>
  <c r="C77" i="5"/>
  <c r="C6" i="5" s="1"/>
  <c r="C86" i="5"/>
  <c r="E82" i="5"/>
  <c r="E86" i="5" s="1"/>
  <c r="E95" i="5"/>
  <c r="C97" i="5"/>
  <c r="E97" i="5" s="1"/>
  <c r="E107" i="5"/>
  <c r="C112" i="5"/>
  <c r="E121" i="5"/>
  <c r="C123" i="5"/>
  <c r="E126" i="5"/>
  <c r="C127" i="5"/>
  <c r="C142" i="5"/>
  <c r="E140" i="5"/>
  <c r="E146" i="5"/>
  <c r="C159" i="5"/>
  <c r="E186" i="5"/>
  <c r="C190" i="5"/>
  <c r="C198" i="5"/>
  <c r="E197" i="5"/>
  <c r="C205" i="5"/>
  <c r="E204" i="5"/>
  <c r="E209" i="5"/>
  <c r="E210" i="5" s="1"/>
  <c r="C210" i="5"/>
  <c r="C23" i="5" s="1"/>
  <c r="C219" i="5"/>
  <c r="E217" i="5"/>
  <c r="E221" i="5"/>
  <c r="C35" i="5"/>
  <c r="E35" i="5" s="1"/>
  <c r="D35" i="5"/>
  <c r="D37" i="5" s="1"/>
  <c r="D223" i="5"/>
  <c r="C36" i="5"/>
  <c r="E36" i="5" s="1"/>
  <c r="E222" i="5"/>
  <c r="C223" i="5"/>
  <c r="E223" i="5" s="1"/>
  <c r="D99" i="5"/>
  <c r="D10" i="5" s="1"/>
  <c r="D15" i="5" s="1"/>
  <c r="D16" i="5" s="1"/>
  <c r="D27" i="5"/>
  <c r="D29" i="5" s="1"/>
  <c r="D31" i="5" l="1"/>
  <c r="D39" i="5" s="1"/>
  <c r="C7" i="5"/>
  <c r="E6" i="5"/>
  <c r="C11" i="5"/>
  <c r="E11" i="5" s="1"/>
  <c r="E112" i="5"/>
  <c r="E123" i="5"/>
  <c r="C12" i="5"/>
  <c r="E12" i="5" s="1"/>
  <c r="C13" i="5"/>
  <c r="E13" i="5" s="1"/>
  <c r="E127" i="5"/>
  <c r="C14" i="5"/>
  <c r="E14" i="5" s="1"/>
  <c r="E142" i="5"/>
  <c r="C21" i="5"/>
  <c r="E159" i="5"/>
  <c r="C26" i="5"/>
  <c r="E26" i="5" s="1"/>
  <c r="E190" i="5"/>
  <c r="C25" i="5"/>
  <c r="E25" i="5" s="1"/>
  <c r="E198" i="5"/>
  <c r="C24" i="5"/>
  <c r="E24" i="5" s="1"/>
  <c r="E205" i="5"/>
  <c r="C27" i="5"/>
  <c r="E27" i="5" s="1"/>
  <c r="E23" i="5"/>
  <c r="E219" i="5"/>
  <c r="C34" i="5"/>
  <c r="C99" i="5"/>
  <c r="C10" i="5" s="1"/>
  <c r="C15" i="5" s="1"/>
  <c r="E99" i="5"/>
  <c r="E10" i="5" s="1"/>
  <c r="E15" i="5" s="1"/>
  <c r="E55" i="5" s="1"/>
  <c r="E7" i="5" l="1"/>
  <c r="C16" i="5"/>
  <c r="C29" i="5"/>
  <c r="E29" i="5" s="1"/>
  <c r="E21" i="5"/>
  <c r="C37" i="5"/>
  <c r="E37" i="5" s="1"/>
  <c r="E34" i="5"/>
  <c r="E49" i="5" l="1"/>
  <c r="E16" i="5"/>
  <c r="C31" i="5"/>
  <c r="C39" i="5" s="1"/>
  <c r="E44" i="5" s="1"/>
  <c r="E45" i="5" s="1"/>
  <c r="E60" i="5" l="1"/>
  <c r="E54" i="5"/>
  <c r="E56" i="5" s="1"/>
  <c r="E57" i="5" s="1"/>
  <c r="E17" i="5"/>
  <c r="E31" i="5"/>
  <c r="E32" i="5" l="1"/>
  <c r="E39" i="5"/>
  <c r="E46" i="5" l="1"/>
  <c r="E61" i="5"/>
  <c r="E62" i="5" s="1"/>
  <c r="E63" i="5" s="1"/>
  <c r="E40" i="5"/>
</calcChain>
</file>

<file path=xl/sharedStrings.xml><?xml version="1.0" encoding="utf-8"?>
<sst xmlns="http://schemas.openxmlformats.org/spreadsheetml/2006/main" count="3617" uniqueCount="651">
  <si>
    <t>PBT</t>
  </si>
  <si>
    <t/>
  </si>
  <si>
    <t>Total Cost</t>
  </si>
  <si>
    <t>Depreciation</t>
  </si>
  <si>
    <t xml:space="preserve">        Depreciation</t>
  </si>
  <si>
    <t>Deferred Tax Expenses</t>
  </si>
  <si>
    <t>Current Tax Expenses</t>
  </si>
  <si>
    <t>Rates &amp; Taxes</t>
  </si>
  <si>
    <t xml:space="preserve">        Rates &amp; Taxes</t>
  </si>
  <si>
    <t>Interest on OD</t>
  </si>
  <si>
    <t>Interest Paid</t>
  </si>
  <si>
    <t>Forex gain/loss</t>
  </si>
  <si>
    <t>Interest on Car loan</t>
  </si>
  <si>
    <t>Amex card charges</t>
  </si>
  <si>
    <t>Exchange Gain or Loss</t>
  </si>
  <si>
    <t>Bank Charges</t>
  </si>
  <si>
    <t>Bank Fees and Charges</t>
  </si>
  <si>
    <t xml:space="preserve">        Finance Cost</t>
  </si>
  <si>
    <t>(8 %)</t>
  </si>
  <si>
    <t>(19 %)</t>
  </si>
  <si>
    <t>12 %</t>
  </si>
  <si>
    <t>9 %</t>
  </si>
  <si>
    <t>2 %</t>
  </si>
  <si>
    <t>EBITDA%</t>
  </si>
  <si>
    <t>EBITDA</t>
  </si>
  <si>
    <t>Overall SG&amp;A</t>
  </si>
  <si>
    <t>Total</t>
  </si>
  <si>
    <t>Consultancy Fees - G&amp;A</t>
  </si>
  <si>
    <t>Interest on PT</t>
  </si>
  <si>
    <t>Audit Fee</t>
  </si>
  <si>
    <t>Referral bonus</t>
  </si>
  <si>
    <t>Razorpay Charges</t>
  </si>
  <si>
    <t>Purchase Discounts</t>
  </si>
  <si>
    <t>Office Supplies</t>
  </si>
  <si>
    <t>MCA filing Fee</t>
  </si>
  <si>
    <t>Registration charges</t>
  </si>
  <si>
    <t>Conference Fees</t>
  </si>
  <si>
    <t>Consultant expense</t>
  </si>
  <si>
    <t>Legal charges</t>
  </si>
  <si>
    <t>Lodging</t>
  </si>
  <si>
    <t>Housekeeping Charges</t>
  </si>
  <si>
    <t>Blocked Credit</t>
  </si>
  <si>
    <t>Maintenance Charges</t>
  </si>
  <si>
    <t>Delivery charges</t>
  </si>
  <si>
    <t>Other Expenses</t>
  </si>
  <si>
    <t>Accommodation Charges</t>
  </si>
  <si>
    <t>Finance charges</t>
  </si>
  <si>
    <t>Printing and stationery</t>
  </si>
  <si>
    <t>Postage</t>
  </si>
  <si>
    <t>Insurance Expense</t>
  </si>
  <si>
    <t>Travelling Expenses</t>
  </si>
  <si>
    <t>Toll Fee</t>
  </si>
  <si>
    <t>Parking</t>
  </si>
  <si>
    <t>Payroll Processing Fees</t>
  </si>
  <si>
    <t>Fuel/Mileage Expenses</t>
  </si>
  <si>
    <t>Charitable Donations</t>
  </si>
  <si>
    <t>Leadership engagemnet</t>
  </si>
  <si>
    <t>Comission Paid-Scinet Inc</t>
  </si>
  <si>
    <t>Consultancy Fees</t>
  </si>
  <si>
    <t xml:space="preserve">        Gen &amp; Admin Expenses</t>
  </si>
  <si>
    <t>Coder</t>
  </si>
  <si>
    <t>IT Salaries</t>
  </si>
  <si>
    <t>Admin Salaries</t>
  </si>
  <si>
    <t>HR Salaries</t>
  </si>
  <si>
    <t>Payroll taxes</t>
  </si>
  <si>
    <t xml:space="preserve">        G&amp;A salaries</t>
  </si>
  <si>
    <t>FPO Charges-SMCS GLOBAL</t>
  </si>
  <si>
    <t>Legal &amp; Professional Services</t>
  </si>
  <si>
    <t>FPO Charges - SRF</t>
  </si>
  <si>
    <t>Professional fees</t>
  </si>
  <si>
    <t xml:space="preserve">        Legal &amp; Professional Fees</t>
  </si>
  <si>
    <t>Management Salaries</t>
  </si>
  <si>
    <t>Bonus and Incentives</t>
  </si>
  <si>
    <t xml:space="preserve">        Salaries-Management &amp; Others</t>
  </si>
  <si>
    <t>G&amp;A Expenses</t>
  </si>
  <si>
    <t>Customs Duty</t>
  </si>
  <si>
    <t>New Tools and Accesses - Needed</t>
  </si>
  <si>
    <t>Gratuity</t>
  </si>
  <si>
    <t>S&amp;M Salaries</t>
  </si>
  <si>
    <t>Business Promotion</t>
  </si>
  <si>
    <t>Sales and marketing</t>
  </si>
  <si>
    <t>Advertisement and marketing</t>
  </si>
  <si>
    <t>Conference &amp; Events</t>
  </si>
  <si>
    <t>VISA charges</t>
  </si>
  <si>
    <t>Meals and Entertainment</t>
  </si>
  <si>
    <t>Rewards and recognition</t>
  </si>
  <si>
    <t>Cyber Security Insurance</t>
  </si>
  <si>
    <t>Travel Expense</t>
  </si>
  <si>
    <t xml:space="preserve">        Selling Expenses</t>
  </si>
  <si>
    <t>SG&amp;A</t>
  </si>
  <si>
    <t>20 %</t>
  </si>
  <si>
    <t>1 %</t>
  </si>
  <si>
    <t>22 %</t>
  </si>
  <si>
    <t>31 %</t>
  </si>
  <si>
    <t>17 %</t>
  </si>
  <si>
    <t>19 %</t>
  </si>
  <si>
    <t>GM%</t>
  </si>
  <si>
    <t>GM</t>
  </si>
  <si>
    <t>Total COGS</t>
  </si>
  <si>
    <t>Software Expenses</t>
  </si>
  <si>
    <t>Food Coupon-Happay Wallet</t>
  </si>
  <si>
    <t>Obo Health Inc</t>
  </si>
  <si>
    <t>Fuel expenses</t>
  </si>
  <si>
    <t>Staff Welfare Expenses</t>
  </si>
  <si>
    <t>Employee Engagement</t>
  </si>
  <si>
    <t>Other Cogs- MD</t>
  </si>
  <si>
    <t>Software development and Hosting charges</t>
  </si>
  <si>
    <t>Donation</t>
  </si>
  <si>
    <t>Insurance</t>
  </si>
  <si>
    <t>General Insurance</t>
  </si>
  <si>
    <t xml:space="preserve">        Other COGS</t>
  </si>
  <si>
    <t>Staff Transportation Charges</t>
  </si>
  <si>
    <t xml:space="preserve">        Transport</t>
  </si>
  <si>
    <t>License/Subscription Charges</t>
  </si>
  <si>
    <t>Telephone Rental Charges</t>
  </si>
  <si>
    <t>Telecom Charges</t>
  </si>
  <si>
    <t>IT and Internet Expenses</t>
  </si>
  <si>
    <t>Dues and Subscriptions</t>
  </si>
  <si>
    <t>Telephone Expense</t>
  </si>
  <si>
    <t xml:space="preserve">        Telcom/Data &amp; others</t>
  </si>
  <si>
    <t>Trichy rental charges</t>
  </si>
  <si>
    <t>Rent Expense</t>
  </si>
  <si>
    <t>Max Office rental charges</t>
  </si>
  <si>
    <t>Thiruttani rental charges</t>
  </si>
  <si>
    <t>Laptop Rental Charges</t>
  </si>
  <si>
    <t>Janani Property Rental Charges</t>
  </si>
  <si>
    <t>Janani Property Maintenance Charges</t>
  </si>
  <si>
    <t>Computer maintenance</t>
  </si>
  <si>
    <t>Electricity Expense</t>
  </si>
  <si>
    <t>Electricity</t>
  </si>
  <si>
    <t xml:space="preserve">        Facility Cost</t>
  </si>
  <si>
    <t>Interest on Advance Tax</t>
  </si>
  <si>
    <t>Interest on employee statutory dues</t>
  </si>
  <si>
    <t>Interest on TDS</t>
  </si>
  <si>
    <t>Professional tax</t>
  </si>
  <si>
    <t>Employer PF</t>
  </si>
  <si>
    <t>Employer ESI</t>
  </si>
  <si>
    <t>Employee PF</t>
  </si>
  <si>
    <t>EPF Admin Charges</t>
  </si>
  <si>
    <t>Employee ESI</t>
  </si>
  <si>
    <t xml:space="preserve">        Employee statutory expenses</t>
  </si>
  <si>
    <t>Coding charges</t>
  </si>
  <si>
    <t>Contract employee salaries</t>
  </si>
  <si>
    <t>Ops Support Salaries</t>
  </si>
  <si>
    <t>Operation salaries</t>
  </si>
  <si>
    <t>Consultancy fee</t>
  </si>
  <si>
    <t>India Cost</t>
  </si>
  <si>
    <t xml:space="preserve">        Manpower</t>
  </si>
  <si>
    <t>Overall Operational cost</t>
  </si>
  <si>
    <t>Total Revenue</t>
  </si>
  <si>
    <t>Interest Income</t>
  </si>
  <si>
    <t>General Income</t>
  </si>
  <si>
    <t>Buyout</t>
  </si>
  <si>
    <t>Other Charges</t>
  </si>
  <si>
    <t>Sales</t>
  </si>
  <si>
    <t xml:space="preserve">        Sales</t>
  </si>
  <si>
    <t>Service Income</t>
  </si>
  <si>
    <t>Variance</t>
  </si>
  <si>
    <t>Elimination-iMagnum Segment</t>
  </si>
  <si>
    <t>iMagnum US</t>
  </si>
  <si>
    <t>iMagnum India</t>
  </si>
  <si>
    <t>particulars</t>
  </si>
  <si>
    <r>
      <rPr>
        <b/>
        <sz val="11"/>
        <rFont val="Calibri"/>
        <family val="2"/>
      </rPr>
      <t>( USD in Whole Number )</t>
    </r>
  </si>
  <si>
    <r>
      <rPr>
        <b/>
        <sz val="14"/>
        <rFont val="Calibri"/>
        <family val="2"/>
      </rPr>
      <t xml:space="preserve">FTM_CurrentYear_CV_SPL </t>
    </r>
  </si>
  <si>
    <r>
      <t xml:space="preserve">Period: </t>
    </r>
    <r>
      <rPr>
        <b/>
        <sz val="11"/>
        <rFont val="Calibri"/>
        <family val="2"/>
      </rPr>
      <t>April 2026</t>
    </r>
  </si>
  <si>
    <r>
      <t xml:space="preserve">Period: </t>
    </r>
    <r>
      <rPr>
        <b/>
        <sz val="11"/>
        <rFont val="Calibri"/>
        <family val="2"/>
      </rPr>
      <t>May 2026</t>
    </r>
  </si>
  <si>
    <t>(2 %)</t>
  </si>
  <si>
    <t>36 %</t>
  </si>
  <si>
    <t>(118 %)</t>
  </si>
  <si>
    <t>(7 %)</t>
  </si>
  <si>
    <t>(18 %)</t>
  </si>
  <si>
    <t>26 %</t>
  </si>
  <si>
    <t>55 %</t>
  </si>
  <si>
    <t>(91 %)</t>
  </si>
  <si>
    <t>21 %</t>
  </si>
  <si>
    <r>
      <t xml:space="preserve">Period: </t>
    </r>
    <r>
      <rPr>
        <b/>
        <sz val="11"/>
        <rFont val="Calibri"/>
        <family val="2"/>
      </rPr>
      <t>March 2026</t>
    </r>
  </si>
  <si>
    <t>(13 %)</t>
  </si>
  <si>
    <t>14 %</t>
  </si>
  <si>
    <t>(12 %)</t>
  </si>
  <si>
    <t>11 %</t>
  </si>
  <si>
    <t>(42 %)</t>
  </si>
  <si>
    <t>27 %</t>
  </si>
  <si>
    <t>8 %</t>
  </si>
  <si>
    <t>23 %</t>
  </si>
  <si>
    <t>29 %</t>
  </si>
  <si>
    <t>(26 %)</t>
  </si>
  <si>
    <t>Software expense</t>
  </si>
  <si>
    <r>
      <t xml:space="preserve">Period: </t>
    </r>
    <r>
      <rPr>
        <b/>
        <sz val="11"/>
        <rFont val="Calibri"/>
        <family val="2"/>
      </rPr>
      <t>February 2026</t>
    </r>
  </si>
  <si>
    <t xml:space="preserve">Finance cost </t>
  </si>
  <si>
    <t>Salaries-Management &amp; Others</t>
  </si>
  <si>
    <t>Legal &amp; Professional Fees</t>
  </si>
  <si>
    <t xml:space="preserve"> G&amp;A salaries</t>
  </si>
  <si>
    <t xml:space="preserve">Gen &amp; Admin. Expenses </t>
  </si>
  <si>
    <t>Total SG&amp;A</t>
  </si>
  <si>
    <t>Conference &amp; Evenets</t>
  </si>
  <si>
    <t>Selling Expenses</t>
  </si>
  <si>
    <t>Other COGS (Base)</t>
  </si>
  <si>
    <t>Transportation Costs</t>
  </si>
  <si>
    <t>License/Subscription/Certification Charges</t>
  </si>
  <si>
    <t>Facility Cost</t>
  </si>
  <si>
    <t>Total Manpower</t>
  </si>
  <si>
    <t>Employee statutory expenses</t>
  </si>
  <si>
    <t xml:space="preserve">Total </t>
  </si>
  <si>
    <t>India cost</t>
  </si>
  <si>
    <t>Manpower</t>
  </si>
  <si>
    <t>Direct Incomes</t>
  </si>
  <si>
    <t>Detailed Break up</t>
  </si>
  <si>
    <t>Margin/Head</t>
  </si>
  <si>
    <t>Cost/Head</t>
  </si>
  <si>
    <t>Rev/Head</t>
  </si>
  <si>
    <t>Gross Profit/FTE</t>
  </si>
  <si>
    <t>Cost/FTE</t>
  </si>
  <si>
    <t>Rev/FTE (Pricing)</t>
  </si>
  <si>
    <t>Overall HC</t>
  </si>
  <si>
    <t>Directs</t>
  </si>
  <si>
    <t>Profit</t>
  </si>
  <si>
    <t>US cost</t>
  </si>
  <si>
    <t xml:space="preserve">India cost </t>
  </si>
  <si>
    <t xml:space="preserve">Revenue </t>
  </si>
  <si>
    <t>Check point</t>
  </si>
  <si>
    <t>Finance Cost</t>
  </si>
  <si>
    <t>Insurance expense budgeted for $1,400 whereas actual it is $6,487              Consultancy fees not budgeted whereas actual it $3,750</t>
  </si>
  <si>
    <t>G&amp;A salaries</t>
  </si>
  <si>
    <t>GP</t>
  </si>
  <si>
    <t>Software Expense budgeted for $9,393 whereas actual it is $20,656</t>
  </si>
  <si>
    <t>Other COGS</t>
  </si>
  <si>
    <t>Transport cost budgeted in proportion with HC</t>
  </si>
  <si>
    <t>Transport</t>
  </si>
  <si>
    <t>Telcom/Data &amp; others</t>
  </si>
  <si>
    <t>Budgeted HC for operations &amp; ops support is 208 whereas Actual HC is 270</t>
  </si>
  <si>
    <t>Budget Remarks</t>
  </si>
  <si>
    <t>Jan Consolidation</t>
  </si>
  <si>
    <t>Jan-India</t>
  </si>
  <si>
    <t>Jan-US</t>
  </si>
  <si>
    <t>Particulars</t>
  </si>
  <si>
    <t>IMAGNUM HEALTHCARE SOLUTION PRIVATE LIMITED</t>
  </si>
  <si>
    <t>Consolidated P&amp;L — Jan to May 2026</t>
  </si>
  <si>
    <t>(USD in Whole Numbers)</t>
  </si>
  <si>
    <t>Additional Items (not in May P&amp;L)</t>
  </si>
  <si>
    <t>Jan-26</t>
  </si>
  <si>
    <t>Feb-26</t>
  </si>
  <si>
    <t>Mar-26</t>
  </si>
  <si>
    <t>Apr-26</t>
  </si>
  <si>
    <t>May-26</t>
  </si>
  <si>
    <t xml:space="preserve"> </t>
  </si>
  <si>
    <t>Grand Total</t>
  </si>
  <si>
    <t>BOA 7456</t>
  </si>
  <si>
    <t>Wire Fees</t>
  </si>
  <si>
    <t>Amex Business Credit Card</t>
  </si>
  <si>
    <t>Credit Card (9904)</t>
  </si>
  <si>
    <t>QuickBooks Payments</t>
  </si>
  <si>
    <t>Chase</t>
  </si>
  <si>
    <t xml:space="preserve">Finance </t>
  </si>
  <si>
    <t>Sheraton Niagara Falls</t>
  </si>
  <si>
    <t>Queen City</t>
  </si>
  <si>
    <t>kalpana Rajaram</t>
  </si>
  <si>
    <t>Hole in the Roof</t>
  </si>
  <si>
    <t>Seamless.AI</t>
  </si>
  <si>
    <t>Associates</t>
  </si>
  <si>
    <t>Hubspot</t>
  </si>
  <si>
    <t>AHREFS* AHREFS</t>
  </si>
  <si>
    <t>Sales And Marketing</t>
  </si>
  <si>
    <t>World Duty Free</t>
  </si>
  <si>
    <t>Fort Bend County</t>
  </si>
  <si>
    <t>ETIHADAIR</t>
  </si>
  <si>
    <t>Travel Agency</t>
  </si>
  <si>
    <t>Etihad Airways</t>
  </si>
  <si>
    <t>DoubleTree</t>
  </si>
  <si>
    <t>Travel Guard Group</t>
  </si>
  <si>
    <t>The Metropolitan</t>
  </si>
  <si>
    <t>Travellers House Coffee</t>
  </si>
  <si>
    <t>Verramo Mobility</t>
  </si>
  <si>
    <t>Verra Mobility</t>
  </si>
  <si>
    <t>TPA Hospitality Partners</t>
  </si>
  <si>
    <t>Airbnb</t>
  </si>
  <si>
    <t>CHATTANOOGAN HOTEL</t>
  </si>
  <si>
    <t>Lanier Parking</t>
  </si>
  <si>
    <t>Priceline Rent A Car</t>
  </si>
  <si>
    <t>Delta Air</t>
  </si>
  <si>
    <t>Secointrin</t>
  </si>
  <si>
    <t>Omni Frisco Front</t>
  </si>
  <si>
    <t>Flatonia TX</t>
  </si>
  <si>
    <t>Ocean Gateway</t>
  </si>
  <si>
    <t>Homewood</t>
  </si>
  <si>
    <t>Westin</t>
  </si>
  <si>
    <t>Fairfield</t>
  </si>
  <si>
    <t>San Francisco</t>
  </si>
  <si>
    <t>Fast Park Hou Fastpark</t>
  </si>
  <si>
    <t>Hampton Inn</t>
  </si>
  <si>
    <t>Bt City Pass</t>
  </si>
  <si>
    <t>Emirates</t>
  </si>
  <si>
    <t>PRICELN</t>
  </si>
  <si>
    <t>Spirit Airlines</t>
  </si>
  <si>
    <t>QATAR AIRWAYS</t>
  </si>
  <si>
    <t>American Airlines</t>
  </si>
  <si>
    <t>United Airlines</t>
  </si>
  <si>
    <t>Uber</t>
  </si>
  <si>
    <t>Southwest Airlines</t>
  </si>
  <si>
    <t>Shell</t>
  </si>
  <si>
    <t>MOUSEFLOWAPS</t>
  </si>
  <si>
    <t>Lyft</t>
  </si>
  <si>
    <t>LOCALFALCON-STARTER</t>
  </si>
  <si>
    <t>HOUSTON AP CARTCHAIRHOUSTON</t>
  </si>
  <si>
    <t>Hotels.com</t>
  </si>
  <si>
    <t>Hertz Rent-a-Car</t>
  </si>
  <si>
    <t>Sales &amp; Marketing</t>
  </si>
  <si>
    <t>Samatva Wealth Management LLC</t>
  </si>
  <si>
    <t>Comprehensive C S LLC</t>
  </si>
  <si>
    <t>CLEARME.COM</t>
  </si>
  <si>
    <t>Highway</t>
  </si>
  <si>
    <t>Colonial Parking</t>
  </si>
  <si>
    <t>York Rd</t>
  </si>
  <si>
    <t>Katy Fwy</t>
  </si>
  <si>
    <t>Lartico Inc.</t>
  </si>
  <si>
    <t>QualiTel Communications</t>
  </si>
  <si>
    <t>Tide Dry Cleaners</t>
  </si>
  <si>
    <t>Amazon</t>
  </si>
  <si>
    <t>Office Depot</t>
  </si>
  <si>
    <t>ATEA USA</t>
  </si>
  <si>
    <t>Apple.com</t>
  </si>
  <si>
    <t>Wells</t>
  </si>
  <si>
    <t>The UPS Store</t>
  </si>
  <si>
    <t>Print N Ship</t>
  </si>
  <si>
    <t>Best Buy</t>
  </si>
  <si>
    <t>First Watch</t>
  </si>
  <si>
    <t>COMP OF MARYLAND</t>
  </si>
  <si>
    <t>El Associates</t>
  </si>
  <si>
    <t>WHIZZ CYBERSECURITY PVT. L ID</t>
  </si>
  <si>
    <t>Ekam Legal</t>
  </si>
  <si>
    <t>AATRALAI TECH SOLUTIONS PVT. LTD.</t>
  </si>
  <si>
    <t>Aapc</t>
  </si>
  <si>
    <t>Shikha Gupta CPA</t>
  </si>
  <si>
    <t>Hertztoll</t>
  </si>
  <si>
    <t>NTTA Online</t>
  </si>
  <si>
    <t>Bancpass</t>
  </si>
  <si>
    <t>Corp E Corp</t>
  </si>
  <si>
    <t>IRS</t>
  </si>
  <si>
    <t>PostNet</t>
  </si>
  <si>
    <t>Ipostal</t>
  </si>
  <si>
    <t>ADP</t>
  </si>
  <si>
    <t>KUMAR'S HOUSTON</t>
  </si>
  <si>
    <t>Red Lobster</t>
  </si>
  <si>
    <t>TRIVENI FOOD COURT</t>
  </si>
  <si>
    <t>ExxonMobil</t>
  </si>
  <si>
    <t>Stedi, Inc.</t>
  </si>
  <si>
    <t>Sisters Thai</t>
  </si>
  <si>
    <t>Las Fuentes Mexican Restaurant</t>
  </si>
  <si>
    <t>Texas Burger</t>
  </si>
  <si>
    <t>Dubai International Hotel</t>
  </si>
  <si>
    <t>P.F. Chang's</t>
  </si>
  <si>
    <t>Dasara Indian Cuisine</t>
  </si>
  <si>
    <t>Lombardi's Restaurant</t>
  </si>
  <si>
    <t>Shah's of Kabob</t>
  </si>
  <si>
    <t>Ezee Fiber</t>
  </si>
  <si>
    <t>Torchys Tacos</t>
  </si>
  <si>
    <t>Muerde la Burger</t>
  </si>
  <si>
    <t>Taco Fuego</t>
  </si>
  <si>
    <t>Rasoi Indian Cuisine</t>
  </si>
  <si>
    <t>QDF North Node</t>
  </si>
  <si>
    <t>Vietnam Bistro</t>
  </si>
  <si>
    <t>Torchy's Tacos</t>
  </si>
  <si>
    <t>Airi Ramen &amp; Sushi</t>
  </si>
  <si>
    <t>Kluay Kluay</t>
  </si>
  <si>
    <t>Reyhan's Grill</t>
  </si>
  <si>
    <t>Los Cucos Mexican Cafe</t>
  </si>
  <si>
    <t>Jallikattu Indian Grill</t>
  </si>
  <si>
    <t>Autogrill Middle East</t>
  </si>
  <si>
    <t>Absolute Thai Cuisine</t>
  </si>
  <si>
    <t>Akashi Sushi Fusion</t>
  </si>
  <si>
    <t>Gyro Hut</t>
  </si>
  <si>
    <t>Royal Biryani House</t>
  </si>
  <si>
    <t>Burtons Grill</t>
  </si>
  <si>
    <t>Shellis News</t>
  </si>
  <si>
    <t>Nagas South Indian</t>
  </si>
  <si>
    <t>The Home Depot</t>
  </si>
  <si>
    <t>Charcoal Eats</t>
  </si>
  <si>
    <t>Kottu Korner</t>
  </si>
  <si>
    <t>Neetu's Indian Kitchen</t>
  </si>
  <si>
    <t>Walgreens</t>
  </si>
  <si>
    <t>Pho Oh Yeah</t>
  </si>
  <si>
    <t>Russo's New York Pizza</t>
  </si>
  <si>
    <t>Dubai Duty Free</t>
  </si>
  <si>
    <t>GACHI SUSHI</t>
  </si>
  <si>
    <t>HARPER'S ASIAN</t>
  </si>
  <si>
    <t>District News</t>
  </si>
  <si>
    <t>Marathon Diner</t>
  </si>
  <si>
    <t>Shake Shack</t>
  </si>
  <si>
    <t>Jimmy John's</t>
  </si>
  <si>
    <t>Dunkin</t>
  </si>
  <si>
    <t>Charleston's Restaurant</t>
  </si>
  <si>
    <t>Gusto</t>
  </si>
  <si>
    <t>Rainforest Cafe</t>
  </si>
  <si>
    <t>Murugan Cafe</t>
  </si>
  <si>
    <t>Piada</t>
  </si>
  <si>
    <t>Pinkberry</t>
  </si>
  <si>
    <t>Paradies-Broward</t>
  </si>
  <si>
    <t>Great Wraps</t>
  </si>
  <si>
    <t>Cava Belmont</t>
  </si>
  <si>
    <t>Pasta Mista</t>
  </si>
  <si>
    <t>Indian Aroma</t>
  </si>
  <si>
    <t>Lebanese Taverna</t>
  </si>
  <si>
    <t>Eccola Italian Bistro</t>
  </si>
  <si>
    <t>Cafeneo</t>
  </si>
  <si>
    <t>Saravanaa Bhavan</t>
  </si>
  <si>
    <t>Pines</t>
  </si>
  <si>
    <t>Greenville Ave</t>
  </si>
  <si>
    <t>Food Mart</t>
  </si>
  <si>
    <t>Base</t>
  </si>
  <si>
    <t>Las Fuentes</t>
  </si>
  <si>
    <t>Asian Kitchen</t>
  </si>
  <si>
    <t>Centurion Lounge</t>
  </si>
  <si>
    <t>Baja Fresh</t>
  </si>
  <si>
    <t>Chipotle</t>
  </si>
  <si>
    <t>Bistro</t>
  </si>
  <si>
    <t>Nirvana</t>
  </si>
  <si>
    <t>Panera Bread</t>
  </si>
  <si>
    <t>La Terraza</t>
  </si>
  <si>
    <t>Sixt USA</t>
  </si>
  <si>
    <t>Atl Today</t>
  </si>
  <si>
    <t>Cafe Italiano</t>
  </si>
  <si>
    <t>Bluefin</t>
  </si>
  <si>
    <t>Publix</t>
  </si>
  <si>
    <t>Wyndham</t>
  </si>
  <si>
    <t>Mint Leaf</t>
  </si>
  <si>
    <t>Madras Mantra</t>
  </si>
  <si>
    <t>Panda Express</t>
  </si>
  <si>
    <t>Chick-fil-a</t>
  </si>
  <si>
    <t>The Pumphouse Riverside Restaurant and Bar</t>
  </si>
  <si>
    <t>Indian Bazaar &amp; Cafe</t>
  </si>
  <si>
    <t>Uber Eats</t>
  </si>
  <si>
    <t>TST* CHOWRASTHA COPPCOPPELL</t>
  </si>
  <si>
    <t>TARGET</t>
  </si>
  <si>
    <t>Starbucks</t>
  </si>
  <si>
    <t>Sangam Indian Cuisine</t>
  </si>
  <si>
    <t>Olive Garden</t>
  </si>
  <si>
    <t>Hilton Garden</t>
  </si>
  <si>
    <t>Courtyard By MarriotLewisville</t>
  </si>
  <si>
    <t>iMagnum Healthcare Solutions Pvt Ltd</t>
  </si>
  <si>
    <t>ICHRA</t>
  </si>
  <si>
    <t>First Insurance</t>
  </si>
  <si>
    <t>NGIC</t>
  </si>
  <si>
    <t>Manhattanlife</t>
  </si>
  <si>
    <t>United Health Care</t>
  </si>
  <si>
    <t>X Christiana Rd</t>
  </si>
  <si>
    <t>BP</t>
  </si>
  <si>
    <t>Costco</t>
  </si>
  <si>
    <t>Walmart</t>
  </si>
  <si>
    <t>H-E-B</t>
  </si>
  <si>
    <t>Chevron</t>
  </si>
  <si>
    <t>Buc-EES</t>
  </si>
  <si>
    <t>G&amp;A Cost</t>
  </si>
  <si>
    <t>Management salaries</t>
  </si>
  <si>
    <t>Payroll Taxes</t>
  </si>
  <si>
    <t>Harvard Business Services</t>
  </si>
  <si>
    <t>MedTrade</t>
  </si>
  <si>
    <t>MEDSOURCE AI LLC</t>
  </si>
  <si>
    <t>HJC Consulting Group</t>
  </si>
  <si>
    <t>Maheshkumar Nagarajan</t>
  </si>
  <si>
    <t>Georgia Association</t>
  </si>
  <si>
    <t>Inc. Media</t>
  </si>
  <si>
    <t>Gerald Mannikarote</t>
  </si>
  <si>
    <t>Lynx Realty</t>
  </si>
  <si>
    <t>iQuantified Management Services</t>
  </si>
  <si>
    <t>Vfs Services</t>
  </si>
  <si>
    <t>HEALTHCARE BUSINESS</t>
  </si>
  <si>
    <t>Chugh LLP</t>
  </si>
  <si>
    <t>S10.AI INC</t>
  </si>
  <si>
    <t>Stedi</t>
  </si>
  <si>
    <t xml:space="preserve">ask </t>
  </si>
  <si>
    <t>Cair Health Inc.</t>
  </si>
  <si>
    <t>Atlantic.net</t>
  </si>
  <si>
    <t>Replit</t>
  </si>
  <si>
    <t>SaaSMonk</t>
  </si>
  <si>
    <t>RFPMart LLC</t>
  </si>
  <si>
    <t>Semrush</t>
  </si>
  <si>
    <t>Trizetto Prov</t>
  </si>
  <si>
    <t>Office Ally</t>
  </si>
  <si>
    <t>MongoDB</t>
  </si>
  <si>
    <t>Moet Advisors LLC</t>
  </si>
  <si>
    <t>Foxyproxy</t>
  </si>
  <si>
    <t>Contabo.com</t>
  </si>
  <si>
    <t>Cloudways LTD</t>
  </si>
  <si>
    <t>Claim.MD</t>
  </si>
  <si>
    <t>Availity</t>
  </si>
  <si>
    <t>AdvancedMD</t>
  </si>
  <si>
    <t>Verizon</t>
  </si>
  <si>
    <t>RINGCENTRAL INC</t>
  </si>
  <si>
    <t>Scalela</t>
  </si>
  <si>
    <t>Figma</t>
  </si>
  <si>
    <t>Digital Ocean</t>
  </si>
  <si>
    <t>Tailwind</t>
  </si>
  <si>
    <t>Awaz</t>
  </si>
  <si>
    <t>McAfee</t>
  </si>
  <si>
    <t>GoDaddy</t>
  </si>
  <si>
    <t>READ - MEETING</t>
  </si>
  <si>
    <t>Zoho Corp</t>
  </si>
  <si>
    <t>MICROSOFT</t>
  </si>
  <si>
    <t>DROPBOX</t>
  </si>
  <si>
    <t>Chatgpt</t>
  </si>
  <si>
    <t>Calendly</t>
  </si>
  <si>
    <t>Adobe Systems</t>
  </si>
  <si>
    <t>A2Webhost</t>
  </si>
  <si>
    <t>Telecom Data &amp; Others</t>
  </si>
  <si>
    <t>Contractors</t>
  </si>
  <si>
    <t>Operational Cost</t>
  </si>
  <si>
    <t>May Vs Apr</t>
  </si>
  <si>
    <t>Row Labels</t>
  </si>
  <si>
    <t>Column Labels</t>
  </si>
  <si>
    <t>Sum of Amount</t>
  </si>
  <si>
    <t>10.Finance cost Total</t>
  </si>
  <si>
    <t>HDFC Bank</t>
  </si>
  <si>
    <t>HDFC OD Account</t>
  </si>
  <si>
    <t>HDFC credit card (Kasi)</t>
  </si>
  <si>
    <t>HDFC credit card (Imagnum)</t>
  </si>
  <si>
    <t>10.Finance cost</t>
  </si>
  <si>
    <t>9.General &amp; Administration Total</t>
  </si>
  <si>
    <t>Explore The Unexplored Camping Tours</t>
  </si>
  <si>
    <t>HDFC credit card (Ashok Kumar)</t>
  </si>
  <si>
    <t>DQS India</t>
  </si>
  <si>
    <t>CLEARTRIP PRIVATE LIMITED</t>
  </si>
  <si>
    <t>Qatar Airways</t>
  </si>
  <si>
    <t>NANDHA ENTERPRISES</t>
  </si>
  <si>
    <t>Air India Express</t>
  </si>
  <si>
    <t>REDBUS</t>
  </si>
  <si>
    <t>MAKE MY TRIP (INDIA) PVT. LTD.</t>
  </si>
  <si>
    <t>InterGlobe Aviation Limited</t>
  </si>
  <si>
    <t>SMCS Global</t>
  </si>
  <si>
    <t>DSC Registration fee</t>
  </si>
  <si>
    <t>Asian Plastics</t>
  </si>
  <si>
    <t>Printing and Stationery</t>
  </si>
  <si>
    <t>Referral Bonus</t>
  </si>
  <si>
    <t>RV COMMUNICATION</t>
  </si>
  <si>
    <t>Leadership Engagement</t>
  </si>
  <si>
    <t>Legal Charges</t>
  </si>
  <si>
    <t>EKAM LEGAL</t>
  </si>
  <si>
    <t>RZPX Private Limited</t>
  </si>
  <si>
    <t>VFS.GLOBAL</t>
  </si>
  <si>
    <t>Green Park Hotels and Resorts Limited</t>
  </si>
  <si>
    <t>Queen Emperor Hotels And Resorts</t>
  </si>
  <si>
    <t>Manjhi Residency</t>
  </si>
  <si>
    <t>HOMEWOOD SUITES</t>
  </si>
  <si>
    <t>Yasodhai Damodaran POSH Consultant</t>
  </si>
  <si>
    <t>CODE FLOW CONSULTANT</t>
  </si>
  <si>
    <t>EBENEZER PAULP</t>
  </si>
  <si>
    <t>Chugh Consulting (India) LLP</t>
  </si>
  <si>
    <t>DAS MANPOWER CONSULTANCY SERVICES</t>
  </si>
  <si>
    <t>Consultant Expense</t>
  </si>
  <si>
    <t>BIRD EYE SECURITY SERVICES</t>
  </si>
  <si>
    <t>Tiger Protective Services</t>
  </si>
  <si>
    <t>TRUE CARE SECURITY SERVICES</t>
  </si>
  <si>
    <t>Hotel Akshaya</t>
  </si>
  <si>
    <t>SUVAI BIRIYANI RESTAURATRICHY</t>
  </si>
  <si>
    <t>Vasanta Bhavan Hotel's Pvt Ltd</t>
  </si>
  <si>
    <t>PALMSHORE MULTICUISINECHENNAI</t>
  </si>
  <si>
    <t>NAYAGARA HOTELS PRIVATE LIMITED</t>
  </si>
  <si>
    <t>M S GRAND CONTINENT HOT</t>
  </si>
  <si>
    <t>ABS ABSOLUTE BARBECUES BANGALORE</t>
  </si>
  <si>
    <t>ROCK RESTAURANT</t>
  </si>
  <si>
    <t>ZAITOON RESTAURANT AND CHENNAI</t>
  </si>
  <si>
    <t>COPPER KITCHEN VADAPALA CHENNAI</t>
  </si>
  <si>
    <t>The Roy Restaurant</t>
  </si>
  <si>
    <t>VGP Golden Beach Resort</t>
  </si>
  <si>
    <t>KABINI FOODS CHENNAI</t>
  </si>
  <si>
    <t>AMAR HARDWARES</t>
  </si>
  <si>
    <t>Amazon.in</t>
  </si>
  <si>
    <t>Mahendra Associates</t>
  </si>
  <si>
    <t>INTACT ENTERPRISES</t>
  </si>
  <si>
    <t>Sai Kalaimagal Stationery and Generals</t>
  </si>
  <si>
    <t>Best Engineering Works</t>
  </si>
  <si>
    <t>Spelman Printers</t>
  </si>
  <si>
    <t>Viji Embroidery works</t>
  </si>
  <si>
    <t>MANGAL &amp; MANGAL</t>
  </si>
  <si>
    <t>Zudio</t>
  </si>
  <si>
    <t>Clicktech Retail Private Limited</t>
  </si>
  <si>
    <t>Xtreme Infotech</t>
  </si>
  <si>
    <t>SRI LAKSHMI NARASIMHAR PHOTOFRAME CENTER</t>
  </si>
  <si>
    <t>RETAILEZ PRIVATE LIMITED</t>
  </si>
  <si>
    <t>Rainbow Office Solutions</t>
  </si>
  <si>
    <t>JANANI PROPERTY &amp; ESTATES PVT LTD</t>
  </si>
  <si>
    <t>DEVA PRINTERS</t>
  </si>
  <si>
    <t>DARLING DIGITAL WORLD PVT LTD</t>
  </si>
  <si>
    <t>Professional Tax</t>
  </si>
  <si>
    <t>9.General &amp; Administration</t>
  </si>
  <si>
    <t>8.Sales &amp; Marketing Total</t>
  </si>
  <si>
    <t>Advertising And Marketing</t>
  </si>
  <si>
    <t>8.Sales &amp; Marketing</t>
  </si>
  <si>
    <t>7.Legal &amp; Professional Fees Total</t>
  </si>
  <si>
    <t>Spice Route Finance</t>
  </si>
  <si>
    <t>MCA Filing Fee</t>
  </si>
  <si>
    <t>N V Balaji and Co.</t>
  </si>
  <si>
    <t>Professional services</t>
  </si>
  <si>
    <t>Cure Claims Healthcare Services</t>
  </si>
  <si>
    <t>7.Legal &amp; Professional Fees</t>
  </si>
  <si>
    <t>6.G&amp;A salaries Total</t>
  </si>
  <si>
    <t>6.G&amp;A salaries</t>
  </si>
  <si>
    <t>9.Exchange Gain or Loss Total</t>
  </si>
  <si>
    <t>IMAGNUM US</t>
  </si>
  <si>
    <t>9.Exchange Gain or Loss</t>
  </si>
  <si>
    <t>5.Other COGS Total</t>
  </si>
  <si>
    <t>Rewards and Recognition</t>
  </si>
  <si>
    <t>BAJAJ ALLIANZ GENERAL INSURANCE COMPANY LIMITED</t>
  </si>
  <si>
    <t>Pure Palate</t>
  </si>
  <si>
    <t>CATAWING CYBERNETICS PVT. LTD.</t>
  </si>
  <si>
    <t>Tharikha Medicals</t>
  </si>
  <si>
    <t>Health &amp; Safety Hub</t>
  </si>
  <si>
    <t>Medway Hospitals</t>
  </si>
  <si>
    <t>VASANTH &amp; CO</t>
  </si>
  <si>
    <t>Aditya Birla Fashion</t>
  </si>
  <si>
    <t>JENNYS HOTEL PVT. LTD.</t>
  </si>
  <si>
    <t>KHIVRAJ MOTORS PRIVATE LIMITED</t>
  </si>
  <si>
    <t>SRI LAKSHMI RESIDENCY</t>
  </si>
  <si>
    <t>5.Other COGS</t>
  </si>
  <si>
    <t>4.Transport Cost Total</t>
  </si>
  <si>
    <t>Select Cabs</t>
  </si>
  <si>
    <t>VKS Travels</t>
  </si>
  <si>
    <t>4.Transport Cost</t>
  </si>
  <si>
    <t>3.Telecom Data &amp; others Total</t>
  </si>
  <si>
    <t>BHARTI AIRTEL LIMITED</t>
  </si>
  <si>
    <t>UNIFIED VOICE COMMUNICATION PRIVATE LIMITED</t>
  </si>
  <si>
    <t>GAMMA.APP</t>
  </si>
  <si>
    <t>Claritus Management Consulting Pvt. Ltd.</t>
  </si>
  <si>
    <t>Info Edge (India) Ltd</t>
  </si>
  <si>
    <t>Futurecalls Technology</t>
  </si>
  <si>
    <t>Reliance Jio Infocomm Limited</t>
  </si>
  <si>
    <t>Slack</t>
  </si>
  <si>
    <t>TATA TELESERVICES LIMITED</t>
  </si>
  <si>
    <t>SYSVEL TECHNOLOGY</t>
  </si>
  <si>
    <t>ClaudeAI</t>
  </si>
  <si>
    <t>AAPC</t>
  </si>
  <si>
    <t>Udemy India LLP</t>
  </si>
  <si>
    <t>LinkedIn</t>
  </si>
  <si>
    <t>Esoftsol Infocom Pvt Ltd</t>
  </si>
  <si>
    <t>E2E Networks  Limited</t>
  </si>
  <si>
    <t>Adobe Systems Software Ireland Ltd</t>
  </si>
  <si>
    <t>3.Telecom Data &amp; others</t>
  </si>
  <si>
    <t>2.Facility cost Total</t>
  </si>
  <si>
    <t>Amutha Trichy Rental House</t>
  </si>
  <si>
    <t>Balaji Towers</t>
  </si>
  <si>
    <t>M.R. INFOTECH</t>
  </si>
  <si>
    <t>Max Office</t>
  </si>
  <si>
    <t>TAMILNADU GENERATION AND DISTRIBUTION CORPORATION LIMITED</t>
  </si>
  <si>
    <t>2.Facility cost</t>
  </si>
  <si>
    <t>1.Manpower Total</t>
  </si>
  <si>
    <t>Contract Employee Salaries</t>
  </si>
  <si>
    <t>Operation Salaries</t>
  </si>
  <si>
    <t>1.Manpower</t>
  </si>
  <si>
    <t>in $</t>
  </si>
  <si>
    <t>Supplier Name</t>
  </si>
  <si>
    <t>Ledger Name</t>
  </si>
  <si>
    <t>Cost Category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</si>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</sst>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_(&quot;$&quot;* #,##0_);_(&quot;$&quot;* \(#,##0\);_(&quot;$&quot;* &quot;-&quot;??_);_(@_)"/>
    <numFmt numFmtId="166" formatCode="_(* #,##0_);_(* \(#,##0\);_(* &quot;-&quot;??_);_(@_)"/>
    <numFmt numFmtId="167" formatCode="_ * #,##0.00_ ;_ * \-#,##0.00_ ;_ * &quot;-&quot;??_ ;_ @_ "/>
    <numFmt numFmtId="168" formatCode="_ * #,##0_ ;_ * \-#,##0_ ;_ * &quot;-&quot;??_ ;_ @_ "/>
    <numFmt numFmtId="169" formatCode="#,##0;\(#,##0\);&quot;-&quot;"/>
    <numFmt numFmtId="170" formatCode="_(* #,##0.0_);_(* \(#,##0.0\);_(* &quot;-&quot;?_);_(@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</font>
    <font>
      <b/>
      <sz val="14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0" tint="-4.9989318521683403E-2"/>
        <bgColor theme="4"/>
      </patternFill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9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</cellStyleXfs>
  <cellXfs count="173">
    <xf numFmtId="0" fontId="0" fillId="0" borderId="0" xfId="0"/>
    <xf numFmtId="0" fontId="1" fillId="0" borderId="0" xfId="1"/>
    <xf numFmtId="164" fontId="1" fillId="0" borderId="0" xfId="1" applyNumberFormat="1"/>
    <xf numFmtId="164" fontId="3" fillId="0" borderId="1" xfId="1" applyNumberFormat="1" applyFont="1" applyBorder="1" applyAlignment="1">
      <alignment horizontal="right"/>
    </xf>
    <xf numFmtId="164" fontId="4" fillId="0" borderId="1" xfId="1" applyNumberFormat="1" applyFont="1" applyBorder="1" applyAlignment="1">
      <alignment horizontal="right"/>
    </xf>
    <xf numFmtId="0" fontId="4" fillId="0" borderId="1" xfId="1" applyFont="1" applyBorder="1"/>
    <xf numFmtId="0" fontId="4" fillId="0" borderId="0" xfId="1" applyFont="1"/>
    <xf numFmtId="0" fontId="3" fillId="0" borderId="1" xfId="1" applyFont="1" applyBorder="1"/>
    <xf numFmtId="164" fontId="5" fillId="2" borderId="1" xfId="1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1" fillId="0" borderId="1" xfId="1" applyBorder="1"/>
    <xf numFmtId="164" fontId="1" fillId="0" borderId="1" xfId="1" applyNumberFormat="1" applyBorder="1"/>
    <xf numFmtId="164" fontId="7" fillId="0" borderId="1" xfId="1" applyNumberFormat="1" applyFont="1" applyBorder="1"/>
    <xf numFmtId="0" fontId="8" fillId="0" borderId="0" xfId="1" applyFont="1"/>
    <xf numFmtId="165" fontId="8" fillId="0" borderId="0" xfId="2" applyNumberFormat="1" applyFont="1"/>
    <xf numFmtId="165" fontId="8" fillId="3" borderId="0" xfId="2" applyNumberFormat="1" applyFont="1" applyFill="1"/>
    <xf numFmtId="0" fontId="9" fillId="0" borderId="0" xfId="1" applyFont="1"/>
    <xf numFmtId="165" fontId="9" fillId="0" borderId="2" xfId="2" applyNumberFormat="1" applyFont="1" applyBorder="1"/>
    <xf numFmtId="165" fontId="9" fillId="3" borderId="2" xfId="2" applyNumberFormat="1" applyFont="1" applyFill="1" applyBorder="1"/>
    <xf numFmtId="0" fontId="9" fillId="0" borderId="2" xfId="1" applyFont="1" applyBorder="1"/>
    <xf numFmtId="165" fontId="8" fillId="0" borderId="3" xfId="2" applyNumberFormat="1" applyFont="1" applyBorder="1"/>
    <xf numFmtId="165" fontId="8" fillId="3" borderId="3" xfId="2" applyNumberFormat="1" applyFont="1" applyFill="1" applyBorder="1"/>
    <xf numFmtId="0" fontId="8" fillId="0" borderId="3" xfId="1" applyFont="1" applyBorder="1"/>
    <xf numFmtId="0" fontId="10" fillId="0" borderId="3" xfId="1" applyFont="1" applyBorder="1" applyAlignment="1">
      <alignment vertical="center"/>
    </xf>
    <xf numFmtId="0" fontId="11" fillId="0" borderId="3" xfId="1" applyFont="1" applyBorder="1" applyAlignment="1">
      <alignment vertical="center"/>
    </xf>
    <xf numFmtId="165" fontId="9" fillId="0" borderId="3" xfId="2" applyNumberFormat="1" applyFont="1" applyBorder="1"/>
    <xf numFmtId="165" fontId="9" fillId="3" borderId="3" xfId="2" applyNumberFormat="1" applyFont="1" applyFill="1" applyBorder="1"/>
    <xf numFmtId="0" fontId="10" fillId="0" borderId="4" xfId="1" applyFont="1" applyBorder="1" applyAlignment="1">
      <alignment vertical="center"/>
    </xf>
    <xf numFmtId="0" fontId="9" fillId="4" borderId="0" xfId="1" applyFont="1" applyFill="1"/>
    <xf numFmtId="165" fontId="9" fillId="4" borderId="3" xfId="2" applyNumberFormat="1" applyFont="1" applyFill="1" applyBorder="1"/>
    <xf numFmtId="165" fontId="12" fillId="4" borderId="3" xfId="2" applyNumberFormat="1" applyFont="1" applyFill="1" applyBorder="1"/>
    <xf numFmtId="165" fontId="13" fillId="4" borderId="3" xfId="2" applyNumberFormat="1" applyFont="1" applyFill="1" applyBorder="1"/>
    <xf numFmtId="0" fontId="12" fillId="4" borderId="3" xfId="1" applyFont="1" applyFill="1" applyBorder="1" applyAlignment="1">
      <alignment vertical="center"/>
    </xf>
    <xf numFmtId="0" fontId="9" fillId="5" borderId="0" xfId="1" applyFont="1" applyFill="1"/>
    <xf numFmtId="0" fontId="8" fillId="4" borderId="0" xfId="1" applyFont="1" applyFill="1"/>
    <xf numFmtId="165" fontId="8" fillId="4" borderId="3" xfId="2" applyNumberFormat="1" applyFont="1" applyFill="1" applyBorder="1"/>
    <xf numFmtId="165" fontId="13" fillId="0" borderId="3" xfId="2" applyNumberFormat="1" applyFont="1" applyBorder="1"/>
    <xf numFmtId="166" fontId="13" fillId="4" borderId="3" xfId="3" applyNumberFormat="1" applyFont="1" applyFill="1" applyBorder="1" applyAlignment="1">
      <alignment vertical="center"/>
    </xf>
    <xf numFmtId="0" fontId="8" fillId="5" borderId="0" xfId="1" applyFont="1" applyFill="1"/>
    <xf numFmtId="165" fontId="8" fillId="4" borderId="3" xfId="2" applyNumberFormat="1" applyFont="1" applyFill="1" applyBorder="1" applyAlignment="1">
      <alignment vertical="center" wrapText="1"/>
    </xf>
    <xf numFmtId="165" fontId="8" fillId="0" borderId="3" xfId="2" applyNumberFormat="1" applyFont="1" applyBorder="1" applyAlignment="1">
      <alignment vertical="center" wrapText="1"/>
    </xf>
    <xf numFmtId="165" fontId="9" fillId="0" borderId="3" xfId="2" applyNumberFormat="1" applyFont="1" applyBorder="1" applyAlignment="1">
      <alignment vertical="center" wrapText="1"/>
    </xf>
    <xf numFmtId="0" fontId="8" fillId="0" borderId="0" xfId="1" applyFont="1" applyAlignment="1">
      <alignment vertical="center"/>
    </xf>
    <xf numFmtId="165" fontId="8" fillId="3" borderId="3" xfId="2" applyNumberFormat="1" applyFont="1" applyFill="1" applyBorder="1" applyAlignment="1">
      <alignment vertical="center"/>
    </xf>
    <xf numFmtId="0" fontId="10" fillId="0" borderId="3" xfId="1" applyFont="1" applyBorder="1"/>
    <xf numFmtId="0" fontId="11" fillId="0" borderId="3" xfId="1" applyFont="1" applyBorder="1"/>
    <xf numFmtId="165" fontId="8" fillId="0" borderId="3" xfId="2" applyNumberFormat="1" applyFont="1" applyBorder="1" applyAlignment="1">
      <alignment vertical="center"/>
    </xf>
    <xf numFmtId="165" fontId="8" fillId="3" borderId="3" xfId="2" applyNumberFormat="1" applyFont="1" applyFill="1" applyBorder="1" applyAlignment="1"/>
    <xf numFmtId="0" fontId="8" fillId="0" borderId="0" xfId="1" applyFont="1" applyAlignment="1">
      <alignment horizontal="left" vertical="center"/>
    </xf>
    <xf numFmtId="165" fontId="8" fillId="3" borderId="3" xfId="2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left" vertical="center"/>
    </xf>
    <xf numFmtId="165" fontId="8" fillId="0" borderId="3" xfId="2" applyNumberFormat="1" applyFont="1" applyBorder="1" applyAlignment="1">
      <alignment wrapText="1"/>
    </xf>
    <xf numFmtId="0" fontId="8" fillId="0" borderId="3" xfId="1" applyFont="1" applyBorder="1" applyAlignment="1">
      <alignment vertical="center"/>
    </xf>
    <xf numFmtId="0" fontId="11" fillId="0" borderId="3" xfId="1" applyFont="1" applyBorder="1" applyAlignment="1">
      <alignment horizontal="left"/>
    </xf>
    <xf numFmtId="165" fontId="8" fillId="0" borderId="3" xfId="2" applyNumberFormat="1" applyFont="1" applyFill="1" applyBorder="1" applyAlignment="1">
      <alignment vertical="center" wrapText="1"/>
    </xf>
    <xf numFmtId="165" fontId="8" fillId="0" borderId="3" xfId="2" applyNumberFormat="1" applyFont="1" applyFill="1" applyBorder="1"/>
    <xf numFmtId="49" fontId="10" fillId="0" borderId="3" xfId="1" applyNumberFormat="1" applyFont="1" applyBorder="1" applyAlignment="1">
      <alignment horizontal="left" vertical="top" indent="1"/>
    </xf>
    <xf numFmtId="0" fontId="11" fillId="0" borderId="4" xfId="1" applyFont="1" applyBorder="1"/>
    <xf numFmtId="0" fontId="14" fillId="0" borderId="0" xfId="1" applyFont="1" applyAlignment="1">
      <alignment vertical="center"/>
    </xf>
    <xf numFmtId="0" fontId="5" fillId="6" borderId="5" xfId="1" applyFont="1" applyFill="1" applyBorder="1" applyAlignment="1">
      <alignment horizontal="center" vertical="center" wrapText="1"/>
    </xf>
    <xf numFmtId="0" fontId="5" fillId="7" borderId="5" xfId="1" applyFont="1" applyFill="1" applyBorder="1" applyAlignment="1">
      <alignment horizontal="center" vertical="center" wrapText="1"/>
    </xf>
    <xf numFmtId="168" fontId="8" fillId="0" borderId="0" xfId="4" applyNumberFormat="1" applyFont="1"/>
    <xf numFmtId="165" fontId="9" fillId="0" borderId="0" xfId="2" applyNumberFormat="1" applyFont="1" applyBorder="1"/>
    <xf numFmtId="165" fontId="9" fillId="3" borderId="0" xfId="2" applyNumberFormat="1" applyFont="1" applyFill="1" applyBorder="1"/>
    <xf numFmtId="9" fontId="9" fillId="3" borderId="0" xfId="2" applyNumberFormat="1" applyFont="1" applyFill="1" applyBorder="1" applyAlignment="1"/>
    <xf numFmtId="165" fontId="8" fillId="3" borderId="0" xfId="2" applyNumberFormat="1" applyFont="1" applyFill="1" applyBorder="1" applyAlignment="1"/>
    <xf numFmtId="165" fontId="8" fillId="0" borderId="0" xfId="2" applyNumberFormat="1" applyFont="1" applyBorder="1"/>
    <xf numFmtId="9" fontId="9" fillId="0" borderId="0" xfId="1" applyNumberFormat="1" applyFont="1"/>
    <xf numFmtId="9" fontId="9" fillId="0" borderId="0" xfId="2" applyNumberFormat="1" applyFont="1" applyBorder="1"/>
    <xf numFmtId="9" fontId="8" fillId="3" borderId="0" xfId="2" applyNumberFormat="1" applyFont="1" applyFill="1" applyBorder="1" applyAlignment="1"/>
    <xf numFmtId="9" fontId="8" fillId="0" borderId="0" xfId="2" applyNumberFormat="1" applyFont="1" applyBorder="1"/>
    <xf numFmtId="9" fontId="8" fillId="0" borderId="0" xfId="1" applyNumberFormat="1" applyFont="1"/>
    <xf numFmtId="1" fontId="8" fillId="3" borderId="0" xfId="2" applyNumberFormat="1" applyFont="1" applyFill="1" applyBorder="1" applyAlignment="1">
      <alignment vertical="center"/>
    </xf>
    <xf numFmtId="165" fontId="9" fillId="0" borderId="0" xfId="2" applyNumberFormat="1" applyFont="1" applyBorder="1" applyAlignment="1"/>
    <xf numFmtId="165" fontId="8" fillId="3" borderId="0" xfId="2" applyNumberFormat="1" applyFont="1" applyFill="1" applyBorder="1"/>
    <xf numFmtId="9" fontId="9" fillId="3" borderId="0" xfId="2" applyNumberFormat="1" applyFont="1" applyFill="1" applyBorder="1"/>
    <xf numFmtId="0" fontId="9" fillId="0" borderId="6" xfId="1" applyFont="1" applyBorder="1"/>
    <xf numFmtId="0" fontId="9" fillId="0" borderId="4" xfId="1" applyFont="1" applyBorder="1"/>
    <xf numFmtId="0" fontId="8" fillId="0" borderId="4" xfId="1" applyFont="1" applyBorder="1"/>
    <xf numFmtId="9" fontId="11" fillId="3" borderId="3" xfId="2" applyNumberFormat="1" applyFont="1" applyFill="1" applyBorder="1"/>
    <xf numFmtId="9" fontId="11" fillId="0" borderId="3" xfId="2" applyNumberFormat="1" applyFont="1" applyBorder="1"/>
    <xf numFmtId="165" fontId="11" fillId="3" borderId="3" xfId="2" applyNumberFormat="1" applyFont="1" applyFill="1" applyBorder="1"/>
    <xf numFmtId="165" fontId="11" fillId="0" borderId="3" xfId="2" applyNumberFormat="1" applyFont="1" applyBorder="1"/>
    <xf numFmtId="165" fontId="10" fillId="0" borderId="3" xfId="2" applyNumberFormat="1" applyFont="1" applyBorder="1" applyAlignment="1">
      <alignment wrapText="1"/>
    </xf>
    <xf numFmtId="165" fontId="10" fillId="3" borderId="3" xfId="2" applyNumberFormat="1" applyFont="1" applyFill="1" applyBorder="1" applyAlignment="1">
      <alignment vertical="center"/>
    </xf>
    <xf numFmtId="165" fontId="10" fillId="0" borderId="3" xfId="2" applyNumberFormat="1" applyFont="1" applyBorder="1" applyAlignment="1">
      <alignment vertical="center"/>
    </xf>
    <xf numFmtId="165" fontId="10" fillId="3" borderId="3" xfId="2" applyNumberFormat="1" applyFont="1" applyFill="1" applyBorder="1"/>
    <xf numFmtId="165" fontId="10" fillId="0" borderId="3" xfId="2" applyNumberFormat="1" applyFont="1" applyBorder="1"/>
    <xf numFmtId="0" fontId="10" fillId="0" borderId="4" xfId="1" applyFont="1" applyBorder="1"/>
    <xf numFmtId="0" fontId="13" fillId="4" borderId="0" xfId="1" applyFont="1" applyFill="1"/>
    <xf numFmtId="0" fontId="13" fillId="5" borderId="0" xfId="1" applyFont="1" applyFill="1"/>
    <xf numFmtId="0" fontId="10" fillId="0" borderId="3" xfId="1" applyFont="1" applyBorder="1" applyAlignment="1">
      <alignment vertical="center" wrapText="1"/>
    </xf>
    <xf numFmtId="9" fontId="11" fillId="0" borderId="4" xfId="1" applyNumberFormat="1" applyFont="1" applyBorder="1"/>
    <xf numFmtId="0" fontId="10" fillId="0" borderId="3" xfId="1" applyFont="1" applyBorder="1" applyAlignment="1">
      <alignment wrapText="1"/>
    </xf>
    <xf numFmtId="165" fontId="10" fillId="0" borderId="3" xfId="2" applyNumberFormat="1" applyFont="1" applyFill="1" applyBorder="1" applyAlignment="1">
      <alignment vertical="center"/>
    </xf>
    <xf numFmtId="165" fontId="10" fillId="3" borderId="3" xfId="2" applyNumberFormat="1" applyFont="1" applyFill="1" applyBorder="1" applyAlignment="1">
      <alignment horizontal="left" vertical="center"/>
    </xf>
    <xf numFmtId="165" fontId="10" fillId="0" borderId="3" xfId="2" applyNumberFormat="1" applyFont="1" applyFill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165" fontId="10" fillId="0" borderId="3" xfId="2" applyNumberFormat="1" applyFont="1" applyBorder="1" applyAlignment="1">
      <alignment horizontal="left" vertical="center"/>
    </xf>
    <xf numFmtId="165" fontId="10" fillId="0" borderId="3" xfId="2" applyNumberFormat="1" applyFont="1" applyFill="1" applyBorder="1"/>
    <xf numFmtId="165" fontId="5" fillId="6" borderId="5" xfId="2" applyNumberFormat="1" applyFont="1" applyFill="1" applyBorder="1" applyAlignment="1">
      <alignment horizontal="center" vertical="center" wrapText="1"/>
    </xf>
    <xf numFmtId="17" fontId="5" fillId="7" borderId="5" xfId="2" applyNumberFormat="1" applyFont="1" applyFill="1" applyBorder="1" applyAlignment="1">
      <alignment horizontal="center" vertical="top" wrapText="1"/>
    </xf>
    <xf numFmtId="0" fontId="5" fillId="6" borderId="7" xfId="1" applyFont="1" applyFill="1" applyBorder="1" applyAlignment="1">
      <alignment horizontal="left" vertical="center"/>
    </xf>
    <xf numFmtId="9" fontId="8" fillId="3" borderId="0" xfId="2" applyNumberFormat="1" applyFont="1" applyFill="1"/>
    <xf numFmtId="9" fontId="8" fillId="0" borderId="0" xfId="2" applyNumberFormat="1" applyFont="1"/>
    <xf numFmtId="0" fontId="11" fillId="0" borderId="0" xfId="1" applyFont="1"/>
    <xf numFmtId="0" fontId="16" fillId="0" borderId="0" xfId="0" applyFont="1"/>
    <xf numFmtId="0" fontId="17" fillId="8" borderId="8" xfId="0" applyFont="1" applyFill="1" applyBorder="1" applyAlignment="1">
      <alignment horizontal="left"/>
    </xf>
    <xf numFmtId="169" fontId="0" fillId="0" borderId="0" xfId="0" applyNumberFormat="1"/>
    <xf numFmtId="0" fontId="2" fillId="9" borderId="0" xfId="0" applyFont="1" applyFill="1"/>
    <xf numFmtId="169" fontId="2" fillId="9" borderId="0" xfId="0" applyNumberFormat="1" applyFont="1" applyFill="1"/>
    <xf numFmtId="0" fontId="2" fillId="10" borderId="0" xfId="0" applyFont="1" applyFill="1"/>
    <xf numFmtId="169" fontId="2" fillId="10" borderId="0" xfId="0" applyNumberFormat="1" applyFont="1" applyFill="1"/>
    <xf numFmtId="0" fontId="2" fillId="11" borderId="9" xfId="0" applyFont="1" applyFill="1" applyBorder="1"/>
    <xf numFmtId="169" fontId="2" fillId="11" borderId="9" xfId="0" applyNumberFormat="1" applyFont="1" applyFill="1" applyBorder="1"/>
    <xf numFmtId="0" fontId="2" fillId="11" borderId="10" xfId="0" applyFont="1" applyFill="1" applyBorder="1"/>
    <xf numFmtId="169" fontId="2" fillId="11" borderId="10" xfId="0" applyNumberFormat="1" applyFont="1" applyFill="1" applyBorder="1"/>
    <xf numFmtId="0" fontId="2" fillId="11" borderId="11" xfId="0" applyFont="1" applyFill="1" applyBorder="1"/>
    <xf numFmtId="169" fontId="2" fillId="11" borderId="11" xfId="0" applyNumberFormat="1" applyFont="1" applyFill="1" applyBorder="1"/>
    <xf numFmtId="49" fontId="0" fillId="0" borderId="0" xfId="0" applyNumberFormat="1"/>
    <xf numFmtId="49" fontId="17" fillId="8" borderId="8" xfId="0" applyNumberFormat="1" applyFont="1" applyFill="1" applyBorder="1" applyAlignment="1">
      <alignment horizontal="center"/>
    </xf>
    <xf numFmtId="0" fontId="8" fillId="4" borderId="4" xfId="1" applyFont="1" applyFill="1" applyBorder="1"/>
    <xf numFmtId="168" fontId="0" fillId="0" borderId="0" xfId="5" applyNumberFormat="1" applyFont="1"/>
    <xf numFmtId="165" fontId="0" fillId="0" borderId="0" xfId="2" applyNumberFormat="1" applyFont="1"/>
    <xf numFmtId="168" fontId="0" fillId="0" borderId="0" xfId="5" applyNumberFormat="1" applyFont="1" applyFill="1"/>
    <xf numFmtId="165" fontId="2" fillId="12" borderId="12" xfId="1" applyNumberFormat="1" applyFont="1" applyFill="1" applyBorder="1"/>
    <xf numFmtId="165" fontId="1" fillId="0" borderId="0" xfId="1" applyNumberFormat="1"/>
    <xf numFmtId="168" fontId="1" fillId="0" borderId="0" xfId="1" applyNumberFormat="1" applyAlignment="1">
      <alignment horizontal="left"/>
    </xf>
    <xf numFmtId="168" fontId="1" fillId="0" borderId="0" xfId="1" applyNumberFormat="1" applyAlignment="1">
      <alignment horizontal="left" indent="3"/>
    </xf>
    <xf numFmtId="168" fontId="1" fillId="0" borderId="0" xfId="1" applyNumberFormat="1" applyAlignment="1">
      <alignment horizontal="left" indent="2"/>
    </xf>
    <xf numFmtId="165" fontId="2" fillId="0" borderId="0" xfId="1" applyNumberFormat="1" applyFont="1"/>
    <xf numFmtId="168" fontId="1" fillId="0" borderId="0" xfId="1" applyNumberFormat="1" applyAlignment="1">
      <alignment horizontal="left" indent="1"/>
    </xf>
    <xf numFmtId="165" fontId="2" fillId="0" borderId="13" xfId="1" applyNumberFormat="1" applyFont="1" applyBorder="1"/>
    <xf numFmtId="168" fontId="0" fillId="5" borderId="0" xfId="5" applyNumberFormat="1" applyFont="1" applyFill="1"/>
    <xf numFmtId="165" fontId="18" fillId="0" borderId="0" xfId="1" applyNumberFormat="1" applyFont="1"/>
    <xf numFmtId="165" fontId="20" fillId="0" borderId="0" xfId="1" applyNumberFormat="1" applyFont="1"/>
    <xf numFmtId="168" fontId="20" fillId="5" borderId="0" xfId="5" applyNumberFormat="1" applyFont="1" applyFill="1"/>
    <xf numFmtId="168" fontId="1" fillId="0" borderId="0" xfId="5" applyNumberFormat="1" applyFont="1"/>
    <xf numFmtId="168" fontId="20" fillId="0" borderId="0" xfId="5" applyNumberFormat="1" applyFont="1" applyFill="1"/>
    <xf numFmtId="168" fontId="19" fillId="0" borderId="0" xfId="1" applyNumberFormat="1" applyFont="1" applyAlignment="1">
      <alignment horizontal="left" indent="3"/>
    </xf>
    <xf numFmtId="15" fontId="2" fillId="12" borderId="13" xfId="1" applyNumberFormat="1" applyFont="1" applyFill="1" applyBorder="1"/>
    <xf numFmtId="15" fontId="1" fillId="0" borderId="0" xfId="1" applyNumberFormat="1"/>
    <xf numFmtId="15" fontId="2" fillId="0" borderId="0" xfId="1" applyNumberFormat="1" applyFont="1"/>
    <xf numFmtId="168" fontId="1" fillId="0" borderId="0" xfId="1" applyNumberFormat="1"/>
    <xf numFmtId="165" fontId="2" fillId="12" borderId="0" xfId="1" applyNumberFormat="1" applyFont="1" applyFill="1"/>
    <xf numFmtId="168" fontId="2" fillId="0" borderId="0" xfId="5" applyNumberFormat="1" applyFont="1"/>
    <xf numFmtId="9" fontId="0" fillId="0" borderId="0" xfId="6" applyFont="1"/>
    <xf numFmtId="0" fontId="21" fillId="0" borderId="0" xfId="7"/>
    <xf numFmtId="168" fontId="21" fillId="0" borderId="0" xfId="4" applyNumberFormat="1" applyFont="1" applyFill="1"/>
    <xf numFmtId="168" fontId="0" fillId="0" borderId="0" xfId="4" applyNumberFormat="1" applyFont="1" applyFill="1"/>
    <xf numFmtId="166" fontId="0" fillId="0" borderId="0" xfId="8" applyNumberFormat="1" applyFont="1" applyFill="1"/>
    <xf numFmtId="0" fontId="22" fillId="0" borderId="0" xfId="7" applyFont="1"/>
    <xf numFmtId="43" fontId="21" fillId="0" borderId="0" xfId="7" applyNumberFormat="1"/>
    <xf numFmtId="166" fontId="2" fillId="12" borderId="12" xfId="1" applyNumberFormat="1" applyFont="1" applyFill="1" applyBorder="1"/>
    <xf numFmtId="166" fontId="1" fillId="0" borderId="0" xfId="1" applyNumberFormat="1"/>
    <xf numFmtId="0" fontId="23" fillId="0" borderId="0" xfId="1" applyFont="1"/>
    <xf numFmtId="166" fontId="2" fillId="0" borderId="14" xfId="1" applyNumberFormat="1" applyFont="1" applyBorder="1"/>
    <xf numFmtId="166" fontId="18" fillId="0" borderId="14" xfId="1" applyNumberFormat="1" applyFont="1" applyBorder="1"/>
    <xf numFmtId="166" fontId="20" fillId="0" borderId="0" xfId="1" applyNumberFormat="1" applyFont="1"/>
    <xf numFmtId="0" fontId="24" fillId="0" borderId="0" xfId="1" applyFont="1"/>
    <xf numFmtId="0" fontId="0" fillId="0" borderId="0" xfId="7" applyFont="1"/>
    <xf numFmtId="43" fontId="0" fillId="0" borderId="0" xfId="7" applyNumberFormat="1" applyFont="1"/>
    <xf numFmtId="10" fontId="21" fillId="0" borderId="0" xfId="6" applyNumberFormat="1" applyFont="1" applyFill="1"/>
    <xf numFmtId="170" fontId="21" fillId="0" borderId="0" xfId="7" applyNumberFormat="1"/>
    <xf numFmtId="168" fontId="2" fillId="12" borderId="0" xfId="1" applyNumberFormat="1" applyFont="1" applyFill="1"/>
    <xf numFmtId="9" fontId="21" fillId="0" borderId="0" xfId="7" applyNumberFormat="1"/>
    <xf numFmtId="166" fontId="21" fillId="0" borderId="0" xfId="7" applyNumberFormat="1"/>
    <xf numFmtId="168" fontId="21" fillId="0" borderId="0" xfId="4" applyNumberFormat="1" applyFont="1"/>
    <xf numFmtId="168" fontId="0" fillId="0" borderId="0" xfId="4" applyNumberFormat="1" applyFont="1"/>
    <xf numFmtId="166" fontId="0" fillId="0" borderId="0" xfId="8" applyNumberFormat="1" applyFont="1"/>
    <xf numFmtId="0" fontId="25" fillId="0" borderId="0" xfId="7" applyFont="1"/>
    <xf numFmtId="0" fontId="15" fillId="0" borderId="0" xfId="0" applyFont="1"/>
  </cellXfs>
  <cellStyles count="9">
    <cellStyle name="Comma 2" xfId="4" xr:uid="{E8C98117-5433-4079-AD69-852CC79FDC40}"/>
    <cellStyle name="Comma 2 2" xfId="3" xr:uid="{F549AC87-1E2F-4372-A773-F9233ACD66C6}"/>
    <cellStyle name="Comma 4" xfId="8" xr:uid="{95B27BB6-E4C0-44E2-A363-504EDB43EC1B}"/>
    <cellStyle name="Comma 5" xfId="5" xr:uid="{CA8BBF1B-D471-463C-9218-B01B6BDB788E}"/>
    <cellStyle name="Currency 2" xfId="2" xr:uid="{D79D86BD-8EB0-49BA-96F5-11CD27903EB9}"/>
    <cellStyle name="Normal" xfId="0" builtinId="0"/>
    <cellStyle name="Normal 2" xfId="1" xr:uid="{B79F3C1F-3DFB-49CC-8489-2856B898C7DF}"/>
    <cellStyle name="Normal 3 2" xfId="7" xr:uid="{59BD3E02-E79F-437A-B89E-B0FA6CF89716}"/>
    <cellStyle name="Percent 2" xfId="6" xr:uid="{8986D0D7-D4C2-4B99-886A-F82A9C422C1B}"/>
  </cellStyles>
  <dxfs count="241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none">
          <bgColor auto="1"/>
        </patternFill>
      </fill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20" formatCode="d\-mmm\-yy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</dxf>
    <dxf>
      <font>
        <color theme="1"/>
      </font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iceroutefinanc-my.sharepoint.com/personal/bhavana_srfcapital_studio/Documents/MIS%20Dashboard%20-%20iMagnum/Imagnum%20MIS%20Feb'26%20-%20Final.xlsx" TargetMode="External"/><Relationship Id="rId1" Type="http://schemas.openxmlformats.org/officeDocument/2006/relationships/externalLinkPath" Target="MIS%20Dashboard%20-%20iMagnum/Imagnum%20MIS%20Feb'26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FO Commentry"/>
      <sheetName val="Index"/>
      <sheetName val="Revenue YTD"/>
      <sheetName val="Consolidated PnL"/>
      <sheetName val="CFS"/>
      <sheetName val="Consolidated BS"/>
      <sheetName val="Consolidated PnL (Base)"/>
      <sheetName val="Consolidated PnL (Base+New)"/>
      <sheetName val="Trichy Consolidated PnL"/>
      <sheetName val="Consolidated YTD"/>
      <sheetName val="Holding Detailed Exp summary"/>
      <sheetName val="Subs Detailed Exp Summary"/>
      <sheetName val="Payroll Dashboard"/>
      <sheetName val="Payroll Analysis (2)"/>
      <sheetName val="Payroll Analysis"/>
      <sheetName val="Holding MoM PnL"/>
      <sheetName val="Subs MoM PnL"/>
      <sheetName val="Holding Inc statement"/>
      <sheetName val="Subs Income statement"/>
      <sheetName val="Cash Flow "/>
      <sheetName val="Holding Balance Sheet"/>
      <sheetName val="Subs Balance Sheet"/>
      <sheetName val="Consolidated Monthly PnL"/>
      <sheetName val="Cons Balance sheet"/>
      <sheetName val="Payroll Analysis (Trichy)"/>
      <sheetName val="Workings"/>
      <sheetName val="Payroll Base Sheet"/>
      <sheetName val="Payroll Base Sheet (Trichy)"/>
      <sheetName val="Expense categorisation - US"/>
      <sheetName val="PnL US(Budget)"/>
      <sheetName val="Base sheet for US Budget"/>
      <sheetName val="US Budget"/>
      <sheetName val="US Budget (Base+New)"/>
      <sheetName val="Ind Budget"/>
      <sheetName val="Ind Budget (Base+New)"/>
      <sheetName val="Base sheet for Ind Budget"/>
      <sheetName val="Base+New for Ind Budget"/>
      <sheetName val="Expense Categorisation - Ind"/>
      <sheetName val="TB 24-25 US"/>
      <sheetName val="TB 24-25 Ind"/>
      <sheetName val="Advance Tax 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Y5">
            <v>217</v>
          </cell>
          <cell r="BA5">
            <v>197</v>
          </cell>
        </row>
        <row r="12">
          <cell r="BA12">
            <v>281</v>
          </cell>
        </row>
      </sheetData>
      <sheetData sheetId="13" refreshError="1"/>
      <sheetData sheetId="14" refreshError="1"/>
      <sheetData sheetId="15">
        <row r="51">
          <cell r="B51" t="str">
            <v>Revenue</v>
          </cell>
        </row>
      </sheetData>
      <sheetData sheetId="16">
        <row r="6">
          <cell r="V6">
            <v>184956.84444444443</v>
          </cell>
        </row>
        <row r="7">
          <cell r="T7">
            <v>184697.01380434784</v>
          </cell>
        </row>
        <row r="37">
          <cell r="T37">
            <v>33092.137173913055</v>
          </cell>
        </row>
      </sheetData>
      <sheetData sheetId="17">
        <row r="45">
          <cell r="B45" t="str">
            <v>Particulars</v>
          </cell>
          <cell r="C45">
            <v>45315</v>
          </cell>
          <cell r="D45">
            <v>45346</v>
          </cell>
          <cell r="E45">
            <v>45375</v>
          </cell>
          <cell r="F45">
            <v>45383</v>
          </cell>
          <cell r="G45">
            <v>45436</v>
          </cell>
          <cell r="H45">
            <v>45444</v>
          </cell>
          <cell r="I45">
            <v>45497</v>
          </cell>
          <cell r="J45">
            <v>45528</v>
          </cell>
          <cell r="K45">
            <v>45559</v>
          </cell>
          <cell r="L45">
            <v>45589</v>
          </cell>
          <cell r="M45">
            <v>45620</v>
          </cell>
          <cell r="N45">
            <v>45650</v>
          </cell>
          <cell r="O45">
            <v>45681</v>
          </cell>
          <cell r="P45">
            <v>45712</v>
          </cell>
          <cell r="Q45">
            <v>45740</v>
          </cell>
          <cell r="R45">
            <v>45748</v>
          </cell>
          <cell r="S45">
            <v>45801</v>
          </cell>
          <cell r="T45">
            <v>45809</v>
          </cell>
          <cell r="U45">
            <v>45862</v>
          </cell>
          <cell r="V45">
            <v>45893</v>
          </cell>
          <cell r="W45">
            <v>45924</v>
          </cell>
          <cell r="X45">
            <v>45954</v>
          </cell>
          <cell r="Y45">
            <v>45985</v>
          </cell>
          <cell r="Z45">
            <v>46015</v>
          </cell>
          <cell r="AA45" t="str">
            <v>YTD</v>
          </cell>
          <cell r="AB45">
            <v>46046</v>
          </cell>
        </row>
        <row r="46">
          <cell r="B46" t="str">
            <v>Revenue</v>
          </cell>
        </row>
        <row r="47">
          <cell r="B47" t="str">
            <v>Sales</v>
          </cell>
          <cell r="C47">
            <v>91974.57</v>
          </cell>
          <cell r="D47">
            <v>105477.74</v>
          </cell>
          <cell r="E47">
            <v>126757.03</v>
          </cell>
          <cell r="F47">
            <v>144168.4</v>
          </cell>
          <cell r="G47">
            <v>173232.06</v>
          </cell>
          <cell r="H47">
            <v>207304.62</v>
          </cell>
          <cell r="I47">
            <v>214786.99</v>
          </cell>
          <cell r="J47">
            <v>223363.77</v>
          </cell>
          <cell r="K47">
            <v>229380.03</v>
          </cell>
          <cell r="L47">
            <v>220523.59</v>
          </cell>
          <cell r="M47">
            <v>186492.69</v>
          </cell>
          <cell r="N47">
            <v>220384.25</v>
          </cell>
          <cell r="O47">
            <v>191387.61</v>
          </cell>
          <cell r="P47">
            <v>238264.71</v>
          </cell>
          <cell r="Q47">
            <v>206524.63</v>
          </cell>
          <cell r="R47">
            <v>220412.56</v>
          </cell>
          <cell r="S47">
            <v>241763</v>
          </cell>
          <cell r="T47">
            <v>255926</v>
          </cell>
          <cell r="U47">
            <v>268669</v>
          </cell>
          <cell r="V47">
            <v>244596</v>
          </cell>
          <cell r="W47">
            <v>240046</v>
          </cell>
          <cell r="X47">
            <v>236462</v>
          </cell>
          <cell r="Y47">
            <v>218973</v>
          </cell>
          <cell r="Z47">
            <v>218948</v>
          </cell>
          <cell r="AA47">
            <v>2781972.51</v>
          </cell>
          <cell r="AB47">
            <v>226527</v>
          </cell>
        </row>
        <row r="48">
          <cell r="B48" t="str">
            <v>Other Charges</v>
          </cell>
          <cell r="C48">
            <v>-288.57</v>
          </cell>
          <cell r="D48">
            <v>-404.74</v>
          </cell>
          <cell r="E48">
            <v>-1591.03</v>
          </cell>
          <cell r="F48">
            <v>-1534.4</v>
          </cell>
          <cell r="G48">
            <v>-158.06</v>
          </cell>
          <cell r="H48">
            <v>-1542.62</v>
          </cell>
          <cell r="I48">
            <v>-288.99</v>
          </cell>
          <cell r="J48">
            <v>-259.77</v>
          </cell>
          <cell r="K48">
            <v>-216.03</v>
          </cell>
          <cell r="L48">
            <v>-382.59</v>
          </cell>
          <cell r="M48">
            <v>-294.69</v>
          </cell>
          <cell r="N48">
            <v>-294.25</v>
          </cell>
          <cell r="O48">
            <v>-214.61</v>
          </cell>
          <cell r="P48">
            <v>-229.71</v>
          </cell>
          <cell r="Q48">
            <v>-288.63</v>
          </cell>
          <cell r="R48">
            <v>-0.02</v>
          </cell>
          <cell r="S48">
            <v>0</v>
          </cell>
          <cell r="T48">
            <v>0.03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-732.94</v>
          </cell>
          <cell r="AB48">
            <v>0</v>
          </cell>
        </row>
        <row r="49">
          <cell r="B49" t="str">
            <v>General Income</v>
          </cell>
          <cell r="C49">
            <v>0</v>
          </cell>
          <cell r="D49">
            <v>0</v>
          </cell>
          <cell r="E49">
            <v>0.01</v>
          </cell>
          <cell r="F49">
            <v>0</v>
          </cell>
          <cell r="G49">
            <v>0</v>
          </cell>
          <cell r="H49">
            <v>0</v>
          </cell>
          <cell r="I49">
            <v>0.01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0.01</v>
          </cell>
          <cell r="Q49">
            <v>0</v>
          </cell>
          <cell r="R49">
            <v>0</v>
          </cell>
          <cell r="S49">
            <v>0</v>
          </cell>
          <cell r="T49">
            <v>-100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-99.99</v>
          </cell>
          <cell r="AB49">
            <v>287</v>
          </cell>
        </row>
        <row r="50">
          <cell r="B50" t="str">
            <v>Total Revenue</v>
          </cell>
          <cell r="C50">
            <v>91686</v>
          </cell>
          <cell r="D50">
            <v>105073</v>
          </cell>
          <cell r="E50">
            <v>125166.01</v>
          </cell>
          <cell r="F50">
            <v>142634</v>
          </cell>
          <cell r="G50">
            <v>173074</v>
          </cell>
          <cell r="H50">
            <v>205762</v>
          </cell>
          <cell r="I50">
            <v>214498.01</v>
          </cell>
          <cell r="J50">
            <v>223104</v>
          </cell>
          <cell r="K50">
            <v>229164</v>
          </cell>
          <cell r="L50">
            <v>220141</v>
          </cell>
          <cell r="M50">
            <v>186198</v>
          </cell>
          <cell r="N50">
            <v>220090</v>
          </cell>
          <cell r="O50">
            <v>191173</v>
          </cell>
          <cell r="P50">
            <v>238035.01</v>
          </cell>
          <cell r="Q50">
            <v>206236</v>
          </cell>
          <cell r="R50">
            <v>220412.54</v>
          </cell>
          <cell r="S50">
            <v>241763</v>
          </cell>
          <cell r="T50">
            <v>255826.03</v>
          </cell>
          <cell r="U50">
            <v>268669</v>
          </cell>
          <cell r="V50">
            <v>244596</v>
          </cell>
          <cell r="W50">
            <v>240046</v>
          </cell>
          <cell r="X50">
            <v>236462</v>
          </cell>
          <cell r="Y50">
            <v>218973</v>
          </cell>
          <cell r="Z50">
            <v>218948</v>
          </cell>
          <cell r="AA50">
            <v>2781139.5799999996</v>
          </cell>
          <cell r="AB50">
            <v>226814</v>
          </cell>
        </row>
        <row r="52">
          <cell r="B52" t="str">
            <v>Manpower</v>
          </cell>
        </row>
        <row r="53">
          <cell r="B53" t="str">
            <v>Consultancy fee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373.92</v>
          </cell>
          <cell r="J53">
            <v>0</v>
          </cell>
          <cell r="K53">
            <v>108.33</v>
          </cell>
          <cell r="L53">
            <v>2920.07</v>
          </cell>
          <cell r="M53">
            <v>2948.07</v>
          </cell>
          <cell r="N53">
            <v>1599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Total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373.92</v>
          </cell>
          <cell r="J54">
            <v>0</v>
          </cell>
          <cell r="K54">
            <v>108.33</v>
          </cell>
          <cell r="L54">
            <v>2920.07</v>
          </cell>
          <cell r="M54">
            <v>2948.07</v>
          </cell>
          <cell r="N54">
            <v>1599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6">
          <cell r="B56" t="str">
            <v>Facility Cost</v>
          </cell>
        </row>
        <row r="57">
          <cell r="B57" t="str">
            <v>Electricity</v>
          </cell>
          <cell r="C57">
            <v>34.46</v>
          </cell>
          <cell r="D57">
            <v>0</v>
          </cell>
          <cell r="E57">
            <v>140.30000000000001</v>
          </cell>
          <cell r="F57">
            <v>201.66</v>
          </cell>
          <cell r="G57">
            <v>84.16</v>
          </cell>
          <cell r="H57">
            <v>107.55</v>
          </cell>
          <cell r="I57">
            <v>129.61000000000001</v>
          </cell>
          <cell r="J57">
            <v>121.62</v>
          </cell>
          <cell r="K57">
            <v>157.63</v>
          </cell>
          <cell r="L57">
            <v>145.49</v>
          </cell>
          <cell r="M57">
            <v>108.56</v>
          </cell>
          <cell r="N57">
            <v>52.2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B58" t="str">
            <v>Rent Expense</v>
          </cell>
          <cell r="C58">
            <v>2765.54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1050</v>
          </cell>
          <cell r="S58">
            <v>0</v>
          </cell>
          <cell r="T58">
            <v>2000</v>
          </cell>
          <cell r="U58">
            <v>0</v>
          </cell>
          <cell r="V58">
            <v>0</v>
          </cell>
          <cell r="W58">
            <v>2000</v>
          </cell>
          <cell r="X58">
            <v>0</v>
          </cell>
          <cell r="Y58">
            <v>2000</v>
          </cell>
          <cell r="Z58">
            <v>0</v>
          </cell>
          <cell r="AA58">
            <v>7050</v>
          </cell>
          <cell r="AB58">
            <v>2000</v>
          </cell>
        </row>
        <row r="59">
          <cell r="B59" t="str">
            <v>Total</v>
          </cell>
          <cell r="C59">
            <v>2800</v>
          </cell>
          <cell r="D59">
            <v>0</v>
          </cell>
          <cell r="E59">
            <v>140.30000000000001</v>
          </cell>
          <cell r="F59">
            <v>201.66</v>
          </cell>
          <cell r="G59">
            <v>84.16</v>
          </cell>
          <cell r="H59">
            <v>107.55</v>
          </cell>
          <cell r="I59">
            <v>129.61000000000001</v>
          </cell>
          <cell r="J59">
            <v>121.62</v>
          </cell>
          <cell r="K59">
            <v>157.63</v>
          </cell>
          <cell r="L59">
            <v>145.49</v>
          </cell>
          <cell r="M59">
            <v>108.56</v>
          </cell>
          <cell r="N59">
            <v>52.2</v>
          </cell>
          <cell r="O59">
            <v>0</v>
          </cell>
          <cell r="P59">
            <v>0</v>
          </cell>
          <cell r="Q59">
            <v>0</v>
          </cell>
          <cell r="R59">
            <v>1050</v>
          </cell>
          <cell r="S59">
            <v>0</v>
          </cell>
          <cell r="T59">
            <v>2000</v>
          </cell>
          <cell r="U59">
            <v>0</v>
          </cell>
          <cell r="V59">
            <v>0</v>
          </cell>
          <cell r="W59">
            <v>2000</v>
          </cell>
          <cell r="X59">
            <v>0</v>
          </cell>
          <cell r="Y59">
            <v>2000</v>
          </cell>
          <cell r="Z59">
            <v>0</v>
          </cell>
          <cell r="AA59">
            <v>7050</v>
          </cell>
          <cell r="AB59">
            <v>2000</v>
          </cell>
        </row>
        <row r="61">
          <cell r="B61" t="str">
            <v>Wages</v>
          </cell>
        </row>
        <row r="62">
          <cell r="B62" t="str">
            <v>Contractors</v>
          </cell>
          <cell r="C62">
            <v>87918</v>
          </cell>
          <cell r="D62">
            <v>94989</v>
          </cell>
          <cell r="E62">
            <v>86547</v>
          </cell>
          <cell r="F62">
            <v>100349</v>
          </cell>
          <cell r="G62">
            <v>100586.17</v>
          </cell>
          <cell r="H62">
            <v>101218.61</v>
          </cell>
          <cell r="I62">
            <v>106821.39</v>
          </cell>
          <cell r="J62">
            <v>136870.41</v>
          </cell>
          <cell r="K62">
            <v>139895</v>
          </cell>
          <cell r="L62">
            <v>141229</v>
          </cell>
          <cell r="M62">
            <v>154000</v>
          </cell>
          <cell r="N62">
            <v>131800</v>
          </cell>
          <cell r="O62">
            <v>137139</v>
          </cell>
          <cell r="P62">
            <v>141484</v>
          </cell>
          <cell r="Q62">
            <v>140018</v>
          </cell>
          <cell r="R62">
            <v>164649</v>
          </cell>
          <cell r="S62">
            <v>151760</v>
          </cell>
          <cell r="T62">
            <v>200674</v>
          </cell>
          <cell r="U62">
            <v>158956</v>
          </cell>
          <cell r="V62">
            <v>173054</v>
          </cell>
          <cell r="W62">
            <v>187101</v>
          </cell>
          <cell r="X62">
            <v>183412</v>
          </cell>
          <cell r="Y62">
            <v>190966</v>
          </cell>
          <cell r="Z62">
            <v>187035</v>
          </cell>
          <cell r="AA62">
            <v>2016248</v>
          </cell>
          <cell r="AB62">
            <v>184697</v>
          </cell>
        </row>
        <row r="63">
          <cell r="B63" t="str">
            <v>Total</v>
          </cell>
          <cell r="C63">
            <v>87918</v>
          </cell>
          <cell r="D63">
            <v>94989</v>
          </cell>
          <cell r="E63">
            <v>86547</v>
          </cell>
          <cell r="F63">
            <v>100349</v>
          </cell>
          <cell r="G63">
            <v>100586.17</v>
          </cell>
          <cell r="H63">
            <v>101218.61</v>
          </cell>
          <cell r="I63">
            <v>106821.39</v>
          </cell>
          <cell r="J63">
            <v>136870.41</v>
          </cell>
          <cell r="K63">
            <v>139895</v>
          </cell>
          <cell r="L63">
            <v>141229</v>
          </cell>
          <cell r="M63">
            <v>154000</v>
          </cell>
          <cell r="N63">
            <v>131800</v>
          </cell>
          <cell r="O63">
            <v>137139</v>
          </cell>
          <cell r="P63">
            <v>141484</v>
          </cell>
          <cell r="Q63">
            <v>140018</v>
          </cell>
          <cell r="R63">
            <v>164649</v>
          </cell>
          <cell r="S63">
            <v>151760</v>
          </cell>
          <cell r="T63">
            <v>200674</v>
          </cell>
          <cell r="U63">
            <v>158956</v>
          </cell>
          <cell r="V63">
            <v>173054</v>
          </cell>
          <cell r="W63">
            <v>187101</v>
          </cell>
          <cell r="X63">
            <v>183412</v>
          </cell>
          <cell r="Y63">
            <v>190966</v>
          </cell>
          <cell r="Z63">
            <v>187035</v>
          </cell>
          <cell r="AA63">
            <v>2016248</v>
          </cell>
          <cell r="AB63">
            <v>184697</v>
          </cell>
        </row>
        <row r="65">
          <cell r="B65" t="str">
            <v>Telecom/data</v>
          </cell>
        </row>
        <row r="66">
          <cell r="B66" t="str">
            <v>Telephone Expense</v>
          </cell>
          <cell r="C66">
            <v>1613.91</v>
          </cell>
          <cell r="D66">
            <v>298.29000000000002</v>
          </cell>
          <cell r="E66">
            <v>193.42</v>
          </cell>
          <cell r="F66">
            <v>205.27</v>
          </cell>
          <cell r="G66">
            <v>185.1</v>
          </cell>
          <cell r="H66">
            <v>188.74</v>
          </cell>
          <cell r="I66">
            <v>200.51</v>
          </cell>
          <cell r="J66">
            <v>331.93</v>
          </cell>
          <cell r="K66">
            <v>221.38</v>
          </cell>
          <cell r="L66">
            <v>313.5</v>
          </cell>
          <cell r="M66">
            <v>212.1</v>
          </cell>
          <cell r="N66">
            <v>299.86</v>
          </cell>
          <cell r="O66">
            <v>1644.11</v>
          </cell>
          <cell r="P66">
            <v>260.23</v>
          </cell>
          <cell r="Q66">
            <v>241.91</v>
          </cell>
          <cell r="R66">
            <v>387.4</v>
          </cell>
          <cell r="S66">
            <v>257.37</v>
          </cell>
          <cell r="T66">
            <v>236.52</v>
          </cell>
          <cell r="U66">
            <v>378.78</v>
          </cell>
          <cell r="V66">
            <v>376.84</v>
          </cell>
          <cell r="W66">
            <v>371.4</v>
          </cell>
          <cell r="X66">
            <v>311.52</v>
          </cell>
          <cell r="Y66">
            <v>292.62</v>
          </cell>
          <cell r="Z66">
            <v>308.95999999999998</v>
          </cell>
          <cell r="AA66">
            <v>5067.66</v>
          </cell>
          <cell r="AB66">
            <v>2335.84</v>
          </cell>
        </row>
        <row r="67">
          <cell r="B67" t="str">
            <v>Dues and Subscriptions</v>
          </cell>
          <cell r="C67">
            <v>1547.85</v>
          </cell>
          <cell r="D67">
            <v>253.65</v>
          </cell>
          <cell r="E67">
            <v>762.7</v>
          </cell>
          <cell r="F67">
            <v>334.54</v>
          </cell>
          <cell r="G67">
            <v>253.37</v>
          </cell>
          <cell r="H67">
            <v>413.31</v>
          </cell>
          <cell r="I67">
            <v>1559.45</v>
          </cell>
          <cell r="J67">
            <v>453.6</v>
          </cell>
          <cell r="K67">
            <v>491.71</v>
          </cell>
          <cell r="L67">
            <v>395.73</v>
          </cell>
          <cell r="M67">
            <v>486.18</v>
          </cell>
          <cell r="N67">
            <v>345.75</v>
          </cell>
          <cell r="O67">
            <v>314.83999999999997</v>
          </cell>
          <cell r="P67">
            <v>321.81</v>
          </cell>
          <cell r="Q67">
            <v>431.18</v>
          </cell>
          <cell r="R67">
            <v>309.74</v>
          </cell>
          <cell r="S67">
            <v>1155.5899999999999</v>
          </cell>
          <cell r="T67">
            <v>447.56</v>
          </cell>
          <cell r="U67">
            <v>375.97</v>
          </cell>
          <cell r="V67">
            <v>492.04</v>
          </cell>
          <cell r="W67">
            <v>610.89</v>
          </cell>
          <cell r="X67">
            <v>494.47</v>
          </cell>
          <cell r="Y67">
            <v>426.89</v>
          </cell>
          <cell r="Z67">
            <v>403.23</v>
          </cell>
          <cell r="AA67">
            <v>5784.2100000000009</v>
          </cell>
          <cell r="AB67">
            <v>435.09</v>
          </cell>
        </row>
        <row r="68">
          <cell r="B68" t="str">
            <v>It and Internet Expenses</v>
          </cell>
          <cell r="C68">
            <v>113.82</v>
          </cell>
          <cell r="D68">
            <v>106.88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114.88</v>
          </cell>
          <cell r="J68">
            <v>96.82</v>
          </cell>
          <cell r="K68">
            <v>31.92</v>
          </cell>
          <cell r="L68">
            <v>31.98</v>
          </cell>
          <cell r="M68">
            <v>31.92</v>
          </cell>
          <cell r="N68">
            <v>135.76</v>
          </cell>
          <cell r="O68">
            <v>31.92</v>
          </cell>
          <cell r="P68">
            <v>31.92</v>
          </cell>
          <cell r="Q68">
            <v>0</v>
          </cell>
          <cell r="R68">
            <v>227.51999999999998</v>
          </cell>
          <cell r="S68">
            <v>274.94</v>
          </cell>
          <cell r="T68">
            <v>509.84</v>
          </cell>
          <cell r="U68">
            <v>1726.01</v>
          </cell>
          <cell r="V68">
            <v>511.61</v>
          </cell>
          <cell r="W68">
            <v>586.54999999999995</v>
          </cell>
          <cell r="X68">
            <v>582.65</v>
          </cell>
          <cell r="Y68">
            <v>540.67999999999995</v>
          </cell>
          <cell r="Z68">
            <v>255.71</v>
          </cell>
          <cell r="AA68">
            <v>5279.3499999999995</v>
          </cell>
          <cell r="AB68">
            <v>499.3</v>
          </cell>
        </row>
        <row r="69">
          <cell r="B69" t="str">
            <v>Software Expenses</v>
          </cell>
          <cell r="C69">
            <v>0</v>
          </cell>
          <cell r="D69">
            <v>67.040000000000006</v>
          </cell>
          <cell r="E69">
            <v>66.290000000000006</v>
          </cell>
          <cell r="F69">
            <v>66.489999999999995</v>
          </cell>
          <cell r="G69">
            <v>66.69</v>
          </cell>
          <cell r="H69">
            <v>665.35</v>
          </cell>
          <cell r="I69">
            <v>0</v>
          </cell>
          <cell r="J69">
            <v>53.73</v>
          </cell>
          <cell r="K69">
            <v>162.19</v>
          </cell>
          <cell r="L69">
            <v>65.489999999999995</v>
          </cell>
          <cell r="M69">
            <v>204.08</v>
          </cell>
          <cell r="N69">
            <v>139.41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B70" t="str">
            <v>Total</v>
          </cell>
          <cell r="C70">
            <v>3275.5800000000004</v>
          </cell>
          <cell r="D70">
            <v>725.86</v>
          </cell>
          <cell r="E70">
            <v>1022.41</v>
          </cell>
          <cell r="F70">
            <v>606.30000000000007</v>
          </cell>
          <cell r="G70">
            <v>505.16</v>
          </cell>
          <cell r="H70">
            <v>1267.4000000000001</v>
          </cell>
          <cell r="I70">
            <v>1874.8400000000001</v>
          </cell>
          <cell r="J70">
            <v>936.07999999999993</v>
          </cell>
          <cell r="K70">
            <v>907.19999999999982</v>
          </cell>
          <cell r="L70">
            <v>806.7</v>
          </cell>
          <cell r="M70">
            <v>934.28</v>
          </cell>
          <cell r="N70">
            <v>920.78</v>
          </cell>
          <cell r="O70">
            <v>1990.87</v>
          </cell>
          <cell r="P70">
            <v>613.95999999999992</v>
          </cell>
          <cell r="Q70">
            <v>673.09</v>
          </cell>
          <cell r="R70">
            <v>924.66</v>
          </cell>
          <cell r="S70">
            <v>1687.9</v>
          </cell>
          <cell r="T70">
            <v>1193.92</v>
          </cell>
          <cell r="U70">
            <v>2480.7600000000002</v>
          </cell>
          <cell r="V70">
            <v>1380.49</v>
          </cell>
          <cell r="W70">
            <v>1568.84</v>
          </cell>
          <cell r="X70">
            <v>1388.6399999999999</v>
          </cell>
          <cell r="Y70">
            <v>1260.19</v>
          </cell>
          <cell r="Z70">
            <v>967.90000000000009</v>
          </cell>
          <cell r="AA70">
            <v>16131.220000000001</v>
          </cell>
          <cell r="AB70">
            <v>3270.2300000000005</v>
          </cell>
        </row>
        <row r="72">
          <cell r="B72" t="str">
            <v>Other COGS</v>
          </cell>
        </row>
        <row r="73">
          <cell r="B73" t="str">
            <v>Software expense</v>
          </cell>
          <cell r="C73">
            <v>0</v>
          </cell>
          <cell r="D73">
            <v>0</v>
          </cell>
          <cell r="E73">
            <v>0</v>
          </cell>
          <cell r="F73">
            <v>574.20000000000005</v>
          </cell>
          <cell r="G73">
            <v>629.67999999999995</v>
          </cell>
          <cell r="H73">
            <v>669.76</v>
          </cell>
          <cell r="I73">
            <v>677.2399999999999</v>
          </cell>
          <cell r="J73">
            <v>0</v>
          </cell>
          <cell r="K73">
            <v>921.78</v>
          </cell>
          <cell r="L73">
            <v>926.30000000000007</v>
          </cell>
          <cell r="M73">
            <v>4821.8</v>
          </cell>
          <cell r="N73">
            <v>933.51</v>
          </cell>
          <cell r="O73">
            <v>884.87</v>
          </cell>
          <cell r="P73">
            <v>12945.799999999997</v>
          </cell>
          <cell r="Q73">
            <v>14213.42</v>
          </cell>
          <cell r="R73">
            <v>15171.39</v>
          </cell>
          <cell r="S73">
            <v>17135.490000000002</v>
          </cell>
          <cell r="T73">
            <v>13642.039999999999</v>
          </cell>
          <cell r="U73">
            <v>17973.27</v>
          </cell>
          <cell r="V73">
            <v>37185.74</v>
          </cell>
          <cell r="W73">
            <v>15195.53</v>
          </cell>
          <cell r="X73">
            <v>20268.989999999998</v>
          </cell>
          <cell r="Y73">
            <v>20656.070000000003</v>
          </cell>
          <cell r="Z73">
            <v>17549.579999999998</v>
          </cell>
          <cell r="AA73">
            <v>202822.18999999997</v>
          </cell>
          <cell r="AB73">
            <v>14832.9</v>
          </cell>
        </row>
        <row r="74">
          <cell r="B74" t="str">
            <v>Total</v>
          </cell>
          <cell r="C74">
            <v>0</v>
          </cell>
          <cell r="D74">
            <v>0</v>
          </cell>
          <cell r="E74">
            <v>0</v>
          </cell>
          <cell r="F74">
            <v>574.20000000000005</v>
          </cell>
          <cell r="G74">
            <v>629.67999999999995</v>
          </cell>
          <cell r="H74">
            <v>669.76</v>
          </cell>
          <cell r="I74">
            <v>677.2399999999999</v>
          </cell>
          <cell r="J74">
            <v>0</v>
          </cell>
          <cell r="K74">
            <v>921.78</v>
          </cell>
          <cell r="L74">
            <v>926.30000000000007</v>
          </cell>
          <cell r="M74">
            <v>4821.8</v>
          </cell>
          <cell r="N74">
            <v>933.51</v>
          </cell>
          <cell r="O74">
            <v>884.87</v>
          </cell>
          <cell r="P74">
            <v>12945.799999999997</v>
          </cell>
          <cell r="Q74">
            <v>14213.42</v>
          </cell>
          <cell r="R74">
            <v>15171.39</v>
          </cell>
          <cell r="S74">
            <v>17135.490000000002</v>
          </cell>
          <cell r="T74">
            <v>13642.039999999999</v>
          </cell>
          <cell r="U74">
            <v>17973.27</v>
          </cell>
          <cell r="V74">
            <v>37185.74</v>
          </cell>
          <cell r="W74">
            <v>15195.53</v>
          </cell>
          <cell r="X74">
            <v>20268.989999999998</v>
          </cell>
          <cell r="Y74">
            <v>20656.070000000003</v>
          </cell>
          <cell r="Z74">
            <v>17549.579999999998</v>
          </cell>
          <cell r="AA74">
            <v>202822.18999999997</v>
          </cell>
          <cell r="AB74">
            <v>14832.9</v>
          </cell>
        </row>
        <row r="76">
          <cell r="B76" t="str">
            <v>Sales_and Marketing</v>
          </cell>
        </row>
        <row r="77">
          <cell r="B77" t="str">
            <v>Travel Expense</v>
          </cell>
          <cell r="C77">
            <v>3021.28</v>
          </cell>
          <cell r="D77">
            <v>3524.24</v>
          </cell>
          <cell r="E77">
            <v>1322.75</v>
          </cell>
          <cell r="F77">
            <v>223.99</v>
          </cell>
          <cell r="G77">
            <v>612.34</v>
          </cell>
          <cell r="H77">
            <v>168.05</v>
          </cell>
          <cell r="I77">
            <v>1107.46</v>
          </cell>
          <cell r="J77">
            <v>153.99</v>
          </cell>
          <cell r="K77">
            <v>295.47000000000003</v>
          </cell>
          <cell r="L77">
            <v>321.88</v>
          </cell>
          <cell r="M77">
            <v>3594.38</v>
          </cell>
          <cell r="N77">
            <v>1155.71</v>
          </cell>
          <cell r="O77">
            <v>153.99</v>
          </cell>
          <cell r="P77">
            <v>10586.68</v>
          </cell>
          <cell r="Q77">
            <v>6003.09</v>
          </cell>
          <cell r="R77">
            <v>3392.69</v>
          </cell>
          <cell r="S77">
            <v>1899.82</v>
          </cell>
          <cell r="T77">
            <v>1716.39</v>
          </cell>
          <cell r="U77">
            <v>117.02</v>
          </cell>
          <cell r="V77">
            <v>2563.0500000000002</v>
          </cell>
          <cell r="W77">
            <v>3281.54</v>
          </cell>
          <cell r="X77">
            <v>2676.22</v>
          </cell>
          <cell r="Y77">
            <v>2872.61</v>
          </cell>
          <cell r="Z77">
            <v>333.05</v>
          </cell>
          <cell r="AA77">
            <v>35596.15</v>
          </cell>
          <cell r="AB77">
            <v>1498.83</v>
          </cell>
        </row>
        <row r="78">
          <cell r="B78" t="str">
            <v>Meals and Entertainment</v>
          </cell>
          <cell r="C78">
            <v>1623.02</v>
          </cell>
          <cell r="D78">
            <v>502.98</v>
          </cell>
          <cell r="E78">
            <v>281.87</v>
          </cell>
          <cell r="F78">
            <v>0</v>
          </cell>
          <cell r="G78">
            <v>426.19</v>
          </cell>
          <cell r="H78">
            <v>0</v>
          </cell>
          <cell r="I78">
            <v>71.05</v>
          </cell>
          <cell r="J78">
            <v>0</v>
          </cell>
          <cell r="K78">
            <v>1908.89</v>
          </cell>
          <cell r="L78">
            <v>0</v>
          </cell>
          <cell r="M78">
            <v>25.94</v>
          </cell>
          <cell r="N78">
            <v>1809.71</v>
          </cell>
          <cell r="O78">
            <v>145.84</v>
          </cell>
          <cell r="P78">
            <v>1109.45</v>
          </cell>
          <cell r="Q78">
            <v>3461.15</v>
          </cell>
          <cell r="R78">
            <v>362.91999999999996</v>
          </cell>
          <cell r="S78">
            <v>520.75</v>
          </cell>
          <cell r="T78">
            <v>0</v>
          </cell>
          <cell r="U78">
            <v>78.06</v>
          </cell>
          <cell r="V78">
            <v>939.19</v>
          </cell>
          <cell r="W78">
            <v>261.94</v>
          </cell>
          <cell r="X78">
            <v>180.56</v>
          </cell>
          <cell r="Y78">
            <v>167.19</v>
          </cell>
          <cell r="Z78">
            <v>326.43</v>
          </cell>
          <cell r="AA78">
            <v>7553.4800000000005</v>
          </cell>
          <cell r="AB78">
            <v>579.89</v>
          </cell>
        </row>
        <row r="79">
          <cell r="B79" t="str">
            <v>Sales and marketing</v>
          </cell>
          <cell r="C79">
            <v>213.62</v>
          </cell>
          <cell r="D79">
            <v>2496.42</v>
          </cell>
          <cell r="E79">
            <v>4677.72</v>
          </cell>
          <cell r="F79">
            <v>3227.42</v>
          </cell>
          <cell r="G79">
            <v>4362.71</v>
          </cell>
          <cell r="H79">
            <v>2028.96</v>
          </cell>
          <cell r="I79">
            <v>2531.0100000000002</v>
          </cell>
          <cell r="J79">
            <v>4872.9799999999996</v>
          </cell>
          <cell r="K79">
            <v>8477.42</v>
          </cell>
          <cell r="L79">
            <v>1227.42</v>
          </cell>
          <cell r="M79">
            <v>2237.58</v>
          </cell>
          <cell r="N79">
            <v>2122.42</v>
          </cell>
          <cell r="O79">
            <v>228.22</v>
          </cell>
          <cell r="P79">
            <v>229.02</v>
          </cell>
          <cell r="Q79">
            <v>8247.17</v>
          </cell>
          <cell r="R79">
            <v>1285.55</v>
          </cell>
          <cell r="S79">
            <v>1290.28</v>
          </cell>
          <cell r="T79">
            <v>1285.55</v>
          </cell>
          <cell r="U79">
            <v>4426.34</v>
          </cell>
          <cell r="V79">
            <v>1285.55</v>
          </cell>
          <cell r="W79">
            <v>2474.36</v>
          </cell>
          <cell r="X79">
            <v>1306.8699999999999</v>
          </cell>
          <cell r="Y79">
            <v>1397.02</v>
          </cell>
          <cell r="Z79">
            <v>1381.87</v>
          </cell>
          <cell r="AA79">
            <v>24837.799999999996</v>
          </cell>
          <cell r="AB79">
            <v>1361.97</v>
          </cell>
        </row>
        <row r="80">
          <cell r="B80" t="str">
            <v xml:space="preserve">Total </v>
          </cell>
          <cell r="C80">
            <v>4857.92</v>
          </cell>
          <cell r="D80">
            <v>6523.6399999999994</v>
          </cell>
          <cell r="E80">
            <v>6282.34</v>
          </cell>
          <cell r="F80">
            <v>3451.41</v>
          </cell>
          <cell r="G80">
            <v>5401.24</v>
          </cell>
          <cell r="H80">
            <v>2197.0100000000002</v>
          </cell>
          <cell r="I80">
            <v>3709.5200000000004</v>
          </cell>
          <cell r="J80">
            <v>5026.9699999999993</v>
          </cell>
          <cell r="K80">
            <v>10681.78</v>
          </cell>
          <cell r="L80">
            <v>1549.3000000000002</v>
          </cell>
          <cell r="M80">
            <v>5857.9</v>
          </cell>
          <cell r="N80">
            <v>5087.84</v>
          </cell>
          <cell r="O80">
            <v>528.05000000000007</v>
          </cell>
          <cell r="P80">
            <v>11925.150000000001</v>
          </cell>
          <cell r="Q80">
            <v>17711.41</v>
          </cell>
          <cell r="R80">
            <v>5041.16</v>
          </cell>
          <cell r="S80">
            <v>3710.8499999999995</v>
          </cell>
          <cell r="T80">
            <v>3001.94</v>
          </cell>
          <cell r="U80">
            <v>4621.42</v>
          </cell>
          <cell r="V80">
            <v>4787.79</v>
          </cell>
          <cell r="W80">
            <v>6017.84</v>
          </cell>
          <cell r="X80">
            <v>4163.6499999999996</v>
          </cell>
          <cell r="Y80">
            <v>4436.82</v>
          </cell>
          <cell r="Z80">
            <v>2041.35</v>
          </cell>
          <cell r="AA80">
            <v>67987.429999999993</v>
          </cell>
          <cell r="AB80">
            <v>3440.6899999999996</v>
          </cell>
        </row>
        <row r="82">
          <cell r="B82" t="str">
            <v>Gen &amp; Admin Exp</v>
          </cell>
        </row>
        <row r="83">
          <cell r="B83" t="str">
            <v>Management salaries</v>
          </cell>
          <cell r="C83">
            <v>20092.79</v>
          </cell>
          <cell r="D83">
            <v>20093.77</v>
          </cell>
          <cell r="E83">
            <v>20093.77</v>
          </cell>
          <cell r="F83">
            <v>20093.77</v>
          </cell>
          <cell r="G83">
            <v>30140.65</v>
          </cell>
          <cell r="H83">
            <v>20093.77</v>
          </cell>
          <cell r="I83">
            <v>20093.77</v>
          </cell>
          <cell r="J83">
            <v>20093.77</v>
          </cell>
          <cell r="K83">
            <v>20093.77</v>
          </cell>
          <cell r="L83">
            <v>19468.77</v>
          </cell>
          <cell r="M83">
            <v>29203.16</v>
          </cell>
          <cell r="N83">
            <v>19168.61</v>
          </cell>
          <cell r="O83">
            <v>20912.09</v>
          </cell>
          <cell r="P83">
            <v>29912.73</v>
          </cell>
          <cell r="Q83">
            <v>22412.73</v>
          </cell>
          <cell r="R83">
            <v>22412.73</v>
          </cell>
          <cell r="S83">
            <v>22412.73</v>
          </cell>
          <cell r="T83">
            <v>42971.09</v>
          </cell>
          <cell r="U83">
            <v>34663.46</v>
          </cell>
          <cell r="V83">
            <v>37813.33</v>
          </cell>
          <cell r="W83">
            <v>37830.480000000003</v>
          </cell>
          <cell r="X83">
            <v>57185.77</v>
          </cell>
          <cell r="Y83">
            <v>39955.660000000003</v>
          </cell>
          <cell r="Z83">
            <v>41920.239999999998</v>
          </cell>
          <cell r="AA83">
            <v>410403.03999999992</v>
          </cell>
          <cell r="AB83">
            <v>37269.019999999997</v>
          </cell>
        </row>
        <row r="84">
          <cell r="B84" t="str">
            <v>Payroll Taxes</v>
          </cell>
          <cell r="C84">
            <v>8645.17</v>
          </cell>
          <cell r="D84">
            <v>8120.49</v>
          </cell>
          <cell r="E84">
            <v>8051.49</v>
          </cell>
          <cell r="F84">
            <v>8002.89</v>
          </cell>
          <cell r="G84">
            <v>12004.34</v>
          </cell>
          <cell r="H84">
            <v>8002.89</v>
          </cell>
          <cell r="I84">
            <v>8002.89</v>
          </cell>
          <cell r="J84">
            <v>8002.89</v>
          </cell>
          <cell r="K84">
            <v>8002.89</v>
          </cell>
          <cell r="L84">
            <v>8002.89</v>
          </cell>
          <cell r="M84">
            <v>12004.33</v>
          </cell>
          <cell r="N84">
            <v>7895.05</v>
          </cell>
          <cell r="O84">
            <v>8472.8700000000008</v>
          </cell>
          <cell r="P84">
            <v>7948.53</v>
          </cell>
          <cell r="Q84">
            <v>7879.53</v>
          </cell>
          <cell r="R84">
            <v>7830.93</v>
          </cell>
          <cell r="S84">
            <v>7830.93</v>
          </cell>
          <cell r="T84">
            <v>11746.4</v>
          </cell>
          <cell r="U84">
            <v>10227.620000000001</v>
          </cell>
          <cell r="V84">
            <v>11271.33</v>
          </cell>
          <cell r="W84">
            <v>11100.49</v>
          </cell>
          <cell r="X84">
            <v>16945</v>
          </cell>
          <cell r="Y84">
            <v>11279</v>
          </cell>
          <cell r="Z84">
            <v>11556</v>
          </cell>
          <cell r="AA84">
            <v>124088.63</v>
          </cell>
          <cell r="AB84">
            <v>11722.56</v>
          </cell>
        </row>
        <row r="85">
          <cell r="B85" t="str">
            <v>Total</v>
          </cell>
          <cell r="C85">
            <v>28737.96</v>
          </cell>
          <cell r="D85">
            <v>28214.260000000002</v>
          </cell>
          <cell r="E85">
            <v>28145.260000000002</v>
          </cell>
          <cell r="F85">
            <v>28096.66</v>
          </cell>
          <cell r="G85">
            <v>42144.990000000005</v>
          </cell>
          <cell r="H85">
            <v>28096.66</v>
          </cell>
          <cell r="I85">
            <v>28096.66</v>
          </cell>
          <cell r="J85">
            <v>28096.66</v>
          </cell>
          <cell r="K85">
            <v>28096.66</v>
          </cell>
          <cell r="L85">
            <v>27471.66</v>
          </cell>
          <cell r="M85">
            <v>41207.49</v>
          </cell>
          <cell r="N85">
            <v>27063.66</v>
          </cell>
          <cell r="O85">
            <v>29384.959999999999</v>
          </cell>
          <cell r="P85">
            <v>37861.26</v>
          </cell>
          <cell r="Q85">
            <v>30292.26</v>
          </cell>
          <cell r="R85">
            <v>30243.66</v>
          </cell>
          <cell r="S85">
            <v>30243.66</v>
          </cell>
          <cell r="T85">
            <v>54717.49</v>
          </cell>
          <cell r="U85">
            <v>44891.08</v>
          </cell>
          <cell r="V85">
            <v>49084.66</v>
          </cell>
          <cell r="W85">
            <v>48930.97</v>
          </cell>
          <cell r="X85">
            <v>74130.76999999999</v>
          </cell>
          <cell r="Y85">
            <v>51234.66</v>
          </cell>
          <cell r="Z85">
            <v>53476.24</v>
          </cell>
          <cell r="AA85">
            <v>534491.66999999993</v>
          </cell>
          <cell r="AB85">
            <v>48991.579999999994</v>
          </cell>
        </row>
        <row r="87">
          <cell r="B87" t="str">
            <v>Legal &amp; Professional Fees</v>
          </cell>
        </row>
        <row r="88">
          <cell r="B88" t="str">
            <v>Legal &amp; Professional Services</v>
          </cell>
          <cell r="O88">
            <v>100</v>
          </cell>
          <cell r="P88">
            <v>0</v>
          </cell>
          <cell r="Q88">
            <v>9095</v>
          </cell>
          <cell r="R88">
            <v>1047</v>
          </cell>
          <cell r="S88">
            <v>0</v>
          </cell>
          <cell r="T88">
            <v>9590.66</v>
          </cell>
          <cell r="U88">
            <v>4658.28</v>
          </cell>
          <cell r="V88">
            <v>7511.43</v>
          </cell>
          <cell r="W88">
            <v>15262</v>
          </cell>
          <cell r="X88">
            <v>7026.75</v>
          </cell>
          <cell r="Y88">
            <v>7765.68</v>
          </cell>
          <cell r="Z88">
            <v>9094.08</v>
          </cell>
          <cell r="AA88">
            <v>71150.87999999999</v>
          </cell>
          <cell r="AB88">
            <v>7940.38</v>
          </cell>
        </row>
        <row r="89">
          <cell r="B89" t="str">
            <v>Total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100</v>
          </cell>
          <cell r="P89">
            <v>0</v>
          </cell>
          <cell r="Q89">
            <v>9095</v>
          </cell>
          <cell r="R89">
            <v>1047</v>
          </cell>
          <cell r="S89">
            <v>0</v>
          </cell>
          <cell r="T89">
            <v>9590.66</v>
          </cell>
          <cell r="U89">
            <v>4658.28</v>
          </cell>
          <cell r="V89">
            <v>7511.43</v>
          </cell>
          <cell r="W89">
            <v>15262</v>
          </cell>
          <cell r="X89">
            <v>7026.75</v>
          </cell>
          <cell r="Y89">
            <v>7765.68</v>
          </cell>
          <cell r="Z89">
            <v>9094.08</v>
          </cell>
          <cell r="AA89">
            <v>71150.87999999999</v>
          </cell>
          <cell r="AB89">
            <v>7940.38</v>
          </cell>
        </row>
        <row r="91">
          <cell r="B91" t="str">
            <v>Other G&amp;A expenses</v>
          </cell>
        </row>
        <row r="92">
          <cell r="B92" t="str">
            <v>Consultancy Fees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4149.13</v>
          </cell>
          <cell r="K92">
            <v>1150</v>
          </cell>
          <cell r="L92">
            <v>6753.65</v>
          </cell>
          <cell r="M92">
            <v>0</v>
          </cell>
          <cell r="N92">
            <v>5895</v>
          </cell>
          <cell r="O92">
            <v>234.95</v>
          </cell>
          <cell r="P92">
            <v>899</v>
          </cell>
          <cell r="Q92">
            <v>8095</v>
          </cell>
          <cell r="R92">
            <v>600</v>
          </cell>
          <cell r="S92">
            <v>4149.13</v>
          </cell>
          <cell r="T92">
            <v>1265.43</v>
          </cell>
          <cell r="U92">
            <v>9712.65</v>
          </cell>
          <cell r="V92">
            <v>0</v>
          </cell>
          <cell r="W92">
            <v>10445</v>
          </cell>
          <cell r="X92">
            <v>6209</v>
          </cell>
          <cell r="Y92">
            <v>3750</v>
          </cell>
          <cell r="Z92">
            <v>8750</v>
          </cell>
          <cell r="AA92">
            <v>54110.16</v>
          </cell>
          <cell r="AB92">
            <v>6383.42</v>
          </cell>
        </row>
        <row r="93">
          <cell r="B93" t="str">
            <v>Comission Paid-Scinet Inc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B94" t="str">
            <v>Leadership engagemnet</v>
          </cell>
          <cell r="C94">
            <v>0</v>
          </cell>
          <cell r="D94">
            <v>0</v>
          </cell>
          <cell r="E94">
            <v>1055.2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B95" t="str">
            <v>Lodging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153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832</v>
          </cell>
          <cell r="Y95">
            <v>0</v>
          </cell>
          <cell r="Z95">
            <v>0</v>
          </cell>
          <cell r="AA95">
            <v>832</v>
          </cell>
          <cell r="AB95">
            <v>0</v>
          </cell>
        </row>
        <row r="96">
          <cell r="B96" t="str">
            <v>Fuel/Mileage Expenses</v>
          </cell>
          <cell r="C96">
            <v>64.13</v>
          </cell>
          <cell r="D96">
            <v>54.5</v>
          </cell>
          <cell r="E96">
            <v>111.68</v>
          </cell>
          <cell r="F96">
            <v>0</v>
          </cell>
          <cell r="G96">
            <v>252.29</v>
          </cell>
          <cell r="H96">
            <v>0</v>
          </cell>
          <cell r="I96">
            <v>55.26</v>
          </cell>
          <cell r="J96">
            <v>0</v>
          </cell>
          <cell r="K96">
            <v>126.86</v>
          </cell>
          <cell r="L96">
            <v>0</v>
          </cell>
          <cell r="M96">
            <v>129.71</v>
          </cell>
          <cell r="N96">
            <v>103.93</v>
          </cell>
          <cell r="O96">
            <v>36.61</v>
          </cell>
          <cell r="P96">
            <v>66.569999999999993</v>
          </cell>
          <cell r="Q96">
            <v>233.27</v>
          </cell>
          <cell r="R96">
            <v>463.65</v>
          </cell>
          <cell r="S96">
            <v>21.71</v>
          </cell>
          <cell r="T96">
            <v>0</v>
          </cell>
          <cell r="U96">
            <v>53.98</v>
          </cell>
          <cell r="V96">
            <v>89.7</v>
          </cell>
          <cell r="W96">
            <v>43.27</v>
          </cell>
          <cell r="X96">
            <v>41.49</v>
          </cell>
          <cell r="Y96">
            <v>0</v>
          </cell>
          <cell r="Z96">
            <v>0</v>
          </cell>
          <cell r="AA96">
            <v>1050.25</v>
          </cell>
          <cell r="AB96">
            <v>132.06</v>
          </cell>
        </row>
        <row r="97">
          <cell r="B97" t="str">
            <v>Legal Charges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796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796</v>
          </cell>
          <cell r="AB97">
            <v>0</v>
          </cell>
        </row>
        <row r="98">
          <cell r="B98" t="str">
            <v>Payroll Processing Fees</v>
          </cell>
          <cell r="C98">
            <v>283.45</v>
          </cell>
          <cell r="D98">
            <v>182.2</v>
          </cell>
          <cell r="E98">
            <v>298.10000000000002</v>
          </cell>
          <cell r="F98">
            <v>182.2</v>
          </cell>
          <cell r="G98">
            <v>208.9</v>
          </cell>
          <cell r="H98">
            <v>191.05</v>
          </cell>
          <cell r="I98">
            <v>121.3</v>
          </cell>
          <cell r="J98">
            <v>393.9</v>
          </cell>
          <cell r="K98">
            <v>271.35000000000002</v>
          </cell>
          <cell r="L98">
            <v>1198.1500000000001</v>
          </cell>
          <cell r="M98">
            <v>1259.25</v>
          </cell>
          <cell r="N98">
            <v>2413.4499999999998</v>
          </cell>
          <cell r="O98">
            <v>693.65</v>
          </cell>
          <cell r="P98">
            <v>198.15</v>
          </cell>
          <cell r="Q98">
            <v>493.15</v>
          </cell>
          <cell r="R98">
            <v>493.15</v>
          </cell>
          <cell r="S98">
            <v>493.15</v>
          </cell>
          <cell r="T98">
            <v>520.82000000000005</v>
          </cell>
          <cell r="U98">
            <v>512.03</v>
          </cell>
          <cell r="V98">
            <v>611.19000000000005</v>
          </cell>
          <cell r="W98">
            <v>635.51</v>
          </cell>
          <cell r="X98">
            <v>1202.55</v>
          </cell>
          <cell r="Y98">
            <v>262.17</v>
          </cell>
          <cell r="Z98">
            <v>723.32</v>
          </cell>
          <cell r="AA98">
            <v>6838.84</v>
          </cell>
          <cell r="AB98">
            <v>962.65</v>
          </cell>
        </row>
        <row r="99">
          <cell r="B99" t="str">
            <v>Charitable Donations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8000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8000</v>
          </cell>
          <cell r="AB99">
            <v>0</v>
          </cell>
        </row>
        <row r="100">
          <cell r="B100" t="str">
            <v>Parking</v>
          </cell>
          <cell r="C100">
            <v>0</v>
          </cell>
          <cell r="D100">
            <v>12</v>
          </cell>
          <cell r="E100">
            <v>33.25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32.47</v>
          </cell>
          <cell r="L100">
            <v>0</v>
          </cell>
          <cell r="M100">
            <v>0</v>
          </cell>
          <cell r="N100">
            <v>30.02</v>
          </cell>
          <cell r="O100">
            <v>0</v>
          </cell>
          <cell r="P100">
            <v>0</v>
          </cell>
          <cell r="Q100">
            <v>118.04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149.19</v>
          </cell>
          <cell r="W100">
            <v>49.99</v>
          </cell>
          <cell r="X100">
            <v>79.13</v>
          </cell>
          <cell r="Y100">
            <v>0</v>
          </cell>
          <cell r="Z100">
            <v>29.79</v>
          </cell>
          <cell r="AA100">
            <v>426.14000000000004</v>
          </cell>
          <cell r="AB100">
            <v>0</v>
          </cell>
        </row>
        <row r="101">
          <cell r="B101" t="str">
            <v>Toll Fee</v>
          </cell>
          <cell r="C101">
            <v>52</v>
          </cell>
          <cell r="D101">
            <v>52</v>
          </cell>
          <cell r="E101">
            <v>104</v>
          </cell>
          <cell r="F101">
            <v>52</v>
          </cell>
          <cell r="G101">
            <v>78</v>
          </cell>
          <cell r="H101">
            <v>0</v>
          </cell>
          <cell r="I101">
            <v>0</v>
          </cell>
          <cell r="J101">
            <v>26</v>
          </cell>
          <cell r="K101">
            <v>0</v>
          </cell>
          <cell r="L101">
            <v>0</v>
          </cell>
          <cell r="M101">
            <v>54.92</v>
          </cell>
          <cell r="N101">
            <v>168.31</v>
          </cell>
          <cell r="O101">
            <v>53.2</v>
          </cell>
          <cell r="P101">
            <v>26</v>
          </cell>
          <cell r="Q101">
            <v>0</v>
          </cell>
          <cell r="R101">
            <v>75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25</v>
          </cell>
          <cell r="X101">
            <v>25</v>
          </cell>
          <cell r="Y101">
            <v>25</v>
          </cell>
          <cell r="Z101">
            <v>0</v>
          </cell>
          <cell r="AA101">
            <v>229.2</v>
          </cell>
          <cell r="AB101">
            <v>25</v>
          </cell>
        </row>
        <row r="102">
          <cell r="B102" t="str">
            <v>Travelling expenses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2022.76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B103" t="str">
            <v>Postage</v>
          </cell>
          <cell r="C103">
            <v>25.72</v>
          </cell>
          <cell r="D103">
            <v>32.56</v>
          </cell>
          <cell r="E103">
            <v>13.29</v>
          </cell>
          <cell r="F103">
            <v>14.99</v>
          </cell>
          <cell r="G103">
            <v>14.99</v>
          </cell>
          <cell r="H103">
            <v>15.99</v>
          </cell>
          <cell r="I103">
            <v>25.71</v>
          </cell>
          <cell r="J103">
            <v>99.47</v>
          </cell>
          <cell r="K103">
            <v>70.31</v>
          </cell>
          <cell r="L103">
            <v>39.29</v>
          </cell>
          <cell r="M103">
            <v>32.49</v>
          </cell>
          <cell r="N103">
            <v>91.02</v>
          </cell>
          <cell r="O103">
            <v>14.99</v>
          </cell>
          <cell r="P103">
            <v>16.41</v>
          </cell>
          <cell r="Q103">
            <v>31.86</v>
          </cell>
          <cell r="R103">
            <v>14.99</v>
          </cell>
          <cell r="S103">
            <v>21.37</v>
          </cell>
          <cell r="T103">
            <v>14.99</v>
          </cell>
          <cell r="U103">
            <v>14.99</v>
          </cell>
          <cell r="V103">
            <v>14.99</v>
          </cell>
          <cell r="W103">
            <v>19.489999999999998</v>
          </cell>
          <cell r="X103">
            <v>14.99</v>
          </cell>
          <cell r="Y103">
            <v>200.42</v>
          </cell>
          <cell r="Z103">
            <v>14.99</v>
          </cell>
          <cell r="AA103">
            <v>394.48</v>
          </cell>
          <cell r="AB103">
            <v>14.99</v>
          </cell>
        </row>
        <row r="104">
          <cell r="B104" t="str">
            <v>Insurance Expense</v>
          </cell>
          <cell r="C104">
            <v>768.13</v>
          </cell>
          <cell r="D104">
            <v>1976.11</v>
          </cell>
          <cell r="E104">
            <v>1976.11</v>
          </cell>
          <cell r="F104">
            <v>1976.11</v>
          </cell>
          <cell r="G104">
            <v>1976.11</v>
          </cell>
          <cell r="H104">
            <v>1976.11</v>
          </cell>
          <cell r="I104">
            <v>1976.11</v>
          </cell>
          <cell r="J104">
            <v>2025.21</v>
          </cell>
          <cell r="K104">
            <v>1990.25</v>
          </cell>
          <cell r="L104">
            <v>1990.25</v>
          </cell>
          <cell r="M104">
            <v>1990.25</v>
          </cell>
          <cell r="N104">
            <v>1990.25</v>
          </cell>
          <cell r="O104">
            <v>1811.88</v>
          </cell>
          <cell r="P104">
            <v>1322.48</v>
          </cell>
          <cell r="Q104">
            <v>8253.68</v>
          </cell>
          <cell r="R104">
            <v>1322.4799999999996</v>
          </cell>
          <cell r="S104">
            <v>6785.72</v>
          </cell>
          <cell r="T104">
            <v>3980.16</v>
          </cell>
          <cell r="U104">
            <v>3768.26</v>
          </cell>
          <cell r="V104">
            <v>5843.53</v>
          </cell>
          <cell r="W104">
            <v>6509.57</v>
          </cell>
          <cell r="X104">
            <v>6814.58</v>
          </cell>
          <cell r="Y104">
            <v>6487.08</v>
          </cell>
          <cell r="Z104">
            <v>6487.08</v>
          </cell>
          <cell r="AA104">
            <v>59386.500000000007</v>
          </cell>
          <cell r="AB104">
            <v>6727.8</v>
          </cell>
        </row>
        <row r="105">
          <cell r="B105" t="str">
            <v>Finance charges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92.27</v>
          </cell>
          <cell r="H105">
            <v>1.01</v>
          </cell>
          <cell r="I105">
            <v>0</v>
          </cell>
          <cell r="J105">
            <v>1.64</v>
          </cell>
          <cell r="K105">
            <v>0</v>
          </cell>
          <cell r="L105">
            <v>186.43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</row>
        <row r="106">
          <cell r="B106" t="str">
            <v>Office supplies</v>
          </cell>
          <cell r="C106">
            <v>56.3</v>
          </cell>
          <cell r="D106">
            <v>39.299999999999997</v>
          </cell>
          <cell r="E106">
            <v>0</v>
          </cell>
          <cell r="F106">
            <v>0</v>
          </cell>
          <cell r="G106">
            <v>86.56</v>
          </cell>
          <cell r="H106">
            <v>0</v>
          </cell>
          <cell r="I106">
            <v>627.71</v>
          </cell>
          <cell r="J106">
            <v>164.98</v>
          </cell>
          <cell r="K106">
            <v>107.17</v>
          </cell>
          <cell r="L106">
            <v>143.19999999999999</v>
          </cell>
          <cell r="M106">
            <v>113.6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1342.95</v>
          </cell>
          <cell r="V106">
            <v>2467.17</v>
          </cell>
          <cell r="W106">
            <v>89.76</v>
          </cell>
          <cell r="X106">
            <v>381.51</v>
          </cell>
          <cell r="Y106">
            <v>60.13</v>
          </cell>
          <cell r="Z106">
            <v>71.819999999999993</v>
          </cell>
          <cell r="AA106">
            <v>4413.34</v>
          </cell>
          <cell r="AB106">
            <v>774.55</v>
          </cell>
        </row>
        <row r="107">
          <cell r="B107" t="str">
            <v>Conference Fees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150</v>
          </cell>
          <cell r="K107">
            <v>100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8">
          <cell r="B108" t="str">
            <v>Other Expenses</v>
          </cell>
          <cell r="C108">
            <v>0.17</v>
          </cell>
          <cell r="D108">
            <v>33.79</v>
          </cell>
          <cell r="E108">
            <v>14.85</v>
          </cell>
          <cell r="F108">
            <v>0</v>
          </cell>
          <cell r="G108">
            <v>0</v>
          </cell>
          <cell r="H108">
            <v>0.24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0.25</v>
          </cell>
          <cell r="Q108">
            <v>0</v>
          </cell>
          <cell r="R108">
            <v>38.700000000000003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38.950000000000003</v>
          </cell>
          <cell r="AB108">
            <v>0</v>
          </cell>
        </row>
        <row r="109">
          <cell r="B109" t="str">
            <v>Total</v>
          </cell>
          <cell r="C109">
            <v>1249.8999999999999</v>
          </cell>
          <cell r="D109">
            <v>2382.46</v>
          </cell>
          <cell r="E109">
            <v>3606.48</v>
          </cell>
          <cell r="F109">
            <v>2225.2999999999997</v>
          </cell>
          <cell r="G109">
            <v>2709.12</v>
          </cell>
          <cell r="H109">
            <v>2184.4</v>
          </cell>
          <cell r="I109">
            <v>2806.09</v>
          </cell>
          <cell r="J109">
            <v>7163.33</v>
          </cell>
          <cell r="K109">
            <v>5871.17</v>
          </cell>
          <cell r="L109">
            <v>10310.970000000001</v>
          </cell>
          <cell r="M109">
            <v>3580.22</v>
          </cell>
          <cell r="N109">
            <v>10691.980000000001</v>
          </cell>
          <cell r="O109">
            <v>2845.28</v>
          </cell>
          <cell r="P109">
            <v>2528.86</v>
          </cell>
          <cell r="Q109">
            <v>17225</v>
          </cell>
          <cell r="R109">
            <v>3803.9699999999993</v>
          </cell>
          <cell r="S109">
            <v>19471.080000000002</v>
          </cell>
          <cell r="T109">
            <v>5781.4</v>
          </cell>
          <cell r="U109">
            <v>15404.86</v>
          </cell>
          <cell r="V109">
            <v>9175.77</v>
          </cell>
          <cell r="W109">
            <v>17817.59</v>
          </cell>
          <cell r="X109">
            <v>15600.249999999998</v>
          </cell>
          <cell r="Y109">
            <v>10784.8</v>
          </cell>
          <cell r="Z109">
            <v>16077</v>
          </cell>
          <cell r="AA109">
            <v>136515.86000000002</v>
          </cell>
          <cell r="AB109">
            <v>15020.47</v>
          </cell>
        </row>
        <row r="111">
          <cell r="B111" t="str">
            <v>Finance Cost</v>
          </cell>
        </row>
        <row r="112">
          <cell r="B112" t="str">
            <v>Bank Fees and Charges</v>
          </cell>
          <cell r="C112">
            <v>5</v>
          </cell>
          <cell r="D112">
            <v>65.11</v>
          </cell>
          <cell r="E112">
            <v>0</v>
          </cell>
          <cell r="F112">
            <v>0</v>
          </cell>
          <cell r="G112">
            <v>49</v>
          </cell>
          <cell r="H112">
            <v>60</v>
          </cell>
          <cell r="I112">
            <v>0</v>
          </cell>
          <cell r="J112">
            <v>1</v>
          </cell>
          <cell r="K112">
            <v>5.16</v>
          </cell>
          <cell r="L112">
            <v>99</v>
          </cell>
          <cell r="M112">
            <v>8.8699999999999992</v>
          </cell>
          <cell r="N112">
            <v>10</v>
          </cell>
          <cell r="O112">
            <v>0</v>
          </cell>
          <cell r="P112">
            <v>1473.78</v>
          </cell>
          <cell r="Q112">
            <v>5</v>
          </cell>
          <cell r="R112">
            <v>5</v>
          </cell>
          <cell r="S112">
            <v>41.72</v>
          </cell>
          <cell r="T112">
            <v>155.03</v>
          </cell>
          <cell r="U112">
            <v>22.950000000000003</v>
          </cell>
          <cell r="V112">
            <v>335</v>
          </cell>
          <cell r="W112">
            <v>90</v>
          </cell>
          <cell r="X112">
            <v>10</v>
          </cell>
          <cell r="Y112">
            <v>52.06</v>
          </cell>
          <cell r="Z112">
            <v>6</v>
          </cell>
          <cell r="AA112">
            <v>2196.54</v>
          </cell>
          <cell r="AB112">
            <v>6</v>
          </cell>
        </row>
        <row r="113">
          <cell r="B113" t="str">
            <v>Amex card charges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B114" t="str">
            <v>Interest Paid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2360.4</v>
          </cell>
          <cell r="X114">
            <v>2360.4</v>
          </cell>
          <cell r="Y114">
            <v>2360.4</v>
          </cell>
          <cell r="Z114">
            <v>4720.8</v>
          </cell>
          <cell r="AA114">
            <v>11802</v>
          </cell>
          <cell r="AB114">
            <v>4720.8</v>
          </cell>
        </row>
        <row r="115">
          <cell r="B115" t="str">
            <v>Interest on Car loan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240.61</v>
          </cell>
          <cell r="I115">
            <v>0</v>
          </cell>
          <cell r="J115">
            <v>421.52</v>
          </cell>
          <cell r="K115">
            <v>230.22</v>
          </cell>
          <cell r="L115">
            <v>0</v>
          </cell>
          <cell r="M115">
            <v>472</v>
          </cell>
          <cell r="N115">
            <v>195.18</v>
          </cell>
          <cell r="O115">
            <v>210.7</v>
          </cell>
          <cell r="P115">
            <v>197.73</v>
          </cell>
          <cell r="Q115">
            <v>0</v>
          </cell>
          <cell r="R115">
            <v>0</v>
          </cell>
          <cell r="S115">
            <v>203.83</v>
          </cell>
          <cell r="T115">
            <v>212.29</v>
          </cell>
          <cell r="U115">
            <v>125.06</v>
          </cell>
          <cell r="V115">
            <v>174.9</v>
          </cell>
          <cell r="W115">
            <v>0</v>
          </cell>
          <cell r="X115">
            <v>354.24</v>
          </cell>
          <cell r="Y115">
            <v>236.4</v>
          </cell>
          <cell r="Z115">
            <v>118.26</v>
          </cell>
          <cell r="AA115">
            <v>1833.41</v>
          </cell>
          <cell r="AB115">
            <v>162.72</v>
          </cell>
        </row>
        <row r="116">
          <cell r="B116" t="str">
            <v xml:space="preserve"> Total</v>
          </cell>
          <cell r="C116">
            <v>5</v>
          </cell>
          <cell r="D116">
            <v>65.11</v>
          </cell>
          <cell r="E116">
            <v>0</v>
          </cell>
          <cell r="F116">
            <v>0</v>
          </cell>
          <cell r="G116">
            <v>49</v>
          </cell>
          <cell r="H116">
            <v>300.61</v>
          </cell>
          <cell r="I116">
            <v>0</v>
          </cell>
          <cell r="J116">
            <v>422.52</v>
          </cell>
          <cell r="K116">
            <v>235.38</v>
          </cell>
          <cell r="L116">
            <v>99</v>
          </cell>
          <cell r="M116">
            <v>480.87</v>
          </cell>
          <cell r="N116">
            <v>205.18</v>
          </cell>
          <cell r="O116">
            <v>210.7</v>
          </cell>
          <cell r="P116">
            <v>1671.51</v>
          </cell>
          <cell r="Q116">
            <v>5</v>
          </cell>
          <cell r="R116">
            <v>5</v>
          </cell>
          <cell r="S116">
            <v>245.55</v>
          </cell>
          <cell r="T116">
            <v>367.32</v>
          </cell>
          <cell r="U116">
            <v>148.01</v>
          </cell>
          <cell r="V116">
            <v>509.9</v>
          </cell>
          <cell r="W116">
            <v>2450.4</v>
          </cell>
          <cell r="X116">
            <v>2724.6400000000003</v>
          </cell>
          <cell r="Y116">
            <v>2648.86</v>
          </cell>
          <cell r="Z116">
            <v>4845.0600000000004</v>
          </cell>
          <cell r="AA116">
            <v>15831.95</v>
          </cell>
          <cell r="AB116">
            <v>4889.5200000000004</v>
          </cell>
        </row>
        <row r="118">
          <cell r="B118" t="str">
            <v>Rates &amp; Taxes</v>
          </cell>
          <cell r="C118">
            <v>0</v>
          </cell>
          <cell r="D118">
            <v>1023</v>
          </cell>
          <cell r="E118">
            <v>23</v>
          </cell>
          <cell r="F118">
            <v>0</v>
          </cell>
          <cell r="G118">
            <v>0</v>
          </cell>
          <cell r="H118">
            <v>0</v>
          </cell>
          <cell r="I118">
            <v>987.06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225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225</v>
          </cell>
          <cell r="AB118">
            <v>0</v>
          </cell>
        </row>
        <row r="119">
          <cell r="B119" t="str">
            <v>Depreciation Expenses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</sheetData>
      <sheetData sheetId="18">
        <row r="48">
          <cell r="AF48" t="str">
            <v>Particulars</v>
          </cell>
          <cell r="AJ48">
            <v>45406</v>
          </cell>
          <cell r="AK48">
            <v>45436</v>
          </cell>
          <cell r="AL48">
            <v>45467</v>
          </cell>
          <cell r="AM48">
            <v>45497</v>
          </cell>
          <cell r="AN48">
            <v>45528</v>
          </cell>
          <cell r="AO48">
            <v>45559</v>
          </cell>
          <cell r="AP48">
            <v>45589</v>
          </cell>
          <cell r="AQ48">
            <v>45620</v>
          </cell>
          <cell r="AR48">
            <v>45650</v>
          </cell>
          <cell r="AS48">
            <v>45681</v>
          </cell>
          <cell r="AT48">
            <v>45712</v>
          </cell>
          <cell r="AU48">
            <v>45740</v>
          </cell>
          <cell r="AV48">
            <v>45771</v>
          </cell>
          <cell r="AW48">
            <v>45801</v>
          </cell>
          <cell r="AX48">
            <v>45832</v>
          </cell>
          <cell r="AY48">
            <v>45862</v>
          </cell>
          <cell r="AZ48">
            <v>45893</v>
          </cell>
          <cell r="BA48">
            <v>45924</v>
          </cell>
          <cell r="BB48">
            <v>45954</v>
          </cell>
          <cell r="BC48">
            <v>45985</v>
          </cell>
          <cell r="BD48">
            <v>46015</v>
          </cell>
          <cell r="BE48" t="str">
            <v>YTD</v>
          </cell>
          <cell r="BF48">
            <v>46046</v>
          </cell>
        </row>
        <row r="49">
          <cell r="AF49" t="str">
            <v>Revenue</v>
          </cell>
        </row>
        <row r="50">
          <cell r="AF50" t="str">
            <v>Sales</v>
          </cell>
          <cell r="AJ50">
            <v>100349</v>
          </cell>
          <cell r="AK50">
            <v>100586.16998799521</v>
          </cell>
          <cell r="AL50">
            <v>101218.60996398561</v>
          </cell>
          <cell r="AM50">
            <v>106821.3900360144</v>
          </cell>
          <cell r="AN50">
            <v>136870.40996398561</v>
          </cell>
          <cell r="AO50">
            <v>139895</v>
          </cell>
          <cell r="AP50">
            <v>141229</v>
          </cell>
          <cell r="AQ50">
            <v>154000</v>
          </cell>
          <cell r="AR50">
            <v>131800</v>
          </cell>
          <cell r="AS50">
            <v>137139</v>
          </cell>
          <cell r="AT50">
            <v>141484</v>
          </cell>
          <cell r="AU50">
            <v>140018</v>
          </cell>
          <cell r="AV50">
            <v>164649</v>
          </cell>
          <cell r="AW50">
            <v>151760</v>
          </cell>
          <cell r="AX50">
            <v>200674</v>
          </cell>
          <cell r="AY50">
            <v>158956</v>
          </cell>
          <cell r="AZ50">
            <v>173054</v>
          </cell>
          <cell r="BA50">
            <v>187101</v>
          </cell>
          <cell r="BB50">
            <v>187677.39534883722</v>
          </cell>
          <cell r="BC50">
            <v>188820.31460674157</v>
          </cell>
          <cell r="BD50">
            <v>184956.83333333334</v>
          </cell>
          <cell r="BE50">
            <v>2016289.5432889119</v>
          </cell>
          <cell r="BF50">
            <v>184697</v>
          </cell>
        </row>
        <row r="51">
          <cell r="AF51" t="str">
            <v>General Income</v>
          </cell>
          <cell r="AJ51">
            <v>0</v>
          </cell>
          <cell r="AK51">
            <v>1.2727490996398558</v>
          </cell>
          <cell r="AL51">
            <v>18.007202881152462</v>
          </cell>
          <cell r="AM51">
            <v>1.201920768307323</v>
          </cell>
          <cell r="AN51">
            <v>0</v>
          </cell>
          <cell r="AO51">
            <v>5975.5952380952385</v>
          </cell>
          <cell r="AP51">
            <v>11.459047619047618</v>
          </cell>
          <cell r="AQ51">
            <v>0.38344974547176514</v>
          </cell>
          <cell r="AR51">
            <v>17.757783828578194</v>
          </cell>
          <cell r="AS51">
            <v>0</v>
          </cell>
          <cell r="AT51">
            <v>0</v>
          </cell>
          <cell r="AU51">
            <v>17.441860465116278</v>
          </cell>
          <cell r="AV51">
            <v>17.441860465116278</v>
          </cell>
          <cell r="AW51">
            <v>17.453488372093023</v>
          </cell>
          <cell r="AX51">
            <v>17.441860465116278</v>
          </cell>
          <cell r="AY51">
            <v>12.908372093023255</v>
          </cell>
          <cell r="AZ51">
            <v>17.441860465116278</v>
          </cell>
          <cell r="BA51">
            <v>34.883720930232556</v>
          </cell>
          <cell r="BB51">
            <v>0</v>
          </cell>
          <cell r="BC51">
            <v>16.853932584269664</v>
          </cell>
          <cell r="BD51">
            <v>0</v>
          </cell>
          <cell r="BE51">
            <v>151.86695584008362</v>
          </cell>
          <cell r="BF51">
            <v>0</v>
          </cell>
        </row>
        <row r="52">
          <cell r="AF52" t="str">
            <v>Interest Income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479.06790697674415</v>
          </cell>
          <cell r="BA52">
            <v>1297.7358139534883</v>
          </cell>
          <cell r="BB52">
            <v>66.042558139534876</v>
          </cell>
          <cell r="BC52">
            <v>0</v>
          </cell>
          <cell r="BD52">
            <v>0</v>
          </cell>
          <cell r="BE52">
            <v>1842.8462790697672</v>
          </cell>
          <cell r="BF52">
            <v>0</v>
          </cell>
        </row>
        <row r="53">
          <cell r="AF53" t="str">
            <v>Other Charges</v>
          </cell>
          <cell r="AJ53">
            <v>4.2168674698795181E-3</v>
          </cell>
          <cell r="AK53">
            <v>0.17214885954381753</v>
          </cell>
          <cell r="AL53">
            <v>2.3169267707082834E-2</v>
          </cell>
          <cell r="AM53">
            <v>1.752701080432173E-2</v>
          </cell>
          <cell r="AN53">
            <v>1.6326530612244899E-2</v>
          </cell>
          <cell r="AO53">
            <v>1.4523809523809524E-2</v>
          </cell>
          <cell r="AP53">
            <v>2.3214285714285715E-2</v>
          </cell>
          <cell r="AQ53">
            <v>1.3377530484195571E-2</v>
          </cell>
          <cell r="AR53">
            <v>8.2869657866698233E-3</v>
          </cell>
          <cell r="AS53">
            <v>0</v>
          </cell>
          <cell r="AT53">
            <v>9.5348837209302314E-3</v>
          </cell>
          <cell r="AU53">
            <v>2.3255813953488372E-3</v>
          </cell>
          <cell r="AV53">
            <v>0</v>
          </cell>
          <cell r="AW53">
            <v>4.6511627906976744E-3</v>
          </cell>
          <cell r="AX53">
            <v>2.3255813953488372E-3</v>
          </cell>
          <cell r="AY53">
            <v>-1.7441860465116279</v>
          </cell>
          <cell r="AZ53">
            <v>0</v>
          </cell>
          <cell r="BA53">
            <v>9.3023255813953487E-3</v>
          </cell>
          <cell r="BB53">
            <v>0</v>
          </cell>
          <cell r="BC53">
            <v>4.0449438202247194E-3</v>
          </cell>
          <cell r="BD53">
            <v>1.1111111111111112E-2</v>
          </cell>
          <cell r="BE53">
            <v>-1.700890456696571</v>
          </cell>
          <cell r="BF53">
            <v>1.3804347826086957E-2</v>
          </cell>
        </row>
        <row r="54">
          <cell r="AF54" t="str">
            <v>Buyout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521.12790697674416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386.26744186046511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907.39534883720921</v>
          </cell>
          <cell r="BF54">
            <v>0</v>
          </cell>
        </row>
        <row r="55">
          <cell r="AF55" t="str">
            <v>Direct Incomes</v>
          </cell>
          <cell r="AJ55">
            <v>100349.00421686747</v>
          </cell>
          <cell r="AK55">
            <v>100587.61488595439</v>
          </cell>
          <cell r="AL55">
            <v>101236.64033613447</v>
          </cell>
          <cell r="AM55">
            <v>106822.60948379351</v>
          </cell>
          <cell r="AN55">
            <v>136870.42629051622</v>
          </cell>
          <cell r="AO55">
            <v>145870.60976190475</v>
          </cell>
          <cell r="AP55">
            <v>141240.48226190478</v>
          </cell>
          <cell r="AQ55">
            <v>154000.39682727595</v>
          </cell>
          <cell r="AR55">
            <v>131817.76607079434</v>
          </cell>
          <cell r="AS55">
            <v>137660.12790697673</v>
          </cell>
          <cell r="AT55">
            <v>141484.00953488372</v>
          </cell>
          <cell r="AU55">
            <v>140035.44418604652</v>
          </cell>
          <cell r="AV55">
            <v>164666.44186046513</v>
          </cell>
          <cell r="AW55">
            <v>151777.45813953489</v>
          </cell>
          <cell r="AX55">
            <v>200691.44418604652</v>
          </cell>
          <cell r="AY55">
            <v>159353.43162790698</v>
          </cell>
          <cell r="AZ55">
            <v>173550.50976744186</v>
          </cell>
          <cell r="BA55">
            <v>188433.62883720928</v>
          </cell>
          <cell r="BB55">
            <v>187743.43790697676</v>
          </cell>
          <cell r="BC55">
            <v>188837.17258426963</v>
          </cell>
          <cell r="BD55">
            <v>184956.84444444446</v>
          </cell>
          <cell r="BE55">
            <v>2019189.9509822021</v>
          </cell>
          <cell r="BF55">
            <v>184697.01380434784</v>
          </cell>
        </row>
        <row r="57">
          <cell r="AF57" t="str">
            <v>Current</v>
          </cell>
        </row>
        <row r="58">
          <cell r="AF58" t="str">
            <v>Manpower</v>
          </cell>
        </row>
        <row r="59">
          <cell r="AF59" t="str">
            <v>Operation salaries</v>
          </cell>
          <cell r="AJ59">
            <v>22239.024096385543</v>
          </cell>
          <cell r="AK59">
            <v>27871.70468187275</v>
          </cell>
          <cell r="AL59">
            <v>36141.272509003604</v>
          </cell>
          <cell r="AM59">
            <v>39563.529411764706</v>
          </cell>
          <cell r="AN59">
            <v>42812.953181272511</v>
          </cell>
          <cell r="AO59">
            <v>45624.583333333336</v>
          </cell>
          <cell r="AP59">
            <v>48246.119047619046</v>
          </cell>
          <cell r="AQ59">
            <v>46527.32331005091</v>
          </cell>
          <cell r="AR59">
            <v>44848.360364626496</v>
          </cell>
          <cell r="AS59">
            <v>43749</v>
          </cell>
          <cell r="AT59">
            <v>51835.523255813954</v>
          </cell>
          <cell r="AU59">
            <v>53249.569767441862</v>
          </cell>
          <cell r="AV59">
            <v>52022.162790697672</v>
          </cell>
          <cell r="AW59">
            <v>54984.186046511626</v>
          </cell>
          <cell r="AX59">
            <v>58836.279069767443</v>
          </cell>
          <cell r="AY59">
            <v>59986.767441860466</v>
          </cell>
          <cell r="AZ59">
            <v>67303.08139534884</v>
          </cell>
          <cell r="BA59">
            <v>69673.372093023252</v>
          </cell>
          <cell r="BB59">
            <v>73055.058139534885</v>
          </cell>
          <cell r="BC59">
            <v>70021.595505617981</v>
          </cell>
          <cell r="BD59">
            <v>70261.933333333334</v>
          </cell>
          <cell r="BE59">
            <v>724978.52883895137</v>
          </cell>
          <cell r="BF59">
            <v>65898.684782608689</v>
          </cell>
        </row>
        <row r="60">
          <cell r="AF60" t="str">
            <v>Contract employee salaries</v>
          </cell>
          <cell r="AJ60">
            <v>855.42168674698792</v>
          </cell>
          <cell r="AK60">
            <v>884.09363745498206</v>
          </cell>
          <cell r="AL60">
            <v>876.35054021608642</v>
          </cell>
          <cell r="AM60">
            <v>852.34093637454987</v>
          </cell>
          <cell r="AN60">
            <v>564.22569027611041</v>
          </cell>
          <cell r="AO60">
            <v>559.52380952380952</v>
          </cell>
          <cell r="AP60">
            <v>579.16666666666663</v>
          </cell>
          <cell r="AQ60">
            <v>556.41055996211674</v>
          </cell>
          <cell r="AR60">
            <v>556.41055996211674</v>
          </cell>
          <cell r="AS60">
            <v>546.51162790697674</v>
          </cell>
          <cell r="AT60">
            <v>546.51162790697674</v>
          </cell>
          <cell r="AU60">
            <v>546.51162790697674</v>
          </cell>
          <cell r="AV60">
            <v>546.51162790697674</v>
          </cell>
          <cell r="AW60">
            <v>333.33720930232556</v>
          </cell>
          <cell r="AX60">
            <v>139.53488372093022</v>
          </cell>
          <cell r="AY60">
            <v>139.53488372093022</v>
          </cell>
          <cell r="AZ60">
            <v>139.53488372093022</v>
          </cell>
          <cell r="BA60">
            <v>139.53488372093022</v>
          </cell>
          <cell r="BB60">
            <v>139.53488372093022</v>
          </cell>
          <cell r="BC60">
            <v>134.83146067415731</v>
          </cell>
          <cell r="BD60">
            <v>133.33333333333334</v>
          </cell>
          <cell r="BE60">
            <v>3485.2229335423749</v>
          </cell>
          <cell r="BF60">
            <v>0</v>
          </cell>
        </row>
        <row r="61">
          <cell r="AF61" t="str">
            <v>Ops Support Salaries</v>
          </cell>
          <cell r="AJ61">
            <v>23409.385542168675</v>
          </cell>
          <cell r="AK61">
            <v>22493.037214885957</v>
          </cell>
          <cell r="AL61">
            <v>20555.474189675871</v>
          </cell>
          <cell r="AM61">
            <v>22814.909963985596</v>
          </cell>
          <cell r="AN61">
            <v>23220.828331332534</v>
          </cell>
          <cell r="AO61">
            <v>23071.738095238095</v>
          </cell>
          <cell r="AP61">
            <v>23694.428571428572</v>
          </cell>
          <cell r="AQ61">
            <v>23127.489049366639</v>
          </cell>
          <cell r="AR61">
            <v>22729.2885047946</v>
          </cell>
          <cell r="AS61">
            <v>22230.5</v>
          </cell>
          <cell r="AT61">
            <v>25562.255813953489</v>
          </cell>
          <cell r="AU61">
            <v>23761.116279069767</v>
          </cell>
          <cell r="AV61">
            <v>24517.29069767442</v>
          </cell>
          <cell r="AW61">
            <v>25019.732558139534</v>
          </cell>
          <cell r="AX61">
            <v>25819.011627906977</v>
          </cell>
          <cell r="AY61">
            <v>29055.383720930233</v>
          </cell>
          <cell r="AZ61">
            <v>32117.755813953489</v>
          </cell>
          <cell r="BA61">
            <v>33944.941860465115</v>
          </cell>
          <cell r="BB61">
            <v>37060.116279069771</v>
          </cell>
          <cell r="BC61">
            <v>36573.955056179773</v>
          </cell>
          <cell r="BD61">
            <v>38093.188888888886</v>
          </cell>
          <cell r="BE61">
            <v>353755.24859623139</v>
          </cell>
          <cell r="BF61">
            <v>37200.967391304344</v>
          </cell>
        </row>
        <row r="62">
          <cell r="AF62" t="str">
            <v>Coding charges</v>
          </cell>
          <cell r="AJ62">
            <v>1192.7951807228915</v>
          </cell>
          <cell r="AK62">
            <v>317.53901560624251</v>
          </cell>
          <cell r="AL62">
            <v>30.43217286914766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2443.5813953488373</v>
          </cell>
          <cell r="AT62">
            <v>4961.6744186046508</v>
          </cell>
          <cell r="AU62">
            <v>12484.023255813954</v>
          </cell>
          <cell r="AV62">
            <v>0</v>
          </cell>
          <cell r="AW62">
            <v>0</v>
          </cell>
          <cell r="AX62">
            <v>604.11627906976742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20493.39534883721</v>
          </cell>
          <cell r="BF62">
            <v>0</v>
          </cell>
        </row>
        <row r="63">
          <cell r="AF63" t="str">
            <v xml:space="preserve">Total </v>
          </cell>
          <cell r="AJ63">
            <v>47696.626506024091</v>
          </cell>
          <cell r="AK63">
            <v>51566.374549819935</v>
          </cell>
          <cell r="AL63">
            <v>57603.529411764714</v>
          </cell>
          <cell r="AM63">
            <v>63230.780312124858</v>
          </cell>
          <cell r="AN63">
            <v>66598.007202881156</v>
          </cell>
          <cell r="AO63">
            <v>69255.845238095237</v>
          </cell>
          <cell r="AP63">
            <v>72519.71428571429</v>
          </cell>
          <cell r="AQ63">
            <v>70211.222919379667</v>
          </cell>
          <cell r="AR63">
            <v>68134.059429383211</v>
          </cell>
          <cell r="AS63">
            <v>68969.593023255817</v>
          </cell>
          <cell r="AT63">
            <v>82905.965116279069</v>
          </cell>
          <cell r="AU63">
            <v>90041.220930232565</v>
          </cell>
          <cell r="AV63">
            <v>77085.965116279069</v>
          </cell>
          <cell r="AW63">
            <v>80337.255813953496</v>
          </cell>
          <cell r="AX63">
            <v>85398.941860465129</v>
          </cell>
          <cell r="AY63">
            <v>89181.686046511633</v>
          </cell>
          <cell r="AZ63">
            <v>99560.372093023267</v>
          </cell>
          <cell r="BA63">
            <v>103757.8488372093</v>
          </cell>
          <cell r="BB63">
            <v>110254.70930232559</v>
          </cell>
          <cell r="BC63">
            <v>106730.38202247192</v>
          </cell>
          <cell r="BD63">
            <v>108488.45555555556</v>
          </cell>
          <cell r="BE63">
            <v>1102712.3957175622</v>
          </cell>
          <cell r="BF63">
            <v>103099.65217391303</v>
          </cell>
        </row>
        <row r="65">
          <cell r="AF65" t="str">
            <v>Employee statutory expenses</v>
          </cell>
        </row>
        <row r="66">
          <cell r="AF66" t="str">
            <v>Employee ESI</v>
          </cell>
          <cell r="AJ66">
            <v>98.036144578313255</v>
          </cell>
          <cell r="AK66">
            <v>92.304921968787525</v>
          </cell>
          <cell r="AL66">
            <v>90.612244897959187</v>
          </cell>
          <cell r="AM66">
            <v>113.46938775510205</v>
          </cell>
          <cell r="AN66">
            <v>122.1608643457383</v>
          </cell>
          <cell r="AO66">
            <v>109.13095238095238</v>
          </cell>
          <cell r="AP66">
            <v>108.03571428571429</v>
          </cell>
          <cell r="AQ66">
            <v>116.76334793417782</v>
          </cell>
          <cell r="AR66">
            <v>115.35456375044394</v>
          </cell>
          <cell r="AS66">
            <v>109.68604651162791</v>
          </cell>
          <cell r="AT66">
            <v>88.360465116279073</v>
          </cell>
          <cell r="AU66">
            <v>59.825581395348834</v>
          </cell>
          <cell r="AV66">
            <v>59.965116279069768</v>
          </cell>
          <cell r="AW66">
            <v>61.290697674418603</v>
          </cell>
          <cell r="AX66">
            <v>55.593023255813954</v>
          </cell>
          <cell r="AY66">
            <v>51.790697674418603</v>
          </cell>
          <cell r="AZ66">
            <v>50.52325581395349</v>
          </cell>
          <cell r="BA66">
            <v>51.697674418604649</v>
          </cell>
          <cell r="BB66">
            <v>53.383720930232556</v>
          </cell>
          <cell r="BC66">
            <v>49.415730337078649</v>
          </cell>
          <cell r="BD66">
            <v>58.711111111111109</v>
          </cell>
          <cell r="BE66">
            <v>750.24312051795721</v>
          </cell>
          <cell r="BF66">
            <v>82.630434782608702</v>
          </cell>
        </row>
        <row r="67">
          <cell r="AF67" t="str">
            <v>EPF Admin Charges</v>
          </cell>
          <cell r="AJ67">
            <v>166.04819277108433</v>
          </cell>
          <cell r="AK67">
            <v>154.42977190876351</v>
          </cell>
          <cell r="AL67">
            <v>153.51740696278512</v>
          </cell>
          <cell r="AM67">
            <v>239.77190876350542</v>
          </cell>
          <cell r="AN67">
            <v>263.1452581032413</v>
          </cell>
          <cell r="AO67">
            <v>276.23809523809524</v>
          </cell>
          <cell r="AP67">
            <v>290.54761904761904</v>
          </cell>
          <cell r="AQ67">
            <v>295.65526222327452</v>
          </cell>
          <cell r="AR67">
            <v>288.07860778974782</v>
          </cell>
          <cell r="AS67">
            <v>274.44186046511629</v>
          </cell>
          <cell r="AT67">
            <v>286.88372093023258</v>
          </cell>
          <cell r="AU67">
            <v>300.58139534883719</v>
          </cell>
          <cell r="AV67">
            <v>300.58139534883719</v>
          </cell>
          <cell r="AW67">
            <v>320.74418604651163</v>
          </cell>
          <cell r="AX67">
            <v>320.74418604651163</v>
          </cell>
          <cell r="AY67">
            <v>332.96511627906978</v>
          </cell>
          <cell r="AZ67">
            <v>371.66279069767444</v>
          </cell>
          <cell r="BA67">
            <v>394.91860465116281</v>
          </cell>
          <cell r="BB67">
            <v>409.81395348837208</v>
          </cell>
          <cell r="BC67">
            <v>400.49438202247188</v>
          </cell>
          <cell r="BD67">
            <v>513.33333333333337</v>
          </cell>
          <cell r="BE67">
            <v>4227.164924658131</v>
          </cell>
          <cell r="BF67">
            <v>406.91304347826087</v>
          </cell>
        </row>
        <row r="68">
          <cell r="AF68" t="str">
            <v>Employee PF</v>
          </cell>
          <cell r="AJ68">
            <v>2134.4578313253014</v>
          </cell>
          <cell r="AK68">
            <v>2011.9447779111645</v>
          </cell>
          <cell r="AL68">
            <v>2000.9243697478992</v>
          </cell>
          <cell r="AM68">
            <v>3035.3901560624249</v>
          </cell>
          <cell r="AN68">
            <v>3315.7743097238895</v>
          </cell>
          <cell r="AO68">
            <v>3470.5714285714284</v>
          </cell>
          <cell r="AP68">
            <v>3642.3333333333335</v>
          </cell>
          <cell r="AQ68">
            <v>3702.6755060968389</v>
          </cell>
          <cell r="AR68">
            <v>3611.8740381200428</v>
          </cell>
          <cell r="AS68">
            <v>3445.8372093023254</v>
          </cell>
          <cell r="AT68">
            <v>3555.7093023255816</v>
          </cell>
          <cell r="AU68">
            <v>3690.1976744186045</v>
          </cell>
          <cell r="AV68">
            <v>3673.6511627906975</v>
          </cell>
          <cell r="AW68">
            <v>3931.6162790697676</v>
          </cell>
          <cell r="AX68">
            <v>3939.1046511627906</v>
          </cell>
          <cell r="AY68">
            <v>4150.4418604651164</v>
          </cell>
          <cell r="AZ68">
            <v>4542.4767441860467</v>
          </cell>
          <cell r="BA68">
            <v>4886.8023255813951</v>
          </cell>
          <cell r="BB68">
            <v>5001.5348837209303</v>
          </cell>
          <cell r="BC68">
            <v>4918.8651685393261</v>
          </cell>
          <cell r="BD68">
            <v>5526.0555555555557</v>
          </cell>
          <cell r="BE68">
            <v>51262.292817118141</v>
          </cell>
          <cell r="BF68">
            <v>5078.717391304348</v>
          </cell>
        </row>
        <row r="69">
          <cell r="AF69" t="str">
            <v>Employer ESI</v>
          </cell>
          <cell r="AJ69">
            <v>423.34939759036143</v>
          </cell>
          <cell r="AK69">
            <v>398.58343337334935</v>
          </cell>
          <cell r="AL69">
            <v>391.35654261704684</v>
          </cell>
          <cell r="AM69">
            <v>491.84873949579833</v>
          </cell>
          <cell r="AN69">
            <v>527.35894357743098</v>
          </cell>
          <cell r="AO69">
            <v>474.67857142857144</v>
          </cell>
          <cell r="AP69">
            <v>466.42857142857144</v>
          </cell>
          <cell r="AQ69">
            <v>506.65324967444064</v>
          </cell>
          <cell r="AR69">
            <v>497.77435776015153</v>
          </cell>
          <cell r="AS69">
            <v>473.41860465116281</v>
          </cell>
          <cell r="AT69">
            <v>381.13953488372096</v>
          </cell>
          <cell r="AU69">
            <v>258.72093023255815</v>
          </cell>
          <cell r="AV69">
            <v>260.3488372093023</v>
          </cell>
          <cell r="AW69">
            <v>264.31395348837208</v>
          </cell>
          <cell r="AX69">
            <v>239.82558139534885</v>
          </cell>
          <cell r="AY69">
            <v>223.40697674418604</v>
          </cell>
          <cell r="AZ69">
            <v>218.1046511627907</v>
          </cell>
          <cell r="BA69">
            <v>223.11627906976744</v>
          </cell>
          <cell r="BB69">
            <v>230.26744186046511</v>
          </cell>
          <cell r="BC69">
            <v>213.30337078651687</v>
          </cell>
          <cell r="BD69">
            <v>253.32222222222222</v>
          </cell>
          <cell r="BE69">
            <v>3239.2883837064137</v>
          </cell>
          <cell r="BF69">
            <v>356.89130434782606</v>
          </cell>
        </row>
        <row r="70">
          <cell r="AF70" t="str">
            <v>Employer PF</v>
          </cell>
          <cell r="AJ70">
            <v>2134.8313253012047</v>
          </cell>
          <cell r="AK70">
            <v>2012.3049219687875</v>
          </cell>
          <cell r="AL70">
            <v>2001.24849939976</v>
          </cell>
          <cell r="AM70">
            <v>3035.3901560624249</v>
          </cell>
          <cell r="AN70">
            <v>3315.7743097238895</v>
          </cell>
          <cell r="AO70">
            <v>3470.5714285714284</v>
          </cell>
          <cell r="AP70">
            <v>3642.3333333333335</v>
          </cell>
          <cell r="AQ70">
            <v>3702.6755060968389</v>
          </cell>
          <cell r="AR70">
            <v>3611.8740381200428</v>
          </cell>
          <cell r="AS70">
            <v>3445.8372093023254</v>
          </cell>
          <cell r="AT70">
            <v>3555.7093023255816</v>
          </cell>
          <cell r="AU70">
            <v>3690.1976744186045</v>
          </cell>
          <cell r="AV70">
            <v>3673.6511627906975</v>
          </cell>
          <cell r="AW70">
            <v>3931.6162790697676</v>
          </cell>
          <cell r="AX70">
            <v>3939.1046511627906</v>
          </cell>
          <cell r="AY70">
            <v>4150.4418604651164</v>
          </cell>
          <cell r="AZ70">
            <v>4542.4767441860467</v>
          </cell>
          <cell r="BA70">
            <v>4886.8023255813951</v>
          </cell>
          <cell r="BB70">
            <v>5001.5348837209303</v>
          </cell>
          <cell r="BC70">
            <v>4918.8651685393261</v>
          </cell>
          <cell r="BD70">
            <v>5526.0555555555557</v>
          </cell>
          <cell r="BE70">
            <v>51262.292817118141</v>
          </cell>
          <cell r="BF70">
            <v>5078.717391304348</v>
          </cell>
        </row>
        <row r="71">
          <cell r="AF71" t="str">
            <v>Managers EPF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</row>
        <row r="72">
          <cell r="AF72" t="str">
            <v>MGMT EPF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</row>
        <row r="73">
          <cell r="AF73" t="str">
            <v>Interest on TDS</v>
          </cell>
          <cell r="AJ73">
            <v>0</v>
          </cell>
          <cell r="AK73">
            <v>0</v>
          </cell>
          <cell r="AL73">
            <v>19.723889555822328</v>
          </cell>
          <cell r="AM73">
            <v>17.803121248499401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3.4883720930232558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3.4883720930232558</v>
          </cell>
          <cell r="BF73">
            <v>0</v>
          </cell>
        </row>
        <row r="74">
          <cell r="AF74" t="str">
            <v>Professional tax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2873.7094837935174</v>
          </cell>
          <cell r="AO74">
            <v>93.86904761904762</v>
          </cell>
          <cell r="AP74">
            <v>648.80952380952385</v>
          </cell>
          <cell r="AQ74">
            <v>501.95335622114362</v>
          </cell>
          <cell r="AR74">
            <v>475.90860660589561</v>
          </cell>
          <cell r="AS74">
            <v>467.44186046511629</v>
          </cell>
          <cell r="AT74">
            <v>483.72093023255815</v>
          </cell>
          <cell r="AU74">
            <v>620.11627906976742</v>
          </cell>
          <cell r="AV74">
            <v>527.90697674418607</v>
          </cell>
          <cell r="AW74">
            <v>567.26744186046517</v>
          </cell>
          <cell r="AX74">
            <v>587.20930232558135</v>
          </cell>
          <cell r="AY74">
            <v>597.73255813953483</v>
          </cell>
          <cell r="AZ74">
            <v>660.46511627906978</v>
          </cell>
          <cell r="BA74">
            <v>1178.8372093023256</v>
          </cell>
          <cell r="BB74">
            <v>676.22093023255809</v>
          </cell>
          <cell r="BC74">
            <v>667.86516853932585</v>
          </cell>
          <cell r="BD74">
            <v>803.64444444444439</v>
          </cell>
          <cell r="BE74">
            <v>7838.4282176349334</v>
          </cell>
          <cell r="BF74">
            <v>747.91304347826087</v>
          </cell>
        </row>
        <row r="75">
          <cell r="AF75" t="str">
            <v>Interest on employee statutory dues</v>
          </cell>
          <cell r="AJ75">
            <v>0</v>
          </cell>
          <cell r="AK75">
            <v>0</v>
          </cell>
          <cell r="AL75">
            <v>0</v>
          </cell>
          <cell r="AM75">
            <v>1756.794717887155</v>
          </cell>
          <cell r="AN75">
            <v>23.20528211284514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</row>
        <row r="76">
          <cell r="AF76" t="str">
            <v>Total</v>
          </cell>
          <cell r="AJ76">
            <v>4956.7228915662654</v>
          </cell>
          <cell r="AK76">
            <v>4669.5678271308525</v>
          </cell>
          <cell r="AL76">
            <v>4657.3829531812717</v>
          </cell>
          <cell r="AM76">
            <v>8690.4681872749097</v>
          </cell>
          <cell r="AN76">
            <v>10441.128451380551</v>
          </cell>
          <cell r="AO76">
            <v>7895.0595238095239</v>
          </cell>
          <cell r="AP76">
            <v>8798.4880952380954</v>
          </cell>
          <cell r="AQ76">
            <v>8826.3762282467142</v>
          </cell>
          <cell r="AR76">
            <v>8600.8642121463236</v>
          </cell>
          <cell r="AS76">
            <v>8216.6627906976737</v>
          </cell>
          <cell r="AT76">
            <v>8351.5232558139542</v>
          </cell>
          <cell r="AU76">
            <v>8619.6395348837195</v>
          </cell>
          <cell r="AV76">
            <v>8496.1046511627901</v>
          </cell>
          <cell r="AW76">
            <v>9080.3372093023263</v>
          </cell>
          <cell r="AX76">
            <v>9081.5813953488378</v>
          </cell>
          <cell r="AY76">
            <v>9506.7790697674427</v>
          </cell>
          <cell r="AZ76">
            <v>10385.709302325582</v>
          </cell>
          <cell r="BA76">
            <v>11622.174418604651</v>
          </cell>
          <cell r="BB76">
            <v>11372.755813953489</v>
          </cell>
          <cell r="BC76">
            <v>11168.808988764044</v>
          </cell>
          <cell r="BD76">
            <v>12681.122222222222</v>
          </cell>
          <cell r="BE76">
            <v>118583.19865284675</v>
          </cell>
          <cell r="BF76">
            <v>11751.782608695652</v>
          </cell>
        </row>
        <row r="78">
          <cell r="AF78" t="str">
            <v>Total Manpower</v>
          </cell>
          <cell r="AJ78">
            <v>52653.349397590362</v>
          </cell>
          <cell r="AK78">
            <v>56235.942376950785</v>
          </cell>
          <cell r="AL78">
            <v>62260.91236494598</v>
          </cell>
          <cell r="AM78">
            <v>71921.248499399764</v>
          </cell>
          <cell r="AN78">
            <v>77039.135654261714</v>
          </cell>
          <cell r="AO78">
            <v>77150.904761904763</v>
          </cell>
          <cell r="AP78">
            <v>81318.202380952382</v>
          </cell>
          <cell r="AQ78">
            <v>79037.599147626373</v>
          </cell>
          <cell r="AR78">
            <v>76734.923641529545</v>
          </cell>
          <cell r="AS78">
            <v>77186.255813953481</v>
          </cell>
          <cell r="AT78">
            <v>91257.488372093023</v>
          </cell>
          <cell r="AU78">
            <v>98660.860465116275</v>
          </cell>
          <cell r="AV78">
            <v>85582.069767441862</v>
          </cell>
          <cell r="AW78">
            <v>89417.593023255817</v>
          </cell>
          <cell r="AX78">
            <v>94480.523255813954</v>
          </cell>
          <cell r="AY78">
            <v>98688.465116279069</v>
          </cell>
          <cell r="AZ78">
            <v>109946.08139534884</v>
          </cell>
          <cell r="BA78">
            <v>115380.02325581395</v>
          </cell>
          <cell r="BB78">
            <v>121627.46511627907</v>
          </cell>
          <cell r="BC78">
            <v>117899.19101123596</v>
          </cell>
          <cell r="BD78">
            <v>121169.57777777778</v>
          </cell>
          <cell r="BE78">
            <v>1221295.5943704091</v>
          </cell>
          <cell r="BF78">
            <v>114851.43478260869</v>
          </cell>
        </row>
        <row r="80">
          <cell r="AF80" t="str">
            <v>Facility Cost</v>
          </cell>
        </row>
        <row r="81">
          <cell r="AF81" t="str">
            <v>Electricity Expense</v>
          </cell>
          <cell r="AJ81">
            <v>1803.3615662650604</v>
          </cell>
          <cell r="AK81">
            <v>2083.9806722689077</v>
          </cell>
          <cell r="AL81">
            <v>1868.8225690276113</v>
          </cell>
          <cell r="AM81">
            <v>2104.8258103241296</v>
          </cell>
          <cell r="AN81">
            <v>2696.3527010804323</v>
          </cell>
          <cell r="AO81">
            <v>2298.9442857142858</v>
          </cell>
          <cell r="AP81">
            <v>3263.8422619047619</v>
          </cell>
          <cell r="AQ81">
            <v>2229.7859595122527</v>
          </cell>
          <cell r="AR81">
            <v>2912.642476618918</v>
          </cell>
          <cell r="AS81">
            <v>2103.5393023255815</v>
          </cell>
          <cell r="AT81">
            <v>2524.4939534883724</v>
          </cell>
          <cell r="AU81">
            <v>2126.0146511627909</v>
          </cell>
          <cell r="AV81">
            <v>2760.1690697674421</v>
          </cell>
          <cell r="AW81">
            <v>2388.1437209302326</v>
          </cell>
          <cell r="AX81">
            <v>3208.8723255813957</v>
          </cell>
          <cell r="AY81">
            <v>2589.6524418604649</v>
          </cell>
          <cell r="AZ81">
            <v>3459.3701162790699</v>
          </cell>
          <cell r="BA81">
            <v>2942.1976744186045</v>
          </cell>
          <cell r="BB81">
            <v>3233.3953488372094</v>
          </cell>
          <cell r="BC81">
            <v>2791.0449438202249</v>
          </cell>
          <cell r="BD81">
            <v>2958.4777777777776</v>
          </cell>
          <cell r="BE81">
            <v>33085.371326249166</v>
          </cell>
          <cell r="BF81">
            <v>1968.0434782608695</v>
          </cell>
        </row>
        <row r="82">
          <cell r="AF82" t="str">
            <v>Computer maintenance</v>
          </cell>
          <cell r="AJ82">
            <v>25.525783132530119</v>
          </cell>
          <cell r="AK82">
            <v>25.433853541416568</v>
          </cell>
          <cell r="AL82">
            <v>35.607442977190878</v>
          </cell>
          <cell r="AM82">
            <v>5.0866746698679473</v>
          </cell>
          <cell r="AN82">
            <v>6.0024009603841542</v>
          </cell>
          <cell r="AO82">
            <v>0</v>
          </cell>
          <cell r="AP82">
            <v>5.9523809523809526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81.395348837209298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81.395348837209298</v>
          </cell>
          <cell r="BF82">
            <v>0</v>
          </cell>
        </row>
        <row r="83">
          <cell r="AF83" t="str">
            <v>Janani Property Maintenance Charges</v>
          </cell>
          <cell r="AJ83">
            <v>747.04819277108436</v>
          </cell>
          <cell r="AK83">
            <v>744.35774309723888</v>
          </cell>
          <cell r="AL83">
            <v>744.35774309723888</v>
          </cell>
          <cell r="AM83">
            <v>744.35774309723888</v>
          </cell>
          <cell r="AN83">
            <v>744.35774309723888</v>
          </cell>
          <cell r="AO83">
            <v>738.15476190476193</v>
          </cell>
          <cell r="AP83">
            <v>775.05952380952385</v>
          </cell>
          <cell r="AQ83">
            <v>770.74701077305554</v>
          </cell>
          <cell r="AR83">
            <v>770.74701077305554</v>
          </cell>
          <cell r="AS83">
            <v>757.03488372093022</v>
          </cell>
          <cell r="AT83">
            <v>757.03488372093022</v>
          </cell>
          <cell r="AU83">
            <v>757.03488372093022</v>
          </cell>
          <cell r="AV83">
            <v>757.03488372093022</v>
          </cell>
          <cell r="AW83">
            <v>757.03488372093022</v>
          </cell>
          <cell r="AX83">
            <v>757.03488372093022</v>
          </cell>
          <cell r="AY83">
            <v>757.03488372093022</v>
          </cell>
          <cell r="AZ83">
            <v>757.03488372093022</v>
          </cell>
          <cell r="BA83">
            <v>757.03488372093022</v>
          </cell>
          <cell r="BB83">
            <v>794.88372093023258</v>
          </cell>
          <cell r="BC83">
            <v>768.08988764044943</v>
          </cell>
          <cell r="BD83">
            <v>759.55555555555554</v>
          </cell>
          <cell r="BE83">
            <v>9135.8431176146096</v>
          </cell>
          <cell r="BF83">
            <v>743.04347826086962</v>
          </cell>
        </row>
        <row r="84">
          <cell r="AF84" t="str">
            <v>Janani Property Rental Charges</v>
          </cell>
          <cell r="AJ84">
            <v>4324.9879518072294</v>
          </cell>
          <cell r="AK84">
            <v>4309.4117647058829</v>
          </cell>
          <cell r="AL84">
            <v>4309.4117647058829</v>
          </cell>
          <cell r="AM84">
            <v>4309.4117647058829</v>
          </cell>
          <cell r="AN84">
            <v>4309.4117647058829</v>
          </cell>
          <cell r="AO84">
            <v>4273.5</v>
          </cell>
          <cell r="AP84">
            <v>4487.1785714285716</v>
          </cell>
          <cell r="AQ84">
            <v>4462.2114360127853</v>
          </cell>
          <cell r="AR84">
            <v>4462.2114360127853</v>
          </cell>
          <cell r="AS84">
            <v>4382.8255813953492</v>
          </cell>
          <cell r="AT84">
            <v>4382.8255813953492</v>
          </cell>
          <cell r="AU84">
            <v>4382.8255813953492</v>
          </cell>
          <cell r="AV84">
            <v>4382.8255813953492</v>
          </cell>
          <cell r="AW84">
            <v>4382.8255813953492</v>
          </cell>
          <cell r="AX84">
            <v>4382.8255813953492</v>
          </cell>
          <cell r="AY84">
            <v>4382.8255813953492</v>
          </cell>
          <cell r="AZ84">
            <v>4382.8255813953492</v>
          </cell>
          <cell r="BA84">
            <v>4382.8255813953492</v>
          </cell>
          <cell r="BB84">
            <v>4601.9651162790697</v>
          </cell>
          <cell r="BC84">
            <v>4446.8426966292136</v>
          </cell>
          <cell r="BD84">
            <v>4397.4333333333334</v>
          </cell>
          <cell r="BE84">
            <v>52891.671378799772</v>
          </cell>
          <cell r="BF84">
            <v>4301.836956521739</v>
          </cell>
        </row>
        <row r="85">
          <cell r="AF85" t="str">
            <v>Laptop Rental Charges</v>
          </cell>
          <cell r="AJ85">
            <v>1025.6024096385543</v>
          </cell>
          <cell r="AK85">
            <v>1104.7418967587034</v>
          </cell>
          <cell r="AL85">
            <v>1235.7743097238897</v>
          </cell>
          <cell r="AM85">
            <v>1285.7142857142858</v>
          </cell>
          <cell r="AN85">
            <v>1291.9567827130852</v>
          </cell>
          <cell r="AO85">
            <v>1276.6547619047619</v>
          </cell>
          <cell r="AP85">
            <v>1301.3690476190477</v>
          </cell>
          <cell r="AQ85">
            <v>1352.8471646738487</v>
          </cell>
          <cell r="AR85">
            <v>1372.3807268852847</v>
          </cell>
          <cell r="AS85">
            <v>1386.5697674418604</v>
          </cell>
          <cell r="AT85">
            <v>1389.3604651162791</v>
          </cell>
          <cell r="AU85">
            <v>1389.1860465116279</v>
          </cell>
          <cell r="AV85">
            <v>1400.4069767441861</v>
          </cell>
          <cell r="AW85">
            <v>1585.6976744186047</v>
          </cell>
          <cell r="AX85">
            <v>1634.5930232558139</v>
          </cell>
          <cell r="AY85">
            <v>1761.1627906976744</v>
          </cell>
          <cell r="AZ85">
            <v>1752.7906976744187</v>
          </cell>
          <cell r="BA85">
            <v>1777.3847674418605</v>
          </cell>
          <cell r="BB85">
            <v>1851.7452325581396</v>
          </cell>
          <cell r="BC85">
            <v>1898.383033707865</v>
          </cell>
          <cell r="BD85">
            <v>2012.412111111111</v>
          </cell>
          <cell r="BE85">
            <v>19839.692586679441</v>
          </cell>
          <cell r="BF85">
            <v>2057.9032608695652</v>
          </cell>
        </row>
        <row r="86">
          <cell r="AF86" t="str">
            <v>Max Office rental charges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4651.1627906976746</v>
          </cell>
          <cell r="AZ86">
            <v>4651.1627906976746</v>
          </cell>
          <cell r="BA86">
            <v>4651.1627906976746</v>
          </cell>
          <cell r="BB86">
            <v>4651.1627906976746</v>
          </cell>
          <cell r="BC86">
            <v>4494.3820224719102</v>
          </cell>
          <cell r="BD86">
            <v>4444.4444444444443</v>
          </cell>
          <cell r="BE86">
            <v>27543.477629707053</v>
          </cell>
          <cell r="BF86">
            <v>4347.826086956522</v>
          </cell>
        </row>
        <row r="87">
          <cell r="AF87" t="str">
            <v>Trichy rental charges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280.89887640449439</v>
          </cell>
          <cell r="BD87">
            <v>277.77777777777777</v>
          </cell>
          <cell r="BE87">
            <v>558.67665418227216</v>
          </cell>
          <cell r="BF87">
            <v>271.73913043478262</v>
          </cell>
        </row>
        <row r="88">
          <cell r="AF88" t="str">
            <v>Thiruttani rental charges</v>
          </cell>
          <cell r="AJ88">
            <v>0</v>
          </cell>
          <cell r="AK88">
            <v>183.67346938775512</v>
          </cell>
          <cell r="AL88">
            <v>300.12004801920767</v>
          </cell>
          <cell r="AM88">
            <v>300.12004801920767</v>
          </cell>
          <cell r="AN88">
            <v>300.12004801920767</v>
          </cell>
          <cell r="AO88">
            <v>297.61904761904759</v>
          </cell>
          <cell r="AP88">
            <v>297.61904761904759</v>
          </cell>
          <cell r="AQ88">
            <v>295.96306380963654</v>
          </cell>
          <cell r="AR88">
            <v>295.96306380963654</v>
          </cell>
          <cell r="AS88">
            <v>290.69767441860466</v>
          </cell>
          <cell r="AT88">
            <v>290.69767441860466</v>
          </cell>
          <cell r="AU88">
            <v>290.69767441860466</v>
          </cell>
          <cell r="AV88">
            <v>290.69767441860466</v>
          </cell>
          <cell r="AW88">
            <v>305.23255813953489</v>
          </cell>
          <cell r="AX88">
            <v>305.23255813953489</v>
          </cell>
          <cell r="AY88">
            <v>305.23255813953489</v>
          </cell>
          <cell r="AZ88">
            <v>305.23255813953489</v>
          </cell>
          <cell r="BA88">
            <v>305.23255813953489</v>
          </cell>
          <cell r="BB88">
            <v>305.23255813953489</v>
          </cell>
          <cell r="BC88">
            <v>294.9438202247191</v>
          </cell>
          <cell r="BD88">
            <v>291.66666666666669</v>
          </cell>
          <cell r="BE88">
            <v>3580.7965334030137</v>
          </cell>
          <cell r="BF88">
            <v>285.32608695652175</v>
          </cell>
        </row>
        <row r="89">
          <cell r="AF89" t="str">
            <v>Total</v>
          </cell>
          <cell r="AJ89">
            <v>7926.5259036144589</v>
          </cell>
          <cell r="AK89">
            <v>8451.5993997599053</v>
          </cell>
          <cell r="AL89">
            <v>8494.0938775510203</v>
          </cell>
          <cell r="AM89">
            <v>8749.5163265306128</v>
          </cell>
          <cell r="AN89">
            <v>9348.2014405762311</v>
          </cell>
          <cell r="AO89">
            <v>8884.8728571428564</v>
          </cell>
          <cell r="AP89">
            <v>10131.020833333334</v>
          </cell>
          <cell r="AQ89">
            <v>9111.5546347815798</v>
          </cell>
          <cell r="AR89">
            <v>9813.9447140996799</v>
          </cell>
          <cell r="AS89">
            <v>8920.6672093023262</v>
          </cell>
          <cell r="AT89">
            <v>9344.4125581395365</v>
          </cell>
          <cell r="AU89">
            <v>8945.7588372093032</v>
          </cell>
          <cell r="AV89">
            <v>9591.1341860465127</v>
          </cell>
          <cell r="AW89">
            <v>9418.934418604651</v>
          </cell>
          <cell r="AX89">
            <v>10369.953720930233</v>
          </cell>
          <cell r="AY89">
            <v>14447.071046511628</v>
          </cell>
          <cell r="AZ89">
            <v>15308.416627906976</v>
          </cell>
          <cell r="BA89">
            <v>14815.838255813953</v>
          </cell>
          <cell r="BB89">
            <v>15438.384767441861</v>
          </cell>
          <cell r="BC89">
            <v>14974.585280898878</v>
          </cell>
          <cell r="BD89">
            <v>15141.767666666665</v>
          </cell>
          <cell r="BE89">
            <v>146716.92457547251</v>
          </cell>
          <cell r="BF89">
            <v>13975.718478260869</v>
          </cell>
        </row>
        <row r="92">
          <cell r="AF92" t="str">
            <v>Telecom Data &amp; others</v>
          </cell>
        </row>
        <row r="93">
          <cell r="AF93" t="str">
            <v>License/Subscription/Certification Charges</v>
          </cell>
          <cell r="AJ93">
            <v>806.81722891566267</v>
          </cell>
          <cell r="AK93">
            <v>2184.6043217286915</v>
          </cell>
          <cell r="AL93">
            <v>827.37995198079238</v>
          </cell>
          <cell r="AM93">
            <v>620.52893157262906</v>
          </cell>
          <cell r="AN93">
            <v>693.97599039615841</v>
          </cell>
          <cell r="AO93">
            <v>1272.4785714285713</v>
          </cell>
          <cell r="AP93">
            <v>1145.8</v>
          </cell>
          <cell r="AQ93">
            <v>947.07233337279501</v>
          </cell>
          <cell r="AR93">
            <v>1000.677045104771</v>
          </cell>
          <cell r="AS93">
            <v>2586.4790697674421</v>
          </cell>
          <cell r="AT93">
            <v>1155.5023255813953</v>
          </cell>
          <cell r="AU93">
            <v>983.41627906976748</v>
          </cell>
          <cell r="AV93">
            <v>946.81627906976746</v>
          </cell>
          <cell r="AW93">
            <v>946.80465116279072</v>
          </cell>
          <cell r="AX93">
            <v>977.38604651162791</v>
          </cell>
          <cell r="AY93">
            <v>1016.7930232558139</v>
          </cell>
          <cell r="AZ93">
            <v>1105.7697674418605</v>
          </cell>
          <cell r="BA93">
            <v>1174.967441860465</v>
          </cell>
          <cell r="BB93">
            <v>615.66511627906971</v>
          </cell>
          <cell r="BC93">
            <v>1500.0532584269663</v>
          </cell>
          <cell r="BD93">
            <v>1196.6022222222223</v>
          </cell>
          <cell r="BE93">
            <v>14206.255480649188</v>
          </cell>
          <cell r="BF93">
            <v>988.99130434782603</v>
          </cell>
        </row>
        <row r="94">
          <cell r="AF94" t="str">
            <v>IT and Internet Expenses</v>
          </cell>
          <cell r="AJ94">
            <v>0</v>
          </cell>
          <cell r="AK94">
            <v>240.09603841536617</v>
          </cell>
          <cell r="AL94">
            <v>240.09603841536617</v>
          </cell>
          <cell r="AM94">
            <v>240.09603841536617</v>
          </cell>
          <cell r="AN94">
            <v>240.09603841536617</v>
          </cell>
          <cell r="AO94">
            <v>238.0952380952381</v>
          </cell>
          <cell r="AP94">
            <v>248.18404761904762</v>
          </cell>
          <cell r="AQ94">
            <v>325.55937019060019</v>
          </cell>
          <cell r="AR94">
            <v>236.77045104770926</v>
          </cell>
          <cell r="AS94">
            <v>232.55813953488371</v>
          </cell>
          <cell r="AT94">
            <v>318.7906976744186</v>
          </cell>
          <cell r="AU94">
            <v>318.7906976744186</v>
          </cell>
          <cell r="AV94">
            <v>392.44186046511629</v>
          </cell>
          <cell r="AW94">
            <v>427.32558139534882</v>
          </cell>
          <cell r="AX94">
            <v>392.44186046511629</v>
          </cell>
          <cell r="AY94">
            <v>392.44186046511629</v>
          </cell>
          <cell r="AZ94">
            <v>557.17441860465112</v>
          </cell>
          <cell r="BA94">
            <v>499.03488372093022</v>
          </cell>
          <cell r="BB94">
            <v>605.62790697674416</v>
          </cell>
          <cell r="BC94">
            <v>482.2134831460674</v>
          </cell>
          <cell r="BD94">
            <v>476.85555555555555</v>
          </cell>
          <cell r="BE94">
            <v>5095.6969456783672</v>
          </cell>
          <cell r="BF94">
            <v>466.48913043478262</v>
          </cell>
        </row>
        <row r="95">
          <cell r="AF95" t="str">
            <v>Telecom Charges</v>
          </cell>
          <cell r="AJ95">
            <v>14.433734939759036</v>
          </cell>
          <cell r="AK95">
            <v>21.450420168067225</v>
          </cell>
          <cell r="AL95">
            <v>21.450420168067225</v>
          </cell>
          <cell r="AM95">
            <v>21.610564225690279</v>
          </cell>
          <cell r="AN95">
            <v>40.646098439375756</v>
          </cell>
          <cell r="AO95">
            <v>23.164523809523807</v>
          </cell>
          <cell r="AP95">
            <v>23.164523809523807</v>
          </cell>
          <cell r="AQ95">
            <v>24.207647685568841</v>
          </cell>
          <cell r="AR95">
            <v>24.207647685568841</v>
          </cell>
          <cell r="AS95">
            <v>63.951395348837202</v>
          </cell>
          <cell r="AT95">
            <v>23.776976744186047</v>
          </cell>
          <cell r="AU95">
            <v>23.776976744186047</v>
          </cell>
          <cell r="AV95">
            <v>23.776976744186047</v>
          </cell>
          <cell r="AW95">
            <v>78.637441860465117</v>
          </cell>
          <cell r="AX95">
            <v>23.776976744186047</v>
          </cell>
          <cell r="AY95">
            <v>23.776976744186047</v>
          </cell>
          <cell r="AZ95">
            <v>23.776976744186047</v>
          </cell>
          <cell r="BA95">
            <v>27.207209302325584</v>
          </cell>
          <cell r="BB95">
            <v>25.835116279069769</v>
          </cell>
          <cell r="BC95">
            <v>25.615617977528089</v>
          </cell>
          <cell r="BD95">
            <v>24.686888888888891</v>
          </cell>
          <cell r="BE95">
            <v>388.59553012223097</v>
          </cell>
          <cell r="BF95">
            <v>24.150217391304349</v>
          </cell>
        </row>
        <row r="96">
          <cell r="AF96" t="str">
            <v>Telephone Rental Charges</v>
          </cell>
          <cell r="AJ96">
            <v>163.85542168674698</v>
          </cell>
          <cell r="AK96">
            <v>163.26530612244898</v>
          </cell>
          <cell r="AL96">
            <v>163.26530612244898</v>
          </cell>
          <cell r="AM96">
            <v>207.68307322929172</v>
          </cell>
          <cell r="AN96">
            <v>190.87635054021609</v>
          </cell>
          <cell r="AO96">
            <v>189.28571428571428</v>
          </cell>
          <cell r="AP96">
            <v>189.28571428571428</v>
          </cell>
          <cell r="AQ96">
            <v>188.23250858292886</v>
          </cell>
          <cell r="AR96">
            <v>188.23250858292886</v>
          </cell>
          <cell r="AS96">
            <v>184.88372093023256</v>
          </cell>
          <cell r="AT96">
            <v>175.58139534883722</v>
          </cell>
          <cell r="AU96">
            <v>175.58139534883722</v>
          </cell>
          <cell r="AV96">
            <v>175.58139534883722</v>
          </cell>
          <cell r="AW96">
            <v>175.58139534883722</v>
          </cell>
          <cell r="AX96">
            <v>175.58139534883722</v>
          </cell>
          <cell r="AY96">
            <v>175.58139534883722</v>
          </cell>
          <cell r="AZ96">
            <v>189.53488372093022</v>
          </cell>
          <cell r="BA96">
            <v>184.88372093023256</v>
          </cell>
          <cell r="BB96">
            <v>184.88372093023256</v>
          </cell>
          <cell r="BC96">
            <v>203.37078651685394</v>
          </cell>
          <cell r="BD96">
            <v>193.33333333333334</v>
          </cell>
          <cell r="BE96">
            <v>2194.3785384548387</v>
          </cell>
          <cell r="BF96">
            <v>189.13043478260869</v>
          </cell>
        </row>
        <row r="97">
          <cell r="AF97" t="str">
            <v>Total</v>
          </cell>
          <cell r="AJ97">
            <v>985.10638554216871</v>
          </cell>
          <cell r="AK97">
            <v>2609.416086434574</v>
          </cell>
          <cell r="AL97">
            <v>1252.1917166866747</v>
          </cell>
          <cell r="AM97">
            <v>1089.9186074429772</v>
          </cell>
          <cell r="AN97">
            <v>1165.5944777911163</v>
          </cell>
          <cell r="AO97">
            <v>1723.0240476190475</v>
          </cell>
          <cell r="AP97">
            <v>1606.4342857142856</v>
          </cell>
          <cell r="AQ97">
            <v>1485.0718598318929</v>
          </cell>
          <cell r="AR97">
            <v>1449.8876524209779</v>
          </cell>
          <cell r="AS97">
            <v>3067.8723255813952</v>
          </cell>
          <cell r="AT97">
            <v>1673.6513953488372</v>
          </cell>
          <cell r="AU97">
            <v>1501.5653488372093</v>
          </cell>
          <cell r="AV97">
            <v>1538.6165116279071</v>
          </cell>
          <cell r="AW97">
            <v>1628.349069767442</v>
          </cell>
          <cell r="AX97">
            <v>1569.1862790697674</v>
          </cell>
          <cell r="AY97">
            <v>1608.5932558139534</v>
          </cell>
          <cell r="AZ97">
            <v>1876.256046511628</v>
          </cell>
          <cell r="BA97">
            <v>1886.0932558139534</v>
          </cell>
          <cell r="BB97">
            <v>1432.0118604651161</v>
          </cell>
          <cell r="BC97">
            <v>2211.2531460674154</v>
          </cell>
          <cell r="BD97">
            <v>1891.4780000000001</v>
          </cell>
          <cell r="BE97">
            <v>21884.926494904626</v>
          </cell>
          <cell r="BF97">
            <v>1668.7610869565217</v>
          </cell>
        </row>
        <row r="99">
          <cell r="AF99" t="str">
            <v>Transportation Costs</v>
          </cell>
        </row>
        <row r="100">
          <cell r="AF100" t="str">
            <v>Staff Transportation Charges</v>
          </cell>
          <cell r="AJ100">
            <v>1400</v>
          </cell>
          <cell r="AK100">
            <v>1325.3301320528212</v>
          </cell>
          <cell r="AL100">
            <v>1623.0492196878752</v>
          </cell>
          <cell r="AM100">
            <v>3096.0384153661466</v>
          </cell>
          <cell r="AN100">
            <v>3165.6662665066028</v>
          </cell>
          <cell r="AO100">
            <v>2938.0952380952381</v>
          </cell>
          <cell r="AP100">
            <v>3485.7142857142858</v>
          </cell>
          <cell r="AQ100">
            <v>3881.8515449271931</v>
          </cell>
          <cell r="AR100">
            <v>3025.3344382621049</v>
          </cell>
          <cell r="AS100">
            <v>2986.046511627907</v>
          </cell>
          <cell r="AT100">
            <v>3106.9767441860463</v>
          </cell>
          <cell r="AU100">
            <v>2883.7209302325582</v>
          </cell>
          <cell r="AV100">
            <v>2934.8837209302324</v>
          </cell>
          <cell r="AW100">
            <v>2756.7441860465115</v>
          </cell>
          <cell r="AX100">
            <v>2204.6511627906975</v>
          </cell>
          <cell r="AY100">
            <v>2660.4651162790697</v>
          </cell>
          <cell r="AZ100">
            <v>2909.3023255813955</v>
          </cell>
          <cell r="BA100">
            <v>2539.5348837209303</v>
          </cell>
          <cell r="BB100">
            <v>3521.8139534883721</v>
          </cell>
          <cell r="BC100">
            <v>5480.3370786516853</v>
          </cell>
          <cell r="BD100">
            <v>4114.4444444444443</v>
          </cell>
          <cell r="BE100">
            <v>38098.921057979853</v>
          </cell>
          <cell r="BF100">
            <v>4438.586956521739</v>
          </cell>
        </row>
        <row r="101">
          <cell r="AF101" t="str">
            <v>Total</v>
          </cell>
          <cell r="AJ101">
            <v>1400</v>
          </cell>
          <cell r="AK101">
            <v>1325.3301320528212</v>
          </cell>
          <cell r="AL101">
            <v>1623.0492196878752</v>
          </cell>
          <cell r="AM101">
            <v>3096.0384153661466</v>
          </cell>
          <cell r="AN101">
            <v>3165.6662665066028</v>
          </cell>
          <cell r="AO101">
            <v>2938.0952380952381</v>
          </cell>
          <cell r="AP101">
            <v>3485.7142857142858</v>
          </cell>
          <cell r="AQ101">
            <v>3881.8515449271931</v>
          </cell>
          <cell r="AR101">
            <v>3025.3344382621049</v>
          </cell>
          <cell r="AS101">
            <v>2986.046511627907</v>
          </cell>
          <cell r="AT101">
            <v>3106.9767441860463</v>
          </cell>
          <cell r="AU101">
            <v>2883.7209302325582</v>
          </cell>
          <cell r="AV101">
            <v>2934.8837209302324</v>
          </cell>
          <cell r="AW101">
            <v>2756.7441860465115</v>
          </cell>
          <cell r="AX101">
            <v>2204.6511627906975</v>
          </cell>
          <cell r="AY101">
            <v>2660.4651162790697</v>
          </cell>
          <cell r="AZ101">
            <v>2909.3023255813955</v>
          </cell>
          <cell r="BA101">
            <v>2539.5348837209303</v>
          </cell>
          <cell r="BB101">
            <v>3521.8139534883721</v>
          </cell>
          <cell r="BC101">
            <v>5480.3370786516853</v>
          </cell>
          <cell r="BD101">
            <v>4114.4444444444443</v>
          </cell>
          <cell r="BE101">
            <v>38098.921057979853</v>
          </cell>
          <cell r="BF101">
            <v>4438.586956521739</v>
          </cell>
        </row>
        <row r="103">
          <cell r="AF103" t="str">
            <v>Other COGS (Base)</v>
          </cell>
        </row>
        <row r="104">
          <cell r="AF104" t="str">
            <v>General Insurance</v>
          </cell>
          <cell r="AJ104">
            <v>0</v>
          </cell>
          <cell r="AK104">
            <v>-76.734693877551024</v>
          </cell>
          <cell r="AL104">
            <v>143.20528211284514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</row>
        <row r="105">
          <cell r="AF105" t="str">
            <v>Insurance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65.86904761904762</v>
          </cell>
          <cell r="AP105">
            <v>551.97619047619048</v>
          </cell>
          <cell r="AQ105">
            <v>557.46418846927907</v>
          </cell>
          <cell r="AR105">
            <v>557.46418846927907</v>
          </cell>
          <cell r="AS105">
            <v>547.54651162790697</v>
          </cell>
          <cell r="AT105">
            <v>1010.7906976744187</v>
          </cell>
          <cell r="AU105">
            <v>553.62790697674416</v>
          </cell>
          <cell r="AV105">
            <v>559.40697674418607</v>
          </cell>
          <cell r="AW105">
            <v>565.17441860465112</v>
          </cell>
          <cell r="AX105">
            <v>565.17441860465112</v>
          </cell>
          <cell r="AY105">
            <v>595.98837209302326</v>
          </cell>
          <cell r="AZ105">
            <v>815.82558139534888</v>
          </cell>
          <cell r="BA105">
            <v>795.44767441860461</v>
          </cell>
          <cell r="BB105">
            <v>743.39534883720933</v>
          </cell>
          <cell r="BC105">
            <v>718.33707865168537</v>
          </cell>
          <cell r="BD105">
            <v>772.63333333333333</v>
          </cell>
          <cell r="BE105">
            <v>8243.3483189617637</v>
          </cell>
          <cell r="BF105">
            <v>755.83695652173913</v>
          </cell>
        </row>
        <row r="106">
          <cell r="AF106" t="str">
            <v>Software development and Hosting charges</v>
          </cell>
          <cell r="AJ106">
            <v>1135.7332530120482</v>
          </cell>
          <cell r="AK106">
            <v>408.40372148859547</v>
          </cell>
          <cell r="AL106">
            <v>408.16326530612247</v>
          </cell>
          <cell r="AM106">
            <v>408.16326530612247</v>
          </cell>
          <cell r="AN106">
            <v>1089.4357743097239</v>
          </cell>
          <cell r="AO106">
            <v>0</v>
          </cell>
          <cell r="AP106">
            <v>0</v>
          </cell>
          <cell r="AQ106">
            <v>0</v>
          </cell>
          <cell r="AR106">
            <v>303.06617734106783</v>
          </cell>
          <cell r="AS106">
            <v>11.627906976744185</v>
          </cell>
          <cell r="AT106">
            <v>11.627906976744185</v>
          </cell>
          <cell r="AU106">
            <v>660.46511627906978</v>
          </cell>
          <cell r="AV106">
            <v>11.627906976744185</v>
          </cell>
          <cell r="AW106">
            <v>11.627906976744185</v>
          </cell>
          <cell r="AX106">
            <v>11.627906976744185</v>
          </cell>
          <cell r="AY106">
            <v>11.627906976744185</v>
          </cell>
          <cell r="AZ106">
            <v>34.139534883720927</v>
          </cell>
          <cell r="BA106">
            <v>186.04651162790697</v>
          </cell>
          <cell r="BB106">
            <v>695.16546511627905</v>
          </cell>
          <cell r="BC106">
            <v>179.77528089887642</v>
          </cell>
          <cell r="BD106">
            <v>269.35300000000001</v>
          </cell>
          <cell r="BE106">
            <v>2094.7123506663179</v>
          </cell>
          <cell r="BF106">
            <v>364.23902173913041</v>
          </cell>
        </row>
        <row r="107">
          <cell r="AF107" t="str">
            <v>Donation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119.04761904761905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</row>
        <row r="108">
          <cell r="AF108" t="str">
            <v>Employee Engagement</v>
          </cell>
          <cell r="AJ108">
            <v>23.795180722891565</v>
          </cell>
          <cell r="AK108">
            <v>189.19567827130854</v>
          </cell>
          <cell r="AL108">
            <v>36.014405762304925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47.590860660589556</v>
          </cell>
          <cell r="AR108">
            <v>953.00106546702978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55.555555555555557</v>
          </cell>
          <cell r="BE108">
            <v>55.555555555555557</v>
          </cell>
          <cell r="BF108">
            <v>0</v>
          </cell>
        </row>
        <row r="109">
          <cell r="AF109" t="str">
            <v>Leadership engagement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217.39130434782609</v>
          </cell>
        </row>
        <row r="110">
          <cell r="AF110" t="str">
            <v>Staff Welfare Expenses</v>
          </cell>
          <cell r="AJ110">
            <v>1637.7891566265059</v>
          </cell>
          <cell r="AK110">
            <v>868.22040816326523</v>
          </cell>
          <cell r="AL110">
            <v>385.67827130852345</v>
          </cell>
          <cell r="AM110">
            <v>3103.3133253301321</v>
          </cell>
          <cell r="AN110">
            <v>473.75750300120052</v>
          </cell>
          <cell r="AO110">
            <v>452.43880952380954</v>
          </cell>
          <cell r="AP110">
            <v>989.48642857142863</v>
          </cell>
          <cell r="AQ110">
            <v>3967.7416834379073</v>
          </cell>
          <cell r="AR110">
            <v>305.89901740262815</v>
          </cell>
          <cell r="AS110">
            <v>503.54186046511626</v>
          </cell>
          <cell r="AT110">
            <v>2260.5615116279073</v>
          </cell>
          <cell r="AU110">
            <v>1525.5041860465114</v>
          </cell>
          <cell r="AV110">
            <v>2313.750465116279</v>
          </cell>
          <cell r="AW110">
            <v>1145.0930232558139</v>
          </cell>
          <cell r="AX110">
            <v>322.62790697674421</v>
          </cell>
          <cell r="AY110">
            <v>535.17767441860462</v>
          </cell>
          <cell r="AZ110">
            <v>1937.3575581395348</v>
          </cell>
          <cell r="BA110">
            <v>1014.2441860465116</v>
          </cell>
          <cell r="BB110">
            <v>3329.5943023255813</v>
          </cell>
          <cell r="BC110">
            <v>2486.2757303370786</v>
          </cell>
          <cell r="BD110">
            <v>566.55877777777778</v>
          </cell>
          <cell r="BE110">
            <v>17940.287182533459</v>
          </cell>
          <cell r="BF110">
            <v>418.62478260869568</v>
          </cell>
        </row>
        <row r="111">
          <cell r="AF111" t="str">
            <v>Interest on OD</v>
          </cell>
          <cell r="AS111">
            <v>0</v>
          </cell>
          <cell r="AT111">
            <v>0</v>
          </cell>
          <cell r="AU111">
            <v>0</v>
          </cell>
          <cell r="AV111">
            <v>14.011627906976743</v>
          </cell>
          <cell r="AW111">
            <v>7.0116279069767442</v>
          </cell>
          <cell r="AX111">
            <v>0</v>
          </cell>
          <cell r="AY111">
            <v>2.3255813953488372E-2</v>
          </cell>
          <cell r="AZ111">
            <v>0</v>
          </cell>
          <cell r="BA111">
            <v>68.372093023255815</v>
          </cell>
          <cell r="BB111">
            <v>360.91860465116281</v>
          </cell>
          <cell r="BC111">
            <v>74.415730337078656</v>
          </cell>
          <cell r="BD111">
            <v>1129.8948888888888</v>
          </cell>
          <cell r="BE111">
            <v>1654.6478285282931</v>
          </cell>
          <cell r="BF111">
            <v>638.68478260869563</v>
          </cell>
        </row>
        <row r="112">
          <cell r="AF112" t="str">
            <v>Fuel expenses</v>
          </cell>
          <cell r="AJ112">
            <v>0</v>
          </cell>
          <cell r="AK112">
            <v>0</v>
          </cell>
          <cell r="AL112">
            <v>0</v>
          </cell>
          <cell r="AM112">
            <v>18.369147659063628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</row>
        <row r="113">
          <cell r="AF113" t="str">
            <v>Food Coupon-Happay Wallet</v>
          </cell>
          <cell r="AJ113">
            <v>1716.4939759036145</v>
          </cell>
          <cell r="AK113">
            <v>1881.032412965186</v>
          </cell>
          <cell r="AL113">
            <v>2128.7394957983192</v>
          </cell>
          <cell r="AM113">
            <v>2329.6878751500599</v>
          </cell>
          <cell r="AN113">
            <v>2493.3613445378151</v>
          </cell>
          <cell r="AO113">
            <v>2441.8928571428573</v>
          </cell>
          <cell r="AP113">
            <v>4797.8690476190477</v>
          </cell>
          <cell r="AQ113">
            <v>2451.0595477684387</v>
          </cell>
          <cell r="AR113">
            <v>2387.1196874630045</v>
          </cell>
          <cell r="AS113">
            <v>2334.8139534883721</v>
          </cell>
          <cell r="AT113">
            <v>2334.0697674418607</v>
          </cell>
          <cell r="AU113">
            <v>2445.2558139534885</v>
          </cell>
          <cell r="AV113">
            <v>2517</v>
          </cell>
          <cell r="AW113">
            <v>2662.5348837209303</v>
          </cell>
          <cell r="AX113">
            <v>2672.4186046511627</v>
          </cell>
          <cell r="AY113">
            <v>3455.8720930232557</v>
          </cell>
          <cell r="AZ113">
            <v>3181.6976744186045</v>
          </cell>
          <cell r="BA113">
            <v>3223.9069767441861</v>
          </cell>
          <cell r="BB113">
            <v>3365.5581395348836</v>
          </cell>
          <cell r="BC113">
            <v>2970.3595505617977</v>
          </cell>
          <cell r="BD113">
            <v>3263.4333333333334</v>
          </cell>
          <cell r="BE113">
            <v>34426.920790871874</v>
          </cell>
          <cell r="BF113">
            <v>3220.163043478261</v>
          </cell>
        </row>
        <row r="114">
          <cell r="AF114" t="str">
            <v>Total</v>
          </cell>
          <cell r="AJ114">
            <v>4513.8115662650598</v>
          </cell>
          <cell r="AK114">
            <v>3270.1175270108042</v>
          </cell>
          <cell r="AL114">
            <v>3101.8007202881154</v>
          </cell>
          <cell r="AM114">
            <v>5859.5336134453783</v>
          </cell>
          <cell r="AN114">
            <v>4056.5546218487398</v>
          </cell>
          <cell r="AO114">
            <v>2960.2007142857146</v>
          </cell>
          <cell r="AP114">
            <v>6458.3792857142853</v>
          </cell>
          <cell r="AQ114">
            <v>7023.8562803362147</v>
          </cell>
          <cell r="AR114">
            <v>4506.5501361430088</v>
          </cell>
          <cell r="AS114">
            <v>3397.5302325581397</v>
          </cell>
          <cell r="AT114">
            <v>5617.0498837209307</v>
          </cell>
          <cell r="AU114">
            <v>5184.8530232558142</v>
          </cell>
          <cell r="AV114">
            <v>5415.7969767441864</v>
          </cell>
          <cell r="AW114">
            <v>4391.4418604651164</v>
          </cell>
          <cell r="AX114">
            <v>3571.8488372093025</v>
          </cell>
          <cell r="AY114">
            <v>4598.6893023255816</v>
          </cell>
          <cell r="AZ114">
            <v>5969.020348837209</v>
          </cell>
          <cell r="BA114">
            <v>5288.0174418604656</v>
          </cell>
          <cell r="BB114">
            <v>8494.6318604651169</v>
          </cell>
          <cell r="BC114">
            <v>6429.1633707865167</v>
          </cell>
          <cell r="BD114">
            <v>6057.4288888888887</v>
          </cell>
          <cell r="BE114">
            <v>64415.472027117263</v>
          </cell>
          <cell r="BF114">
            <v>5614.9398913043478</v>
          </cell>
        </row>
        <row r="116">
          <cell r="AF116" t="str">
            <v>Indirect Income</v>
          </cell>
        </row>
        <row r="117">
          <cell r="AF117" t="str">
            <v>Purchase Discounts</v>
          </cell>
          <cell r="AJ117">
            <v>-180.55421686746988</v>
          </cell>
          <cell r="AK117">
            <v>-163.56542617046819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</row>
        <row r="118">
          <cell r="AF118" t="str">
            <v xml:space="preserve">Total </v>
          </cell>
          <cell r="AJ118">
            <v>-180.55421686746988</v>
          </cell>
          <cell r="AK118">
            <v>-163.56542617046819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</row>
        <row r="120">
          <cell r="AF120" t="str">
            <v>SG&amp;A</v>
          </cell>
        </row>
        <row r="121">
          <cell r="AF121" t="str">
            <v>Selling Expenses</v>
          </cell>
        </row>
        <row r="122">
          <cell r="AF122" t="str">
            <v>S&amp;M Salaries</v>
          </cell>
          <cell r="AJ122">
            <v>729.69879518072287</v>
          </cell>
          <cell r="AK122">
            <v>1130.0480192076832</v>
          </cell>
          <cell r="AL122">
            <v>1208.0432172869148</v>
          </cell>
          <cell r="AM122">
            <v>1307.6830732292917</v>
          </cell>
          <cell r="AN122">
            <v>1146.5906362545018</v>
          </cell>
          <cell r="AO122">
            <v>1314.4642857142858</v>
          </cell>
          <cell r="AP122">
            <v>1226.3571428571429</v>
          </cell>
          <cell r="AQ122">
            <v>1156.9788090446311</v>
          </cell>
          <cell r="AR122">
            <v>1256.7183615484787</v>
          </cell>
          <cell r="AS122">
            <v>1241.1976744186047</v>
          </cell>
          <cell r="AT122">
            <v>1672.8372093023256</v>
          </cell>
          <cell r="AU122">
            <v>1434.1279069767443</v>
          </cell>
          <cell r="AV122">
            <v>1574.4767441860465</v>
          </cell>
          <cell r="AW122">
            <v>1533.7093023255813</v>
          </cell>
          <cell r="AX122">
            <v>231.01162790697674</v>
          </cell>
          <cell r="AY122">
            <v>231.01162790697674</v>
          </cell>
          <cell r="AZ122">
            <v>1454.3720930232557</v>
          </cell>
          <cell r="BA122">
            <v>1305.7558139534883</v>
          </cell>
          <cell r="BB122">
            <v>1518.5813953488373</v>
          </cell>
          <cell r="BC122">
            <v>1331.7078651685392</v>
          </cell>
          <cell r="BD122">
            <v>1183.0999999999999</v>
          </cell>
          <cell r="BE122">
            <v>14711.889260517377</v>
          </cell>
          <cell r="BF122">
            <v>1153.75</v>
          </cell>
        </row>
        <row r="123">
          <cell r="AF123" t="str">
            <v>Cyber Security Insurance</v>
          </cell>
          <cell r="AJ123">
            <v>0</v>
          </cell>
          <cell r="AK123">
            <v>0</v>
          </cell>
          <cell r="AL123">
            <v>450.18007202881154</v>
          </cell>
          <cell r="AM123">
            <v>450.18007202881154</v>
          </cell>
          <cell r="AN123">
            <v>450.18007202881154</v>
          </cell>
          <cell r="AO123">
            <v>446.42857142857144</v>
          </cell>
          <cell r="AP123">
            <v>446.42857142857144</v>
          </cell>
          <cell r="AQ123">
            <v>443.94459571445486</v>
          </cell>
          <cell r="AR123">
            <v>443.94459571445486</v>
          </cell>
          <cell r="AS123">
            <v>436.04651162790697</v>
          </cell>
          <cell r="AT123">
            <v>436.04651162790697</v>
          </cell>
          <cell r="AU123">
            <v>436.04651162790697</v>
          </cell>
          <cell r="AV123">
            <v>436.04651162790697</v>
          </cell>
          <cell r="AW123">
            <v>436.04651162790697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2180.2325581395348</v>
          </cell>
          <cell r="BF123">
            <v>0</v>
          </cell>
        </row>
        <row r="124">
          <cell r="AF124" t="str">
            <v>Meals and Entertainment</v>
          </cell>
          <cell r="AJ124">
            <v>0</v>
          </cell>
          <cell r="AK124">
            <v>351.0205282112845</v>
          </cell>
          <cell r="AL124">
            <v>249.26770708283314</v>
          </cell>
          <cell r="AM124">
            <v>115.65426170468187</v>
          </cell>
          <cell r="AN124">
            <v>4.8019207683073235</v>
          </cell>
          <cell r="AO124">
            <v>0</v>
          </cell>
          <cell r="AP124">
            <v>259.00440476190477</v>
          </cell>
          <cell r="AQ124">
            <v>398.73327808689476</v>
          </cell>
          <cell r="AR124">
            <v>98.981887060494856</v>
          </cell>
          <cell r="AS124">
            <v>211.1046511627907</v>
          </cell>
          <cell r="AT124">
            <v>55.558139534883722</v>
          </cell>
          <cell r="AU124">
            <v>2406.3188372093023</v>
          </cell>
          <cell r="AV124">
            <v>54.02325581395349</v>
          </cell>
          <cell r="AW124">
            <v>118.79069767441861</v>
          </cell>
          <cell r="AX124">
            <v>1249.9186046511627</v>
          </cell>
          <cell r="AY124">
            <v>128.95348837209303</v>
          </cell>
          <cell r="AZ124">
            <v>139.03488372093022</v>
          </cell>
          <cell r="BA124">
            <v>206.53488372093022</v>
          </cell>
          <cell r="BB124">
            <v>107.26744186046511</v>
          </cell>
          <cell r="BC124">
            <v>242.01123595505618</v>
          </cell>
          <cell r="BD124">
            <v>2619.5777777777776</v>
          </cell>
          <cell r="BE124">
            <v>7539.093897453763</v>
          </cell>
          <cell r="BF124">
            <v>25.288043478260871</v>
          </cell>
        </row>
        <row r="125">
          <cell r="AF125" t="str">
            <v>Rewards and Recognition</v>
          </cell>
          <cell r="AJ125">
            <v>0</v>
          </cell>
          <cell r="AK125">
            <v>0</v>
          </cell>
          <cell r="AL125">
            <v>0</v>
          </cell>
          <cell r="AM125">
            <v>678.2713085234094</v>
          </cell>
          <cell r="AN125">
            <v>0</v>
          </cell>
          <cell r="AO125">
            <v>0</v>
          </cell>
          <cell r="AP125">
            <v>0</v>
          </cell>
          <cell r="AQ125">
            <v>396.59050550491298</v>
          </cell>
          <cell r="AR125">
            <v>0</v>
          </cell>
          <cell r="AS125">
            <v>0</v>
          </cell>
          <cell r="AT125">
            <v>0</v>
          </cell>
          <cell r="AU125">
            <v>1110.4651162790697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1110.4651162790697</v>
          </cell>
          <cell r="BF125">
            <v>0</v>
          </cell>
        </row>
        <row r="126">
          <cell r="AF126" t="str">
            <v>VISA charges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185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606.8604651162791</v>
          </cell>
          <cell r="AU126">
            <v>0</v>
          </cell>
          <cell r="AV126">
            <v>0</v>
          </cell>
          <cell r="AW126">
            <v>829.53488372093022</v>
          </cell>
          <cell r="AX126">
            <v>0</v>
          </cell>
          <cell r="AY126">
            <v>187.15116279069767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1623.5465116279072</v>
          </cell>
          <cell r="BF126">
            <v>0</v>
          </cell>
        </row>
        <row r="127">
          <cell r="AF127" t="str">
            <v>Business Promotion</v>
          </cell>
          <cell r="AJ127">
            <v>0</v>
          </cell>
          <cell r="AK127">
            <v>0</v>
          </cell>
          <cell r="AL127">
            <v>55.222088835534215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</row>
        <row r="128">
          <cell r="AF128" t="str">
            <v>Advertising And Marketing</v>
          </cell>
          <cell r="AJ128">
            <v>0</v>
          </cell>
          <cell r="AK128">
            <v>976.38655462184875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</row>
        <row r="129">
          <cell r="AF129" t="str">
            <v>Customs Duty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1083.7420930232558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1083.7420930232558</v>
          </cell>
          <cell r="BF129">
            <v>0</v>
          </cell>
        </row>
        <row r="130">
          <cell r="AF130" t="str">
            <v>Conference &amp; Evenets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1276.7857142857142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</row>
        <row r="131">
          <cell r="AF131" t="str">
            <v>Gratuity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647.23255813953483</v>
          </cell>
          <cell r="AT131">
            <v>0</v>
          </cell>
          <cell r="AU131">
            <v>0</v>
          </cell>
          <cell r="AV131">
            <v>0</v>
          </cell>
          <cell r="AW131">
            <v>1928.6627906976744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784.1</v>
          </cell>
          <cell r="BE131">
            <v>3359.9953488372089</v>
          </cell>
          <cell r="BF131">
            <v>580.75</v>
          </cell>
        </row>
        <row r="132">
          <cell r="AF132" t="str">
            <v>New Tools and Accesses - Needed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</row>
        <row r="133">
          <cell r="AF133" t="str">
            <v>Total SG&amp;A</v>
          </cell>
          <cell r="AJ133">
            <v>729.69879518072287</v>
          </cell>
          <cell r="AK133">
            <v>2457.4551020408162</v>
          </cell>
          <cell r="AL133">
            <v>1962.7130852340936</v>
          </cell>
          <cell r="AM133">
            <v>2551.7887154861946</v>
          </cell>
          <cell r="AN133">
            <v>1601.5726290516207</v>
          </cell>
          <cell r="AO133">
            <v>3222.6785714285716</v>
          </cell>
          <cell r="AP133">
            <v>1931.7901190476191</v>
          </cell>
          <cell r="AQ133">
            <v>2396.2471883508938</v>
          </cell>
          <cell r="AR133">
            <v>1799.6448443234285</v>
          </cell>
          <cell r="AS133">
            <v>2535.5813953488373</v>
          </cell>
          <cell r="AT133">
            <v>2771.3023255813955</v>
          </cell>
          <cell r="AU133">
            <v>5386.9583720930232</v>
          </cell>
          <cell r="AV133">
            <v>2064.546511627907</v>
          </cell>
          <cell r="AW133">
            <v>4846.7441860465115</v>
          </cell>
          <cell r="AX133">
            <v>1480.9302325581393</v>
          </cell>
          <cell r="AY133">
            <v>1630.8583720930233</v>
          </cell>
          <cell r="AZ133">
            <v>1593.4069767441861</v>
          </cell>
          <cell r="BA133">
            <v>1512.2906976744184</v>
          </cell>
          <cell r="BB133">
            <v>1625.8488372093025</v>
          </cell>
          <cell r="BC133">
            <v>1573.7191011235955</v>
          </cell>
          <cell r="BD133">
            <v>4586.7777777777774</v>
          </cell>
          <cell r="BE133">
            <v>31608.964785878117</v>
          </cell>
          <cell r="BF133">
            <v>1759.7880434782608</v>
          </cell>
        </row>
        <row r="135">
          <cell r="AF135" t="str">
            <v xml:space="preserve">Gen &amp; Admin. Expenses </v>
          </cell>
        </row>
        <row r="136">
          <cell r="AF136" t="str">
            <v>Accommodation Charges</v>
          </cell>
          <cell r="AJ136">
            <v>0</v>
          </cell>
          <cell r="AK136">
            <v>0</v>
          </cell>
          <cell r="AL136">
            <v>0</v>
          </cell>
          <cell r="AM136">
            <v>51.284513805522209</v>
          </cell>
          <cell r="AN136">
            <v>48.528691476590637</v>
          </cell>
          <cell r="AO136">
            <v>0</v>
          </cell>
          <cell r="AP136">
            <v>48.266904761904762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673.5779069767442</v>
          </cell>
          <cell r="AX136">
            <v>199.9067441860465</v>
          </cell>
          <cell r="AY136">
            <v>230.42976744186046</v>
          </cell>
          <cell r="AZ136">
            <v>377.85430232558139</v>
          </cell>
          <cell r="BA136">
            <v>220.00825581395347</v>
          </cell>
          <cell r="BB136">
            <v>156.07976744186047</v>
          </cell>
          <cell r="BC136">
            <v>0</v>
          </cell>
          <cell r="BD136">
            <v>0</v>
          </cell>
          <cell r="BE136">
            <v>1857.8567441860462</v>
          </cell>
          <cell r="BF136">
            <v>0</v>
          </cell>
        </row>
        <row r="137">
          <cell r="AF137" t="str">
            <v>Consultant Expense</v>
          </cell>
          <cell r="AJ137">
            <v>0</v>
          </cell>
          <cell r="AK137">
            <v>0</v>
          </cell>
          <cell r="AL137">
            <v>0</v>
          </cell>
          <cell r="AM137">
            <v>643.96638655462186</v>
          </cell>
          <cell r="AN137">
            <v>1969.2677070828331</v>
          </cell>
          <cell r="AO137">
            <v>0</v>
          </cell>
          <cell r="AP137">
            <v>2891.08</v>
          </cell>
          <cell r="AQ137">
            <v>2135.6505268142537</v>
          </cell>
          <cell r="AR137">
            <v>0</v>
          </cell>
          <cell r="AS137">
            <v>0</v>
          </cell>
          <cell r="AT137">
            <v>688.40697674418607</v>
          </cell>
          <cell r="AU137">
            <v>0</v>
          </cell>
          <cell r="AV137">
            <v>0</v>
          </cell>
          <cell r="AW137">
            <v>465.11627906976742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1400</v>
          </cell>
          <cell r="BE137">
            <v>2553.5232558139533</v>
          </cell>
          <cell r="BF137">
            <v>0</v>
          </cell>
        </row>
        <row r="138">
          <cell r="AF138" t="str">
            <v>Printing and Stationery</v>
          </cell>
          <cell r="AJ138">
            <v>67.578313253012041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25</v>
          </cell>
          <cell r="AT138">
            <v>23.720930232558139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13.255813953488373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13.977777777777778</v>
          </cell>
          <cell r="BE138">
            <v>75.954521963824291</v>
          </cell>
          <cell r="BF138">
            <v>0</v>
          </cell>
        </row>
        <row r="139">
          <cell r="AF139" t="str">
            <v>Other Expenses</v>
          </cell>
          <cell r="AJ139">
            <v>-2.0481927710843373E-3</v>
          </cell>
          <cell r="AK139">
            <v>-0.29423769507803121</v>
          </cell>
          <cell r="AL139">
            <v>0</v>
          </cell>
          <cell r="AM139">
            <v>1.2004801920768308E-2</v>
          </cell>
          <cell r="AN139">
            <v>1.8967587034813927E-2</v>
          </cell>
          <cell r="AO139">
            <v>-6.6666666666666671E-3</v>
          </cell>
          <cell r="AP139">
            <v>4.5714285714285714E-2</v>
          </cell>
          <cell r="AQ139">
            <v>1.40878418373387E-2</v>
          </cell>
          <cell r="AR139">
            <v>2.2493192849532377E-3</v>
          </cell>
          <cell r="AS139">
            <v>-2.3255813953488373E-4</v>
          </cell>
          <cell r="AT139">
            <v>440.70744186046505</v>
          </cell>
          <cell r="AU139">
            <v>1.5348837209302326E-2</v>
          </cell>
          <cell r="AV139">
            <v>5.3488372093023259E-3</v>
          </cell>
          <cell r="AW139">
            <v>-34.880930232558143</v>
          </cell>
          <cell r="AX139">
            <v>6.0465116279069774E-3</v>
          </cell>
          <cell r="AY139">
            <v>7.4883720930232558E-2</v>
          </cell>
          <cell r="AZ139">
            <v>1.7558139534883721E-2</v>
          </cell>
          <cell r="BA139">
            <v>-2.2093023255813954E-3</v>
          </cell>
          <cell r="BB139">
            <v>-5.3488372093023259E-3</v>
          </cell>
          <cell r="BC139">
            <v>-9.8876404494382016E-3</v>
          </cell>
          <cell r="BD139">
            <v>-5.4444444444444445E-3</v>
          </cell>
          <cell r="BE139">
            <v>405.92257489185027</v>
          </cell>
          <cell r="BF139">
            <v>3.0591304347826087</v>
          </cell>
        </row>
        <row r="140">
          <cell r="AF140" t="str">
            <v>Delivery charges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23.80952380952381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</row>
        <row r="141">
          <cell r="AF141" t="str">
            <v>Referral Bonus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58.139534883720927</v>
          </cell>
          <cell r="BC141">
            <v>0</v>
          </cell>
          <cell r="BD141">
            <v>0</v>
          </cell>
          <cell r="BE141">
            <v>58.139534883720927</v>
          </cell>
          <cell r="BF141">
            <v>0</v>
          </cell>
        </row>
        <row r="142">
          <cell r="AF142" t="str">
            <v>Blocked Credit</v>
          </cell>
          <cell r="AJ142">
            <v>244.07638554216868</v>
          </cell>
          <cell r="AK142">
            <v>95.955582232893164</v>
          </cell>
          <cell r="AL142">
            <v>116.14765906362545</v>
          </cell>
          <cell r="AM142">
            <v>626.30396158463395</v>
          </cell>
          <cell r="AN142">
            <v>193.37839135654264</v>
          </cell>
          <cell r="AO142">
            <v>191.53166666666667</v>
          </cell>
          <cell r="AP142">
            <v>212.99928571428569</v>
          </cell>
          <cell r="AQ142">
            <v>247.89061205161596</v>
          </cell>
          <cell r="AR142">
            <v>177.09245886113413</v>
          </cell>
          <cell r="AS142">
            <v>182.82209302325583</v>
          </cell>
          <cell r="AT142">
            <v>432.52895348837205</v>
          </cell>
          <cell r="AU142">
            <v>284.03139534883724</v>
          </cell>
          <cell r="AV142">
            <v>178.8889534883721</v>
          </cell>
          <cell r="AW142">
            <v>155.86813953488371</v>
          </cell>
          <cell r="AX142">
            <v>150.67162790697674</v>
          </cell>
          <cell r="AY142">
            <v>164.99465116279072</v>
          </cell>
          <cell r="AZ142">
            <v>196.45837209302323</v>
          </cell>
          <cell r="BA142">
            <v>155.89395348837209</v>
          </cell>
          <cell r="BB142">
            <v>1633.3586046511628</v>
          </cell>
          <cell r="BC142">
            <v>315.10000000000002</v>
          </cell>
          <cell r="BD142">
            <v>340.54822222222225</v>
          </cell>
          <cell r="BE142">
            <v>4191.1649664082688</v>
          </cell>
          <cell r="BF142">
            <v>255.88804347826087</v>
          </cell>
        </row>
        <row r="143">
          <cell r="AF143" t="str">
            <v>Housekeeping Charges</v>
          </cell>
          <cell r="AJ143">
            <v>385.54216867469881</v>
          </cell>
          <cell r="AK143">
            <v>384.15366146458587</v>
          </cell>
          <cell r="AL143">
            <v>384.15366146458587</v>
          </cell>
          <cell r="AM143">
            <v>384.15366146458587</v>
          </cell>
          <cell r="AN143">
            <v>384.15366146458587</v>
          </cell>
          <cell r="AO143">
            <v>380.95238095238096</v>
          </cell>
          <cell r="AP143">
            <v>380.95238095238096</v>
          </cell>
          <cell r="AQ143">
            <v>378.83272167633481</v>
          </cell>
          <cell r="AR143">
            <v>378.83272167633481</v>
          </cell>
          <cell r="AS143">
            <v>372.09302325581393</v>
          </cell>
          <cell r="AT143">
            <v>372.09302325581393</v>
          </cell>
          <cell r="AU143">
            <v>372.09302325581393</v>
          </cell>
          <cell r="AV143">
            <v>372.09302325581393</v>
          </cell>
          <cell r="AW143">
            <v>372.09302325581393</v>
          </cell>
          <cell r="AX143">
            <v>372.09302325581393</v>
          </cell>
          <cell r="AY143">
            <v>372.09302325581393</v>
          </cell>
          <cell r="AZ143">
            <v>477.2093023255814</v>
          </cell>
          <cell r="BA143">
            <v>534.88372093023258</v>
          </cell>
          <cell r="BB143">
            <v>540.27906976744191</v>
          </cell>
          <cell r="BC143">
            <v>516.85393258426961</v>
          </cell>
          <cell r="BD143">
            <v>511.11111111111109</v>
          </cell>
          <cell r="BE143">
            <v>5184.988299509334</v>
          </cell>
          <cell r="BF143">
            <v>500</v>
          </cell>
        </row>
        <row r="144">
          <cell r="AF144" t="str">
            <v>Maintenance charges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162.7906976744186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162.7906976744186</v>
          </cell>
          <cell r="BF144">
            <v>0</v>
          </cell>
        </row>
        <row r="145">
          <cell r="AF145" t="str">
            <v>Pooja Expense</v>
          </cell>
          <cell r="AJ145">
            <v>240.96385542168676</v>
          </cell>
          <cell r="AK145">
            <v>3.7214885954381756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</row>
        <row r="146">
          <cell r="AF146" t="str">
            <v>Pooja Expense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305.32608695652175</v>
          </cell>
        </row>
        <row r="147">
          <cell r="AF147" t="str">
            <v>Registration charges</v>
          </cell>
          <cell r="AJ147">
            <v>0</v>
          </cell>
          <cell r="AK147">
            <v>0</v>
          </cell>
          <cell r="AL147">
            <v>0</v>
          </cell>
          <cell r="AM147">
            <v>333.73349339735893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</row>
        <row r="148">
          <cell r="AF148" t="str">
            <v>MCA Filing Fee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3.7454981992797118</v>
          </cell>
          <cell r="AO148">
            <v>0</v>
          </cell>
          <cell r="AP148">
            <v>0</v>
          </cell>
          <cell r="AQ148">
            <v>1.1838522552385462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3.4883720930232558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3.4883720930232558</v>
          </cell>
          <cell r="BF148">
            <v>0</v>
          </cell>
        </row>
        <row r="149">
          <cell r="AF149" t="str">
            <v>Travelling Expenses</v>
          </cell>
          <cell r="AJ149">
            <v>163.88445783132531</v>
          </cell>
          <cell r="AK149">
            <v>138.18331332533015</v>
          </cell>
          <cell r="AL149">
            <v>78.185114045618249</v>
          </cell>
          <cell r="AM149">
            <v>130.24933973589438</v>
          </cell>
          <cell r="AN149">
            <v>185.01740696278512</v>
          </cell>
          <cell r="AO149">
            <v>125.13833333333335</v>
          </cell>
          <cell r="AP149">
            <v>118.96964285714287</v>
          </cell>
          <cell r="AQ149">
            <v>8558.9795193559839</v>
          </cell>
          <cell r="AR149">
            <v>11.861015745234994</v>
          </cell>
          <cell r="AS149">
            <v>-3692.1279069767443</v>
          </cell>
          <cell r="AT149">
            <v>-3387.0384883720931</v>
          </cell>
          <cell r="AU149">
            <v>727.73930232558143</v>
          </cell>
          <cell r="AV149">
            <v>225.9820930232558</v>
          </cell>
          <cell r="AW149">
            <v>24.581395348837209</v>
          </cell>
          <cell r="AX149">
            <v>299.73023255813951</v>
          </cell>
          <cell r="AY149">
            <v>173.97872093023256</v>
          </cell>
          <cell r="AZ149">
            <v>179.50104651162792</v>
          </cell>
          <cell r="BA149">
            <v>78.267441860465112</v>
          </cell>
          <cell r="BB149">
            <v>145.07918604651161</v>
          </cell>
          <cell r="BC149">
            <v>113.10370786516853</v>
          </cell>
          <cell r="BD149">
            <v>219.10766666666666</v>
          </cell>
          <cell r="BE149">
            <v>-4892.095602212351</v>
          </cell>
          <cell r="BF149">
            <v>266.30554347826086</v>
          </cell>
        </row>
        <row r="150">
          <cell r="AF150" t="str">
            <v>Office Supplies</v>
          </cell>
          <cell r="AJ150">
            <v>1454.2868674698796</v>
          </cell>
          <cell r="AK150">
            <v>1184.0769507803122</v>
          </cell>
          <cell r="AL150">
            <v>332.26890756302521</v>
          </cell>
          <cell r="AM150">
            <v>795.29891956782706</v>
          </cell>
          <cell r="AN150">
            <v>334.54837935174072</v>
          </cell>
          <cell r="AO150">
            <v>289.39285714285717</v>
          </cell>
          <cell r="AP150">
            <v>358.66071428571428</v>
          </cell>
          <cell r="AQ150">
            <v>363.80963655735763</v>
          </cell>
          <cell r="AR150">
            <v>244.42405587782645</v>
          </cell>
          <cell r="AS150">
            <v>451.71511627906978</v>
          </cell>
          <cell r="AT150">
            <v>254.05232558139534</v>
          </cell>
          <cell r="AU150">
            <v>283.51325581395349</v>
          </cell>
          <cell r="AV150">
            <v>299</v>
          </cell>
          <cell r="AW150">
            <v>449.83139534883719</v>
          </cell>
          <cell r="AX150">
            <v>1299.4244186046512</v>
          </cell>
          <cell r="AY150">
            <v>805.58139534883719</v>
          </cell>
          <cell r="AZ150">
            <v>325.33139534883719</v>
          </cell>
          <cell r="BA150">
            <v>748.85104651162794</v>
          </cell>
          <cell r="BB150">
            <v>992.91046511627906</v>
          </cell>
          <cell r="BC150">
            <v>1331.9325842696628</v>
          </cell>
          <cell r="BD150">
            <v>625.04377777777779</v>
          </cell>
          <cell r="BE150">
            <v>7867.187176000929</v>
          </cell>
          <cell r="BF150">
            <v>503.05032608695649</v>
          </cell>
        </row>
        <row r="151">
          <cell r="AF151" t="str">
            <v>Total</v>
          </cell>
          <cell r="AJ151">
            <v>2556.33</v>
          </cell>
          <cell r="AK151">
            <v>1805.7967587034816</v>
          </cell>
          <cell r="AL151">
            <v>910.75534213685478</v>
          </cell>
          <cell r="AM151">
            <v>2965.0022809123648</v>
          </cell>
          <cell r="AN151">
            <v>3118.6587034813924</v>
          </cell>
          <cell r="AO151">
            <v>987.00857142857149</v>
          </cell>
          <cell r="AP151">
            <v>4034.7841666666664</v>
          </cell>
          <cell r="AQ151">
            <v>11686.360956552622</v>
          </cell>
          <cell r="AR151">
            <v>812.21250147981527</v>
          </cell>
          <cell r="AS151">
            <v>-2660.4979069767442</v>
          </cell>
          <cell r="AT151">
            <v>-1175.5288372093025</v>
          </cell>
          <cell r="AU151">
            <v>1830.1830232558141</v>
          </cell>
          <cell r="AV151">
            <v>1075.9694186046511</v>
          </cell>
          <cell r="AW151">
            <v>2106.1872093023258</v>
          </cell>
          <cell r="AX151">
            <v>2321.8320930232558</v>
          </cell>
          <cell r="AY151">
            <v>1763.8966279069768</v>
          </cell>
          <cell r="AZ151">
            <v>1556.3719767441858</v>
          </cell>
          <cell r="BA151">
            <v>1737.9022093023254</v>
          </cell>
          <cell r="BB151">
            <v>3525.8412790697676</v>
          </cell>
          <cell r="BC151">
            <v>2276.9803370786517</v>
          </cell>
          <cell r="BD151">
            <v>3109.7831111111113</v>
          </cell>
          <cell r="BE151">
            <v>17468.920541213018</v>
          </cell>
          <cell r="BF151">
            <v>1833.6291304347824</v>
          </cell>
        </row>
        <row r="153">
          <cell r="AF153" t="str">
            <v>Other G&amp;A salaries</v>
          </cell>
        </row>
        <row r="154">
          <cell r="AF154" t="str">
            <v>HR Salaries</v>
          </cell>
          <cell r="AJ154">
            <v>134.0843373493976</v>
          </cell>
          <cell r="AK154">
            <v>0</v>
          </cell>
          <cell r="AL154">
            <v>0</v>
          </cell>
          <cell r="AM154">
            <v>84.033613445378151</v>
          </cell>
          <cell r="AN154">
            <v>528.58343337334941</v>
          </cell>
          <cell r="AO154">
            <v>523.80952380952385</v>
          </cell>
          <cell r="AP154">
            <v>434.52380952380952</v>
          </cell>
          <cell r="AQ154">
            <v>474.72475435065707</v>
          </cell>
          <cell r="AR154">
            <v>464.6620101811294</v>
          </cell>
          <cell r="AS154">
            <v>506.97674418604652</v>
          </cell>
          <cell r="AT154">
            <v>506.97674418604652</v>
          </cell>
          <cell r="AU154">
            <v>490.47674418604652</v>
          </cell>
          <cell r="AV154">
            <v>506.97674418604652</v>
          </cell>
          <cell r="AW154">
            <v>428.04651162790697</v>
          </cell>
          <cell r="AX154">
            <v>334.88372093023258</v>
          </cell>
          <cell r="AY154">
            <v>520.10465116279067</v>
          </cell>
          <cell r="AZ154">
            <v>565.11627906976742</v>
          </cell>
          <cell r="BA154">
            <v>577.96511627906978</v>
          </cell>
          <cell r="BB154">
            <v>565.11627906976742</v>
          </cell>
          <cell r="BC154">
            <v>640</v>
          </cell>
          <cell r="BD154">
            <v>774.75555555555559</v>
          </cell>
          <cell r="BE154">
            <v>6417.3950904392759</v>
          </cell>
          <cell r="BF154">
            <v>757.67391304347825</v>
          </cell>
        </row>
        <row r="155">
          <cell r="AF155" t="str">
            <v>Admin Salaries</v>
          </cell>
          <cell r="AJ155">
            <v>426.36144578313252</v>
          </cell>
          <cell r="AK155">
            <v>540.07202881152466</v>
          </cell>
          <cell r="AL155">
            <v>517.76710684273712</v>
          </cell>
          <cell r="AM155">
            <v>506.92677070828336</v>
          </cell>
          <cell r="AN155">
            <v>667.44297719087638</v>
          </cell>
          <cell r="AO155">
            <v>754.61904761904759</v>
          </cell>
          <cell r="AP155">
            <v>1046.6071428571429</v>
          </cell>
          <cell r="AQ155">
            <v>745.68485852965546</v>
          </cell>
          <cell r="AR155">
            <v>745.68485852965546</v>
          </cell>
          <cell r="AS155">
            <v>634.89534883720933</v>
          </cell>
          <cell r="AT155">
            <v>905.33720930232562</v>
          </cell>
          <cell r="AU155">
            <v>866.1395348837209</v>
          </cell>
          <cell r="AV155">
            <v>866.1395348837209</v>
          </cell>
          <cell r="AW155">
            <v>866.1395348837209</v>
          </cell>
          <cell r="AX155">
            <v>866.1395348837209</v>
          </cell>
          <cell r="AY155">
            <v>866.1395348837209</v>
          </cell>
          <cell r="AZ155">
            <v>1044.6860465116279</v>
          </cell>
          <cell r="BA155">
            <v>1078.7441860465117</v>
          </cell>
          <cell r="BB155">
            <v>1063.8139534883721</v>
          </cell>
          <cell r="BC155">
            <v>1027.9550561797753</v>
          </cell>
          <cell r="BD155">
            <v>1016</v>
          </cell>
          <cell r="BE155">
            <v>11102.129474784426</v>
          </cell>
          <cell r="BF155">
            <v>994.23913043478262</v>
          </cell>
        </row>
        <row r="156">
          <cell r="AF156" t="str">
            <v>IT Salaries</v>
          </cell>
          <cell r="AJ156">
            <v>228.84337349397592</v>
          </cell>
          <cell r="AK156">
            <v>220.88835534213686</v>
          </cell>
          <cell r="AL156">
            <v>220.88835534213686</v>
          </cell>
          <cell r="AM156">
            <v>220.88835534213686</v>
          </cell>
          <cell r="AN156">
            <v>550.33613445378148</v>
          </cell>
          <cell r="AO156">
            <v>657.73809523809518</v>
          </cell>
          <cell r="AP156">
            <v>651.78571428571433</v>
          </cell>
          <cell r="AQ156">
            <v>649.34296199834262</v>
          </cell>
          <cell r="AR156">
            <v>649.34296199834262</v>
          </cell>
          <cell r="AS156">
            <v>610.15116279069764</v>
          </cell>
          <cell r="AT156">
            <v>830.15116279069764</v>
          </cell>
          <cell r="AU156">
            <v>764.16279069767438</v>
          </cell>
          <cell r="AV156">
            <v>742.76744186046517</v>
          </cell>
          <cell r="AW156">
            <v>826.52325581395348</v>
          </cell>
          <cell r="AX156">
            <v>742.76744186046517</v>
          </cell>
          <cell r="AY156">
            <v>742.76744186046517</v>
          </cell>
          <cell r="AZ156">
            <v>742.76744186046517</v>
          </cell>
          <cell r="BA156">
            <v>773.93023255813955</v>
          </cell>
          <cell r="BB156">
            <v>742.76744186046517</v>
          </cell>
          <cell r="BC156">
            <v>863.10112359550567</v>
          </cell>
          <cell r="BD156">
            <v>873.4</v>
          </cell>
          <cell r="BE156">
            <v>9255.2569375489966</v>
          </cell>
          <cell r="BF156">
            <v>854.17391304347825</v>
          </cell>
        </row>
        <row r="157">
          <cell r="AF157" t="str">
            <v>Total</v>
          </cell>
          <cell r="AJ157">
            <v>789.28915662650604</v>
          </cell>
          <cell r="AK157">
            <v>760.96038415366149</v>
          </cell>
          <cell r="AL157">
            <v>738.65546218487395</v>
          </cell>
          <cell r="AM157">
            <v>811.84873949579833</v>
          </cell>
          <cell r="AN157">
            <v>1746.3625450180075</v>
          </cell>
          <cell r="AO157">
            <v>1936.1666666666667</v>
          </cell>
          <cell r="AP157">
            <v>2132.9166666666665</v>
          </cell>
          <cell r="AQ157">
            <v>1869.7525748786552</v>
          </cell>
          <cell r="AR157">
            <v>1859.6898307091274</v>
          </cell>
          <cell r="AS157">
            <v>1752.0232558139533</v>
          </cell>
          <cell r="AT157">
            <v>2242.4651162790697</v>
          </cell>
          <cell r="AU157">
            <v>2120.7790697674418</v>
          </cell>
          <cell r="AV157">
            <v>2115.8837209302328</v>
          </cell>
          <cell r="AW157">
            <v>2120.7093023255811</v>
          </cell>
          <cell r="AX157">
            <v>1943.7906976744187</v>
          </cell>
          <cell r="AY157">
            <v>2129.0116279069766</v>
          </cell>
          <cell r="AZ157">
            <v>2352.5697674418607</v>
          </cell>
          <cell r="BA157">
            <v>2430.6395348837214</v>
          </cell>
          <cell r="BB157">
            <v>2371.6976744186049</v>
          </cell>
          <cell r="BC157">
            <v>2531.0561797752807</v>
          </cell>
          <cell r="BD157">
            <v>2664.1555555555556</v>
          </cell>
          <cell r="BE157">
            <v>26774.781502772697</v>
          </cell>
          <cell r="BF157">
            <v>2606.086956521739</v>
          </cell>
        </row>
        <row r="159">
          <cell r="AF159" t="str">
            <v xml:space="preserve">Professional Fees </v>
          </cell>
        </row>
        <row r="160">
          <cell r="AF160" t="str">
            <v>Legal charges</v>
          </cell>
          <cell r="AJ160">
            <v>361.4457831325301</v>
          </cell>
          <cell r="AK160">
            <v>360.14405762304921</v>
          </cell>
          <cell r="AL160">
            <v>420.1680672268908</v>
          </cell>
          <cell r="AM160">
            <v>360.14405762304921</v>
          </cell>
          <cell r="AN160">
            <v>360.14405762304921</v>
          </cell>
          <cell r="AO160">
            <v>357.14285714285717</v>
          </cell>
          <cell r="AP160">
            <v>357.14285714285717</v>
          </cell>
          <cell r="AQ160">
            <v>0</v>
          </cell>
          <cell r="AR160">
            <v>710.3113531431278</v>
          </cell>
          <cell r="AS160">
            <v>406.97674418604652</v>
          </cell>
          <cell r="AT160">
            <v>348.83720930232556</v>
          </cell>
          <cell r="AU160">
            <v>348.83720930232556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1104.6511627906978</v>
          </cell>
          <cell r="BF160">
            <v>0</v>
          </cell>
        </row>
        <row r="161">
          <cell r="AF161" t="str">
            <v>FPO Charges-SMCS GLOBAL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1918.6046511627908</v>
          </cell>
          <cell r="AY161">
            <v>348.83720930232556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66.666666666666671</v>
          </cell>
          <cell r="BE161">
            <v>2334.1085271317829</v>
          </cell>
          <cell r="BF161">
            <v>54.347826086956523</v>
          </cell>
        </row>
        <row r="162">
          <cell r="AF162" t="str">
            <v>Professional fees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2581.0324129651863</v>
          </cell>
          <cell r="AO162">
            <v>0</v>
          </cell>
          <cell r="AP162">
            <v>1785.7142857142858</v>
          </cell>
          <cell r="AQ162">
            <v>1775.7783828578195</v>
          </cell>
          <cell r="AR162">
            <v>2071.7414466674559</v>
          </cell>
          <cell r="AS162">
            <v>0</v>
          </cell>
          <cell r="AT162">
            <v>1162.7906976744187</v>
          </cell>
          <cell r="AU162">
            <v>0</v>
          </cell>
          <cell r="AV162">
            <v>0</v>
          </cell>
          <cell r="AW162">
            <v>702.90697674418607</v>
          </cell>
          <cell r="AX162">
            <v>1523.2558139534883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3388.953488372093</v>
          </cell>
          <cell r="BF162">
            <v>0</v>
          </cell>
        </row>
        <row r="163">
          <cell r="AF163" t="str">
            <v>FPO Charges - SRF</v>
          </cell>
          <cell r="AJ163">
            <v>1506.0240963855422</v>
          </cell>
          <cell r="AK163">
            <v>1500.6002400960385</v>
          </cell>
          <cell r="AL163">
            <v>1500.6002400960385</v>
          </cell>
          <cell r="AM163">
            <v>1500.6002400960385</v>
          </cell>
          <cell r="AN163">
            <v>1500.6002400960385</v>
          </cell>
          <cell r="AO163">
            <v>1488.0952380952381</v>
          </cell>
          <cell r="AP163">
            <v>1488.0952380952381</v>
          </cell>
          <cell r="AQ163">
            <v>1479.8153190481828</v>
          </cell>
          <cell r="AR163">
            <v>1479.8153190481828</v>
          </cell>
          <cell r="AS163">
            <v>1453.4883720930231</v>
          </cell>
          <cell r="AT163">
            <v>1453.4883720930231</v>
          </cell>
          <cell r="AU163">
            <v>1453.4883720930231</v>
          </cell>
          <cell r="AV163">
            <v>1453.4883720930231</v>
          </cell>
          <cell r="AW163">
            <v>1453.4883720930231</v>
          </cell>
          <cell r="AX163">
            <v>1453.4883720930231</v>
          </cell>
          <cell r="AY163">
            <v>1453.4883720930231</v>
          </cell>
          <cell r="AZ163">
            <v>1453.4883720930231</v>
          </cell>
          <cell r="BA163">
            <v>1453.4883720930231</v>
          </cell>
          <cell r="BB163">
            <v>1453.4883720930231</v>
          </cell>
          <cell r="BC163">
            <v>1404.4943820224719</v>
          </cell>
          <cell r="BD163">
            <v>1388.8888888888889</v>
          </cell>
          <cell r="BE163">
            <v>17328.266991841592</v>
          </cell>
          <cell r="BF163">
            <v>1358.695652173913</v>
          </cell>
        </row>
        <row r="164">
          <cell r="AF164" t="str">
            <v>Total</v>
          </cell>
          <cell r="AJ164">
            <v>1867.4698795180723</v>
          </cell>
          <cell r="AK164">
            <v>1860.7442977190876</v>
          </cell>
          <cell r="AL164">
            <v>1920.7683073229293</v>
          </cell>
          <cell r="AM164">
            <v>1860.7442977190876</v>
          </cell>
          <cell r="AN164">
            <v>4441.7767106842739</v>
          </cell>
          <cell r="AO164">
            <v>1845.2380952380952</v>
          </cell>
          <cell r="AP164">
            <v>3630.9523809523812</v>
          </cell>
          <cell r="AQ164">
            <v>3255.593701906002</v>
          </cell>
          <cell r="AR164">
            <v>4261.8681188587661</v>
          </cell>
          <cell r="AS164">
            <v>1860.4651162790697</v>
          </cell>
          <cell r="AT164">
            <v>2965.1162790697672</v>
          </cell>
          <cell r="AU164">
            <v>1802.3255813953488</v>
          </cell>
          <cell r="AV164">
            <v>1453.4883720930231</v>
          </cell>
          <cell r="AW164">
            <v>2156.395348837209</v>
          </cell>
          <cell r="AX164">
            <v>4895.3488372093025</v>
          </cell>
          <cell r="AY164">
            <v>1802.3255813953488</v>
          </cell>
          <cell r="AZ164">
            <v>1453.4883720930231</v>
          </cell>
          <cell r="BA164">
            <v>1453.4883720930231</v>
          </cell>
          <cell r="BB164">
            <v>1453.4883720930231</v>
          </cell>
          <cell r="BC164">
            <v>1404.4943820224719</v>
          </cell>
          <cell r="BD164">
            <v>1455.5555555555557</v>
          </cell>
          <cell r="BE164">
            <v>24155.980170136165</v>
          </cell>
          <cell r="BF164">
            <v>1413.0434782608695</v>
          </cell>
        </row>
        <row r="166">
          <cell r="AF166" t="str">
            <v>Salaries-Management &amp; Others</v>
          </cell>
        </row>
        <row r="167">
          <cell r="AF167" t="str">
            <v>Management Salaries</v>
          </cell>
          <cell r="AJ167">
            <v>10101.240963855422</v>
          </cell>
          <cell r="AK167">
            <v>10208.919567827132</v>
          </cell>
          <cell r="AL167">
            <v>9920.8043217286922</v>
          </cell>
          <cell r="AM167">
            <v>12930.768307322929</v>
          </cell>
          <cell r="AN167">
            <v>10064.861944777911</v>
          </cell>
          <cell r="AO167">
            <v>9980.9880952380954</v>
          </cell>
          <cell r="AP167">
            <v>9980.9880952380954</v>
          </cell>
          <cell r="AQ167">
            <v>9925.4528234876288</v>
          </cell>
          <cell r="AR167">
            <v>9925.4528234876288</v>
          </cell>
          <cell r="AS167">
            <v>9748.8720930232557</v>
          </cell>
          <cell r="AT167">
            <v>9506.6162790697672</v>
          </cell>
          <cell r="AU167">
            <v>9264.3720930232557</v>
          </cell>
          <cell r="AV167">
            <v>12055.069767441861</v>
          </cell>
          <cell r="AW167">
            <v>10282.755813953489</v>
          </cell>
          <cell r="AX167">
            <v>14067.941860465116</v>
          </cell>
          <cell r="AY167">
            <v>10407.837209302326</v>
          </cell>
          <cell r="AZ167">
            <v>10407.837209302326</v>
          </cell>
          <cell r="BA167">
            <v>10407.837209302326</v>
          </cell>
          <cell r="BB167">
            <v>10407.837209302326</v>
          </cell>
          <cell r="BC167">
            <v>10057.011235955057</v>
          </cell>
          <cell r="BD167">
            <v>9945.2666666666664</v>
          </cell>
          <cell r="BE167">
            <v>126559.25464680775</v>
          </cell>
          <cell r="BF167">
            <v>9729.065217391304</v>
          </cell>
        </row>
        <row r="168">
          <cell r="AF168" t="str">
            <v>Bonus and Incentives</v>
          </cell>
          <cell r="AJ168">
            <v>1204.8192771084337</v>
          </cell>
          <cell r="AK168">
            <v>0</v>
          </cell>
          <cell r="AL168">
            <v>360.14405762304921</v>
          </cell>
          <cell r="AM168">
            <v>1312.5810324129652</v>
          </cell>
          <cell r="AN168">
            <v>0</v>
          </cell>
          <cell r="AO168">
            <v>952.38095238095241</v>
          </cell>
          <cell r="AP168">
            <v>16100</v>
          </cell>
          <cell r="AQ168">
            <v>0</v>
          </cell>
          <cell r="AR168">
            <v>0</v>
          </cell>
          <cell r="AS168">
            <v>8822.6744186046508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8822.6744186046508</v>
          </cell>
          <cell r="BF168">
            <v>163.04347826086956</v>
          </cell>
        </row>
        <row r="169">
          <cell r="AF169" t="str">
            <v>Total</v>
          </cell>
          <cell r="AJ169">
            <v>11265.342136854742</v>
          </cell>
          <cell r="AK169">
            <v>10208.919567827132</v>
          </cell>
          <cell r="AL169">
            <v>10280.948379351741</v>
          </cell>
          <cell r="AM169">
            <v>14243.349339735894</v>
          </cell>
          <cell r="AN169">
            <v>10064.861944777911</v>
          </cell>
          <cell r="AO169">
            <v>11025.246098439377</v>
          </cell>
          <cell r="AP169">
            <v>26300.156062424972</v>
          </cell>
          <cell r="AQ169">
            <v>10064.861944777911</v>
          </cell>
          <cell r="AR169">
            <v>10064.861944777911</v>
          </cell>
          <cell r="AS169">
            <v>18571.546511627908</v>
          </cell>
          <cell r="AT169">
            <v>9506.6162790697672</v>
          </cell>
          <cell r="AU169">
            <v>9264.3720930232557</v>
          </cell>
          <cell r="AV169">
            <v>12055.069767441861</v>
          </cell>
          <cell r="AW169">
            <v>10282.755813953489</v>
          </cell>
          <cell r="AX169">
            <v>14067.941860465116</v>
          </cell>
          <cell r="AY169">
            <v>10407.837209302326</v>
          </cell>
          <cell r="AZ169">
            <v>10407.837209302326</v>
          </cell>
          <cell r="BA169">
            <v>10407.837209302326</v>
          </cell>
          <cell r="BB169">
            <v>10407.837209302326</v>
          </cell>
          <cell r="BC169">
            <v>10057.011235955057</v>
          </cell>
          <cell r="BD169">
            <v>9945.2666666666664</v>
          </cell>
          <cell r="BE169">
            <v>140609.8199279712</v>
          </cell>
          <cell r="BF169">
            <v>9892.108695652174</v>
          </cell>
        </row>
        <row r="171">
          <cell r="AF171" t="str">
            <v xml:space="preserve">Finance cost </v>
          </cell>
        </row>
        <row r="172">
          <cell r="AF172" t="str">
            <v>Bank Charges</v>
          </cell>
          <cell r="AJ172">
            <v>35.009879518072289</v>
          </cell>
          <cell r="AK172">
            <v>31.342376950780316</v>
          </cell>
          <cell r="AL172">
            <v>31.342376950780316</v>
          </cell>
          <cell r="AM172">
            <v>31.496638655462188</v>
          </cell>
          <cell r="AN172">
            <v>91.857743097238895</v>
          </cell>
          <cell r="AO172">
            <v>0.82940476190476198</v>
          </cell>
          <cell r="AP172">
            <v>0.57940476190476198</v>
          </cell>
          <cell r="AQ172">
            <v>0.83662838877708068</v>
          </cell>
          <cell r="AR172">
            <v>0.76559725346276786</v>
          </cell>
          <cell r="AS172">
            <v>0.79848837209302326</v>
          </cell>
          <cell r="AT172">
            <v>220.4886046511628</v>
          </cell>
          <cell r="AU172">
            <v>-57.527093023255816</v>
          </cell>
          <cell r="AV172">
            <v>12.684186046511627</v>
          </cell>
          <cell r="AW172">
            <v>18.698023255813954</v>
          </cell>
          <cell r="AX172">
            <v>45.612441860465118</v>
          </cell>
          <cell r="AY172">
            <v>23.553837209302326</v>
          </cell>
          <cell r="AZ172">
            <v>60.396860465116283</v>
          </cell>
          <cell r="BA172">
            <v>37.994069767441857</v>
          </cell>
          <cell r="BB172">
            <v>3.3181395348837213</v>
          </cell>
          <cell r="BC172">
            <v>45.601910112359555</v>
          </cell>
          <cell r="BD172">
            <v>6.1444444444444448</v>
          </cell>
          <cell r="BE172">
            <v>417.76391269633893</v>
          </cell>
          <cell r="BF172">
            <v>14.350869565217391</v>
          </cell>
        </row>
        <row r="173">
          <cell r="AF173" t="str">
            <v>Exchange Gain or Loss</v>
          </cell>
          <cell r="AJ173">
            <v>-374.20373493975904</v>
          </cell>
          <cell r="AK173">
            <v>-159.28199279711885</v>
          </cell>
          <cell r="AL173">
            <v>-129.6827130852341</v>
          </cell>
          <cell r="AM173">
            <v>-413.64561824729896</v>
          </cell>
          <cell r="AN173">
            <v>-1278.8156062424971</v>
          </cell>
          <cell r="AO173">
            <v>42.362976190476189</v>
          </cell>
          <cell r="AP173">
            <v>-139.66476190476192</v>
          </cell>
          <cell r="AQ173">
            <v>-337.32875577127976</v>
          </cell>
          <cell r="AR173">
            <v>-1499.1453770569433</v>
          </cell>
          <cell r="AS173">
            <v>-1944.5996511627907</v>
          </cell>
          <cell r="AT173">
            <v>-1608.4527906976743</v>
          </cell>
          <cell r="AU173">
            <v>-333.88569767441857</v>
          </cell>
          <cell r="AV173">
            <v>1083.5284883720931</v>
          </cell>
          <cell r="AW173">
            <v>966.40499999999997</v>
          </cell>
          <cell r="AX173">
            <v>-651.11395348837209</v>
          </cell>
          <cell r="AY173">
            <v>-1106.3391860465117</v>
          </cell>
          <cell r="AZ173">
            <v>0</v>
          </cell>
          <cell r="BA173">
            <v>-2977.4910465116282</v>
          </cell>
          <cell r="BB173">
            <v>-6927.7715116279069</v>
          </cell>
          <cell r="BC173">
            <v>0</v>
          </cell>
          <cell r="BD173">
            <v>-5294.0425555555557</v>
          </cell>
          <cell r="BE173">
            <v>-18793.762904392766</v>
          </cell>
          <cell r="BF173">
            <v>-6246.1804347826082</v>
          </cell>
        </row>
        <row r="174">
          <cell r="AF174" t="str">
            <v>Credit card charges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</row>
        <row r="175">
          <cell r="AF175" t="str">
            <v>Total</v>
          </cell>
          <cell r="AJ175">
            <v>-339.19385542168675</v>
          </cell>
          <cell r="AK175">
            <v>-127.93961584633853</v>
          </cell>
          <cell r="AL175">
            <v>-98.340336134453779</v>
          </cell>
          <cell r="AM175">
            <v>-382.14897959183679</v>
          </cell>
          <cell r="AN175">
            <v>-1186.9578631452582</v>
          </cell>
          <cell r="AO175">
            <v>43.192380952380951</v>
          </cell>
          <cell r="AP175">
            <v>-139.08535714285716</v>
          </cell>
          <cell r="AQ175">
            <v>-336.4921273825027</v>
          </cell>
          <cell r="AR175">
            <v>-1498.3797798034805</v>
          </cell>
          <cell r="AS175">
            <v>-1943.8011627906976</v>
          </cell>
          <cell r="AT175">
            <v>-1387.9641860465115</v>
          </cell>
          <cell r="AU175">
            <v>-391.41279069767438</v>
          </cell>
          <cell r="AV175">
            <v>1096.2126744186048</v>
          </cell>
          <cell r="AW175">
            <v>985.10302325581392</v>
          </cell>
          <cell r="AX175">
            <v>-605.50151162790701</v>
          </cell>
          <cell r="AY175">
            <v>-1082.7853488372093</v>
          </cell>
          <cell r="AZ175">
            <v>60.396860465116283</v>
          </cell>
          <cell r="BA175">
            <v>-2939.4969767441862</v>
          </cell>
          <cell r="BB175">
            <v>-6924.4533720930231</v>
          </cell>
          <cell r="BC175">
            <v>45.601910112359555</v>
          </cell>
          <cell r="BD175">
            <v>-5287.8981111111116</v>
          </cell>
          <cell r="BE175">
            <v>-18375.998991696426</v>
          </cell>
          <cell r="BF175">
            <v>-6231.8295652173911</v>
          </cell>
        </row>
        <row r="177">
          <cell r="AF177" t="str">
            <v>Depreciation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</row>
        <row r="178">
          <cell r="AF178" t="str">
            <v>Total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IS%20Dashboard%20-%20iMagnum/Imagnum%20MIS%20May'26%20-%20Fina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MIS%20Dashboard%20-%20iMagnum/Imagnum%20MIS%20May'26%20-%20Fina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h SRF" refreshedDate="46189.8569712963" createdVersion="8" refreshedVersion="8" minRefreshableVersion="3" recordCount="1395" xr:uid="{62249628-B098-46F9-8F44-E37E7A29A3F1}">
  <cacheSource type="worksheet">
    <worksheetSource ref="A1:I1396" sheet="Expense categorisation - US" r:id="rId2"/>
  </cacheSource>
  <cacheFields count="12">
    <cacheField name="Date" numFmtId="0">
      <sharedItems containsDate="1" containsMixedTypes="1" minDate="2025-04-30T00:00:00" maxDate="2026-01-06T00:00:00"/>
    </cacheField>
    <cacheField name="Month" numFmtId="15">
      <sharedItems containsSemiMixedTypes="0" containsNonDate="0" containsDate="1" containsString="0" minDate="2025-01-31T00:00:00" maxDate="2026-06-01T00:00:00" count="17"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5-01-31T00:00:00"/>
        <d v="2026-01-31T00:00:00"/>
        <d v="2026-02-28T00:00:00"/>
        <d v="2026-03-31T00:00:00"/>
        <d v="2026-04-30T00:00:00"/>
        <d v="2026-05-31T00:00:00"/>
      </sharedItems>
      <fieldGroup par="11"/>
    </cacheField>
    <cacheField name="Account name" numFmtId="0">
      <sharedItems count="27">
        <s v="Bank Fees and Charges"/>
        <s v="Charitable Donations"/>
        <s v="Consultancy Fees"/>
        <s v="Consultancy Fees - G&amp;A"/>
        <s v="Dues and Subscriptions"/>
        <s v="Fuel/Mileage Expenses"/>
        <s v="Insurance Expense"/>
        <s v="Interest Paid"/>
        <s v="IT and Internet Expenses"/>
        <s v="Legal &amp; Professional Services"/>
        <s v="Lodging"/>
        <s v="Management salaries"/>
        <s v="Meals and Entertainment"/>
        <s v="Office Supplies"/>
        <s v="Parking"/>
        <s v="Payroll Processing Fees"/>
        <s v="Payroll Taxes"/>
        <s v="Postage"/>
        <s v="Rates &amp; Taxes"/>
        <s v="Rent Expense"/>
        <s v="Software Expenses"/>
        <s v="Sales And Marketing"/>
        <s v="Telephone Expense"/>
        <s v="Toll Fee"/>
        <s v="Travel Expense"/>
        <s v="Interest on Car loan"/>
        <s v="Contractors"/>
      </sharedItems>
    </cacheField>
    <cacheField name="Main segment" numFmtId="0">
      <sharedItems count="9">
        <s v="Finance Cost"/>
        <s v="G&amp;A Cost"/>
        <s v="Manpower"/>
        <s v="Telecom Data &amp; Others"/>
        <s v="Sales &amp; Marketing"/>
        <s v="Management Salaries"/>
        <s v="Facility Cost"/>
        <s v="Other COGS"/>
        <s v="India Cost"/>
      </sharedItems>
    </cacheField>
    <cacheField name="MIS Group" numFmtId="0">
      <sharedItems count="3">
        <s v="Finance "/>
        <s v="SG&amp;A"/>
        <s v="Operational Cost"/>
      </sharedItems>
    </cacheField>
    <cacheField name="Transaction details" numFmtId="0">
      <sharedItems count="254">
        <s v="Chase"/>
        <s v="Credit Card (9904)"/>
        <s v="BOA 7456"/>
        <s v="Amex Business Credit Card"/>
        <s v=""/>
        <s v="Vfs Services"/>
        <s v="HEALTHCARE BUSINESS"/>
        <s v="Chugh LLP"/>
        <s v="iQuantified Management Services"/>
        <s v="Comprehensive C S LLC"/>
        <s v="Lynx Realty"/>
        <s v="CLEARME.COM"/>
        <s v="Gerald Mannikarote"/>
        <s v="Inc. Media"/>
        <s v="Georgia Association"/>
        <s v="Samatva Wealth Management LLC"/>
        <s v="Maheshkumar Nagarajan"/>
        <s v="HJC Consulting Group"/>
        <s v="MEDSOURCE AI LLC"/>
        <s v="Adobe Systems"/>
        <s v="Zoho Corp"/>
        <s v="Chatgpt"/>
        <s v="Calendly"/>
        <s v="DROPBOX"/>
        <s v="READ - MEETING"/>
        <s v="Bluefin"/>
        <s v="GoDaddy"/>
        <s v="QuickBooks Payments"/>
        <s v="MongoDB"/>
        <s v="Availity"/>
        <s v="MICROSOFT"/>
        <s v="A2Webhost"/>
        <s v="McAfee"/>
        <s v="Awaz"/>
        <s v="Tailwind"/>
        <s v="Shell"/>
        <s v="H-E-B"/>
        <s v="Costco"/>
        <s v="BP"/>
        <s v="Walmart"/>
        <s v="Chevron"/>
        <s v="Buc-EES"/>
        <s v="X Christiana Rd"/>
        <s v="Katy Fwy"/>
        <s v="United Health Care"/>
        <s v="Manhattanlife"/>
        <s v="NGIC"/>
        <s v="First Insurance"/>
        <s v="ICHRA"/>
        <s v="iMagnum Healthcare Solutions Pvt Ltd"/>
        <s v="Base"/>
        <s v="Figma"/>
        <s v="Digital Ocean"/>
        <s v="Semrush"/>
        <s v="Scalela"/>
        <s v="Shikha Gupta CPA"/>
        <s v="Aapc"/>
        <s v="AATRALAI TECH SOLUTIONS PVT. LTD."/>
        <s v="Ekam Legal"/>
        <s v="WHIZZ CYBERSECURITY PVT. L ID"/>
        <s v="Queen City"/>
        <s v="Sheraton Niagara Falls"/>
        <s v="ADP"/>
        <s v="Russo's New York Pizza"/>
        <s v="The UPS Store"/>
        <s v="Indian Bazaar &amp; Cafe"/>
        <s v="Meals and Entertainment"/>
        <s v="Pho Oh Yeah"/>
        <s v="The Pumphouse Riverside Restaurant and Bar"/>
        <s v="Chick-fil-a"/>
        <s v="Walgreens"/>
        <s v="Neetu's Indian Kitchen"/>
        <s v="Kottu Korner"/>
        <s v="Hilton Garden"/>
        <s v="Charcoal Eats"/>
        <s v="Panda Express"/>
        <s v="The Home Depot"/>
        <s v="First Watch"/>
        <s v="Nagas South Indian"/>
        <s v="Tide Dry Cleaners"/>
        <s v="Madras Mantra"/>
        <s v="Shellis News"/>
        <s v="Wyndham"/>
        <s v="Chipotle"/>
        <s v="Uber Eats"/>
        <s v="Mint Leaf"/>
        <s v="Burtons Grill"/>
        <s v="Publix"/>
        <s v="Cafe Italiano"/>
        <s v="Baja Fresh"/>
        <s v="Atl Today"/>
        <s v="Starbucks"/>
        <s v="Sixt USA"/>
        <s v="La Terraza"/>
        <s v="Royal Biryani House"/>
        <s v="TARGET"/>
        <s v="Panera Bread"/>
        <s v="Nirvana"/>
        <s v="Bistro"/>
        <s v="Gyro Hut"/>
        <s v="Akashi Sushi Fusion"/>
        <s v="Absolute Thai Cuisine"/>
        <s v="Centurion Lounge"/>
        <s v="Autogrill Middle East"/>
        <s v="Asian Kitchen"/>
        <s v="Las Fuentes"/>
        <s v="Piada"/>
        <s v="Jallikattu Indian Grill"/>
        <s v="Los Cucos Mexican Cafe"/>
        <s v="Food Mart"/>
        <s v="Olive Garden"/>
        <s v="Greenville Ave"/>
        <s v="Pines"/>
        <s v="Reyhan's Grill"/>
        <s v="Kluay Kluay"/>
        <s v="Sangam Indian Cuisine"/>
        <s v="Saravanaa Bhavan"/>
        <s v="Cafeneo"/>
        <s v="Eccola Italian Bistro"/>
        <s v="Lebanese Taverna"/>
        <s v="Indian Aroma"/>
        <s v="Pasta Mista"/>
        <s v="Cava Belmont"/>
        <s v="Airi Ramen &amp; Sushi"/>
        <s v="Torchy's Tacos"/>
        <s v="Vietnam Bistro"/>
        <s v="Great Wraps"/>
        <s v="Paradies-Broward"/>
        <s v="Pinkberry"/>
        <s v="QDF North Node"/>
        <s v="Rasoi Indian Cuisine"/>
        <s v="Taco Fuego"/>
        <s v="Murugan Cafe"/>
        <s v="Rainforest Cafe"/>
        <s v="TST* CHOWRASTHA COPPCOPPELL"/>
        <s v="Gusto"/>
        <s v="Muerde la Burger"/>
        <s v="Torchys Tacos"/>
        <s v="Charleston's Restaurant"/>
        <s v="Dunkin"/>
        <s v="Jimmy John's"/>
        <s v="Shake Shack"/>
        <s v="Marathon Diner"/>
        <s v="District News"/>
        <s v="Ezee Fiber"/>
        <s v="Shah's of Kabob"/>
        <s v="Lombardi's Restaurant"/>
        <s v="Dasara Indian Cuisine"/>
        <s v="P.F. Chang's"/>
        <s v="HARPER'S ASIAN"/>
        <s v="GACHI SUSHI"/>
        <s v="Dubai Duty Free"/>
        <s v="Best Buy"/>
        <s v="Print N Ship"/>
        <s v="Wells"/>
        <s v="Apple.com"/>
        <s v="ATEA USA"/>
        <s v="Office Depot"/>
        <s v="Amazon"/>
        <s v="Fast Park Hou Fastpark"/>
        <s v="York Rd"/>
        <s v="Colonial Parking"/>
        <s v="Highway"/>
        <s v="Ipostal"/>
        <s v="PostNet"/>
        <s v="IRS"/>
        <s v="Claim.MD"/>
        <s v="AHREFS* AHREFS"/>
        <s v="Contabo.com"/>
        <s v="kalpana Rajaram"/>
        <s v="Associates"/>
        <s v="Hubspot"/>
        <s v="Seamless.AI"/>
        <s v="Hole in the Roof"/>
        <s v="Cloudways LTD"/>
        <s v="AdvancedMD"/>
        <s v="Office Ally"/>
        <s v="Obo Health Inc"/>
        <s v="Trizetto Prov"/>
        <s v="Moet Advisors LLC"/>
        <s v="RFPMart LLC"/>
        <s v="SaaSMonk"/>
        <s v="Foxyproxy"/>
        <s v="Replit"/>
        <s v="Atlantic.net"/>
        <s v="RINGCENTRAL INC"/>
        <s v="Verizon"/>
        <s v="Hertztoll"/>
        <s v="NTTA Online"/>
        <s v="Bancpass"/>
        <s v="MOUSEFLOWAPS"/>
        <s v="LOCALFALCON-STARTER"/>
        <s v="Emirates"/>
        <s v="QATAR AIRWAYS"/>
        <s v="Spirit Airlines"/>
        <s v="PRICELN"/>
        <s v="Airbnb"/>
        <s v="Southwest Airlines"/>
        <s v="Uber"/>
        <s v="Bt City Pass"/>
        <s v="Hampton Inn"/>
        <s v="Hotels.com"/>
        <s v="San Francisco"/>
        <s v="Fairfield"/>
        <s v="Westin"/>
        <s v="Homewood"/>
        <s v="American Airlines"/>
        <s v="Ocean Gateway"/>
        <s v="Flatonia TX"/>
        <s v="Omni Frisco Front"/>
        <s v="Secointrin"/>
        <s v="Delta Air"/>
        <s v="Priceline Rent A Car"/>
        <s v="Travel Expense"/>
        <s v="HOUSTON AP CARTCHAIRHOUSTON"/>
        <s v="Lyft"/>
        <s v="Lanier Parking"/>
        <s v="CHATTANOOGAN HOTEL"/>
        <s v="TPA Hospitality Partners"/>
        <s v="Hertz Rent-a-Car"/>
        <s v="Verra Mobility"/>
        <s v="Verramo Mobility"/>
        <s v="Dubai International Hotel"/>
        <s v="Texas Burger"/>
        <s v="Las Fuentes Mexican Restaurant"/>
        <s v="Courtyard By MarriotLewisville"/>
        <s v="QualiTel Communications"/>
        <s v="Lartico Inc."/>
        <s v="United Airlines"/>
        <s v="Travellers House Coffee"/>
        <s v="The Metropolitan"/>
        <s v="MedTrade"/>
        <s v="Harvard Business Services"/>
        <s v="ExxonMobil"/>
        <s v="TRIVENI FOOD COURT"/>
        <s v="Travel Guard Group"/>
        <s v="Sisters Thai"/>
        <s v="Red Lobster"/>
        <s v="Corp E Corp"/>
        <s v="Stedi, Inc."/>
        <s v="Cair Health Inc."/>
        <s v="DoubleTree"/>
        <s v="Etihad Airways"/>
        <s v="Travel Agency"/>
        <s v="ETIHADAIR"/>
        <s v="Wire Fees"/>
        <s v="El Associates"/>
        <s v="COMP OF MARYLAND"/>
        <s v="KUMAR'S HOUSTON"/>
        <s v="Stedi"/>
        <s v="S10.AI INC"/>
        <s v="Fort Bend County"/>
        <s v="World Duty Free"/>
        <s v="Samatva" u="1"/>
      </sharedItems>
    </cacheField>
    <cacheField name="Debit" numFmtId="0">
      <sharedItems containsString="0" containsBlank="1" containsNumber="1" minValue="-954.25" maxValue="200674"/>
    </cacheField>
    <cacheField name="Credit" numFmtId="0">
      <sharedItems containsString="0" containsBlank="1" containsNumber="1" containsInteger="1" minValue="10" maxValue="48000"/>
    </cacheField>
    <cacheField name="Amount" numFmtId="0">
      <sharedItems containsSemiMixedTypes="0" containsString="0" containsNumber="1" minValue="-48000" maxValue="200674"/>
    </cacheField>
    <cacheField name="Months (Month)" numFmtId="0" databaseField="0">
      <fieldGroup base="1">
        <rangePr groupBy="months" startDate="2025-01-31T00:00:00" endDate="2026-06-01T00:00:00"/>
        <groupItems count="14">
          <s v="&lt;1/3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/2026"/>
        </groupItems>
      </fieldGroup>
    </cacheField>
    <cacheField name="Quarters (Month)" numFmtId="0" databaseField="0">
      <fieldGroup base="1">
        <rangePr groupBy="quarters" startDate="2025-01-31T00:00:00" endDate="2026-06-01T00:00:00"/>
        <groupItems count="6">
          <s v="&lt;1/31/2025"/>
          <s v="Qtr1"/>
          <s v="Qtr2"/>
          <s v="Qtr3"/>
          <s v="Qtr4"/>
          <s v="&gt;6/1/2026"/>
        </groupItems>
      </fieldGroup>
    </cacheField>
    <cacheField name="Years (Month)" numFmtId="0" databaseField="0">
      <fieldGroup base="1">
        <rangePr groupBy="years" startDate="2025-01-31T00:00:00" endDate="2026-06-01T00:00:00"/>
        <groupItems count="4">
          <s v="&lt;1/31/2025"/>
          <s v="2025"/>
          <s v="2026"/>
          <s v="&gt;6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h SRF" refreshedDate="46190.479327314817" createdVersion="8" refreshedVersion="8" minRefreshableVersion="3" recordCount="1989" xr:uid="{76F35755-57B5-4B72-BD86-E52A9E5B9476}">
  <cacheSource type="worksheet">
    <worksheetSource ref="A1:I1990" sheet="Expense Categorisation - Ind" r:id="rId2"/>
  </cacheSource>
  <cacheFields count="11">
    <cacheField name="Date" numFmtId="0">
      <sharedItems containsDate="1" containsMixedTypes="1" minDate="2025-08-31T00:00:00" maxDate="2026-03-01T00:00:00"/>
    </cacheField>
    <cacheField name="Month" numFmtId="15">
      <sharedItems containsSemiMixedTypes="0" containsNonDate="0" containsDate="1" containsString="0" minDate="2025-01-31T00:00:00" maxDate="2026-06-01T00:00:00" count="17"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  <d v="2026-02-28T00:00:00"/>
        <d v="2026-03-31T00:00:00"/>
        <d v="2026-04-30T00:00:00"/>
        <d v="2026-05-31T00:00:00"/>
      </sharedItems>
      <fieldGroup par="10"/>
    </cacheField>
    <cacheField name="Ledger Name" numFmtId="0">
      <sharedItems count="63">
        <s v="Janani Property Rental Charges"/>
        <s v="Janani Property Maintenance Charges"/>
        <s v="Coding charges"/>
        <s v="FPO Charges - SRF"/>
        <s v="Telephone Rental Charges"/>
        <s v="Legal Charges"/>
        <s v="Staff Transportation Charges"/>
        <s v="Office Supplies"/>
        <s v="Exchange Gain or Loss"/>
        <s v="IT and Internet Expenses"/>
        <s v="Travelling Expenses"/>
        <s v="Staff Welfare Expenses"/>
        <s v="Bonus and Incentives"/>
        <s v="License/Subscription/Certification Charges"/>
        <s v="Meals and Entertainment"/>
        <s v="Telecom Charges"/>
        <s v="Insurance"/>
        <s v="Electricity Expense"/>
        <s v="Thiruttani rental charges"/>
        <s v="Bank Charges"/>
        <s v="Printing and Stationery"/>
        <s v="Laptop Rental Charges"/>
        <s v="Cyber Security Insurance"/>
        <s v="Software development and Hosting charges"/>
        <s v="Management Salaries"/>
        <s v="Contract Employee Salaries"/>
        <s v="Housekeeping Charges"/>
        <s v="EPF Admin Charges"/>
        <s v="Food Coupon-Happay Wallet"/>
        <s v="Operation Salaries"/>
        <s v="Ops Support Salaries"/>
        <s v="Employee PF"/>
        <s v="Employer PF"/>
        <s v="Employer ESI"/>
        <s v="Employee ESI"/>
        <s v="S&amp;M Salaries"/>
        <s v="HR Salaries"/>
        <s v="Admin Salaries"/>
        <s v="IT Salaries"/>
        <s v="Professional Tax"/>
        <s v="VISA charges"/>
        <s v="Professional services"/>
        <s v="Consultant Expense"/>
        <s v="Rewards and Recognition"/>
        <s v="Maintenance Charges"/>
        <s v="DSC Registration fee"/>
        <s v="Interest on OD"/>
        <s v="Accommodation Charges"/>
        <s v="Interest on TDS"/>
        <s v="Gratuity"/>
        <s v="FPO Charges-SMCS GLOBAL"/>
        <s v="Computer maintenance"/>
        <s v="Max Office rental charges"/>
        <s v="MCA Filing Fee"/>
        <s v="Referral Bonus"/>
        <s v="Trichy rental charges"/>
        <s v="Advertising And Marketing"/>
        <s v="Employee Engagement"/>
        <s v="Razorpay Charges"/>
        <s v="Leadership Engagement"/>
        <s v="Registration charges"/>
        <s v="Interest on PT"/>
        <s v="Interest on Advance Tax"/>
      </sharedItems>
    </cacheField>
    <cacheField name="Cost Category" numFmtId="0">
      <sharedItems count="11">
        <s v="2.Facility cost"/>
        <s v="7.Legal &amp; Professional Fees"/>
        <s v="3.Telecom Data &amp; others"/>
        <s v="9.General &amp; Administration"/>
        <s v="4.Transport Cost"/>
        <s v="9.Exchange Gain or Loss"/>
        <s v="5.Other COGS"/>
        <s v="1.Manpower"/>
        <s v="10.Finance cost"/>
        <s v="6.G&amp;A salaries"/>
        <s v="8.Sales &amp; Marketing"/>
      </sharedItems>
    </cacheField>
    <cacheField name="Main Segment" numFmtId="0">
      <sharedItems/>
    </cacheField>
    <cacheField name="Supplier Name" numFmtId="0">
      <sharedItems count="133">
        <s v="JANANI PROPERTY &amp; ESTATES PVT LTD"/>
        <s v="Coding charges"/>
        <s v="Spice Route Finance"/>
        <s v="UNIFIED VOICE COMMUNICATION PRIVATE LIMITED"/>
        <s v="EKAM LEGAL"/>
        <s v="VKS Travels"/>
        <s v="Rainbow Office Solutions"/>
        <s v="IMAGNUM US"/>
        <s v="IT and Internet Expenses"/>
        <s v="HDFC Bank"/>
        <s v="SRI LAKSHMI RESIDENCY"/>
        <s v="Esoftsol Infocom Pvt Ltd"/>
        <s v="HDFC credit card (Imagnum)"/>
        <s v="KABINI FOODS CHENNAI"/>
        <s v="License/Subscription/Certification Charges"/>
        <s v="Insurance"/>
        <s v="TAMILNADU GENERATION AND DISTRIBUTION CORPORATION LIMITED"/>
        <s v="Balaji Towers"/>
        <s v="Asian Plastics"/>
        <s v="BHARTI AIRTEL LIMITED"/>
        <s v="M.R. INFOTECH"/>
        <s v="Adobe Systems Software Ireland Ltd"/>
        <s v="LinkedIn"/>
        <s v="E2E Networks  Limited"/>
        <s v="Cyber Security Insurance"/>
        <s v="Software development and Hosting charges"/>
        <s v="Management Salaries"/>
        <s v="Contract Employee Salaries"/>
        <s v="TRUE CARE SECURITY SERVICES"/>
        <s v="EPF Admin Charges"/>
        <s v="Food Coupon-Happay Wallet"/>
        <s v="Operation Salaries"/>
        <s v="Ops Support Salaries"/>
        <s v="Employee PF"/>
        <s v="Employer PF"/>
        <s v="Employer ESI"/>
        <s v="Employee ESI"/>
        <s v="S&amp;M Salaries"/>
        <s v="HR Salaries"/>
        <s v="Admin Salaries"/>
        <s v="IT Salaries"/>
        <s v="Professional Tax"/>
        <s v="Office Supplies"/>
        <s v="Travelling Expenses"/>
        <s v="Legal Charges"/>
        <s v="Staff Welfare Expenses"/>
        <s v="VFS.GLOBAL"/>
        <s v="AATRALAI TECH SOLUTIONS PVT. LTD."/>
        <s v="InterGlobe Aviation Limited"/>
        <s v="KHIVRAJ MOTORS PRIVATE LIMITED"/>
        <s v="Air India Express"/>
        <s v="HDFC credit card (Kasi)"/>
        <s v="Cure Claims Healthcare Services"/>
        <s v="JENNYS HOTEL PVT. LTD."/>
        <s v="DAS MANPOWER CONSULTANCY SERVICES"/>
        <s v="HDFC OD Account"/>
        <s v="Udemy India LLP"/>
        <s v="Printing and Stationery"/>
        <s v="SRI LAKSHMI NARASIMHAR PHOTOFRAME CENTER"/>
        <s v="VGP Golden Beach Resort"/>
        <s v="NANDHA ENTERPRISES"/>
        <s v="Aditya Birla Fashion"/>
        <s v="Clicktech Retail Private Limited"/>
        <s v="RETAILEZ PRIVATE LIMITED"/>
        <s v="Qatar Airways"/>
        <s v="RV COMMUNICATION"/>
        <s v="SMCS Global"/>
        <s v="Info Edge (India) Ltd"/>
        <s v="CLEARTRIP PRIVATE LIMITED"/>
        <s v="DQS India"/>
        <s v="VASANTH &amp; CO"/>
        <s v="HOMEWOOD SUITES"/>
        <s v="Chugh Consulting (India) LLP"/>
        <s v="SYSVEL TECHNOLOGY"/>
        <s v="DEVA PRINTERS"/>
        <s v="Gratuity"/>
        <s v="MANGAL &amp; MANGAL"/>
        <s v="MAKE MY TRIP (INDIA) PVT. LTD."/>
        <s v="Manjhi Residency"/>
        <s v="N V Balaji and Co."/>
        <s v="Xtreme Infotech"/>
        <s v="Meals and Entertainment"/>
        <s v="Max Office"/>
        <s v="Zudio"/>
        <s v="Viji Embroidery works"/>
        <s v="TATA TELESERVICES LIMITED"/>
        <s v="Medway Hospitals"/>
        <s v="Accommodation Charges"/>
        <s v="Queen Emperor Hotels And Resorts"/>
        <s v="Futurecalls Technology"/>
        <s v="Health &amp; Safety Hub"/>
        <s v="BAJAJ ALLIANZ GENERAL INSURANCE COMPANY LIMITED"/>
        <s v="Tiger Protective Services"/>
        <s v="Spelman Printers"/>
        <s v="Best Engineering Works"/>
        <s v="GAMMA.APP"/>
        <s v="The Roy Restaurant"/>
        <s v="Sai Kalaimagal Stationery and Generals"/>
        <s v="HDFC credit card (Ashok Kumar)"/>
        <s v="INTACT ENTERPRISES"/>
        <s v="DARLING DIGITAL WORLD PVT LTD"/>
        <s v="Amutha Trichy Rental House"/>
        <s v="Mahendra Associates"/>
        <s v="SUVAI BIRIYANI RESTAURATRICHY"/>
        <s v="Select Cabs"/>
        <s v="AAPC"/>
        <s v="Hotel Akshaya"/>
        <s v="BIRD EYE SECURITY SERVICES"/>
        <s v="Amazon.in"/>
        <s v="EBENEZER PAULP"/>
        <s v="CODE FLOW CONSULTANT"/>
        <s v="COPPER KITCHEN VADAPALA CHENNAI"/>
        <s v="Yasodhai Damodaran POSH Consultant"/>
        <s v="ZAITOON RESTAURANT AND CHENNAI"/>
        <s v="Tharikha Medicals"/>
        <s v="ROCK RESTAURANT"/>
        <s v="ABS ABSOLUTE BARBECUES BANGALORE"/>
        <s v="M S GRAND CONTINENT HOT"/>
        <s v="NAYAGARA HOTELS PRIVATE LIMITED"/>
        <s v="REDBUS"/>
        <s v="PALMSHORE MULTICUISINECHENNAI"/>
        <s v="Vasanta Bhavan Hotel's Pvt Ltd"/>
        <s v="RZPX Private Limited"/>
        <s v="Claritus Management Consulting Pvt. Ltd."/>
        <s v="Explore The Unexplored Camping Tours"/>
        <s v="AMAR HARDWARES"/>
        <s v="CATAWING CYBERNETICS PVT. LTD."/>
        <s v="Green Park Hotels and Resorts Limited"/>
        <s v="Slack"/>
        <s v="Pure Palate"/>
        <s v="Reliance Jio Infocomm Limited"/>
        <s v="Amazon"/>
        <s v="ClaudeAI"/>
      </sharedItems>
    </cacheField>
    <cacheField name="Debit" numFmtId="0">
      <sharedItems containsMixedTypes="1" containsNumber="1" minValue="2" maxValue="6323574"/>
    </cacheField>
    <cacheField name="Credit" numFmtId="0">
      <sharedItems containsMixedTypes="1" containsNumber="1" minValue="9.9" maxValue="615033.78"/>
    </cacheField>
    <cacheField name="Amount" numFmtId="0">
      <sharedItems containsSemiMixedTypes="0" containsString="0" containsNumber="1" minValue="-615033.78" maxValue="6323574"/>
    </cacheField>
    <cacheField name="Days (Month)" numFmtId="0" databaseField="0">
      <fieldGroup base="1">
        <rangePr groupBy="days" startDate="2025-01-31T00:00:00" endDate="2026-06-01T00:00:00"/>
        <groupItems count="368">
          <s v="&lt;1/3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1/2026"/>
        </groupItems>
      </fieldGroup>
    </cacheField>
    <cacheField name="Months (Month)" numFmtId="0" databaseField="0">
      <fieldGroup base="1">
        <rangePr groupBy="months" startDate="2025-01-31T00:00:00" endDate="2026-06-01T00:00:00"/>
        <groupItems count="14">
          <s v="&lt;1/3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5">
  <r>
    <s v="02/01/2025"/>
    <x v="0"/>
    <x v="0"/>
    <x v="0"/>
    <x v="0"/>
    <x v="0"/>
    <n v="195"/>
    <m/>
    <n v="195"/>
  </r>
  <r>
    <s v="02/04/2025"/>
    <x v="0"/>
    <x v="0"/>
    <x v="0"/>
    <x v="0"/>
    <x v="1"/>
    <n v="29"/>
    <m/>
    <n v="29"/>
  </r>
  <r>
    <s v="02/06/2025"/>
    <x v="0"/>
    <x v="0"/>
    <x v="0"/>
    <x v="0"/>
    <x v="1"/>
    <n v="4.78"/>
    <m/>
    <n v="4.78"/>
  </r>
  <r>
    <s v="02/13/2025"/>
    <x v="0"/>
    <x v="0"/>
    <x v="0"/>
    <x v="0"/>
    <x v="2"/>
    <n v="5"/>
    <m/>
    <n v="5"/>
  </r>
  <r>
    <s v="02/14/2025"/>
    <x v="0"/>
    <x v="0"/>
    <x v="0"/>
    <x v="0"/>
    <x v="3"/>
    <n v="695"/>
    <m/>
    <n v="695"/>
  </r>
  <r>
    <s v="02/14/2025"/>
    <x v="0"/>
    <x v="0"/>
    <x v="0"/>
    <x v="0"/>
    <x v="3"/>
    <n v="350"/>
    <m/>
    <n v="350"/>
  </r>
  <r>
    <s v="03/13/2025"/>
    <x v="1"/>
    <x v="0"/>
    <x v="0"/>
    <x v="0"/>
    <x v="2"/>
    <n v="5"/>
    <m/>
    <n v="5"/>
  </r>
  <r>
    <s v="04/09/2025"/>
    <x v="2"/>
    <x v="0"/>
    <x v="0"/>
    <x v="0"/>
    <x v="2"/>
    <n v="5"/>
    <m/>
    <n v="5"/>
  </r>
  <r>
    <s v="05/06/2025"/>
    <x v="3"/>
    <x v="0"/>
    <x v="0"/>
    <x v="0"/>
    <x v="1"/>
    <n v="29"/>
    <m/>
    <n v="29"/>
  </r>
  <r>
    <s v="05/09/2025"/>
    <x v="3"/>
    <x v="0"/>
    <x v="0"/>
    <x v="0"/>
    <x v="1"/>
    <n v="2.72"/>
    <m/>
    <n v="2.72"/>
  </r>
  <r>
    <s v="05/28/2025"/>
    <x v="3"/>
    <x v="0"/>
    <x v="0"/>
    <x v="0"/>
    <x v="2"/>
    <n v="5"/>
    <m/>
    <n v="5"/>
  </r>
  <r>
    <s v="05/28/2025"/>
    <x v="3"/>
    <x v="0"/>
    <x v="0"/>
    <x v="0"/>
    <x v="2"/>
    <n v="5"/>
    <m/>
    <n v="5"/>
  </r>
  <r>
    <s v="06/06/2025"/>
    <x v="4"/>
    <x v="0"/>
    <x v="0"/>
    <x v="0"/>
    <x v="2"/>
    <n v="5"/>
    <m/>
    <n v="5"/>
  </r>
  <r>
    <s v="06/09/2025"/>
    <x v="4"/>
    <x v="0"/>
    <x v="0"/>
    <x v="0"/>
    <x v="1"/>
    <n v="7.0000000000000007E-2"/>
    <m/>
    <n v="7.0000000000000007E-2"/>
  </r>
  <r>
    <s v="06/11/2025"/>
    <x v="4"/>
    <x v="0"/>
    <x v="0"/>
    <x v="0"/>
    <x v="3"/>
    <n v="39"/>
    <m/>
    <n v="39"/>
  </r>
  <r>
    <s v="06/16/2025"/>
    <x v="4"/>
    <x v="0"/>
    <x v="0"/>
    <x v="0"/>
    <x v="3"/>
    <n v="100.96"/>
    <m/>
    <n v="100.96"/>
  </r>
  <r>
    <s v="06/17/2025"/>
    <x v="4"/>
    <x v="0"/>
    <x v="0"/>
    <x v="0"/>
    <x v="2"/>
    <n v="5"/>
    <m/>
    <n v="5"/>
  </r>
  <r>
    <s v="06/18/2025"/>
    <x v="4"/>
    <x v="0"/>
    <x v="0"/>
    <x v="0"/>
    <x v="2"/>
    <n v="5"/>
    <m/>
    <n v="5"/>
  </r>
  <r>
    <s v="07/01/2025"/>
    <x v="5"/>
    <x v="0"/>
    <x v="0"/>
    <x v="0"/>
    <x v="4"/>
    <n v="30.68"/>
    <m/>
    <n v="30.68"/>
  </r>
  <r>
    <s v="07/03/2025"/>
    <x v="5"/>
    <x v="0"/>
    <x v="0"/>
    <x v="0"/>
    <x v="2"/>
    <n v="30.68"/>
    <m/>
    <n v="30.68"/>
  </r>
  <r>
    <s v="07/17/2025"/>
    <x v="5"/>
    <x v="0"/>
    <x v="0"/>
    <x v="0"/>
    <x v="3"/>
    <n v="109.42"/>
    <m/>
    <n v="109.42"/>
  </r>
  <r>
    <s v="07/18/2025"/>
    <x v="5"/>
    <x v="0"/>
    <x v="0"/>
    <x v="0"/>
    <x v="2"/>
    <n v="5"/>
    <m/>
    <n v="5"/>
  </r>
  <r>
    <s v="07/19/2025"/>
    <x v="5"/>
    <x v="0"/>
    <x v="0"/>
    <x v="0"/>
    <x v="3"/>
    <n v="-209"/>
    <m/>
    <n v="-209"/>
  </r>
  <r>
    <s v="07/24/2025"/>
    <x v="5"/>
    <x v="0"/>
    <x v="0"/>
    <x v="0"/>
    <x v="2"/>
    <n v="5"/>
    <m/>
    <n v="5"/>
  </r>
  <r>
    <s v="07/25/2025"/>
    <x v="5"/>
    <x v="0"/>
    <x v="0"/>
    <x v="0"/>
    <x v="2"/>
    <n v="50.17"/>
    <m/>
    <n v="50.17"/>
  </r>
  <r>
    <s v="07/29/2025"/>
    <x v="5"/>
    <x v="0"/>
    <x v="0"/>
    <x v="0"/>
    <x v="2"/>
    <n v="1"/>
    <m/>
    <n v="1"/>
  </r>
  <r>
    <s v="08/04/2025"/>
    <x v="6"/>
    <x v="0"/>
    <x v="0"/>
    <x v="0"/>
    <x v="2"/>
    <n v="-25"/>
    <m/>
    <n v="-25"/>
  </r>
  <r>
    <s v="08/12/2025"/>
    <x v="6"/>
    <x v="0"/>
    <x v="0"/>
    <x v="0"/>
    <x v="2"/>
    <n v="5"/>
    <m/>
    <n v="5"/>
  </r>
  <r>
    <s v="08/13/2025"/>
    <x v="6"/>
    <x v="0"/>
    <x v="0"/>
    <x v="0"/>
    <x v="2"/>
    <n v="5"/>
    <m/>
    <n v="5"/>
  </r>
  <r>
    <s v="08/17/2025"/>
    <x v="6"/>
    <x v="0"/>
    <x v="0"/>
    <x v="0"/>
    <x v="3"/>
    <n v="350"/>
    <m/>
    <n v="350"/>
  </r>
  <r>
    <s v="09/05/2025"/>
    <x v="7"/>
    <x v="0"/>
    <x v="0"/>
    <x v="0"/>
    <x v="2"/>
    <n v="5"/>
    <m/>
    <n v="5"/>
  </r>
  <r>
    <s v="09/17/2025"/>
    <x v="7"/>
    <x v="0"/>
    <x v="0"/>
    <x v="0"/>
    <x v="2"/>
    <n v="5"/>
    <m/>
    <n v="5"/>
  </r>
  <r>
    <s v="09/23/2025"/>
    <x v="7"/>
    <x v="0"/>
    <x v="0"/>
    <x v="0"/>
    <x v="2"/>
    <n v="30"/>
    <m/>
    <n v="30"/>
  </r>
  <r>
    <s v="09/24/2025"/>
    <x v="7"/>
    <x v="0"/>
    <x v="0"/>
    <x v="0"/>
    <x v="2"/>
    <n v="5"/>
    <m/>
    <n v="5"/>
  </r>
  <r>
    <s v="09/25/2025"/>
    <x v="7"/>
    <x v="0"/>
    <x v="0"/>
    <x v="0"/>
    <x v="2"/>
    <n v="45"/>
    <m/>
    <n v="45"/>
  </r>
  <r>
    <s v="10/17/2025"/>
    <x v="8"/>
    <x v="0"/>
    <x v="0"/>
    <x v="0"/>
    <x v="2"/>
    <n v="5"/>
    <m/>
    <n v="5"/>
  </r>
  <r>
    <s v="10/27/2025"/>
    <x v="8"/>
    <x v="0"/>
    <x v="0"/>
    <x v="0"/>
    <x v="2"/>
    <n v="5"/>
    <m/>
    <n v="5"/>
  </r>
  <r>
    <s v="11/05/2025"/>
    <x v="9"/>
    <x v="0"/>
    <x v="0"/>
    <x v="0"/>
    <x v="1"/>
    <n v="29"/>
    <m/>
    <n v="29"/>
  </r>
  <r>
    <s v="11/07/2025"/>
    <x v="9"/>
    <x v="0"/>
    <x v="0"/>
    <x v="0"/>
    <x v="1"/>
    <n v="3.06"/>
    <m/>
    <n v="3.06"/>
  </r>
  <r>
    <s v="11/17/2025"/>
    <x v="9"/>
    <x v="0"/>
    <x v="0"/>
    <x v="0"/>
    <x v="2"/>
    <n v="5"/>
    <m/>
    <n v="5"/>
  </r>
  <r>
    <s v="11/17/2025"/>
    <x v="9"/>
    <x v="0"/>
    <x v="0"/>
    <x v="0"/>
    <x v="2"/>
    <n v="5"/>
    <m/>
    <n v="5"/>
  </r>
  <r>
    <s v="11/17/2025"/>
    <x v="9"/>
    <x v="0"/>
    <x v="0"/>
    <x v="0"/>
    <x v="2"/>
    <n v="5"/>
    <m/>
    <n v="5"/>
  </r>
  <r>
    <s v="11/25/2025"/>
    <x v="9"/>
    <x v="0"/>
    <x v="0"/>
    <x v="0"/>
    <x v="2"/>
    <n v="5"/>
    <m/>
    <n v="5"/>
  </r>
  <r>
    <s v="12/09/2025"/>
    <x v="10"/>
    <x v="0"/>
    <x v="0"/>
    <x v="0"/>
    <x v="2"/>
    <n v="1"/>
    <m/>
    <n v="1"/>
  </r>
  <r>
    <s v="12/31/2025"/>
    <x v="10"/>
    <x v="0"/>
    <x v="0"/>
    <x v="0"/>
    <x v="2"/>
    <n v="5"/>
    <m/>
    <n v="5"/>
  </r>
  <r>
    <s v="05/05/2025"/>
    <x v="3"/>
    <x v="1"/>
    <x v="1"/>
    <x v="1"/>
    <x v="2"/>
    <n v="8000"/>
    <m/>
    <n v="8000"/>
  </r>
  <r>
    <s v="01/24/2025"/>
    <x v="11"/>
    <x v="2"/>
    <x v="2"/>
    <x v="2"/>
    <x v="5"/>
    <n v="234.95"/>
    <m/>
    <n v="234.95"/>
  </r>
  <r>
    <s v="02/25/2025"/>
    <x v="0"/>
    <x v="2"/>
    <x v="2"/>
    <x v="2"/>
    <x v="6"/>
    <n v="899"/>
    <m/>
    <n v="899"/>
  </r>
  <r>
    <s v="03/20/2025"/>
    <x v="1"/>
    <x v="2"/>
    <x v="2"/>
    <x v="2"/>
    <x v="7"/>
    <n v="8095"/>
    <m/>
    <n v="8095"/>
  </r>
  <r>
    <s v="04/18/2025"/>
    <x v="2"/>
    <x v="2"/>
    <x v="2"/>
    <x v="2"/>
    <x v="7"/>
    <n v="600"/>
    <m/>
    <n v="600"/>
  </r>
  <r>
    <s v="05/27/2025"/>
    <x v="3"/>
    <x v="2"/>
    <x v="2"/>
    <x v="2"/>
    <x v="8"/>
    <n v="2252.5500000000002"/>
    <m/>
    <n v="2252.5500000000002"/>
  </r>
  <r>
    <s v="05/30/2025"/>
    <x v="3"/>
    <x v="3"/>
    <x v="1"/>
    <x v="1"/>
    <x v="9"/>
    <n v="1896.58"/>
    <m/>
    <n v="1896.58"/>
  </r>
  <r>
    <s v="06/16/2025"/>
    <x v="4"/>
    <x v="3"/>
    <x v="1"/>
    <x v="1"/>
    <x v="9"/>
    <n v="1150"/>
    <m/>
    <n v="1150"/>
  </r>
  <r>
    <s v="06/17/2025"/>
    <x v="4"/>
    <x v="2"/>
    <x v="2"/>
    <x v="2"/>
    <x v="7"/>
    <n v="115.43"/>
    <m/>
    <n v="115.43"/>
  </r>
  <r>
    <s v="07/14/2025"/>
    <x v="5"/>
    <x v="2"/>
    <x v="2"/>
    <x v="2"/>
    <x v="10"/>
    <n v="2000"/>
    <m/>
    <n v="2000"/>
  </r>
  <r>
    <s v="07/15/2025"/>
    <x v="5"/>
    <x v="2"/>
    <x v="2"/>
    <x v="2"/>
    <x v="6"/>
    <n v="2750"/>
    <m/>
    <n v="2750"/>
  </r>
  <r>
    <s v="07/19/2025"/>
    <x v="5"/>
    <x v="3"/>
    <x v="1"/>
    <x v="1"/>
    <x v="11"/>
    <n v="209"/>
    <m/>
    <n v="209"/>
  </r>
  <r>
    <s v="07/23/2025"/>
    <x v="5"/>
    <x v="2"/>
    <x v="2"/>
    <x v="2"/>
    <x v="8"/>
    <n v="661.65"/>
    <m/>
    <n v="661.65"/>
  </r>
  <r>
    <s v="07/25/2025"/>
    <x v="5"/>
    <x v="3"/>
    <x v="1"/>
    <x v="1"/>
    <x v="9"/>
    <n v="1825"/>
    <m/>
    <n v="1825"/>
  </r>
  <r>
    <s v="07/28/2025"/>
    <x v="5"/>
    <x v="2"/>
    <x v="2"/>
    <x v="2"/>
    <x v="12"/>
    <n v="2267"/>
    <m/>
    <n v="2267"/>
  </r>
  <r>
    <s v="09/05/2025"/>
    <x v="7"/>
    <x v="2"/>
    <x v="2"/>
    <x v="2"/>
    <x v="13"/>
    <n v="895"/>
    <m/>
    <n v="895"/>
  </r>
  <r>
    <s v="09/15/2025"/>
    <x v="7"/>
    <x v="3"/>
    <x v="1"/>
    <x v="1"/>
    <x v="9"/>
    <n v="2500"/>
    <m/>
    <n v="2500"/>
  </r>
  <r>
    <s v="09/18/2025"/>
    <x v="7"/>
    <x v="2"/>
    <x v="2"/>
    <x v="2"/>
    <x v="14"/>
    <n v="2550"/>
    <m/>
    <n v="2550"/>
  </r>
  <r>
    <s v="09/23/2025"/>
    <x v="7"/>
    <x v="3"/>
    <x v="1"/>
    <x v="1"/>
    <x v="9"/>
    <n v="2500"/>
    <m/>
    <n v="2500"/>
  </r>
  <r>
    <s v="09/25/2025"/>
    <x v="7"/>
    <x v="3"/>
    <x v="1"/>
    <x v="1"/>
    <x v="15"/>
    <n v="2000"/>
    <m/>
    <n v="2000"/>
  </r>
  <r>
    <s v="10/14/2025"/>
    <x v="8"/>
    <x v="2"/>
    <x v="2"/>
    <x v="2"/>
    <x v="16"/>
    <n v="500"/>
    <m/>
    <n v="500"/>
  </r>
  <r>
    <s v="10/16/2025"/>
    <x v="8"/>
    <x v="3"/>
    <x v="1"/>
    <x v="1"/>
    <x v="9"/>
    <n v="2500"/>
    <m/>
    <n v="2500"/>
  </r>
  <r>
    <s v="10/16/2025"/>
    <x v="8"/>
    <x v="3"/>
    <x v="1"/>
    <x v="1"/>
    <x v="11"/>
    <n v="209"/>
    <m/>
    <n v="209"/>
  </r>
  <r>
    <s v="10/24/2025"/>
    <x v="8"/>
    <x v="2"/>
    <x v="2"/>
    <x v="2"/>
    <x v="17"/>
    <n v="3000"/>
    <m/>
    <n v="3000"/>
  </r>
  <r>
    <s v="11/10/2025"/>
    <x v="9"/>
    <x v="2"/>
    <x v="2"/>
    <x v="2"/>
    <x v="18"/>
    <n v="1250"/>
    <m/>
    <n v="1250"/>
  </r>
  <r>
    <s v="11/24/2025"/>
    <x v="9"/>
    <x v="3"/>
    <x v="1"/>
    <x v="1"/>
    <x v="9"/>
    <n v="2500"/>
    <m/>
    <n v="2500"/>
  </r>
  <r>
    <s v="12/01/2025"/>
    <x v="10"/>
    <x v="2"/>
    <x v="2"/>
    <x v="2"/>
    <x v="18"/>
    <n v="1250"/>
    <m/>
    <n v="1250"/>
  </r>
  <r>
    <s v="12/15/2025"/>
    <x v="10"/>
    <x v="2"/>
    <x v="2"/>
    <x v="2"/>
    <x v="18"/>
    <n v="1250"/>
    <m/>
    <n v="1250"/>
  </r>
  <r>
    <s v="12/22/2025"/>
    <x v="10"/>
    <x v="3"/>
    <x v="1"/>
    <x v="1"/>
    <x v="9"/>
    <n v="5000"/>
    <m/>
    <n v="5000"/>
  </r>
  <r>
    <s v="12/30/2025"/>
    <x v="10"/>
    <x v="2"/>
    <x v="2"/>
    <x v="2"/>
    <x v="18"/>
    <n v="1250"/>
    <m/>
    <n v="1250"/>
  </r>
  <r>
    <s v="01/02/2025"/>
    <x v="11"/>
    <x v="4"/>
    <x v="3"/>
    <x v="2"/>
    <x v="19"/>
    <n v="13.8"/>
    <m/>
    <n v="13.8"/>
  </r>
  <r>
    <s v="01/08/2025"/>
    <x v="11"/>
    <x v="4"/>
    <x v="3"/>
    <x v="2"/>
    <x v="20"/>
    <n v="53.3"/>
    <m/>
    <n v="53.3"/>
  </r>
  <r>
    <s v="01/08/2025"/>
    <x v="11"/>
    <x v="4"/>
    <x v="3"/>
    <x v="2"/>
    <x v="21"/>
    <n v="21.28"/>
    <m/>
    <n v="21.28"/>
  </r>
  <r>
    <s v="01/11/2025"/>
    <x v="11"/>
    <x v="4"/>
    <x v="3"/>
    <x v="2"/>
    <x v="22"/>
    <n v="12.6"/>
    <m/>
    <n v="12.6"/>
  </r>
  <r>
    <s v="01/12/2025"/>
    <x v="11"/>
    <x v="4"/>
    <x v="3"/>
    <x v="2"/>
    <x v="20"/>
    <n v="28.78"/>
    <m/>
    <n v="28.78"/>
  </r>
  <r>
    <s v="01/15/2025"/>
    <x v="11"/>
    <x v="4"/>
    <x v="3"/>
    <x v="2"/>
    <x v="22"/>
    <n v="12.7"/>
    <m/>
    <n v="12.7"/>
  </r>
  <r>
    <s v="01/18/2025"/>
    <x v="11"/>
    <x v="4"/>
    <x v="3"/>
    <x v="2"/>
    <x v="21"/>
    <n v="159.6"/>
    <m/>
    <n v="159.6"/>
  </r>
  <r>
    <s v="01/29/2025"/>
    <x v="11"/>
    <x v="4"/>
    <x v="3"/>
    <x v="2"/>
    <x v="23"/>
    <n v="12.78"/>
    <m/>
    <n v="12.78"/>
  </r>
  <r>
    <s v="02/02/2025"/>
    <x v="0"/>
    <x v="4"/>
    <x v="3"/>
    <x v="2"/>
    <x v="19"/>
    <n v="13.8"/>
    <m/>
    <n v="13.8"/>
  </r>
  <r>
    <s v="02/08/2025"/>
    <x v="0"/>
    <x v="4"/>
    <x v="3"/>
    <x v="2"/>
    <x v="20"/>
    <n v="53.3"/>
    <m/>
    <n v="53.3"/>
  </r>
  <r>
    <s v="02/08/2025"/>
    <x v="0"/>
    <x v="4"/>
    <x v="3"/>
    <x v="2"/>
    <x v="21"/>
    <n v="21.28"/>
    <m/>
    <n v="21.28"/>
  </r>
  <r>
    <s v="02/11/2025"/>
    <x v="0"/>
    <x v="4"/>
    <x v="3"/>
    <x v="2"/>
    <x v="22"/>
    <n v="12.6"/>
    <m/>
    <n v="12.6"/>
  </r>
  <r>
    <s v="02/12/2025"/>
    <x v="0"/>
    <x v="4"/>
    <x v="3"/>
    <x v="2"/>
    <x v="20"/>
    <n v="28.78"/>
    <m/>
    <n v="28.78"/>
  </r>
  <r>
    <s v="02/12/2025"/>
    <x v="0"/>
    <x v="4"/>
    <x v="3"/>
    <x v="2"/>
    <x v="24"/>
    <n v="19.75"/>
    <m/>
    <n v="19.75"/>
  </r>
  <r>
    <s v="02/15/2025"/>
    <x v="0"/>
    <x v="4"/>
    <x v="3"/>
    <x v="2"/>
    <x v="22"/>
    <n v="12.7"/>
    <m/>
    <n v="12.7"/>
  </r>
  <r>
    <s v="02/18/2025"/>
    <x v="0"/>
    <x v="4"/>
    <x v="3"/>
    <x v="2"/>
    <x v="21"/>
    <n v="159.6"/>
    <m/>
    <n v="159.6"/>
  </r>
  <r>
    <s v="03/01/2025"/>
    <x v="1"/>
    <x v="4"/>
    <x v="3"/>
    <x v="2"/>
    <x v="23"/>
    <n v="12.78"/>
    <m/>
    <n v="12.78"/>
  </r>
  <r>
    <s v="03/02/2025"/>
    <x v="1"/>
    <x v="4"/>
    <x v="3"/>
    <x v="2"/>
    <x v="19"/>
    <n v="13.8"/>
    <m/>
    <n v="13.8"/>
  </r>
  <r>
    <s v="03/08/2025"/>
    <x v="1"/>
    <x v="4"/>
    <x v="3"/>
    <x v="2"/>
    <x v="20"/>
    <n v="53.3"/>
    <m/>
    <n v="53.3"/>
  </r>
  <r>
    <s v="03/08/2025"/>
    <x v="1"/>
    <x v="4"/>
    <x v="3"/>
    <x v="2"/>
    <x v="21"/>
    <n v="21.28"/>
    <m/>
    <n v="21.28"/>
  </r>
  <r>
    <s v="03/11/2025"/>
    <x v="1"/>
    <x v="4"/>
    <x v="3"/>
    <x v="2"/>
    <x v="22"/>
    <n v="12.6"/>
    <m/>
    <n v="12.6"/>
  </r>
  <r>
    <s v="03/12/2025"/>
    <x v="1"/>
    <x v="4"/>
    <x v="3"/>
    <x v="2"/>
    <x v="20"/>
    <n v="28.78"/>
    <m/>
    <n v="28.78"/>
  </r>
  <r>
    <s v="03/12/2025"/>
    <x v="1"/>
    <x v="4"/>
    <x v="3"/>
    <x v="2"/>
    <x v="24"/>
    <n v="21.01"/>
    <m/>
    <n v="21.01"/>
  </r>
  <r>
    <s v="03/14/2025"/>
    <x v="1"/>
    <x v="4"/>
    <x v="3"/>
    <x v="2"/>
    <x v="25"/>
    <n v="56.57"/>
    <m/>
    <n v="56.57"/>
  </r>
  <r>
    <s v="03/15/2025"/>
    <x v="1"/>
    <x v="4"/>
    <x v="3"/>
    <x v="2"/>
    <x v="22"/>
    <n v="12.7"/>
    <m/>
    <n v="12.7"/>
  </r>
  <r>
    <s v="03/17/2025"/>
    <x v="1"/>
    <x v="4"/>
    <x v="3"/>
    <x v="2"/>
    <x v="26"/>
    <n v="25.98"/>
    <m/>
    <n v="25.98"/>
  </r>
  <r>
    <s v="03/18/2025"/>
    <x v="1"/>
    <x v="4"/>
    <x v="3"/>
    <x v="2"/>
    <x v="21"/>
    <n v="159.6"/>
    <m/>
    <n v="159.6"/>
  </r>
  <r>
    <s v="03/29/2025"/>
    <x v="1"/>
    <x v="4"/>
    <x v="3"/>
    <x v="2"/>
    <x v="23"/>
    <n v="12.78"/>
    <m/>
    <n v="12.78"/>
  </r>
  <r>
    <s v="04/02/2025"/>
    <x v="2"/>
    <x v="4"/>
    <x v="3"/>
    <x v="2"/>
    <x v="19"/>
    <n v="13.8"/>
    <m/>
    <n v="13.8"/>
  </r>
  <r>
    <s v="04/04/2025"/>
    <x v="2"/>
    <x v="4"/>
    <x v="3"/>
    <x v="2"/>
    <x v="27"/>
    <n v="52.77"/>
    <m/>
    <n v="52.77"/>
  </r>
  <r>
    <s v="04/08/2025"/>
    <x v="2"/>
    <x v="4"/>
    <x v="3"/>
    <x v="2"/>
    <x v="21"/>
    <n v="21.28"/>
    <m/>
    <n v="21.28"/>
  </r>
  <r>
    <s v="04/11/2025"/>
    <x v="2"/>
    <x v="4"/>
    <x v="3"/>
    <x v="2"/>
    <x v="22"/>
    <n v="12.6"/>
    <m/>
    <n v="12.6"/>
  </r>
  <r>
    <s v="04/12/2025"/>
    <x v="2"/>
    <x v="4"/>
    <x v="3"/>
    <x v="2"/>
    <x v="24"/>
    <n v="21.01"/>
    <m/>
    <n v="21.01"/>
  </r>
  <r>
    <s v="04/15/2025"/>
    <x v="2"/>
    <x v="4"/>
    <x v="3"/>
    <x v="2"/>
    <x v="22"/>
    <n v="12.7"/>
    <m/>
    <n v="12.7"/>
  </r>
  <r>
    <s v="04/18/2025"/>
    <x v="2"/>
    <x v="4"/>
    <x v="3"/>
    <x v="2"/>
    <x v="21"/>
    <n v="159.6"/>
    <m/>
    <n v="159.6"/>
  </r>
  <r>
    <s v="04/22/2025"/>
    <x v="2"/>
    <x v="4"/>
    <x v="3"/>
    <x v="2"/>
    <x v="27"/>
    <n v="3.2"/>
    <m/>
    <n v="3.2"/>
  </r>
  <r>
    <s v="04/29/2025"/>
    <x v="2"/>
    <x v="4"/>
    <x v="3"/>
    <x v="2"/>
    <x v="23"/>
    <n v="12.78"/>
    <m/>
    <n v="12.78"/>
  </r>
  <r>
    <s v="05/01/2025"/>
    <x v="3"/>
    <x v="4"/>
    <x v="3"/>
    <x v="2"/>
    <x v="28"/>
    <n v="379.79"/>
    <m/>
    <n v="379.79"/>
  </r>
  <r>
    <s v="05/01/2025"/>
    <x v="3"/>
    <x v="4"/>
    <x v="3"/>
    <x v="2"/>
    <x v="28"/>
    <n v="434.61"/>
    <m/>
    <n v="434.61"/>
  </r>
  <r>
    <s v="05/02/2025"/>
    <x v="3"/>
    <x v="4"/>
    <x v="3"/>
    <x v="2"/>
    <x v="19"/>
    <n v="13.8"/>
    <m/>
    <n v="13.8"/>
  </r>
  <r>
    <s v="05/04/2025"/>
    <x v="3"/>
    <x v="4"/>
    <x v="3"/>
    <x v="2"/>
    <x v="27"/>
    <n v="60.77"/>
    <m/>
    <n v="60.77"/>
  </r>
  <r>
    <s v="05/04/2025"/>
    <x v="3"/>
    <x v="4"/>
    <x v="3"/>
    <x v="2"/>
    <x v="29"/>
    <n v="26.65"/>
    <m/>
    <n v="26.65"/>
  </r>
  <r>
    <s v="05/08/2025"/>
    <x v="3"/>
    <x v="4"/>
    <x v="3"/>
    <x v="2"/>
    <x v="21"/>
    <n v="21.28"/>
    <m/>
    <n v="21.28"/>
  </r>
  <r>
    <s v="05/11/2025"/>
    <x v="3"/>
    <x v="4"/>
    <x v="3"/>
    <x v="2"/>
    <x v="22"/>
    <n v="12.6"/>
    <m/>
    <n v="12.6"/>
  </r>
  <r>
    <s v="05/12/2025"/>
    <x v="3"/>
    <x v="4"/>
    <x v="3"/>
    <x v="2"/>
    <x v="24"/>
    <n v="21.01"/>
    <m/>
    <n v="21.01"/>
  </r>
  <r>
    <s v="05/15/2025"/>
    <x v="3"/>
    <x v="4"/>
    <x v="3"/>
    <x v="2"/>
    <x v="22"/>
    <n v="12.7"/>
    <m/>
    <n v="12.7"/>
  </r>
  <r>
    <s v="05/18/2025"/>
    <x v="3"/>
    <x v="4"/>
    <x v="3"/>
    <x v="2"/>
    <x v="21"/>
    <n v="159.6"/>
    <m/>
    <n v="159.6"/>
  </r>
  <r>
    <s v="05/29/2025"/>
    <x v="3"/>
    <x v="4"/>
    <x v="3"/>
    <x v="2"/>
    <x v="23"/>
    <n v="12.78"/>
    <m/>
    <n v="12.78"/>
  </r>
  <r>
    <s v="06/02/2025"/>
    <x v="4"/>
    <x v="4"/>
    <x v="3"/>
    <x v="2"/>
    <x v="19"/>
    <n v="13.8"/>
    <m/>
    <n v="13.8"/>
  </r>
  <r>
    <s v="06/04/2025"/>
    <x v="4"/>
    <x v="4"/>
    <x v="3"/>
    <x v="2"/>
    <x v="27"/>
    <n v="60.77"/>
    <m/>
    <n v="60.77"/>
  </r>
  <r>
    <s v="06/08/2025"/>
    <x v="4"/>
    <x v="4"/>
    <x v="3"/>
    <x v="2"/>
    <x v="21"/>
    <n v="21.28"/>
    <m/>
    <n v="21.28"/>
  </r>
  <r>
    <s v="06/11/2025"/>
    <x v="4"/>
    <x v="4"/>
    <x v="3"/>
    <x v="2"/>
    <x v="22"/>
    <n v="12.6"/>
    <m/>
    <n v="12.6"/>
  </r>
  <r>
    <s v="06/12/2025"/>
    <x v="4"/>
    <x v="4"/>
    <x v="3"/>
    <x v="2"/>
    <x v="24"/>
    <n v="21.01"/>
    <m/>
    <n v="21.01"/>
  </r>
  <r>
    <s v="06/12/2025"/>
    <x v="4"/>
    <x v="4"/>
    <x v="3"/>
    <x v="2"/>
    <x v="26"/>
    <n v="133.02000000000001"/>
    <m/>
    <n v="133.02000000000001"/>
  </r>
  <r>
    <s v="06/15/2025"/>
    <x v="4"/>
    <x v="4"/>
    <x v="3"/>
    <x v="2"/>
    <x v="22"/>
    <n v="12.7"/>
    <m/>
    <n v="12.7"/>
  </r>
  <r>
    <s v="06/18/2025"/>
    <x v="4"/>
    <x v="4"/>
    <x v="3"/>
    <x v="2"/>
    <x v="21"/>
    <n v="159.6"/>
    <m/>
    <n v="159.6"/>
  </r>
  <r>
    <s v="06/29/2025"/>
    <x v="4"/>
    <x v="4"/>
    <x v="3"/>
    <x v="2"/>
    <x v="23"/>
    <n v="12.78"/>
    <m/>
    <n v="12.78"/>
  </r>
  <r>
    <s v="07/02/2025"/>
    <x v="5"/>
    <x v="4"/>
    <x v="3"/>
    <x v="2"/>
    <x v="19"/>
    <n v="13.8"/>
    <m/>
    <n v="13.8"/>
  </r>
  <r>
    <s v="07/04/2025"/>
    <x v="5"/>
    <x v="4"/>
    <x v="3"/>
    <x v="2"/>
    <x v="27"/>
    <n v="116.88"/>
    <m/>
    <n v="116.88"/>
  </r>
  <r>
    <s v="07/08/2025"/>
    <x v="5"/>
    <x v="4"/>
    <x v="3"/>
    <x v="2"/>
    <x v="21"/>
    <n v="21.28"/>
    <m/>
    <n v="21.28"/>
  </r>
  <r>
    <s v="07/11/2025"/>
    <x v="5"/>
    <x v="4"/>
    <x v="3"/>
    <x v="2"/>
    <x v="22"/>
    <n v="12.6"/>
    <m/>
    <n v="12.6"/>
  </r>
  <r>
    <s v="07/12/2025"/>
    <x v="5"/>
    <x v="4"/>
    <x v="3"/>
    <x v="2"/>
    <x v="24"/>
    <n v="21.01"/>
    <m/>
    <n v="21.01"/>
  </r>
  <r>
    <s v="07/15/2025"/>
    <x v="5"/>
    <x v="4"/>
    <x v="3"/>
    <x v="2"/>
    <x v="22"/>
    <n v="12.7"/>
    <m/>
    <n v="12.7"/>
  </r>
  <r>
    <s v="07/18/2025"/>
    <x v="5"/>
    <x v="4"/>
    <x v="3"/>
    <x v="2"/>
    <x v="21"/>
    <n v="159.6"/>
    <m/>
    <n v="159.6"/>
  </r>
  <r>
    <s v="07/19/2025"/>
    <x v="5"/>
    <x v="4"/>
    <x v="3"/>
    <x v="2"/>
    <x v="21"/>
    <n v="5.32"/>
    <m/>
    <n v="5.32"/>
  </r>
  <r>
    <s v="07/29/2025"/>
    <x v="5"/>
    <x v="4"/>
    <x v="3"/>
    <x v="2"/>
    <x v="23"/>
    <n v="12.78"/>
    <m/>
    <n v="12.78"/>
  </r>
  <r>
    <s v="08/02/2025"/>
    <x v="6"/>
    <x v="4"/>
    <x v="3"/>
    <x v="2"/>
    <x v="19"/>
    <n v="13.8"/>
    <m/>
    <n v="13.8"/>
  </r>
  <r>
    <s v="08/02/2025"/>
    <x v="6"/>
    <x v="4"/>
    <x v="3"/>
    <x v="2"/>
    <x v="30"/>
    <n v="137.79"/>
    <m/>
    <n v="137.79"/>
  </r>
  <r>
    <s v="08/04/2025"/>
    <x v="6"/>
    <x v="4"/>
    <x v="3"/>
    <x v="2"/>
    <x v="27"/>
    <n v="121.52"/>
    <m/>
    <n v="121.52"/>
  </r>
  <r>
    <s v="08/11/2025"/>
    <x v="6"/>
    <x v="4"/>
    <x v="3"/>
    <x v="2"/>
    <x v="22"/>
    <n v="12.77"/>
    <m/>
    <n v="12.77"/>
  </r>
  <r>
    <s v="08/12/2025"/>
    <x v="6"/>
    <x v="4"/>
    <x v="3"/>
    <x v="2"/>
    <x v="24"/>
    <n v="21.01"/>
    <m/>
    <n v="21.01"/>
  </r>
  <r>
    <s v="08/15/2025"/>
    <x v="6"/>
    <x v="4"/>
    <x v="3"/>
    <x v="2"/>
    <x v="22"/>
    <n v="12.77"/>
    <m/>
    <n v="12.77"/>
  </r>
  <r>
    <s v="08/18/2025"/>
    <x v="6"/>
    <x v="4"/>
    <x v="3"/>
    <x v="2"/>
    <x v="21"/>
    <n v="159.6"/>
    <m/>
    <n v="159.6"/>
  </r>
  <r>
    <s v="08/29/2025"/>
    <x v="6"/>
    <x v="4"/>
    <x v="3"/>
    <x v="2"/>
    <x v="23"/>
    <n v="12.78"/>
    <m/>
    <n v="12.78"/>
  </r>
  <r>
    <s v="09/02/2025"/>
    <x v="7"/>
    <x v="4"/>
    <x v="3"/>
    <x v="2"/>
    <x v="19"/>
    <n v="13.8"/>
    <m/>
    <n v="13.8"/>
  </r>
  <r>
    <s v="09/04/2025"/>
    <x v="7"/>
    <x v="4"/>
    <x v="3"/>
    <x v="2"/>
    <x v="27"/>
    <n v="121.52"/>
    <m/>
    <n v="121.52"/>
  </r>
  <r>
    <s v="09/11/2025"/>
    <x v="7"/>
    <x v="4"/>
    <x v="3"/>
    <x v="2"/>
    <x v="22"/>
    <n v="12.77"/>
    <m/>
    <n v="12.77"/>
  </r>
  <r>
    <s v="09/11/2025"/>
    <x v="7"/>
    <x v="4"/>
    <x v="3"/>
    <x v="2"/>
    <x v="26"/>
    <n v="44.38"/>
    <m/>
    <n v="44.38"/>
  </r>
  <r>
    <s v="09/12/2025"/>
    <x v="7"/>
    <x v="4"/>
    <x v="3"/>
    <x v="2"/>
    <x v="24"/>
    <n v="21.01"/>
    <m/>
    <n v="21.01"/>
  </r>
  <r>
    <s v="09/15/2025"/>
    <x v="7"/>
    <x v="4"/>
    <x v="3"/>
    <x v="2"/>
    <x v="22"/>
    <n v="12.77"/>
    <m/>
    <n v="12.77"/>
  </r>
  <r>
    <s v="09/18/2025"/>
    <x v="7"/>
    <x v="4"/>
    <x v="3"/>
    <x v="2"/>
    <x v="21"/>
    <n v="159.6"/>
    <m/>
    <n v="159.6"/>
  </r>
  <r>
    <s v="09/27/2025"/>
    <x v="7"/>
    <x v="4"/>
    <x v="3"/>
    <x v="2"/>
    <x v="31"/>
    <n v="212.26"/>
    <m/>
    <n v="212.26"/>
  </r>
  <r>
    <s v="09/29/2025"/>
    <x v="7"/>
    <x v="4"/>
    <x v="3"/>
    <x v="2"/>
    <x v="23"/>
    <n v="12.78"/>
    <m/>
    <n v="12.78"/>
  </r>
  <r>
    <s v="10/02/2025"/>
    <x v="8"/>
    <x v="4"/>
    <x v="3"/>
    <x v="2"/>
    <x v="19"/>
    <n v="13.8"/>
    <m/>
    <n v="13.8"/>
  </r>
  <r>
    <s v="10/04/2025"/>
    <x v="8"/>
    <x v="4"/>
    <x v="3"/>
    <x v="2"/>
    <x v="27"/>
    <n v="138.58000000000001"/>
    <m/>
    <n v="138.58000000000001"/>
  </r>
  <r>
    <s v="10/11/2025"/>
    <x v="8"/>
    <x v="4"/>
    <x v="3"/>
    <x v="2"/>
    <x v="22"/>
    <n v="12.77"/>
    <m/>
    <n v="12.77"/>
  </r>
  <r>
    <s v="10/12/2025"/>
    <x v="8"/>
    <x v="4"/>
    <x v="3"/>
    <x v="2"/>
    <x v="24"/>
    <n v="21.01"/>
    <m/>
    <n v="21.01"/>
  </r>
  <r>
    <s v="10/15/2025"/>
    <x v="8"/>
    <x v="4"/>
    <x v="3"/>
    <x v="2"/>
    <x v="22"/>
    <n v="12.77"/>
    <m/>
    <n v="12.77"/>
  </r>
  <r>
    <s v="10/18/2025"/>
    <x v="8"/>
    <x v="4"/>
    <x v="3"/>
    <x v="2"/>
    <x v="21"/>
    <n v="203.77"/>
    <m/>
    <n v="203.77"/>
  </r>
  <r>
    <s v="10/21/2025"/>
    <x v="8"/>
    <x v="4"/>
    <x v="3"/>
    <x v="2"/>
    <x v="32"/>
    <n v="49.99"/>
    <m/>
    <n v="49.99"/>
  </r>
  <r>
    <s v="10/22/2025"/>
    <x v="8"/>
    <x v="4"/>
    <x v="3"/>
    <x v="2"/>
    <x v="33"/>
    <n v="39"/>
    <m/>
    <n v="39"/>
  </r>
  <r>
    <s v="10/24/2025"/>
    <x v="8"/>
    <x v="4"/>
    <x v="3"/>
    <x v="2"/>
    <x v="33"/>
    <n v="-10"/>
    <m/>
    <n v="-10"/>
  </r>
  <r>
    <s v="10/29/2025"/>
    <x v="8"/>
    <x v="4"/>
    <x v="3"/>
    <x v="2"/>
    <x v="23"/>
    <n v="12.78"/>
    <m/>
    <n v="12.78"/>
  </r>
  <r>
    <s v="11/02/2025"/>
    <x v="9"/>
    <x v="4"/>
    <x v="3"/>
    <x v="2"/>
    <x v="19"/>
    <n v="13.8"/>
    <m/>
    <n v="13.8"/>
  </r>
  <r>
    <s v="11/04/2025"/>
    <x v="9"/>
    <x v="4"/>
    <x v="3"/>
    <x v="2"/>
    <x v="27"/>
    <n v="138.58000000000001"/>
    <m/>
    <n v="138.58000000000001"/>
  </r>
  <r>
    <s v="11/07/2025"/>
    <x v="9"/>
    <x v="4"/>
    <x v="3"/>
    <x v="2"/>
    <x v="34"/>
    <n v="23.66"/>
    <m/>
    <n v="23.66"/>
  </r>
  <r>
    <s v="11/11/2025"/>
    <x v="9"/>
    <x v="4"/>
    <x v="3"/>
    <x v="2"/>
    <x v="22"/>
    <n v="12.77"/>
    <m/>
    <n v="12.77"/>
  </r>
  <r>
    <s v="11/12/2025"/>
    <x v="9"/>
    <x v="4"/>
    <x v="3"/>
    <x v="2"/>
    <x v="24"/>
    <n v="21.01"/>
    <m/>
    <n v="21.01"/>
  </r>
  <r>
    <s v="11/15/2025"/>
    <x v="9"/>
    <x v="4"/>
    <x v="3"/>
    <x v="2"/>
    <x v="22"/>
    <n v="12.77"/>
    <m/>
    <n v="12.77"/>
  </r>
  <r>
    <s v="11/18/2025"/>
    <x v="9"/>
    <x v="4"/>
    <x v="3"/>
    <x v="2"/>
    <x v="21"/>
    <n v="191.52"/>
    <m/>
    <n v="191.52"/>
  </r>
  <r>
    <s v="11/29/2025"/>
    <x v="9"/>
    <x v="4"/>
    <x v="3"/>
    <x v="2"/>
    <x v="23"/>
    <n v="12.78"/>
    <m/>
    <n v="12.78"/>
  </r>
  <r>
    <s v="12/02/2025"/>
    <x v="10"/>
    <x v="4"/>
    <x v="3"/>
    <x v="2"/>
    <x v="19"/>
    <n v="13.8"/>
    <m/>
    <n v="13.8"/>
  </r>
  <r>
    <s v="12/04/2025"/>
    <x v="10"/>
    <x v="4"/>
    <x v="3"/>
    <x v="2"/>
    <x v="27"/>
    <n v="138.58000000000001"/>
    <m/>
    <n v="138.58000000000001"/>
  </r>
  <r>
    <s v="12/11/2025"/>
    <x v="10"/>
    <x v="4"/>
    <x v="3"/>
    <x v="2"/>
    <x v="22"/>
    <n v="12.77"/>
    <m/>
    <n v="12.77"/>
  </r>
  <r>
    <s v="12/12/2025"/>
    <x v="10"/>
    <x v="4"/>
    <x v="3"/>
    <x v="2"/>
    <x v="24"/>
    <n v="21.01"/>
    <m/>
    <n v="21.01"/>
  </r>
  <r>
    <s v="12/15/2025"/>
    <x v="10"/>
    <x v="4"/>
    <x v="3"/>
    <x v="2"/>
    <x v="22"/>
    <n v="12.77"/>
    <m/>
    <n v="12.77"/>
  </r>
  <r>
    <s v="12/18/2025"/>
    <x v="10"/>
    <x v="4"/>
    <x v="3"/>
    <x v="2"/>
    <x v="21"/>
    <n v="191.52"/>
    <m/>
    <n v="191.52"/>
  </r>
  <r>
    <s v="12/29/2025"/>
    <x v="10"/>
    <x v="4"/>
    <x v="3"/>
    <x v="2"/>
    <x v="23"/>
    <n v="12.78"/>
    <m/>
    <n v="12.78"/>
  </r>
  <r>
    <s v="01/30/2025"/>
    <x v="11"/>
    <x v="5"/>
    <x v="1"/>
    <x v="1"/>
    <x v="35"/>
    <n v="36.61"/>
    <m/>
    <n v="36.61"/>
  </r>
  <r>
    <s v="02/16/2025"/>
    <x v="0"/>
    <x v="5"/>
    <x v="1"/>
    <x v="1"/>
    <x v="35"/>
    <n v="37.700000000000003"/>
    <m/>
    <n v="37.700000000000003"/>
  </r>
  <r>
    <s v="02/20/2025"/>
    <x v="0"/>
    <x v="5"/>
    <x v="1"/>
    <x v="1"/>
    <x v="36"/>
    <n v="28.87"/>
    <m/>
    <n v="28.87"/>
  </r>
  <r>
    <s v="03/06/2025"/>
    <x v="1"/>
    <x v="5"/>
    <x v="1"/>
    <x v="1"/>
    <x v="37"/>
    <n v="40.82"/>
    <m/>
    <n v="40.82"/>
  </r>
  <r>
    <s v="03/14/2025"/>
    <x v="1"/>
    <x v="5"/>
    <x v="1"/>
    <x v="1"/>
    <x v="38"/>
    <n v="28.97"/>
    <m/>
    <n v="28.97"/>
  </r>
  <r>
    <s v="03/16/2025"/>
    <x v="1"/>
    <x v="5"/>
    <x v="1"/>
    <x v="1"/>
    <x v="35"/>
    <n v="48.1"/>
    <m/>
    <n v="48.1"/>
  </r>
  <r>
    <s v="03/16/2025"/>
    <x v="1"/>
    <x v="5"/>
    <x v="1"/>
    <x v="1"/>
    <x v="39"/>
    <n v="10.119999999999999"/>
    <m/>
    <n v="10.119999999999999"/>
  </r>
  <r>
    <s v="03/16/2025"/>
    <x v="1"/>
    <x v="5"/>
    <x v="1"/>
    <x v="1"/>
    <x v="40"/>
    <n v="18.36"/>
    <m/>
    <n v="18.36"/>
  </r>
  <r>
    <s v="03/19/2025"/>
    <x v="1"/>
    <x v="5"/>
    <x v="1"/>
    <x v="1"/>
    <x v="36"/>
    <n v="52.95"/>
    <m/>
    <n v="52.95"/>
  </r>
  <r>
    <s v="03/19/2025"/>
    <x v="1"/>
    <x v="5"/>
    <x v="1"/>
    <x v="1"/>
    <x v="36"/>
    <n v="11.82"/>
    <m/>
    <n v="11.82"/>
  </r>
  <r>
    <s v="03/20/2025"/>
    <x v="1"/>
    <x v="5"/>
    <x v="1"/>
    <x v="1"/>
    <x v="35"/>
    <n v="20"/>
    <m/>
    <n v="20"/>
  </r>
  <r>
    <s v="03/23/2025"/>
    <x v="1"/>
    <x v="5"/>
    <x v="1"/>
    <x v="1"/>
    <x v="35"/>
    <n v="-0.2"/>
    <m/>
    <n v="-0.2"/>
  </r>
  <r>
    <s v="03/26/2025"/>
    <x v="1"/>
    <x v="5"/>
    <x v="1"/>
    <x v="1"/>
    <x v="35"/>
    <n v="43.15"/>
    <m/>
    <n v="43.15"/>
  </r>
  <r>
    <s v="04/18/2025"/>
    <x v="2"/>
    <x v="5"/>
    <x v="1"/>
    <x v="1"/>
    <x v="41"/>
    <n v="53.04"/>
    <m/>
    <n v="53.04"/>
  </r>
  <r>
    <s v="04/18/2025"/>
    <x v="2"/>
    <x v="5"/>
    <x v="1"/>
    <x v="1"/>
    <x v="41"/>
    <n v="62.23"/>
    <m/>
    <n v="62.23"/>
  </r>
  <r>
    <s v="04/20/2025"/>
    <x v="2"/>
    <x v="5"/>
    <x v="1"/>
    <x v="1"/>
    <x v="35"/>
    <n v="35.04"/>
    <m/>
    <n v="35.04"/>
  </r>
  <r>
    <s v="04/20/2025"/>
    <x v="2"/>
    <x v="5"/>
    <x v="1"/>
    <x v="1"/>
    <x v="35"/>
    <n v="13.5"/>
    <m/>
    <n v="13.5"/>
  </r>
  <r>
    <s v="05/22/2025"/>
    <x v="3"/>
    <x v="5"/>
    <x v="1"/>
    <x v="1"/>
    <x v="35"/>
    <n v="21.71"/>
    <m/>
    <n v="21.71"/>
  </r>
  <r>
    <s v="07/25/2025"/>
    <x v="5"/>
    <x v="5"/>
    <x v="1"/>
    <x v="1"/>
    <x v="35"/>
    <n v="53.98"/>
    <m/>
    <n v="53.98"/>
  </r>
  <r>
    <s v="08/03/2025"/>
    <x v="6"/>
    <x v="5"/>
    <x v="1"/>
    <x v="1"/>
    <x v="36"/>
    <n v="43.51"/>
    <m/>
    <n v="43.51"/>
  </r>
  <r>
    <s v="08/16/2025"/>
    <x v="6"/>
    <x v="5"/>
    <x v="1"/>
    <x v="1"/>
    <x v="36"/>
    <n v="46.67"/>
    <m/>
    <n v="46.67"/>
  </r>
  <r>
    <s v="08/18/2025"/>
    <x v="6"/>
    <x v="5"/>
    <x v="1"/>
    <x v="1"/>
    <x v="42"/>
    <n v="49.7"/>
    <m/>
    <n v="49.7"/>
  </r>
  <r>
    <s v="08/21/2025"/>
    <x v="6"/>
    <x v="5"/>
    <x v="1"/>
    <x v="1"/>
    <x v="40"/>
    <n v="40"/>
    <m/>
    <n v="40"/>
  </r>
  <r>
    <s v="09/03/2025"/>
    <x v="7"/>
    <x v="5"/>
    <x v="1"/>
    <x v="1"/>
    <x v="35"/>
    <n v="61.85"/>
    <m/>
    <n v="61.85"/>
  </r>
  <r>
    <s v="09/05/2025"/>
    <x v="7"/>
    <x v="5"/>
    <x v="1"/>
    <x v="1"/>
    <x v="43"/>
    <n v="43.27"/>
    <m/>
    <n v="43.27"/>
  </r>
  <r>
    <s v="09/23/2025"/>
    <x v="7"/>
    <x v="5"/>
    <x v="1"/>
    <x v="1"/>
    <x v="35"/>
    <n v="46.97"/>
    <m/>
    <n v="46.97"/>
  </r>
  <r>
    <s v="09/26/2025"/>
    <x v="7"/>
    <x v="5"/>
    <x v="1"/>
    <x v="1"/>
    <x v="35"/>
    <n v="13.04"/>
    <m/>
    <n v="13.04"/>
  </r>
  <r>
    <s v="09/26/2025"/>
    <x v="7"/>
    <x v="5"/>
    <x v="1"/>
    <x v="1"/>
    <x v="35"/>
    <n v="61.35"/>
    <m/>
    <n v="61.35"/>
  </r>
  <r>
    <s v="10/25/2025"/>
    <x v="8"/>
    <x v="5"/>
    <x v="1"/>
    <x v="1"/>
    <x v="36"/>
    <n v="107.95"/>
    <m/>
    <n v="107.95"/>
  </r>
  <r>
    <s v="10/30/2025"/>
    <x v="8"/>
    <x v="5"/>
    <x v="1"/>
    <x v="1"/>
    <x v="36"/>
    <n v="41.49"/>
    <m/>
    <n v="41.49"/>
  </r>
  <r>
    <s v="11/08/2025"/>
    <x v="9"/>
    <x v="5"/>
    <x v="1"/>
    <x v="1"/>
    <x v="35"/>
    <n v="50.02"/>
    <m/>
    <n v="50.02"/>
  </r>
  <r>
    <s v="11/18/2025"/>
    <x v="9"/>
    <x v="5"/>
    <x v="1"/>
    <x v="1"/>
    <x v="35"/>
    <n v="31.05"/>
    <m/>
    <n v="31.05"/>
  </r>
  <r>
    <s v="11/23/2025"/>
    <x v="9"/>
    <x v="5"/>
    <x v="1"/>
    <x v="1"/>
    <x v="35"/>
    <n v="9.2200000000000006"/>
    <m/>
    <n v="9.2200000000000006"/>
  </r>
  <r>
    <s v="11/24/2025"/>
    <x v="9"/>
    <x v="5"/>
    <x v="1"/>
    <x v="1"/>
    <x v="35"/>
    <n v="36.86"/>
    <m/>
    <n v="36.86"/>
  </r>
  <r>
    <s v="11/26/2025"/>
    <x v="9"/>
    <x v="5"/>
    <x v="1"/>
    <x v="1"/>
    <x v="35"/>
    <n v="31.97"/>
    <m/>
    <n v="31.97"/>
  </r>
  <r>
    <s v="11/27/2025"/>
    <x v="9"/>
    <x v="5"/>
    <x v="1"/>
    <x v="1"/>
    <x v="35"/>
    <n v="40.03"/>
    <m/>
    <n v="40.03"/>
  </r>
  <r>
    <s v="12/06/2025"/>
    <x v="10"/>
    <x v="5"/>
    <x v="1"/>
    <x v="1"/>
    <x v="36"/>
    <n v="35.409999999999997"/>
    <m/>
    <n v="35.409999999999997"/>
  </r>
  <r>
    <s v="01/06/2025"/>
    <x v="11"/>
    <x v="6"/>
    <x v="1"/>
    <x v="1"/>
    <x v="44"/>
    <n v="1408.65"/>
    <m/>
    <n v="1408.65"/>
  </r>
  <r>
    <s v="01/08/2025"/>
    <x v="11"/>
    <x v="6"/>
    <x v="1"/>
    <x v="1"/>
    <x v="45"/>
    <n v="51"/>
    <m/>
    <n v="51"/>
  </r>
  <r>
    <s v="01/08/2025"/>
    <x v="11"/>
    <x v="6"/>
    <x v="1"/>
    <x v="1"/>
    <x v="45"/>
    <n v="101.63"/>
    <m/>
    <n v="101.63"/>
  </r>
  <r>
    <s v="01/10/2025"/>
    <x v="11"/>
    <x v="6"/>
    <x v="1"/>
    <x v="1"/>
    <x v="45"/>
    <n v="101.38"/>
    <m/>
    <n v="101.38"/>
  </r>
  <r>
    <s v="01/10/2025"/>
    <x v="11"/>
    <x v="6"/>
    <x v="1"/>
    <x v="1"/>
    <x v="45"/>
    <n v="550"/>
    <m/>
    <n v="550"/>
  </r>
  <r>
    <s v="01/16/2025"/>
    <x v="11"/>
    <x v="6"/>
    <x v="1"/>
    <x v="1"/>
    <x v="46"/>
    <n v="553.47"/>
    <m/>
    <n v="553.47"/>
  </r>
  <r>
    <s v="01/28/2025"/>
    <x v="11"/>
    <x v="6"/>
    <x v="1"/>
    <x v="1"/>
    <x v="44"/>
    <n v="-954.25"/>
    <m/>
    <n v="-954.25"/>
  </r>
  <r>
    <s v="02/13/2025"/>
    <x v="0"/>
    <x v="6"/>
    <x v="1"/>
    <x v="1"/>
    <x v="45"/>
    <n v="101.38"/>
    <m/>
    <n v="101.38"/>
  </r>
  <r>
    <s v="02/13/2025"/>
    <x v="0"/>
    <x v="6"/>
    <x v="1"/>
    <x v="1"/>
    <x v="45"/>
    <n v="550"/>
    <m/>
    <n v="550"/>
  </r>
  <r>
    <s v="02/13/2025"/>
    <x v="0"/>
    <x v="6"/>
    <x v="1"/>
    <x v="1"/>
    <x v="45"/>
    <n v="51"/>
    <m/>
    <n v="51"/>
  </r>
  <r>
    <s v="02/13/2025"/>
    <x v="0"/>
    <x v="6"/>
    <x v="1"/>
    <x v="1"/>
    <x v="45"/>
    <n v="101.63"/>
    <m/>
    <n v="101.63"/>
  </r>
  <r>
    <s v="02/13/2025"/>
    <x v="0"/>
    <x v="6"/>
    <x v="1"/>
    <x v="1"/>
    <x v="46"/>
    <n v="518.47"/>
    <m/>
    <n v="518.47"/>
  </r>
  <r>
    <s v="03/12/2025"/>
    <x v="1"/>
    <x v="6"/>
    <x v="1"/>
    <x v="1"/>
    <x v="46"/>
    <n v="518.47"/>
    <m/>
    <n v="518.47"/>
  </r>
  <r>
    <s v="03/13/2025"/>
    <x v="1"/>
    <x v="6"/>
    <x v="1"/>
    <x v="1"/>
    <x v="45"/>
    <n v="101.63"/>
    <m/>
    <n v="101.63"/>
  </r>
  <r>
    <s v="03/13/2025"/>
    <x v="1"/>
    <x v="6"/>
    <x v="1"/>
    <x v="1"/>
    <x v="45"/>
    <n v="51"/>
    <m/>
    <n v="51"/>
  </r>
  <r>
    <s v="03/13/2025"/>
    <x v="1"/>
    <x v="6"/>
    <x v="1"/>
    <x v="1"/>
    <x v="45"/>
    <n v="550"/>
    <m/>
    <n v="550"/>
  </r>
  <r>
    <s v="03/13/2025"/>
    <x v="1"/>
    <x v="6"/>
    <x v="1"/>
    <x v="1"/>
    <x v="45"/>
    <n v="101.38"/>
    <m/>
    <n v="101.38"/>
  </r>
  <r>
    <s v="03/25/2025"/>
    <x v="1"/>
    <x v="6"/>
    <x v="1"/>
    <x v="1"/>
    <x v="47"/>
    <n v="6931.2"/>
    <m/>
    <n v="6931.2"/>
  </r>
  <r>
    <s v="04/14/2025"/>
    <x v="2"/>
    <x v="6"/>
    <x v="1"/>
    <x v="1"/>
    <x v="46"/>
    <n v="518.47"/>
    <m/>
    <n v="518.47"/>
  </r>
  <r>
    <s v="04/15/2025"/>
    <x v="2"/>
    <x v="6"/>
    <x v="1"/>
    <x v="1"/>
    <x v="45"/>
    <n v="101.38"/>
    <m/>
    <n v="101.38"/>
  </r>
  <r>
    <s v="04/15/2025"/>
    <x v="2"/>
    <x v="6"/>
    <x v="1"/>
    <x v="1"/>
    <x v="45"/>
    <n v="550"/>
    <m/>
    <n v="550"/>
  </r>
  <r>
    <s v="04/15/2025"/>
    <x v="2"/>
    <x v="6"/>
    <x v="1"/>
    <x v="1"/>
    <x v="45"/>
    <n v="51"/>
    <m/>
    <n v="51"/>
  </r>
  <r>
    <s v="04/15/2025"/>
    <x v="2"/>
    <x v="6"/>
    <x v="1"/>
    <x v="1"/>
    <x v="45"/>
    <n v="101.63"/>
    <m/>
    <n v="101.63"/>
  </r>
  <r>
    <s v="05/07/2025"/>
    <x v="3"/>
    <x v="6"/>
    <x v="1"/>
    <x v="1"/>
    <x v="47"/>
    <n v="2805.56"/>
    <m/>
    <n v="2805.56"/>
  </r>
  <r>
    <s v="05/14/2025"/>
    <x v="3"/>
    <x v="6"/>
    <x v="1"/>
    <x v="1"/>
    <x v="45"/>
    <n v="101.38"/>
    <m/>
    <n v="101.38"/>
  </r>
  <r>
    <s v="05/14/2025"/>
    <x v="3"/>
    <x v="6"/>
    <x v="1"/>
    <x v="1"/>
    <x v="45"/>
    <n v="101.63"/>
    <m/>
    <n v="101.63"/>
  </r>
  <r>
    <s v="05/14/2025"/>
    <x v="3"/>
    <x v="6"/>
    <x v="1"/>
    <x v="1"/>
    <x v="46"/>
    <n v="518.47"/>
    <m/>
    <n v="518.47"/>
  </r>
  <r>
    <s v="05/14/2025"/>
    <x v="3"/>
    <x v="6"/>
    <x v="1"/>
    <x v="1"/>
    <x v="45"/>
    <n v="550"/>
    <m/>
    <n v="550"/>
  </r>
  <r>
    <s v="05/14/2025"/>
    <x v="3"/>
    <x v="6"/>
    <x v="1"/>
    <x v="1"/>
    <x v="45"/>
    <n v="51"/>
    <m/>
    <n v="51"/>
  </r>
  <r>
    <s v="05/20/2025"/>
    <x v="3"/>
    <x v="6"/>
    <x v="1"/>
    <x v="1"/>
    <x v="47"/>
    <n v="2657.68"/>
    <m/>
    <n v="2657.68"/>
  </r>
  <r>
    <s v="06/12/2025"/>
    <x v="4"/>
    <x v="6"/>
    <x v="1"/>
    <x v="1"/>
    <x v="46"/>
    <n v="518.47"/>
    <m/>
    <n v="518.47"/>
  </r>
  <r>
    <s v="06/13/2025"/>
    <x v="4"/>
    <x v="6"/>
    <x v="1"/>
    <x v="1"/>
    <x v="45"/>
    <n v="550"/>
    <m/>
    <n v="550"/>
  </r>
  <r>
    <s v="06/13/2025"/>
    <x v="4"/>
    <x v="6"/>
    <x v="1"/>
    <x v="1"/>
    <x v="45"/>
    <n v="51"/>
    <m/>
    <n v="51"/>
  </r>
  <r>
    <s v="06/13/2025"/>
    <x v="4"/>
    <x v="6"/>
    <x v="1"/>
    <x v="1"/>
    <x v="45"/>
    <n v="101.63"/>
    <m/>
    <n v="101.63"/>
  </r>
  <r>
    <s v="06/13/2025"/>
    <x v="4"/>
    <x v="6"/>
    <x v="1"/>
    <x v="1"/>
    <x v="45"/>
    <n v="101.38"/>
    <m/>
    <n v="101.38"/>
  </r>
  <r>
    <s v="06/20/2025"/>
    <x v="4"/>
    <x v="6"/>
    <x v="1"/>
    <x v="1"/>
    <x v="47"/>
    <n v="2657.68"/>
    <m/>
    <n v="2657.68"/>
  </r>
  <r>
    <s v="07/14/2025"/>
    <x v="5"/>
    <x v="6"/>
    <x v="1"/>
    <x v="1"/>
    <x v="46"/>
    <n v="518.47"/>
    <m/>
    <n v="518.47"/>
  </r>
  <r>
    <s v="07/15/2025"/>
    <x v="5"/>
    <x v="6"/>
    <x v="1"/>
    <x v="1"/>
    <x v="45"/>
    <n v="101.38"/>
    <m/>
    <n v="101.38"/>
  </r>
  <r>
    <s v="07/15/2025"/>
    <x v="5"/>
    <x v="6"/>
    <x v="1"/>
    <x v="1"/>
    <x v="45"/>
    <n v="51"/>
    <m/>
    <n v="51"/>
  </r>
  <r>
    <s v="07/15/2025"/>
    <x v="5"/>
    <x v="6"/>
    <x v="1"/>
    <x v="1"/>
    <x v="45"/>
    <n v="550"/>
    <m/>
    <n v="550"/>
  </r>
  <r>
    <s v="07/15/2025"/>
    <x v="5"/>
    <x v="6"/>
    <x v="1"/>
    <x v="1"/>
    <x v="45"/>
    <n v="101.63"/>
    <m/>
    <n v="101.63"/>
  </r>
  <r>
    <s v="07/21/2025"/>
    <x v="5"/>
    <x v="6"/>
    <x v="1"/>
    <x v="1"/>
    <x v="47"/>
    <n v="2445.7800000000002"/>
    <m/>
    <n v="2445.7800000000002"/>
  </r>
  <r>
    <s v="08/01/2025"/>
    <x v="6"/>
    <x v="6"/>
    <x v="1"/>
    <x v="1"/>
    <x v="48"/>
    <n v="600"/>
    <m/>
    <n v="600"/>
  </r>
  <r>
    <s v="08/04/2025"/>
    <x v="6"/>
    <x v="6"/>
    <x v="1"/>
    <x v="1"/>
    <x v="46"/>
    <n v="-234.15"/>
    <m/>
    <n v="-234.15"/>
  </r>
  <r>
    <s v="08/11/2025"/>
    <x v="6"/>
    <x v="6"/>
    <x v="1"/>
    <x v="1"/>
    <x v="49"/>
    <n v="1326.01"/>
    <m/>
    <n v="1326.01"/>
  </r>
  <r>
    <s v="08/19/2025"/>
    <x v="6"/>
    <x v="6"/>
    <x v="1"/>
    <x v="1"/>
    <x v="47"/>
    <n v="2445.7800000000002"/>
    <m/>
    <n v="2445.7800000000002"/>
  </r>
  <r>
    <s v="08/22/2025"/>
    <x v="6"/>
    <x v="6"/>
    <x v="1"/>
    <x v="1"/>
    <x v="49"/>
    <n v="1705.89"/>
    <m/>
    <n v="1705.89"/>
  </r>
  <r>
    <s v="09/05/2025"/>
    <x v="7"/>
    <x v="6"/>
    <x v="1"/>
    <x v="1"/>
    <x v="49"/>
    <n v="1705.89"/>
    <m/>
    <n v="1705.89"/>
  </r>
  <r>
    <s v="09/10/2025"/>
    <x v="7"/>
    <x v="6"/>
    <x v="1"/>
    <x v="1"/>
    <x v="47"/>
    <n v="423.8"/>
    <m/>
    <n v="423.8"/>
  </r>
  <r>
    <s v="09/17/2025"/>
    <x v="7"/>
    <x v="6"/>
    <x v="1"/>
    <x v="1"/>
    <x v="49"/>
    <n v="1326.01"/>
    <m/>
    <n v="1326.01"/>
  </r>
  <r>
    <s v="09/19/2025"/>
    <x v="7"/>
    <x v="6"/>
    <x v="1"/>
    <x v="1"/>
    <x v="47"/>
    <n v="2678.87"/>
    <m/>
    <n v="2678.87"/>
  </r>
  <r>
    <s v="09/19/2025"/>
    <x v="7"/>
    <x v="6"/>
    <x v="1"/>
    <x v="1"/>
    <x v="50"/>
    <n v="375"/>
    <m/>
    <n v="375"/>
  </r>
  <r>
    <s v="10/03/2025"/>
    <x v="8"/>
    <x v="6"/>
    <x v="1"/>
    <x v="1"/>
    <x v="50"/>
    <n v="375"/>
    <m/>
    <n v="375"/>
  </r>
  <r>
    <s v="10/15/2025"/>
    <x v="8"/>
    <x v="6"/>
    <x v="1"/>
    <x v="1"/>
    <x v="49"/>
    <n v="1326.01"/>
    <m/>
    <n v="1326.01"/>
  </r>
  <r>
    <s v="10/17/2025"/>
    <x v="8"/>
    <x v="6"/>
    <x v="1"/>
    <x v="1"/>
    <x v="50"/>
    <n v="375"/>
    <m/>
    <n v="375"/>
  </r>
  <r>
    <s v="10/17/2025"/>
    <x v="8"/>
    <x v="6"/>
    <x v="1"/>
    <x v="1"/>
    <x v="49"/>
    <n v="1705.89"/>
    <m/>
    <n v="1705.89"/>
  </r>
  <r>
    <s v="10/21/2025"/>
    <x v="8"/>
    <x v="6"/>
    <x v="1"/>
    <x v="1"/>
    <x v="47"/>
    <n v="2657.68"/>
    <m/>
    <n v="2657.68"/>
  </r>
  <r>
    <s v="10/31/2025"/>
    <x v="8"/>
    <x v="6"/>
    <x v="1"/>
    <x v="1"/>
    <x v="50"/>
    <n v="375"/>
    <m/>
    <n v="375"/>
  </r>
  <r>
    <s v="11/13/2025"/>
    <x v="9"/>
    <x v="6"/>
    <x v="1"/>
    <x v="1"/>
    <x v="49"/>
    <n v="1326.01"/>
    <m/>
    <n v="1326.01"/>
  </r>
  <r>
    <s v="11/14/2025"/>
    <x v="9"/>
    <x v="6"/>
    <x v="1"/>
    <x v="1"/>
    <x v="49"/>
    <n v="1705.89"/>
    <m/>
    <n v="1705.89"/>
  </r>
  <r>
    <s v="11/14/2025"/>
    <x v="9"/>
    <x v="6"/>
    <x v="1"/>
    <x v="1"/>
    <x v="50"/>
    <n v="375"/>
    <m/>
    <n v="375"/>
  </r>
  <r>
    <s v="11/15/2025"/>
    <x v="9"/>
    <x v="6"/>
    <x v="1"/>
    <x v="1"/>
    <x v="50"/>
    <n v="47.5"/>
    <m/>
    <n v="47.5"/>
  </r>
  <r>
    <s v="11/19/2025"/>
    <x v="9"/>
    <x v="6"/>
    <x v="1"/>
    <x v="1"/>
    <x v="47"/>
    <n v="2657.68"/>
    <m/>
    <n v="2657.68"/>
  </r>
  <r>
    <s v="11/28/2025"/>
    <x v="9"/>
    <x v="6"/>
    <x v="1"/>
    <x v="1"/>
    <x v="50"/>
    <n v="375"/>
    <m/>
    <n v="375"/>
  </r>
  <r>
    <s v="12/09/2025"/>
    <x v="10"/>
    <x v="6"/>
    <x v="1"/>
    <x v="1"/>
    <x v="49"/>
    <n v="1705.89"/>
    <m/>
    <n v="1705.89"/>
  </r>
  <r>
    <s v="12/12/2025"/>
    <x v="10"/>
    <x v="6"/>
    <x v="1"/>
    <x v="1"/>
    <x v="50"/>
    <n v="375"/>
    <m/>
    <n v="375"/>
  </r>
  <r>
    <s v="12/15/2025"/>
    <x v="10"/>
    <x v="6"/>
    <x v="1"/>
    <x v="1"/>
    <x v="49"/>
    <n v="1326.01"/>
    <m/>
    <n v="1326.01"/>
  </r>
  <r>
    <s v="12/15/2025"/>
    <x v="10"/>
    <x v="6"/>
    <x v="1"/>
    <x v="1"/>
    <x v="50"/>
    <n v="47.5"/>
    <m/>
    <n v="47.5"/>
  </r>
  <r>
    <s v="12/19/2025"/>
    <x v="10"/>
    <x v="6"/>
    <x v="1"/>
    <x v="1"/>
    <x v="47"/>
    <n v="2657.68"/>
    <m/>
    <n v="2657.68"/>
  </r>
  <r>
    <s v="12/26/2025"/>
    <x v="10"/>
    <x v="6"/>
    <x v="1"/>
    <x v="1"/>
    <x v="50"/>
    <n v="375"/>
    <m/>
    <n v="375"/>
  </r>
  <r>
    <s v="09/02/2025"/>
    <x v="7"/>
    <x v="7"/>
    <x v="0"/>
    <x v="0"/>
    <x v="2"/>
    <n v="2360.4"/>
    <m/>
    <n v="2360.4"/>
  </r>
  <r>
    <s v="10/01/2025"/>
    <x v="8"/>
    <x v="7"/>
    <x v="0"/>
    <x v="0"/>
    <x v="2"/>
    <n v="2360.4"/>
    <m/>
    <n v="2360.4"/>
  </r>
  <r>
    <s v="11/03/2025"/>
    <x v="9"/>
    <x v="7"/>
    <x v="0"/>
    <x v="0"/>
    <x v="2"/>
    <n v="2360.4"/>
    <m/>
    <n v="2360.4"/>
  </r>
  <r>
    <s v="12/01/2025"/>
    <x v="10"/>
    <x v="7"/>
    <x v="0"/>
    <x v="0"/>
    <x v="2"/>
    <n v="2360.4"/>
    <m/>
    <n v="2360.4"/>
  </r>
  <r>
    <s v="12/31/2025"/>
    <x v="10"/>
    <x v="7"/>
    <x v="0"/>
    <x v="0"/>
    <x v="2"/>
    <n v="2360.4"/>
    <m/>
    <n v="2360.4"/>
  </r>
  <r>
    <s v="01/19/2025"/>
    <x v="11"/>
    <x v="8"/>
    <x v="3"/>
    <x v="2"/>
    <x v="51"/>
    <n v="31.92"/>
    <m/>
    <n v="31.92"/>
  </r>
  <r>
    <s v="02/19/2025"/>
    <x v="0"/>
    <x v="8"/>
    <x v="3"/>
    <x v="2"/>
    <x v="51"/>
    <n v="31.92"/>
    <m/>
    <n v="31.92"/>
  </r>
  <r>
    <s v="04/09/2025"/>
    <x v="2"/>
    <x v="8"/>
    <x v="3"/>
    <x v="2"/>
    <x v="52"/>
    <n v="227.68"/>
    <m/>
    <n v="227.68"/>
  </r>
  <r>
    <s v="05/13/2025"/>
    <x v="3"/>
    <x v="8"/>
    <x v="3"/>
    <x v="2"/>
    <x v="52"/>
    <n v="274.94"/>
    <m/>
    <n v="274.94"/>
  </r>
  <r>
    <s v="06/11/2025"/>
    <x v="4"/>
    <x v="8"/>
    <x v="3"/>
    <x v="2"/>
    <x v="52"/>
    <n v="275.52999999999997"/>
    <m/>
    <n v="275.52999999999997"/>
  </r>
  <r>
    <s v="06/19/2025"/>
    <x v="4"/>
    <x v="8"/>
    <x v="3"/>
    <x v="2"/>
    <x v="53"/>
    <n v="149.19"/>
    <m/>
    <n v="149.19"/>
  </r>
  <r>
    <s v="06/23/2025"/>
    <x v="4"/>
    <x v="8"/>
    <x v="3"/>
    <x v="2"/>
    <x v="51"/>
    <n v="85.12"/>
    <m/>
    <n v="85.12"/>
  </r>
  <r>
    <s v="07/03/2025"/>
    <x v="5"/>
    <x v="8"/>
    <x v="3"/>
    <x v="2"/>
    <x v="54"/>
    <n v="1188"/>
    <m/>
    <n v="1188"/>
  </r>
  <r>
    <s v="07/11/2025"/>
    <x v="5"/>
    <x v="8"/>
    <x v="3"/>
    <x v="2"/>
    <x v="52"/>
    <n v="303.7"/>
    <m/>
    <n v="303.7"/>
  </r>
  <r>
    <s v="07/19/2025"/>
    <x v="5"/>
    <x v="8"/>
    <x v="3"/>
    <x v="2"/>
    <x v="53"/>
    <n v="149.19"/>
    <m/>
    <n v="149.19"/>
  </r>
  <r>
    <s v="07/23/2025"/>
    <x v="5"/>
    <x v="8"/>
    <x v="3"/>
    <x v="2"/>
    <x v="51"/>
    <n v="85.12"/>
    <m/>
    <n v="85.12"/>
  </r>
  <r>
    <s v="08/08/2025"/>
    <x v="6"/>
    <x v="8"/>
    <x v="3"/>
    <x v="2"/>
    <x v="52"/>
    <n v="277.3"/>
    <m/>
    <n v="277.3"/>
  </r>
  <r>
    <s v="08/19/2025"/>
    <x v="6"/>
    <x v="8"/>
    <x v="3"/>
    <x v="2"/>
    <x v="53"/>
    <n v="149.19"/>
    <m/>
    <n v="149.19"/>
  </r>
  <r>
    <s v="08/23/2025"/>
    <x v="6"/>
    <x v="8"/>
    <x v="3"/>
    <x v="2"/>
    <x v="51"/>
    <n v="85.12"/>
    <m/>
    <n v="85.12"/>
  </r>
  <r>
    <s v="09/13/2025"/>
    <x v="7"/>
    <x v="8"/>
    <x v="3"/>
    <x v="2"/>
    <x v="52"/>
    <n v="283.79000000000002"/>
    <m/>
    <n v="283.79000000000002"/>
  </r>
  <r>
    <s v="09/17/2025"/>
    <x v="7"/>
    <x v="8"/>
    <x v="3"/>
    <x v="2"/>
    <x v="53"/>
    <n v="4.49"/>
    <m/>
    <n v="4.49"/>
  </r>
  <r>
    <s v="09/19/2025"/>
    <x v="7"/>
    <x v="8"/>
    <x v="3"/>
    <x v="2"/>
    <x v="53"/>
    <n v="213.15"/>
    <m/>
    <n v="213.15"/>
  </r>
  <r>
    <s v="09/23/2025"/>
    <x v="7"/>
    <x v="8"/>
    <x v="3"/>
    <x v="2"/>
    <x v="51"/>
    <n v="85.12"/>
    <m/>
    <n v="85.12"/>
  </r>
  <r>
    <s v="10/08/2025"/>
    <x v="8"/>
    <x v="8"/>
    <x v="3"/>
    <x v="2"/>
    <x v="52"/>
    <n v="284.38"/>
    <m/>
    <n v="284.38"/>
  </r>
  <r>
    <s v="10/19/2025"/>
    <x v="8"/>
    <x v="8"/>
    <x v="3"/>
    <x v="2"/>
    <x v="53"/>
    <n v="213.15"/>
    <m/>
    <n v="213.15"/>
  </r>
  <r>
    <s v="10/23/2025"/>
    <x v="8"/>
    <x v="8"/>
    <x v="3"/>
    <x v="2"/>
    <x v="51"/>
    <n v="85.12"/>
    <m/>
    <n v="85.12"/>
  </r>
  <r>
    <s v="11/07/2025"/>
    <x v="9"/>
    <x v="8"/>
    <x v="3"/>
    <x v="2"/>
    <x v="52"/>
    <n v="284.97000000000003"/>
    <m/>
    <n v="284.97000000000003"/>
  </r>
  <r>
    <s v="11/19/2025"/>
    <x v="9"/>
    <x v="8"/>
    <x v="3"/>
    <x v="2"/>
    <x v="53"/>
    <n v="213.15"/>
    <m/>
    <n v="213.15"/>
  </r>
  <r>
    <s v="11/23/2025"/>
    <x v="9"/>
    <x v="8"/>
    <x v="3"/>
    <x v="2"/>
    <x v="51"/>
    <n v="42.56"/>
    <m/>
    <n v="42.56"/>
  </r>
  <r>
    <s v="12/19/2025"/>
    <x v="10"/>
    <x v="8"/>
    <x v="3"/>
    <x v="2"/>
    <x v="53"/>
    <n v="213.15"/>
    <m/>
    <n v="213.15"/>
  </r>
  <r>
    <s v="12/23/2025"/>
    <x v="10"/>
    <x v="8"/>
    <x v="3"/>
    <x v="2"/>
    <x v="51"/>
    <n v="42.56"/>
    <m/>
    <n v="42.56"/>
  </r>
  <r>
    <s v="01/13/2025"/>
    <x v="11"/>
    <x v="9"/>
    <x v="1"/>
    <x v="1"/>
    <x v="55"/>
    <n v="100"/>
    <m/>
    <n v="100"/>
  </r>
  <r>
    <s v="03/12/2025"/>
    <x v="1"/>
    <x v="9"/>
    <x v="1"/>
    <x v="1"/>
    <x v="55"/>
    <n v="1000"/>
    <m/>
    <n v="1000"/>
  </r>
  <r>
    <s v="04/09/2025"/>
    <x v="2"/>
    <x v="9"/>
    <x v="1"/>
    <x v="1"/>
    <x v="56"/>
    <n v="222"/>
    <m/>
    <n v="222"/>
  </r>
  <r>
    <s v="04/10/2025"/>
    <x v="2"/>
    <x v="9"/>
    <x v="1"/>
    <x v="1"/>
    <x v="55"/>
    <n v="225"/>
    <m/>
    <n v="225"/>
  </r>
  <r>
    <s v="06/05/2025"/>
    <x v="4"/>
    <x v="9"/>
    <x v="1"/>
    <x v="1"/>
    <x v="55"/>
    <n v="2000"/>
    <m/>
    <n v="2000"/>
  </r>
  <r>
    <s v="06/05/2025"/>
    <x v="4"/>
    <x v="3"/>
    <x v="1"/>
    <x v="1"/>
    <x v="15"/>
    <n v="2000"/>
    <m/>
    <n v="2000"/>
  </r>
  <r>
    <s v="06/24/2025"/>
    <x v="4"/>
    <x v="9"/>
    <x v="1"/>
    <x v="1"/>
    <x v="57"/>
    <n v="3590.66"/>
    <m/>
    <n v="3590.66"/>
  </r>
  <r>
    <s v="06/25/2025"/>
    <x v="4"/>
    <x v="9"/>
    <x v="1"/>
    <x v="1"/>
    <x v="55"/>
    <n v="2000"/>
    <m/>
    <n v="2000"/>
  </r>
  <r>
    <s v="07/15/2025"/>
    <x v="5"/>
    <x v="9"/>
    <x v="1"/>
    <x v="1"/>
    <x v="57"/>
    <n v="3588.69"/>
    <m/>
    <n v="3588.69"/>
  </r>
  <r>
    <s v="07/25/2025"/>
    <x v="5"/>
    <x v="9"/>
    <x v="1"/>
    <x v="1"/>
    <x v="58"/>
    <n v="1069.5899999999999"/>
    <m/>
    <n v="1069.5899999999999"/>
  </r>
  <r>
    <s v="08/11/2025"/>
    <x v="6"/>
    <x v="9"/>
    <x v="1"/>
    <x v="1"/>
    <x v="57"/>
    <n v="7036.47"/>
    <m/>
    <n v="7036.47"/>
  </r>
  <r>
    <s v="08/11/2025"/>
    <x v="6"/>
    <x v="9"/>
    <x v="1"/>
    <x v="1"/>
    <x v="58"/>
    <n v="474.96"/>
    <m/>
    <n v="474.96"/>
  </r>
  <r>
    <s v="09/02/2025"/>
    <x v="7"/>
    <x v="9"/>
    <x v="1"/>
    <x v="1"/>
    <x v="59"/>
    <n v="2250"/>
    <m/>
    <n v="2250"/>
  </r>
  <r>
    <s v="09/16/2025"/>
    <x v="7"/>
    <x v="9"/>
    <x v="1"/>
    <x v="1"/>
    <x v="57"/>
    <n v="7009.26"/>
    <m/>
    <n v="7009.26"/>
  </r>
  <r>
    <s v="09/16/2025"/>
    <x v="7"/>
    <x v="9"/>
    <x v="1"/>
    <x v="1"/>
    <x v="59"/>
    <n v="5250"/>
    <m/>
    <n v="5250"/>
  </r>
  <r>
    <s v="09/25/2025"/>
    <x v="7"/>
    <x v="9"/>
    <x v="1"/>
    <x v="1"/>
    <x v="58"/>
    <n v="752.74"/>
    <m/>
    <n v="752.74"/>
  </r>
  <r>
    <s v="10/16/2025"/>
    <x v="8"/>
    <x v="9"/>
    <x v="1"/>
    <x v="1"/>
    <x v="57"/>
    <n v="7026.75"/>
    <m/>
    <n v="7026.75"/>
  </r>
  <r>
    <s v="11/14/2025"/>
    <x v="9"/>
    <x v="9"/>
    <x v="1"/>
    <x v="1"/>
    <x v="57"/>
    <n v="7765.68"/>
    <m/>
    <n v="7765.68"/>
  </r>
  <r>
    <s v="12/01/2025"/>
    <x v="10"/>
    <x v="9"/>
    <x v="1"/>
    <x v="1"/>
    <x v="58"/>
    <n v="1061.8599999999999"/>
    <m/>
    <n v="1061.8599999999999"/>
  </r>
  <r>
    <s v="12/24/2025"/>
    <x v="10"/>
    <x v="9"/>
    <x v="1"/>
    <x v="1"/>
    <x v="57"/>
    <n v="8032.22"/>
    <m/>
    <n v="8032.22"/>
  </r>
  <r>
    <s v="10/08/2025"/>
    <x v="8"/>
    <x v="10"/>
    <x v="4"/>
    <x v="1"/>
    <x v="60"/>
    <n v="19.440000000000001"/>
    <m/>
    <n v="19.440000000000001"/>
  </r>
  <r>
    <s v="10/09/2025"/>
    <x v="8"/>
    <x v="10"/>
    <x v="4"/>
    <x v="1"/>
    <x v="61"/>
    <n v="406.28"/>
    <m/>
    <n v="406.28"/>
  </r>
  <r>
    <s v="10/09/2025"/>
    <x v="8"/>
    <x v="10"/>
    <x v="4"/>
    <x v="1"/>
    <x v="61"/>
    <n v="406.28"/>
    <m/>
    <n v="406.28"/>
  </r>
  <r>
    <s v="01/10/2025"/>
    <x v="11"/>
    <x v="11"/>
    <x v="5"/>
    <x v="1"/>
    <x v="62"/>
    <n v="9616.0400000000009"/>
    <m/>
    <n v="9616.0400000000009"/>
  </r>
  <r>
    <s v="01/14/2025"/>
    <x v="11"/>
    <x v="11"/>
    <x v="5"/>
    <x v="1"/>
    <x v="62"/>
    <n v="840"/>
    <m/>
    <n v="840"/>
  </r>
  <r>
    <s v="01/24/2025"/>
    <x v="11"/>
    <x v="11"/>
    <x v="5"/>
    <x v="1"/>
    <x v="62"/>
    <n v="9616.0499999999993"/>
    <m/>
    <n v="9616.0499999999993"/>
  </r>
  <r>
    <s v="01/28/2025"/>
    <x v="11"/>
    <x v="11"/>
    <x v="5"/>
    <x v="1"/>
    <x v="62"/>
    <n v="840"/>
    <m/>
    <n v="840"/>
  </r>
  <r>
    <s v="02/07/2025"/>
    <x v="0"/>
    <x v="11"/>
    <x v="5"/>
    <x v="1"/>
    <x v="62"/>
    <n v="14116.36"/>
    <m/>
    <n v="14116.36"/>
  </r>
  <r>
    <s v="02/11/2025"/>
    <x v="0"/>
    <x v="11"/>
    <x v="5"/>
    <x v="1"/>
    <x v="62"/>
    <n v="840"/>
    <m/>
    <n v="840"/>
  </r>
  <r>
    <s v="02/21/2025"/>
    <x v="0"/>
    <x v="11"/>
    <x v="5"/>
    <x v="1"/>
    <x v="62"/>
    <n v="14116.37"/>
    <m/>
    <n v="14116.37"/>
  </r>
  <r>
    <s v="02/25/2025"/>
    <x v="0"/>
    <x v="11"/>
    <x v="5"/>
    <x v="1"/>
    <x v="62"/>
    <n v="840"/>
    <m/>
    <n v="840"/>
  </r>
  <r>
    <s v="03/10/2025"/>
    <x v="1"/>
    <x v="11"/>
    <x v="5"/>
    <x v="1"/>
    <x v="62"/>
    <n v="10366.36"/>
    <m/>
    <n v="10366.36"/>
  </r>
  <r>
    <s v="03/11/2025"/>
    <x v="1"/>
    <x v="11"/>
    <x v="5"/>
    <x v="1"/>
    <x v="62"/>
    <n v="840"/>
    <m/>
    <n v="840"/>
  </r>
  <r>
    <s v="03/21/2025"/>
    <x v="1"/>
    <x v="11"/>
    <x v="5"/>
    <x v="1"/>
    <x v="62"/>
    <n v="10366.370000000001"/>
    <m/>
    <n v="10366.370000000001"/>
  </r>
  <r>
    <s v="03/25/2025"/>
    <x v="1"/>
    <x v="11"/>
    <x v="5"/>
    <x v="1"/>
    <x v="62"/>
    <n v="840"/>
    <m/>
    <n v="840"/>
  </r>
  <r>
    <s v="04/04/2025"/>
    <x v="2"/>
    <x v="11"/>
    <x v="5"/>
    <x v="1"/>
    <x v="62"/>
    <n v="10366.36"/>
    <m/>
    <n v="10366.36"/>
  </r>
  <r>
    <s v="04/08/2025"/>
    <x v="2"/>
    <x v="11"/>
    <x v="5"/>
    <x v="1"/>
    <x v="62"/>
    <n v="840"/>
    <m/>
    <n v="840"/>
  </r>
  <r>
    <s v="04/18/2025"/>
    <x v="2"/>
    <x v="11"/>
    <x v="5"/>
    <x v="1"/>
    <x v="62"/>
    <n v="10366.370000000001"/>
    <m/>
    <n v="10366.370000000001"/>
  </r>
  <r>
    <s v="04/23/2025"/>
    <x v="2"/>
    <x v="11"/>
    <x v="5"/>
    <x v="1"/>
    <x v="62"/>
    <n v="840"/>
    <m/>
    <n v="840"/>
  </r>
  <r>
    <s v="05/02/2025"/>
    <x v="3"/>
    <x v="11"/>
    <x v="5"/>
    <x v="1"/>
    <x v="62"/>
    <n v="10366.36"/>
    <m/>
    <n v="10366.36"/>
  </r>
  <r>
    <s v="05/06/2025"/>
    <x v="3"/>
    <x v="11"/>
    <x v="5"/>
    <x v="1"/>
    <x v="62"/>
    <n v="840"/>
    <m/>
    <n v="840"/>
  </r>
  <r>
    <s v="05/16/2025"/>
    <x v="3"/>
    <x v="11"/>
    <x v="5"/>
    <x v="1"/>
    <x v="62"/>
    <n v="10366.370000000001"/>
    <m/>
    <n v="10366.370000000001"/>
  </r>
  <r>
    <s v="05/20/2025"/>
    <x v="3"/>
    <x v="11"/>
    <x v="5"/>
    <x v="1"/>
    <x v="62"/>
    <n v="840"/>
    <m/>
    <n v="840"/>
  </r>
  <r>
    <s v="06/02/2025"/>
    <x v="4"/>
    <x v="11"/>
    <x v="5"/>
    <x v="1"/>
    <x v="62"/>
    <n v="16190.36"/>
    <m/>
    <n v="16190.36"/>
  </r>
  <r>
    <s v="06/04/2025"/>
    <x v="4"/>
    <x v="11"/>
    <x v="5"/>
    <x v="1"/>
    <x v="62"/>
    <n v="840"/>
    <m/>
    <n v="840"/>
  </r>
  <r>
    <s v="06/13/2025"/>
    <x v="4"/>
    <x v="11"/>
    <x v="5"/>
    <x v="1"/>
    <x v="62"/>
    <n v="12494.37"/>
    <m/>
    <n v="12494.37"/>
  </r>
  <r>
    <s v="06/17/2025"/>
    <x v="4"/>
    <x v="11"/>
    <x v="5"/>
    <x v="1"/>
    <x v="62"/>
    <n v="840"/>
    <m/>
    <n v="840"/>
  </r>
  <r>
    <s v="06/27/2025"/>
    <x v="4"/>
    <x v="11"/>
    <x v="5"/>
    <x v="1"/>
    <x v="62"/>
    <n v="12606.36"/>
    <m/>
    <n v="12606.36"/>
  </r>
  <r>
    <s v="07/01/2025"/>
    <x v="5"/>
    <x v="11"/>
    <x v="5"/>
    <x v="1"/>
    <x v="62"/>
    <n v="840"/>
    <m/>
    <n v="840"/>
  </r>
  <r>
    <s v="07/11/2025"/>
    <x v="5"/>
    <x v="11"/>
    <x v="5"/>
    <x v="1"/>
    <x v="62"/>
    <n v="14270.58"/>
    <m/>
    <n v="14270.58"/>
  </r>
  <r>
    <s v="07/15/2025"/>
    <x v="5"/>
    <x v="11"/>
    <x v="5"/>
    <x v="1"/>
    <x v="62"/>
    <n v="840"/>
    <m/>
    <n v="840"/>
  </r>
  <r>
    <s v="07/25/2025"/>
    <x v="5"/>
    <x v="11"/>
    <x v="5"/>
    <x v="1"/>
    <x v="62"/>
    <n v="17872.88"/>
    <m/>
    <n v="17872.88"/>
  </r>
  <r>
    <s v="07/29/2025"/>
    <x v="5"/>
    <x v="11"/>
    <x v="5"/>
    <x v="1"/>
    <x v="62"/>
    <n v="840"/>
    <m/>
    <n v="840"/>
  </r>
  <r>
    <s v="08/11/2025"/>
    <x v="6"/>
    <x v="11"/>
    <x v="5"/>
    <x v="1"/>
    <x v="62"/>
    <n v="15689.92"/>
    <m/>
    <n v="15689.92"/>
  </r>
  <r>
    <s v="08/12/2025"/>
    <x v="6"/>
    <x v="11"/>
    <x v="5"/>
    <x v="1"/>
    <x v="62"/>
    <n v="3091.75"/>
    <m/>
    <n v="3091.75"/>
  </r>
  <r>
    <s v="08/22/2025"/>
    <x v="6"/>
    <x v="11"/>
    <x v="5"/>
    <x v="1"/>
    <x v="62"/>
    <n v="15939.91"/>
    <m/>
    <n v="15939.91"/>
  </r>
  <r>
    <s v="08/26/2025"/>
    <x v="6"/>
    <x v="11"/>
    <x v="5"/>
    <x v="1"/>
    <x v="62"/>
    <n v="3091.75"/>
    <m/>
    <n v="3091.75"/>
  </r>
  <r>
    <s v="09/05/2025"/>
    <x v="7"/>
    <x v="11"/>
    <x v="5"/>
    <x v="1"/>
    <x v="62"/>
    <n v="15892.9"/>
    <m/>
    <n v="15892.9"/>
  </r>
  <r>
    <s v="09/09/2025"/>
    <x v="7"/>
    <x v="11"/>
    <x v="5"/>
    <x v="1"/>
    <x v="62"/>
    <n v="3154.25"/>
    <m/>
    <n v="3154.25"/>
  </r>
  <r>
    <s v="09/19/2025"/>
    <x v="7"/>
    <x v="11"/>
    <x v="5"/>
    <x v="1"/>
    <x v="62"/>
    <n v="15629.08"/>
    <m/>
    <n v="15629.08"/>
  </r>
  <r>
    <s v="09/23/2025"/>
    <x v="7"/>
    <x v="11"/>
    <x v="5"/>
    <x v="1"/>
    <x v="62"/>
    <n v="3154.25"/>
    <m/>
    <n v="3154.25"/>
  </r>
  <r>
    <s v="10/03/2025"/>
    <x v="8"/>
    <x v="11"/>
    <x v="5"/>
    <x v="1"/>
    <x v="62"/>
    <n v="16943.82"/>
    <m/>
    <n v="16943.82"/>
  </r>
  <r>
    <s v="10/07/2025"/>
    <x v="8"/>
    <x v="11"/>
    <x v="5"/>
    <x v="1"/>
    <x v="62"/>
    <n v="3479.25"/>
    <m/>
    <n v="3479.25"/>
  </r>
  <r>
    <s v="10/17/2025"/>
    <x v="8"/>
    <x v="11"/>
    <x v="5"/>
    <x v="1"/>
    <x v="62"/>
    <n v="16398.68"/>
    <m/>
    <n v="16398.68"/>
  </r>
  <r>
    <s v="10/21/2025"/>
    <x v="8"/>
    <x v="11"/>
    <x v="5"/>
    <x v="1"/>
    <x v="62"/>
    <n v="3479.25"/>
    <m/>
    <n v="3479.25"/>
  </r>
  <r>
    <s v="10/30/2025"/>
    <x v="8"/>
    <x v="11"/>
    <x v="5"/>
    <x v="1"/>
    <x v="62"/>
    <n v="16884.77"/>
    <m/>
    <n v="16884.77"/>
  </r>
  <r>
    <s v="11/04/2025"/>
    <x v="9"/>
    <x v="11"/>
    <x v="5"/>
    <x v="1"/>
    <x v="62"/>
    <n v="3154.25"/>
    <m/>
    <n v="3154.25"/>
  </r>
  <r>
    <s v="11/05/2025"/>
    <x v="9"/>
    <x v="11"/>
    <x v="5"/>
    <x v="1"/>
    <x v="62"/>
    <n v="-650"/>
    <m/>
    <n v="-650"/>
  </r>
  <r>
    <s v="11/13/2025"/>
    <x v="9"/>
    <x v="11"/>
    <x v="5"/>
    <x v="1"/>
    <x v="62"/>
    <n v="17385.39"/>
    <m/>
    <n v="17385.39"/>
  </r>
  <r>
    <s v="11/18/2025"/>
    <x v="9"/>
    <x v="11"/>
    <x v="5"/>
    <x v="1"/>
    <x v="62"/>
    <n v="2473.25"/>
    <m/>
    <n v="2473.25"/>
  </r>
  <r>
    <s v="11/28/2025"/>
    <x v="9"/>
    <x v="11"/>
    <x v="5"/>
    <x v="1"/>
    <x v="62"/>
    <n v="17592.77"/>
    <m/>
    <n v="17592.77"/>
  </r>
  <r>
    <s v="12/03/2025"/>
    <x v="10"/>
    <x v="11"/>
    <x v="5"/>
    <x v="1"/>
    <x v="62"/>
    <n v="2473.25"/>
    <m/>
    <n v="2473.25"/>
  </r>
  <r>
    <s v="12/11/2025"/>
    <x v="10"/>
    <x v="11"/>
    <x v="5"/>
    <x v="1"/>
    <x v="62"/>
    <n v="18176.73"/>
    <m/>
    <n v="18176.73"/>
  </r>
  <r>
    <s v="12/16/2025"/>
    <x v="10"/>
    <x v="11"/>
    <x v="5"/>
    <x v="1"/>
    <x v="62"/>
    <n v="2521.25"/>
    <m/>
    <n v="2521.25"/>
  </r>
  <r>
    <s v="12/24/2025"/>
    <x v="10"/>
    <x v="11"/>
    <x v="5"/>
    <x v="1"/>
    <x v="62"/>
    <n v="17275.759999999998"/>
    <m/>
    <n v="17275.759999999998"/>
  </r>
  <r>
    <s v="12/30/2025"/>
    <x v="10"/>
    <x v="11"/>
    <x v="5"/>
    <x v="1"/>
    <x v="62"/>
    <n v="1473.25"/>
    <m/>
    <n v="1473.25"/>
  </r>
  <r>
    <s v="01/22/2025"/>
    <x v="11"/>
    <x v="12"/>
    <x v="1"/>
    <x v="1"/>
    <x v="63"/>
    <n v="58.3"/>
    <m/>
    <n v="58.3"/>
  </r>
  <r>
    <s v="01/23/2025"/>
    <x v="11"/>
    <x v="12"/>
    <x v="1"/>
    <x v="1"/>
    <x v="64"/>
    <n v="23.02"/>
    <m/>
    <n v="23.02"/>
  </r>
  <r>
    <s v="01/23/2025"/>
    <x v="11"/>
    <x v="12"/>
    <x v="1"/>
    <x v="1"/>
    <x v="65"/>
    <n v="34.520000000000003"/>
    <m/>
    <n v="34.520000000000003"/>
  </r>
  <r>
    <s v="01/24/2025"/>
    <x v="11"/>
    <x v="12"/>
    <x v="1"/>
    <x v="1"/>
    <x v="66"/>
    <n v="15"/>
    <m/>
    <n v="15"/>
  </r>
  <r>
    <s v="01/24/2025"/>
    <x v="11"/>
    <x v="12"/>
    <x v="1"/>
    <x v="1"/>
    <x v="66"/>
    <n v="15"/>
    <m/>
    <n v="15"/>
  </r>
  <r>
    <s v="02/02/2025"/>
    <x v="0"/>
    <x v="12"/>
    <x v="1"/>
    <x v="1"/>
    <x v="66"/>
    <n v="47.72"/>
    <m/>
    <n v="47.72"/>
  </r>
  <r>
    <s v="02/08/2025"/>
    <x v="0"/>
    <x v="12"/>
    <x v="1"/>
    <x v="1"/>
    <x v="66"/>
    <n v="68.959999999999994"/>
    <m/>
    <n v="68.959999999999994"/>
  </r>
  <r>
    <s v="02/09/2025"/>
    <x v="0"/>
    <x v="12"/>
    <x v="1"/>
    <x v="1"/>
    <x v="67"/>
    <n v="52.3"/>
    <m/>
    <n v="52.3"/>
  </r>
  <r>
    <s v="02/14/2025"/>
    <x v="0"/>
    <x v="12"/>
    <x v="1"/>
    <x v="1"/>
    <x v="68"/>
    <n v="90.21"/>
    <m/>
    <n v="90.21"/>
  </r>
  <r>
    <s v="02/14/2025"/>
    <x v="0"/>
    <x v="12"/>
    <x v="1"/>
    <x v="1"/>
    <x v="69"/>
    <n v="26.6"/>
    <m/>
    <n v="26.6"/>
  </r>
  <r>
    <s v="02/14/2025"/>
    <x v="0"/>
    <x v="12"/>
    <x v="1"/>
    <x v="1"/>
    <x v="70"/>
    <n v="110.36"/>
    <m/>
    <n v="110.36"/>
  </r>
  <r>
    <s v="02/15/2025"/>
    <x v="0"/>
    <x v="12"/>
    <x v="1"/>
    <x v="1"/>
    <x v="71"/>
    <n v="51.85"/>
    <m/>
    <n v="51.85"/>
  </r>
  <r>
    <s v="02/18/2025"/>
    <x v="0"/>
    <x v="12"/>
    <x v="1"/>
    <x v="1"/>
    <x v="72"/>
    <n v="33.56"/>
    <m/>
    <n v="33.56"/>
  </r>
  <r>
    <s v="02/21/2025"/>
    <x v="0"/>
    <x v="12"/>
    <x v="1"/>
    <x v="1"/>
    <x v="73"/>
    <n v="456.61"/>
    <m/>
    <n v="456.61"/>
  </r>
  <r>
    <s v="02/26/2025"/>
    <x v="0"/>
    <x v="12"/>
    <x v="1"/>
    <x v="1"/>
    <x v="74"/>
    <n v="52.86"/>
    <m/>
    <n v="52.86"/>
  </r>
  <r>
    <s v="02/27/2025"/>
    <x v="0"/>
    <x v="12"/>
    <x v="1"/>
    <x v="1"/>
    <x v="75"/>
    <n v="16.78"/>
    <m/>
    <n v="16.78"/>
  </r>
  <r>
    <s v="02/28/2025"/>
    <x v="0"/>
    <x v="12"/>
    <x v="1"/>
    <x v="1"/>
    <x v="76"/>
    <n v="101.64"/>
    <m/>
    <n v="101.64"/>
  </r>
  <r>
    <s v="03/05/2025"/>
    <x v="1"/>
    <x v="12"/>
    <x v="1"/>
    <x v="1"/>
    <x v="77"/>
    <n v="40.090000000000003"/>
    <m/>
    <n v="40.090000000000003"/>
  </r>
  <r>
    <s v="03/07/2025"/>
    <x v="1"/>
    <x v="12"/>
    <x v="1"/>
    <x v="1"/>
    <x v="78"/>
    <n v="56.76"/>
    <m/>
    <n v="56.76"/>
  </r>
  <r>
    <s v="03/10/2025"/>
    <x v="1"/>
    <x v="12"/>
    <x v="1"/>
    <x v="1"/>
    <x v="77"/>
    <n v="64.69"/>
    <m/>
    <n v="64.69"/>
  </r>
  <r>
    <s v="03/10/2025"/>
    <x v="1"/>
    <x v="12"/>
    <x v="1"/>
    <x v="1"/>
    <x v="79"/>
    <n v="59.39"/>
    <m/>
    <n v="59.39"/>
  </r>
  <r>
    <s v="03/11/2025"/>
    <x v="1"/>
    <x v="12"/>
    <x v="1"/>
    <x v="1"/>
    <x v="69"/>
    <n v="14.91"/>
    <m/>
    <n v="14.91"/>
  </r>
  <r>
    <s v="03/11/2025"/>
    <x v="1"/>
    <x v="12"/>
    <x v="1"/>
    <x v="1"/>
    <x v="80"/>
    <n v="48.8"/>
    <m/>
    <n v="48.8"/>
  </r>
  <r>
    <s v="03/11/2025"/>
    <x v="1"/>
    <x v="12"/>
    <x v="1"/>
    <x v="1"/>
    <x v="81"/>
    <n v="4.05"/>
    <m/>
    <n v="4.05"/>
  </r>
  <r>
    <s v="03/11/2025"/>
    <x v="1"/>
    <x v="12"/>
    <x v="1"/>
    <x v="1"/>
    <x v="82"/>
    <n v="48"/>
    <m/>
    <n v="48"/>
  </r>
  <r>
    <s v="03/11/2025"/>
    <x v="1"/>
    <x v="12"/>
    <x v="1"/>
    <x v="1"/>
    <x v="83"/>
    <n v="23.14"/>
    <m/>
    <n v="23.14"/>
  </r>
  <r>
    <s v="03/11/2025"/>
    <x v="1"/>
    <x v="12"/>
    <x v="1"/>
    <x v="1"/>
    <x v="80"/>
    <n v="47.4"/>
    <m/>
    <n v="47.4"/>
  </r>
  <r>
    <s v="03/13/2025"/>
    <x v="1"/>
    <x v="12"/>
    <x v="1"/>
    <x v="1"/>
    <x v="84"/>
    <n v="30.49"/>
    <m/>
    <n v="30.49"/>
  </r>
  <r>
    <s v="03/13/2025"/>
    <x v="1"/>
    <x v="12"/>
    <x v="1"/>
    <x v="1"/>
    <x v="85"/>
    <n v="60.43"/>
    <m/>
    <n v="60.43"/>
  </r>
  <r>
    <s v="03/13/2025"/>
    <x v="1"/>
    <x v="12"/>
    <x v="1"/>
    <x v="1"/>
    <x v="82"/>
    <n v="55.75"/>
    <m/>
    <n v="55.75"/>
  </r>
  <r>
    <s v="03/13/2025"/>
    <x v="1"/>
    <x v="12"/>
    <x v="1"/>
    <x v="1"/>
    <x v="85"/>
    <n v="51.21"/>
    <m/>
    <n v="51.21"/>
  </r>
  <r>
    <s v="03/13/2025"/>
    <x v="1"/>
    <x v="12"/>
    <x v="1"/>
    <x v="1"/>
    <x v="86"/>
    <n v="101.92"/>
    <m/>
    <n v="101.92"/>
  </r>
  <r>
    <s v="03/14/2025"/>
    <x v="1"/>
    <x v="12"/>
    <x v="1"/>
    <x v="1"/>
    <x v="69"/>
    <n v="46.69"/>
    <m/>
    <n v="46.69"/>
  </r>
  <r>
    <s v="03/14/2025"/>
    <x v="1"/>
    <x v="12"/>
    <x v="1"/>
    <x v="1"/>
    <x v="69"/>
    <n v="7.89"/>
    <m/>
    <n v="7.89"/>
  </r>
  <r>
    <s v="03/14/2025"/>
    <x v="1"/>
    <x v="12"/>
    <x v="1"/>
    <x v="1"/>
    <x v="87"/>
    <n v="3.49"/>
    <m/>
    <n v="3.49"/>
  </r>
  <r>
    <s v="03/14/2025"/>
    <x v="1"/>
    <x v="12"/>
    <x v="1"/>
    <x v="1"/>
    <x v="87"/>
    <n v="60.28"/>
    <m/>
    <n v="60.28"/>
  </r>
  <r>
    <s v="03/14/2025"/>
    <x v="1"/>
    <x v="12"/>
    <x v="1"/>
    <x v="1"/>
    <x v="82"/>
    <n v="48"/>
    <m/>
    <n v="48"/>
  </r>
  <r>
    <s v="03/14/2025"/>
    <x v="1"/>
    <x v="12"/>
    <x v="1"/>
    <x v="1"/>
    <x v="25"/>
    <n v="56.44"/>
    <m/>
    <n v="56.44"/>
  </r>
  <r>
    <s v="03/15/2025"/>
    <x v="1"/>
    <x v="12"/>
    <x v="1"/>
    <x v="1"/>
    <x v="88"/>
    <n v="60"/>
    <m/>
    <n v="60"/>
  </r>
  <r>
    <s v="03/15/2025"/>
    <x v="1"/>
    <x v="12"/>
    <x v="1"/>
    <x v="1"/>
    <x v="89"/>
    <n v="27.43"/>
    <m/>
    <n v="27.43"/>
  </r>
  <r>
    <s v="03/15/2025"/>
    <x v="1"/>
    <x v="12"/>
    <x v="1"/>
    <x v="1"/>
    <x v="88"/>
    <n v="60"/>
    <m/>
    <n v="60"/>
  </r>
  <r>
    <s v="03/16/2025"/>
    <x v="1"/>
    <x v="12"/>
    <x v="1"/>
    <x v="1"/>
    <x v="65"/>
    <n v="19.45"/>
    <m/>
    <n v="19.45"/>
  </r>
  <r>
    <s v="03/16/2025"/>
    <x v="1"/>
    <x v="12"/>
    <x v="1"/>
    <x v="1"/>
    <x v="90"/>
    <n v="11.84"/>
    <m/>
    <n v="11.84"/>
  </r>
  <r>
    <s v="03/16/2025"/>
    <x v="1"/>
    <x v="12"/>
    <x v="1"/>
    <x v="1"/>
    <x v="83"/>
    <n v="46.82"/>
    <m/>
    <n v="46.82"/>
  </r>
  <r>
    <s v="03/17/2025"/>
    <x v="1"/>
    <x v="12"/>
    <x v="1"/>
    <x v="1"/>
    <x v="91"/>
    <n v="15.64"/>
    <m/>
    <n v="15.64"/>
  </r>
  <r>
    <s v="03/17/2025"/>
    <x v="1"/>
    <x v="12"/>
    <x v="1"/>
    <x v="1"/>
    <x v="92"/>
    <n v="724.36"/>
    <m/>
    <n v="724.36"/>
  </r>
  <r>
    <s v="03/17/2025"/>
    <x v="1"/>
    <x v="12"/>
    <x v="1"/>
    <x v="1"/>
    <x v="93"/>
    <n v="80.28"/>
    <m/>
    <n v="80.28"/>
  </r>
  <r>
    <s v="03/19/2025"/>
    <x v="1"/>
    <x v="12"/>
    <x v="1"/>
    <x v="1"/>
    <x v="93"/>
    <n v="29.32"/>
    <m/>
    <n v="29.32"/>
  </r>
  <r>
    <s v="03/21/2025"/>
    <x v="1"/>
    <x v="12"/>
    <x v="1"/>
    <x v="1"/>
    <x v="84"/>
    <n v="44.2"/>
    <m/>
    <n v="44.2"/>
  </r>
  <r>
    <s v="03/21/2025"/>
    <x v="1"/>
    <x v="12"/>
    <x v="1"/>
    <x v="1"/>
    <x v="94"/>
    <n v="64.34"/>
    <m/>
    <n v="64.34"/>
  </r>
  <r>
    <s v="03/23/2025"/>
    <x v="1"/>
    <x v="12"/>
    <x v="1"/>
    <x v="1"/>
    <x v="95"/>
    <n v="28.51"/>
    <m/>
    <n v="28.51"/>
  </r>
  <r>
    <s v="03/23/2025"/>
    <x v="1"/>
    <x v="12"/>
    <x v="1"/>
    <x v="1"/>
    <x v="96"/>
    <n v="35.58"/>
    <m/>
    <n v="35.58"/>
  </r>
  <r>
    <s v="03/24/2025"/>
    <x v="1"/>
    <x v="12"/>
    <x v="1"/>
    <x v="1"/>
    <x v="97"/>
    <n v="78.42"/>
    <m/>
    <n v="78.42"/>
  </r>
  <r>
    <s v="03/25/2025"/>
    <x v="1"/>
    <x v="12"/>
    <x v="1"/>
    <x v="1"/>
    <x v="98"/>
    <n v="521.24"/>
    <m/>
    <n v="521.24"/>
  </r>
  <r>
    <s v="03/26/2025"/>
    <x v="1"/>
    <x v="12"/>
    <x v="1"/>
    <x v="1"/>
    <x v="83"/>
    <n v="9.92"/>
    <m/>
    <n v="9.92"/>
  </r>
  <r>
    <s v="03/27/2025"/>
    <x v="1"/>
    <x v="12"/>
    <x v="1"/>
    <x v="1"/>
    <x v="84"/>
    <n v="27.11"/>
    <m/>
    <n v="27.11"/>
  </r>
  <r>
    <s v="03/28/2025"/>
    <x v="1"/>
    <x v="12"/>
    <x v="1"/>
    <x v="1"/>
    <x v="84"/>
    <n v="53.02"/>
    <m/>
    <n v="53.02"/>
  </r>
  <r>
    <s v="03/31/2025"/>
    <x v="1"/>
    <x v="12"/>
    <x v="1"/>
    <x v="1"/>
    <x v="73"/>
    <n v="593.85"/>
    <m/>
    <n v="593.85"/>
  </r>
  <r>
    <s v="04/04/2025"/>
    <x v="2"/>
    <x v="12"/>
    <x v="1"/>
    <x v="1"/>
    <x v="75"/>
    <n v="36.72"/>
    <m/>
    <n v="36.72"/>
  </r>
  <r>
    <s v="04/08/2025"/>
    <x v="2"/>
    <x v="12"/>
    <x v="1"/>
    <x v="1"/>
    <x v="99"/>
    <n v="39.26"/>
    <m/>
    <n v="39.26"/>
  </r>
  <r>
    <s v="04/11/2025"/>
    <x v="2"/>
    <x v="12"/>
    <x v="1"/>
    <x v="1"/>
    <x v="100"/>
    <n v="83.91"/>
    <m/>
    <n v="83.91"/>
  </r>
  <r>
    <s v="04/20/2025"/>
    <x v="2"/>
    <x v="12"/>
    <x v="1"/>
    <x v="1"/>
    <x v="101"/>
    <n v="70.7"/>
    <m/>
    <n v="70.7"/>
  </r>
  <r>
    <s v="04/27/2025"/>
    <x v="2"/>
    <x v="12"/>
    <x v="1"/>
    <x v="1"/>
    <x v="102"/>
    <n v="110"/>
    <m/>
    <n v="110"/>
  </r>
  <r>
    <s v="04/28/2025"/>
    <x v="2"/>
    <x v="12"/>
    <x v="1"/>
    <x v="1"/>
    <x v="103"/>
    <n v="14.16"/>
    <m/>
    <n v="14.16"/>
  </r>
  <r>
    <s v="04/28/2025"/>
    <x v="2"/>
    <x v="12"/>
    <x v="1"/>
    <x v="1"/>
    <x v="103"/>
    <n v="8.17"/>
    <m/>
    <n v="8.17"/>
  </r>
  <r>
    <s v="05/04/2025"/>
    <x v="3"/>
    <x v="12"/>
    <x v="1"/>
    <x v="1"/>
    <x v="73"/>
    <n v="123.17"/>
    <m/>
    <n v="123.17"/>
  </r>
  <r>
    <s v="05/05/2025"/>
    <x v="3"/>
    <x v="12"/>
    <x v="1"/>
    <x v="1"/>
    <x v="73"/>
    <n v="397.58"/>
    <m/>
    <n v="397.58"/>
  </r>
  <r>
    <s v="07/20/2025"/>
    <x v="5"/>
    <x v="12"/>
    <x v="1"/>
    <x v="1"/>
    <x v="104"/>
    <n v="34.04"/>
    <m/>
    <n v="34.04"/>
  </r>
  <r>
    <s v="07/31/2025"/>
    <x v="5"/>
    <x v="12"/>
    <x v="1"/>
    <x v="1"/>
    <x v="105"/>
    <n v="44.02"/>
    <m/>
    <n v="44.02"/>
  </r>
  <r>
    <s v="07/31/2025"/>
    <x v="5"/>
    <x v="12"/>
    <x v="1"/>
    <x v="1"/>
    <x v="106"/>
    <n v="36.43"/>
    <m/>
    <n v="36.43"/>
  </r>
  <r>
    <s v="08/02/2025"/>
    <x v="6"/>
    <x v="12"/>
    <x v="1"/>
    <x v="1"/>
    <x v="107"/>
    <n v="71.42"/>
    <m/>
    <n v="71.42"/>
  </r>
  <r>
    <s v="08/04/2025"/>
    <x v="6"/>
    <x v="12"/>
    <x v="1"/>
    <x v="1"/>
    <x v="108"/>
    <n v="53"/>
    <m/>
    <n v="53"/>
  </r>
  <r>
    <s v="08/06/2025"/>
    <x v="6"/>
    <x v="12"/>
    <x v="1"/>
    <x v="1"/>
    <x v="109"/>
    <n v="14.99"/>
    <m/>
    <n v="14.99"/>
  </r>
  <r>
    <s v="08/06/2025"/>
    <x v="6"/>
    <x v="12"/>
    <x v="1"/>
    <x v="1"/>
    <x v="110"/>
    <n v="96.47"/>
    <m/>
    <n v="96.47"/>
  </r>
  <r>
    <s v="08/06/2025"/>
    <x v="6"/>
    <x v="12"/>
    <x v="1"/>
    <x v="1"/>
    <x v="111"/>
    <n v="61.05"/>
    <m/>
    <n v="61.05"/>
  </r>
  <r>
    <s v="08/09/2025"/>
    <x v="6"/>
    <x v="12"/>
    <x v="1"/>
    <x v="1"/>
    <x v="112"/>
    <n v="35"/>
    <m/>
    <n v="35"/>
  </r>
  <r>
    <s v="08/09/2025"/>
    <x v="6"/>
    <x v="12"/>
    <x v="1"/>
    <x v="1"/>
    <x v="71"/>
    <n v="48.74"/>
    <m/>
    <n v="48.74"/>
  </r>
  <r>
    <s v="08/09/2025"/>
    <x v="6"/>
    <x v="12"/>
    <x v="1"/>
    <x v="1"/>
    <x v="113"/>
    <n v="43.3"/>
    <m/>
    <n v="43.3"/>
  </r>
  <r>
    <s v="08/10/2025"/>
    <x v="6"/>
    <x v="12"/>
    <x v="1"/>
    <x v="1"/>
    <x v="114"/>
    <n v="60"/>
    <m/>
    <n v="60"/>
  </r>
  <r>
    <s v="08/14/2025"/>
    <x v="6"/>
    <x v="12"/>
    <x v="1"/>
    <x v="1"/>
    <x v="43"/>
    <n v="12.32"/>
    <m/>
    <n v="12.32"/>
  </r>
  <r>
    <s v="08/17/2025"/>
    <x v="6"/>
    <x v="12"/>
    <x v="1"/>
    <x v="1"/>
    <x v="115"/>
    <n v="37.79"/>
    <m/>
    <n v="37.79"/>
  </r>
  <r>
    <s v="08/18/2025"/>
    <x v="6"/>
    <x v="12"/>
    <x v="1"/>
    <x v="1"/>
    <x v="116"/>
    <n v="26.14"/>
    <m/>
    <n v="26.14"/>
  </r>
  <r>
    <s v="08/18/2025"/>
    <x v="6"/>
    <x v="12"/>
    <x v="1"/>
    <x v="1"/>
    <x v="117"/>
    <n v="9.5"/>
    <m/>
    <n v="9.5"/>
  </r>
  <r>
    <s v="08/18/2025"/>
    <x v="6"/>
    <x v="12"/>
    <x v="1"/>
    <x v="1"/>
    <x v="118"/>
    <n v="259.8"/>
    <m/>
    <n v="259.8"/>
  </r>
  <r>
    <s v="08/19/2025"/>
    <x v="6"/>
    <x v="12"/>
    <x v="1"/>
    <x v="1"/>
    <x v="119"/>
    <n v="146.34"/>
    <m/>
    <n v="146.34"/>
  </r>
  <r>
    <s v="08/20/2025"/>
    <x v="6"/>
    <x v="12"/>
    <x v="1"/>
    <x v="1"/>
    <x v="91"/>
    <n v="10.17"/>
    <m/>
    <n v="10.17"/>
  </r>
  <r>
    <s v="08/20/2025"/>
    <x v="6"/>
    <x v="12"/>
    <x v="1"/>
    <x v="1"/>
    <x v="120"/>
    <n v="172"/>
    <m/>
    <n v="172"/>
  </r>
  <r>
    <s v="08/20/2025"/>
    <x v="6"/>
    <x v="12"/>
    <x v="1"/>
    <x v="1"/>
    <x v="120"/>
    <n v="7.42"/>
    <m/>
    <n v="7.42"/>
  </r>
  <r>
    <s v="08/21/2025"/>
    <x v="6"/>
    <x v="12"/>
    <x v="1"/>
    <x v="1"/>
    <x v="121"/>
    <n v="9.44"/>
    <m/>
    <n v="9.44"/>
  </r>
  <r>
    <s v="08/21/2025"/>
    <x v="6"/>
    <x v="12"/>
    <x v="1"/>
    <x v="1"/>
    <x v="122"/>
    <n v="7.31"/>
    <m/>
    <n v="7.31"/>
  </r>
  <r>
    <s v="08/21/2025"/>
    <x v="6"/>
    <x v="12"/>
    <x v="1"/>
    <x v="1"/>
    <x v="122"/>
    <n v="5.62"/>
    <m/>
    <n v="5.62"/>
  </r>
  <r>
    <s v="08/21/2025"/>
    <x v="6"/>
    <x v="12"/>
    <x v="1"/>
    <x v="1"/>
    <x v="122"/>
    <n v="27.83"/>
    <m/>
    <n v="27.83"/>
  </r>
  <r>
    <s v="08/23/2025"/>
    <x v="6"/>
    <x v="12"/>
    <x v="1"/>
    <x v="1"/>
    <x v="123"/>
    <n v="79.58"/>
    <m/>
    <n v="79.58"/>
  </r>
  <r>
    <s v="08/25/2025"/>
    <x v="6"/>
    <x v="12"/>
    <x v="1"/>
    <x v="1"/>
    <x v="124"/>
    <n v="24.9"/>
    <m/>
    <n v="24.9"/>
  </r>
  <r>
    <s v="08/31/2025"/>
    <x v="6"/>
    <x v="12"/>
    <x v="1"/>
    <x v="1"/>
    <x v="108"/>
    <n v="53.52"/>
    <m/>
    <n v="53.52"/>
  </r>
  <r>
    <s v="09/04/2025"/>
    <x v="7"/>
    <x v="12"/>
    <x v="1"/>
    <x v="1"/>
    <x v="65"/>
    <n v="25.94"/>
    <m/>
    <n v="25.94"/>
  </r>
  <r>
    <s v="09/05/2025"/>
    <x v="7"/>
    <x v="12"/>
    <x v="1"/>
    <x v="1"/>
    <x v="125"/>
    <n v="49.27"/>
    <m/>
    <n v="49.27"/>
  </r>
  <r>
    <s v="09/06/2025"/>
    <x v="7"/>
    <x v="12"/>
    <x v="1"/>
    <x v="1"/>
    <x v="126"/>
    <n v="14.7"/>
    <m/>
    <n v="14.7"/>
  </r>
  <r>
    <s v="09/09/2025"/>
    <x v="7"/>
    <x v="12"/>
    <x v="1"/>
    <x v="1"/>
    <x v="127"/>
    <n v="4.49"/>
    <m/>
    <n v="4.49"/>
  </r>
  <r>
    <s v="09/10/2025"/>
    <x v="7"/>
    <x v="12"/>
    <x v="1"/>
    <x v="1"/>
    <x v="128"/>
    <n v="16.170000000000002"/>
    <m/>
    <n v="16.170000000000002"/>
  </r>
  <r>
    <s v="09/14/2025"/>
    <x v="7"/>
    <x v="12"/>
    <x v="1"/>
    <x v="1"/>
    <x v="129"/>
    <n v="60.73"/>
    <m/>
    <n v="60.73"/>
  </r>
  <r>
    <s v="09/16/2025"/>
    <x v="7"/>
    <x v="12"/>
    <x v="1"/>
    <x v="1"/>
    <x v="50"/>
    <n v="180"/>
    <m/>
    <n v="180"/>
  </r>
  <r>
    <s v="09/17/2025"/>
    <x v="7"/>
    <x v="12"/>
    <x v="1"/>
    <x v="1"/>
    <x v="106"/>
    <n v="46.58"/>
    <m/>
    <n v="46.58"/>
  </r>
  <r>
    <s v="09/21/2025"/>
    <x v="7"/>
    <x v="12"/>
    <x v="1"/>
    <x v="1"/>
    <x v="130"/>
    <n v="62.72"/>
    <m/>
    <n v="62.72"/>
  </r>
  <r>
    <s v="09/28/2025"/>
    <x v="7"/>
    <x v="12"/>
    <x v="1"/>
    <x v="1"/>
    <x v="106"/>
    <n v="48.52"/>
    <m/>
    <n v="48.52"/>
  </r>
  <r>
    <s v="09/29/2025"/>
    <x v="7"/>
    <x v="12"/>
    <x v="1"/>
    <x v="1"/>
    <x v="131"/>
    <n v="39.25"/>
    <m/>
    <n v="39.25"/>
  </r>
  <r>
    <s v="10/06/2025"/>
    <x v="8"/>
    <x v="12"/>
    <x v="1"/>
    <x v="1"/>
    <x v="132"/>
    <n v="27.3"/>
    <m/>
    <n v="27.3"/>
  </r>
  <r>
    <s v="10/06/2025"/>
    <x v="8"/>
    <x v="12"/>
    <x v="1"/>
    <x v="1"/>
    <x v="132"/>
    <n v="12.95"/>
    <m/>
    <n v="12.95"/>
  </r>
  <r>
    <s v="10/06/2025"/>
    <x v="8"/>
    <x v="12"/>
    <x v="1"/>
    <x v="1"/>
    <x v="133"/>
    <n v="54"/>
    <m/>
    <n v="54"/>
  </r>
  <r>
    <s v="10/06/2025"/>
    <x v="8"/>
    <x v="12"/>
    <x v="1"/>
    <x v="1"/>
    <x v="134"/>
    <n v="61.63"/>
    <m/>
    <n v="61.63"/>
  </r>
  <r>
    <s v="10/10/2025"/>
    <x v="8"/>
    <x v="12"/>
    <x v="1"/>
    <x v="1"/>
    <x v="91"/>
    <n v="8.17"/>
    <m/>
    <n v="8.17"/>
  </r>
  <r>
    <s v="10/10/2025"/>
    <x v="8"/>
    <x v="12"/>
    <x v="1"/>
    <x v="1"/>
    <x v="135"/>
    <n v="33.14"/>
    <m/>
    <n v="33.14"/>
  </r>
  <r>
    <s v="10/11/2025"/>
    <x v="8"/>
    <x v="12"/>
    <x v="1"/>
    <x v="1"/>
    <x v="71"/>
    <n v="36.85"/>
    <m/>
    <n v="36.85"/>
  </r>
  <r>
    <s v="10/11/2025"/>
    <x v="8"/>
    <x v="12"/>
    <x v="1"/>
    <x v="1"/>
    <x v="136"/>
    <n v="32.01"/>
    <m/>
    <n v="32.01"/>
  </r>
  <r>
    <s v="10/15/2025"/>
    <x v="8"/>
    <x v="12"/>
    <x v="1"/>
    <x v="1"/>
    <x v="50"/>
    <n v="45"/>
    <m/>
    <n v="45"/>
  </r>
  <r>
    <s v="11/02/2025"/>
    <x v="9"/>
    <x v="12"/>
    <x v="1"/>
    <x v="1"/>
    <x v="124"/>
    <n v="32.229999999999997"/>
    <m/>
    <n v="32.229999999999997"/>
  </r>
  <r>
    <s v="11/02/2025"/>
    <x v="9"/>
    <x v="12"/>
    <x v="1"/>
    <x v="1"/>
    <x v="137"/>
    <n v="12.02"/>
    <m/>
    <n v="12.02"/>
  </r>
  <r>
    <s v="11/05/2025"/>
    <x v="9"/>
    <x v="12"/>
    <x v="1"/>
    <x v="1"/>
    <x v="91"/>
    <n v="8.1999999999999993"/>
    <m/>
    <n v="8.1999999999999993"/>
  </r>
  <r>
    <s v="11/06/2025"/>
    <x v="9"/>
    <x v="12"/>
    <x v="1"/>
    <x v="1"/>
    <x v="91"/>
    <n v="7.14"/>
    <m/>
    <n v="7.14"/>
  </r>
  <r>
    <s v="11/06/2025"/>
    <x v="9"/>
    <x v="12"/>
    <x v="1"/>
    <x v="1"/>
    <x v="138"/>
    <n v="65"/>
    <m/>
    <n v="65"/>
  </r>
  <r>
    <s v="11/08/2025"/>
    <x v="9"/>
    <x v="12"/>
    <x v="1"/>
    <x v="1"/>
    <x v="107"/>
    <n v="30.79"/>
    <m/>
    <n v="30.79"/>
  </r>
  <r>
    <s v="11/11/2025"/>
    <x v="9"/>
    <x v="12"/>
    <x v="1"/>
    <x v="1"/>
    <x v="139"/>
    <n v="5.23"/>
    <m/>
    <n v="5.23"/>
  </r>
  <r>
    <s v="11/11/2025"/>
    <x v="9"/>
    <x v="12"/>
    <x v="1"/>
    <x v="1"/>
    <x v="140"/>
    <n v="19.63"/>
    <m/>
    <n v="19.63"/>
  </r>
  <r>
    <s v="11/11/2025"/>
    <x v="9"/>
    <x v="12"/>
    <x v="1"/>
    <x v="1"/>
    <x v="141"/>
    <n v="9.65"/>
    <m/>
    <n v="9.65"/>
  </r>
  <r>
    <s v="11/11/2025"/>
    <x v="9"/>
    <x v="12"/>
    <x v="1"/>
    <x v="1"/>
    <x v="142"/>
    <n v="21.11"/>
    <m/>
    <n v="21.11"/>
  </r>
  <r>
    <s v="11/11/2025"/>
    <x v="9"/>
    <x v="12"/>
    <x v="1"/>
    <x v="1"/>
    <x v="143"/>
    <n v="31.23"/>
    <m/>
    <n v="31.23"/>
  </r>
  <r>
    <s v="11/15/2025"/>
    <x v="9"/>
    <x v="12"/>
    <x v="1"/>
    <x v="1"/>
    <x v="144"/>
    <n v="10"/>
    <m/>
    <n v="10"/>
  </r>
  <r>
    <s v="11/21/2025"/>
    <x v="9"/>
    <x v="12"/>
    <x v="1"/>
    <x v="1"/>
    <x v="145"/>
    <n v="82.36"/>
    <m/>
    <n v="82.36"/>
  </r>
  <r>
    <s v="11/21/2025"/>
    <x v="9"/>
    <x v="12"/>
    <x v="1"/>
    <x v="1"/>
    <x v="69"/>
    <n v="49.25"/>
    <m/>
    <n v="49.25"/>
  </r>
  <r>
    <s v="11/22/2025"/>
    <x v="9"/>
    <x v="12"/>
    <x v="1"/>
    <x v="1"/>
    <x v="146"/>
    <n v="82.79"/>
    <m/>
    <n v="82.79"/>
  </r>
  <r>
    <s v="11/25/2025"/>
    <x v="9"/>
    <x v="12"/>
    <x v="1"/>
    <x v="1"/>
    <x v="147"/>
    <n v="92.41"/>
    <m/>
    <n v="92.41"/>
  </r>
  <r>
    <s v="11/27/2025"/>
    <x v="9"/>
    <x v="12"/>
    <x v="1"/>
    <x v="1"/>
    <x v="65"/>
    <n v="45.42"/>
    <m/>
    <n v="45.42"/>
  </r>
  <r>
    <s v="11/28/2025"/>
    <x v="9"/>
    <x v="12"/>
    <x v="1"/>
    <x v="1"/>
    <x v="148"/>
    <n v="82.92"/>
    <m/>
    <n v="82.92"/>
  </r>
  <r>
    <s v="12/03/2025"/>
    <x v="10"/>
    <x v="12"/>
    <x v="1"/>
    <x v="1"/>
    <x v="149"/>
    <n v="79.2"/>
    <m/>
    <n v="79.2"/>
  </r>
  <r>
    <s v="12/03/2025"/>
    <x v="10"/>
    <x v="12"/>
    <x v="1"/>
    <x v="1"/>
    <x v="91"/>
    <n v="17.11"/>
    <m/>
    <n v="17.11"/>
  </r>
  <r>
    <s v="12/03/2025"/>
    <x v="10"/>
    <x v="12"/>
    <x v="1"/>
    <x v="1"/>
    <x v="115"/>
    <n v="169.44"/>
    <m/>
    <n v="169.44"/>
  </r>
  <r>
    <s v="12/04/2025"/>
    <x v="10"/>
    <x v="12"/>
    <x v="1"/>
    <x v="1"/>
    <x v="150"/>
    <n v="11.66"/>
    <m/>
    <n v="11.66"/>
  </r>
  <r>
    <s v="12/18/2025"/>
    <x v="10"/>
    <x v="12"/>
    <x v="1"/>
    <x v="1"/>
    <x v="69"/>
    <n v="28.2"/>
    <m/>
    <n v="28.2"/>
  </r>
  <r>
    <s v="12/19/2025"/>
    <x v="10"/>
    <x v="12"/>
    <x v="1"/>
    <x v="1"/>
    <x v="151"/>
    <n v="49.02"/>
    <m/>
    <n v="49.02"/>
  </r>
  <r>
    <s v="07/02/2025"/>
    <x v="5"/>
    <x v="13"/>
    <x v="1"/>
    <x v="1"/>
    <x v="152"/>
    <n v="1326.79"/>
    <m/>
    <n v="1326.79"/>
  </r>
  <r>
    <s v="07/24/2025"/>
    <x v="5"/>
    <x v="13"/>
    <x v="1"/>
    <x v="1"/>
    <x v="153"/>
    <n v="16.16"/>
    <m/>
    <n v="16.16"/>
  </r>
  <r>
    <s v="08/04/2025"/>
    <x v="6"/>
    <x v="13"/>
    <x v="1"/>
    <x v="1"/>
    <x v="153"/>
    <n v="20.079999999999998"/>
    <m/>
    <n v="20.079999999999998"/>
  </r>
  <r>
    <s v="08/04/2025"/>
    <x v="6"/>
    <x v="13"/>
    <x v="1"/>
    <x v="1"/>
    <x v="64"/>
    <n v="20.09"/>
    <m/>
    <n v="20.09"/>
  </r>
  <r>
    <s v="08/05/2025"/>
    <x v="6"/>
    <x v="13"/>
    <x v="1"/>
    <x v="1"/>
    <x v="154"/>
    <n v="50"/>
    <m/>
    <n v="50"/>
  </r>
  <r>
    <s v="08/17/2025"/>
    <x v="6"/>
    <x v="13"/>
    <x v="1"/>
    <x v="1"/>
    <x v="155"/>
    <n v="2327"/>
    <m/>
    <n v="2327"/>
  </r>
  <r>
    <s v="08/27/2025"/>
    <x v="6"/>
    <x v="13"/>
    <x v="1"/>
    <x v="1"/>
    <x v="156"/>
    <n v="50"/>
    <m/>
    <n v="50"/>
  </r>
  <r>
    <s v="09/01/2025"/>
    <x v="7"/>
    <x v="13"/>
    <x v="1"/>
    <x v="1"/>
    <x v="77"/>
    <n v="88.28"/>
    <m/>
    <n v="88.28"/>
  </r>
  <r>
    <s v="09/08/2025"/>
    <x v="7"/>
    <x v="13"/>
    <x v="1"/>
    <x v="1"/>
    <x v="79"/>
    <n v="95.02"/>
    <m/>
    <n v="95.02"/>
  </r>
  <r>
    <s v="09/16/2025"/>
    <x v="7"/>
    <x v="13"/>
    <x v="1"/>
    <x v="1"/>
    <x v="157"/>
    <n v="89.76"/>
    <m/>
    <n v="89.76"/>
  </r>
  <r>
    <s v="09/22/2025"/>
    <x v="7"/>
    <x v="13"/>
    <x v="1"/>
    <x v="1"/>
    <x v="77"/>
    <n v="62.41"/>
    <m/>
    <n v="62.41"/>
  </r>
  <r>
    <s v="10/08/2025"/>
    <x v="8"/>
    <x v="13"/>
    <x v="1"/>
    <x v="1"/>
    <x v="64"/>
    <n v="197.37"/>
    <m/>
    <n v="197.37"/>
  </r>
  <r>
    <s v="10/24/2025"/>
    <x v="8"/>
    <x v="13"/>
    <x v="1"/>
    <x v="1"/>
    <x v="64"/>
    <n v="6.2"/>
    <m/>
    <n v="6.2"/>
  </r>
  <r>
    <s v="10/24/2025"/>
    <x v="8"/>
    <x v="13"/>
    <x v="1"/>
    <x v="1"/>
    <x v="153"/>
    <n v="27.16"/>
    <m/>
    <n v="27.16"/>
  </r>
  <r>
    <s v="10/28/2025"/>
    <x v="8"/>
    <x v="13"/>
    <x v="1"/>
    <x v="1"/>
    <x v="64"/>
    <n v="150.78"/>
    <m/>
    <n v="150.78"/>
  </r>
  <r>
    <s v="11/04/2025"/>
    <x v="9"/>
    <x v="13"/>
    <x v="1"/>
    <x v="1"/>
    <x v="157"/>
    <n v="60.13"/>
    <m/>
    <n v="60.13"/>
  </r>
  <r>
    <s v="11/29/2025"/>
    <x v="9"/>
    <x v="13"/>
    <x v="1"/>
    <x v="1"/>
    <x v="158"/>
    <n v="-28.95"/>
    <m/>
    <n v="-28.95"/>
  </r>
  <r>
    <s v="11/30/2025"/>
    <x v="9"/>
    <x v="13"/>
    <x v="1"/>
    <x v="1"/>
    <x v="158"/>
    <n v="28.95"/>
    <m/>
    <n v="28.95"/>
  </r>
  <r>
    <s v="12/15/2025"/>
    <x v="10"/>
    <x v="13"/>
    <x v="1"/>
    <x v="1"/>
    <x v="157"/>
    <n v="71.819999999999993"/>
    <m/>
    <n v="71.819999999999993"/>
  </r>
  <r>
    <s v="03/16/2025"/>
    <x v="1"/>
    <x v="14"/>
    <x v="1"/>
    <x v="1"/>
    <x v="159"/>
    <n v="78.02"/>
    <m/>
    <n v="78.02"/>
  </r>
  <r>
    <s v="03/26/2025"/>
    <x v="1"/>
    <x v="14"/>
    <x v="1"/>
    <x v="1"/>
    <x v="159"/>
    <n v="40.020000000000003"/>
    <m/>
    <n v="40.020000000000003"/>
  </r>
  <r>
    <s v="08/14/2025"/>
    <x v="6"/>
    <x v="14"/>
    <x v="1"/>
    <x v="1"/>
    <x v="43"/>
    <n v="53.88"/>
    <m/>
    <n v="53.88"/>
  </r>
  <r>
    <s v="08/17/2025"/>
    <x v="6"/>
    <x v="14"/>
    <x v="1"/>
    <x v="1"/>
    <x v="160"/>
    <n v="45.09"/>
    <m/>
    <n v="45.09"/>
  </r>
  <r>
    <s v="08/19/2025"/>
    <x v="6"/>
    <x v="14"/>
    <x v="1"/>
    <x v="1"/>
    <x v="161"/>
    <n v="8.9499999999999993"/>
    <m/>
    <n v="8.9499999999999993"/>
  </r>
  <r>
    <s v="08/21/2025"/>
    <x v="6"/>
    <x v="14"/>
    <x v="1"/>
    <x v="1"/>
    <x v="160"/>
    <n v="41.27"/>
    <m/>
    <n v="41.27"/>
  </r>
  <r>
    <s v="09/19/2025"/>
    <x v="7"/>
    <x v="14"/>
    <x v="1"/>
    <x v="1"/>
    <x v="43"/>
    <n v="49.99"/>
    <m/>
    <n v="49.99"/>
  </r>
  <r>
    <s v="10/07/2025"/>
    <x v="8"/>
    <x v="14"/>
    <x v="1"/>
    <x v="1"/>
    <x v="160"/>
    <n v="33.979999999999997"/>
    <m/>
    <n v="33.979999999999997"/>
  </r>
  <r>
    <s v="10/09/2025"/>
    <x v="8"/>
    <x v="14"/>
    <x v="1"/>
    <x v="1"/>
    <x v="162"/>
    <n v="45.15"/>
    <m/>
    <n v="45.15"/>
  </r>
  <r>
    <s v="12/03/2025"/>
    <x v="10"/>
    <x v="14"/>
    <x v="1"/>
    <x v="1"/>
    <x v="160"/>
    <n v="29.79"/>
    <m/>
    <n v="29.79"/>
  </r>
  <r>
    <s v="01/03/2025"/>
    <x v="11"/>
    <x v="15"/>
    <x v="1"/>
    <x v="1"/>
    <x v="62"/>
    <n v="76.75"/>
    <m/>
    <n v="76.75"/>
  </r>
  <r>
    <s v="01/03/2025"/>
    <x v="11"/>
    <x v="15"/>
    <x v="1"/>
    <x v="1"/>
    <x v="62"/>
    <n v="30"/>
    <m/>
    <n v="30"/>
  </r>
  <r>
    <s v="01/10/2025"/>
    <x v="11"/>
    <x v="15"/>
    <x v="1"/>
    <x v="1"/>
    <x v="62"/>
    <n v="17.850000000000001"/>
    <m/>
    <n v="17.850000000000001"/>
  </r>
  <r>
    <s v="01/17/2025"/>
    <x v="11"/>
    <x v="15"/>
    <x v="1"/>
    <x v="1"/>
    <x v="62"/>
    <n v="76.75"/>
    <m/>
    <n v="76.75"/>
  </r>
  <r>
    <s v="01/24/2025"/>
    <x v="11"/>
    <x v="15"/>
    <x v="1"/>
    <x v="1"/>
    <x v="62"/>
    <n v="17.850000000000001"/>
    <m/>
    <n v="17.850000000000001"/>
  </r>
  <r>
    <s v="01/24/2025"/>
    <x v="11"/>
    <x v="15"/>
    <x v="1"/>
    <x v="1"/>
    <x v="62"/>
    <n v="8.9499999999999993"/>
    <m/>
    <n v="8.9499999999999993"/>
  </r>
  <r>
    <s v="01/29/2025"/>
    <x v="11"/>
    <x v="15"/>
    <x v="1"/>
    <x v="1"/>
    <x v="62"/>
    <n v="93.75"/>
    <m/>
    <n v="93.75"/>
  </r>
  <r>
    <s v="01/31/2025"/>
    <x v="11"/>
    <x v="15"/>
    <x v="1"/>
    <x v="1"/>
    <x v="62"/>
    <n v="295"/>
    <m/>
    <n v="295"/>
  </r>
  <r>
    <s v="01/31/2025"/>
    <x v="11"/>
    <x v="15"/>
    <x v="1"/>
    <x v="1"/>
    <x v="62"/>
    <n v="76.75"/>
    <m/>
    <n v="76.75"/>
  </r>
  <r>
    <s v="02/07/2025"/>
    <x v="0"/>
    <x v="15"/>
    <x v="1"/>
    <x v="1"/>
    <x v="62"/>
    <n v="17.850000000000001"/>
    <m/>
    <n v="17.850000000000001"/>
  </r>
  <r>
    <s v="02/14/2025"/>
    <x v="0"/>
    <x v="15"/>
    <x v="1"/>
    <x v="1"/>
    <x v="62"/>
    <n v="76.75"/>
    <m/>
    <n v="76.75"/>
  </r>
  <r>
    <s v="02/21/2025"/>
    <x v="0"/>
    <x v="15"/>
    <x v="1"/>
    <x v="1"/>
    <x v="62"/>
    <n v="8.9499999999999993"/>
    <m/>
    <n v="8.9499999999999993"/>
  </r>
  <r>
    <s v="02/21/2025"/>
    <x v="0"/>
    <x v="15"/>
    <x v="1"/>
    <x v="1"/>
    <x v="62"/>
    <n v="17.850000000000001"/>
    <m/>
    <n v="17.850000000000001"/>
  </r>
  <r>
    <s v="02/28/2025"/>
    <x v="0"/>
    <x v="15"/>
    <x v="1"/>
    <x v="1"/>
    <x v="62"/>
    <n v="76.75"/>
    <m/>
    <n v="76.75"/>
  </r>
  <r>
    <s v="03/07/2025"/>
    <x v="1"/>
    <x v="15"/>
    <x v="1"/>
    <x v="1"/>
    <x v="62"/>
    <n v="295"/>
    <m/>
    <n v="295"/>
  </r>
  <r>
    <s v="03/10/2025"/>
    <x v="1"/>
    <x v="15"/>
    <x v="1"/>
    <x v="1"/>
    <x v="62"/>
    <n v="17.850000000000001"/>
    <m/>
    <n v="17.850000000000001"/>
  </r>
  <r>
    <s v="03/21/2025"/>
    <x v="1"/>
    <x v="15"/>
    <x v="1"/>
    <x v="1"/>
    <x v="62"/>
    <n v="76.75"/>
    <m/>
    <n v="76.75"/>
  </r>
  <r>
    <s v="03/21/2025"/>
    <x v="1"/>
    <x v="15"/>
    <x v="1"/>
    <x v="1"/>
    <x v="62"/>
    <n v="17.850000000000001"/>
    <m/>
    <n v="17.850000000000001"/>
  </r>
  <r>
    <s v="03/28/2025"/>
    <x v="1"/>
    <x v="15"/>
    <x v="1"/>
    <x v="1"/>
    <x v="62"/>
    <n v="85.7"/>
    <m/>
    <n v="85.7"/>
  </r>
  <r>
    <s v="04/04/2025"/>
    <x v="2"/>
    <x v="15"/>
    <x v="1"/>
    <x v="1"/>
    <x v="62"/>
    <n v="295"/>
    <m/>
    <n v="295"/>
  </r>
  <r>
    <s v="04/04/2025"/>
    <x v="2"/>
    <x v="15"/>
    <x v="1"/>
    <x v="1"/>
    <x v="62"/>
    <n v="17.850000000000001"/>
    <m/>
    <n v="17.850000000000001"/>
  </r>
  <r>
    <s v="04/11/2025"/>
    <x v="2"/>
    <x v="15"/>
    <x v="1"/>
    <x v="1"/>
    <x v="62"/>
    <n v="76.75"/>
    <m/>
    <n v="76.75"/>
  </r>
  <r>
    <s v="04/18/2025"/>
    <x v="2"/>
    <x v="15"/>
    <x v="1"/>
    <x v="1"/>
    <x v="62"/>
    <n v="17.850000000000001"/>
    <m/>
    <n v="17.850000000000001"/>
  </r>
  <r>
    <s v="04/25/2025"/>
    <x v="2"/>
    <x v="15"/>
    <x v="1"/>
    <x v="1"/>
    <x v="62"/>
    <n v="85.7"/>
    <m/>
    <n v="85.7"/>
  </r>
  <r>
    <s v="05/02/2025"/>
    <x v="3"/>
    <x v="15"/>
    <x v="1"/>
    <x v="1"/>
    <x v="62"/>
    <n v="295"/>
    <m/>
    <n v="295"/>
  </r>
  <r>
    <s v="05/02/2025"/>
    <x v="3"/>
    <x v="15"/>
    <x v="1"/>
    <x v="1"/>
    <x v="62"/>
    <n v="17.850000000000001"/>
    <m/>
    <n v="17.850000000000001"/>
  </r>
  <r>
    <s v="05/09/2025"/>
    <x v="3"/>
    <x v="15"/>
    <x v="1"/>
    <x v="1"/>
    <x v="62"/>
    <n v="76.75"/>
    <m/>
    <n v="76.75"/>
  </r>
  <r>
    <s v="05/16/2025"/>
    <x v="3"/>
    <x v="15"/>
    <x v="1"/>
    <x v="1"/>
    <x v="62"/>
    <n v="17.850000000000001"/>
    <m/>
    <n v="17.850000000000001"/>
  </r>
  <r>
    <s v="05/23/2025"/>
    <x v="3"/>
    <x v="15"/>
    <x v="1"/>
    <x v="1"/>
    <x v="62"/>
    <n v="85.7"/>
    <m/>
    <n v="85.7"/>
  </r>
  <r>
    <s v="06/02/2025"/>
    <x v="4"/>
    <x v="15"/>
    <x v="1"/>
    <x v="1"/>
    <x v="62"/>
    <n v="26.7"/>
    <m/>
    <n v="26.7"/>
  </r>
  <r>
    <s v="06/06/2025"/>
    <x v="4"/>
    <x v="15"/>
    <x v="1"/>
    <x v="1"/>
    <x v="62"/>
    <n v="295"/>
    <m/>
    <n v="295"/>
  </r>
  <r>
    <s v="06/13/2025"/>
    <x v="4"/>
    <x v="15"/>
    <x v="1"/>
    <x v="1"/>
    <x v="62"/>
    <n v="81.66"/>
    <m/>
    <n v="81.66"/>
  </r>
  <r>
    <s v="06/13/2025"/>
    <x v="4"/>
    <x v="15"/>
    <x v="1"/>
    <x v="1"/>
    <x v="62"/>
    <n v="9"/>
    <m/>
    <n v="9"/>
  </r>
  <r>
    <s v="06/20/2025"/>
    <x v="4"/>
    <x v="15"/>
    <x v="1"/>
    <x v="1"/>
    <x v="62"/>
    <n v="81.66"/>
    <m/>
    <n v="81.66"/>
  </r>
  <r>
    <s v="06/27/2025"/>
    <x v="4"/>
    <x v="15"/>
    <x v="1"/>
    <x v="1"/>
    <x v="62"/>
    <n v="8.9499999999999993"/>
    <m/>
    <n v="8.9499999999999993"/>
  </r>
  <r>
    <s v="06/30/2025"/>
    <x v="4"/>
    <x v="15"/>
    <x v="1"/>
    <x v="1"/>
    <x v="62"/>
    <n v="17.850000000000001"/>
    <m/>
    <n v="17.850000000000001"/>
  </r>
  <r>
    <s v="07/07/2025"/>
    <x v="5"/>
    <x v="15"/>
    <x v="1"/>
    <x v="1"/>
    <x v="62"/>
    <n v="295"/>
    <m/>
    <n v="295"/>
  </r>
  <r>
    <s v="07/11/2025"/>
    <x v="5"/>
    <x v="15"/>
    <x v="1"/>
    <x v="1"/>
    <x v="62"/>
    <n v="17.75"/>
    <m/>
    <n v="17.75"/>
  </r>
  <r>
    <s v="07/11/2025"/>
    <x v="5"/>
    <x v="15"/>
    <x v="1"/>
    <x v="1"/>
    <x v="62"/>
    <n v="84.95"/>
    <m/>
    <n v="84.95"/>
  </r>
  <r>
    <s v="07/18/2025"/>
    <x v="5"/>
    <x v="15"/>
    <x v="1"/>
    <x v="1"/>
    <x v="62"/>
    <n v="87.53"/>
    <m/>
    <n v="87.53"/>
  </r>
  <r>
    <s v="07/25/2025"/>
    <x v="5"/>
    <x v="15"/>
    <x v="1"/>
    <x v="1"/>
    <x v="62"/>
    <n v="8.9499999999999993"/>
    <m/>
    <n v="8.9499999999999993"/>
  </r>
  <r>
    <s v="07/25/2025"/>
    <x v="5"/>
    <x v="15"/>
    <x v="1"/>
    <x v="1"/>
    <x v="62"/>
    <n v="17.850000000000001"/>
    <m/>
    <n v="17.850000000000001"/>
  </r>
  <r>
    <s v="08/01/2025"/>
    <x v="6"/>
    <x v="15"/>
    <x v="1"/>
    <x v="1"/>
    <x v="62"/>
    <n v="87.53"/>
    <m/>
    <n v="87.53"/>
  </r>
  <r>
    <s v="08/01/2025"/>
    <x v="6"/>
    <x v="15"/>
    <x v="1"/>
    <x v="1"/>
    <x v="62"/>
    <n v="295"/>
    <m/>
    <n v="295"/>
  </r>
  <r>
    <s v="08/11/2025"/>
    <x v="6"/>
    <x v="15"/>
    <x v="1"/>
    <x v="1"/>
    <x v="62"/>
    <n v="17.850000000000001"/>
    <m/>
    <n v="17.850000000000001"/>
  </r>
  <r>
    <s v="08/22/2025"/>
    <x v="6"/>
    <x v="15"/>
    <x v="1"/>
    <x v="1"/>
    <x v="62"/>
    <n v="105.43"/>
    <m/>
    <n v="105.43"/>
  </r>
  <r>
    <s v="08/22/2025"/>
    <x v="6"/>
    <x v="15"/>
    <x v="1"/>
    <x v="1"/>
    <x v="62"/>
    <n v="17.850000000000001"/>
    <m/>
    <n v="17.850000000000001"/>
  </r>
  <r>
    <s v="08/29/2025"/>
    <x v="6"/>
    <x v="15"/>
    <x v="1"/>
    <x v="1"/>
    <x v="62"/>
    <n v="87.53"/>
    <m/>
    <n v="87.53"/>
  </r>
  <r>
    <s v="09/05/2025"/>
    <x v="7"/>
    <x v="15"/>
    <x v="1"/>
    <x v="1"/>
    <x v="62"/>
    <n v="303.85000000000002"/>
    <m/>
    <n v="303.85000000000002"/>
  </r>
  <r>
    <s v="09/05/2025"/>
    <x v="7"/>
    <x v="15"/>
    <x v="1"/>
    <x v="1"/>
    <x v="62"/>
    <n v="17.850000000000001"/>
    <m/>
    <n v="17.850000000000001"/>
  </r>
  <r>
    <s v="09/12/2025"/>
    <x v="7"/>
    <x v="15"/>
    <x v="1"/>
    <x v="1"/>
    <x v="62"/>
    <n v="87.53"/>
    <m/>
    <n v="87.53"/>
  </r>
  <r>
    <s v="09/19/2025"/>
    <x v="7"/>
    <x v="15"/>
    <x v="1"/>
    <x v="1"/>
    <x v="62"/>
    <n v="17.850000000000001"/>
    <m/>
    <n v="17.850000000000001"/>
  </r>
  <r>
    <s v="09/26/2025"/>
    <x v="7"/>
    <x v="15"/>
    <x v="1"/>
    <x v="1"/>
    <x v="62"/>
    <n v="208.43"/>
    <m/>
    <n v="208.43"/>
  </r>
  <r>
    <s v="10/03/2025"/>
    <x v="8"/>
    <x v="15"/>
    <x v="1"/>
    <x v="1"/>
    <x v="62"/>
    <n v="272.02999999999997"/>
    <m/>
    <n v="272.02999999999997"/>
  </r>
  <r>
    <s v="10/03/2025"/>
    <x v="8"/>
    <x v="15"/>
    <x v="1"/>
    <x v="1"/>
    <x v="62"/>
    <n v="295.89999999999998"/>
    <m/>
    <n v="295.89999999999998"/>
  </r>
  <r>
    <s v="10/10/2025"/>
    <x v="8"/>
    <x v="15"/>
    <x v="1"/>
    <x v="1"/>
    <x v="62"/>
    <n v="96.07"/>
    <m/>
    <n v="96.07"/>
  </r>
  <r>
    <s v="10/17/2025"/>
    <x v="8"/>
    <x v="15"/>
    <x v="1"/>
    <x v="1"/>
    <x v="62"/>
    <n v="54.62"/>
    <m/>
    <n v="54.62"/>
  </r>
  <r>
    <s v="10/24/2025"/>
    <x v="8"/>
    <x v="15"/>
    <x v="1"/>
    <x v="1"/>
    <x v="62"/>
    <n v="115.16"/>
    <m/>
    <n v="115.16"/>
  </r>
  <r>
    <s v="10/31/2025"/>
    <x v="8"/>
    <x v="15"/>
    <x v="1"/>
    <x v="1"/>
    <x v="62"/>
    <n v="54.62"/>
    <m/>
    <n v="54.62"/>
  </r>
  <r>
    <s v="10/31/2025"/>
    <x v="8"/>
    <x v="15"/>
    <x v="1"/>
    <x v="1"/>
    <x v="62"/>
    <n v="314.14999999999998"/>
    <m/>
    <n v="314.14999999999998"/>
  </r>
  <r>
    <s v="11/07/2025"/>
    <x v="9"/>
    <x v="15"/>
    <x v="1"/>
    <x v="1"/>
    <x v="62"/>
    <n v="96.07"/>
    <m/>
    <n v="96.07"/>
  </r>
  <r>
    <s v="11/14/2025"/>
    <x v="9"/>
    <x v="15"/>
    <x v="1"/>
    <x v="1"/>
    <x v="62"/>
    <n v="50.94"/>
    <m/>
    <n v="50.94"/>
  </r>
  <r>
    <s v="11/21/2025"/>
    <x v="9"/>
    <x v="15"/>
    <x v="1"/>
    <x v="1"/>
    <x v="62"/>
    <n v="115.16"/>
    <m/>
    <n v="115.16"/>
  </r>
  <r>
    <s v="12/01/2025"/>
    <x v="10"/>
    <x v="15"/>
    <x v="1"/>
    <x v="1"/>
    <x v="62"/>
    <n v="85.68"/>
    <m/>
    <n v="85.68"/>
  </r>
  <r>
    <s v="12/05/2025"/>
    <x v="10"/>
    <x v="15"/>
    <x v="1"/>
    <x v="1"/>
    <x v="62"/>
    <n v="306.2"/>
    <m/>
    <n v="306.2"/>
  </r>
  <r>
    <s v="12/05/2025"/>
    <x v="10"/>
    <x v="15"/>
    <x v="1"/>
    <x v="1"/>
    <x v="62"/>
    <n v="98.82"/>
    <m/>
    <n v="98.82"/>
  </r>
  <r>
    <s v="12/12/2025"/>
    <x v="10"/>
    <x v="15"/>
    <x v="1"/>
    <x v="1"/>
    <x v="62"/>
    <n v="96.86"/>
    <m/>
    <n v="96.86"/>
  </r>
  <r>
    <s v="12/19/2025"/>
    <x v="10"/>
    <x v="15"/>
    <x v="1"/>
    <x v="1"/>
    <x v="62"/>
    <n v="98.82"/>
    <m/>
    <n v="98.82"/>
  </r>
  <r>
    <s v="12/26/2025"/>
    <x v="10"/>
    <x v="15"/>
    <x v="1"/>
    <x v="1"/>
    <x v="62"/>
    <n v="17.850000000000001"/>
    <m/>
    <n v="17.850000000000001"/>
  </r>
  <r>
    <s v="12/26/2025"/>
    <x v="10"/>
    <x v="15"/>
    <x v="1"/>
    <x v="1"/>
    <x v="62"/>
    <n v="19.09"/>
    <m/>
    <n v="19.09"/>
  </r>
  <r>
    <s v="01/10/2025"/>
    <x v="11"/>
    <x v="16"/>
    <x v="5"/>
    <x v="1"/>
    <x v="62"/>
    <n v="4326.4399999999996"/>
    <m/>
    <n v="4326.4399999999996"/>
  </r>
  <r>
    <s v="01/27/2025"/>
    <x v="11"/>
    <x v="16"/>
    <x v="5"/>
    <x v="1"/>
    <x v="62"/>
    <n v="4146.43"/>
    <m/>
    <n v="4146.43"/>
  </r>
  <r>
    <s v="02/07/2025"/>
    <x v="0"/>
    <x v="16"/>
    <x v="5"/>
    <x v="1"/>
    <x v="62"/>
    <n v="3974.87"/>
    <m/>
    <n v="3974.87"/>
  </r>
  <r>
    <s v="02/21/2025"/>
    <x v="0"/>
    <x v="16"/>
    <x v="5"/>
    <x v="1"/>
    <x v="62"/>
    <n v="3973.66"/>
    <m/>
    <n v="3973.66"/>
  </r>
  <r>
    <s v="03/10/2025"/>
    <x v="1"/>
    <x v="16"/>
    <x v="5"/>
    <x v="1"/>
    <x v="62"/>
    <n v="3964.07"/>
    <m/>
    <n v="3964.07"/>
  </r>
  <r>
    <s v="03/21/2025"/>
    <x v="1"/>
    <x v="16"/>
    <x v="5"/>
    <x v="1"/>
    <x v="62"/>
    <n v="3915.46"/>
    <m/>
    <n v="3915.46"/>
  </r>
  <r>
    <s v="04/04/2025"/>
    <x v="2"/>
    <x v="16"/>
    <x v="5"/>
    <x v="1"/>
    <x v="62"/>
    <n v="3915.47"/>
    <m/>
    <n v="3915.47"/>
  </r>
  <r>
    <s v="04/18/2025"/>
    <x v="2"/>
    <x v="16"/>
    <x v="5"/>
    <x v="1"/>
    <x v="62"/>
    <n v="3915.46"/>
    <m/>
    <n v="3915.46"/>
  </r>
  <r>
    <s v="05/02/2025"/>
    <x v="3"/>
    <x v="16"/>
    <x v="5"/>
    <x v="1"/>
    <x v="62"/>
    <n v="3915.47"/>
    <m/>
    <n v="3915.47"/>
  </r>
  <r>
    <s v="05/16/2025"/>
    <x v="3"/>
    <x v="16"/>
    <x v="5"/>
    <x v="1"/>
    <x v="62"/>
    <n v="3915.46"/>
    <m/>
    <n v="3915.46"/>
  </r>
  <r>
    <s v="06/02/2025"/>
    <x v="4"/>
    <x v="16"/>
    <x v="5"/>
    <x v="1"/>
    <x v="62"/>
    <n v="3915.47"/>
    <m/>
    <n v="3915.47"/>
  </r>
  <r>
    <s v="06/13/2025"/>
    <x v="4"/>
    <x v="16"/>
    <x v="5"/>
    <x v="1"/>
    <x v="62"/>
    <n v="3915.46"/>
    <m/>
    <n v="3915.46"/>
  </r>
  <r>
    <s v="06/30/2025"/>
    <x v="4"/>
    <x v="16"/>
    <x v="5"/>
    <x v="1"/>
    <x v="62"/>
    <n v="3915.47"/>
    <m/>
    <n v="3915.47"/>
  </r>
  <r>
    <s v="07/11/2025"/>
    <x v="5"/>
    <x v="16"/>
    <x v="5"/>
    <x v="1"/>
    <x v="62"/>
    <n v="4337.97"/>
    <m/>
    <n v="4337.97"/>
  </r>
  <r>
    <s v="07/25/2025"/>
    <x v="5"/>
    <x v="16"/>
    <x v="5"/>
    <x v="1"/>
    <x v="62"/>
    <n v="5889.65"/>
    <m/>
    <n v="5889.65"/>
  </r>
  <r>
    <s v="08/11/2025"/>
    <x v="6"/>
    <x v="16"/>
    <x v="5"/>
    <x v="1"/>
    <x v="62"/>
    <n v="5635.66"/>
    <m/>
    <n v="5635.66"/>
  </r>
  <r>
    <s v="08/22/2025"/>
    <x v="6"/>
    <x v="16"/>
    <x v="5"/>
    <x v="1"/>
    <x v="62"/>
    <n v="5635.67"/>
    <m/>
    <n v="5635.67"/>
  </r>
  <r>
    <s v="09/05/2025"/>
    <x v="7"/>
    <x v="16"/>
    <x v="5"/>
    <x v="1"/>
    <x v="62"/>
    <n v="5620.18"/>
    <m/>
    <n v="5620.18"/>
  </r>
  <r>
    <s v="09/19/2025"/>
    <x v="7"/>
    <x v="16"/>
    <x v="5"/>
    <x v="1"/>
    <x v="62"/>
    <n v="5480.31"/>
    <m/>
    <n v="5480.31"/>
  </r>
  <r>
    <s v="10/03/2025"/>
    <x v="8"/>
    <x v="16"/>
    <x v="5"/>
    <x v="1"/>
    <x v="62"/>
    <n v="5887.8"/>
    <m/>
    <n v="5887.8"/>
  </r>
  <r>
    <s v="10/17/2025"/>
    <x v="8"/>
    <x v="16"/>
    <x v="5"/>
    <x v="1"/>
    <x v="62"/>
    <n v="5507.39"/>
    <m/>
    <n v="5507.39"/>
  </r>
  <r>
    <s v="11/03/2025"/>
    <x v="9"/>
    <x v="16"/>
    <x v="5"/>
    <x v="1"/>
    <x v="62"/>
    <n v="5550.3"/>
    <m/>
    <n v="5550.3"/>
  </r>
  <r>
    <s v="11/14/2025"/>
    <x v="9"/>
    <x v="16"/>
    <x v="5"/>
    <x v="1"/>
    <x v="62"/>
    <n v="5578.85"/>
    <m/>
    <n v="5578.85"/>
  </r>
  <r>
    <s v="12/01/2025"/>
    <x v="10"/>
    <x v="16"/>
    <x v="5"/>
    <x v="1"/>
    <x v="62"/>
    <n v="5699.81"/>
    <m/>
    <n v="5699.81"/>
  </r>
  <r>
    <s v="12/12/2025"/>
    <x v="10"/>
    <x v="16"/>
    <x v="5"/>
    <x v="1"/>
    <x v="62"/>
    <n v="6033.9"/>
    <m/>
    <n v="6033.9"/>
  </r>
  <r>
    <s v="12/26/2025"/>
    <x v="10"/>
    <x v="16"/>
    <x v="5"/>
    <x v="1"/>
    <x v="62"/>
    <n v="5521.63"/>
    <m/>
    <n v="5521.63"/>
  </r>
  <r>
    <s v="01/17/2025"/>
    <x v="11"/>
    <x v="17"/>
    <x v="1"/>
    <x v="1"/>
    <x v="163"/>
    <n v="14.99"/>
    <m/>
    <n v="14.99"/>
  </r>
  <r>
    <s v="02/17/2025"/>
    <x v="0"/>
    <x v="17"/>
    <x v="1"/>
    <x v="1"/>
    <x v="163"/>
    <n v="14.99"/>
    <m/>
    <n v="14.99"/>
  </r>
  <r>
    <s v="02/19/2025"/>
    <x v="0"/>
    <x v="17"/>
    <x v="1"/>
    <x v="1"/>
    <x v="163"/>
    <n v="1.42"/>
    <m/>
    <n v="1.42"/>
  </r>
  <r>
    <s v="03/17/2025"/>
    <x v="1"/>
    <x v="17"/>
    <x v="1"/>
    <x v="1"/>
    <x v="163"/>
    <n v="14.99"/>
    <m/>
    <n v="14.99"/>
  </r>
  <r>
    <s v="03/27/2025"/>
    <x v="1"/>
    <x v="17"/>
    <x v="1"/>
    <x v="1"/>
    <x v="163"/>
    <n v="16.87"/>
    <m/>
    <n v="16.87"/>
  </r>
  <r>
    <s v="04/17/2025"/>
    <x v="2"/>
    <x v="17"/>
    <x v="1"/>
    <x v="1"/>
    <x v="163"/>
    <n v="14.99"/>
    <m/>
    <n v="14.99"/>
  </r>
  <r>
    <s v="05/03/2025"/>
    <x v="3"/>
    <x v="17"/>
    <x v="1"/>
    <x v="1"/>
    <x v="163"/>
    <n v="1.1000000000000001"/>
    <m/>
    <n v="1.1000000000000001"/>
  </r>
  <r>
    <s v="05/05/2025"/>
    <x v="3"/>
    <x v="17"/>
    <x v="1"/>
    <x v="1"/>
    <x v="163"/>
    <n v="2.25"/>
    <m/>
    <n v="2.25"/>
  </r>
  <r>
    <s v="05/17/2025"/>
    <x v="3"/>
    <x v="17"/>
    <x v="1"/>
    <x v="1"/>
    <x v="163"/>
    <n v="14.99"/>
    <m/>
    <n v="14.99"/>
  </r>
  <r>
    <s v="05/27/2025"/>
    <x v="3"/>
    <x v="17"/>
    <x v="1"/>
    <x v="1"/>
    <x v="163"/>
    <n v="3.03"/>
    <m/>
    <n v="3.03"/>
  </r>
  <r>
    <s v="06/17/2025"/>
    <x v="4"/>
    <x v="17"/>
    <x v="1"/>
    <x v="1"/>
    <x v="163"/>
    <n v="14.99"/>
    <m/>
    <n v="14.99"/>
  </r>
  <r>
    <s v="07/17/2025"/>
    <x v="5"/>
    <x v="17"/>
    <x v="1"/>
    <x v="1"/>
    <x v="163"/>
    <n v="14.99"/>
    <m/>
    <n v="14.99"/>
  </r>
  <r>
    <s v="08/17/2025"/>
    <x v="6"/>
    <x v="17"/>
    <x v="1"/>
    <x v="1"/>
    <x v="163"/>
    <n v="14.99"/>
    <m/>
    <n v="14.99"/>
  </r>
  <r>
    <s v="09/03/2025"/>
    <x v="7"/>
    <x v="17"/>
    <x v="1"/>
    <x v="1"/>
    <x v="163"/>
    <n v="2.25"/>
    <m/>
    <n v="2.25"/>
  </r>
  <r>
    <s v="09/03/2025"/>
    <x v="7"/>
    <x v="17"/>
    <x v="1"/>
    <x v="1"/>
    <x v="163"/>
    <n v="2.25"/>
    <m/>
    <n v="2.25"/>
  </r>
  <r>
    <s v="09/17/2025"/>
    <x v="7"/>
    <x v="17"/>
    <x v="1"/>
    <x v="1"/>
    <x v="163"/>
    <n v="14.99"/>
    <m/>
    <n v="14.99"/>
  </r>
  <r>
    <s v="10/17/2025"/>
    <x v="8"/>
    <x v="17"/>
    <x v="1"/>
    <x v="1"/>
    <x v="163"/>
    <n v="14.99"/>
    <m/>
    <n v="14.99"/>
  </r>
  <r>
    <s v="11/07/2025"/>
    <x v="9"/>
    <x v="17"/>
    <x v="1"/>
    <x v="1"/>
    <x v="164"/>
    <n v="185.43"/>
    <m/>
    <n v="185.43"/>
  </r>
  <r>
    <s v="11/17/2025"/>
    <x v="9"/>
    <x v="17"/>
    <x v="1"/>
    <x v="1"/>
    <x v="163"/>
    <n v="14.99"/>
    <m/>
    <n v="14.99"/>
  </r>
  <r>
    <s v="12/17/2025"/>
    <x v="10"/>
    <x v="17"/>
    <x v="1"/>
    <x v="1"/>
    <x v="163"/>
    <n v="14.99"/>
    <m/>
    <n v="14.99"/>
  </r>
  <r>
    <s v="01/22/2025"/>
    <x v="11"/>
    <x v="18"/>
    <x v="1"/>
    <x v="1"/>
    <x v="165"/>
    <n v="225"/>
    <m/>
    <n v="225"/>
  </r>
  <r>
    <s v="12/31/2025"/>
    <x v="10"/>
    <x v="18"/>
    <x v="1"/>
    <x v="1"/>
    <x v="165"/>
    <n v="7865"/>
    <m/>
    <n v="7865"/>
  </r>
  <r>
    <s v="04/01/2025"/>
    <x v="2"/>
    <x v="19"/>
    <x v="6"/>
    <x v="2"/>
    <x v="10"/>
    <n v="1050"/>
    <m/>
    <n v="1050"/>
  </r>
  <r>
    <s v="06/02/2025"/>
    <x v="4"/>
    <x v="19"/>
    <x v="6"/>
    <x v="2"/>
    <x v="10"/>
    <n v="2000"/>
    <m/>
    <n v="2000"/>
  </r>
  <r>
    <s v="09/04/2025"/>
    <x v="7"/>
    <x v="19"/>
    <x v="6"/>
    <x v="2"/>
    <x v="10"/>
    <n v="2000"/>
    <m/>
    <n v="2000"/>
  </r>
  <r>
    <s v="11/14/2025"/>
    <x v="9"/>
    <x v="19"/>
    <x v="6"/>
    <x v="2"/>
    <x v="10"/>
    <n v="2000"/>
    <m/>
    <n v="2000"/>
  </r>
  <r>
    <s v="01/06/2025"/>
    <x v="11"/>
    <x v="20"/>
    <x v="7"/>
    <x v="2"/>
    <x v="166"/>
    <n v="105.8"/>
    <m/>
    <n v="105.8"/>
  </r>
  <r>
    <s v="01/28/2025"/>
    <x v="11"/>
    <x v="21"/>
    <x v="4"/>
    <x v="1"/>
    <x v="167"/>
    <n v="105.53"/>
    <m/>
    <n v="105.53"/>
  </r>
  <r>
    <s v="01/29/2025"/>
    <x v="11"/>
    <x v="20"/>
    <x v="7"/>
    <x v="2"/>
    <x v="168"/>
    <n v="16.89"/>
    <m/>
    <n v="16.89"/>
  </r>
  <r>
    <s v="02/04/2025"/>
    <x v="0"/>
    <x v="20"/>
    <x v="7"/>
    <x v="2"/>
    <x v="166"/>
    <n v="106.6"/>
    <m/>
    <n v="106.6"/>
  </r>
  <r>
    <s v="02/26/2025"/>
    <x v="0"/>
    <x v="20"/>
    <x v="7"/>
    <x v="2"/>
    <x v="168"/>
    <n v="16.89"/>
    <m/>
    <n v="16.89"/>
  </r>
  <r>
    <s v="02/28/2025"/>
    <x v="0"/>
    <x v="21"/>
    <x v="4"/>
    <x v="1"/>
    <x v="167"/>
    <n v="105.53"/>
    <m/>
    <n v="105.53"/>
  </r>
  <r>
    <s v="03/04/2025"/>
    <x v="1"/>
    <x v="20"/>
    <x v="7"/>
    <x v="2"/>
    <x v="166"/>
    <n v="106.6"/>
    <m/>
    <n v="106.6"/>
  </r>
  <r>
    <s v="03/10/2025"/>
    <x v="1"/>
    <x v="21"/>
    <x v="4"/>
    <x v="1"/>
    <x v="169"/>
    <n v="5000"/>
    <m/>
    <n v="5000"/>
  </r>
  <r>
    <s v="03/11/2025"/>
    <x v="1"/>
    <x v="21"/>
    <x v="4"/>
    <x v="1"/>
    <x v="170"/>
    <n v="20"/>
    <m/>
    <n v="20"/>
  </r>
  <r>
    <s v="03/17/2025"/>
    <x v="1"/>
    <x v="21"/>
    <x v="4"/>
    <x v="1"/>
    <x v="171"/>
    <n v="1053.52"/>
    <m/>
    <n v="1053.52"/>
  </r>
  <r>
    <s v="03/17/2025"/>
    <x v="1"/>
    <x v="21"/>
    <x v="4"/>
    <x v="1"/>
    <x v="171"/>
    <n v="1941.62"/>
    <m/>
    <n v="1941.62"/>
  </r>
  <r>
    <s v="03/28/2025"/>
    <x v="1"/>
    <x v="21"/>
    <x v="4"/>
    <x v="1"/>
    <x v="167"/>
    <n v="105.53"/>
    <m/>
    <n v="105.53"/>
  </r>
  <r>
    <s v="03/29/2025"/>
    <x v="1"/>
    <x v="20"/>
    <x v="7"/>
    <x v="2"/>
    <x v="168"/>
    <n v="19.899999999999999"/>
    <m/>
    <n v="19.899999999999999"/>
  </r>
  <r>
    <s v="04/04/2025"/>
    <x v="2"/>
    <x v="20"/>
    <x v="7"/>
    <x v="2"/>
    <x v="166"/>
    <n v="106.6"/>
    <m/>
    <n v="106.6"/>
  </r>
  <r>
    <s v="04/18/2025"/>
    <x v="2"/>
    <x v="21"/>
    <x v="4"/>
    <x v="1"/>
    <x v="171"/>
    <n v="1053.52"/>
    <m/>
    <n v="1053.52"/>
  </r>
  <r>
    <s v="04/28/2025"/>
    <x v="2"/>
    <x v="21"/>
    <x v="4"/>
    <x v="1"/>
    <x v="167"/>
    <n v="105.53"/>
    <m/>
    <n v="105.53"/>
  </r>
  <r>
    <s v="04/28/2025"/>
    <x v="2"/>
    <x v="20"/>
    <x v="7"/>
    <x v="2"/>
    <x v="168"/>
    <n v="19.899999999999999"/>
    <m/>
    <n v="19.899999999999999"/>
  </r>
  <r>
    <s v="05/06/2025"/>
    <x v="3"/>
    <x v="20"/>
    <x v="7"/>
    <x v="2"/>
    <x v="166"/>
    <n v="111.33"/>
    <m/>
    <n v="111.33"/>
  </r>
  <r>
    <s v="05/18/2025"/>
    <x v="3"/>
    <x v="21"/>
    <x v="4"/>
    <x v="1"/>
    <x v="171"/>
    <n v="1053.52"/>
    <m/>
    <n v="1053.52"/>
  </r>
  <r>
    <s v="05/28/2025"/>
    <x v="3"/>
    <x v="21"/>
    <x v="4"/>
    <x v="1"/>
    <x v="167"/>
    <n v="105.53"/>
    <m/>
    <n v="105.53"/>
  </r>
  <r>
    <s v="05/29/2025"/>
    <x v="3"/>
    <x v="20"/>
    <x v="7"/>
    <x v="2"/>
    <x v="168"/>
    <n v="19.899999999999999"/>
    <m/>
    <n v="19.899999999999999"/>
  </r>
  <r>
    <s v="06/04/2025"/>
    <x v="4"/>
    <x v="20"/>
    <x v="7"/>
    <x v="2"/>
    <x v="166"/>
    <n v="106.6"/>
    <m/>
    <n v="106.6"/>
  </r>
  <r>
    <s v="06/18/2025"/>
    <x v="4"/>
    <x v="21"/>
    <x v="4"/>
    <x v="1"/>
    <x v="171"/>
    <n v="1053.52"/>
    <m/>
    <n v="1053.52"/>
  </r>
  <r>
    <s v="06/28/2025"/>
    <x v="4"/>
    <x v="20"/>
    <x v="7"/>
    <x v="2"/>
    <x v="168"/>
    <n v="19.899999999999999"/>
    <m/>
    <n v="19.899999999999999"/>
  </r>
  <r>
    <s v="06/28/2025"/>
    <x v="4"/>
    <x v="21"/>
    <x v="4"/>
    <x v="1"/>
    <x v="167"/>
    <n v="105.53"/>
    <m/>
    <n v="105.53"/>
  </r>
  <r>
    <s v="07/07/2025"/>
    <x v="5"/>
    <x v="20"/>
    <x v="7"/>
    <x v="2"/>
    <x v="166"/>
    <n v="107.67"/>
    <m/>
    <n v="107.67"/>
  </r>
  <r>
    <s v="07/18/2025"/>
    <x v="5"/>
    <x v="21"/>
    <x v="4"/>
    <x v="1"/>
    <x v="171"/>
    <n v="1053.52"/>
    <m/>
    <n v="1053.52"/>
  </r>
  <r>
    <s v="07/28/2025"/>
    <x v="5"/>
    <x v="21"/>
    <x v="4"/>
    <x v="1"/>
    <x v="167"/>
    <n v="105.53"/>
    <m/>
    <n v="105.53"/>
  </r>
  <r>
    <s v="07/28/2025"/>
    <x v="5"/>
    <x v="21"/>
    <x v="4"/>
    <x v="1"/>
    <x v="172"/>
    <n v="3159.62"/>
    <m/>
    <n v="3159.62"/>
  </r>
  <r>
    <s v="08/05/2025"/>
    <x v="6"/>
    <x v="20"/>
    <x v="7"/>
    <x v="2"/>
    <x v="166"/>
    <n v="106.6"/>
    <m/>
    <n v="106.6"/>
  </r>
  <r>
    <s v="08/18/2025"/>
    <x v="6"/>
    <x v="21"/>
    <x v="4"/>
    <x v="1"/>
    <x v="171"/>
    <n v="1053.52"/>
    <m/>
    <n v="1053.52"/>
  </r>
  <r>
    <s v="08/28/2025"/>
    <x v="6"/>
    <x v="21"/>
    <x v="4"/>
    <x v="1"/>
    <x v="167"/>
    <n v="105.53"/>
    <m/>
    <n v="105.53"/>
  </r>
  <r>
    <s v="08/29/2025"/>
    <x v="6"/>
    <x v="20"/>
    <x v="7"/>
    <x v="2"/>
    <x v="168"/>
    <n v="19.899999999999999"/>
    <m/>
    <n v="19.899999999999999"/>
  </r>
  <r>
    <s v="09/02/2025"/>
    <x v="7"/>
    <x v="20"/>
    <x v="7"/>
    <x v="2"/>
    <x v="166"/>
    <n v="106.6"/>
    <m/>
    <n v="106.6"/>
  </r>
  <r>
    <s v="09/18/2025"/>
    <x v="7"/>
    <x v="21"/>
    <x v="4"/>
    <x v="1"/>
    <x v="171"/>
    <n v="1053.52"/>
    <m/>
    <n v="1053.52"/>
  </r>
  <r>
    <s v="09/28/2025"/>
    <x v="7"/>
    <x v="21"/>
    <x v="4"/>
    <x v="1"/>
    <x v="167"/>
    <n v="142.84"/>
    <m/>
    <n v="142.84"/>
  </r>
  <r>
    <s v="09/28/2025"/>
    <x v="7"/>
    <x v="20"/>
    <x v="7"/>
    <x v="2"/>
    <x v="168"/>
    <n v="19.899999999999999"/>
    <m/>
    <n v="19.899999999999999"/>
  </r>
  <r>
    <s v="09/29/2025"/>
    <x v="7"/>
    <x v="21"/>
    <x v="4"/>
    <x v="1"/>
    <x v="173"/>
    <n v="185.05"/>
    <m/>
    <n v="185.05"/>
  </r>
  <r>
    <s v="09/30/2025"/>
    <x v="7"/>
    <x v="21"/>
    <x v="4"/>
    <x v="1"/>
    <x v="173"/>
    <n v="366.45"/>
    <m/>
    <n v="366.45"/>
  </r>
  <r>
    <s v="09/30/2025"/>
    <x v="7"/>
    <x v="21"/>
    <x v="4"/>
    <x v="1"/>
    <x v="173"/>
    <n v="366.45"/>
    <m/>
    <n v="366.45"/>
  </r>
  <r>
    <s v="09/30/2025"/>
    <x v="7"/>
    <x v="21"/>
    <x v="4"/>
    <x v="1"/>
    <x v="173"/>
    <n v="233.55"/>
    <m/>
    <n v="233.55"/>
  </r>
  <r>
    <s v="10/02/2025"/>
    <x v="8"/>
    <x v="20"/>
    <x v="7"/>
    <x v="2"/>
    <x v="166"/>
    <n v="127.92"/>
    <m/>
    <n v="127.92"/>
  </r>
  <r>
    <s v="10/18/2025"/>
    <x v="8"/>
    <x v="21"/>
    <x v="4"/>
    <x v="1"/>
    <x v="171"/>
    <n v="1053.52"/>
    <m/>
    <n v="1053.52"/>
  </r>
  <r>
    <s v="10/28/2025"/>
    <x v="8"/>
    <x v="21"/>
    <x v="4"/>
    <x v="1"/>
    <x v="167"/>
    <n v="105.53"/>
    <m/>
    <n v="105.53"/>
  </r>
  <r>
    <s v="10/29/2025"/>
    <x v="8"/>
    <x v="20"/>
    <x v="7"/>
    <x v="2"/>
    <x v="168"/>
    <n v="19.899999999999999"/>
    <m/>
    <n v="19.899999999999999"/>
  </r>
  <r>
    <s v="11/03/2025"/>
    <x v="9"/>
    <x v="20"/>
    <x v="7"/>
    <x v="2"/>
    <x v="166"/>
    <n v="128.56"/>
    <m/>
    <n v="128.56"/>
  </r>
  <r>
    <s v="11/11/2025"/>
    <x v="9"/>
    <x v="21"/>
    <x v="4"/>
    <x v="1"/>
    <x v="171"/>
    <n v="14.51"/>
    <m/>
    <n v="14.51"/>
  </r>
  <r>
    <s v="11/18/2025"/>
    <x v="9"/>
    <x v="21"/>
    <x v="4"/>
    <x v="1"/>
    <x v="171"/>
    <n v="1128.52"/>
    <m/>
    <n v="1128.52"/>
  </r>
  <r>
    <s v="11/28/2025"/>
    <x v="9"/>
    <x v="21"/>
    <x v="4"/>
    <x v="1"/>
    <x v="167"/>
    <n v="105.53"/>
    <m/>
    <n v="105.53"/>
  </r>
  <r>
    <s v="11/28/2025"/>
    <x v="9"/>
    <x v="20"/>
    <x v="7"/>
    <x v="2"/>
    <x v="168"/>
    <n v="19.899999999999999"/>
    <m/>
    <n v="19.899999999999999"/>
  </r>
  <r>
    <s v="12/02/2025"/>
    <x v="10"/>
    <x v="20"/>
    <x v="7"/>
    <x v="2"/>
    <x v="166"/>
    <n v="127.92"/>
    <m/>
    <n v="127.92"/>
  </r>
  <r>
    <s v="12/18/2025"/>
    <x v="10"/>
    <x v="21"/>
    <x v="4"/>
    <x v="1"/>
    <x v="171"/>
    <n v="1128.52"/>
    <m/>
    <n v="1128.52"/>
  </r>
  <r>
    <s v="12/28/2025"/>
    <x v="10"/>
    <x v="21"/>
    <x v="4"/>
    <x v="1"/>
    <x v="167"/>
    <n v="105.53"/>
    <m/>
    <n v="105.53"/>
  </r>
  <r>
    <s v="12/29/2025"/>
    <x v="10"/>
    <x v="20"/>
    <x v="7"/>
    <x v="2"/>
    <x v="168"/>
    <n v="19.899999999999999"/>
    <m/>
    <n v="19.899999999999999"/>
  </r>
  <r>
    <s v="01/01/2025"/>
    <x v="11"/>
    <x v="20"/>
    <x v="7"/>
    <x v="2"/>
    <x v="28"/>
    <n v="438.72"/>
    <m/>
    <n v="438.72"/>
  </r>
  <r>
    <s v="01/06/2025"/>
    <x v="11"/>
    <x v="20"/>
    <x v="7"/>
    <x v="2"/>
    <x v="29"/>
    <n v="31.64"/>
    <m/>
    <n v="31.64"/>
  </r>
  <r>
    <s v="01/10/2025"/>
    <x v="11"/>
    <x v="20"/>
    <x v="7"/>
    <x v="2"/>
    <x v="174"/>
    <n v="103.84"/>
    <m/>
    <n v="103.84"/>
  </r>
  <r>
    <s v="01/13/2025"/>
    <x v="11"/>
    <x v="20"/>
    <x v="7"/>
    <x v="2"/>
    <x v="175"/>
    <n v="310.67"/>
    <m/>
    <n v="310.67"/>
  </r>
  <r>
    <s v="02/01/2025"/>
    <x v="0"/>
    <x v="20"/>
    <x v="7"/>
    <x v="2"/>
    <x v="28"/>
    <n v="464.71"/>
    <m/>
    <n v="464.71"/>
  </r>
  <r>
    <s v="02/01/2025"/>
    <x v="0"/>
    <x v="20"/>
    <x v="7"/>
    <x v="2"/>
    <x v="28"/>
    <n v="22.59"/>
    <m/>
    <n v="22.59"/>
  </r>
  <r>
    <s v="02/06/2025"/>
    <x v="0"/>
    <x v="20"/>
    <x v="7"/>
    <x v="2"/>
    <x v="29"/>
    <n v="26.65"/>
    <m/>
    <n v="26.65"/>
  </r>
  <r>
    <s v="02/07/2025"/>
    <x v="0"/>
    <x v="20"/>
    <x v="7"/>
    <x v="2"/>
    <x v="175"/>
    <n v="511.68"/>
    <m/>
    <n v="511.68"/>
  </r>
  <r>
    <s v="02/09/2025"/>
    <x v="0"/>
    <x v="20"/>
    <x v="7"/>
    <x v="2"/>
    <x v="176"/>
    <n v="47.92"/>
    <m/>
    <n v="47.92"/>
  </r>
  <r>
    <s v="02/10/2025"/>
    <x v="0"/>
    <x v="20"/>
    <x v="7"/>
    <x v="2"/>
    <x v="176"/>
    <n v="48.4"/>
    <m/>
    <n v="48.4"/>
  </r>
  <r>
    <s v="02/12/2025"/>
    <x v="0"/>
    <x v="20"/>
    <x v="7"/>
    <x v="2"/>
    <x v="174"/>
    <n v="115.73"/>
    <m/>
    <n v="115.73"/>
  </r>
  <r>
    <s v="02/13/2025"/>
    <x v="0"/>
    <x v="20"/>
    <x v="7"/>
    <x v="2"/>
    <x v="177"/>
    <n v="5000"/>
    <m/>
    <n v="5000"/>
  </r>
  <r>
    <s v="02/13/2025"/>
    <x v="0"/>
    <x v="20"/>
    <x v="7"/>
    <x v="2"/>
    <x v="175"/>
    <n v="300"/>
    <m/>
    <n v="300"/>
  </r>
  <r>
    <s v="02/19/2025"/>
    <x v="0"/>
    <x v="20"/>
    <x v="7"/>
    <x v="2"/>
    <x v="175"/>
    <n v="6871.4"/>
    <m/>
    <n v="6871.4"/>
  </r>
  <r>
    <s v="02/19/2025"/>
    <x v="0"/>
    <x v="20"/>
    <x v="7"/>
    <x v="2"/>
    <x v="176"/>
    <n v="48.4"/>
    <m/>
    <n v="48.4"/>
  </r>
  <r>
    <s v="02/24/2025"/>
    <x v="0"/>
    <x v="20"/>
    <x v="7"/>
    <x v="2"/>
    <x v="175"/>
    <n v="-511.68"/>
    <m/>
    <n v="-511.68"/>
  </r>
  <r>
    <s v="03/01/2025"/>
    <x v="1"/>
    <x v="20"/>
    <x v="7"/>
    <x v="2"/>
    <x v="28"/>
    <n v="407.28"/>
    <m/>
    <n v="407.28"/>
  </r>
  <r>
    <s v="03/01/2025"/>
    <x v="1"/>
    <x v="20"/>
    <x v="7"/>
    <x v="2"/>
    <x v="28"/>
    <n v="84.45"/>
    <m/>
    <n v="84.45"/>
  </r>
  <r>
    <s v="03/05/2025"/>
    <x v="1"/>
    <x v="20"/>
    <x v="7"/>
    <x v="2"/>
    <x v="29"/>
    <n v="26.65"/>
    <m/>
    <n v="26.65"/>
  </r>
  <r>
    <s v="03/09/2025"/>
    <x v="1"/>
    <x v="20"/>
    <x v="7"/>
    <x v="2"/>
    <x v="176"/>
    <n v="47.92"/>
    <m/>
    <n v="47.92"/>
  </r>
  <r>
    <s v="03/12/2025"/>
    <x v="1"/>
    <x v="20"/>
    <x v="7"/>
    <x v="2"/>
    <x v="174"/>
    <n v="151.38"/>
    <m/>
    <n v="151.38"/>
  </r>
  <r>
    <s v="03/17/2025"/>
    <x v="1"/>
    <x v="20"/>
    <x v="7"/>
    <x v="2"/>
    <x v="177"/>
    <n v="7000"/>
    <m/>
    <n v="7000"/>
  </r>
  <r>
    <s v="03/18/2025"/>
    <x v="1"/>
    <x v="20"/>
    <x v="7"/>
    <x v="2"/>
    <x v="175"/>
    <n v="6399.9"/>
    <m/>
    <n v="6399.9"/>
  </r>
  <r>
    <s v="03/21/2025"/>
    <x v="1"/>
    <x v="20"/>
    <x v="7"/>
    <x v="2"/>
    <x v="176"/>
    <n v="95.84"/>
    <m/>
    <n v="95.84"/>
  </r>
  <r>
    <s v="04/01/2025"/>
    <x v="2"/>
    <x v="20"/>
    <x v="7"/>
    <x v="2"/>
    <x v="28"/>
    <n v="447.39"/>
    <m/>
    <n v="447.39"/>
  </r>
  <r>
    <s v="04/01/2025"/>
    <x v="2"/>
    <x v="20"/>
    <x v="7"/>
    <x v="2"/>
    <x v="28"/>
    <n v="203.2"/>
    <m/>
    <n v="203.2"/>
  </r>
  <r>
    <s v="04/05/2025"/>
    <x v="2"/>
    <x v="20"/>
    <x v="7"/>
    <x v="2"/>
    <x v="29"/>
    <n v="26.65"/>
    <m/>
    <n v="26.65"/>
  </r>
  <r>
    <s v="04/14/2025"/>
    <x v="2"/>
    <x v="20"/>
    <x v="7"/>
    <x v="2"/>
    <x v="177"/>
    <n v="5000"/>
    <m/>
    <n v="5000"/>
  </r>
  <r>
    <s v="04/17/2025"/>
    <x v="2"/>
    <x v="20"/>
    <x v="7"/>
    <x v="2"/>
    <x v="175"/>
    <n v="9071.33"/>
    <m/>
    <n v="9071.33"/>
  </r>
  <r>
    <s v="04/21/2025"/>
    <x v="2"/>
    <x v="20"/>
    <x v="7"/>
    <x v="2"/>
    <x v="178"/>
    <n v="373.92"/>
    <m/>
    <n v="373.92"/>
  </r>
  <r>
    <s v="04/30/2025"/>
    <x v="2"/>
    <x v="20"/>
    <x v="7"/>
    <x v="2"/>
    <x v="176"/>
    <n v="48.9"/>
    <m/>
    <n v="48.9"/>
  </r>
  <r>
    <s v="05/07/2025"/>
    <x v="3"/>
    <x v="20"/>
    <x v="7"/>
    <x v="2"/>
    <x v="176"/>
    <n v="48.4"/>
    <m/>
    <n v="48.4"/>
  </r>
  <r>
    <s v="05/16/2025"/>
    <x v="3"/>
    <x v="20"/>
    <x v="7"/>
    <x v="2"/>
    <x v="175"/>
    <n v="9087.09"/>
    <m/>
    <n v="9087.09"/>
  </r>
  <r>
    <s v="05/28/2025"/>
    <x v="3"/>
    <x v="20"/>
    <x v="7"/>
    <x v="2"/>
    <x v="177"/>
    <n v="8000"/>
    <m/>
    <n v="8000"/>
  </r>
  <r>
    <s v="06/01/2025"/>
    <x v="4"/>
    <x v="20"/>
    <x v="7"/>
    <x v="2"/>
    <x v="28"/>
    <n v="447.38"/>
    <m/>
    <n v="447.38"/>
  </r>
  <r>
    <s v="06/01/2025"/>
    <x v="4"/>
    <x v="20"/>
    <x v="7"/>
    <x v="2"/>
    <x v="28"/>
    <n v="447.75"/>
    <m/>
    <n v="447.75"/>
  </r>
  <r>
    <s v="06/09/2025"/>
    <x v="4"/>
    <x v="20"/>
    <x v="7"/>
    <x v="2"/>
    <x v="176"/>
    <n v="48.4"/>
    <m/>
    <n v="48.4"/>
  </r>
  <r>
    <s v="06/09/2025"/>
    <x v="4"/>
    <x v="20"/>
    <x v="7"/>
    <x v="2"/>
    <x v="29"/>
    <n v="26.65"/>
    <m/>
    <n v="26.65"/>
  </r>
  <r>
    <s v="06/17/2025"/>
    <x v="4"/>
    <x v="20"/>
    <x v="7"/>
    <x v="2"/>
    <x v="175"/>
    <n v="9063.5300000000007"/>
    <m/>
    <n v="9063.5300000000007"/>
  </r>
  <r>
    <s v="06/17/2025"/>
    <x v="4"/>
    <x v="20"/>
    <x v="7"/>
    <x v="2"/>
    <x v="177"/>
    <n v="3500"/>
    <m/>
    <n v="3500"/>
  </r>
  <r>
    <s v="06/20/2025"/>
    <x v="4"/>
    <x v="20"/>
    <x v="7"/>
    <x v="2"/>
    <x v="178"/>
    <n v="108.33"/>
    <m/>
    <n v="108.33"/>
  </r>
  <r>
    <s v="07/01/2025"/>
    <x v="5"/>
    <x v="20"/>
    <x v="7"/>
    <x v="2"/>
    <x v="28"/>
    <n v="448.23"/>
    <m/>
    <n v="448.23"/>
  </r>
  <r>
    <s v="07/01/2025"/>
    <x v="5"/>
    <x v="20"/>
    <x v="7"/>
    <x v="2"/>
    <x v="28"/>
    <n v="451.42"/>
    <m/>
    <n v="451.42"/>
  </r>
  <r>
    <s v="07/04/2025"/>
    <x v="5"/>
    <x v="20"/>
    <x v="7"/>
    <x v="2"/>
    <x v="29"/>
    <n v="26.65"/>
    <m/>
    <n v="26.65"/>
  </r>
  <r>
    <s v="07/15/2025"/>
    <x v="5"/>
    <x v="20"/>
    <x v="7"/>
    <x v="2"/>
    <x v="176"/>
    <n v="48.4"/>
    <m/>
    <n v="48.4"/>
  </r>
  <r>
    <s v="07/16/2025"/>
    <x v="5"/>
    <x v="20"/>
    <x v="7"/>
    <x v="2"/>
    <x v="175"/>
    <n v="9078.5"/>
    <m/>
    <n v="9078.5"/>
  </r>
  <r>
    <s v="07/17/2025"/>
    <x v="5"/>
    <x v="20"/>
    <x v="7"/>
    <x v="2"/>
    <x v="177"/>
    <n v="5000"/>
    <m/>
    <n v="5000"/>
  </r>
  <r>
    <s v="07/21/2025"/>
    <x v="5"/>
    <x v="20"/>
    <x v="7"/>
    <x v="2"/>
    <x v="178"/>
    <n v="2920.07"/>
    <m/>
    <n v="2920.07"/>
  </r>
  <r>
    <s v="08/01/2025"/>
    <x v="6"/>
    <x v="20"/>
    <x v="7"/>
    <x v="2"/>
    <x v="177"/>
    <n v="3500"/>
    <m/>
    <n v="3500"/>
  </r>
  <r>
    <s v="08/01/2025"/>
    <x v="6"/>
    <x v="20"/>
    <x v="7"/>
    <x v="2"/>
    <x v="28"/>
    <n v="481.05"/>
    <m/>
    <n v="481.05"/>
  </r>
  <r>
    <s v="08/01/2025"/>
    <x v="6"/>
    <x v="20"/>
    <x v="7"/>
    <x v="2"/>
    <x v="28"/>
    <n v="457.47"/>
    <m/>
    <n v="457.47"/>
  </r>
  <r>
    <s v="08/05/2025"/>
    <x v="6"/>
    <x v="20"/>
    <x v="7"/>
    <x v="2"/>
    <x v="29"/>
    <n v="26.65"/>
    <m/>
    <n v="26.65"/>
  </r>
  <r>
    <s v="08/08/2025"/>
    <x v="6"/>
    <x v="20"/>
    <x v="7"/>
    <x v="2"/>
    <x v="175"/>
    <n v="106.6"/>
    <m/>
    <n v="106.6"/>
  </r>
  <r>
    <s v="08/11/2025"/>
    <x v="6"/>
    <x v="20"/>
    <x v="7"/>
    <x v="2"/>
    <x v="179"/>
    <n v="3856.63"/>
    <m/>
    <n v="3856.63"/>
  </r>
  <r>
    <s v="08/11/2025"/>
    <x v="6"/>
    <x v="20"/>
    <x v="7"/>
    <x v="2"/>
    <x v="180"/>
    <n v="28"/>
    <m/>
    <n v="28"/>
  </r>
  <r>
    <s v="08/12/2025"/>
    <x v="6"/>
    <x v="20"/>
    <x v="7"/>
    <x v="2"/>
    <x v="177"/>
    <n v="4500"/>
    <m/>
    <n v="4500"/>
  </r>
  <r>
    <s v="08/20/2025"/>
    <x v="6"/>
    <x v="20"/>
    <x v="7"/>
    <x v="2"/>
    <x v="178"/>
    <n v="2920.07"/>
    <m/>
    <n v="2920.07"/>
  </r>
  <r>
    <s v="08/22/2025"/>
    <x v="6"/>
    <x v="20"/>
    <x v="7"/>
    <x v="2"/>
    <x v="175"/>
    <n v="21309.27"/>
    <m/>
    <n v="21309.27"/>
  </r>
  <r>
    <s v="09/01/2025"/>
    <x v="7"/>
    <x v="20"/>
    <x v="7"/>
    <x v="2"/>
    <x v="28"/>
    <n v="441.03"/>
    <m/>
    <n v="441.03"/>
  </r>
  <r>
    <s v="09/01/2025"/>
    <x v="7"/>
    <x v="20"/>
    <x v="7"/>
    <x v="2"/>
    <x v="28"/>
    <n v="464.39"/>
    <m/>
    <n v="464.39"/>
  </r>
  <r>
    <s v="09/03/2025"/>
    <x v="7"/>
    <x v="20"/>
    <x v="7"/>
    <x v="2"/>
    <x v="181"/>
    <n v="1599"/>
    <m/>
    <n v="1599"/>
  </r>
  <r>
    <s v="09/05/2025"/>
    <x v="7"/>
    <x v="20"/>
    <x v="7"/>
    <x v="2"/>
    <x v="29"/>
    <n v="28.09"/>
    <m/>
    <n v="28.09"/>
  </r>
  <r>
    <s v="09/11/2025"/>
    <x v="7"/>
    <x v="20"/>
    <x v="7"/>
    <x v="2"/>
    <x v="175"/>
    <n v="106.6"/>
    <m/>
    <n v="106.6"/>
  </r>
  <r>
    <s v="09/16/2025"/>
    <x v="7"/>
    <x v="20"/>
    <x v="7"/>
    <x v="2"/>
    <x v="177"/>
    <n v="3500"/>
    <m/>
    <n v="3500"/>
  </r>
  <r>
    <s v="09/17/2025"/>
    <x v="7"/>
    <x v="20"/>
    <x v="7"/>
    <x v="2"/>
    <x v="175"/>
    <n v="9056.42"/>
    <m/>
    <n v="9056.42"/>
  </r>
  <r>
    <s v="10/01/2025"/>
    <x v="8"/>
    <x v="20"/>
    <x v="7"/>
    <x v="2"/>
    <x v="28"/>
    <n v="452.66"/>
    <m/>
    <n v="452.66"/>
  </r>
  <r>
    <s v="10/01/2025"/>
    <x v="8"/>
    <x v="20"/>
    <x v="7"/>
    <x v="2"/>
    <x v="28"/>
    <n v="430.01"/>
    <m/>
    <n v="430.01"/>
  </r>
  <r>
    <s v="10/06/2025"/>
    <x v="8"/>
    <x v="20"/>
    <x v="7"/>
    <x v="2"/>
    <x v="181"/>
    <n v="1599"/>
    <m/>
    <n v="1599"/>
  </r>
  <r>
    <s v="10/06/2025"/>
    <x v="8"/>
    <x v="20"/>
    <x v="7"/>
    <x v="2"/>
    <x v="29"/>
    <n v="41.05"/>
    <m/>
    <n v="41.05"/>
  </r>
  <r>
    <s v="10/08/2025"/>
    <x v="8"/>
    <x v="20"/>
    <x v="7"/>
    <x v="2"/>
    <x v="175"/>
    <n v="106.6"/>
    <m/>
    <n v="106.6"/>
  </r>
  <r>
    <s v="10/17/2025"/>
    <x v="8"/>
    <x v="20"/>
    <x v="7"/>
    <x v="2"/>
    <x v="175"/>
    <n v="17435.25"/>
    <m/>
    <n v="17435.25"/>
  </r>
  <r>
    <s v="10/23/2025"/>
    <x v="8"/>
    <x v="20"/>
    <x v="7"/>
    <x v="2"/>
    <x v="182"/>
    <n v="80.89"/>
    <m/>
    <n v="80.89"/>
  </r>
  <r>
    <s v="10/23/2025"/>
    <x v="8"/>
    <x v="20"/>
    <x v="7"/>
    <x v="2"/>
    <x v="182"/>
    <n v="80.89"/>
    <m/>
    <n v="80.89"/>
  </r>
  <r>
    <s v="10/29/2025"/>
    <x v="8"/>
    <x v="20"/>
    <x v="7"/>
    <x v="2"/>
    <x v="183"/>
    <n v="42.64"/>
    <m/>
    <n v="42.64"/>
  </r>
  <r>
    <s v="11/01/2025"/>
    <x v="9"/>
    <x v="20"/>
    <x v="7"/>
    <x v="2"/>
    <x v="28"/>
    <n v="460.58"/>
    <m/>
    <n v="460.58"/>
  </r>
  <r>
    <s v="11/01/2025"/>
    <x v="9"/>
    <x v="20"/>
    <x v="7"/>
    <x v="2"/>
    <x v="28"/>
    <n v="470.27"/>
    <m/>
    <n v="470.27"/>
  </r>
  <r>
    <s v="11/07/2025"/>
    <x v="9"/>
    <x v="20"/>
    <x v="7"/>
    <x v="2"/>
    <x v="175"/>
    <n v="106.6"/>
    <m/>
    <n v="106.6"/>
  </r>
  <r>
    <s v="11/07/2025"/>
    <x v="9"/>
    <x v="20"/>
    <x v="7"/>
    <x v="2"/>
    <x v="29"/>
    <n v="70.69"/>
    <m/>
    <n v="70.69"/>
  </r>
  <r>
    <s v="11/14/2025"/>
    <x v="9"/>
    <x v="20"/>
    <x v="7"/>
    <x v="2"/>
    <x v="177"/>
    <n v="3500"/>
    <m/>
    <n v="3500"/>
  </r>
  <r>
    <s v="11/18/2025"/>
    <x v="9"/>
    <x v="20"/>
    <x v="7"/>
    <x v="2"/>
    <x v="175"/>
    <n v="13874.16"/>
    <m/>
    <n v="13874.16"/>
  </r>
  <r>
    <s v="11/19/2025"/>
    <x v="9"/>
    <x v="20"/>
    <x v="7"/>
    <x v="2"/>
    <x v="184"/>
    <n v="2168.39"/>
    <m/>
    <n v="2168.39"/>
  </r>
  <r>
    <s v="11/29/2025"/>
    <x v="9"/>
    <x v="20"/>
    <x v="7"/>
    <x v="2"/>
    <x v="183"/>
    <n v="5.38"/>
    <m/>
    <n v="5.38"/>
  </r>
  <r>
    <s v="12/01/2025"/>
    <x v="10"/>
    <x v="20"/>
    <x v="7"/>
    <x v="2"/>
    <x v="28"/>
    <n v="467.45"/>
    <m/>
    <n v="467.45"/>
  </r>
  <r>
    <s v="12/01/2025"/>
    <x v="10"/>
    <x v="20"/>
    <x v="7"/>
    <x v="2"/>
    <x v="28"/>
    <n v="446.17"/>
    <m/>
    <n v="446.17"/>
  </r>
  <r>
    <s v="12/01/2025"/>
    <x v="10"/>
    <x v="20"/>
    <x v="7"/>
    <x v="2"/>
    <x v="29"/>
    <n v="1599"/>
    <m/>
    <n v="1599"/>
  </r>
  <r>
    <s v="12/05/2025"/>
    <x v="10"/>
    <x v="20"/>
    <x v="7"/>
    <x v="2"/>
    <x v="29"/>
    <n v="69.34"/>
    <m/>
    <n v="69.34"/>
  </r>
  <r>
    <s v="12/10/2025"/>
    <x v="10"/>
    <x v="20"/>
    <x v="7"/>
    <x v="2"/>
    <x v="175"/>
    <n v="106.6"/>
    <m/>
    <n v="106.6"/>
  </r>
  <r>
    <s v="12/12/2025"/>
    <x v="10"/>
    <x v="20"/>
    <x v="7"/>
    <x v="2"/>
    <x v="174"/>
    <n v="286.14999999999998"/>
    <m/>
    <n v="286.14999999999998"/>
  </r>
  <r>
    <s v="12/17/2025"/>
    <x v="10"/>
    <x v="20"/>
    <x v="7"/>
    <x v="2"/>
    <x v="175"/>
    <n v="13159.11"/>
    <m/>
    <n v="13159.11"/>
  </r>
  <r>
    <s v="12/17/2025"/>
    <x v="10"/>
    <x v="20"/>
    <x v="7"/>
    <x v="2"/>
    <x v="184"/>
    <n v="349.76"/>
    <m/>
    <n v="349.76"/>
  </r>
  <r>
    <s v="12/29/2025"/>
    <x v="10"/>
    <x v="20"/>
    <x v="7"/>
    <x v="2"/>
    <x v="29"/>
    <n v="1066"/>
    <m/>
    <n v="1066"/>
  </r>
  <r>
    <s v="01/03/2025"/>
    <x v="11"/>
    <x v="22"/>
    <x v="3"/>
    <x v="2"/>
    <x v="185"/>
    <n v="1427.47"/>
    <m/>
    <n v="1427.47"/>
  </r>
  <r>
    <s v="01/07/2025"/>
    <x v="11"/>
    <x v="22"/>
    <x v="3"/>
    <x v="2"/>
    <x v="186"/>
    <n v="216.64"/>
    <m/>
    <n v="216.64"/>
  </r>
  <r>
    <s v="02/07/2025"/>
    <x v="0"/>
    <x v="22"/>
    <x v="3"/>
    <x v="2"/>
    <x v="186"/>
    <n v="260.23"/>
    <m/>
    <n v="260.23"/>
  </r>
  <r>
    <s v="03/07/2025"/>
    <x v="1"/>
    <x v="22"/>
    <x v="3"/>
    <x v="2"/>
    <x v="186"/>
    <n v="241.91"/>
    <m/>
    <n v="241.91"/>
  </r>
  <r>
    <s v="04/07/2025"/>
    <x v="2"/>
    <x v="22"/>
    <x v="3"/>
    <x v="2"/>
    <x v="186"/>
    <n v="387.4"/>
    <m/>
    <n v="387.4"/>
  </r>
  <r>
    <s v="05/07/2025"/>
    <x v="3"/>
    <x v="22"/>
    <x v="3"/>
    <x v="2"/>
    <x v="186"/>
    <n v="257.37"/>
    <m/>
    <n v="257.37"/>
  </r>
  <r>
    <s v="06/09/2025"/>
    <x v="4"/>
    <x v="22"/>
    <x v="3"/>
    <x v="2"/>
    <x v="186"/>
    <n v="236.52"/>
    <m/>
    <n v="236.52"/>
  </r>
  <r>
    <s v="07/07/2025"/>
    <x v="5"/>
    <x v="22"/>
    <x v="3"/>
    <x v="2"/>
    <x v="186"/>
    <n v="378.78"/>
    <m/>
    <n v="378.78"/>
  </r>
  <r>
    <s v="08/07/2025"/>
    <x v="6"/>
    <x v="22"/>
    <x v="3"/>
    <x v="2"/>
    <x v="186"/>
    <n v="376.84"/>
    <m/>
    <n v="376.84"/>
  </r>
  <r>
    <s v="09/08/2025"/>
    <x v="7"/>
    <x v="22"/>
    <x v="3"/>
    <x v="2"/>
    <x v="186"/>
    <n v="371.4"/>
    <m/>
    <n v="371.4"/>
  </r>
  <r>
    <s v="10/07/2025"/>
    <x v="8"/>
    <x v="22"/>
    <x v="3"/>
    <x v="2"/>
    <x v="186"/>
    <n v="311.52"/>
    <m/>
    <n v="311.52"/>
  </r>
  <r>
    <s v="11/07/2025"/>
    <x v="9"/>
    <x v="22"/>
    <x v="3"/>
    <x v="2"/>
    <x v="186"/>
    <n v="292.62"/>
    <m/>
    <n v="292.62"/>
  </r>
  <r>
    <s v="12/02/2025"/>
    <x v="10"/>
    <x v="22"/>
    <x v="3"/>
    <x v="2"/>
    <x v="185"/>
    <n v="32.25"/>
    <m/>
    <n v="32.25"/>
  </r>
  <r>
    <s v="12/08/2025"/>
    <x v="10"/>
    <x v="22"/>
    <x v="3"/>
    <x v="2"/>
    <x v="186"/>
    <n v="276.70999999999998"/>
    <m/>
    <n v="276.70999999999998"/>
  </r>
  <r>
    <s v="01/01/2025"/>
    <x v="11"/>
    <x v="23"/>
    <x v="1"/>
    <x v="1"/>
    <x v="187"/>
    <n v="13.2"/>
    <m/>
    <n v="13.2"/>
  </r>
  <r>
    <s v="01/28/2025"/>
    <x v="11"/>
    <x v="23"/>
    <x v="1"/>
    <x v="1"/>
    <x v="188"/>
    <n v="40"/>
    <m/>
    <n v="40"/>
  </r>
  <r>
    <s v="02/23/2025"/>
    <x v="0"/>
    <x v="23"/>
    <x v="1"/>
    <x v="1"/>
    <x v="189"/>
    <n v="26"/>
    <m/>
    <n v="26"/>
  </r>
  <r>
    <s v="04/04/2025"/>
    <x v="2"/>
    <x v="23"/>
    <x v="1"/>
    <x v="1"/>
    <x v="189"/>
    <n v="25"/>
    <m/>
    <n v="25"/>
  </r>
  <r>
    <s v="04/18/2025"/>
    <x v="2"/>
    <x v="23"/>
    <x v="1"/>
    <x v="1"/>
    <x v="189"/>
    <n v="25"/>
    <m/>
    <n v="25"/>
  </r>
  <r>
    <s v="04/20/2025"/>
    <x v="2"/>
    <x v="23"/>
    <x v="1"/>
    <x v="1"/>
    <x v="189"/>
    <n v="25"/>
    <m/>
    <n v="25"/>
  </r>
  <r>
    <s v="09/25/2025"/>
    <x v="7"/>
    <x v="23"/>
    <x v="1"/>
    <x v="1"/>
    <x v="189"/>
    <n v="25"/>
    <m/>
    <n v="25"/>
  </r>
  <r>
    <s v="10/12/2025"/>
    <x v="8"/>
    <x v="23"/>
    <x v="1"/>
    <x v="1"/>
    <x v="189"/>
    <n v="25"/>
    <m/>
    <n v="25"/>
  </r>
  <r>
    <s v="11/29/2025"/>
    <x v="9"/>
    <x v="23"/>
    <x v="1"/>
    <x v="1"/>
    <x v="189"/>
    <n v="25"/>
    <m/>
    <n v="25"/>
  </r>
  <r>
    <s v="01/08/2025"/>
    <x v="11"/>
    <x v="24"/>
    <x v="4"/>
    <x v="1"/>
    <x v="190"/>
    <n v="129"/>
    <m/>
    <n v="129"/>
  </r>
  <r>
    <s v="01/19/2025"/>
    <x v="11"/>
    <x v="24"/>
    <x v="4"/>
    <x v="1"/>
    <x v="191"/>
    <n v="24.99"/>
    <m/>
    <n v="24.99"/>
  </r>
  <r>
    <s v="02/05/2025"/>
    <x v="0"/>
    <x v="24"/>
    <x v="4"/>
    <x v="1"/>
    <x v="192"/>
    <n v="6972.55"/>
    <m/>
    <n v="6972.55"/>
  </r>
  <r>
    <s v="02/06/2025"/>
    <x v="0"/>
    <x v="24"/>
    <x v="4"/>
    <x v="1"/>
    <x v="193"/>
    <n v="2608.2199999999998"/>
    <m/>
    <n v="2608.2199999999998"/>
  </r>
  <r>
    <s v="02/08/2025"/>
    <x v="0"/>
    <x v="24"/>
    <x v="4"/>
    <x v="1"/>
    <x v="190"/>
    <n v="129"/>
    <m/>
    <n v="129"/>
  </r>
  <r>
    <s v="02/19/2025"/>
    <x v="0"/>
    <x v="24"/>
    <x v="4"/>
    <x v="1"/>
    <x v="191"/>
    <n v="24.99"/>
    <m/>
    <n v="24.99"/>
  </r>
  <r>
    <s v="02/19/2025"/>
    <x v="0"/>
    <x v="24"/>
    <x v="4"/>
    <x v="1"/>
    <x v="194"/>
    <n v="455.96"/>
    <m/>
    <n v="455.96"/>
  </r>
  <r>
    <s v="02/19/2025"/>
    <x v="0"/>
    <x v="24"/>
    <x v="4"/>
    <x v="1"/>
    <x v="194"/>
    <n v="330.96"/>
    <m/>
    <n v="330.96"/>
  </r>
  <r>
    <s v="02/20/2025"/>
    <x v="0"/>
    <x v="24"/>
    <x v="4"/>
    <x v="1"/>
    <x v="195"/>
    <n v="65"/>
    <m/>
    <n v="65"/>
  </r>
  <r>
    <s v="03/03/2025"/>
    <x v="1"/>
    <x v="24"/>
    <x v="4"/>
    <x v="1"/>
    <x v="196"/>
    <n v="532.01"/>
    <m/>
    <n v="532.01"/>
  </r>
  <r>
    <s v="03/05/2025"/>
    <x v="1"/>
    <x v="24"/>
    <x v="4"/>
    <x v="1"/>
    <x v="197"/>
    <n v="229.73"/>
    <m/>
    <n v="229.73"/>
  </r>
  <r>
    <s v="03/05/2025"/>
    <x v="1"/>
    <x v="24"/>
    <x v="4"/>
    <x v="1"/>
    <x v="197"/>
    <n v="229.73"/>
    <m/>
    <n v="229.73"/>
  </r>
  <r>
    <s v="03/08/2025"/>
    <x v="1"/>
    <x v="24"/>
    <x v="4"/>
    <x v="1"/>
    <x v="190"/>
    <n v="129"/>
    <m/>
    <n v="129"/>
  </r>
  <r>
    <s v="03/09/2025"/>
    <x v="1"/>
    <x v="24"/>
    <x v="4"/>
    <x v="1"/>
    <x v="198"/>
    <n v="78.55"/>
    <m/>
    <n v="78.55"/>
  </r>
  <r>
    <s v="03/09/2025"/>
    <x v="1"/>
    <x v="24"/>
    <x v="4"/>
    <x v="1"/>
    <x v="199"/>
    <n v="219.36"/>
    <m/>
    <n v="219.36"/>
  </r>
  <r>
    <s v="03/10/2025"/>
    <x v="1"/>
    <x v="24"/>
    <x v="4"/>
    <x v="1"/>
    <x v="198"/>
    <n v="35.369999999999997"/>
    <m/>
    <n v="35.369999999999997"/>
  </r>
  <r>
    <s v="03/10/2025"/>
    <x v="1"/>
    <x v="24"/>
    <x v="4"/>
    <x v="1"/>
    <x v="198"/>
    <n v="19.989999999999998"/>
    <m/>
    <n v="19.989999999999998"/>
  </r>
  <r>
    <s v="03/11/2025"/>
    <x v="1"/>
    <x v="24"/>
    <x v="4"/>
    <x v="1"/>
    <x v="198"/>
    <n v="34.9"/>
    <m/>
    <n v="34.9"/>
  </r>
  <r>
    <s v="03/11/2025"/>
    <x v="1"/>
    <x v="24"/>
    <x v="4"/>
    <x v="1"/>
    <x v="200"/>
    <n v="517.62"/>
    <m/>
    <n v="517.62"/>
  </r>
  <r>
    <s v="03/12/2025"/>
    <x v="1"/>
    <x v="24"/>
    <x v="4"/>
    <x v="1"/>
    <x v="198"/>
    <n v="10"/>
    <m/>
    <n v="10"/>
  </r>
  <r>
    <s v="03/17/2025"/>
    <x v="1"/>
    <x v="24"/>
    <x v="4"/>
    <x v="1"/>
    <x v="197"/>
    <n v="400.48"/>
    <m/>
    <n v="400.48"/>
  </r>
  <r>
    <s v="03/17/2025"/>
    <x v="1"/>
    <x v="24"/>
    <x v="4"/>
    <x v="1"/>
    <x v="197"/>
    <n v="400.48"/>
    <m/>
    <n v="400.48"/>
  </r>
  <r>
    <s v="03/18/2025"/>
    <x v="1"/>
    <x v="24"/>
    <x v="4"/>
    <x v="1"/>
    <x v="197"/>
    <n v="650.53"/>
    <m/>
    <n v="650.53"/>
  </r>
  <r>
    <s v="03/19/2025"/>
    <x v="1"/>
    <x v="24"/>
    <x v="4"/>
    <x v="1"/>
    <x v="191"/>
    <n v="24.99"/>
    <m/>
    <n v="24.99"/>
  </r>
  <r>
    <s v="03/19/2025"/>
    <x v="1"/>
    <x v="24"/>
    <x v="4"/>
    <x v="1"/>
    <x v="197"/>
    <n v="-650.53"/>
    <m/>
    <n v="-650.53"/>
  </r>
  <r>
    <s v="03/20/2025"/>
    <x v="1"/>
    <x v="24"/>
    <x v="4"/>
    <x v="1"/>
    <x v="201"/>
    <n v="105.33"/>
    <m/>
    <n v="105.33"/>
  </r>
  <r>
    <s v="03/21/2025"/>
    <x v="1"/>
    <x v="24"/>
    <x v="4"/>
    <x v="1"/>
    <x v="198"/>
    <n v="156.94999999999999"/>
    <m/>
    <n v="156.94999999999999"/>
  </r>
  <r>
    <s v="03/21/2025"/>
    <x v="1"/>
    <x v="24"/>
    <x v="4"/>
    <x v="1"/>
    <x v="197"/>
    <n v="601.99"/>
    <m/>
    <n v="601.99"/>
  </r>
  <r>
    <s v="03/21/2025"/>
    <x v="1"/>
    <x v="24"/>
    <x v="4"/>
    <x v="1"/>
    <x v="201"/>
    <n v="308.58"/>
    <m/>
    <n v="308.58"/>
  </r>
  <r>
    <s v="03/22/2025"/>
    <x v="1"/>
    <x v="24"/>
    <x v="4"/>
    <x v="1"/>
    <x v="198"/>
    <n v="15.97"/>
    <m/>
    <n v="15.97"/>
  </r>
  <r>
    <s v="03/22/2025"/>
    <x v="1"/>
    <x v="24"/>
    <x v="4"/>
    <x v="1"/>
    <x v="198"/>
    <n v="26.99"/>
    <m/>
    <n v="26.99"/>
  </r>
  <r>
    <s v="03/22/2025"/>
    <x v="1"/>
    <x v="24"/>
    <x v="4"/>
    <x v="1"/>
    <x v="198"/>
    <n v="7.91"/>
    <m/>
    <n v="7.91"/>
  </r>
  <r>
    <s v="03/22/2025"/>
    <x v="1"/>
    <x v="24"/>
    <x v="4"/>
    <x v="1"/>
    <x v="198"/>
    <n v="180.98"/>
    <m/>
    <n v="180.98"/>
  </r>
  <r>
    <s v="03/22/2025"/>
    <x v="1"/>
    <x v="24"/>
    <x v="4"/>
    <x v="1"/>
    <x v="198"/>
    <n v="7.91"/>
    <m/>
    <n v="7.91"/>
  </r>
  <r>
    <s v="03/22/2025"/>
    <x v="1"/>
    <x v="24"/>
    <x v="4"/>
    <x v="1"/>
    <x v="198"/>
    <n v="27.96"/>
    <m/>
    <n v="27.96"/>
  </r>
  <r>
    <s v="03/23/2025"/>
    <x v="1"/>
    <x v="24"/>
    <x v="4"/>
    <x v="1"/>
    <x v="201"/>
    <n v="699.3"/>
    <m/>
    <n v="699.3"/>
  </r>
  <r>
    <s v="03/23/2025"/>
    <x v="1"/>
    <x v="24"/>
    <x v="4"/>
    <x v="1"/>
    <x v="202"/>
    <n v="30.94"/>
    <m/>
    <n v="30.94"/>
  </r>
  <r>
    <s v="03/24/2025"/>
    <x v="1"/>
    <x v="24"/>
    <x v="4"/>
    <x v="1"/>
    <x v="198"/>
    <n v="49.16"/>
    <m/>
    <n v="49.16"/>
  </r>
  <r>
    <s v="03/24/2025"/>
    <x v="1"/>
    <x v="24"/>
    <x v="4"/>
    <x v="1"/>
    <x v="198"/>
    <n v="137.85"/>
    <m/>
    <n v="137.85"/>
  </r>
  <r>
    <s v="03/27/2025"/>
    <x v="1"/>
    <x v="24"/>
    <x v="4"/>
    <x v="1"/>
    <x v="198"/>
    <n v="7.97"/>
    <m/>
    <n v="7.97"/>
  </r>
  <r>
    <s v="03/27/2025"/>
    <x v="1"/>
    <x v="24"/>
    <x v="4"/>
    <x v="1"/>
    <x v="203"/>
    <n v="308.58"/>
    <m/>
    <n v="308.58"/>
  </r>
  <r>
    <s v="03/27/2025"/>
    <x v="1"/>
    <x v="24"/>
    <x v="4"/>
    <x v="1"/>
    <x v="203"/>
    <n v="308.58"/>
    <m/>
    <n v="308.58"/>
  </r>
  <r>
    <s v="03/29/2025"/>
    <x v="1"/>
    <x v="24"/>
    <x v="4"/>
    <x v="1"/>
    <x v="198"/>
    <n v="157.93"/>
    <m/>
    <n v="157.93"/>
  </r>
  <r>
    <s v="04/01/2025"/>
    <x v="2"/>
    <x v="24"/>
    <x v="4"/>
    <x v="1"/>
    <x v="198"/>
    <n v="101.24"/>
    <m/>
    <n v="101.24"/>
  </r>
  <r>
    <s v="04/02/2025"/>
    <x v="2"/>
    <x v="24"/>
    <x v="4"/>
    <x v="1"/>
    <x v="198"/>
    <n v="124.71"/>
    <m/>
    <n v="124.71"/>
  </r>
  <r>
    <s v="04/02/2025"/>
    <x v="2"/>
    <x v="24"/>
    <x v="4"/>
    <x v="1"/>
    <x v="198"/>
    <n v="24.94"/>
    <m/>
    <n v="24.94"/>
  </r>
  <r>
    <s v="04/04/2025"/>
    <x v="2"/>
    <x v="24"/>
    <x v="4"/>
    <x v="1"/>
    <x v="204"/>
    <n v="27.06"/>
    <m/>
    <n v="27.06"/>
  </r>
  <r>
    <s v="04/19/2025"/>
    <x v="2"/>
    <x v="24"/>
    <x v="4"/>
    <x v="1"/>
    <x v="191"/>
    <n v="24.99"/>
    <m/>
    <n v="24.99"/>
  </r>
  <r>
    <s v="04/22/2025"/>
    <x v="2"/>
    <x v="24"/>
    <x v="4"/>
    <x v="1"/>
    <x v="202"/>
    <n v="31.98"/>
    <m/>
    <n v="31.98"/>
  </r>
  <r>
    <s v="04/22/2025"/>
    <x v="2"/>
    <x v="24"/>
    <x v="4"/>
    <x v="1"/>
    <x v="192"/>
    <n v="1463.28"/>
    <m/>
    <n v="1463.28"/>
  </r>
  <r>
    <s v="04/23/2025"/>
    <x v="2"/>
    <x v="24"/>
    <x v="4"/>
    <x v="1"/>
    <x v="192"/>
    <n v="254.39"/>
    <m/>
    <n v="254.39"/>
  </r>
  <r>
    <s v="04/24/2025"/>
    <x v="2"/>
    <x v="24"/>
    <x v="4"/>
    <x v="1"/>
    <x v="197"/>
    <n v="184.48"/>
    <m/>
    <n v="184.48"/>
  </r>
  <r>
    <s v="04/24/2025"/>
    <x v="2"/>
    <x v="24"/>
    <x v="4"/>
    <x v="1"/>
    <x v="197"/>
    <n v="178.49"/>
    <m/>
    <n v="178.49"/>
  </r>
  <r>
    <s v="04/27/2025"/>
    <x v="2"/>
    <x v="24"/>
    <x v="4"/>
    <x v="1"/>
    <x v="192"/>
    <n v="898"/>
    <m/>
    <n v="898"/>
  </r>
  <r>
    <s v="04/28/2025"/>
    <x v="2"/>
    <x v="24"/>
    <x v="4"/>
    <x v="1"/>
    <x v="198"/>
    <n v="79.13"/>
    <m/>
    <n v="79.13"/>
  </r>
  <r>
    <s v="05/06/2025"/>
    <x v="3"/>
    <x v="24"/>
    <x v="4"/>
    <x v="1"/>
    <x v="205"/>
    <n v="134.6"/>
    <m/>
    <n v="134.6"/>
  </r>
  <r>
    <s v="05/07/2025"/>
    <x v="3"/>
    <x v="24"/>
    <x v="4"/>
    <x v="1"/>
    <x v="198"/>
    <n v="217.92"/>
    <m/>
    <n v="217.92"/>
  </r>
  <r>
    <s v="05/07/2025"/>
    <x v="3"/>
    <x v="24"/>
    <x v="4"/>
    <x v="1"/>
    <x v="198"/>
    <n v="173.95"/>
    <m/>
    <n v="173.95"/>
  </r>
  <r>
    <s v="05/07/2025"/>
    <x v="3"/>
    <x v="24"/>
    <x v="4"/>
    <x v="1"/>
    <x v="198"/>
    <n v="5"/>
    <m/>
    <n v="5"/>
  </r>
  <r>
    <s v="05/07/2025"/>
    <x v="3"/>
    <x v="24"/>
    <x v="4"/>
    <x v="1"/>
    <x v="198"/>
    <n v="34.950000000000003"/>
    <m/>
    <n v="34.950000000000003"/>
  </r>
  <r>
    <s v="05/08/2025"/>
    <x v="3"/>
    <x v="24"/>
    <x v="4"/>
    <x v="1"/>
    <x v="198"/>
    <n v="6.94"/>
    <m/>
    <n v="6.94"/>
  </r>
  <r>
    <s v="05/08/2025"/>
    <x v="3"/>
    <x v="24"/>
    <x v="4"/>
    <x v="1"/>
    <x v="198"/>
    <n v="6.93"/>
    <m/>
    <n v="6.93"/>
  </r>
  <r>
    <s v="05/09/2025"/>
    <x v="3"/>
    <x v="24"/>
    <x v="4"/>
    <x v="1"/>
    <x v="198"/>
    <n v="6.93"/>
    <m/>
    <n v="6.93"/>
  </r>
  <r>
    <s v="05/09/2025"/>
    <x v="3"/>
    <x v="24"/>
    <x v="4"/>
    <x v="1"/>
    <x v="198"/>
    <n v="6.95"/>
    <m/>
    <n v="6.95"/>
  </r>
  <r>
    <s v="05/10/2025"/>
    <x v="3"/>
    <x v="24"/>
    <x v="4"/>
    <x v="1"/>
    <x v="198"/>
    <n v="6.97"/>
    <m/>
    <n v="6.97"/>
  </r>
  <r>
    <s v="05/11/2025"/>
    <x v="3"/>
    <x v="24"/>
    <x v="4"/>
    <x v="1"/>
    <x v="201"/>
    <n v="361.11"/>
    <m/>
    <n v="361.11"/>
  </r>
  <r>
    <s v="05/12/2025"/>
    <x v="3"/>
    <x v="24"/>
    <x v="4"/>
    <x v="1"/>
    <x v="198"/>
    <n v="7.92"/>
    <m/>
    <n v="7.92"/>
  </r>
  <r>
    <s v="05/12/2025"/>
    <x v="3"/>
    <x v="24"/>
    <x v="4"/>
    <x v="1"/>
    <x v="198"/>
    <n v="6.96"/>
    <m/>
    <n v="6.96"/>
  </r>
  <r>
    <s v="05/13/2025"/>
    <x v="3"/>
    <x v="24"/>
    <x v="4"/>
    <x v="1"/>
    <x v="198"/>
    <n v="6.94"/>
    <m/>
    <n v="6.94"/>
  </r>
  <r>
    <s v="05/13/2025"/>
    <x v="3"/>
    <x v="24"/>
    <x v="4"/>
    <x v="1"/>
    <x v="198"/>
    <n v="7.99"/>
    <m/>
    <n v="7.99"/>
  </r>
  <r>
    <s v="05/14/2025"/>
    <x v="3"/>
    <x v="24"/>
    <x v="4"/>
    <x v="1"/>
    <x v="200"/>
    <n v="882.77"/>
    <m/>
    <n v="882.77"/>
  </r>
  <r>
    <s v="05/19/2025"/>
    <x v="3"/>
    <x v="24"/>
    <x v="4"/>
    <x v="1"/>
    <x v="191"/>
    <n v="24.99"/>
    <m/>
    <n v="24.99"/>
  </r>
  <r>
    <s v="06/17/2025"/>
    <x v="4"/>
    <x v="24"/>
    <x v="4"/>
    <x v="1"/>
    <x v="192"/>
    <n v="1691.4"/>
    <m/>
    <n v="1691.4"/>
  </r>
  <r>
    <s v="06/19/2025"/>
    <x v="4"/>
    <x v="24"/>
    <x v="4"/>
    <x v="1"/>
    <x v="191"/>
    <n v="24.99"/>
    <m/>
    <n v="24.99"/>
  </r>
  <r>
    <s v="07/19/2025"/>
    <x v="5"/>
    <x v="24"/>
    <x v="4"/>
    <x v="1"/>
    <x v="191"/>
    <n v="24.99"/>
    <m/>
    <n v="24.99"/>
  </r>
  <r>
    <s v="07/21/2025"/>
    <x v="5"/>
    <x v="24"/>
    <x v="4"/>
    <x v="1"/>
    <x v="198"/>
    <n v="92.03"/>
    <m/>
    <n v="92.03"/>
  </r>
  <r>
    <s v="08/11/2025"/>
    <x v="6"/>
    <x v="24"/>
    <x v="4"/>
    <x v="1"/>
    <x v="206"/>
    <n v="357.97"/>
    <m/>
    <n v="357.97"/>
  </r>
  <r>
    <s v="08/11/2025"/>
    <x v="6"/>
    <x v="24"/>
    <x v="4"/>
    <x v="1"/>
    <x v="197"/>
    <n v="628.97"/>
    <m/>
    <n v="628.97"/>
  </r>
  <r>
    <s v="08/11/2025"/>
    <x v="6"/>
    <x v="24"/>
    <x v="4"/>
    <x v="1"/>
    <x v="197"/>
    <n v="664.36"/>
    <m/>
    <n v="664.36"/>
  </r>
  <r>
    <s v="08/14/2025"/>
    <x v="6"/>
    <x v="24"/>
    <x v="4"/>
    <x v="1"/>
    <x v="197"/>
    <n v="303.37"/>
    <m/>
    <n v="303.37"/>
  </r>
  <r>
    <s v="08/18/2025"/>
    <x v="6"/>
    <x v="24"/>
    <x v="4"/>
    <x v="1"/>
    <x v="198"/>
    <n v="48.99"/>
    <m/>
    <n v="48.99"/>
  </r>
  <r>
    <s v="08/18/2025"/>
    <x v="6"/>
    <x v="24"/>
    <x v="4"/>
    <x v="1"/>
    <x v="197"/>
    <n v="172"/>
    <m/>
    <n v="172"/>
  </r>
  <r>
    <s v="08/19/2025"/>
    <x v="6"/>
    <x v="24"/>
    <x v="4"/>
    <x v="1"/>
    <x v="191"/>
    <n v="24.99"/>
    <m/>
    <n v="24.99"/>
  </r>
  <r>
    <s v="08/20/2025"/>
    <x v="6"/>
    <x v="24"/>
    <x v="4"/>
    <x v="1"/>
    <x v="207"/>
    <n v="45.13"/>
    <m/>
    <n v="45.13"/>
  </r>
  <r>
    <s v="08/21/2025"/>
    <x v="6"/>
    <x v="24"/>
    <x v="4"/>
    <x v="1"/>
    <x v="159"/>
    <n v="55.03"/>
    <m/>
    <n v="55.03"/>
  </r>
  <r>
    <s v="08/22/2025"/>
    <x v="6"/>
    <x v="24"/>
    <x v="4"/>
    <x v="1"/>
    <x v="197"/>
    <n v="8"/>
    <m/>
    <n v="8"/>
  </r>
  <r>
    <s v="08/28/2025"/>
    <x v="6"/>
    <x v="24"/>
    <x v="4"/>
    <x v="1"/>
    <x v="194"/>
    <n v="215.98"/>
    <m/>
    <n v="215.98"/>
  </r>
  <r>
    <s v="08/30/2025"/>
    <x v="6"/>
    <x v="24"/>
    <x v="4"/>
    <x v="1"/>
    <x v="208"/>
    <n v="38.26"/>
    <m/>
    <n v="38.26"/>
  </r>
  <r>
    <s v="09/06/2025"/>
    <x v="7"/>
    <x v="24"/>
    <x v="4"/>
    <x v="1"/>
    <x v="198"/>
    <n v="8"/>
    <m/>
    <n v="8"/>
  </r>
  <r>
    <s v="09/06/2025"/>
    <x v="7"/>
    <x v="24"/>
    <x v="4"/>
    <x v="1"/>
    <x v="198"/>
    <n v="61.9"/>
    <m/>
    <n v="61.9"/>
  </r>
  <r>
    <s v="09/07/2025"/>
    <x v="7"/>
    <x v="24"/>
    <x v="4"/>
    <x v="1"/>
    <x v="198"/>
    <n v="67.91"/>
    <m/>
    <n v="67.91"/>
  </r>
  <r>
    <s v="09/07/2025"/>
    <x v="7"/>
    <x v="24"/>
    <x v="4"/>
    <x v="1"/>
    <x v="198"/>
    <n v="56.92"/>
    <m/>
    <n v="56.92"/>
  </r>
  <r>
    <s v="09/08/2025"/>
    <x v="7"/>
    <x v="24"/>
    <x v="4"/>
    <x v="1"/>
    <x v="206"/>
    <n v="29.93"/>
    <m/>
    <n v="29.93"/>
  </r>
  <r>
    <s v="09/08/2025"/>
    <x v="7"/>
    <x v="24"/>
    <x v="4"/>
    <x v="1"/>
    <x v="198"/>
    <n v="60"/>
    <m/>
    <n v="60"/>
  </r>
  <r>
    <s v="09/09/2025"/>
    <x v="7"/>
    <x v="24"/>
    <x v="4"/>
    <x v="1"/>
    <x v="193"/>
    <n v="1663.27"/>
    <m/>
    <n v="1663.27"/>
  </r>
  <r>
    <s v="09/09/2025"/>
    <x v="7"/>
    <x v="24"/>
    <x v="4"/>
    <x v="1"/>
    <x v="198"/>
    <n v="109"/>
    <m/>
    <n v="109"/>
  </r>
  <r>
    <s v="09/10/2025"/>
    <x v="7"/>
    <x v="24"/>
    <x v="4"/>
    <x v="1"/>
    <x v="198"/>
    <n v="79.17"/>
    <m/>
    <n v="79.17"/>
  </r>
  <r>
    <s v="09/10/2025"/>
    <x v="7"/>
    <x v="24"/>
    <x v="4"/>
    <x v="1"/>
    <x v="209"/>
    <n v="86.45"/>
    <m/>
    <n v="86.45"/>
  </r>
  <r>
    <s v="09/14/2025"/>
    <x v="7"/>
    <x v="24"/>
    <x v="4"/>
    <x v="1"/>
    <x v="210"/>
    <n v="10"/>
    <m/>
    <n v="10"/>
  </r>
  <r>
    <s v="09/15/2025"/>
    <x v="7"/>
    <x v="24"/>
    <x v="4"/>
    <x v="1"/>
    <x v="198"/>
    <n v="75.33"/>
    <m/>
    <n v="75.33"/>
  </r>
  <r>
    <s v="09/16/2025"/>
    <x v="7"/>
    <x v="24"/>
    <x v="4"/>
    <x v="1"/>
    <x v="197"/>
    <n v="426.95"/>
    <m/>
    <n v="426.95"/>
  </r>
  <r>
    <s v="09/18/2025"/>
    <x v="7"/>
    <x v="24"/>
    <x v="4"/>
    <x v="1"/>
    <x v="211"/>
    <n v="68.36"/>
    <m/>
    <n v="68.36"/>
  </r>
  <r>
    <s v="09/18/2025"/>
    <x v="7"/>
    <x v="24"/>
    <x v="4"/>
    <x v="1"/>
    <x v="212"/>
    <n v="453.36"/>
    <m/>
    <n v="453.36"/>
  </r>
  <r>
    <s v="09/19/2025"/>
    <x v="7"/>
    <x v="24"/>
    <x v="4"/>
    <x v="1"/>
    <x v="191"/>
    <n v="24.99"/>
    <m/>
    <n v="24.99"/>
  </r>
  <r>
    <s v="10/03/2025"/>
    <x v="8"/>
    <x v="24"/>
    <x v="4"/>
    <x v="1"/>
    <x v="2"/>
    <n v="60"/>
    <m/>
    <n v="60"/>
  </r>
  <r>
    <s v="10/06/2025"/>
    <x v="8"/>
    <x v="24"/>
    <x v="4"/>
    <x v="1"/>
    <x v="198"/>
    <n v="53.93"/>
    <m/>
    <n v="53.93"/>
  </r>
  <r>
    <s v="10/07/2025"/>
    <x v="8"/>
    <x v="24"/>
    <x v="4"/>
    <x v="1"/>
    <x v="198"/>
    <n v="11.96"/>
    <m/>
    <n v="11.96"/>
  </r>
  <r>
    <s v="10/07/2025"/>
    <x v="8"/>
    <x v="24"/>
    <x v="4"/>
    <x v="1"/>
    <x v="198"/>
    <n v="74.099999999999994"/>
    <m/>
    <n v="74.099999999999994"/>
  </r>
  <r>
    <s v="10/08/2025"/>
    <x v="8"/>
    <x v="24"/>
    <x v="4"/>
    <x v="1"/>
    <x v="198"/>
    <n v="13.92"/>
    <m/>
    <n v="13.92"/>
  </r>
  <r>
    <s v="10/08/2025"/>
    <x v="8"/>
    <x v="24"/>
    <x v="4"/>
    <x v="1"/>
    <x v="198"/>
    <n v="11.92"/>
    <m/>
    <n v="11.92"/>
  </r>
  <r>
    <s v="10/08/2025"/>
    <x v="8"/>
    <x v="24"/>
    <x v="4"/>
    <x v="1"/>
    <x v="213"/>
    <n v="10"/>
    <m/>
    <n v="10"/>
  </r>
  <r>
    <s v="10/09/2025"/>
    <x v="8"/>
    <x v="24"/>
    <x v="4"/>
    <x v="1"/>
    <x v="198"/>
    <n v="71.33"/>
    <m/>
    <n v="71.33"/>
  </r>
  <r>
    <s v="10/09/2025"/>
    <x v="8"/>
    <x v="24"/>
    <x v="4"/>
    <x v="1"/>
    <x v="198"/>
    <n v="27.27"/>
    <m/>
    <n v="27.27"/>
  </r>
  <r>
    <s v="10/09/2025"/>
    <x v="8"/>
    <x v="24"/>
    <x v="4"/>
    <x v="1"/>
    <x v="214"/>
    <n v="30.99"/>
    <m/>
    <n v="30.99"/>
  </r>
  <r>
    <s v="10/09/2025"/>
    <x v="8"/>
    <x v="24"/>
    <x v="4"/>
    <x v="1"/>
    <x v="198"/>
    <n v="77.97"/>
    <m/>
    <n v="77.97"/>
  </r>
  <r>
    <s v="10/11/2025"/>
    <x v="8"/>
    <x v="24"/>
    <x v="4"/>
    <x v="1"/>
    <x v="198"/>
    <n v="44.12"/>
    <m/>
    <n v="44.12"/>
  </r>
  <r>
    <s v="10/11/2025"/>
    <x v="8"/>
    <x v="24"/>
    <x v="4"/>
    <x v="1"/>
    <x v="198"/>
    <n v="51.58"/>
    <m/>
    <n v="51.58"/>
  </r>
  <r>
    <s v="10/11/2025"/>
    <x v="8"/>
    <x v="24"/>
    <x v="4"/>
    <x v="1"/>
    <x v="213"/>
    <n v="60.32"/>
    <m/>
    <n v="60.32"/>
  </r>
  <r>
    <s v="10/16/2025"/>
    <x v="8"/>
    <x v="24"/>
    <x v="4"/>
    <x v="1"/>
    <x v="215"/>
    <n v="21.86"/>
    <m/>
    <n v="21.86"/>
  </r>
  <r>
    <s v="10/16/2025"/>
    <x v="8"/>
    <x v="24"/>
    <x v="4"/>
    <x v="1"/>
    <x v="197"/>
    <n v="230.96"/>
    <m/>
    <n v="230.96"/>
  </r>
  <r>
    <s v="10/19/2025"/>
    <x v="8"/>
    <x v="24"/>
    <x v="4"/>
    <x v="1"/>
    <x v="191"/>
    <n v="24.99"/>
    <m/>
    <n v="24.99"/>
  </r>
  <r>
    <s v="10/20/2025"/>
    <x v="8"/>
    <x v="24"/>
    <x v="4"/>
    <x v="1"/>
    <x v="213"/>
    <n v="800"/>
    <m/>
    <n v="800"/>
  </r>
  <r>
    <s v="10/28/2025"/>
    <x v="8"/>
    <x v="24"/>
    <x v="4"/>
    <x v="1"/>
    <x v="192"/>
    <n v="999"/>
    <m/>
    <n v="999"/>
  </r>
  <r>
    <s v="11/01/2025"/>
    <x v="9"/>
    <x v="24"/>
    <x v="4"/>
    <x v="1"/>
    <x v="192"/>
    <n v="2397.09"/>
    <m/>
    <n v="2397.09"/>
  </r>
  <r>
    <s v="11/01/2025"/>
    <x v="9"/>
    <x v="24"/>
    <x v="4"/>
    <x v="1"/>
    <x v="192"/>
    <n v="3005.09"/>
    <m/>
    <n v="3005.09"/>
  </r>
  <r>
    <s v="11/01/2025"/>
    <x v="9"/>
    <x v="24"/>
    <x v="4"/>
    <x v="1"/>
    <x v="192"/>
    <n v="3005.09"/>
    <m/>
    <n v="3005.09"/>
  </r>
  <r>
    <s v="11/01/2025"/>
    <x v="9"/>
    <x v="24"/>
    <x v="4"/>
    <x v="1"/>
    <x v="192"/>
    <n v="57"/>
    <m/>
    <n v="57"/>
  </r>
  <r>
    <s v="11/01/2025"/>
    <x v="9"/>
    <x v="24"/>
    <x v="4"/>
    <x v="1"/>
    <x v="192"/>
    <n v="3005.09"/>
    <m/>
    <n v="3005.09"/>
  </r>
  <r>
    <s v="11/01/2025"/>
    <x v="9"/>
    <x v="24"/>
    <x v="4"/>
    <x v="1"/>
    <x v="192"/>
    <n v="29"/>
    <m/>
    <n v="29"/>
  </r>
  <r>
    <s v="11/01/2025"/>
    <x v="9"/>
    <x v="24"/>
    <x v="4"/>
    <x v="1"/>
    <x v="192"/>
    <n v="57"/>
    <m/>
    <n v="57"/>
  </r>
  <r>
    <s v="11/01/2025"/>
    <x v="9"/>
    <x v="24"/>
    <x v="4"/>
    <x v="1"/>
    <x v="192"/>
    <n v="57"/>
    <m/>
    <n v="57"/>
  </r>
  <r>
    <s v="11/05/2025"/>
    <x v="9"/>
    <x v="24"/>
    <x v="4"/>
    <x v="1"/>
    <x v="214"/>
    <n v="31"/>
    <m/>
    <n v="31"/>
  </r>
  <r>
    <s v="11/05/2025"/>
    <x v="9"/>
    <x v="24"/>
    <x v="4"/>
    <x v="1"/>
    <x v="197"/>
    <n v="1032.3599999999999"/>
    <m/>
    <n v="1032.3599999999999"/>
  </r>
  <r>
    <s v="11/05/2025"/>
    <x v="9"/>
    <x v="24"/>
    <x v="4"/>
    <x v="1"/>
    <x v="216"/>
    <n v="13.52"/>
    <m/>
    <n v="13.52"/>
  </r>
  <r>
    <s v="11/05/2025"/>
    <x v="9"/>
    <x v="24"/>
    <x v="4"/>
    <x v="1"/>
    <x v="197"/>
    <n v="377.48"/>
    <m/>
    <n v="377.48"/>
  </r>
  <r>
    <s v="11/06/2025"/>
    <x v="9"/>
    <x v="24"/>
    <x v="4"/>
    <x v="1"/>
    <x v="35"/>
    <n v="20.5"/>
    <m/>
    <n v="20.5"/>
  </r>
  <r>
    <s v="11/06/2025"/>
    <x v="9"/>
    <x v="24"/>
    <x v="4"/>
    <x v="1"/>
    <x v="206"/>
    <n v="271.19"/>
    <m/>
    <n v="271.19"/>
  </r>
  <r>
    <s v="11/07/2025"/>
    <x v="9"/>
    <x v="24"/>
    <x v="4"/>
    <x v="1"/>
    <x v="217"/>
    <n v="474.65"/>
    <m/>
    <n v="474.65"/>
  </r>
  <r>
    <s v="11/10/2025"/>
    <x v="9"/>
    <x v="24"/>
    <x v="4"/>
    <x v="1"/>
    <x v="214"/>
    <n v="31"/>
    <m/>
    <n v="31"/>
  </r>
  <r>
    <s v="11/11/2025"/>
    <x v="9"/>
    <x v="24"/>
    <x v="4"/>
    <x v="1"/>
    <x v="215"/>
    <n v="59.5"/>
    <m/>
    <n v="59.5"/>
  </r>
  <r>
    <s v="11/11/2025"/>
    <x v="9"/>
    <x v="24"/>
    <x v="4"/>
    <x v="1"/>
    <x v="198"/>
    <n v="43.96"/>
    <m/>
    <n v="43.96"/>
  </r>
  <r>
    <s v="11/11/2025"/>
    <x v="9"/>
    <x v="24"/>
    <x v="4"/>
    <x v="1"/>
    <x v="215"/>
    <n v="57.21"/>
    <m/>
    <n v="57.21"/>
  </r>
  <r>
    <s v="11/12/2025"/>
    <x v="9"/>
    <x v="24"/>
    <x v="4"/>
    <x v="1"/>
    <x v="198"/>
    <n v="6.59"/>
    <m/>
    <n v="6.59"/>
  </r>
  <r>
    <s v="11/12/2025"/>
    <x v="9"/>
    <x v="24"/>
    <x v="4"/>
    <x v="1"/>
    <x v="198"/>
    <n v="51.91"/>
    <m/>
    <n v="51.91"/>
  </r>
  <r>
    <s v="11/12/2025"/>
    <x v="9"/>
    <x v="24"/>
    <x v="4"/>
    <x v="1"/>
    <x v="196"/>
    <n v="701.57"/>
    <m/>
    <n v="701.57"/>
  </r>
  <r>
    <s v="11/19/2025"/>
    <x v="9"/>
    <x v="24"/>
    <x v="4"/>
    <x v="1"/>
    <x v="191"/>
    <n v="24.99"/>
    <m/>
    <n v="24.99"/>
  </r>
  <r>
    <s v="11/20/2025"/>
    <x v="9"/>
    <x v="24"/>
    <x v="4"/>
    <x v="1"/>
    <x v="197"/>
    <n v="368.97"/>
    <m/>
    <n v="368.97"/>
  </r>
  <r>
    <s v="11/26/2025"/>
    <x v="9"/>
    <x v="24"/>
    <x v="4"/>
    <x v="1"/>
    <x v="198"/>
    <n v="7.78"/>
    <m/>
    <n v="7.78"/>
  </r>
  <r>
    <s v="11/27/2025"/>
    <x v="9"/>
    <x v="24"/>
    <x v="4"/>
    <x v="1"/>
    <x v="218"/>
    <n v="24.73"/>
    <m/>
    <n v="24.73"/>
  </r>
  <r>
    <s v="11/27/2025"/>
    <x v="9"/>
    <x v="24"/>
    <x v="4"/>
    <x v="1"/>
    <x v="219"/>
    <n v="296.45999999999998"/>
    <m/>
    <n v="296.45999999999998"/>
  </r>
  <r>
    <s v="11/27/2025"/>
    <x v="9"/>
    <x v="24"/>
    <x v="4"/>
    <x v="1"/>
    <x v="159"/>
    <n v="81.069999999999993"/>
    <m/>
    <n v="81.069999999999993"/>
  </r>
  <r>
    <s v="12/01/2025"/>
    <x v="10"/>
    <x v="24"/>
    <x v="4"/>
    <x v="1"/>
    <x v="214"/>
    <n v="52"/>
    <m/>
    <n v="52"/>
  </r>
  <r>
    <s v="12/02/2025"/>
    <x v="10"/>
    <x v="24"/>
    <x v="4"/>
    <x v="1"/>
    <x v="220"/>
    <n v="85.61"/>
    <m/>
    <n v="85.61"/>
  </r>
  <r>
    <s v="12/03/2025"/>
    <x v="10"/>
    <x v="24"/>
    <x v="4"/>
    <x v="1"/>
    <x v="198"/>
    <n v="39.96"/>
    <m/>
    <n v="39.96"/>
  </r>
  <r>
    <s v="12/04/2025"/>
    <x v="10"/>
    <x v="24"/>
    <x v="4"/>
    <x v="1"/>
    <x v="215"/>
    <n v="106.95"/>
    <m/>
    <n v="106.95"/>
  </r>
  <r>
    <s v="12/12/2025"/>
    <x v="10"/>
    <x v="24"/>
    <x v="4"/>
    <x v="1"/>
    <x v="220"/>
    <n v="14.02"/>
    <m/>
    <n v="14.02"/>
  </r>
  <r>
    <s v="12/17/2025"/>
    <x v="10"/>
    <x v="24"/>
    <x v="4"/>
    <x v="1"/>
    <x v="215"/>
    <n v="109.15"/>
    <m/>
    <n v="109.15"/>
  </r>
  <r>
    <s v="12/19/2025"/>
    <x v="10"/>
    <x v="24"/>
    <x v="4"/>
    <x v="1"/>
    <x v="191"/>
    <n v="24.99"/>
    <m/>
    <n v="24.99"/>
  </r>
  <r>
    <s v="12/22/2025"/>
    <x v="10"/>
    <x v="24"/>
    <x v="4"/>
    <x v="1"/>
    <x v="221"/>
    <n v="2.4900000000000002"/>
    <m/>
    <n v="2.4900000000000002"/>
  </r>
  <r>
    <s v="2025-01-02"/>
    <x v="11"/>
    <x v="25"/>
    <x v="0"/>
    <x v="0"/>
    <x v="2"/>
    <n v="210.7"/>
    <m/>
    <n v="210.7"/>
  </r>
  <r>
    <s v="2025-02-10"/>
    <x v="0"/>
    <x v="25"/>
    <x v="0"/>
    <x v="0"/>
    <x v="2"/>
    <n v="197.73"/>
    <m/>
    <n v="197.73"/>
  </r>
  <r>
    <d v="2025-05-07T00:00:00"/>
    <x v="3"/>
    <x v="25"/>
    <x v="0"/>
    <x v="0"/>
    <x v="2"/>
    <n v="203.83"/>
    <m/>
    <n v="203.83"/>
  </r>
  <r>
    <d v="2025-06-11T00:00:00"/>
    <x v="4"/>
    <x v="25"/>
    <x v="0"/>
    <x v="0"/>
    <x v="2"/>
    <n v="212.29"/>
    <m/>
    <n v="212.29"/>
  </r>
  <r>
    <d v="2025-07-02T00:00:00"/>
    <x v="5"/>
    <x v="25"/>
    <x v="0"/>
    <x v="0"/>
    <x v="2"/>
    <n v="125.06"/>
    <m/>
    <n v="125.06"/>
  </r>
  <r>
    <d v="2025-08-01T00:00:00"/>
    <x v="6"/>
    <x v="25"/>
    <x v="0"/>
    <x v="0"/>
    <x v="2"/>
    <n v="174.9"/>
    <m/>
    <n v="174.9"/>
  </r>
  <r>
    <d v="2025-10-02T00:00:00"/>
    <x v="8"/>
    <x v="25"/>
    <x v="0"/>
    <x v="0"/>
    <x v="2"/>
    <n v="354.24"/>
    <m/>
    <n v="354.24"/>
  </r>
  <r>
    <s v="11/13/2025"/>
    <x v="9"/>
    <x v="25"/>
    <x v="0"/>
    <x v="0"/>
    <x v="2"/>
    <n v="236.4"/>
    <m/>
    <n v="236.4"/>
  </r>
  <r>
    <s v="12/05/2025"/>
    <x v="10"/>
    <x v="25"/>
    <x v="0"/>
    <x v="0"/>
    <x v="2"/>
    <n v="118.26"/>
    <m/>
    <n v="118.26"/>
  </r>
  <r>
    <s v="2025-01-23"/>
    <x v="11"/>
    <x v="26"/>
    <x v="8"/>
    <x v="2"/>
    <x v="49"/>
    <n v="137139"/>
    <m/>
    <n v="137139"/>
  </r>
  <r>
    <s v="2025-02-26"/>
    <x v="0"/>
    <x v="26"/>
    <x v="8"/>
    <x v="2"/>
    <x v="49"/>
    <n v="141484"/>
    <m/>
    <n v="141484"/>
  </r>
  <r>
    <n v="45744"/>
    <x v="1"/>
    <x v="26"/>
    <x v="8"/>
    <x v="2"/>
    <x v="49"/>
    <n v="140018"/>
    <m/>
    <n v="140018"/>
  </r>
  <r>
    <d v="2025-04-30T00:00:00"/>
    <x v="2"/>
    <x v="26"/>
    <x v="8"/>
    <x v="2"/>
    <x v="49"/>
    <n v="164649"/>
    <m/>
    <n v="164649"/>
  </r>
  <r>
    <d v="2025-05-28T00:00:00"/>
    <x v="3"/>
    <x v="26"/>
    <x v="8"/>
    <x v="2"/>
    <x v="49"/>
    <n v="151760"/>
    <m/>
    <n v="151760"/>
  </r>
  <r>
    <d v="2025-06-30T00:00:00"/>
    <x v="4"/>
    <x v="26"/>
    <x v="8"/>
    <x v="2"/>
    <x v="49"/>
    <n v="200674"/>
    <m/>
    <n v="200674"/>
  </r>
  <r>
    <d v="2025-07-31T00:00:00"/>
    <x v="5"/>
    <x v="26"/>
    <x v="8"/>
    <x v="2"/>
    <x v="49"/>
    <n v="158956"/>
    <m/>
    <n v="158956"/>
  </r>
  <r>
    <n v="45898"/>
    <x v="6"/>
    <x v="26"/>
    <x v="8"/>
    <x v="2"/>
    <x v="49"/>
    <n v="173054"/>
    <m/>
    <n v="173054"/>
  </r>
  <r>
    <d v="2025-09-30T00:00:00"/>
    <x v="7"/>
    <x v="26"/>
    <x v="8"/>
    <x v="2"/>
    <x v="49"/>
    <n v="187101"/>
    <m/>
    <n v="187101"/>
  </r>
  <r>
    <s v="10/28/2025"/>
    <x v="8"/>
    <x v="26"/>
    <x v="8"/>
    <x v="2"/>
    <x v="49"/>
    <n v="183412"/>
    <m/>
    <n v="183412"/>
  </r>
  <r>
    <s v="11/28/2025"/>
    <x v="9"/>
    <x v="26"/>
    <x v="8"/>
    <x v="2"/>
    <x v="49"/>
    <n v="190966"/>
    <m/>
    <n v="190966"/>
  </r>
  <r>
    <s v="12/31/2025"/>
    <x v="10"/>
    <x v="26"/>
    <x v="8"/>
    <x v="2"/>
    <x v="49"/>
    <n v="187035"/>
    <m/>
    <n v="187035"/>
  </r>
  <r>
    <s v="01/16/2026"/>
    <x v="12"/>
    <x v="0"/>
    <x v="0"/>
    <x v="0"/>
    <x v="2"/>
    <n v="5"/>
    <m/>
    <n v="5"/>
  </r>
  <r>
    <s v="01/16/2026"/>
    <x v="12"/>
    <x v="0"/>
    <x v="0"/>
    <x v="0"/>
    <x v="2"/>
    <n v="1"/>
    <m/>
    <n v="1"/>
  </r>
  <r>
    <s v="01/15/2026"/>
    <x v="12"/>
    <x v="2"/>
    <x v="2"/>
    <x v="2"/>
    <x v="8"/>
    <n v="1688.42"/>
    <m/>
    <n v="1688.42"/>
  </r>
  <r>
    <s v="01/15/2026"/>
    <x v="12"/>
    <x v="2"/>
    <x v="2"/>
    <x v="2"/>
    <x v="18"/>
    <n v="1250"/>
    <m/>
    <n v="1250"/>
  </r>
  <r>
    <s v="01/27/2026"/>
    <x v="12"/>
    <x v="2"/>
    <x v="2"/>
    <x v="2"/>
    <x v="13"/>
    <n v="2195"/>
    <m/>
    <n v="2195"/>
  </r>
  <r>
    <s v="01/30/2026"/>
    <x v="12"/>
    <x v="2"/>
    <x v="2"/>
    <x v="2"/>
    <x v="18"/>
    <n v="1250"/>
    <m/>
    <n v="1250"/>
  </r>
  <r>
    <s v="01/27/2026"/>
    <x v="12"/>
    <x v="26"/>
    <x v="8"/>
    <x v="2"/>
    <x v="49"/>
    <n v="184697"/>
    <m/>
    <n v="184697"/>
  </r>
  <r>
    <s v="01/02/2026"/>
    <x v="12"/>
    <x v="4"/>
    <x v="3"/>
    <x v="2"/>
    <x v="19"/>
    <n v="13.8"/>
    <m/>
    <n v="13.8"/>
  </r>
  <r>
    <s v="01/04/2026"/>
    <x v="12"/>
    <x v="4"/>
    <x v="3"/>
    <x v="2"/>
    <x v="27"/>
    <n v="138.58000000000001"/>
    <m/>
    <n v="138.58000000000001"/>
  </r>
  <r>
    <s v="01/11/2026"/>
    <x v="12"/>
    <x v="4"/>
    <x v="3"/>
    <x v="2"/>
    <x v="22"/>
    <n v="12.77"/>
    <m/>
    <n v="12.77"/>
  </r>
  <r>
    <s v="01/12/2026"/>
    <x v="12"/>
    <x v="4"/>
    <x v="3"/>
    <x v="2"/>
    <x v="24"/>
    <n v="21.01"/>
    <m/>
    <n v="21.01"/>
  </r>
  <r>
    <s v="01/15/2026"/>
    <x v="12"/>
    <x v="4"/>
    <x v="3"/>
    <x v="2"/>
    <x v="22"/>
    <n v="12.77"/>
    <m/>
    <n v="12.77"/>
  </r>
  <r>
    <s v="01/18/2026"/>
    <x v="12"/>
    <x v="4"/>
    <x v="3"/>
    <x v="2"/>
    <x v="21"/>
    <n v="191.52"/>
    <m/>
    <n v="191.52"/>
  </r>
  <r>
    <s v="01/28/2026"/>
    <x v="12"/>
    <x v="4"/>
    <x v="3"/>
    <x v="2"/>
    <x v="19"/>
    <n v="31.86"/>
    <m/>
    <n v="31.86"/>
  </r>
  <r>
    <s v="01/29/2026"/>
    <x v="12"/>
    <x v="4"/>
    <x v="3"/>
    <x v="2"/>
    <x v="23"/>
    <n v="12.78"/>
    <m/>
    <n v="12.78"/>
  </r>
  <r>
    <s v="01/11/2026"/>
    <x v="12"/>
    <x v="5"/>
    <x v="1"/>
    <x v="1"/>
    <x v="36"/>
    <n v="25"/>
    <m/>
    <n v="25"/>
  </r>
  <r>
    <s v="01/11/2026"/>
    <x v="12"/>
    <x v="5"/>
    <x v="1"/>
    <x v="1"/>
    <x v="36"/>
    <n v="35"/>
    <m/>
    <n v="35"/>
  </r>
  <r>
    <s v="01/12/2026"/>
    <x v="12"/>
    <x v="5"/>
    <x v="1"/>
    <x v="1"/>
    <x v="40"/>
    <n v="37.46"/>
    <m/>
    <n v="37.46"/>
  </r>
  <r>
    <s v="01/30/2026"/>
    <x v="12"/>
    <x v="5"/>
    <x v="1"/>
    <x v="1"/>
    <x v="36"/>
    <n v="34.6"/>
    <m/>
    <n v="34.6"/>
  </r>
  <r>
    <s v="01/09/2026"/>
    <x v="12"/>
    <x v="6"/>
    <x v="1"/>
    <x v="1"/>
    <x v="50"/>
    <n v="375"/>
    <m/>
    <n v="375"/>
  </r>
  <r>
    <s v="01/15/2026"/>
    <x v="12"/>
    <x v="6"/>
    <x v="1"/>
    <x v="1"/>
    <x v="50"/>
    <n v="47.5"/>
    <m/>
    <n v="47.5"/>
  </r>
  <r>
    <s v="01/15/2026"/>
    <x v="12"/>
    <x v="6"/>
    <x v="1"/>
    <x v="1"/>
    <x v="49"/>
    <n v="1522.62"/>
    <m/>
    <n v="1522.62"/>
  </r>
  <r>
    <s v="01/21/2026"/>
    <x v="12"/>
    <x v="6"/>
    <x v="1"/>
    <x v="1"/>
    <x v="47"/>
    <n v="2657.68"/>
    <m/>
    <n v="2657.68"/>
  </r>
  <r>
    <s v="01/23/2026"/>
    <x v="12"/>
    <x v="6"/>
    <x v="1"/>
    <x v="1"/>
    <x v="50"/>
    <n v="375"/>
    <m/>
    <n v="375"/>
  </r>
  <r>
    <s v="01/28/2026"/>
    <x v="12"/>
    <x v="6"/>
    <x v="1"/>
    <x v="1"/>
    <x v="49"/>
    <n v="1750"/>
    <m/>
    <n v="1750"/>
  </r>
  <r>
    <s v="01/08/2026"/>
    <x v="12"/>
    <x v="8"/>
    <x v="3"/>
    <x v="2"/>
    <x v="52"/>
    <n v="286.14999999999998"/>
    <m/>
    <n v="286.14999999999998"/>
  </r>
  <r>
    <s v="01/19/2026"/>
    <x v="12"/>
    <x v="8"/>
    <x v="3"/>
    <x v="2"/>
    <x v="53"/>
    <n v="213.15"/>
    <m/>
    <n v="213.15"/>
  </r>
  <r>
    <s v="01/20/2026"/>
    <x v="12"/>
    <x v="9"/>
    <x v="1"/>
    <x v="1"/>
    <x v="57"/>
    <n v="7940.38"/>
    <m/>
    <n v="7940.38"/>
  </r>
  <r>
    <s v="01/09/2026"/>
    <x v="12"/>
    <x v="11"/>
    <x v="5"/>
    <x v="1"/>
    <x v="62"/>
    <n v="15924.26"/>
    <m/>
    <n v="15924.26"/>
  </r>
  <r>
    <s v="01/13/2026"/>
    <x v="12"/>
    <x v="11"/>
    <x v="5"/>
    <x v="1"/>
    <x v="62"/>
    <n v="2473.25"/>
    <m/>
    <n v="2473.25"/>
  </r>
  <r>
    <s v="01/22/2026"/>
    <x v="12"/>
    <x v="11"/>
    <x v="5"/>
    <x v="1"/>
    <x v="62"/>
    <n v="16398.259999999998"/>
    <m/>
    <n v="16398.259999999998"/>
  </r>
  <r>
    <s v="01/27/2026"/>
    <x v="12"/>
    <x v="11"/>
    <x v="5"/>
    <x v="1"/>
    <x v="62"/>
    <n v="2473.25"/>
    <m/>
    <n v="2473.25"/>
  </r>
  <r>
    <s v="01/07/2026"/>
    <x v="12"/>
    <x v="12"/>
    <x v="1"/>
    <x v="1"/>
    <x v="222"/>
    <n v="392.29"/>
    <m/>
    <n v="392.29"/>
  </r>
  <r>
    <s v="01/12/2026"/>
    <x v="12"/>
    <x v="12"/>
    <x v="1"/>
    <x v="1"/>
    <x v="91"/>
    <n v="6.36"/>
    <m/>
    <n v="6.36"/>
  </r>
  <r>
    <s v="01/12/2026"/>
    <x v="12"/>
    <x v="12"/>
    <x v="1"/>
    <x v="1"/>
    <x v="223"/>
    <n v="8.8699999999999992"/>
    <m/>
    <n v="8.8699999999999992"/>
  </r>
  <r>
    <s v="01/13/2026"/>
    <x v="12"/>
    <x v="12"/>
    <x v="1"/>
    <x v="1"/>
    <x v="224"/>
    <n v="29"/>
    <m/>
    <n v="29"/>
  </r>
  <r>
    <s v="01/24/2026"/>
    <x v="12"/>
    <x v="12"/>
    <x v="1"/>
    <x v="1"/>
    <x v="225"/>
    <n v="143.37"/>
    <m/>
    <n v="143.37"/>
  </r>
  <r>
    <s v="01/12/2026"/>
    <x v="12"/>
    <x v="13"/>
    <x v="1"/>
    <x v="1"/>
    <x v="226"/>
    <n v="2.5"/>
    <m/>
    <n v="2.5"/>
  </r>
  <r>
    <s v="01/16/2026"/>
    <x v="12"/>
    <x v="13"/>
    <x v="1"/>
    <x v="1"/>
    <x v="227"/>
    <n v="500"/>
    <m/>
    <n v="500"/>
  </r>
  <r>
    <s v="01/30/2026"/>
    <x v="12"/>
    <x v="13"/>
    <x v="1"/>
    <x v="1"/>
    <x v="64"/>
    <n v="272.05"/>
    <m/>
    <n v="272.05"/>
  </r>
  <r>
    <s v="01/05/2026"/>
    <x v="12"/>
    <x v="15"/>
    <x v="1"/>
    <x v="1"/>
    <x v="62"/>
    <n v="93.31"/>
    <m/>
    <n v="93.31"/>
  </r>
  <r>
    <s v="01/05/2026"/>
    <x v="12"/>
    <x v="15"/>
    <x v="1"/>
    <x v="1"/>
    <x v="62"/>
    <n v="313.85000000000002"/>
    <m/>
    <n v="313.85000000000002"/>
  </r>
  <r>
    <s v="01/12/2026"/>
    <x v="12"/>
    <x v="15"/>
    <x v="1"/>
    <x v="1"/>
    <x v="62"/>
    <n v="17.850000000000001"/>
    <m/>
    <n v="17.850000000000001"/>
  </r>
  <r>
    <s v="01/23/2026"/>
    <x v="12"/>
    <x v="15"/>
    <x v="1"/>
    <x v="1"/>
    <x v="62"/>
    <n v="17.850000000000001"/>
    <m/>
    <n v="17.850000000000001"/>
  </r>
  <r>
    <s v="01/23/2026"/>
    <x v="12"/>
    <x v="15"/>
    <x v="1"/>
    <x v="1"/>
    <x v="62"/>
    <n v="112.4"/>
    <m/>
    <n v="112.4"/>
  </r>
  <r>
    <s v="01/30/2026"/>
    <x v="12"/>
    <x v="15"/>
    <x v="1"/>
    <x v="1"/>
    <x v="62"/>
    <n v="93.31"/>
    <m/>
    <n v="93.31"/>
  </r>
  <r>
    <s v="01/30/2026"/>
    <x v="12"/>
    <x v="15"/>
    <x v="1"/>
    <x v="1"/>
    <x v="62"/>
    <n v="314.08"/>
    <m/>
    <n v="314.08"/>
  </r>
  <r>
    <s v="01/12/2026"/>
    <x v="12"/>
    <x v="16"/>
    <x v="5"/>
    <x v="1"/>
    <x v="62"/>
    <n v="6048.03"/>
    <m/>
    <n v="6048.03"/>
  </r>
  <r>
    <s v="01/23/2026"/>
    <x v="12"/>
    <x v="16"/>
    <x v="5"/>
    <x v="1"/>
    <x v="62"/>
    <n v="5674.53"/>
    <m/>
    <n v="5674.53"/>
  </r>
  <r>
    <s v="01/17/2026"/>
    <x v="12"/>
    <x v="17"/>
    <x v="1"/>
    <x v="1"/>
    <x v="163"/>
    <n v="14.99"/>
    <m/>
    <n v="14.99"/>
  </r>
  <r>
    <s v="01/15/2026"/>
    <x v="12"/>
    <x v="19"/>
    <x v="6"/>
    <x v="2"/>
    <x v="10"/>
    <n v="2000"/>
    <m/>
    <n v="2000"/>
  </r>
  <r>
    <s v="01/02/2026"/>
    <x v="12"/>
    <x v="20"/>
    <x v="7"/>
    <x v="2"/>
    <x v="166"/>
    <n v="127.92"/>
    <m/>
    <n v="127.92"/>
  </r>
  <r>
    <s v="01/18/2026"/>
    <x v="12"/>
    <x v="21"/>
    <x v="4"/>
    <x v="1"/>
    <x v="171"/>
    <n v="1128.52"/>
    <m/>
    <n v="1128.52"/>
  </r>
  <r>
    <s v="01/28/2026"/>
    <x v="12"/>
    <x v="21"/>
    <x v="4"/>
    <x v="1"/>
    <x v="167"/>
    <n v="105.53"/>
    <m/>
    <n v="105.53"/>
  </r>
  <r>
    <s v="01/01/2026"/>
    <x v="12"/>
    <x v="20"/>
    <x v="7"/>
    <x v="2"/>
    <x v="28"/>
    <n v="454.35"/>
    <m/>
    <n v="454.35"/>
  </r>
  <r>
    <s v="01/01/2026"/>
    <x v="12"/>
    <x v="20"/>
    <x v="7"/>
    <x v="2"/>
    <x v="28"/>
    <n v="483.42"/>
    <m/>
    <n v="483.42"/>
  </r>
  <r>
    <s v="01/06/2026"/>
    <x v="12"/>
    <x v="20"/>
    <x v="7"/>
    <x v="2"/>
    <x v="29"/>
    <n v="83.06"/>
    <m/>
    <n v="83.06"/>
  </r>
  <r>
    <s v="01/07/2026"/>
    <x v="12"/>
    <x v="20"/>
    <x v="7"/>
    <x v="2"/>
    <x v="184"/>
    <n v="2168.39"/>
    <m/>
    <n v="2168.39"/>
  </r>
  <r>
    <s v="01/08/2026"/>
    <x v="12"/>
    <x v="20"/>
    <x v="7"/>
    <x v="2"/>
    <x v="175"/>
    <n v="106.6"/>
    <m/>
    <n v="106.6"/>
  </r>
  <r>
    <s v="01/16/2026"/>
    <x v="12"/>
    <x v="20"/>
    <x v="7"/>
    <x v="2"/>
    <x v="175"/>
    <n v="9315.2000000000007"/>
    <m/>
    <n v="9315.2000000000007"/>
  </r>
  <r>
    <s v="01/27/2026"/>
    <x v="12"/>
    <x v="20"/>
    <x v="7"/>
    <x v="2"/>
    <x v="182"/>
    <n v="89.88"/>
    <m/>
    <n v="89.88"/>
  </r>
  <r>
    <s v="01/30/2026"/>
    <x v="12"/>
    <x v="20"/>
    <x v="7"/>
    <x v="2"/>
    <x v="29"/>
    <n v="2132"/>
    <m/>
    <n v="2132"/>
  </r>
  <r>
    <s v="01/03/2026"/>
    <x v="12"/>
    <x v="22"/>
    <x v="3"/>
    <x v="2"/>
    <x v="185"/>
    <n v="2036.8"/>
    <m/>
    <n v="2036.8"/>
  </r>
  <r>
    <s v="01/07/2026"/>
    <x v="12"/>
    <x v="22"/>
    <x v="3"/>
    <x v="2"/>
    <x v="186"/>
    <n v="299.04000000000002"/>
    <m/>
    <n v="299.04000000000002"/>
  </r>
  <r>
    <s v="01/17/2026"/>
    <x v="12"/>
    <x v="23"/>
    <x v="1"/>
    <x v="1"/>
    <x v="189"/>
    <n v="25"/>
    <m/>
    <n v="25"/>
  </r>
  <r>
    <s v="01/07/2026"/>
    <x v="12"/>
    <x v="24"/>
    <x v="4"/>
    <x v="1"/>
    <x v="215"/>
    <n v="155.97999999999999"/>
    <m/>
    <n v="155.97999999999999"/>
  </r>
  <r>
    <s v="01/16/2026"/>
    <x v="12"/>
    <x v="24"/>
    <x v="4"/>
    <x v="1"/>
    <x v="228"/>
    <n v="32.24"/>
    <m/>
    <n v="32.24"/>
  </r>
  <r>
    <s v="01/16/2026"/>
    <x v="12"/>
    <x v="24"/>
    <x v="4"/>
    <x v="1"/>
    <x v="228"/>
    <n v="882"/>
    <m/>
    <n v="882"/>
  </r>
  <r>
    <s v="01/16/2026"/>
    <x v="12"/>
    <x v="24"/>
    <x v="4"/>
    <x v="1"/>
    <x v="228"/>
    <n v="32.24"/>
    <m/>
    <n v="32.24"/>
  </r>
  <r>
    <s v="01/19/2026"/>
    <x v="12"/>
    <x v="24"/>
    <x v="4"/>
    <x v="1"/>
    <x v="191"/>
    <n v="24.99"/>
    <m/>
    <n v="24.99"/>
  </r>
  <r>
    <s v="01/21/2026"/>
    <x v="12"/>
    <x v="24"/>
    <x v="4"/>
    <x v="1"/>
    <x v="214"/>
    <n v="30"/>
    <m/>
    <n v="30"/>
  </r>
  <r>
    <s v="01/22/2026"/>
    <x v="12"/>
    <x v="24"/>
    <x v="4"/>
    <x v="1"/>
    <x v="198"/>
    <n v="18.97"/>
    <m/>
    <n v="18.97"/>
  </r>
  <r>
    <s v="01/22/2026"/>
    <x v="12"/>
    <x v="24"/>
    <x v="4"/>
    <x v="1"/>
    <x v="229"/>
    <n v="13.36"/>
    <m/>
    <n v="13.36"/>
  </r>
  <r>
    <s v="01/22/2026"/>
    <x v="12"/>
    <x v="24"/>
    <x v="4"/>
    <x v="1"/>
    <x v="230"/>
    <n v="202.83"/>
    <m/>
    <n v="202.83"/>
  </r>
  <r>
    <s v="01/23/2026"/>
    <x v="12"/>
    <x v="24"/>
    <x v="4"/>
    <x v="1"/>
    <x v="198"/>
    <n v="23.95"/>
    <m/>
    <n v="23.95"/>
  </r>
  <r>
    <s v="01/23/2026"/>
    <x v="12"/>
    <x v="24"/>
    <x v="4"/>
    <x v="1"/>
    <x v="198"/>
    <n v="64.98"/>
    <m/>
    <n v="64.98"/>
  </r>
  <r>
    <s v="01/23/2026"/>
    <x v="12"/>
    <x v="24"/>
    <x v="4"/>
    <x v="1"/>
    <x v="229"/>
    <n v="5.35"/>
    <m/>
    <n v="5.35"/>
  </r>
  <r>
    <s v="01/24/2026"/>
    <x v="12"/>
    <x v="24"/>
    <x v="4"/>
    <x v="1"/>
    <x v="198"/>
    <n v="11.94"/>
    <m/>
    <n v="11.94"/>
  </r>
  <r>
    <d v="2026-01-05T00:00:00"/>
    <x v="12"/>
    <x v="25"/>
    <x v="0"/>
    <x v="0"/>
    <x v="2"/>
    <n v="162.72"/>
    <m/>
    <n v="162.72"/>
  </r>
  <r>
    <s v="02/01/2026"/>
    <x v="13"/>
    <x v="0"/>
    <x v="0"/>
    <x v="0"/>
    <x v="0"/>
    <n v="195"/>
    <m/>
    <n v="195"/>
  </r>
  <r>
    <s v="02/09/2026"/>
    <x v="13"/>
    <x v="0"/>
    <x v="0"/>
    <x v="0"/>
    <x v="3"/>
    <m/>
    <n v="10"/>
    <n v="-10"/>
  </r>
  <r>
    <s v="02/13/2026"/>
    <x v="13"/>
    <x v="0"/>
    <x v="0"/>
    <x v="0"/>
    <x v="2"/>
    <n v="5"/>
    <m/>
    <n v="5"/>
  </r>
  <r>
    <s v="02/13/2026"/>
    <x v="13"/>
    <x v="0"/>
    <x v="0"/>
    <x v="0"/>
    <x v="3"/>
    <n v="895"/>
    <m/>
    <n v="895"/>
  </r>
  <r>
    <s v="02/20/2026"/>
    <x v="13"/>
    <x v="0"/>
    <x v="0"/>
    <x v="0"/>
    <x v="2"/>
    <n v="5"/>
    <m/>
    <n v="5"/>
  </r>
  <r>
    <s v="02/20/2026"/>
    <x v="13"/>
    <x v="0"/>
    <x v="0"/>
    <x v="0"/>
    <x v="2"/>
    <n v="5"/>
    <m/>
    <n v="5"/>
  </r>
  <r>
    <s v="03/06/2026"/>
    <x v="14"/>
    <x v="0"/>
    <x v="0"/>
    <x v="0"/>
    <x v="2"/>
    <n v="5"/>
    <m/>
    <n v="5"/>
  </r>
  <r>
    <s v="03/06/2026"/>
    <x v="14"/>
    <x v="0"/>
    <x v="0"/>
    <x v="0"/>
    <x v="3"/>
    <m/>
    <n v="10"/>
    <n v="-10"/>
  </r>
  <r>
    <s v="03/24/2026"/>
    <x v="14"/>
    <x v="0"/>
    <x v="0"/>
    <x v="0"/>
    <x v="2"/>
    <n v="1"/>
    <m/>
    <n v="1"/>
  </r>
  <r>
    <s v="03/24/2026"/>
    <x v="14"/>
    <x v="0"/>
    <x v="0"/>
    <x v="0"/>
    <x v="2"/>
    <n v="5"/>
    <m/>
    <n v="5"/>
  </r>
  <r>
    <s v="03/27/2026"/>
    <x v="14"/>
    <x v="0"/>
    <x v="0"/>
    <x v="0"/>
    <x v="2"/>
    <n v="5"/>
    <m/>
    <n v="5"/>
  </r>
  <r>
    <s v="02/16/2026"/>
    <x v="13"/>
    <x v="2"/>
    <x v="2"/>
    <x v="2"/>
    <x v="231"/>
    <n v="163.77000000000001"/>
    <m/>
    <n v="163.77000000000001"/>
  </r>
  <r>
    <s v="02/19/2026"/>
    <x v="13"/>
    <x v="3"/>
    <x v="1"/>
    <x v="1"/>
    <x v="9"/>
    <n v="2500"/>
    <m/>
    <n v="2500"/>
  </r>
  <r>
    <s v="02/26/2026"/>
    <x v="13"/>
    <x v="3"/>
    <x v="1"/>
    <x v="1"/>
    <x v="15"/>
    <n v="3250"/>
    <m/>
    <n v="3250"/>
  </r>
  <r>
    <s v="03/19/2026"/>
    <x v="14"/>
    <x v="2"/>
    <x v="2"/>
    <x v="2"/>
    <x v="232"/>
    <n v="75"/>
    <m/>
    <n v="75"/>
  </r>
  <r>
    <s v="03/23/2026"/>
    <x v="14"/>
    <x v="3"/>
    <x v="1"/>
    <x v="1"/>
    <x v="9"/>
    <n v="2500"/>
    <m/>
    <n v="2500"/>
  </r>
  <r>
    <s v="02/28/2026"/>
    <x v="13"/>
    <x v="26"/>
    <x v="8"/>
    <x v="2"/>
    <x v="49"/>
    <n v="184916"/>
    <m/>
    <n v="184916"/>
  </r>
  <r>
    <s v="03/31/2026"/>
    <x v="14"/>
    <x v="26"/>
    <x v="8"/>
    <x v="2"/>
    <x v="49"/>
    <n v="123319"/>
    <m/>
    <n v="123319"/>
  </r>
  <r>
    <s v="03/31/2026"/>
    <x v="14"/>
    <x v="26"/>
    <x v="8"/>
    <x v="2"/>
    <x v="49"/>
    <m/>
    <n v="48000"/>
    <n v="-48000"/>
  </r>
  <r>
    <s v="02/02/2026"/>
    <x v="13"/>
    <x v="4"/>
    <x v="3"/>
    <x v="2"/>
    <x v="19"/>
    <n v="13.8"/>
    <m/>
    <n v="13.8"/>
  </r>
  <r>
    <s v="02/04/2026"/>
    <x v="13"/>
    <x v="4"/>
    <x v="3"/>
    <x v="2"/>
    <x v="27"/>
    <n v="138.58000000000001"/>
    <m/>
    <n v="138.58000000000001"/>
  </r>
  <r>
    <s v="02/11/2026"/>
    <x v="13"/>
    <x v="4"/>
    <x v="3"/>
    <x v="2"/>
    <x v="22"/>
    <n v="12.77"/>
    <m/>
    <n v="12.77"/>
  </r>
  <r>
    <s v="02/12/2026"/>
    <x v="13"/>
    <x v="4"/>
    <x v="3"/>
    <x v="2"/>
    <x v="24"/>
    <n v="21.01"/>
    <m/>
    <n v="21.01"/>
  </r>
  <r>
    <s v="02/15/2026"/>
    <x v="13"/>
    <x v="4"/>
    <x v="3"/>
    <x v="2"/>
    <x v="22"/>
    <n v="12.77"/>
    <m/>
    <n v="12.77"/>
  </r>
  <r>
    <s v="02/16/2026"/>
    <x v="13"/>
    <x v="4"/>
    <x v="3"/>
    <x v="2"/>
    <x v="20"/>
    <n v="21.32"/>
    <m/>
    <n v="21.32"/>
  </r>
  <r>
    <s v="02/18/2026"/>
    <x v="13"/>
    <x v="4"/>
    <x v="3"/>
    <x v="2"/>
    <x v="21"/>
    <n v="159.6"/>
    <m/>
    <n v="159.6"/>
  </r>
  <r>
    <s v="02/28/2026"/>
    <x v="13"/>
    <x v="4"/>
    <x v="3"/>
    <x v="2"/>
    <x v="23"/>
    <n v="12.78"/>
    <m/>
    <n v="12.78"/>
  </r>
  <r>
    <s v="03/02/2026"/>
    <x v="14"/>
    <x v="4"/>
    <x v="3"/>
    <x v="2"/>
    <x v="19"/>
    <n v="13.8"/>
    <m/>
    <n v="13.8"/>
  </r>
  <r>
    <s v="03/04/2026"/>
    <x v="14"/>
    <x v="4"/>
    <x v="3"/>
    <x v="2"/>
    <x v="27"/>
    <n v="138.58000000000001"/>
    <m/>
    <n v="138.58000000000001"/>
  </r>
  <r>
    <s v="03/11/2026"/>
    <x v="14"/>
    <x v="4"/>
    <x v="3"/>
    <x v="2"/>
    <x v="22"/>
    <n v="12.77"/>
    <m/>
    <n v="12.77"/>
  </r>
  <r>
    <s v="03/12/2026"/>
    <x v="14"/>
    <x v="4"/>
    <x v="3"/>
    <x v="2"/>
    <x v="24"/>
    <n v="21.01"/>
    <m/>
    <n v="21.01"/>
  </r>
  <r>
    <s v="03/15/2026"/>
    <x v="14"/>
    <x v="4"/>
    <x v="3"/>
    <x v="2"/>
    <x v="22"/>
    <n v="12.77"/>
    <m/>
    <n v="12.77"/>
  </r>
  <r>
    <s v="03/16/2026"/>
    <x v="14"/>
    <x v="4"/>
    <x v="3"/>
    <x v="2"/>
    <x v="20"/>
    <n v="21.32"/>
    <m/>
    <n v="21.32"/>
  </r>
  <r>
    <s v="03/18/2026"/>
    <x v="14"/>
    <x v="4"/>
    <x v="3"/>
    <x v="2"/>
    <x v="21"/>
    <n v="159.6"/>
    <m/>
    <n v="159.6"/>
  </r>
  <r>
    <s v="03/20/2026"/>
    <x v="14"/>
    <x v="4"/>
    <x v="3"/>
    <x v="2"/>
    <x v="26"/>
    <n v="66.569999999999993"/>
    <m/>
    <n v="66.569999999999993"/>
  </r>
  <r>
    <s v="03/29/2026"/>
    <x v="14"/>
    <x v="4"/>
    <x v="3"/>
    <x v="2"/>
    <x v="23"/>
    <n v="12.78"/>
    <m/>
    <n v="12.78"/>
  </r>
  <r>
    <s v="02/11/2026"/>
    <x v="13"/>
    <x v="5"/>
    <x v="1"/>
    <x v="1"/>
    <x v="37"/>
    <n v="75.760000000000005"/>
    <m/>
    <n v="75.760000000000005"/>
  </r>
  <r>
    <s v="02/28/2026"/>
    <x v="13"/>
    <x v="5"/>
    <x v="1"/>
    <x v="1"/>
    <x v="35"/>
    <n v="49.41"/>
    <m/>
    <n v="49.41"/>
  </r>
  <r>
    <s v="03/02/2026"/>
    <x v="14"/>
    <x v="5"/>
    <x v="1"/>
    <x v="1"/>
    <x v="36"/>
    <n v="40.1"/>
    <m/>
    <n v="40.1"/>
  </r>
  <r>
    <s v="03/21/2026"/>
    <x v="14"/>
    <x v="5"/>
    <x v="1"/>
    <x v="1"/>
    <x v="36"/>
    <n v="56.7"/>
    <m/>
    <n v="56.7"/>
  </r>
  <r>
    <s v="03/24/2026"/>
    <x v="14"/>
    <x v="5"/>
    <x v="1"/>
    <x v="1"/>
    <x v="36"/>
    <n v="50.91"/>
    <m/>
    <n v="50.91"/>
  </r>
  <r>
    <s v="02/03/2026"/>
    <x v="13"/>
    <x v="6"/>
    <x v="1"/>
    <x v="1"/>
    <x v="49"/>
    <n v="557.46"/>
    <m/>
    <n v="557.46"/>
  </r>
  <r>
    <s v="02/06/2026"/>
    <x v="13"/>
    <x v="6"/>
    <x v="1"/>
    <x v="1"/>
    <x v="50"/>
    <n v="335"/>
    <m/>
    <n v="335"/>
  </r>
  <r>
    <s v="02/15/2026"/>
    <x v="13"/>
    <x v="6"/>
    <x v="1"/>
    <x v="1"/>
    <x v="50"/>
    <n v="47.5"/>
    <m/>
    <n v="47.5"/>
  </r>
  <r>
    <s v="02/18/2026"/>
    <x v="13"/>
    <x v="6"/>
    <x v="1"/>
    <x v="1"/>
    <x v="49"/>
    <n v="2307.46"/>
    <m/>
    <n v="2307.46"/>
  </r>
  <r>
    <s v="02/20/2026"/>
    <x v="13"/>
    <x v="6"/>
    <x v="1"/>
    <x v="1"/>
    <x v="50"/>
    <n v="335"/>
    <m/>
    <n v="335"/>
  </r>
  <r>
    <s v="03/05/2026"/>
    <x v="14"/>
    <x v="6"/>
    <x v="1"/>
    <x v="1"/>
    <x v="49"/>
    <n v="2307.46"/>
    <m/>
    <n v="2307.46"/>
  </r>
  <r>
    <s v="03/06/2026"/>
    <x v="14"/>
    <x v="6"/>
    <x v="1"/>
    <x v="1"/>
    <x v="50"/>
    <n v="335"/>
    <m/>
    <n v="335"/>
  </r>
  <r>
    <s v="03/16/2026"/>
    <x v="14"/>
    <x v="6"/>
    <x v="1"/>
    <x v="1"/>
    <x v="50"/>
    <n v="47.5"/>
    <m/>
    <n v="47.5"/>
  </r>
  <r>
    <s v="03/20/2026"/>
    <x v="14"/>
    <x v="6"/>
    <x v="1"/>
    <x v="1"/>
    <x v="50"/>
    <n v="335"/>
    <m/>
    <n v="335"/>
  </r>
  <r>
    <s v="03/26/2026"/>
    <x v="14"/>
    <x v="6"/>
    <x v="1"/>
    <x v="1"/>
    <x v="47"/>
    <n v="6628.13"/>
    <m/>
    <n v="6628.13"/>
  </r>
  <r>
    <s v="02/02/2026"/>
    <x v="13"/>
    <x v="7"/>
    <x v="0"/>
    <x v="0"/>
    <x v="2"/>
    <n v="2360.4"/>
    <m/>
    <n v="2360.4"/>
  </r>
  <r>
    <s v="03/02/2026"/>
    <x v="14"/>
    <x v="7"/>
    <x v="0"/>
    <x v="0"/>
    <x v="2"/>
    <n v="2360.4"/>
    <m/>
    <n v="2360.4"/>
  </r>
  <r>
    <s v="02/12/2026"/>
    <x v="13"/>
    <x v="8"/>
    <x v="3"/>
    <x v="2"/>
    <x v="52"/>
    <n v="292.99"/>
    <m/>
    <n v="292.99"/>
  </r>
  <r>
    <s v="02/19/2026"/>
    <x v="13"/>
    <x v="8"/>
    <x v="3"/>
    <x v="2"/>
    <x v="53"/>
    <n v="213.15"/>
    <m/>
    <n v="213.15"/>
  </r>
  <r>
    <s v="03/10/2026"/>
    <x v="14"/>
    <x v="8"/>
    <x v="3"/>
    <x v="2"/>
    <x v="52"/>
    <n v="287.5"/>
    <m/>
    <n v="287.5"/>
  </r>
  <r>
    <s v="03/19/2026"/>
    <x v="14"/>
    <x v="8"/>
    <x v="3"/>
    <x v="2"/>
    <x v="53"/>
    <n v="213.15"/>
    <m/>
    <n v="213.15"/>
  </r>
  <r>
    <s v="02/19/2026"/>
    <x v="13"/>
    <x v="9"/>
    <x v="1"/>
    <x v="1"/>
    <x v="57"/>
    <n v="4519.21"/>
    <m/>
    <n v="4519.21"/>
  </r>
  <r>
    <s v="03/19/2026"/>
    <x v="14"/>
    <x v="9"/>
    <x v="1"/>
    <x v="1"/>
    <x v="57"/>
    <n v="3875.8"/>
    <m/>
    <n v="3875.8"/>
  </r>
  <r>
    <s v="03/20/2026"/>
    <x v="14"/>
    <x v="9"/>
    <x v="1"/>
    <x v="1"/>
    <x v="55"/>
    <n v="100"/>
    <m/>
    <n v="100"/>
  </r>
  <r>
    <s v="02/05/2026"/>
    <x v="13"/>
    <x v="11"/>
    <x v="5"/>
    <x v="1"/>
    <x v="62"/>
    <n v="17154.86"/>
    <m/>
    <n v="17154.86"/>
  </r>
  <r>
    <s v="02/10/2026"/>
    <x v="13"/>
    <x v="11"/>
    <x v="5"/>
    <x v="1"/>
    <x v="62"/>
    <n v="1913.75"/>
    <m/>
    <n v="1913.75"/>
  </r>
  <r>
    <s v="02/19/2026"/>
    <x v="13"/>
    <x v="11"/>
    <x v="5"/>
    <x v="1"/>
    <x v="62"/>
    <n v="7474.53"/>
    <m/>
    <n v="7474.53"/>
  </r>
  <r>
    <s v="02/24/2026"/>
    <x v="13"/>
    <x v="11"/>
    <x v="5"/>
    <x v="1"/>
    <x v="62"/>
    <n v="1588.75"/>
    <m/>
    <n v="1588.75"/>
  </r>
  <r>
    <s v="03/05/2026"/>
    <x v="14"/>
    <x v="11"/>
    <x v="5"/>
    <x v="1"/>
    <x v="62"/>
    <n v="7530.53"/>
    <m/>
    <n v="7530.53"/>
  </r>
  <r>
    <s v="03/10/2026"/>
    <x v="14"/>
    <x v="11"/>
    <x v="5"/>
    <x v="1"/>
    <x v="62"/>
    <n v="1588.75"/>
    <m/>
    <n v="1588.75"/>
  </r>
  <r>
    <s v="03/19/2026"/>
    <x v="14"/>
    <x v="11"/>
    <x v="5"/>
    <x v="1"/>
    <x v="62"/>
    <n v="6702.87"/>
    <m/>
    <n v="6702.87"/>
  </r>
  <r>
    <s v="03/24/2026"/>
    <x v="14"/>
    <x v="11"/>
    <x v="5"/>
    <x v="1"/>
    <x v="62"/>
    <n v="1588.75"/>
    <m/>
    <n v="1588.75"/>
  </r>
  <r>
    <s v="03/24/2026"/>
    <x v="14"/>
    <x v="11"/>
    <x v="5"/>
    <x v="1"/>
    <x v="62"/>
    <n v="10.86"/>
    <m/>
    <n v="10.86"/>
  </r>
  <r>
    <s v="02/12/2026"/>
    <x v="13"/>
    <x v="12"/>
    <x v="1"/>
    <x v="1"/>
    <x v="233"/>
    <n v="14.04"/>
    <m/>
    <n v="14.04"/>
  </r>
  <r>
    <s v="02/13/2026"/>
    <x v="13"/>
    <x v="12"/>
    <x v="1"/>
    <x v="1"/>
    <x v="100"/>
    <n v="105.01"/>
    <m/>
    <n v="105.01"/>
  </r>
  <r>
    <s v="02/15/2026"/>
    <x v="13"/>
    <x v="12"/>
    <x v="1"/>
    <x v="1"/>
    <x v="234"/>
    <n v="65.95"/>
    <m/>
    <n v="65.95"/>
  </r>
  <r>
    <s v="02/16/2026"/>
    <x v="13"/>
    <x v="12"/>
    <x v="1"/>
    <x v="1"/>
    <x v="235"/>
    <n v="23.51"/>
    <m/>
    <n v="23.51"/>
  </r>
  <r>
    <s v="02/17/2026"/>
    <x v="13"/>
    <x v="12"/>
    <x v="1"/>
    <x v="1"/>
    <x v="73"/>
    <n v="221.32"/>
    <m/>
    <n v="221.32"/>
  </r>
  <r>
    <s v="02/17/2026"/>
    <x v="13"/>
    <x v="12"/>
    <x v="1"/>
    <x v="1"/>
    <x v="83"/>
    <n v="18.13"/>
    <m/>
    <n v="18.13"/>
  </r>
  <r>
    <s v="02/18/2026"/>
    <x v="13"/>
    <x v="12"/>
    <x v="1"/>
    <x v="1"/>
    <x v="84"/>
    <n v="19.260000000000002"/>
    <m/>
    <n v="19.260000000000002"/>
  </r>
  <r>
    <s v="02/18/2026"/>
    <x v="13"/>
    <x v="12"/>
    <x v="1"/>
    <x v="1"/>
    <x v="91"/>
    <n v="7.42"/>
    <m/>
    <n v="7.42"/>
  </r>
  <r>
    <s v="02/18/2026"/>
    <x v="13"/>
    <x v="12"/>
    <x v="1"/>
    <x v="1"/>
    <x v="236"/>
    <n v="231.9"/>
    <m/>
    <n v="231.9"/>
  </r>
  <r>
    <s v="02/19/2026"/>
    <x v="13"/>
    <x v="12"/>
    <x v="1"/>
    <x v="1"/>
    <x v="144"/>
    <n v="10.29"/>
    <m/>
    <n v="10.29"/>
  </r>
  <r>
    <s v="03/03/2026"/>
    <x v="14"/>
    <x v="12"/>
    <x v="1"/>
    <x v="1"/>
    <x v="84"/>
    <n v="44.44"/>
    <m/>
    <n v="44.44"/>
  </r>
  <r>
    <s v="03/04/2026"/>
    <x v="14"/>
    <x v="12"/>
    <x v="1"/>
    <x v="1"/>
    <x v="77"/>
    <n v="45.72"/>
    <m/>
    <n v="45.72"/>
  </r>
  <r>
    <s v="03/26/2026"/>
    <x v="14"/>
    <x v="12"/>
    <x v="1"/>
    <x v="1"/>
    <x v="237"/>
    <n v="59.92"/>
    <m/>
    <n v="59.92"/>
  </r>
  <r>
    <s v="02/02/2026"/>
    <x v="13"/>
    <x v="13"/>
    <x v="1"/>
    <x v="1"/>
    <x v="64"/>
    <n v="53.66"/>
    <m/>
    <n v="53.66"/>
  </r>
  <r>
    <s v="02/20/2026"/>
    <x v="13"/>
    <x v="13"/>
    <x v="1"/>
    <x v="1"/>
    <x v="153"/>
    <n v="11.21"/>
    <m/>
    <n v="11.21"/>
  </r>
  <r>
    <s v="03/05/2026"/>
    <x v="14"/>
    <x v="13"/>
    <x v="1"/>
    <x v="1"/>
    <x v="79"/>
    <n v="40.39"/>
    <m/>
    <n v="40.39"/>
  </r>
  <r>
    <s v="02/04/2026"/>
    <x v="13"/>
    <x v="15"/>
    <x v="1"/>
    <x v="1"/>
    <x v="62"/>
    <n v="151.03"/>
    <m/>
    <n v="151.03"/>
  </r>
  <r>
    <s v="02/06/2026"/>
    <x v="13"/>
    <x v="15"/>
    <x v="1"/>
    <x v="1"/>
    <x v="62"/>
    <n v="17.850000000000001"/>
    <m/>
    <n v="17.850000000000001"/>
  </r>
  <r>
    <s v="02/11/2026"/>
    <x v="13"/>
    <x v="15"/>
    <x v="1"/>
    <x v="1"/>
    <x v="62"/>
    <m/>
    <n v="10"/>
    <n v="-9.92"/>
  </r>
  <r>
    <s v="02/13/2026"/>
    <x v="13"/>
    <x v="15"/>
    <x v="1"/>
    <x v="1"/>
    <x v="62"/>
    <n v="93.31"/>
    <m/>
    <n v="93.31"/>
  </r>
  <r>
    <s v="02/20/2026"/>
    <x v="13"/>
    <x v="15"/>
    <x v="1"/>
    <x v="1"/>
    <x v="62"/>
    <n v="8.85"/>
    <m/>
    <n v="8.85"/>
  </r>
  <r>
    <s v="02/20/2026"/>
    <x v="13"/>
    <x v="15"/>
    <x v="1"/>
    <x v="1"/>
    <x v="62"/>
    <n v="119.09"/>
    <m/>
    <n v="119.09"/>
  </r>
  <r>
    <s v="02/27/2026"/>
    <x v="13"/>
    <x v="15"/>
    <x v="1"/>
    <x v="1"/>
    <x v="62"/>
    <n v="87.81"/>
    <m/>
    <n v="87.81"/>
  </r>
  <r>
    <s v="03/06/2026"/>
    <x v="14"/>
    <x v="15"/>
    <x v="1"/>
    <x v="1"/>
    <x v="62"/>
    <n v="310.89999999999998"/>
    <m/>
    <n v="310.89999999999998"/>
  </r>
  <r>
    <s v="03/06/2026"/>
    <x v="14"/>
    <x v="15"/>
    <x v="1"/>
    <x v="1"/>
    <x v="62"/>
    <n v="8.85"/>
    <m/>
    <n v="8.85"/>
  </r>
  <r>
    <s v="03/13/2026"/>
    <x v="14"/>
    <x v="15"/>
    <x v="1"/>
    <x v="1"/>
    <x v="62"/>
    <n v="87.81"/>
    <m/>
    <n v="87.81"/>
  </r>
  <r>
    <s v="03/20/2026"/>
    <x v="14"/>
    <x v="15"/>
    <x v="1"/>
    <x v="1"/>
    <x v="62"/>
    <n v="17.18"/>
    <m/>
    <n v="17.18"/>
  </r>
  <r>
    <s v="03/27/2026"/>
    <x v="14"/>
    <x v="15"/>
    <x v="1"/>
    <x v="1"/>
    <x v="62"/>
    <n v="183.11"/>
    <m/>
    <n v="183.11"/>
  </r>
  <r>
    <s v="02/06/2026"/>
    <x v="13"/>
    <x v="16"/>
    <x v="5"/>
    <x v="1"/>
    <x v="62"/>
    <n v="5460.69"/>
    <m/>
    <n v="5460.69"/>
  </r>
  <r>
    <s v="02/20/2026"/>
    <x v="13"/>
    <x v="16"/>
    <x v="5"/>
    <x v="1"/>
    <x v="62"/>
    <n v="1895.87"/>
    <m/>
    <n v="1895.87"/>
  </r>
  <r>
    <s v="03/06/2026"/>
    <x v="14"/>
    <x v="16"/>
    <x v="5"/>
    <x v="1"/>
    <x v="62"/>
    <n v="1886.27"/>
    <m/>
    <n v="1886.27"/>
  </r>
  <r>
    <s v="03/20/2026"/>
    <x v="14"/>
    <x v="16"/>
    <x v="5"/>
    <x v="1"/>
    <x v="62"/>
    <n v="40.46"/>
    <m/>
    <n v="40.46"/>
  </r>
  <r>
    <s v="03/20/2026"/>
    <x v="14"/>
    <x v="16"/>
    <x v="5"/>
    <x v="1"/>
    <x v="62"/>
    <n v="1837.67"/>
    <m/>
    <n v="1837.67"/>
  </r>
  <r>
    <s v="02/17/2026"/>
    <x v="13"/>
    <x v="17"/>
    <x v="1"/>
    <x v="1"/>
    <x v="163"/>
    <n v="14.99"/>
    <m/>
    <n v="14.99"/>
  </r>
  <r>
    <s v="03/17/2026"/>
    <x v="14"/>
    <x v="17"/>
    <x v="1"/>
    <x v="1"/>
    <x v="163"/>
    <n v="14.99"/>
    <m/>
    <n v="14.99"/>
  </r>
  <r>
    <s v="03/25/2026"/>
    <x v="14"/>
    <x v="18"/>
    <x v="1"/>
    <x v="1"/>
    <x v="238"/>
    <n v="227.63"/>
    <m/>
    <n v="227.63"/>
  </r>
  <r>
    <s v="03/27/2026"/>
    <x v="14"/>
    <x v="18"/>
    <x v="1"/>
    <x v="1"/>
    <x v="238"/>
    <n v="289"/>
    <m/>
    <n v="289"/>
  </r>
  <r>
    <s v="03/23/2026"/>
    <x v="14"/>
    <x v="19"/>
    <x v="6"/>
    <x v="2"/>
    <x v="10"/>
    <n v="1000"/>
    <m/>
    <n v="1000"/>
  </r>
  <r>
    <s v="02/02/2026"/>
    <x v="13"/>
    <x v="20"/>
    <x v="7"/>
    <x v="2"/>
    <x v="166"/>
    <n v="127.92"/>
    <m/>
    <n v="127.92"/>
  </r>
  <r>
    <s v="02/17/2026"/>
    <x v="13"/>
    <x v="21"/>
    <x v="4"/>
    <x v="1"/>
    <x v="171"/>
    <n v="955"/>
    <m/>
    <n v="955"/>
  </r>
  <r>
    <s v="02/28/2026"/>
    <x v="13"/>
    <x v="21"/>
    <x v="4"/>
    <x v="1"/>
    <x v="167"/>
    <n v="105.53"/>
    <m/>
    <n v="105.53"/>
  </r>
  <r>
    <s v="03/02/2026"/>
    <x v="14"/>
    <x v="20"/>
    <x v="7"/>
    <x v="2"/>
    <x v="166"/>
    <n v="127.92"/>
    <m/>
    <n v="127.92"/>
  </r>
  <r>
    <s v="03/18/2026"/>
    <x v="14"/>
    <x v="21"/>
    <x v="4"/>
    <x v="1"/>
    <x v="171"/>
    <n v="955"/>
    <m/>
    <n v="955"/>
  </r>
  <r>
    <s v="03/28/2026"/>
    <x v="14"/>
    <x v="21"/>
    <x v="4"/>
    <x v="1"/>
    <x v="167"/>
    <n v="105.53"/>
    <m/>
    <n v="105.53"/>
  </r>
  <r>
    <s v="03/29/2026"/>
    <x v="14"/>
    <x v="20"/>
    <x v="7"/>
    <x v="2"/>
    <x v="168"/>
    <n v="22.45"/>
    <m/>
    <n v="22.45"/>
  </r>
  <r>
    <s v="02/01/2026"/>
    <x v="13"/>
    <x v="20"/>
    <x v="7"/>
    <x v="2"/>
    <x v="184"/>
    <n v="2168.39"/>
    <m/>
    <n v="2168.39"/>
  </r>
  <r>
    <s v="02/01/2026"/>
    <x v="13"/>
    <x v="20"/>
    <x v="7"/>
    <x v="2"/>
    <x v="28"/>
    <n v="438.27"/>
    <m/>
    <n v="438.27"/>
  </r>
  <r>
    <s v="02/01/2026"/>
    <x v="13"/>
    <x v="20"/>
    <x v="7"/>
    <x v="2"/>
    <x v="28"/>
    <n v="563.52"/>
    <m/>
    <n v="563.52"/>
  </r>
  <r>
    <s v="02/02/2026"/>
    <x v="13"/>
    <x v="20"/>
    <x v="7"/>
    <x v="2"/>
    <x v="28"/>
    <n v="13.51"/>
    <m/>
    <n v="13.51"/>
  </r>
  <r>
    <s v="02/05/2026"/>
    <x v="13"/>
    <x v="20"/>
    <x v="7"/>
    <x v="2"/>
    <x v="29"/>
    <n v="62.63"/>
    <m/>
    <n v="62.63"/>
  </r>
  <r>
    <s v="02/09/2026"/>
    <x v="13"/>
    <x v="20"/>
    <x v="7"/>
    <x v="2"/>
    <x v="175"/>
    <n v="106.6"/>
    <m/>
    <n v="106.6"/>
  </r>
  <r>
    <s v="02/18/2026"/>
    <x v="13"/>
    <x v="20"/>
    <x v="7"/>
    <x v="2"/>
    <x v="175"/>
    <n v="13312.77"/>
    <m/>
    <n v="13312.77"/>
  </r>
  <r>
    <s v="03/01/2026"/>
    <x v="14"/>
    <x v="20"/>
    <x v="7"/>
    <x v="2"/>
    <x v="28"/>
    <n v="656.99"/>
    <m/>
    <n v="656.99"/>
  </r>
  <r>
    <s v="03/01/2026"/>
    <x v="14"/>
    <x v="20"/>
    <x v="7"/>
    <x v="2"/>
    <x v="184"/>
    <n v="2168.39"/>
    <m/>
    <n v="2168.39"/>
  </r>
  <r>
    <s v="03/03/2026"/>
    <x v="14"/>
    <x v="20"/>
    <x v="7"/>
    <x v="2"/>
    <x v="239"/>
    <n v="37.5"/>
    <m/>
    <n v="37.5"/>
  </r>
  <r>
    <s v="03/04/2026"/>
    <x v="14"/>
    <x v="20"/>
    <x v="7"/>
    <x v="2"/>
    <x v="29"/>
    <n v="1095.82"/>
    <m/>
    <n v="1095.82"/>
  </r>
  <r>
    <s v="03/05/2026"/>
    <x v="14"/>
    <x v="20"/>
    <x v="7"/>
    <x v="2"/>
    <x v="29"/>
    <n v="26.65"/>
    <m/>
    <n v="26.65"/>
  </r>
  <r>
    <s v="03/05/2026"/>
    <x v="14"/>
    <x v="20"/>
    <x v="7"/>
    <x v="2"/>
    <x v="29"/>
    <n v="1074.3"/>
    <m/>
    <n v="1074.3"/>
  </r>
  <r>
    <s v="03/09/2026"/>
    <x v="14"/>
    <x v="20"/>
    <x v="7"/>
    <x v="2"/>
    <x v="175"/>
    <n v="106.6"/>
    <m/>
    <n v="106.6"/>
  </r>
  <r>
    <s v="03/18/2026"/>
    <x v="14"/>
    <x v="20"/>
    <x v="7"/>
    <x v="2"/>
    <x v="175"/>
    <n v="18857.03"/>
    <m/>
    <n v="18857.03"/>
  </r>
  <r>
    <s v="03/18/2026"/>
    <x v="14"/>
    <x v="20"/>
    <x v="7"/>
    <x v="2"/>
    <x v="240"/>
    <n v="5000"/>
    <m/>
    <n v="5000"/>
  </r>
  <r>
    <s v="03/25/2026"/>
    <x v="14"/>
    <x v="20"/>
    <x v="7"/>
    <x v="2"/>
    <x v="184"/>
    <n v="128.46"/>
    <m/>
    <n v="128.46"/>
  </r>
  <r>
    <s v="02/09/2026"/>
    <x v="13"/>
    <x v="22"/>
    <x v="3"/>
    <x v="2"/>
    <x v="186"/>
    <n v="296.62"/>
    <m/>
    <n v="296.62"/>
  </r>
  <r>
    <s v="02/09/2026"/>
    <x v="13"/>
    <x v="22"/>
    <x v="3"/>
    <x v="2"/>
    <x v="186"/>
    <n v="59.7"/>
    <m/>
    <n v="59.7"/>
  </r>
  <r>
    <s v="02/09/2026"/>
    <x v="13"/>
    <x v="22"/>
    <x v="3"/>
    <x v="2"/>
    <x v="186"/>
    <n v="124.95"/>
    <m/>
    <n v="124.95"/>
  </r>
  <r>
    <s v="02/11/2026"/>
    <x v="13"/>
    <x v="22"/>
    <x v="3"/>
    <x v="2"/>
    <x v="186"/>
    <n v="59.7"/>
    <m/>
    <n v="59.7"/>
  </r>
  <r>
    <s v="03/06/2026"/>
    <x v="14"/>
    <x v="22"/>
    <x v="3"/>
    <x v="2"/>
    <x v="186"/>
    <n v="100.65"/>
    <m/>
    <n v="100.65"/>
  </r>
  <r>
    <s v="03/09/2026"/>
    <x v="14"/>
    <x v="22"/>
    <x v="3"/>
    <x v="2"/>
    <x v="186"/>
    <n v="194.25"/>
    <m/>
    <n v="194.25"/>
  </r>
  <r>
    <s v="02/28/2026"/>
    <x v="13"/>
    <x v="23"/>
    <x v="1"/>
    <x v="1"/>
    <x v="189"/>
    <n v="25"/>
    <m/>
    <n v="25"/>
  </r>
  <r>
    <s v="02/02/2026"/>
    <x v="13"/>
    <x v="24"/>
    <x v="4"/>
    <x v="1"/>
    <x v="197"/>
    <n v="208.39"/>
    <m/>
    <n v="208.39"/>
  </r>
  <r>
    <s v="02/02/2026"/>
    <x v="13"/>
    <x v="24"/>
    <x v="4"/>
    <x v="1"/>
    <x v="194"/>
    <n v="118.4"/>
    <m/>
    <n v="118.4"/>
  </r>
  <r>
    <s v="02/11/2026"/>
    <x v="13"/>
    <x v="24"/>
    <x v="4"/>
    <x v="1"/>
    <x v="235"/>
    <n v="113"/>
    <m/>
    <n v="113"/>
  </r>
  <r>
    <s v="02/11/2026"/>
    <x v="13"/>
    <x v="24"/>
    <x v="4"/>
    <x v="1"/>
    <x v="194"/>
    <n v="1165.92"/>
    <m/>
    <n v="1165.92"/>
  </r>
  <r>
    <s v="02/16/2026"/>
    <x v="13"/>
    <x v="24"/>
    <x v="4"/>
    <x v="1"/>
    <x v="228"/>
    <n v="348.81"/>
    <m/>
    <n v="348.81"/>
  </r>
  <r>
    <s v="02/16/2026"/>
    <x v="13"/>
    <x v="24"/>
    <x v="4"/>
    <x v="1"/>
    <x v="228"/>
    <n v="42.99"/>
    <m/>
    <n v="42.99"/>
  </r>
  <r>
    <s v="02/18/2026"/>
    <x v="13"/>
    <x v="24"/>
    <x v="4"/>
    <x v="1"/>
    <x v="198"/>
    <n v="75.930000000000007"/>
    <m/>
    <n v="75.930000000000007"/>
  </r>
  <r>
    <s v="02/18/2026"/>
    <x v="13"/>
    <x v="24"/>
    <x v="4"/>
    <x v="1"/>
    <x v="215"/>
    <n v="9.57"/>
    <m/>
    <n v="9.57"/>
  </r>
  <r>
    <s v="02/19/2026"/>
    <x v="13"/>
    <x v="24"/>
    <x v="4"/>
    <x v="1"/>
    <x v="198"/>
    <n v="74.290000000000006"/>
    <m/>
    <n v="74.290000000000006"/>
  </r>
  <r>
    <s v="02/19/2026"/>
    <x v="13"/>
    <x v="24"/>
    <x v="4"/>
    <x v="1"/>
    <x v="198"/>
    <n v="60.83"/>
    <m/>
    <n v="60.83"/>
  </r>
  <r>
    <s v="02/19/2026"/>
    <x v="13"/>
    <x v="24"/>
    <x v="4"/>
    <x v="1"/>
    <x v="241"/>
    <n v="152.22"/>
    <m/>
    <n v="152.22"/>
  </r>
  <r>
    <s v="02/19/2026"/>
    <x v="13"/>
    <x v="24"/>
    <x v="4"/>
    <x v="1"/>
    <x v="191"/>
    <n v="24.99"/>
    <m/>
    <n v="24.99"/>
  </r>
  <r>
    <s v="02/20/2026"/>
    <x v="13"/>
    <x v="24"/>
    <x v="4"/>
    <x v="1"/>
    <x v="198"/>
    <n v="54.88"/>
    <m/>
    <n v="54.88"/>
  </r>
  <r>
    <s v="02/20/2026"/>
    <x v="13"/>
    <x v="24"/>
    <x v="4"/>
    <x v="1"/>
    <x v="198"/>
    <n v="13.56"/>
    <m/>
    <n v="13.56"/>
  </r>
  <r>
    <s v="03/03/2026"/>
    <x v="14"/>
    <x v="24"/>
    <x v="4"/>
    <x v="1"/>
    <x v="198"/>
    <n v="12.75"/>
    <m/>
    <n v="12.75"/>
  </r>
  <r>
    <s v="03/03/2026"/>
    <x v="14"/>
    <x v="24"/>
    <x v="4"/>
    <x v="1"/>
    <x v="198"/>
    <n v="80.58"/>
    <m/>
    <n v="80.58"/>
  </r>
  <r>
    <s v="03/04/2026"/>
    <x v="14"/>
    <x v="24"/>
    <x v="4"/>
    <x v="1"/>
    <x v="215"/>
    <n v="79.97"/>
    <m/>
    <n v="79.97"/>
  </r>
  <r>
    <s v="03/04/2026"/>
    <x v="14"/>
    <x v="24"/>
    <x v="4"/>
    <x v="1"/>
    <x v="215"/>
    <n v="6.98"/>
    <m/>
    <n v="6.98"/>
  </r>
  <r>
    <s v="03/06/2026"/>
    <x v="14"/>
    <x v="24"/>
    <x v="4"/>
    <x v="1"/>
    <x v="194"/>
    <n v="79"/>
    <m/>
    <n v="79"/>
  </r>
  <r>
    <s v="03/19/2026"/>
    <x v="14"/>
    <x v="24"/>
    <x v="4"/>
    <x v="1"/>
    <x v="191"/>
    <n v="24.99"/>
    <m/>
    <n v="24.99"/>
  </r>
  <r>
    <s v="03/26/2026"/>
    <x v="14"/>
    <x v="24"/>
    <x v="4"/>
    <x v="1"/>
    <x v="242"/>
    <n v="1975.19"/>
    <m/>
    <n v="1975.19"/>
  </r>
  <r>
    <s v="03/26/2026"/>
    <x v="14"/>
    <x v="24"/>
    <x v="4"/>
    <x v="1"/>
    <x v="243"/>
    <n v="191.29"/>
    <m/>
    <n v="191.29"/>
  </r>
  <r>
    <s v="03/26/2026"/>
    <x v="14"/>
    <x v="24"/>
    <x v="4"/>
    <x v="1"/>
    <x v="244"/>
    <n v="1439.79"/>
    <m/>
    <n v="1439.79"/>
  </r>
  <r>
    <s v="03/26/2026"/>
    <x v="14"/>
    <x v="24"/>
    <x v="4"/>
    <x v="1"/>
    <x v="242"/>
    <n v="1439.79"/>
    <m/>
    <n v="1439.79"/>
  </r>
  <r>
    <s v="03/26/2026"/>
    <x v="14"/>
    <x v="24"/>
    <x v="4"/>
    <x v="1"/>
    <x v="244"/>
    <n v="1439.79"/>
    <m/>
    <n v="1439.79"/>
  </r>
  <r>
    <s v="02/05/2026"/>
    <x v="13"/>
    <x v="25"/>
    <x v="0"/>
    <x v="0"/>
    <x v="2"/>
    <n v="159.05000000000001"/>
    <m/>
    <n v="159.05000000000001"/>
  </r>
  <r>
    <s v="03/05/2026"/>
    <x v="14"/>
    <x v="25"/>
    <x v="0"/>
    <x v="0"/>
    <x v="2"/>
    <n v="140.31"/>
    <m/>
    <n v="140.31"/>
  </r>
  <r>
    <s v="04/09/2026"/>
    <x v="15"/>
    <x v="0"/>
    <x v="0"/>
    <x v="0"/>
    <x v="1"/>
    <n v="0.85"/>
    <m/>
    <n v="0.85"/>
  </r>
  <r>
    <s v="04/17/2026"/>
    <x v="15"/>
    <x v="0"/>
    <x v="0"/>
    <x v="0"/>
    <x v="245"/>
    <n v="5"/>
    <m/>
    <n v="5"/>
  </r>
  <r>
    <s v="04/21/2026"/>
    <x v="15"/>
    <x v="0"/>
    <x v="0"/>
    <x v="0"/>
    <x v="3"/>
    <n v="2"/>
    <m/>
    <n v="2"/>
  </r>
  <r>
    <s v="04/28/2026"/>
    <x v="15"/>
    <x v="0"/>
    <x v="0"/>
    <x v="0"/>
    <x v="27"/>
    <n v="99.99"/>
    <m/>
    <n v="99.99"/>
  </r>
  <r>
    <s v="05/15/2026"/>
    <x v="16"/>
    <x v="0"/>
    <x v="0"/>
    <x v="0"/>
    <x v="245"/>
    <n v="5"/>
    <m/>
    <n v="5"/>
  </r>
  <r>
    <s v="05/19/2026"/>
    <x v="16"/>
    <x v="0"/>
    <x v="0"/>
    <x v="0"/>
    <x v="245"/>
    <n v="5"/>
    <m/>
    <n v="5"/>
  </r>
  <r>
    <s v="05/21/2026"/>
    <x v="16"/>
    <x v="0"/>
    <x v="0"/>
    <x v="0"/>
    <x v="245"/>
    <n v="5"/>
    <m/>
    <n v="5"/>
  </r>
  <r>
    <s v="04/16/2026"/>
    <x v="15"/>
    <x v="3"/>
    <x v="1"/>
    <x v="1"/>
    <x v="9"/>
    <n v="2500"/>
    <m/>
    <n v="2500"/>
  </r>
  <r>
    <s v="05/18/2026"/>
    <x v="16"/>
    <x v="3"/>
    <x v="1"/>
    <x v="1"/>
    <x v="9"/>
    <n v="1877"/>
    <m/>
    <n v="1877"/>
  </r>
  <r>
    <s v="04/30/2026"/>
    <x v="15"/>
    <x v="26"/>
    <x v="8"/>
    <x v="2"/>
    <x v="49"/>
    <n v="175901"/>
    <m/>
    <n v="175901"/>
  </r>
  <r>
    <s v="05/31/2026"/>
    <x v="16"/>
    <x v="26"/>
    <x v="8"/>
    <x v="2"/>
    <x v="49"/>
    <n v="158280"/>
    <m/>
    <n v="158280"/>
  </r>
  <r>
    <s v="04/02/2026"/>
    <x v="15"/>
    <x v="4"/>
    <x v="3"/>
    <x v="2"/>
    <x v="19"/>
    <n v="13.8"/>
    <m/>
    <n v="13.8"/>
  </r>
  <r>
    <s v="04/04/2026"/>
    <x v="15"/>
    <x v="4"/>
    <x v="3"/>
    <x v="2"/>
    <x v="27"/>
    <n v="138.58000000000001"/>
    <m/>
    <n v="138.58000000000001"/>
  </r>
  <r>
    <s v="04/11/2026"/>
    <x v="15"/>
    <x v="4"/>
    <x v="3"/>
    <x v="2"/>
    <x v="22"/>
    <n v="12.77"/>
    <m/>
    <n v="12.77"/>
  </r>
  <r>
    <s v="04/12/2026"/>
    <x v="15"/>
    <x v="4"/>
    <x v="3"/>
    <x v="2"/>
    <x v="24"/>
    <n v="21.01"/>
    <m/>
    <n v="21.01"/>
  </r>
  <r>
    <s v="04/15/2026"/>
    <x v="15"/>
    <x v="4"/>
    <x v="3"/>
    <x v="2"/>
    <x v="22"/>
    <n v="12.77"/>
    <m/>
    <n v="12.77"/>
  </r>
  <r>
    <s v="04/16/2026"/>
    <x v="15"/>
    <x v="4"/>
    <x v="3"/>
    <x v="2"/>
    <x v="20"/>
    <n v="21.32"/>
    <m/>
    <n v="21.32"/>
  </r>
  <r>
    <s v="04/18/2026"/>
    <x v="15"/>
    <x v="4"/>
    <x v="3"/>
    <x v="2"/>
    <x v="21"/>
    <n v="119.43"/>
    <m/>
    <n v="119.43"/>
  </r>
  <r>
    <s v="04/29/2026"/>
    <x v="15"/>
    <x v="4"/>
    <x v="3"/>
    <x v="2"/>
    <x v="23"/>
    <n v="12.78"/>
    <m/>
    <n v="12.78"/>
  </r>
  <r>
    <s v="05/02/2026"/>
    <x v="16"/>
    <x v="4"/>
    <x v="3"/>
    <x v="2"/>
    <x v="19"/>
    <n v="13.8"/>
    <m/>
    <n v="13.8"/>
  </r>
  <r>
    <s v="05/04/2026"/>
    <x v="16"/>
    <x v="4"/>
    <x v="3"/>
    <x v="2"/>
    <x v="27"/>
    <n v="138.58000000000001"/>
    <m/>
    <n v="138.58000000000001"/>
  </r>
  <r>
    <s v="05/12/2026"/>
    <x v="16"/>
    <x v="4"/>
    <x v="3"/>
    <x v="2"/>
    <x v="24"/>
    <n v="21.01"/>
    <m/>
    <n v="21.01"/>
  </r>
  <r>
    <s v="05/14/2026"/>
    <x v="16"/>
    <x v="4"/>
    <x v="3"/>
    <x v="2"/>
    <x v="22"/>
    <n v="12.77"/>
    <m/>
    <n v="12.77"/>
  </r>
  <r>
    <s v="05/15/2026"/>
    <x v="16"/>
    <x v="4"/>
    <x v="3"/>
    <x v="2"/>
    <x v="22"/>
    <n v="12.77"/>
    <m/>
    <n v="12.77"/>
  </r>
  <r>
    <s v="05/16/2026"/>
    <x v="16"/>
    <x v="4"/>
    <x v="3"/>
    <x v="2"/>
    <x v="20"/>
    <n v="21.32"/>
    <m/>
    <n v="21.32"/>
  </r>
  <r>
    <s v="04/05/2026"/>
    <x v="15"/>
    <x v="5"/>
    <x v="1"/>
    <x v="1"/>
    <x v="36"/>
    <n v="40.01"/>
    <m/>
    <n v="40.01"/>
  </r>
  <r>
    <s v="04/09/2026"/>
    <x v="15"/>
    <x v="5"/>
    <x v="1"/>
    <x v="1"/>
    <x v="36"/>
    <n v="49.02"/>
    <m/>
    <n v="49.02"/>
  </r>
  <r>
    <s v="04/15/2026"/>
    <x v="15"/>
    <x v="5"/>
    <x v="1"/>
    <x v="1"/>
    <x v="36"/>
    <n v="48.76"/>
    <m/>
    <n v="48.76"/>
  </r>
  <r>
    <s v="04/17/2026"/>
    <x v="15"/>
    <x v="5"/>
    <x v="1"/>
    <x v="1"/>
    <x v="36"/>
    <n v="48.04"/>
    <m/>
    <n v="48.04"/>
  </r>
  <r>
    <s v="04/25/2026"/>
    <x v="15"/>
    <x v="5"/>
    <x v="1"/>
    <x v="1"/>
    <x v="35"/>
    <n v="26.27"/>
    <m/>
    <n v="26.27"/>
  </r>
  <r>
    <s v="04/03/2026"/>
    <x v="15"/>
    <x v="6"/>
    <x v="1"/>
    <x v="1"/>
    <x v="50"/>
    <n v="335"/>
    <m/>
    <n v="335"/>
  </r>
  <r>
    <s v="04/13/2026"/>
    <x v="15"/>
    <x v="6"/>
    <x v="1"/>
    <x v="1"/>
    <x v="49"/>
    <n v="2307.46"/>
    <m/>
    <n v="2307.46"/>
  </r>
  <r>
    <s v="04/15/2026"/>
    <x v="15"/>
    <x v="6"/>
    <x v="1"/>
    <x v="1"/>
    <x v="50"/>
    <n v="47.5"/>
    <m/>
    <n v="47.5"/>
  </r>
  <r>
    <s v="04/17/2026"/>
    <x v="15"/>
    <x v="6"/>
    <x v="1"/>
    <x v="1"/>
    <x v="50"/>
    <n v="335"/>
    <m/>
    <n v="335"/>
  </r>
  <r>
    <s v="05/01/2026"/>
    <x v="16"/>
    <x v="6"/>
    <x v="1"/>
    <x v="1"/>
    <x v="47"/>
    <n v="2089.79"/>
    <m/>
    <n v="2089.79"/>
  </r>
  <r>
    <s v="05/01/2026"/>
    <x v="16"/>
    <x v="6"/>
    <x v="1"/>
    <x v="1"/>
    <x v="50"/>
    <n v="335"/>
    <m/>
    <n v="335"/>
  </r>
  <r>
    <s v="05/13/2026"/>
    <x v="16"/>
    <x v="6"/>
    <x v="1"/>
    <x v="1"/>
    <x v="49"/>
    <n v="2307.46"/>
    <m/>
    <n v="2307.46"/>
  </r>
  <r>
    <s v="05/15/2026"/>
    <x v="16"/>
    <x v="6"/>
    <x v="1"/>
    <x v="1"/>
    <x v="50"/>
    <n v="335"/>
    <m/>
    <n v="335"/>
  </r>
  <r>
    <s v="05/15/2026"/>
    <x v="16"/>
    <x v="6"/>
    <x v="1"/>
    <x v="1"/>
    <x v="50"/>
    <n v="47.5"/>
    <m/>
    <n v="47.5"/>
  </r>
  <r>
    <s v="05/29/2026"/>
    <x v="16"/>
    <x v="6"/>
    <x v="1"/>
    <x v="1"/>
    <x v="50"/>
    <n v="335"/>
    <m/>
    <n v="335"/>
  </r>
  <r>
    <s v="04/03/2026"/>
    <x v="15"/>
    <x v="25"/>
    <x v="0"/>
    <x v="0"/>
    <x v="2"/>
    <n v="138.79"/>
    <m/>
    <n v="138.79"/>
  </r>
  <r>
    <s v="05/05/2026"/>
    <x v="16"/>
    <x v="25"/>
    <x v="0"/>
    <x v="0"/>
    <x v="2"/>
    <n v="146.9"/>
    <m/>
    <n v="146.9"/>
  </r>
  <r>
    <s v="04/01/2026"/>
    <x v="15"/>
    <x v="7"/>
    <x v="0"/>
    <x v="0"/>
    <x v="2"/>
    <n v="2360.4"/>
    <m/>
    <n v="2360.4"/>
  </r>
  <r>
    <s v="05/01/2026"/>
    <x v="16"/>
    <x v="7"/>
    <x v="0"/>
    <x v="0"/>
    <x v="2"/>
    <n v="2360.4"/>
    <m/>
    <n v="2360.4"/>
  </r>
  <r>
    <s v="04/02/2026"/>
    <x v="15"/>
    <x v="9"/>
    <x v="1"/>
    <x v="1"/>
    <x v="246"/>
    <n v="1575.25"/>
    <m/>
    <n v="1575.25"/>
  </r>
  <r>
    <s v="04/14/2026"/>
    <x v="15"/>
    <x v="9"/>
    <x v="1"/>
    <x v="1"/>
    <x v="247"/>
    <n v="751"/>
    <m/>
    <n v="751"/>
  </r>
  <r>
    <s v="05/06/2026"/>
    <x v="16"/>
    <x v="9"/>
    <x v="1"/>
    <x v="1"/>
    <x v="55"/>
    <n v="1025"/>
    <m/>
    <n v="1025"/>
  </r>
  <r>
    <s v="04/02/2026"/>
    <x v="15"/>
    <x v="11"/>
    <x v="5"/>
    <x v="1"/>
    <x v="62"/>
    <n v="6921.54"/>
    <m/>
    <n v="6921.54"/>
  </r>
  <r>
    <s v="04/08/2026"/>
    <x v="15"/>
    <x v="11"/>
    <x v="5"/>
    <x v="1"/>
    <x v="62"/>
    <n v="1588.75"/>
    <m/>
    <n v="1588.75"/>
  </r>
  <r>
    <s v="04/16/2026"/>
    <x v="15"/>
    <x v="11"/>
    <x v="5"/>
    <x v="1"/>
    <x v="62"/>
    <n v="6571.53"/>
    <m/>
    <n v="6571.53"/>
  </r>
  <r>
    <s v="04/21/2026"/>
    <x v="15"/>
    <x v="11"/>
    <x v="5"/>
    <x v="1"/>
    <x v="62"/>
    <n v="1588.75"/>
    <m/>
    <n v="1588.75"/>
  </r>
  <r>
    <s v="04/30/2026"/>
    <x v="15"/>
    <x v="11"/>
    <x v="5"/>
    <x v="1"/>
    <x v="62"/>
    <n v="6494.53"/>
    <m/>
    <n v="6494.53"/>
  </r>
  <r>
    <s v="05/05/2026"/>
    <x v="16"/>
    <x v="11"/>
    <x v="5"/>
    <x v="1"/>
    <x v="62"/>
    <n v="1588.75"/>
    <m/>
    <n v="1588.75"/>
  </r>
  <r>
    <s v="05/14/2026"/>
    <x v="16"/>
    <x v="11"/>
    <x v="5"/>
    <x v="1"/>
    <x v="62"/>
    <n v="6550.53"/>
    <m/>
    <n v="6550.53"/>
  </r>
  <r>
    <s v="05/19/2026"/>
    <x v="16"/>
    <x v="11"/>
    <x v="5"/>
    <x v="1"/>
    <x v="62"/>
    <n v="1588.75"/>
    <m/>
    <n v="1588.75"/>
  </r>
  <r>
    <s v="05/28/2026"/>
    <x v="16"/>
    <x v="11"/>
    <x v="5"/>
    <x v="1"/>
    <x v="62"/>
    <n v="6564.54"/>
    <m/>
    <n v="6564.54"/>
  </r>
  <r>
    <s v="04/02/2026"/>
    <x v="15"/>
    <x v="12"/>
    <x v="1"/>
    <x v="1"/>
    <x v="239"/>
    <n v="321.77"/>
    <m/>
    <n v="321.77"/>
  </r>
  <r>
    <s v="04/03/2026"/>
    <x v="15"/>
    <x v="12"/>
    <x v="1"/>
    <x v="1"/>
    <x v="248"/>
    <n v="147.88"/>
    <m/>
    <n v="147.88"/>
  </r>
  <r>
    <s v="04/08/2026"/>
    <x v="15"/>
    <x v="12"/>
    <x v="1"/>
    <x v="1"/>
    <x v="94"/>
    <n v="19.47"/>
    <m/>
    <n v="19.47"/>
  </r>
  <r>
    <s v="04/09/2026"/>
    <x v="15"/>
    <x v="12"/>
    <x v="1"/>
    <x v="1"/>
    <x v="248"/>
    <n v="138.29"/>
    <m/>
    <n v="138.29"/>
  </r>
  <r>
    <s v="04/15/2026"/>
    <x v="15"/>
    <x v="12"/>
    <x v="1"/>
    <x v="1"/>
    <x v="83"/>
    <n v="36.81"/>
    <m/>
    <n v="36.81"/>
  </r>
  <r>
    <s v="04/17/2026"/>
    <x v="15"/>
    <x v="12"/>
    <x v="1"/>
    <x v="1"/>
    <x v="71"/>
    <n v="51.11"/>
    <m/>
    <n v="51.11"/>
  </r>
  <r>
    <s v="04/19/2026"/>
    <x v="15"/>
    <x v="12"/>
    <x v="1"/>
    <x v="1"/>
    <x v="144"/>
    <n v="30.9"/>
    <m/>
    <n v="30.9"/>
  </r>
  <r>
    <s v="04/22/2026"/>
    <x v="15"/>
    <x v="12"/>
    <x v="1"/>
    <x v="1"/>
    <x v="100"/>
    <n v="74"/>
    <m/>
    <n v="74"/>
  </r>
  <r>
    <s v="04/25/2026"/>
    <x v="15"/>
    <x v="12"/>
    <x v="1"/>
    <x v="1"/>
    <x v="108"/>
    <n v="67.510000000000005"/>
    <m/>
    <n v="67.510000000000005"/>
  </r>
  <r>
    <s v="05/19/2026"/>
    <x v="16"/>
    <x v="12"/>
    <x v="1"/>
    <x v="1"/>
    <x v="144"/>
    <n v="49"/>
    <m/>
    <n v="49"/>
  </r>
  <r>
    <s v="04/03/2026"/>
    <x v="15"/>
    <x v="15"/>
    <x v="1"/>
    <x v="1"/>
    <x v="62"/>
    <n v="310.89999999999998"/>
    <m/>
    <n v="310.89999999999998"/>
  </r>
  <r>
    <s v="04/03/2026"/>
    <x v="15"/>
    <x v="15"/>
    <x v="1"/>
    <x v="1"/>
    <x v="62"/>
    <n v="8.85"/>
    <m/>
    <n v="8.85"/>
  </r>
  <r>
    <s v="04/10/2026"/>
    <x v="15"/>
    <x v="15"/>
    <x v="1"/>
    <x v="1"/>
    <x v="62"/>
    <n v="87.81"/>
    <m/>
    <n v="87.81"/>
  </r>
  <r>
    <s v="04/17/2026"/>
    <x v="15"/>
    <x v="15"/>
    <x v="1"/>
    <x v="1"/>
    <x v="62"/>
    <n v="8.85"/>
    <m/>
    <n v="8.85"/>
  </r>
  <r>
    <s v="04/24/2026"/>
    <x v="15"/>
    <x v="15"/>
    <x v="1"/>
    <x v="1"/>
    <x v="62"/>
    <n v="106.9"/>
    <m/>
    <n v="106.9"/>
  </r>
  <r>
    <s v="05/01/2026"/>
    <x v="16"/>
    <x v="15"/>
    <x v="1"/>
    <x v="1"/>
    <x v="62"/>
    <n v="8.85"/>
    <m/>
    <n v="8.85"/>
  </r>
  <r>
    <s v="05/01/2026"/>
    <x v="16"/>
    <x v="15"/>
    <x v="1"/>
    <x v="1"/>
    <x v="62"/>
    <n v="315.89999999999998"/>
    <m/>
    <n v="315.89999999999998"/>
  </r>
  <r>
    <s v="05/08/2026"/>
    <x v="16"/>
    <x v="15"/>
    <x v="1"/>
    <x v="1"/>
    <x v="62"/>
    <n v="87.81"/>
    <m/>
    <n v="87.81"/>
  </r>
  <r>
    <s v="05/15/2026"/>
    <x v="16"/>
    <x v="15"/>
    <x v="1"/>
    <x v="1"/>
    <x v="62"/>
    <n v="8.85"/>
    <m/>
    <n v="8.85"/>
  </r>
  <r>
    <s v="05/22/2026"/>
    <x v="16"/>
    <x v="15"/>
    <x v="1"/>
    <x v="1"/>
    <x v="62"/>
    <n v="106.9"/>
    <m/>
    <n v="106.9"/>
  </r>
  <r>
    <s v="05/29/2026"/>
    <x v="16"/>
    <x v="15"/>
    <x v="1"/>
    <x v="1"/>
    <x v="62"/>
    <n v="8.85"/>
    <m/>
    <n v="8.85"/>
  </r>
  <r>
    <s v="04/03/2026"/>
    <x v="15"/>
    <x v="16"/>
    <x v="5"/>
    <x v="1"/>
    <x v="62"/>
    <n v="1837.66"/>
    <m/>
    <n v="1837.66"/>
  </r>
  <r>
    <s v="04/17/2026"/>
    <x v="15"/>
    <x v="16"/>
    <x v="5"/>
    <x v="1"/>
    <x v="62"/>
    <n v="1837.67"/>
    <m/>
    <n v="1837.67"/>
  </r>
  <r>
    <s v="05/01/2026"/>
    <x v="16"/>
    <x v="16"/>
    <x v="5"/>
    <x v="1"/>
    <x v="62"/>
    <n v="1837.67"/>
    <m/>
    <n v="1837.67"/>
  </r>
  <r>
    <s v="05/15/2026"/>
    <x v="16"/>
    <x v="16"/>
    <x v="5"/>
    <x v="1"/>
    <x v="62"/>
    <n v="1837.67"/>
    <m/>
    <n v="1837.67"/>
  </r>
  <r>
    <s v="05/29/2026"/>
    <x v="16"/>
    <x v="16"/>
    <x v="5"/>
    <x v="1"/>
    <x v="62"/>
    <n v="1837.66"/>
    <m/>
    <n v="1837.66"/>
  </r>
  <r>
    <s v="04/17/2026"/>
    <x v="15"/>
    <x v="17"/>
    <x v="1"/>
    <x v="1"/>
    <x v="163"/>
    <n v="14.99"/>
    <m/>
    <n v="14.99"/>
  </r>
  <r>
    <s v="04/13/2026"/>
    <x v="15"/>
    <x v="18"/>
    <x v="1"/>
    <x v="1"/>
    <x v="2"/>
    <n v="709"/>
    <m/>
    <n v="709"/>
  </r>
  <r>
    <s v="05/20/2026"/>
    <x v="16"/>
    <x v="19"/>
    <x v="6"/>
    <x v="2"/>
    <x v="10"/>
    <n v="3000"/>
    <m/>
    <n v="3000"/>
  </r>
  <r>
    <s v="04/02/2026"/>
    <x v="15"/>
    <x v="20"/>
    <x v="7"/>
    <x v="2"/>
    <x v="166"/>
    <n v="127.92"/>
    <m/>
    <n v="127.92"/>
  </r>
  <r>
    <s v="04/18/2026"/>
    <x v="15"/>
    <x v="21"/>
    <x v="4"/>
    <x v="1"/>
    <x v="171"/>
    <n v="955"/>
    <m/>
    <n v="955"/>
  </r>
  <r>
    <s v="04/28/2026"/>
    <x v="15"/>
    <x v="21"/>
    <x v="4"/>
    <x v="1"/>
    <x v="167"/>
    <n v="105.53"/>
    <m/>
    <n v="105.53"/>
  </r>
  <r>
    <s v="04/01/2026"/>
    <x v="15"/>
    <x v="20"/>
    <x v="7"/>
    <x v="2"/>
    <x v="184"/>
    <n v="2168.39"/>
    <m/>
    <n v="2168.39"/>
  </r>
  <r>
    <s v="04/01/2026"/>
    <x v="15"/>
    <x v="20"/>
    <x v="7"/>
    <x v="2"/>
    <x v="28"/>
    <n v="549.36"/>
    <m/>
    <n v="549.36"/>
  </r>
  <r>
    <s v="04/02/2026"/>
    <x v="15"/>
    <x v="20"/>
    <x v="7"/>
    <x v="2"/>
    <x v="29"/>
    <n v="1398.06"/>
    <m/>
    <n v="1398.06"/>
  </r>
  <r>
    <s v="04/03/2026"/>
    <x v="15"/>
    <x v="20"/>
    <x v="7"/>
    <x v="2"/>
    <x v="184"/>
    <n v="189.63"/>
    <m/>
    <n v="189.63"/>
  </r>
  <r>
    <s v="04/09/2026"/>
    <x v="15"/>
    <x v="20"/>
    <x v="7"/>
    <x v="2"/>
    <x v="175"/>
    <n v="106.6"/>
    <m/>
    <n v="106.6"/>
  </r>
  <r>
    <s v="04/13/2026"/>
    <x v="15"/>
    <x v="20"/>
    <x v="7"/>
    <x v="2"/>
    <x v="174"/>
    <n v="333.94"/>
    <m/>
    <n v="333.94"/>
  </r>
  <r>
    <s v="04/16/2026"/>
    <x v="15"/>
    <x v="20"/>
    <x v="7"/>
    <x v="2"/>
    <x v="240"/>
    <n v="5000"/>
    <m/>
    <n v="5000"/>
  </r>
  <r>
    <s v="04/17/2026"/>
    <x v="15"/>
    <x v="20"/>
    <x v="7"/>
    <x v="2"/>
    <x v="175"/>
    <n v="6940.08"/>
    <m/>
    <n v="6940.08"/>
  </r>
  <r>
    <s v="04/19/2026"/>
    <x v="15"/>
    <x v="20"/>
    <x v="7"/>
    <x v="2"/>
    <x v="53"/>
    <n v="213.15"/>
    <m/>
    <n v="213.15"/>
  </r>
  <r>
    <s v="04/28/2026"/>
    <x v="15"/>
    <x v="20"/>
    <x v="7"/>
    <x v="2"/>
    <x v="168"/>
    <n v="22.45"/>
    <m/>
    <n v="22.45"/>
  </r>
  <r>
    <s v="05/01/2026"/>
    <x v="16"/>
    <x v="20"/>
    <x v="7"/>
    <x v="2"/>
    <x v="28"/>
    <n v="570.63"/>
    <m/>
    <n v="570.63"/>
  </r>
  <r>
    <s v="05/01/2026"/>
    <x v="16"/>
    <x v="20"/>
    <x v="7"/>
    <x v="2"/>
    <x v="184"/>
    <n v="2358.02"/>
    <m/>
    <n v="2358.02"/>
  </r>
  <r>
    <s v="05/02/2026"/>
    <x v="16"/>
    <x v="20"/>
    <x v="7"/>
    <x v="2"/>
    <x v="249"/>
    <n v="674.15"/>
    <m/>
    <n v="674.15"/>
  </r>
  <r>
    <s v="05/04/2026"/>
    <x v="16"/>
    <x v="20"/>
    <x v="7"/>
    <x v="2"/>
    <x v="174"/>
    <n v="334.53"/>
    <m/>
    <n v="334.53"/>
  </r>
  <r>
    <s v="05/06/2026"/>
    <x v="16"/>
    <x v="20"/>
    <x v="7"/>
    <x v="2"/>
    <x v="29"/>
    <n v="1066"/>
    <m/>
    <n v="1066"/>
  </r>
  <r>
    <s v="05/06/2026"/>
    <x v="16"/>
    <x v="20"/>
    <x v="7"/>
    <x v="2"/>
    <x v="250"/>
    <n v="348"/>
    <m/>
    <n v="348"/>
  </r>
  <r>
    <s v="05/08/2026"/>
    <x v="16"/>
    <x v="20"/>
    <x v="7"/>
    <x v="2"/>
    <x v="175"/>
    <n v="106.6"/>
    <m/>
    <n v="106.6"/>
  </r>
  <r>
    <s v="05/15/2026"/>
    <x v="16"/>
    <x v="20"/>
    <x v="7"/>
    <x v="2"/>
    <x v="176"/>
    <n v="134.85"/>
    <m/>
    <n v="134.85"/>
  </r>
  <r>
    <s v="05/18/2026"/>
    <x v="16"/>
    <x v="20"/>
    <x v="7"/>
    <x v="2"/>
    <x v="175"/>
    <n v="6940.08"/>
    <m/>
    <n v="6940.08"/>
  </r>
  <r>
    <s v="04/13/2026"/>
    <x v="15"/>
    <x v="22"/>
    <x v="3"/>
    <x v="2"/>
    <x v="186"/>
    <n v="285.27"/>
    <m/>
    <n v="285.27"/>
  </r>
  <r>
    <s v="05/11/2026"/>
    <x v="16"/>
    <x v="22"/>
    <x v="3"/>
    <x v="2"/>
    <x v="186"/>
    <n v="284.85000000000002"/>
    <m/>
    <n v="284.85000000000002"/>
  </r>
  <r>
    <s v="04/09/2026"/>
    <x v="15"/>
    <x v="23"/>
    <x v="1"/>
    <x v="1"/>
    <x v="189"/>
    <n v="25"/>
    <m/>
    <n v="25"/>
  </r>
  <r>
    <s v="04/07/2026"/>
    <x v="15"/>
    <x v="24"/>
    <x v="4"/>
    <x v="1"/>
    <x v="194"/>
    <n v="272.19"/>
    <m/>
    <n v="272.19"/>
  </r>
  <r>
    <s v="04/19/2026"/>
    <x v="15"/>
    <x v="24"/>
    <x v="4"/>
    <x v="1"/>
    <x v="191"/>
    <n v="24.99"/>
    <m/>
    <n v="24.99"/>
  </r>
  <r>
    <s v="04/21/2026"/>
    <x v="15"/>
    <x v="24"/>
    <x v="4"/>
    <x v="1"/>
    <x v="251"/>
    <n v="76.25"/>
    <m/>
    <n v="76.25"/>
  </r>
  <r>
    <s v="04/26/2026"/>
    <x v="15"/>
    <x v="24"/>
    <x v="4"/>
    <x v="1"/>
    <x v="252"/>
    <n v="16.510000000000002"/>
    <m/>
    <n v="16.510000000000002"/>
  </r>
  <r>
    <s v="04/27/2026"/>
    <x v="15"/>
    <x v="24"/>
    <x v="4"/>
    <x v="1"/>
    <x v="198"/>
    <n v="89.94"/>
    <m/>
    <n v="89.94"/>
  </r>
  <r>
    <s v="05/07/2026"/>
    <x v="16"/>
    <x v="24"/>
    <x v="4"/>
    <x v="1"/>
    <x v="194"/>
    <m/>
    <n v="79"/>
    <n v="-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9">
  <r>
    <s v="2025-01-01"/>
    <x v="0"/>
    <x v="0"/>
    <x v="0"/>
    <s v="Operational Cost"/>
    <x v="0"/>
    <n v="376923"/>
    <s v=""/>
    <n v="376923"/>
  </r>
  <r>
    <s v="2025-01-01"/>
    <x v="0"/>
    <x v="1"/>
    <x v="0"/>
    <s v="Operational Cost"/>
    <x v="0"/>
    <n v="65105"/>
    <s v=""/>
    <n v="65105"/>
  </r>
  <r>
    <s v="2025-01-01"/>
    <x v="0"/>
    <x v="2"/>
    <x v="1"/>
    <s v="Sales General &amp; Administration "/>
    <x v="1"/>
    <n v="143308"/>
    <s v=""/>
    <n v="143308"/>
  </r>
  <r>
    <s v="2025-01-01"/>
    <x v="0"/>
    <x v="3"/>
    <x v="1"/>
    <s v="Sales General &amp; Administration "/>
    <x v="2"/>
    <n v="125000"/>
    <s v=""/>
    <n v="125000"/>
  </r>
  <r>
    <s v="2025-01-02"/>
    <x v="0"/>
    <x v="4"/>
    <x v="2"/>
    <s v="Operational Cost"/>
    <x v="3"/>
    <n v="15900"/>
    <s v=""/>
    <n v="15900"/>
  </r>
  <r>
    <s v="2025-01-02"/>
    <x v="0"/>
    <x v="5"/>
    <x v="3"/>
    <s v="Sales General &amp; Administration "/>
    <x v="4"/>
    <n v="30000"/>
    <s v=""/>
    <n v="30000"/>
  </r>
  <r>
    <s v="2025-01-02"/>
    <x v="0"/>
    <x v="6"/>
    <x v="4"/>
    <s v="Operational Cost"/>
    <x v="5"/>
    <n v="256800"/>
    <s v=""/>
    <n v="256800"/>
  </r>
  <r>
    <s v="2025-01-02"/>
    <x v="0"/>
    <x v="7"/>
    <x v="3"/>
    <s v="Sales General &amp; Administration "/>
    <x v="6"/>
    <n v="6557"/>
    <s v=""/>
    <n v="6557"/>
  </r>
  <r>
    <s v="2025-01-02"/>
    <x v="0"/>
    <x v="7"/>
    <x v="3"/>
    <s v="Sales General &amp; Administration "/>
    <x v="6"/>
    <n v="15178.5"/>
    <s v=""/>
    <n v="15178.5"/>
  </r>
  <r>
    <s v="2025-01-03"/>
    <x v="0"/>
    <x v="8"/>
    <x v="5"/>
    <s v="Indirect Income"/>
    <x v="7"/>
    <s v=""/>
    <n v="13143.78"/>
    <n v="-13143.78"/>
  </r>
  <r>
    <s v="2025-01-03"/>
    <x v="0"/>
    <x v="9"/>
    <x v="2"/>
    <s v="Operational Cost"/>
    <x v="8"/>
    <n v="20000"/>
    <s v=""/>
    <n v="20000"/>
  </r>
  <r>
    <s v="2025-01-04"/>
    <x v="0"/>
    <x v="10"/>
    <x v="3"/>
    <s v="Operational Cost"/>
    <x v="9"/>
    <s v=""/>
    <n v="250000"/>
    <n v="-250000"/>
  </r>
  <r>
    <s v="2025-01-04"/>
    <x v="0"/>
    <x v="11"/>
    <x v="6"/>
    <s v="Operational Cost"/>
    <x v="10"/>
    <n v="2500"/>
    <s v=""/>
    <n v="2500"/>
  </r>
  <r>
    <s v="2025-01-04"/>
    <x v="0"/>
    <x v="12"/>
    <x v="7"/>
    <s v="Operational Cost"/>
    <x v="9"/>
    <n v="600000"/>
    <s v=""/>
    <n v="600000"/>
  </r>
  <r>
    <s v="2025-01-04"/>
    <x v="0"/>
    <x v="13"/>
    <x v="2"/>
    <s v="Operational Cost"/>
    <x v="11"/>
    <n v="147510"/>
    <s v=""/>
    <n v="147510"/>
  </r>
  <r>
    <s v="2025-01-04"/>
    <x v="0"/>
    <x v="14"/>
    <x v="3"/>
    <s v="Sales General &amp; Administration "/>
    <x v="12"/>
    <n v="130"/>
    <s v=""/>
    <n v="130"/>
  </r>
  <r>
    <s v="2025-01-04"/>
    <x v="0"/>
    <x v="14"/>
    <x v="3"/>
    <s v="Sales General &amp; Administration "/>
    <x v="13"/>
    <n v="8909"/>
    <s v=""/>
    <n v="8909"/>
  </r>
  <r>
    <s v="2025-01-04"/>
    <x v="0"/>
    <x v="14"/>
    <x v="3"/>
    <s v="Sales General &amp; Administration "/>
    <x v="12"/>
    <n v="260"/>
    <s v=""/>
    <n v="260"/>
  </r>
  <r>
    <s v="2025-01-04"/>
    <x v="0"/>
    <x v="14"/>
    <x v="3"/>
    <s v="Sales General &amp; Administration "/>
    <x v="9"/>
    <n v="8856"/>
    <s v=""/>
    <n v="8856"/>
  </r>
  <r>
    <s v="2025-01-04"/>
    <x v="0"/>
    <x v="10"/>
    <x v="3"/>
    <s v="Operational Cost"/>
    <x v="9"/>
    <n v="30477"/>
    <s v=""/>
    <n v="30477"/>
  </r>
  <r>
    <s v="2025-01-04"/>
    <x v="0"/>
    <x v="11"/>
    <x v="6"/>
    <s v="Operational Cost"/>
    <x v="9"/>
    <n v="4200"/>
    <s v=""/>
    <n v="4200"/>
  </r>
  <r>
    <s v="2025-01-04"/>
    <x v="0"/>
    <x v="15"/>
    <x v="2"/>
    <s v="Operational Cost"/>
    <x v="9"/>
    <n v="3455"/>
    <s v=""/>
    <n v="3455"/>
  </r>
  <r>
    <s v="2025-01-05"/>
    <x v="0"/>
    <x v="13"/>
    <x v="2"/>
    <s v="Operational Cost"/>
    <x v="14"/>
    <n v="2834"/>
    <s v=""/>
    <n v="2834"/>
  </r>
  <r>
    <s v="2025-01-05"/>
    <x v="0"/>
    <x v="16"/>
    <x v="6"/>
    <s v="Operational Cost"/>
    <x v="15"/>
    <n v="40833"/>
    <s v=""/>
    <n v="40833"/>
  </r>
  <r>
    <s v="2025-01-06"/>
    <x v="0"/>
    <x v="17"/>
    <x v="0"/>
    <s v="Operational Cost"/>
    <x v="16"/>
    <n v="180904.38"/>
    <s v=""/>
    <n v="180904.38"/>
  </r>
  <r>
    <s v="2025-01-06"/>
    <x v="0"/>
    <x v="18"/>
    <x v="0"/>
    <s v="Operational Cost"/>
    <x v="17"/>
    <n v="25000"/>
    <s v=""/>
    <n v="25000"/>
  </r>
  <r>
    <s v="2025-01-07"/>
    <x v="0"/>
    <x v="12"/>
    <x v="7"/>
    <s v="Operational Cost"/>
    <x v="9"/>
    <n v="158750"/>
    <s v=""/>
    <n v="158750"/>
  </r>
  <r>
    <s v="2025-01-08"/>
    <x v="0"/>
    <x v="19"/>
    <x v="8"/>
    <s v="Sales General &amp; Administration "/>
    <x v="9"/>
    <n v="45"/>
    <s v=""/>
    <n v="45"/>
  </r>
  <r>
    <s v="2025-01-08"/>
    <x v="0"/>
    <x v="20"/>
    <x v="3"/>
    <s v="Sales General &amp; Administration "/>
    <x v="18"/>
    <n v="2150"/>
    <s v=""/>
    <n v="2150"/>
  </r>
  <r>
    <s v="2025-01-09"/>
    <x v="0"/>
    <x v="15"/>
    <x v="2"/>
    <s v="Operational Cost"/>
    <x v="19"/>
    <n v="1298"/>
    <s v=""/>
    <n v="1298"/>
  </r>
  <r>
    <s v="2025-01-09"/>
    <x v="0"/>
    <x v="21"/>
    <x v="0"/>
    <s v="Operational Cost"/>
    <x v="20"/>
    <n v="119245"/>
    <s v=""/>
    <n v="119245"/>
  </r>
  <r>
    <s v="2025-01-09"/>
    <x v="0"/>
    <x v="15"/>
    <x v="2"/>
    <s v="Operational Cost"/>
    <x v="19"/>
    <n v="746.82"/>
    <s v=""/>
    <n v="746.82"/>
  </r>
  <r>
    <s v="2025-01-11"/>
    <x v="0"/>
    <x v="11"/>
    <x v="6"/>
    <s v="Operational Cost"/>
    <x v="10"/>
    <n v="6250"/>
    <s v=""/>
    <n v="6250"/>
  </r>
  <r>
    <s v="2025-01-12"/>
    <x v="0"/>
    <x v="2"/>
    <x v="1"/>
    <s v="Sales General &amp; Administration "/>
    <x v="1"/>
    <n v="66840"/>
    <s v=""/>
    <n v="66840"/>
  </r>
  <r>
    <s v="2025-01-13"/>
    <x v="0"/>
    <x v="7"/>
    <x v="3"/>
    <s v="Sales General &amp; Administration "/>
    <x v="9"/>
    <n v="10012"/>
    <s v=""/>
    <n v="10012"/>
  </r>
  <r>
    <s v="2025-01-13"/>
    <x v="0"/>
    <x v="13"/>
    <x v="2"/>
    <s v="Operational Cost"/>
    <x v="21"/>
    <n v="2793.06"/>
    <s v=""/>
    <n v="2793.06"/>
  </r>
  <r>
    <s v="2025-01-14"/>
    <x v="0"/>
    <x v="13"/>
    <x v="2"/>
    <s v="Operational Cost"/>
    <x v="14"/>
    <n v="1349"/>
    <s v=""/>
    <n v="1349"/>
  </r>
  <r>
    <s v="2025-01-15"/>
    <x v="0"/>
    <x v="13"/>
    <x v="2"/>
    <s v="Operational Cost"/>
    <x v="14"/>
    <n v="8913"/>
    <s v=""/>
    <n v="8913"/>
  </r>
  <r>
    <s v="2025-01-19"/>
    <x v="0"/>
    <x v="16"/>
    <x v="6"/>
    <s v="Operational Cost"/>
    <x v="15"/>
    <n v="723"/>
    <s v=""/>
    <n v="723"/>
  </r>
  <r>
    <s v="2025-01-20"/>
    <x v="0"/>
    <x v="13"/>
    <x v="2"/>
    <s v="Operational Cost"/>
    <x v="21"/>
    <n v="2367"/>
    <s v=""/>
    <n v="2367"/>
  </r>
  <r>
    <s v="2025-01-20"/>
    <x v="0"/>
    <x v="16"/>
    <x v="6"/>
    <s v="Operational Cost"/>
    <x v="15"/>
    <n v="5533"/>
    <s v=""/>
    <n v="5533"/>
  </r>
  <r>
    <s v="2025-01-21"/>
    <x v="0"/>
    <x v="10"/>
    <x v="3"/>
    <s v="Operational Cost"/>
    <x v="9"/>
    <s v=""/>
    <n v="100000"/>
    <n v="-100000"/>
  </r>
  <r>
    <s v="2025-01-22"/>
    <x v="0"/>
    <x v="13"/>
    <x v="2"/>
    <s v="Operational Cost"/>
    <x v="22"/>
    <n v="6299.14"/>
    <s v=""/>
    <n v="6299.14"/>
  </r>
  <r>
    <s v="2025-01-22"/>
    <x v="0"/>
    <x v="13"/>
    <x v="2"/>
    <s v="Operational Cost"/>
    <x v="14"/>
    <n v="5372"/>
    <s v=""/>
    <n v="5372"/>
  </r>
  <r>
    <s v="2025-01-24"/>
    <x v="0"/>
    <x v="19"/>
    <x v="8"/>
    <s v="Sales General &amp; Administration "/>
    <x v="12"/>
    <n v="23.67"/>
    <s v=""/>
    <n v="23.67"/>
  </r>
  <r>
    <s v="2025-01-26"/>
    <x v="0"/>
    <x v="13"/>
    <x v="2"/>
    <s v="Operational Cost"/>
    <x v="23"/>
    <n v="45000"/>
    <s v=""/>
    <n v="45000"/>
  </r>
  <r>
    <s v="2025-01-28"/>
    <x v="0"/>
    <x v="8"/>
    <x v="5"/>
    <s v="Indirect Income"/>
    <x v="7"/>
    <s v=""/>
    <n v="132159.17000000001"/>
    <n v="-132159.17000000001"/>
  </r>
  <r>
    <s v="2025-01-28"/>
    <x v="0"/>
    <x v="8"/>
    <x v="5"/>
    <s v="Indirect Income"/>
    <x v="7"/>
    <s v=""/>
    <n v="21932.62"/>
    <n v="-21932.62"/>
  </r>
  <r>
    <s v="2025-01-29"/>
    <x v="0"/>
    <x v="22"/>
    <x v="2"/>
    <s v="Operational Cost"/>
    <x v="24"/>
    <n v="37500"/>
    <s v=""/>
    <n v="37500"/>
  </r>
  <r>
    <s v="2025-01-30"/>
    <x v="0"/>
    <x v="23"/>
    <x v="2"/>
    <s v="Operational Cost"/>
    <x v="25"/>
    <n v="1000"/>
    <s v=""/>
    <n v="1000"/>
  </r>
  <r>
    <s v="2025-01-31"/>
    <x v="0"/>
    <x v="11"/>
    <x v="6"/>
    <s v="Operational Cost"/>
    <x v="12"/>
    <n v="2432.6"/>
    <s v=""/>
    <n v="2432.6"/>
  </r>
  <r>
    <s v="2025-01-31"/>
    <x v="0"/>
    <x v="24"/>
    <x v="9"/>
    <s v="Sales General &amp; Administration "/>
    <x v="26"/>
    <n v="208736"/>
    <s v=""/>
    <n v="208736"/>
  </r>
  <r>
    <s v="2025-01-31"/>
    <x v="0"/>
    <x v="24"/>
    <x v="9"/>
    <s v="Sales General &amp; Administration "/>
    <x v="26"/>
    <n v="160000"/>
    <s v=""/>
    <n v="160000"/>
  </r>
  <r>
    <s v="2025-01-31"/>
    <x v="0"/>
    <x v="24"/>
    <x v="9"/>
    <s v="Sales General &amp; Administration "/>
    <x v="26"/>
    <n v="160000"/>
    <s v=""/>
    <n v="160000"/>
  </r>
  <r>
    <s v="2025-01-31"/>
    <x v="0"/>
    <x v="24"/>
    <x v="9"/>
    <s v="Sales General &amp; Administration "/>
    <x v="26"/>
    <n v="41667"/>
    <s v=""/>
    <n v="41667"/>
  </r>
  <r>
    <s v="2025-01-31"/>
    <x v="0"/>
    <x v="24"/>
    <x v="9"/>
    <s v="Sales General &amp; Administration "/>
    <x v="26"/>
    <n v="268000"/>
    <s v=""/>
    <n v="268000"/>
  </r>
  <r>
    <s v="2025-01-31"/>
    <x v="0"/>
    <x v="25"/>
    <x v="7"/>
    <s v="Operational Cost"/>
    <x v="27"/>
    <n v="47000"/>
    <s v=""/>
    <n v="47000"/>
  </r>
  <r>
    <s v="2025-01-31"/>
    <x v="0"/>
    <x v="26"/>
    <x v="3"/>
    <s v="Sales General &amp; Administration "/>
    <x v="28"/>
    <n v="32000"/>
    <s v=""/>
    <n v="32000"/>
  </r>
  <r>
    <s v="2025-01-31"/>
    <x v="0"/>
    <x v="27"/>
    <x v="3"/>
    <s v="Sales General &amp; Administration "/>
    <x v="29"/>
    <n v="23602"/>
    <s v=""/>
    <n v="23602"/>
  </r>
  <r>
    <s v="2025-01-31"/>
    <x v="0"/>
    <x v="28"/>
    <x v="3"/>
    <s v="Sales General &amp; Administration "/>
    <x v="30"/>
    <n v="200794"/>
    <s v=""/>
    <n v="200794"/>
  </r>
  <r>
    <s v="2025-01-31"/>
    <x v="0"/>
    <x v="29"/>
    <x v="7"/>
    <s v="Operational Cost"/>
    <x v="31"/>
    <n v="3762414"/>
    <s v=""/>
    <n v="3762414"/>
  </r>
  <r>
    <s v="2025-01-31"/>
    <x v="0"/>
    <x v="30"/>
    <x v="7"/>
    <s v="Operational Cost"/>
    <x v="32"/>
    <n v="1911823"/>
    <s v=""/>
    <n v="1911823"/>
  </r>
  <r>
    <s v="2025-01-31"/>
    <x v="0"/>
    <x v="31"/>
    <x v="3"/>
    <s v="Sales General &amp; Administration "/>
    <x v="33"/>
    <n v="296342"/>
    <s v=""/>
    <n v="296342"/>
  </r>
  <r>
    <s v="2025-01-31"/>
    <x v="0"/>
    <x v="32"/>
    <x v="3"/>
    <s v="Sales General &amp; Administration "/>
    <x v="34"/>
    <n v="296342"/>
    <s v=""/>
    <n v="296342"/>
  </r>
  <r>
    <s v="2025-01-31"/>
    <x v="0"/>
    <x v="33"/>
    <x v="3"/>
    <s v="Sales General &amp; Administration "/>
    <x v="35"/>
    <n v="40714"/>
    <s v=""/>
    <n v="40714"/>
  </r>
  <r>
    <s v="2025-01-31"/>
    <x v="0"/>
    <x v="34"/>
    <x v="3"/>
    <s v="Sales General &amp; Administration "/>
    <x v="36"/>
    <n v="9433"/>
    <s v=""/>
    <n v="9433"/>
  </r>
  <r>
    <s v="2025-01-31"/>
    <x v="0"/>
    <x v="35"/>
    <x v="10"/>
    <s v="Sales General &amp; Administration "/>
    <x v="37"/>
    <n v="106743"/>
    <s v=""/>
    <n v="106743"/>
  </r>
  <r>
    <s v="2025-01-31"/>
    <x v="0"/>
    <x v="36"/>
    <x v="9"/>
    <s v="Sales General &amp; Administration "/>
    <x v="38"/>
    <n v="43600"/>
    <s v=""/>
    <n v="43600"/>
  </r>
  <r>
    <s v="2025-01-31"/>
    <x v="0"/>
    <x v="37"/>
    <x v="9"/>
    <s v="Sales General &amp; Administration "/>
    <x v="39"/>
    <n v="54601"/>
    <s v=""/>
    <n v="54601"/>
  </r>
  <r>
    <s v="2025-01-31"/>
    <x v="0"/>
    <x v="38"/>
    <x v="9"/>
    <s v="Sales General &amp; Administration "/>
    <x v="40"/>
    <n v="52473"/>
    <s v=""/>
    <n v="52473"/>
  </r>
  <r>
    <s v="2025-01-31"/>
    <x v="0"/>
    <x v="39"/>
    <x v="3"/>
    <s v="Sales General &amp; Administration "/>
    <x v="41"/>
    <n v="40200"/>
    <s v=""/>
    <n v="40200"/>
  </r>
  <r>
    <s v="2025-01-31"/>
    <x v="0"/>
    <x v="7"/>
    <x v="3"/>
    <s v="Sales General &amp; Administration "/>
    <x v="42"/>
    <n v="7100"/>
    <s v=""/>
    <n v="7100"/>
  </r>
  <r>
    <s v="2025-01-31"/>
    <x v="0"/>
    <x v="10"/>
    <x v="3"/>
    <s v="Operational Cost"/>
    <x v="43"/>
    <n v="2000"/>
    <s v=""/>
    <n v="2000"/>
  </r>
  <r>
    <s v="2025-01-31"/>
    <x v="0"/>
    <x v="5"/>
    <x v="3"/>
    <s v="Sales General &amp; Administration "/>
    <x v="44"/>
    <n v="5000"/>
    <s v=""/>
    <n v="5000"/>
  </r>
  <r>
    <s v="2025-01-31"/>
    <x v="0"/>
    <x v="11"/>
    <x v="6"/>
    <s v="Operational Cost"/>
    <x v="45"/>
    <n v="27922"/>
    <s v=""/>
    <n v="27922"/>
  </r>
  <r>
    <s v="2025-02-01"/>
    <x v="1"/>
    <x v="0"/>
    <x v="0"/>
    <s v="Operational Cost"/>
    <x v="0"/>
    <n v="376923"/>
    <s v=""/>
    <n v="376923"/>
  </r>
  <r>
    <s v="2025-02-01"/>
    <x v="1"/>
    <x v="1"/>
    <x v="0"/>
    <s v="Operational Cost"/>
    <x v="0"/>
    <n v="65105"/>
    <s v=""/>
    <n v="65105"/>
  </r>
  <r>
    <s v="2025-02-01"/>
    <x v="1"/>
    <x v="4"/>
    <x v="2"/>
    <s v="Operational Cost"/>
    <x v="3"/>
    <n v="15100"/>
    <s v=""/>
    <n v="15100"/>
  </r>
  <r>
    <s v="2025-02-01"/>
    <x v="1"/>
    <x v="19"/>
    <x v="8"/>
    <s v="Sales General &amp; Administration "/>
    <x v="12"/>
    <n v="120"/>
    <s v=""/>
    <n v="120"/>
  </r>
  <r>
    <s v="2025-02-01"/>
    <x v="1"/>
    <x v="40"/>
    <x v="3"/>
    <s v="Sales General &amp; Administration "/>
    <x v="46"/>
    <n v="16095"/>
    <s v=""/>
    <n v="16095"/>
  </r>
  <r>
    <s v="2025-02-01"/>
    <x v="1"/>
    <x v="40"/>
    <x v="3"/>
    <s v="Sales General &amp; Administration "/>
    <x v="46"/>
    <n v="16095"/>
    <s v=""/>
    <n v="16095"/>
  </r>
  <r>
    <s v="2025-02-01"/>
    <x v="1"/>
    <x v="6"/>
    <x v="4"/>
    <s v="Operational Cost"/>
    <x v="5"/>
    <n v="267200"/>
    <s v=""/>
    <n v="267200"/>
  </r>
  <r>
    <s v="2025-02-01"/>
    <x v="1"/>
    <x v="40"/>
    <x v="3"/>
    <s v="Sales General &amp; Administration "/>
    <x v="9"/>
    <n v="10000"/>
    <s v=""/>
    <n v="10000"/>
  </r>
  <r>
    <s v="2025-02-01"/>
    <x v="1"/>
    <x v="3"/>
    <x v="1"/>
    <s v="Sales General &amp; Administration "/>
    <x v="2"/>
    <n v="125000"/>
    <s v=""/>
    <n v="125000"/>
  </r>
  <r>
    <s v="2025-02-02"/>
    <x v="1"/>
    <x v="5"/>
    <x v="3"/>
    <s v="Sales General &amp; Administration "/>
    <x v="4"/>
    <n v="30000"/>
    <s v=""/>
    <n v="30000"/>
  </r>
  <r>
    <s v="2025-02-03"/>
    <x v="1"/>
    <x v="17"/>
    <x v="0"/>
    <s v="Operational Cost"/>
    <x v="16"/>
    <n v="166174.04999999999"/>
    <s v=""/>
    <n v="166174.04999999999"/>
  </r>
  <r>
    <s v="2025-02-03"/>
    <x v="1"/>
    <x v="9"/>
    <x v="2"/>
    <s v="Operational Cost"/>
    <x v="8"/>
    <n v="15333"/>
    <s v=""/>
    <n v="15333"/>
  </r>
  <r>
    <s v="2025-02-03"/>
    <x v="1"/>
    <x v="9"/>
    <x v="2"/>
    <s v="Operational Cost"/>
    <x v="8"/>
    <n v="12083"/>
    <s v=""/>
    <n v="12083"/>
  </r>
  <r>
    <s v="2025-02-03"/>
    <x v="1"/>
    <x v="14"/>
    <x v="3"/>
    <s v="Sales General &amp; Administration "/>
    <x v="12"/>
    <n v="900"/>
    <s v=""/>
    <n v="900"/>
  </r>
  <r>
    <s v="2025-02-04"/>
    <x v="1"/>
    <x v="7"/>
    <x v="3"/>
    <s v="Sales General &amp; Administration "/>
    <x v="6"/>
    <n v="14588.5"/>
    <s v=""/>
    <n v="14588.5"/>
  </r>
  <r>
    <s v="2025-02-05"/>
    <x v="1"/>
    <x v="18"/>
    <x v="0"/>
    <s v="Operational Cost"/>
    <x v="17"/>
    <n v="25000"/>
    <s v=""/>
    <n v="25000"/>
  </r>
  <r>
    <s v="2025-02-05"/>
    <x v="1"/>
    <x v="13"/>
    <x v="2"/>
    <s v="Operational Cost"/>
    <x v="14"/>
    <n v="2834"/>
    <s v=""/>
    <n v="2834"/>
  </r>
  <r>
    <s v="2025-02-05"/>
    <x v="1"/>
    <x v="16"/>
    <x v="6"/>
    <s v="Operational Cost"/>
    <x v="15"/>
    <n v="40833"/>
    <s v=""/>
    <n v="40833"/>
  </r>
  <r>
    <s v="2025-02-06"/>
    <x v="1"/>
    <x v="10"/>
    <x v="3"/>
    <s v="Operational Cost"/>
    <x v="9"/>
    <s v=""/>
    <n v="200000"/>
    <n v="-200000"/>
  </r>
  <r>
    <s v="2025-02-07"/>
    <x v="1"/>
    <x v="19"/>
    <x v="8"/>
    <s v="Sales General &amp; Administration "/>
    <x v="9"/>
    <n v="24"/>
    <s v=""/>
    <n v="24"/>
  </r>
  <r>
    <s v="2025-02-07"/>
    <x v="1"/>
    <x v="10"/>
    <x v="3"/>
    <s v="Operational Cost"/>
    <x v="9"/>
    <s v=""/>
    <n v="325000"/>
    <n v="-325000"/>
  </r>
  <r>
    <s v="2025-02-07"/>
    <x v="1"/>
    <x v="10"/>
    <x v="3"/>
    <s v="Operational Cost"/>
    <x v="43"/>
    <n v="213514"/>
    <s v=""/>
    <n v="213514"/>
  </r>
  <r>
    <s v="2025-02-09"/>
    <x v="1"/>
    <x v="15"/>
    <x v="2"/>
    <s v="Operational Cost"/>
    <x v="19"/>
    <n v="746.82"/>
    <s v=""/>
    <n v="746.82"/>
  </r>
  <r>
    <s v="2025-02-09"/>
    <x v="1"/>
    <x v="15"/>
    <x v="2"/>
    <s v="Operational Cost"/>
    <x v="19"/>
    <n v="1298"/>
    <s v=""/>
    <n v="1298"/>
  </r>
  <r>
    <s v="2025-02-10"/>
    <x v="1"/>
    <x v="17"/>
    <x v="0"/>
    <s v="Operational Cost"/>
    <x v="16"/>
    <n v="50444.74"/>
    <s v=""/>
    <n v="50444.74"/>
  </r>
  <r>
    <s v="2025-02-10"/>
    <x v="1"/>
    <x v="17"/>
    <x v="0"/>
    <s v="Operational Cost"/>
    <x v="16"/>
    <n v="487.69"/>
    <s v=""/>
    <n v="487.69"/>
  </r>
  <r>
    <s v="2025-02-10"/>
    <x v="1"/>
    <x v="19"/>
    <x v="8"/>
    <s v="Sales General &amp; Administration "/>
    <x v="9"/>
    <n v="6.49"/>
    <s v=""/>
    <n v="6.49"/>
  </r>
  <r>
    <s v="2025-02-11"/>
    <x v="1"/>
    <x v="14"/>
    <x v="3"/>
    <s v="Sales General &amp; Administration "/>
    <x v="12"/>
    <n v="1600"/>
    <s v=""/>
    <n v="1600"/>
  </r>
  <r>
    <s v="2025-02-12"/>
    <x v="1"/>
    <x v="2"/>
    <x v="1"/>
    <s v="Sales General &amp; Administration "/>
    <x v="1"/>
    <n v="259214"/>
    <s v=""/>
    <n v="259214"/>
  </r>
  <r>
    <s v="2025-02-13"/>
    <x v="1"/>
    <x v="41"/>
    <x v="1"/>
    <s v="Sales General &amp; Administration "/>
    <x v="47"/>
    <n v="100000"/>
    <s v=""/>
    <n v="100000"/>
  </r>
  <r>
    <s v="2025-02-13"/>
    <x v="1"/>
    <x v="10"/>
    <x v="3"/>
    <s v="Operational Cost"/>
    <x v="48"/>
    <n v="11272"/>
    <s v=""/>
    <n v="11272"/>
  </r>
  <r>
    <s v="2025-02-13"/>
    <x v="1"/>
    <x v="8"/>
    <x v="5"/>
    <s v="Indirect Income"/>
    <x v="7"/>
    <s v=""/>
    <n v="32148.9"/>
    <n v="-32148.9"/>
  </r>
  <r>
    <s v="2025-02-13"/>
    <x v="1"/>
    <x v="11"/>
    <x v="6"/>
    <s v="Operational Cost"/>
    <x v="49"/>
    <n v="6115.56"/>
    <s v=""/>
    <n v="6115.56"/>
  </r>
  <r>
    <s v="2025-02-13"/>
    <x v="1"/>
    <x v="10"/>
    <x v="3"/>
    <s v="Operational Cost"/>
    <x v="50"/>
    <n v="7814.19"/>
    <s v=""/>
    <n v="7814.19"/>
  </r>
  <r>
    <s v="2025-02-13"/>
    <x v="1"/>
    <x v="10"/>
    <x v="3"/>
    <s v="Operational Cost"/>
    <x v="12"/>
    <n v="114.5"/>
    <s v=""/>
    <n v="114.5"/>
  </r>
  <r>
    <s v="2025-02-13"/>
    <x v="1"/>
    <x v="13"/>
    <x v="2"/>
    <s v="Operational Cost"/>
    <x v="21"/>
    <n v="2793.06"/>
    <s v=""/>
    <n v="2793.06"/>
  </r>
  <r>
    <s v="2025-02-14"/>
    <x v="1"/>
    <x v="13"/>
    <x v="2"/>
    <s v="Operational Cost"/>
    <x v="14"/>
    <n v="1349"/>
    <s v=""/>
    <n v="1349"/>
  </r>
  <r>
    <s v="2025-02-14"/>
    <x v="1"/>
    <x v="11"/>
    <x v="6"/>
    <s v="Operational Cost"/>
    <x v="49"/>
    <n v="22907.73"/>
    <s v=""/>
    <n v="22907.73"/>
  </r>
  <r>
    <s v="2025-02-14"/>
    <x v="1"/>
    <x v="14"/>
    <x v="3"/>
    <s v="Sales General &amp; Administration "/>
    <x v="51"/>
    <n v="1181"/>
    <s v=""/>
    <n v="1181"/>
  </r>
  <r>
    <s v="2025-02-14"/>
    <x v="1"/>
    <x v="14"/>
    <x v="3"/>
    <s v="Sales General &amp; Administration "/>
    <x v="12"/>
    <n v="630"/>
    <s v=""/>
    <n v="630"/>
  </r>
  <r>
    <s v="2025-02-14"/>
    <x v="1"/>
    <x v="19"/>
    <x v="8"/>
    <s v="Sales General &amp; Administration "/>
    <x v="12"/>
    <n v="787.86"/>
    <s v=""/>
    <n v="787.86"/>
  </r>
  <r>
    <s v="2025-02-14"/>
    <x v="1"/>
    <x v="14"/>
    <x v="3"/>
    <s v="Sales General &amp; Administration "/>
    <x v="51"/>
    <n v="467"/>
    <s v=""/>
    <n v="467"/>
  </r>
  <r>
    <s v="2025-02-15"/>
    <x v="1"/>
    <x v="40"/>
    <x v="3"/>
    <s v="Sales General &amp; Administration "/>
    <x v="9"/>
    <n v="10000"/>
    <s v=""/>
    <n v="10000"/>
  </r>
  <r>
    <s v="2025-02-15"/>
    <x v="1"/>
    <x v="13"/>
    <x v="2"/>
    <s v="Operational Cost"/>
    <x v="14"/>
    <n v="8913"/>
    <s v=""/>
    <n v="8913"/>
  </r>
  <r>
    <s v="2025-02-15"/>
    <x v="1"/>
    <x v="21"/>
    <x v="0"/>
    <s v="Operational Cost"/>
    <x v="20"/>
    <n v="119485"/>
    <s v=""/>
    <n v="119485"/>
  </r>
  <r>
    <s v="2025-02-15"/>
    <x v="1"/>
    <x v="2"/>
    <x v="1"/>
    <s v="Sales General &amp; Administration "/>
    <x v="52"/>
    <n v="12420"/>
    <s v=""/>
    <n v="12420"/>
  </r>
  <r>
    <s v="2025-02-15"/>
    <x v="1"/>
    <x v="10"/>
    <x v="3"/>
    <s v="Operational Cost"/>
    <x v="51"/>
    <n v="1010"/>
    <s v=""/>
    <n v="1010"/>
  </r>
  <r>
    <s v="2025-02-16"/>
    <x v="1"/>
    <x v="10"/>
    <x v="3"/>
    <s v="Operational Cost"/>
    <x v="51"/>
    <s v=""/>
    <n v="10"/>
    <n v="-10"/>
  </r>
  <r>
    <s v="2025-02-16"/>
    <x v="1"/>
    <x v="11"/>
    <x v="6"/>
    <s v="Operational Cost"/>
    <x v="53"/>
    <n v="10950"/>
    <s v=""/>
    <n v="10950"/>
  </r>
  <r>
    <s v="2025-02-18"/>
    <x v="1"/>
    <x v="2"/>
    <x v="1"/>
    <s v="Sales General &amp; Administration "/>
    <x v="1"/>
    <n v="155070"/>
    <s v=""/>
    <n v="155070"/>
  </r>
  <r>
    <s v="2025-02-19"/>
    <x v="1"/>
    <x v="16"/>
    <x v="6"/>
    <s v="Operational Cost"/>
    <x v="15"/>
    <n v="723"/>
    <s v=""/>
    <n v="723"/>
  </r>
  <r>
    <s v="2025-02-19"/>
    <x v="1"/>
    <x v="13"/>
    <x v="2"/>
    <s v="Operational Cost"/>
    <x v="11"/>
    <n v="17469"/>
    <s v=""/>
    <n v="17469"/>
  </r>
  <r>
    <s v="2025-02-19"/>
    <x v="1"/>
    <x v="13"/>
    <x v="2"/>
    <s v="Operational Cost"/>
    <x v="11"/>
    <n v="909"/>
    <s v=""/>
    <n v="909"/>
  </r>
  <r>
    <s v="2025-02-19"/>
    <x v="1"/>
    <x v="42"/>
    <x v="3"/>
    <s v="Sales General &amp; Administration "/>
    <x v="54"/>
    <n v="85545"/>
    <s v=""/>
    <n v="85545"/>
  </r>
  <r>
    <s v="2025-02-19"/>
    <x v="1"/>
    <x v="42"/>
    <x v="3"/>
    <s v="Sales General &amp; Administration "/>
    <x v="54"/>
    <s v=""/>
    <n v="26342"/>
    <n v="-26342"/>
  </r>
  <r>
    <s v="2025-02-19"/>
    <x v="1"/>
    <x v="13"/>
    <x v="2"/>
    <s v="Operational Cost"/>
    <x v="22"/>
    <n v="6299.14"/>
    <s v=""/>
    <n v="6299.14"/>
  </r>
  <r>
    <s v="2025-02-20"/>
    <x v="1"/>
    <x v="16"/>
    <x v="6"/>
    <s v="Operational Cost"/>
    <x v="15"/>
    <n v="5533"/>
    <s v=""/>
    <n v="5533"/>
  </r>
  <r>
    <s v="2025-02-20"/>
    <x v="1"/>
    <x v="13"/>
    <x v="2"/>
    <s v="Operational Cost"/>
    <x v="23"/>
    <n v="50000"/>
    <s v=""/>
    <n v="50000"/>
  </r>
  <r>
    <s v="2025-02-20"/>
    <x v="1"/>
    <x v="13"/>
    <x v="2"/>
    <s v="Operational Cost"/>
    <x v="21"/>
    <n v="2367"/>
    <s v=""/>
    <n v="2367"/>
  </r>
  <r>
    <s v="2025-02-22"/>
    <x v="1"/>
    <x v="13"/>
    <x v="2"/>
    <s v="Operational Cost"/>
    <x v="14"/>
    <n v="5372"/>
    <s v=""/>
    <n v="5372"/>
  </r>
  <r>
    <s v="2025-02-24"/>
    <x v="1"/>
    <x v="19"/>
    <x v="8"/>
    <s v="Sales General &amp; Administration "/>
    <x v="12"/>
    <n v="23.67"/>
    <s v=""/>
    <n v="23.67"/>
  </r>
  <r>
    <s v="2025-02-24"/>
    <x v="1"/>
    <x v="19"/>
    <x v="8"/>
    <s v="Sales General &amp; Administration "/>
    <x v="55"/>
    <n v="17500"/>
    <s v=""/>
    <n v="17500"/>
  </r>
  <r>
    <s v="2025-02-24"/>
    <x v="1"/>
    <x v="19"/>
    <x v="8"/>
    <s v="Sales General &amp; Administration "/>
    <x v="55"/>
    <n v="500"/>
    <s v=""/>
    <n v="500"/>
  </r>
  <r>
    <s v="2025-02-24"/>
    <x v="1"/>
    <x v="16"/>
    <x v="6"/>
    <s v="Operational Cost"/>
    <x v="55"/>
    <n v="39839"/>
    <s v=""/>
    <n v="39839"/>
  </r>
  <r>
    <s v="2025-02-24"/>
    <x v="1"/>
    <x v="13"/>
    <x v="2"/>
    <s v="Operational Cost"/>
    <x v="56"/>
    <n v="1068"/>
    <s v=""/>
    <n v="1068"/>
  </r>
  <r>
    <s v="2025-02-27"/>
    <x v="1"/>
    <x v="8"/>
    <x v="5"/>
    <s v="Indirect Income"/>
    <x v="7"/>
    <s v=""/>
    <n v="75002.03"/>
    <n v="-75002.03"/>
  </r>
  <r>
    <s v="2025-02-27"/>
    <x v="1"/>
    <x v="8"/>
    <x v="5"/>
    <s v="Indirect Income"/>
    <x v="7"/>
    <s v=""/>
    <n v="31176.01"/>
    <n v="-31176.01"/>
  </r>
  <r>
    <s v="2025-02-28"/>
    <x v="1"/>
    <x v="22"/>
    <x v="2"/>
    <s v="Operational Cost"/>
    <x v="24"/>
    <n v="37500"/>
    <s v=""/>
    <n v="37500"/>
  </r>
  <r>
    <s v="2025-02-28"/>
    <x v="1"/>
    <x v="23"/>
    <x v="2"/>
    <s v="Operational Cost"/>
    <x v="25"/>
    <n v="1000"/>
    <s v=""/>
    <n v="1000"/>
  </r>
  <r>
    <s v="2025-02-28"/>
    <x v="1"/>
    <x v="24"/>
    <x v="9"/>
    <s v="Sales General &amp; Administration "/>
    <x v="26"/>
    <n v="208736"/>
    <s v=""/>
    <n v="208736"/>
  </r>
  <r>
    <s v="2025-02-28"/>
    <x v="1"/>
    <x v="24"/>
    <x v="9"/>
    <s v="Sales General &amp; Administration "/>
    <x v="26"/>
    <n v="160000"/>
    <s v=""/>
    <n v="160000"/>
  </r>
  <r>
    <s v="2025-02-28"/>
    <x v="1"/>
    <x v="24"/>
    <x v="9"/>
    <s v="Sales General &amp; Administration "/>
    <x v="26"/>
    <n v="160000"/>
    <s v=""/>
    <n v="160000"/>
  </r>
  <r>
    <s v="2025-02-28"/>
    <x v="1"/>
    <x v="24"/>
    <x v="9"/>
    <s v="Sales General &amp; Administration "/>
    <x v="26"/>
    <n v="268000"/>
    <s v=""/>
    <n v="268000"/>
  </r>
  <r>
    <s v="2025-02-28"/>
    <x v="1"/>
    <x v="25"/>
    <x v="7"/>
    <s v="Operational Cost"/>
    <x v="27"/>
    <n v="47000"/>
    <s v=""/>
    <n v="47000"/>
  </r>
  <r>
    <s v="2025-02-28"/>
    <x v="1"/>
    <x v="24"/>
    <x v="9"/>
    <s v="Sales General &amp; Administration "/>
    <x v="26"/>
    <n v="20833"/>
    <s v=""/>
    <n v="20833"/>
  </r>
  <r>
    <s v="2025-02-28"/>
    <x v="1"/>
    <x v="26"/>
    <x v="3"/>
    <s v="Sales General &amp; Administration "/>
    <x v="28"/>
    <n v="32000"/>
    <s v=""/>
    <n v="32000"/>
  </r>
  <r>
    <s v="2025-02-28"/>
    <x v="1"/>
    <x v="7"/>
    <x v="3"/>
    <s v="Sales General &amp; Administration "/>
    <x v="42"/>
    <n v="7260"/>
    <s v=""/>
    <n v="7260"/>
  </r>
  <r>
    <s v="2025-02-28"/>
    <x v="1"/>
    <x v="20"/>
    <x v="3"/>
    <s v="Sales General &amp; Administration "/>
    <x v="57"/>
    <n v="2040"/>
    <s v=""/>
    <n v="2040"/>
  </r>
  <r>
    <s v="2025-02-28"/>
    <x v="1"/>
    <x v="11"/>
    <x v="6"/>
    <s v="Operational Cost"/>
    <x v="45"/>
    <n v="34975"/>
    <s v=""/>
    <n v="34975"/>
  </r>
  <r>
    <s v="2025-02-28"/>
    <x v="1"/>
    <x v="11"/>
    <x v="6"/>
    <s v="Operational Cost"/>
    <x v="58"/>
    <n v="18000"/>
    <s v=""/>
    <n v="18000"/>
  </r>
  <r>
    <s v="2025-02-28"/>
    <x v="1"/>
    <x v="11"/>
    <x v="6"/>
    <s v="Operational Cost"/>
    <x v="58"/>
    <n v="82600"/>
    <s v=""/>
    <n v="82600"/>
  </r>
  <r>
    <s v="2025-02-28"/>
    <x v="1"/>
    <x v="11"/>
    <x v="6"/>
    <s v="Operational Cost"/>
    <x v="58"/>
    <n v="12360"/>
    <s v=""/>
    <n v="12360"/>
  </r>
  <r>
    <s v="2025-02-28"/>
    <x v="1"/>
    <x v="27"/>
    <x v="3"/>
    <s v="Sales General &amp; Administration "/>
    <x v="29"/>
    <n v="24672"/>
    <s v=""/>
    <n v="24672"/>
  </r>
  <r>
    <s v="2025-02-28"/>
    <x v="1"/>
    <x v="28"/>
    <x v="3"/>
    <s v="Sales General &amp; Administration "/>
    <x v="30"/>
    <n v="200730"/>
    <s v=""/>
    <n v="200730"/>
  </r>
  <r>
    <s v="2025-02-28"/>
    <x v="1"/>
    <x v="29"/>
    <x v="7"/>
    <s v="Operational Cost"/>
    <x v="31"/>
    <n v="4457855"/>
    <s v=""/>
    <n v="4457855"/>
  </r>
  <r>
    <s v="2025-02-28"/>
    <x v="1"/>
    <x v="30"/>
    <x v="7"/>
    <s v="Operational Cost"/>
    <x v="32"/>
    <n v="2198354"/>
    <s v=""/>
    <n v="2198354"/>
  </r>
  <r>
    <s v="2025-02-28"/>
    <x v="1"/>
    <x v="31"/>
    <x v="3"/>
    <s v="Sales General &amp; Administration "/>
    <x v="33"/>
    <n v="305791"/>
    <s v=""/>
    <n v="305791"/>
  </r>
  <r>
    <s v="2025-02-28"/>
    <x v="1"/>
    <x v="32"/>
    <x v="3"/>
    <s v="Sales General &amp; Administration "/>
    <x v="34"/>
    <n v="305791"/>
    <s v=""/>
    <n v="305791"/>
  </r>
  <r>
    <s v="2025-02-28"/>
    <x v="1"/>
    <x v="33"/>
    <x v="3"/>
    <s v="Sales General &amp; Administration "/>
    <x v="35"/>
    <n v="32778"/>
    <s v=""/>
    <n v="32778"/>
  </r>
  <r>
    <s v="2025-02-28"/>
    <x v="1"/>
    <x v="34"/>
    <x v="3"/>
    <s v="Sales General &amp; Administration "/>
    <x v="36"/>
    <n v="7599"/>
    <s v=""/>
    <n v="7599"/>
  </r>
  <r>
    <s v="2025-02-28"/>
    <x v="1"/>
    <x v="35"/>
    <x v="10"/>
    <s v="Sales General &amp; Administration "/>
    <x v="37"/>
    <n v="143864"/>
    <s v=""/>
    <n v="143864"/>
  </r>
  <r>
    <s v="2025-02-28"/>
    <x v="1"/>
    <x v="36"/>
    <x v="9"/>
    <s v="Sales General &amp; Administration "/>
    <x v="38"/>
    <n v="43600"/>
    <s v=""/>
    <n v="43600"/>
  </r>
  <r>
    <s v="2025-02-28"/>
    <x v="1"/>
    <x v="37"/>
    <x v="9"/>
    <s v="Sales General &amp; Administration "/>
    <x v="39"/>
    <n v="77859"/>
    <s v=""/>
    <n v="77859"/>
  </r>
  <r>
    <s v="2025-02-28"/>
    <x v="1"/>
    <x v="38"/>
    <x v="9"/>
    <s v="Sales General &amp; Administration "/>
    <x v="40"/>
    <n v="71393"/>
    <s v=""/>
    <n v="71393"/>
  </r>
  <r>
    <s v="2025-02-28"/>
    <x v="1"/>
    <x v="39"/>
    <x v="3"/>
    <s v="Sales General &amp; Administration "/>
    <x v="41"/>
    <n v="41600"/>
    <s v=""/>
    <n v="41600"/>
  </r>
  <r>
    <s v="2025-03-01"/>
    <x v="2"/>
    <x v="0"/>
    <x v="0"/>
    <s v="Operational Cost"/>
    <x v="0"/>
    <n v="376923"/>
    <s v=""/>
    <n v="376923"/>
  </r>
  <r>
    <s v="2025-03-01"/>
    <x v="2"/>
    <x v="1"/>
    <x v="0"/>
    <s v="Operational Cost"/>
    <x v="0"/>
    <n v="65105"/>
    <s v=""/>
    <n v="65105"/>
  </r>
  <r>
    <s v="2025-03-01"/>
    <x v="2"/>
    <x v="5"/>
    <x v="3"/>
    <s v="Sales General &amp; Administration "/>
    <x v="4"/>
    <n v="30000"/>
    <s v=""/>
    <n v="30000"/>
  </r>
  <r>
    <s v="2025-03-01"/>
    <x v="2"/>
    <x v="4"/>
    <x v="2"/>
    <s v="Operational Cost"/>
    <x v="3"/>
    <n v="15100"/>
    <s v=""/>
    <n v="15100"/>
  </r>
  <r>
    <s v="2025-03-01"/>
    <x v="2"/>
    <x v="6"/>
    <x v="4"/>
    <s v="Operational Cost"/>
    <x v="5"/>
    <n v="248000"/>
    <s v=""/>
    <n v="248000"/>
  </r>
  <r>
    <s v="2025-03-01"/>
    <x v="2"/>
    <x v="14"/>
    <x v="3"/>
    <s v="Sales General &amp; Administration "/>
    <x v="59"/>
    <n v="206943.42"/>
    <s v=""/>
    <n v="206943.42"/>
  </r>
  <r>
    <s v="2025-03-01"/>
    <x v="2"/>
    <x v="3"/>
    <x v="1"/>
    <s v="Sales General &amp; Administration "/>
    <x v="2"/>
    <n v="125000"/>
    <s v=""/>
    <n v="125000"/>
  </r>
  <r>
    <s v="2025-03-01"/>
    <x v="2"/>
    <x v="10"/>
    <x v="3"/>
    <s v="Operational Cost"/>
    <x v="60"/>
    <n v="19047.62"/>
    <s v=""/>
    <n v="19047.62"/>
  </r>
  <r>
    <s v="2025-03-02"/>
    <x v="2"/>
    <x v="11"/>
    <x v="6"/>
    <s v="Operational Cost"/>
    <x v="61"/>
    <n v="15594"/>
    <s v=""/>
    <n v="15594"/>
  </r>
  <r>
    <s v="2025-03-03"/>
    <x v="2"/>
    <x v="7"/>
    <x v="3"/>
    <s v="Sales General &amp; Administration "/>
    <x v="6"/>
    <n v="13245.5"/>
    <s v=""/>
    <n v="13245.5"/>
  </r>
  <r>
    <s v="2025-03-03"/>
    <x v="2"/>
    <x v="7"/>
    <x v="3"/>
    <s v="Sales General &amp; Administration "/>
    <x v="6"/>
    <n v="4810"/>
    <s v=""/>
    <n v="4810"/>
  </r>
  <r>
    <s v="2025-03-03"/>
    <x v="2"/>
    <x v="9"/>
    <x v="2"/>
    <s v="Operational Cost"/>
    <x v="8"/>
    <n v="15333"/>
    <s v=""/>
    <n v="15333"/>
  </r>
  <r>
    <s v="2025-03-03"/>
    <x v="2"/>
    <x v="9"/>
    <x v="2"/>
    <s v="Operational Cost"/>
    <x v="8"/>
    <n v="12083"/>
    <s v=""/>
    <n v="12083"/>
  </r>
  <r>
    <s v="2025-03-03"/>
    <x v="2"/>
    <x v="11"/>
    <x v="6"/>
    <s v="Operational Cost"/>
    <x v="12"/>
    <n v="1579.91"/>
    <s v=""/>
    <n v="1579.91"/>
  </r>
  <r>
    <s v="2025-03-04"/>
    <x v="2"/>
    <x v="10"/>
    <x v="3"/>
    <s v="Operational Cost"/>
    <x v="9"/>
    <n v="13927"/>
    <s v=""/>
    <n v="13927"/>
  </r>
  <r>
    <s v="2025-03-04"/>
    <x v="2"/>
    <x v="7"/>
    <x v="3"/>
    <s v="Sales General &amp; Administration "/>
    <x v="62"/>
    <n v="422.88"/>
    <s v=""/>
    <n v="422.88"/>
  </r>
  <r>
    <s v="2025-03-04"/>
    <x v="2"/>
    <x v="7"/>
    <x v="3"/>
    <s v="Sales General &amp; Administration "/>
    <x v="63"/>
    <n v="295.76"/>
    <s v=""/>
    <n v="295.76"/>
  </r>
  <r>
    <s v="2025-03-04"/>
    <x v="2"/>
    <x v="13"/>
    <x v="2"/>
    <s v="Operational Cost"/>
    <x v="22"/>
    <n v="3147.6"/>
    <s v=""/>
    <n v="3147.6"/>
  </r>
  <r>
    <s v="2025-03-04"/>
    <x v="2"/>
    <x v="11"/>
    <x v="6"/>
    <s v="Operational Cost"/>
    <x v="51"/>
    <n v="675"/>
    <s v=""/>
    <n v="675"/>
  </r>
  <r>
    <s v="2025-03-05"/>
    <x v="2"/>
    <x v="13"/>
    <x v="2"/>
    <s v="Operational Cost"/>
    <x v="14"/>
    <n v="2834"/>
    <s v=""/>
    <n v="2834"/>
  </r>
  <r>
    <s v="2025-03-05"/>
    <x v="2"/>
    <x v="16"/>
    <x v="6"/>
    <s v="Operational Cost"/>
    <x v="15"/>
    <n v="40833"/>
    <s v=""/>
    <n v="40833"/>
  </r>
  <r>
    <s v="2025-03-05"/>
    <x v="2"/>
    <x v="10"/>
    <x v="3"/>
    <s v="Operational Cost"/>
    <x v="60"/>
    <n v="22380.959999999999"/>
    <s v=""/>
    <n v="22380.959999999999"/>
  </r>
  <r>
    <s v="2025-03-06"/>
    <x v="2"/>
    <x v="18"/>
    <x v="0"/>
    <s v="Operational Cost"/>
    <x v="17"/>
    <n v="25000"/>
    <s v=""/>
    <n v="25000"/>
  </r>
  <r>
    <s v="2025-03-06"/>
    <x v="2"/>
    <x v="2"/>
    <x v="1"/>
    <s v="Sales General &amp; Administration "/>
    <x v="52"/>
    <n v="53658"/>
    <s v=""/>
    <n v="53658"/>
  </r>
  <r>
    <s v="2025-03-07"/>
    <x v="2"/>
    <x v="19"/>
    <x v="8"/>
    <s v="Sales General &amp; Administration "/>
    <x v="9"/>
    <n v="28"/>
    <s v=""/>
    <n v="28"/>
  </r>
  <r>
    <s v="2025-03-07"/>
    <x v="2"/>
    <x v="11"/>
    <x v="6"/>
    <s v="Operational Cost"/>
    <x v="10"/>
    <n v="3750"/>
    <s v=""/>
    <n v="3750"/>
  </r>
  <r>
    <s v="2025-03-07"/>
    <x v="2"/>
    <x v="11"/>
    <x v="6"/>
    <s v="Operational Cost"/>
    <x v="9"/>
    <n v="26222.25"/>
    <s v=""/>
    <n v="26222.25"/>
  </r>
  <r>
    <s v="2025-03-08"/>
    <x v="2"/>
    <x v="10"/>
    <x v="3"/>
    <s v="Operational Cost"/>
    <x v="64"/>
    <n v="6852"/>
    <s v=""/>
    <n v="6852"/>
  </r>
  <r>
    <s v="2025-03-09"/>
    <x v="2"/>
    <x v="15"/>
    <x v="2"/>
    <s v="Operational Cost"/>
    <x v="19"/>
    <n v="1298"/>
    <s v=""/>
    <n v="1298"/>
  </r>
  <r>
    <s v="2025-03-09"/>
    <x v="2"/>
    <x v="15"/>
    <x v="2"/>
    <s v="Operational Cost"/>
    <x v="19"/>
    <n v="746.82"/>
    <s v=""/>
    <n v="746.82"/>
  </r>
  <r>
    <s v="2025-03-10"/>
    <x v="2"/>
    <x v="17"/>
    <x v="0"/>
    <s v="Operational Cost"/>
    <x v="16"/>
    <n v="182837.26"/>
    <s v=""/>
    <n v="182837.26"/>
  </r>
  <r>
    <s v="2025-03-12"/>
    <x v="2"/>
    <x v="8"/>
    <x v="5"/>
    <s v="Indirect Income"/>
    <x v="7"/>
    <s v=""/>
    <n v="35968.410000000003"/>
    <n v="-35968.410000000003"/>
  </r>
  <r>
    <s v="2025-03-13"/>
    <x v="2"/>
    <x v="2"/>
    <x v="1"/>
    <s v="Sales General &amp; Administration "/>
    <x v="1"/>
    <n v="373254"/>
    <s v=""/>
    <n v="373254"/>
  </r>
  <r>
    <s v="2025-03-13"/>
    <x v="2"/>
    <x v="2"/>
    <x v="1"/>
    <s v="Sales General &amp; Administration "/>
    <x v="1"/>
    <n v="619024"/>
    <s v=""/>
    <n v="619024"/>
  </r>
  <r>
    <s v="2025-03-13"/>
    <x v="2"/>
    <x v="13"/>
    <x v="2"/>
    <s v="Operational Cost"/>
    <x v="21"/>
    <n v="2793.06"/>
    <s v=""/>
    <n v="2793.06"/>
  </r>
  <r>
    <s v="2025-03-13"/>
    <x v="2"/>
    <x v="43"/>
    <x v="6"/>
    <s v="Operational Cost"/>
    <x v="9"/>
    <n v="95500"/>
    <s v=""/>
    <n v="95500"/>
  </r>
  <r>
    <s v="2025-03-14"/>
    <x v="2"/>
    <x v="13"/>
    <x v="2"/>
    <s v="Operational Cost"/>
    <x v="14"/>
    <n v="1349"/>
    <s v=""/>
    <n v="1349"/>
  </r>
  <r>
    <s v="2025-03-15"/>
    <x v="2"/>
    <x v="21"/>
    <x v="0"/>
    <s v="Operational Cost"/>
    <x v="20"/>
    <n v="119470"/>
    <s v=""/>
    <n v="119470"/>
  </r>
  <r>
    <s v="2025-03-15"/>
    <x v="2"/>
    <x v="13"/>
    <x v="2"/>
    <s v="Operational Cost"/>
    <x v="14"/>
    <n v="8913"/>
    <s v=""/>
    <n v="8913"/>
  </r>
  <r>
    <s v="2025-03-18"/>
    <x v="2"/>
    <x v="16"/>
    <x v="6"/>
    <s v="Operational Cost"/>
    <x v="15"/>
    <n v="523"/>
    <s v=""/>
    <n v="523"/>
  </r>
  <r>
    <s v="2025-03-19"/>
    <x v="2"/>
    <x v="8"/>
    <x v="5"/>
    <s v="Indirect Income"/>
    <x v="7"/>
    <s v=""/>
    <n v="10117.700000000001"/>
    <n v="-10117.700000000001"/>
  </r>
  <r>
    <s v="2025-03-19"/>
    <x v="2"/>
    <x v="16"/>
    <x v="6"/>
    <s v="Operational Cost"/>
    <x v="15"/>
    <n v="723"/>
    <s v=""/>
    <n v="723"/>
  </r>
  <r>
    <s v="2025-03-19"/>
    <x v="2"/>
    <x v="19"/>
    <x v="8"/>
    <s v="Sales General &amp; Administration "/>
    <x v="51"/>
    <s v=""/>
    <n v="4999"/>
    <n v="-4999"/>
  </r>
  <r>
    <s v="2025-03-20"/>
    <x v="2"/>
    <x v="16"/>
    <x v="6"/>
    <s v="Operational Cost"/>
    <x v="15"/>
    <n v="5533"/>
    <s v=""/>
    <n v="5533"/>
  </r>
  <r>
    <s v="2025-03-20"/>
    <x v="2"/>
    <x v="13"/>
    <x v="2"/>
    <s v="Operational Cost"/>
    <x v="22"/>
    <n v="6299.14"/>
    <s v=""/>
    <n v="6299.14"/>
  </r>
  <r>
    <s v="2025-03-20"/>
    <x v="2"/>
    <x v="13"/>
    <x v="2"/>
    <s v="Operational Cost"/>
    <x v="21"/>
    <n v="2367"/>
    <s v=""/>
    <n v="2367"/>
  </r>
  <r>
    <s v="2025-03-22"/>
    <x v="2"/>
    <x v="13"/>
    <x v="2"/>
    <s v="Operational Cost"/>
    <x v="14"/>
    <n v="5372"/>
    <s v=""/>
    <n v="5372"/>
  </r>
  <r>
    <s v="2025-03-24"/>
    <x v="2"/>
    <x v="13"/>
    <x v="2"/>
    <s v="Operational Cost"/>
    <x v="23"/>
    <n v="50000"/>
    <s v=""/>
    <n v="50000"/>
  </r>
  <r>
    <s v="2025-03-24"/>
    <x v="2"/>
    <x v="19"/>
    <x v="8"/>
    <s v="Sales General &amp; Administration "/>
    <x v="12"/>
    <n v="23.67"/>
    <s v=""/>
    <n v="23.67"/>
  </r>
  <r>
    <s v="2025-03-25"/>
    <x v="2"/>
    <x v="11"/>
    <x v="6"/>
    <s v="Operational Cost"/>
    <x v="58"/>
    <n v="37160"/>
    <s v=""/>
    <n v="37160"/>
  </r>
  <r>
    <s v="2025-03-25"/>
    <x v="2"/>
    <x v="13"/>
    <x v="2"/>
    <s v="Operational Cost"/>
    <x v="21"/>
    <n v="1499"/>
    <s v=""/>
    <n v="1499"/>
  </r>
  <r>
    <s v="2025-03-25"/>
    <x v="2"/>
    <x v="11"/>
    <x v="6"/>
    <s v="Operational Cost"/>
    <x v="9"/>
    <n v="12874.2"/>
    <s v=""/>
    <n v="12874.2"/>
  </r>
  <r>
    <s v="2025-03-26"/>
    <x v="2"/>
    <x v="8"/>
    <x v="5"/>
    <s v="Indirect Income"/>
    <x v="7"/>
    <n v="17371.939999999999"/>
    <s v=""/>
    <n v="17371.939999999999"/>
  </r>
  <r>
    <s v="2025-03-27"/>
    <x v="2"/>
    <x v="44"/>
    <x v="3"/>
    <s v="Operational Cost"/>
    <x v="65"/>
    <n v="14000"/>
    <s v=""/>
    <n v="14000"/>
  </r>
  <r>
    <s v="2025-03-28"/>
    <x v="2"/>
    <x v="24"/>
    <x v="9"/>
    <s v="Sales General &amp; Administration "/>
    <x v="26"/>
    <n v="160000"/>
    <s v=""/>
    <n v="160000"/>
  </r>
  <r>
    <s v="2025-03-28"/>
    <x v="2"/>
    <x v="24"/>
    <x v="9"/>
    <s v="Sales General &amp; Administration "/>
    <x v="26"/>
    <n v="160000"/>
    <s v=""/>
    <n v="160000"/>
  </r>
  <r>
    <s v="2025-03-28"/>
    <x v="2"/>
    <x v="25"/>
    <x v="7"/>
    <s v="Operational Cost"/>
    <x v="27"/>
    <n v="47000"/>
    <s v=""/>
    <n v="47000"/>
  </r>
  <r>
    <s v="2025-03-28"/>
    <x v="2"/>
    <x v="7"/>
    <x v="3"/>
    <s v="Sales General &amp; Administration "/>
    <x v="42"/>
    <n v="5608"/>
    <s v=""/>
    <n v="5608"/>
  </r>
  <r>
    <s v="2025-03-28"/>
    <x v="2"/>
    <x v="10"/>
    <x v="3"/>
    <s v="Operational Cost"/>
    <x v="43"/>
    <n v="378"/>
    <s v=""/>
    <n v="378"/>
  </r>
  <r>
    <s v="2025-03-28"/>
    <x v="2"/>
    <x v="11"/>
    <x v="6"/>
    <s v="Operational Cost"/>
    <x v="45"/>
    <n v="33338"/>
    <s v=""/>
    <n v="33338"/>
  </r>
  <r>
    <s v="2025-03-28"/>
    <x v="2"/>
    <x v="27"/>
    <x v="3"/>
    <s v="Sales General &amp; Administration "/>
    <x v="29"/>
    <n v="25850"/>
    <s v=""/>
    <n v="25850"/>
  </r>
  <r>
    <s v="2025-03-28"/>
    <x v="2"/>
    <x v="28"/>
    <x v="3"/>
    <s v="Sales General &amp; Administration "/>
    <x v="30"/>
    <n v="210292"/>
    <s v=""/>
    <n v="210292"/>
  </r>
  <r>
    <s v="2025-03-28"/>
    <x v="2"/>
    <x v="29"/>
    <x v="7"/>
    <s v="Operational Cost"/>
    <x v="31"/>
    <n v="4579463"/>
    <s v=""/>
    <n v="4579463"/>
  </r>
  <r>
    <s v="2025-03-28"/>
    <x v="2"/>
    <x v="30"/>
    <x v="7"/>
    <s v="Operational Cost"/>
    <x v="32"/>
    <n v="2043456"/>
    <s v=""/>
    <n v="2043456"/>
  </r>
  <r>
    <s v="2025-03-28"/>
    <x v="2"/>
    <x v="31"/>
    <x v="3"/>
    <s v="Sales General &amp; Administration "/>
    <x v="33"/>
    <n v="317357"/>
    <s v=""/>
    <n v="317357"/>
  </r>
  <r>
    <s v="2025-03-28"/>
    <x v="2"/>
    <x v="32"/>
    <x v="3"/>
    <s v="Sales General &amp; Administration "/>
    <x v="34"/>
    <n v="317357"/>
    <s v=""/>
    <n v="317357"/>
  </r>
  <r>
    <s v="2025-03-28"/>
    <x v="2"/>
    <x v="33"/>
    <x v="3"/>
    <s v="Sales General &amp; Administration "/>
    <x v="35"/>
    <n v="22250"/>
    <s v=""/>
    <n v="22250"/>
  </r>
  <r>
    <s v="2025-03-28"/>
    <x v="2"/>
    <x v="34"/>
    <x v="3"/>
    <s v="Sales General &amp; Administration "/>
    <x v="36"/>
    <n v="5145"/>
    <s v=""/>
    <n v="5145"/>
  </r>
  <r>
    <s v="2025-03-28"/>
    <x v="2"/>
    <x v="35"/>
    <x v="10"/>
    <s v="Sales General &amp; Administration "/>
    <x v="37"/>
    <n v="123335"/>
    <s v=""/>
    <n v="123335"/>
  </r>
  <r>
    <s v="2025-03-28"/>
    <x v="2"/>
    <x v="36"/>
    <x v="9"/>
    <s v="Sales General &amp; Administration "/>
    <x v="38"/>
    <n v="42181"/>
    <s v=""/>
    <n v="42181"/>
  </r>
  <r>
    <s v="2025-03-28"/>
    <x v="2"/>
    <x v="37"/>
    <x v="9"/>
    <s v="Sales General &amp; Administration "/>
    <x v="39"/>
    <n v="74488"/>
    <s v=""/>
    <n v="74488"/>
  </r>
  <r>
    <s v="2025-03-28"/>
    <x v="2"/>
    <x v="38"/>
    <x v="9"/>
    <s v="Sales General &amp; Administration "/>
    <x v="40"/>
    <n v="65718"/>
    <s v=""/>
    <n v="65718"/>
  </r>
  <r>
    <s v="2025-03-28"/>
    <x v="2"/>
    <x v="39"/>
    <x v="3"/>
    <s v="Sales General &amp; Administration "/>
    <x v="41"/>
    <n v="53330"/>
    <s v=""/>
    <n v="53330"/>
  </r>
  <r>
    <s v="2025-03-28"/>
    <x v="2"/>
    <x v="24"/>
    <x v="9"/>
    <s v="Sales General &amp; Administration "/>
    <x v="26"/>
    <n v="268000"/>
    <s v=""/>
    <n v="268000"/>
  </r>
  <r>
    <s v="2025-03-28"/>
    <x v="2"/>
    <x v="24"/>
    <x v="9"/>
    <s v="Sales General &amp; Administration "/>
    <x v="26"/>
    <n v="208736"/>
    <s v=""/>
    <n v="208736"/>
  </r>
  <r>
    <s v="2025-03-29"/>
    <x v="2"/>
    <x v="22"/>
    <x v="2"/>
    <s v="Operational Cost"/>
    <x v="24"/>
    <n v="37500"/>
    <s v=""/>
    <n v="37500"/>
  </r>
  <r>
    <s v="2025-03-29"/>
    <x v="2"/>
    <x v="45"/>
    <x v="3"/>
    <s v="Operational Cost"/>
    <x v="66"/>
    <n v="3000"/>
    <s v=""/>
    <n v="3000"/>
  </r>
  <r>
    <s v="2025-03-30"/>
    <x v="2"/>
    <x v="23"/>
    <x v="2"/>
    <s v="Operational Cost"/>
    <x v="25"/>
    <n v="1000"/>
    <s v=""/>
    <n v="1000"/>
  </r>
  <r>
    <s v="2025-03-31"/>
    <x v="2"/>
    <x v="23"/>
    <x v="2"/>
    <s v="Operational Cost"/>
    <x v="67"/>
    <n v="55800"/>
    <s v=""/>
    <n v="55800"/>
  </r>
  <r>
    <s v="2025-03-31"/>
    <x v="2"/>
    <x v="26"/>
    <x v="3"/>
    <s v="Sales General &amp; Administration "/>
    <x v="28"/>
    <n v="32000"/>
    <s v=""/>
    <n v="32000"/>
  </r>
  <r>
    <s v="2025-03-31"/>
    <x v="2"/>
    <x v="2"/>
    <x v="1"/>
    <s v="Sales General &amp; Administration "/>
    <x v="1"/>
    <n v="27690"/>
    <s v=""/>
    <n v="27690"/>
  </r>
  <r>
    <s v="2025-04-01"/>
    <x v="3"/>
    <x v="1"/>
    <x v="0"/>
    <s v="Operational Cost"/>
    <x v="0"/>
    <n v="65105"/>
    <s v=""/>
    <n v="65105"/>
  </r>
  <r>
    <s v="2025-04-01"/>
    <x v="3"/>
    <x v="0"/>
    <x v="0"/>
    <s v="Operational Cost"/>
    <x v="0"/>
    <n v="376923"/>
    <s v=""/>
    <n v="376923"/>
  </r>
  <r>
    <s v="2025-04-01"/>
    <x v="3"/>
    <x v="4"/>
    <x v="2"/>
    <s v="Operational Cost"/>
    <x v="3"/>
    <n v="15100"/>
    <s v=""/>
    <n v="15100"/>
  </r>
  <r>
    <s v="2025-04-01"/>
    <x v="3"/>
    <x v="6"/>
    <x v="4"/>
    <s v="Operational Cost"/>
    <x v="5"/>
    <n v="252400"/>
    <s v=""/>
    <n v="252400"/>
  </r>
  <r>
    <s v="2025-04-01"/>
    <x v="3"/>
    <x v="3"/>
    <x v="1"/>
    <s v="Sales General &amp; Administration "/>
    <x v="2"/>
    <n v="125000"/>
    <s v=""/>
    <n v="125000"/>
  </r>
  <r>
    <s v="2025-04-01"/>
    <x v="3"/>
    <x v="7"/>
    <x v="3"/>
    <s v="Sales General &amp; Administration "/>
    <x v="6"/>
    <n v="14334"/>
    <s v=""/>
    <n v="14334"/>
  </r>
  <r>
    <s v="2025-04-01"/>
    <x v="3"/>
    <x v="46"/>
    <x v="8"/>
    <s v="Sales General &amp; Administration "/>
    <x v="55"/>
    <n v="1205"/>
    <s v=""/>
    <n v="1205"/>
  </r>
  <r>
    <s v="2025-04-01"/>
    <x v="3"/>
    <x v="8"/>
    <x v="5"/>
    <s v="Indirect Income"/>
    <x v="7"/>
    <n v="126082.89"/>
    <s v=""/>
    <n v="126082.89"/>
  </r>
  <r>
    <s v="2025-04-02"/>
    <x v="3"/>
    <x v="17"/>
    <x v="0"/>
    <s v="Operational Cost"/>
    <x v="16"/>
    <n v="185335.34"/>
    <s v=""/>
    <n v="185335.34"/>
  </r>
  <r>
    <s v="2025-04-02"/>
    <x v="3"/>
    <x v="17"/>
    <x v="0"/>
    <s v="Operational Cost"/>
    <x v="16"/>
    <n v="51394.48"/>
    <s v=""/>
    <n v="51394.48"/>
  </r>
  <r>
    <s v="2025-04-02"/>
    <x v="3"/>
    <x v="8"/>
    <x v="5"/>
    <s v="Indirect Income"/>
    <x v="7"/>
    <n v="2132.1"/>
    <s v=""/>
    <n v="2132.1"/>
  </r>
  <r>
    <s v="2025-04-02"/>
    <x v="3"/>
    <x v="8"/>
    <x v="5"/>
    <s v="Indirect Income"/>
    <x v="7"/>
    <n v="16091.1"/>
    <s v=""/>
    <n v="16091.1"/>
  </r>
  <r>
    <s v="2025-04-02"/>
    <x v="3"/>
    <x v="17"/>
    <x v="0"/>
    <s v="Operational Cost"/>
    <x v="16"/>
    <n v="644.72"/>
    <s v=""/>
    <n v="644.72"/>
  </r>
  <r>
    <s v="2025-04-03"/>
    <x v="3"/>
    <x v="7"/>
    <x v="3"/>
    <s v="Sales General &amp; Administration "/>
    <x v="6"/>
    <n v="1150"/>
    <s v=""/>
    <n v="1150"/>
  </r>
  <r>
    <s v="2025-04-03"/>
    <x v="3"/>
    <x v="9"/>
    <x v="2"/>
    <s v="Operational Cost"/>
    <x v="8"/>
    <n v="23333"/>
    <s v=""/>
    <n v="23333"/>
  </r>
  <r>
    <s v="2025-04-03"/>
    <x v="3"/>
    <x v="9"/>
    <x v="2"/>
    <s v="Operational Cost"/>
    <x v="8"/>
    <n v="10417"/>
    <s v=""/>
    <n v="10417"/>
  </r>
  <r>
    <s v="2025-04-04"/>
    <x v="3"/>
    <x v="14"/>
    <x v="3"/>
    <s v="Sales General &amp; Administration "/>
    <x v="9"/>
    <n v="3826"/>
    <s v=""/>
    <n v="3826"/>
  </r>
  <r>
    <s v="2025-04-05"/>
    <x v="3"/>
    <x v="13"/>
    <x v="2"/>
    <s v="Operational Cost"/>
    <x v="14"/>
    <n v="2834"/>
    <s v=""/>
    <n v="2834"/>
  </r>
  <r>
    <s v="2025-04-05"/>
    <x v="3"/>
    <x v="16"/>
    <x v="6"/>
    <s v="Operational Cost"/>
    <x v="15"/>
    <n v="40833"/>
    <s v=""/>
    <n v="40833"/>
  </r>
  <r>
    <s v="2025-04-05"/>
    <x v="3"/>
    <x v="11"/>
    <x v="6"/>
    <s v="Operational Cost"/>
    <x v="12"/>
    <n v="9110"/>
    <s v=""/>
    <n v="9110"/>
  </r>
  <r>
    <s v="2025-04-07"/>
    <x v="3"/>
    <x v="18"/>
    <x v="0"/>
    <s v="Operational Cost"/>
    <x v="17"/>
    <n v="25000"/>
    <s v=""/>
    <n v="25000"/>
  </r>
  <r>
    <s v="2025-04-08"/>
    <x v="3"/>
    <x v="19"/>
    <x v="8"/>
    <s v="Sales General &amp; Administration "/>
    <x v="9"/>
    <n v="1003"/>
    <s v=""/>
    <n v="1003"/>
  </r>
  <r>
    <s v="2025-04-09"/>
    <x v="3"/>
    <x v="15"/>
    <x v="2"/>
    <s v="Operational Cost"/>
    <x v="19"/>
    <n v="1298"/>
    <s v=""/>
    <n v="1298"/>
  </r>
  <r>
    <s v="2025-04-09"/>
    <x v="3"/>
    <x v="15"/>
    <x v="2"/>
    <s v="Operational Cost"/>
    <x v="19"/>
    <n v="746.82"/>
    <s v=""/>
    <n v="746.82"/>
  </r>
  <r>
    <s v="2025-04-11"/>
    <x v="3"/>
    <x v="16"/>
    <x v="6"/>
    <s v="Operational Cost"/>
    <x v="15"/>
    <n v="994"/>
    <s v=""/>
    <n v="994"/>
  </r>
  <r>
    <s v="2025-04-12"/>
    <x v="3"/>
    <x v="10"/>
    <x v="3"/>
    <s v="Operational Cost"/>
    <x v="51"/>
    <n v="2000"/>
    <s v=""/>
    <n v="2000"/>
  </r>
  <r>
    <s v="2025-04-13"/>
    <x v="3"/>
    <x v="13"/>
    <x v="2"/>
    <s v="Operational Cost"/>
    <x v="21"/>
    <n v="2793.06"/>
    <s v=""/>
    <n v="2793.06"/>
  </r>
  <r>
    <s v="2025-04-14"/>
    <x v="3"/>
    <x v="13"/>
    <x v="2"/>
    <s v="Operational Cost"/>
    <x v="14"/>
    <n v="1349"/>
    <s v=""/>
    <n v="1349"/>
  </r>
  <r>
    <s v="2025-04-14"/>
    <x v="3"/>
    <x v="10"/>
    <x v="3"/>
    <s v="Operational Cost"/>
    <x v="51"/>
    <n v="1502.67"/>
    <s v=""/>
    <n v="1502.67"/>
  </r>
  <r>
    <s v="2025-04-15"/>
    <x v="3"/>
    <x v="13"/>
    <x v="2"/>
    <s v="Operational Cost"/>
    <x v="14"/>
    <n v="8913"/>
    <s v=""/>
    <n v="8913"/>
  </r>
  <r>
    <s v="2025-04-15"/>
    <x v="3"/>
    <x v="10"/>
    <x v="3"/>
    <s v="Operational Cost"/>
    <x v="12"/>
    <s v=""/>
    <n v="50.09"/>
    <n v="-50.09"/>
  </r>
  <r>
    <s v="2025-04-15"/>
    <x v="3"/>
    <x v="10"/>
    <x v="3"/>
    <s v="Operational Cost"/>
    <x v="12"/>
    <n v="5058.76"/>
    <s v=""/>
    <n v="5058.76"/>
  </r>
  <r>
    <s v="2025-04-15"/>
    <x v="3"/>
    <x v="14"/>
    <x v="3"/>
    <s v="Sales General &amp; Administration "/>
    <x v="12"/>
    <n v="340"/>
    <s v=""/>
    <n v="340"/>
  </r>
  <r>
    <s v="2025-04-16"/>
    <x v="3"/>
    <x v="14"/>
    <x v="3"/>
    <s v="Sales General &amp; Administration "/>
    <x v="12"/>
    <n v="480"/>
    <s v=""/>
    <n v="480"/>
  </r>
  <r>
    <s v="2025-04-16"/>
    <x v="3"/>
    <x v="11"/>
    <x v="6"/>
    <s v="Operational Cost"/>
    <x v="10"/>
    <n v="1339.29"/>
    <s v=""/>
    <n v="1339.29"/>
  </r>
  <r>
    <s v="2025-04-17"/>
    <x v="3"/>
    <x v="10"/>
    <x v="3"/>
    <s v="Operational Cost"/>
    <x v="68"/>
    <n v="8356.51"/>
    <s v=""/>
    <n v="8356.51"/>
  </r>
  <r>
    <s v="2025-04-18"/>
    <x v="3"/>
    <x v="16"/>
    <x v="6"/>
    <s v="Operational Cost"/>
    <x v="15"/>
    <n v="896"/>
    <s v=""/>
    <n v="896"/>
  </r>
  <r>
    <s v="2025-04-19"/>
    <x v="3"/>
    <x v="13"/>
    <x v="2"/>
    <s v="Operational Cost"/>
    <x v="22"/>
    <n v="6299.14"/>
    <s v=""/>
    <n v="6299.14"/>
  </r>
  <r>
    <s v="2025-04-19"/>
    <x v="3"/>
    <x v="16"/>
    <x v="6"/>
    <s v="Operational Cost"/>
    <x v="15"/>
    <n v="789"/>
    <s v=""/>
    <n v="789"/>
  </r>
  <r>
    <s v="2025-04-20"/>
    <x v="3"/>
    <x v="16"/>
    <x v="6"/>
    <s v="Operational Cost"/>
    <x v="15"/>
    <n v="5533"/>
    <s v=""/>
    <n v="5533"/>
  </r>
  <r>
    <s v="2025-04-21"/>
    <x v="3"/>
    <x v="21"/>
    <x v="0"/>
    <s v="Operational Cost"/>
    <x v="20"/>
    <n v="120435"/>
    <s v=""/>
    <n v="120435"/>
  </r>
  <r>
    <s v="2025-04-22"/>
    <x v="3"/>
    <x v="13"/>
    <x v="2"/>
    <s v="Operational Cost"/>
    <x v="14"/>
    <n v="5372"/>
    <s v=""/>
    <n v="5372"/>
  </r>
  <r>
    <s v="2025-04-22"/>
    <x v="3"/>
    <x v="13"/>
    <x v="2"/>
    <s v="Operational Cost"/>
    <x v="21"/>
    <n v="2367"/>
    <s v=""/>
    <n v="2367"/>
  </r>
  <r>
    <s v="2025-04-23"/>
    <x v="3"/>
    <x v="8"/>
    <x v="5"/>
    <s v="Indirect Income"/>
    <x v="7"/>
    <n v="43501.4"/>
    <s v=""/>
    <n v="43501.4"/>
  </r>
  <r>
    <s v="2025-04-23"/>
    <x v="3"/>
    <x v="13"/>
    <x v="2"/>
    <s v="Operational Cost"/>
    <x v="23"/>
    <n v="50000"/>
    <s v=""/>
    <n v="50000"/>
  </r>
  <r>
    <s v="2025-04-26"/>
    <x v="3"/>
    <x v="19"/>
    <x v="8"/>
    <s v="Sales General &amp; Administration "/>
    <x v="12"/>
    <n v="23.67"/>
    <s v=""/>
    <n v="23.67"/>
  </r>
  <r>
    <s v="2025-04-27"/>
    <x v="3"/>
    <x v="13"/>
    <x v="2"/>
    <s v="Operational Cost"/>
    <x v="21"/>
    <n v="1499"/>
    <s v=""/>
    <n v="1499"/>
  </r>
  <r>
    <s v="2025-04-28"/>
    <x v="3"/>
    <x v="10"/>
    <x v="3"/>
    <s v="Operational Cost"/>
    <x v="51"/>
    <n v="2566.61"/>
    <s v=""/>
    <n v="2566.61"/>
  </r>
  <r>
    <s v="2025-04-28"/>
    <x v="3"/>
    <x v="11"/>
    <x v="6"/>
    <s v="Operational Cost"/>
    <x v="9"/>
    <n v="42861.25"/>
    <s v=""/>
    <n v="42861.25"/>
  </r>
  <r>
    <s v="2025-04-29"/>
    <x v="3"/>
    <x v="22"/>
    <x v="2"/>
    <s v="Operational Cost"/>
    <x v="24"/>
    <n v="37500"/>
    <s v=""/>
    <n v="37500"/>
  </r>
  <r>
    <s v="2025-04-29"/>
    <x v="3"/>
    <x v="11"/>
    <x v="6"/>
    <s v="Operational Cost"/>
    <x v="10"/>
    <n v="1250"/>
    <s v=""/>
    <n v="1250"/>
  </r>
  <r>
    <s v="2025-04-30"/>
    <x v="3"/>
    <x v="23"/>
    <x v="2"/>
    <s v="Operational Cost"/>
    <x v="25"/>
    <n v="1000"/>
    <s v=""/>
    <n v="1000"/>
  </r>
  <r>
    <s v="2025-04-30"/>
    <x v="3"/>
    <x v="25"/>
    <x v="7"/>
    <s v="Operational Cost"/>
    <x v="27"/>
    <n v="47000"/>
    <s v=""/>
    <n v="47000"/>
  </r>
  <r>
    <s v="2025-04-30"/>
    <x v="3"/>
    <x v="8"/>
    <x v="5"/>
    <s v="Indirect Income"/>
    <x v="7"/>
    <n v="31458.85"/>
    <s v=""/>
    <n v="31458.85"/>
  </r>
  <r>
    <s v="2025-04-30"/>
    <x v="3"/>
    <x v="26"/>
    <x v="3"/>
    <s v="Sales General &amp; Administration "/>
    <x v="28"/>
    <n v="32000"/>
    <s v=""/>
    <n v="32000"/>
  </r>
  <r>
    <s v="2025-04-30"/>
    <x v="3"/>
    <x v="24"/>
    <x v="9"/>
    <s v="Sales General &amp; Administration "/>
    <x v="26"/>
    <n v="160000"/>
    <s v=""/>
    <n v="160000"/>
  </r>
  <r>
    <s v="2025-04-30"/>
    <x v="3"/>
    <x v="24"/>
    <x v="9"/>
    <s v="Sales General &amp; Administration "/>
    <x v="26"/>
    <n v="160000"/>
    <s v=""/>
    <n v="160000"/>
  </r>
  <r>
    <s v="2025-04-30"/>
    <x v="3"/>
    <x v="24"/>
    <x v="9"/>
    <s v="Sales General &amp; Administration "/>
    <x v="26"/>
    <n v="240000"/>
    <s v=""/>
    <n v="240000"/>
  </r>
  <r>
    <s v="2025-04-30"/>
    <x v="3"/>
    <x v="11"/>
    <x v="6"/>
    <s v="Operational Cost"/>
    <x v="45"/>
    <n v="114467"/>
    <s v=""/>
    <n v="114467"/>
  </r>
  <r>
    <s v="2025-04-30"/>
    <x v="3"/>
    <x v="7"/>
    <x v="3"/>
    <s v="Sales General &amp; Administration "/>
    <x v="42"/>
    <n v="10230"/>
    <s v=""/>
    <n v="10230"/>
  </r>
  <r>
    <s v="2025-04-30"/>
    <x v="3"/>
    <x v="10"/>
    <x v="3"/>
    <s v="Operational Cost"/>
    <x v="43"/>
    <n v="1500"/>
    <s v=""/>
    <n v="1500"/>
  </r>
  <r>
    <s v="2025-04-30"/>
    <x v="3"/>
    <x v="11"/>
    <x v="6"/>
    <s v="Operational Cost"/>
    <x v="45"/>
    <n v="29955"/>
    <s v=""/>
    <n v="29955"/>
  </r>
  <r>
    <s v="2025-04-30"/>
    <x v="3"/>
    <x v="27"/>
    <x v="3"/>
    <s v="Sales General &amp; Administration "/>
    <x v="29"/>
    <n v="25656"/>
    <s v=""/>
    <n v="25656"/>
  </r>
  <r>
    <s v="2025-04-30"/>
    <x v="3"/>
    <x v="28"/>
    <x v="3"/>
    <s v="Sales General &amp; Administration "/>
    <x v="30"/>
    <n v="216462"/>
    <s v=""/>
    <n v="216462"/>
  </r>
  <r>
    <s v="2025-04-30"/>
    <x v="3"/>
    <x v="29"/>
    <x v="7"/>
    <s v="Operational Cost"/>
    <x v="31"/>
    <n v="4473906"/>
    <s v=""/>
    <n v="4473906"/>
  </r>
  <r>
    <s v="2025-04-30"/>
    <x v="3"/>
    <x v="30"/>
    <x v="7"/>
    <s v="Operational Cost"/>
    <x v="32"/>
    <n v="2108487"/>
    <s v=""/>
    <n v="2108487"/>
  </r>
  <r>
    <s v="2025-04-30"/>
    <x v="3"/>
    <x v="31"/>
    <x v="3"/>
    <s v="Sales General &amp; Administration "/>
    <x v="33"/>
    <n v="296981"/>
    <s v=""/>
    <n v="296981"/>
  </r>
  <r>
    <s v="2025-04-30"/>
    <x v="3"/>
    <x v="32"/>
    <x v="3"/>
    <s v="Sales General &amp; Administration "/>
    <x v="34"/>
    <n v="296981"/>
    <s v=""/>
    <n v="296981"/>
  </r>
  <r>
    <s v="2025-04-30"/>
    <x v="3"/>
    <x v="33"/>
    <x v="3"/>
    <s v="Sales General &amp; Administration "/>
    <x v="35"/>
    <n v="18315"/>
    <s v=""/>
    <n v="18315"/>
  </r>
  <r>
    <s v="2025-04-30"/>
    <x v="3"/>
    <x v="34"/>
    <x v="3"/>
    <s v="Sales General &amp; Administration "/>
    <x v="36"/>
    <n v="4252"/>
    <s v=""/>
    <n v="4252"/>
  </r>
  <r>
    <s v="2025-04-30"/>
    <x v="3"/>
    <x v="35"/>
    <x v="10"/>
    <s v="Sales General &amp; Administration "/>
    <x v="37"/>
    <n v="135405"/>
    <s v=""/>
    <n v="135405"/>
  </r>
  <r>
    <s v="2025-04-30"/>
    <x v="3"/>
    <x v="36"/>
    <x v="9"/>
    <s v="Sales General &amp; Administration "/>
    <x v="38"/>
    <n v="43600"/>
    <s v=""/>
    <n v="43600"/>
  </r>
  <r>
    <s v="2025-04-30"/>
    <x v="3"/>
    <x v="37"/>
    <x v="9"/>
    <s v="Sales General &amp; Administration "/>
    <x v="39"/>
    <n v="74488"/>
    <s v=""/>
    <n v="74488"/>
  </r>
  <r>
    <s v="2025-04-30"/>
    <x v="3"/>
    <x v="38"/>
    <x v="9"/>
    <s v="Sales General &amp; Administration "/>
    <x v="40"/>
    <n v="63878"/>
    <s v=""/>
    <n v="63878"/>
  </r>
  <r>
    <s v="2025-04-30"/>
    <x v="3"/>
    <x v="39"/>
    <x v="3"/>
    <s v="Sales General &amp; Administration "/>
    <x v="41"/>
    <n v="45400"/>
    <s v=""/>
    <n v="45400"/>
  </r>
  <r>
    <s v="2025-04-30"/>
    <x v="3"/>
    <x v="24"/>
    <x v="9"/>
    <s v="Sales General &amp; Administration "/>
    <x v="26"/>
    <n v="268000"/>
    <s v=""/>
    <n v="268000"/>
  </r>
  <r>
    <s v="2025-04-30"/>
    <x v="3"/>
    <x v="31"/>
    <x v="3"/>
    <s v="Sales General &amp; Administration "/>
    <x v="33"/>
    <n v="12000"/>
    <s v=""/>
    <n v="12000"/>
  </r>
  <r>
    <s v="2025-04-30"/>
    <x v="3"/>
    <x v="32"/>
    <x v="3"/>
    <s v="Sales General &amp; Administration "/>
    <x v="34"/>
    <n v="12000"/>
    <s v=""/>
    <n v="12000"/>
  </r>
  <r>
    <s v="2025-04-30"/>
    <x v="3"/>
    <x v="24"/>
    <x v="9"/>
    <s v="Sales General &amp; Administration "/>
    <x v="26"/>
    <n v="227712"/>
    <s v=""/>
    <n v="227712"/>
  </r>
  <r>
    <s v="2025-04-30"/>
    <x v="3"/>
    <x v="31"/>
    <x v="3"/>
    <s v="Sales General &amp; Administration "/>
    <x v="33"/>
    <n v="6000"/>
    <s v=""/>
    <n v="6000"/>
  </r>
  <r>
    <s v="2025-04-30"/>
    <x v="3"/>
    <x v="32"/>
    <x v="3"/>
    <s v="Sales General &amp; Administration "/>
    <x v="34"/>
    <n v="6000"/>
    <s v=""/>
    <n v="6000"/>
  </r>
  <r>
    <s v="2025-05-01"/>
    <x v="4"/>
    <x v="17"/>
    <x v="0"/>
    <s v="Operational Cost"/>
    <x v="16"/>
    <n v="205380.36"/>
    <s v=""/>
    <n v="205380.36"/>
  </r>
  <r>
    <s v="2025-05-01"/>
    <x v="4"/>
    <x v="0"/>
    <x v="0"/>
    <s v="Operational Cost"/>
    <x v="0"/>
    <n v="376923"/>
    <s v=""/>
    <n v="376923"/>
  </r>
  <r>
    <s v="2025-05-01"/>
    <x v="4"/>
    <x v="1"/>
    <x v="0"/>
    <s v="Operational Cost"/>
    <x v="0"/>
    <n v="65105"/>
    <s v=""/>
    <n v="65105"/>
  </r>
  <r>
    <s v="2025-05-01"/>
    <x v="4"/>
    <x v="46"/>
    <x v="8"/>
    <s v="Sales General &amp; Administration "/>
    <x v="55"/>
    <n v="603"/>
    <s v=""/>
    <n v="603"/>
  </r>
  <r>
    <s v="2025-05-01"/>
    <x v="4"/>
    <x v="3"/>
    <x v="1"/>
    <s v="Sales General &amp; Administration "/>
    <x v="2"/>
    <n v="125000"/>
    <s v=""/>
    <n v="125000"/>
  </r>
  <r>
    <s v="2025-05-02"/>
    <x v="4"/>
    <x v="10"/>
    <x v="3"/>
    <s v="Operational Cost"/>
    <x v="69"/>
    <n v="2114"/>
    <s v=""/>
    <n v="2114"/>
  </r>
  <r>
    <s v="2025-05-02"/>
    <x v="4"/>
    <x v="41"/>
    <x v="1"/>
    <s v="Sales General &amp; Administration "/>
    <x v="69"/>
    <n v="60450"/>
    <s v=""/>
    <n v="60450"/>
  </r>
  <r>
    <s v="2025-05-02"/>
    <x v="4"/>
    <x v="4"/>
    <x v="2"/>
    <s v="Operational Cost"/>
    <x v="3"/>
    <n v="15100"/>
    <s v=""/>
    <n v="15100"/>
  </r>
  <r>
    <s v="2025-05-02"/>
    <x v="4"/>
    <x v="11"/>
    <x v="6"/>
    <s v="Operational Cost"/>
    <x v="70"/>
    <n v="28125"/>
    <s v=""/>
    <n v="28125"/>
  </r>
  <r>
    <s v="2025-05-02"/>
    <x v="4"/>
    <x v="47"/>
    <x v="3"/>
    <s v="Sales General &amp; Administration "/>
    <x v="71"/>
    <n v="57927.7"/>
    <s v=""/>
    <n v="57927.7"/>
  </r>
  <r>
    <s v="2025-05-03"/>
    <x v="4"/>
    <x v="9"/>
    <x v="2"/>
    <s v="Operational Cost"/>
    <x v="8"/>
    <n v="10417"/>
    <s v=""/>
    <n v="10417"/>
  </r>
  <r>
    <s v="2025-05-03"/>
    <x v="4"/>
    <x v="9"/>
    <x v="2"/>
    <s v="Operational Cost"/>
    <x v="8"/>
    <n v="23333"/>
    <s v=""/>
    <n v="23333"/>
  </r>
  <r>
    <s v="2025-05-05"/>
    <x v="4"/>
    <x v="6"/>
    <x v="4"/>
    <s v="Operational Cost"/>
    <x v="5"/>
    <n v="237080"/>
    <s v=""/>
    <n v="237080"/>
  </r>
  <r>
    <s v="2025-05-05"/>
    <x v="4"/>
    <x v="7"/>
    <x v="3"/>
    <s v="Sales General &amp; Administration "/>
    <x v="6"/>
    <n v="16498.5"/>
    <s v=""/>
    <n v="16498.5"/>
  </r>
  <r>
    <s v="2025-05-05"/>
    <x v="4"/>
    <x v="13"/>
    <x v="2"/>
    <s v="Operational Cost"/>
    <x v="14"/>
    <n v="2834"/>
    <s v=""/>
    <n v="2834"/>
  </r>
  <r>
    <s v="2025-05-05"/>
    <x v="4"/>
    <x v="16"/>
    <x v="6"/>
    <s v="Operational Cost"/>
    <x v="15"/>
    <n v="40833"/>
    <s v=""/>
    <n v="40833"/>
  </r>
  <r>
    <s v="2025-05-06"/>
    <x v="4"/>
    <x v="18"/>
    <x v="0"/>
    <s v="Operational Cost"/>
    <x v="17"/>
    <n v="26250"/>
    <s v=""/>
    <n v="26250"/>
  </r>
  <r>
    <s v="2025-05-06"/>
    <x v="4"/>
    <x v="11"/>
    <x v="6"/>
    <s v="Operational Cost"/>
    <x v="9"/>
    <n v="42350"/>
    <s v=""/>
    <n v="42350"/>
  </r>
  <r>
    <s v="2025-05-07"/>
    <x v="4"/>
    <x v="48"/>
    <x v="8"/>
    <s v="Sales General &amp; Administration "/>
    <x v="9"/>
    <n v="300"/>
    <s v=""/>
    <n v="300"/>
  </r>
  <r>
    <s v="2025-05-08"/>
    <x v="4"/>
    <x v="19"/>
    <x v="8"/>
    <s v="Sales General &amp; Administration "/>
    <x v="9"/>
    <n v="72"/>
    <s v=""/>
    <n v="72"/>
  </r>
  <r>
    <s v="2025-05-08"/>
    <x v="4"/>
    <x v="11"/>
    <x v="6"/>
    <s v="Operational Cost"/>
    <x v="9"/>
    <n v="2243"/>
    <s v=""/>
    <n v="2243"/>
  </r>
  <r>
    <s v="2025-05-09"/>
    <x v="4"/>
    <x v="15"/>
    <x v="2"/>
    <s v="Operational Cost"/>
    <x v="19"/>
    <n v="1298"/>
    <s v=""/>
    <n v="1298"/>
  </r>
  <r>
    <s v="2025-05-09"/>
    <x v="4"/>
    <x v="15"/>
    <x v="2"/>
    <s v="Operational Cost"/>
    <x v="19"/>
    <n v="746.82"/>
    <s v=""/>
    <n v="746.82"/>
  </r>
  <r>
    <s v="2025-05-09"/>
    <x v="4"/>
    <x v="42"/>
    <x v="3"/>
    <s v="Sales General &amp; Administration "/>
    <x v="72"/>
    <n v="40000"/>
    <s v=""/>
    <n v="40000"/>
  </r>
  <r>
    <s v="2025-05-11"/>
    <x v="4"/>
    <x v="16"/>
    <x v="6"/>
    <s v="Operational Cost"/>
    <x v="15"/>
    <n v="994"/>
    <s v=""/>
    <n v="994"/>
  </r>
  <r>
    <s v="2025-05-12"/>
    <x v="4"/>
    <x v="19"/>
    <x v="8"/>
    <s v="Sales General &amp; Administration "/>
    <x v="51"/>
    <n v="1512.36"/>
    <s v=""/>
    <n v="1512.36"/>
  </r>
  <r>
    <s v="2025-05-13"/>
    <x v="4"/>
    <x v="14"/>
    <x v="3"/>
    <s v="Sales General &amp; Administration "/>
    <x v="9"/>
    <n v="561"/>
    <s v=""/>
    <n v="561"/>
  </r>
  <r>
    <s v="2025-05-13"/>
    <x v="4"/>
    <x v="14"/>
    <x v="3"/>
    <s v="Sales General &amp; Administration "/>
    <x v="9"/>
    <n v="3505"/>
    <s v=""/>
    <n v="3505"/>
  </r>
  <r>
    <s v="2025-05-13"/>
    <x v="4"/>
    <x v="14"/>
    <x v="3"/>
    <s v="Sales General &amp; Administration "/>
    <x v="9"/>
    <n v="6150"/>
    <s v=""/>
    <n v="6150"/>
  </r>
  <r>
    <s v="2025-05-13"/>
    <x v="4"/>
    <x v="15"/>
    <x v="2"/>
    <s v="Operational Cost"/>
    <x v="19"/>
    <n v="4718"/>
    <s v=""/>
    <n v="4718"/>
  </r>
  <r>
    <s v="2025-05-13"/>
    <x v="4"/>
    <x v="13"/>
    <x v="2"/>
    <s v="Operational Cost"/>
    <x v="21"/>
    <n v="2793.06"/>
    <s v=""/>
    <n v="2793.06"/>
  </r>
  <r>
    <s v="2025-05-14"/>
    <x v="4"/>
    <x v="7"/>
    <x v="3"/>
    <s v="Sales General &amp; Administration "/>
    <x v="0"/>
    <n v="11370"/>
    <s v=""/>
    <n v="11370"/>
  </r>
  <r>
    <s v="2025-05-14"/>
    <x v="4"/>
    <x v="9"/>
    <x v="2"/>
    <s v="Operational Cost"/>
    <x v="73"/>
    <n v="3000"/>
    <s v=""/>
    <n v="3000"/>
  </r>
  <r>
    <s v="2025-05-14"/>
    <x v="4"/>
    <x v="13"/>
    <x v="2"/>
    <s v="Operational Cost"/>
    <x v="14"/>
    <n v="1349"/>
    <s v=""/>
    <n v="1349"/>
  </r>
  <r>
    <s v="2025-05-15"/>
    <x v="4"/>
    <x v="13"/>
    <x v="2"/>
    <s v="Operational Cost"/>
    <x v="14"/>
    <n v="8913"/>
    <s v=""/>
    <n v="8913"/>
  </r>
  <r>
    <s v="2025-05-16"/>
    <x v="4"/>
    <x v="7"/>
    <x v="3"/>
    <s v="Sales General &amp; Administration "/>
    <x v="74"/>
    <n v="2000"/>
    <s v=""/>
    <n v="2000"/>
  </r>
  <r>
    <s v="2025-05-16"/>
    <x v="4"/>
    <x v="40"/>
    <x v="3"/>
    <s v="Sales General &amp; Administration "/>
    <x v="46"/>
    <n v="35670"/>
    <s v=""/>
    <n v="35670"/>
  </r>
  <r>
    <s v="2025-05-16"/>
    <x v="4"/>
    <x v="40"/>
    <x v="3"/>
    <s v="Sales General &amp; Administration "/>
    <x v="46"/>
    <n v="35670"/>
    <s v=""/>
    <n v="35670"/>
  </r>
  <r>
    <s v="2025-05-16"/>
    <x v="4"/>
    <x v="16"/>
    <x v="6"/>
    <s v="Operational Cost"/>
    <x v="15"/>
    <n v="1190"/>
    <s v=""/>
    <n v="1190"/>
  </r>
  <r>
    <s v="2025-05-18"/>
    <x v="4"/>
    <x v="16"/>
    <x v="6"/>
    <s v="Operational Cost"/>
    <x v="15"/>
    <n v="896"/>
    <s v=""/>
    <n v="896"/>
  </r>
  <r>
    <s v="2025-05-19"/>
    <x v="4"/>
    <x v="16"/>
    <x v="6"/>
    <s v="Operational Cost"/>
    <x v="15"/>
    <n v="789"/>
    <s v=""/>
    <n v="789"/>
  </r>
  <r>
    <s v="2025-05-20"/>
    <x v="4"/>
    <x v="16"/>
    <x v="6"/>
    <s v="Operational Cost"/>
    <x v="15"/>
    <n v="5533"/>
    <s v=""/>
    <n v="5533"/>
  </r>
  <r>
    <s v="2025-05-20"/>
    <x v="4"/>
    <x v="13"/>
    <x v="2"/>
    <s v="Operational Cost"/>
    <x v="21"/>
    <n v="2367"/>
    <s v=""/>
    <n v="2367"/>
  </r>
  <r>
    <s v="2025-05-20"/>
    <x v="4"/>
    <x v="13"/>
    <x v="2"/>
    <s v="Operational Cost"/>
    <x v="22"/>
    <n v="6299.14"/>
    <s v=""/>
    <n v="6299.14"/>
  </r>
  <r>
    <s v="2025-05-21"/>
    <x v="4"/>
    <x v="21"/>
    <x v="0"/>
    <s v="Operational Cost"/>
    <x v="20"/>
    <n v="136370"/>
    <s v=""/>
    <n v="136370"/>
  </r>
  <r>
    <s v="2025-05-22"/>
    <x v="4"/>
    <x v="13"/>
    <x v="2"/>
    <s v="Operational Cost"/>
    <x v="14"/>
    <n v="5372"/>
    <s v=""/>
    <n v="5372"/>
  </r>
  <r>
    <s v="2025-05-24"/>
    <x v="4"/>
    <x v="19"/>
    <x v="8"/>
    <s v="Sales General &amp; Administration "/>
    <x v="12"/>
    <n v="23.67"/>
    <s v=""/>
    <n v="23.67"/>
  </r>
  <r>
    <s v="2025-05-27"/>
    <x v="4"/>
    <x v="13"/>
    <x v="2"/>
    <s v="Operational Cost"/>
    <x v="21"/>
    <n v="1499"/>
    <s v=""/>
    <n v="1499"/>
  </r>
  <r>
    <s v="2025-05-28"/>
    <x v="4"/>
    <x v="13"/>
    <x v="2"/>
    <s v="Operational Cost"/>
    <x v="23"/>
    <n v="49999"/>
    <s v=""/>
    <n v="49999"/>
  </r>
  <r>
    <s v="2025-05-29"/>
    <x v="4"/>
    <x v="22"/>
    <x v="2"/>
    <s v="Operational Cost"/>
    <x v="24"/>
    <n v="37500"/>
    <s v=""/>
    <n v="37500"/>
  </r>
  <r>
    <s v="2025-05-29"/>
    <x v="4"/>
    <x v="8"/>
    <x v="5"/>
    <s v="Indirect Income"/>
    <x v="7"/>
    <n v="65022.69"/>
    <s v=""/>
    <n v="65022.69"/>
  </r>
  <r>
    <s v="2025-05-29"/>
    <x v="4"/>
    <x v="8"/>
    <x v="5"/>
    <s v="Indirect Income"/>
    <x v="7"/>
    <n v="18088.14"/>
    <s v=""/>
    <n v="18088.14"/>
  </r>
  <r>
    <s v="2025-05-30"/>
    <x v="4"/>
    <x v="23"/>
    <x v="2"/>
    <s v="Operational Cost"/>
    <x v="25"/>
    <n v="1000"/>
    <s v=""/>
    <n v="1000"/>
  </r>
  <r>
    <s v="2025-05-30"/>
    <x v="4"/>
    <x v="24"/>
    <x v="9"/>
    <s v="Sales General &amp; Administration "/>
    <x v="26"/>
    <n v="160000"/>
    <s v=""/>
    <n v="160000"/>
  </r>
  <r>
    <s v="2025-05-30"/>
    <x v="4"/>
    <x v="24"/>
    <x v="9"/>
    <s v="Sales General &amp; Administration "/>
    <x v="26"/>
    <n v="160000"/>
    <s v=""/>
    <n v="160000"/>
  </r>
  <r>
    <s v="2025-05-30"/>
    <x v="4"/>
    <x v="25"/>
    <x v="7"/>
    <s v="Operational Cost"/>
    <x v="27"/>
    <n v="28667"/>
    <s v=""/>
    <n v="28667"/>
  </r>
  <r>
    <s v="2025-05-30"/>
    <x v="4"/>
    <x v="24"/>
    <x v="9"/>
    <s v="Sales General &amp; Administration "/>
    <x v="26"/>
    <n v="60000"/>
    <s v=""/>
    <n v="60000"/>
  </r>
  <r>
    <s v="2025-05-30"/>
    <x v="4"/>
    <x v="49"/>
    <x v="3"/>
    <s v="Sales General &amp; Administration "/>
    <x v="75"/>
    <n v="165865"/>
    <s v=""/>
    <n v="165865"/>
  </r>
  <r>
    <s v="2025-05-30"/>
    <x v="4"/>
    <x v="24"/>
    <x v="9"/>
    <s v="Sales General &amp; Administration "/>
    <x v="26"/>
    <n v="268000"/>
    <s v=""/>
    <n v="268000"/>
  </r>
  <r>
    <s v="2025-05-30"/>
    <x v="4"/>
    <x v="31"/>
    <x v="3"/>
    <s v="Sales General &amp; Administration "/>
    <x v="33"/>
    <n v="12000"/>
    <s v=""/>
    <n v="12000"/>
  </r>
  <r>
    <s v="2025-05-30"/>
    <x v="4"/>
    <x v="32"/>
    <x v="3"/>
    <s v="Sales General &amp; Administration "/>
    <x v="34"/>
    <n v="12000"/>
    <s v=""/>
    <n v="12000"/>
  </r>
  <r>
    <s v="2025-05-30"/>
    <x v="4"/>
    <x v="24"/>
    <x v="9"/>
    <s v="Sales General &amp; Administration "/>
    <x v="26"/>
    <n v="236317"/>
    <s v=""/>
    <n v="236317"/>
  </r>
  <r>
    <s v="2025-05-30"/>
    <x v="4"/>
    <x v="31"/>
    <x v="3"/>
    <s v="Sales General &amp; Administration "/>
    <x v="33"/>
    <n v="6000"/>
    <s v=""/>
    <n v="6000"/>
  </r>
  <r>
    <s v="2025-05-30"/>
    <x v="4"/>
    <x v="32"/>
    <x v="3"/>
    <s v="Sales General &amp; Administration "/>
    <x v="34"/>
    <n v="6000"/>
    <s v=""/>
    <n v="6000"/>
  </r>
  <r>
    <s v="2025-05-30"/>
    <x v="4"/>
    <x v="27"/>
    <x v="3"/>
    <s v="Sales General &amp; Administration "/>
    <x v="29"/>
    <n v="27584"/>
    <s v=""/>
    <n v="27584"/>
  </r>
  <r>
    <s v="2025-05-30"/>
    <x v="4"/>
    <x v="28"/>
    <x v="3"/>
    <s v="Sales General &amp; Administration "/>
    <x v="30"/>
    <n v="228978"/>
    <s v=""/>
    <n v="228978"/>
  </r>
  <r>
    <s v="2025-05-30"/>
    <x v="4"/>
    <x v="29"/>
    <x v="7"/>
    <s v="Operational Cost"/>
    <x v="31"/>
    <n v="4728640"/>
    <s v=""/>
    <n v="4728640"/>
  </r>
  <r>
    <s v="2025-05-30"/>
    <x v="4"/>
    <x v="30"/>
    <x v="7"/>
    <s v="Operational Cost"/>
    <x v="32"/>
    <n v="2151697"/>
    <s v=""/>
    <n v="2151697"/>
  </r>
  <r>
    <s v="2025-05-30"/>
    <x v="4"/>
    <x v="31"/>
    <x v="3"/>
    <s v="Sales General &amp; Administration "/>
    <x v="33"/>
    <n v="320119"/>
    <s v=""/>
    <n v="320119"/>
  </r>
  <r>
    <s v="2025-05-30"/>
    <x v="4"/>
    <x v="32"/>
    <x v="3"/>
    <s v="Sales General &amp; Administration "/>
    <x v="34"/>
    <n v="320119"/>
    <s v=""/>
    <n v="320119"/>
  </r>
  <r>
    <s v="2025-05-30"/>
    <x v="4"/>
    <x v="33"/>
    <x v="3"/>
    <s v="Sales General &amp; Administration "/>
    <x v="35"/>
    <n v="22731"/>
    <s v=""/>
    <n v="22731"/>
  </r>
  <r>
    <s v="2025-05-30"/>
    <x v="4"/>
    <x v="34"/>
    <x v="3"/>
    <s v="Sales General &amp; Administration "/>
    <x v="36"/>
    <n v="5271"/>
    <s v=""/>
    <n v="5271"/>
  </r>
  <r>
    <s v="2025-05-30"/>
    <x v="4"/>
    <x v="35"/>
    <x v="10"/>
    <s v="Sales General &amp; Administration "/>
    <x v="37"/>
    <n v="131899"/>
    <s v=""/>
    <n v="131899"/>
  </r>
  <r>
    <s v="2025-05-30"/>
    <x v="4"/>
    <x v="36"/>
    <x v="9"/>
    <s v="Sales General &amp; Administration "/>
    <x v="38"/>
    <n v="36812"/>
    <s v=""/>
    <n v="36812"/>
  </r>
  <r>
    <s v="2025-05-30"/>
    <x v="4"/>
    <x v="37"/>
    <x v="9"/>
    <s v="Sales General &amp; Administration "/>
    <x v="39"/>
    <n v="74488"/>
    <s v=""/>
    <n v="74488"/>
  </r>
  <r>
    <s v="2025-05-30"/>
    <x v="4"/>
    <x v="38"/>
    <x v="9"/>
    <s v="Sales General &amp; Administration "/>
    <x v="40"/>
    <n v="71081"/>
    <s v=""/>
    <n v="71081"/>
  </r>
  <r>
    <s v="2025-05-30"/>
    <x v="4"/>
    <x v="39"/>
    <x v="3"/>
    <s v="Sales General &amp; Administration "/>
    <x v="41"/>
    <n v="48785"/>
    <s v=""/>
    <n v="48785"/>
  </r>
  <r>
    <s v="2025-05-30"/>
    <x v="4"/>
    <x v="11"/>
    <x v="6"/>
    <s v="Operational Cost"/>
    <x v="58"/>
    <n v="2760"/>
    <s v=""/>
    <n v="2760"/>
  </r>
  <r>
    <s v="2025-05-31"/>
    <x v="4"/>
    <x v="26"/>
    <x v="3"/>
    <s v="Sales General &amp; Administration "/>
    <x v="28"/>
    <n v="32000"/>
    <s v=""/>
    <n v="32000"/>
  </r>
  <r>
    <s v="2025-05-31"/>
    <x v="4"/>
    <x v="7"/>
    <x v="3"/>
    <s v="Sales General &amp; Administration "/>
    <x v="42"/>
    <n v="8817"/>
    <s v=""/>
    <n v="8817"/>
  </r>
  <r>
    <s v="2025-05-31"/>
    <x v="4"/>
    <x v="11"/>
    <x v="6"/>
    <s v="Operational Cost"/>
    <x v="45"/>
    <n v="23000"/>
    <s v=""/>
    <n v="23000"/>
  </r>
  <r>
    <s v="2025-06-01"/>
    <x v="5"/>
    <x v="1"/>
    <x v="0"/>
    <s v="Operational Cost"/>
    <x v="0"/>
    <n v="65105"/>
    <s v=""/>
    <n v="65105"/>
  </r>
  <r>
    <s v="2025-06-01"/>
    <x v="5"/>
    <x v="0"/>
    <x v="0"/>
    <s v="Operational Cost"/>
    <x v="0"/>
    <n v="376923"/>
    <s v=""/>
    <n v="376923"/>
  </r>
  <r>
    <s v="2025-06-01"/>
    <x v="5"/>
    <x v="3"/>
    <x v="1"/>
    <s v="Sales General &amp; Administration "/>
    <x v="2"/>
    <n v="125000"/>
    <s v=""/>
    <n v="125000"/>
  </r>
  <r>
    <s v="2025-06-02"/>
    <x v="5"/>
    <x v="17"/>
    <x v="0"/>
    <s v="Operational Cost"/>
    <x v="16"/>
    <n v="208602.36"/>
    <s v=""/>
    <n v="208602.36"/>
  </r>
  <r>
    <s v="2025-06-02"/>
    <x v="5"/>
    <x v="17"/>
    <x v="0"/>
    <s v="Operational Cost"/>
    <x v="16"/>
    <n v="66770"/>
    <s v=""/>
    <n v="66770"/>
  </r>
  <r>
    <s v="2025-06-02"/>
    <x v="5"/>
    <x v="6"/>
    <x v="4"/>
    <s v="Operational Cost"/>
    <x v="5"/>
    <n v="189600"/>
    <s v=""/>
    <n v="189600"/>
  </r>
  <r>
    <s v="2025-06-02"/>
    <x v="5"/>
    <x v="7"/>
    <x v="3"/>
    <s v="Sales General &amp; Administration "/>
    <x v="6"/>
    <n v="14012.5"/>
    <s v=""/>
    <n v="14012.5"/>
  </r>
  <r>
    <s v="2025-06-02"/>
    <x v="5"/>
    <x v="4"/>
    <x v="2"/>
    <s v="Operational Cost"/>
    <x v="3"/>
    <n v="15100"/>
    <s v=""/>
    <n v="15100"/>
  </r>
  <r>
    <s v="2025-06-02"/>
    <x v="5"/>
    <x v="11"/>
    <x v="6"/>
    <s v="Operational Cost"/>
    <x v="9"/>
    <n v="10596"/>
    <s v=""/>
    <n v="10596"/>
  </r>
  <r>
    <s v="2025-06-02"/>
    <x v="5"/>
    <x v="7"/>
    <x v="3"/>
    <s v="Sales General &amp; Administration "/>
    <x v="6"/>
    <n v="5433"/>
    <s v=""/>
    <n v="5433"/>
  </r>
  <r>
    <s v="2025-06-02"/>
    <x v="5"/>
    <x v="17"/>
    <x v="0"/>
    <s v="Operational Cost"/>
    <x v="16"/>
    <n v="590.66"/>
    <s v=""/>
    <n v="590.66"/>
  </r>
  <r>
    <s v="2025-06-03"/>
    <x v="5"/>
    <x v="9"/>
    <x v="2"/>
    <s v="Operational Cost"/>
    <x v="8"/>
    <n v="10417"/>
    <s v=""/>
    <n v="10417"/>
  </r>
  <r>
    <s v="2025-06-03"/>
    <x v="5"/>
    <x v="9"/>
    <x v="2"/>
    <s v="Operational Cost"/>
    <x v="8"/>
    <n v="23333"/>
    <s v=""/>
    <n v="23333"/>
  </r>
  <r>
    <s v="2025-06-05"/>
    <x v="5"/>
    <x v="13"/>
    <x v="2"/>
    <s v="Operational Cost"/>
    <x v="14"/>
    <n v="2834"/>
    <s v=""/>
    <n v="2834"/>
  </r>
  <r>
    <s v="2025-06-05"/>
    <x v="5"/>
    <x v="16"/>
    <x v="6"/>
    <s v="Operational Cost"/>
    <x v="15"/>
    <n v="40833"/>
    <s v=""/>
    <n v="40833"/>
  </r>
  <r>
    <s v="2025-06-06"/>
    <x v="5"/>
    <x v="13"/>
    <x v="2"/>
    <s v="Operational Cost"/>
    <x v="14"/>
    <n v="2479"/>
    <s v=""/>
    <n v="2479"/>
  </r>
  <r>
    <s v="2025-06-07"/>
    <x v="5"/>
    <x v="7"/>
    <x v="3"/>
    <s v="Sales General &amp; Administration "/>
    <x v="76"/>
    <n v="5218"/>
    <s v=""/>
    <n v="5218"/>
  </r>
  <r>
    <s v="2025-06-07"/>
    <x v="5"/>
    <x v="10"/>
    <x v="3"/>
    <s v="Operational Cost"/>
    <x v="12"/>
    <n v="2020"/>
    <s v=""/>
    <n v="2020"/>
  </r>
  <r>
    <s v="2025-06-07"/>
    <x v="5"/>
    <x v="10"/>
    <x v="3"/>
    <s v="Operational Cost"/>
    <x v="12"/>
    <s v=""/>
    <n v="20"/>
    <n v="-20"/>
  </r>
  <r>
    <s v="2025-06-07"/>
    <x v="5"/>
    <x v="14"/>
    <x v="3"/>
    <s v="Sales General &amp; Administration "/>
    <x v="77"/>
    <n v="3812"/>
    <s v=""/>
    <n v="3812"/>
  </r>
  <r>
    <s v="2025-06-08"/>
    <x v="5"/>
    <x v="11"/>
    <x v="6"/>
    <s v="Operational Cost"/>
    <x v="9"/>
    <n v="3000"/>
    <s v=""/>
    <n v="3000"/>
  </r>
  <r>
    <s v="2025-06-09"/>
    <x v="5"/>
    <x v="18"/>
    <x v="0"/>
    <s v="Operational Cost"/>
    <x v="17"/>
    <n v="26250"/>
    <s v=""/>
    <n v="26250"/>
  </r>
  <r>
    <s v="2025-06-09"/>
    <x v="5"/>
    <x v="15"/>
    <x v="2"/>
    <s v="Operational Cost"/>
    <x v="19"/>
    <n v="746.82"/>
    <s v=""/>
    <n v="746.82"/>
  </r>
  <r>
    <s v="2025-06-09"/>
    <x v="5"/>
    <x v="15"/>
    <x v="2"/>
    <s v="Operational Cost"/>
    <x v="19"/>
    <n v="1298"/>
    <s v=""/>
    <n v="1298"/>
  </r>
  <r>
    <s v="2025-06-09"/>
    <x v="5"/>
    <x v="10"/>
    <x v="3"/>
    <s v="Operational Cost"/>
    <x v="12"/>
    <n v="4565.8999999999996"/>
    <s v=""/>
    <n v="4565.8999999999996"/>
  </r>
  <r>
    <s v="2025-06-10"/>
    <x v="5"/>
    <x v="19"/>
    <x v="8"/>
    <s v="Sales General &amp; Administration "/>
    <x v="9"/>
    <n v="44"/>
    <s v=""/>
    <n v="44"/>
  </r>
  <r>
    <s v="2025-06-11"/>
    <x v="5"/>
    <x v="19"/>
    <x v="8"/>
    <s v="Sales General &amp; Administration "/>
    <x v="55"/>
    <n v="3855"/>
    <s v=""/>
    <n v="3855"/>
  </r>
  <r>
    <s v="2025-06-11"/>
    <x v="5"/>
    <x v="16"/>
    <x v="6"/>
    <s v="Operational Cost"/>
    <x v="15"/>
    <n v="994"/>
    <s v=""/>
    <n v="994"/>
  </r>
  <r>
    <s v="2025-06-12"/>
    <x v="5"/>
    <x v="2"/>
    <x v="1"/>
    <s v="Sales General &amp; Administration "/>
    <x v="1"/>
    <n v="29052"/>
    <s v=""/>
    <n v="29052"/>
  </r>
  <r>
    <s v="2025-06-12"/>
    <x v="5"/>
    <x v="2"/>
    <x v="1"/>
    <s v="Sales General &amp; Administration "/>
    <x v="1"/>
    <n v="22902"/>
    <s v=""/>
    <n v="22902"/>
  </r>
  <r>
    <s v="2025-06-12"/>
    <x v="5"/>
    <x v="10"/>
    <x v="3"/>
    <s v="Operational Cost"/>
    <x v="12"/>
    <n v="9624.9"/>
    <s v=""/>
    <n v="9624.9"/>
  </r>
  <r>
    <s v="2025-06-13"/>
    <x v="5"/>
    <x v="13"/>
    <x v="2"/>
    <s v="Operational Cost"/>
    <x v="21"/>
    <n v="2793.06"/>
    <s v=""/>
    <n v="2793.06"/>
  </r>
  <r>
    <s v="2025-06-13"/>
    <x v="5"/>
    <x v="14"/>
    <x v="3"/>
    <s v="Sales General &amp; Administration "/>
    <x v="12"/>
    <n v="21214"/>
    <s v=""/>
    <n v="21214"/>
  </r>
  <r>
    <s v="2025-06-14"/>
    <x v="5"/>
    <x v="13"/>
    <x v="2"/>
    <s v="Operational Cost"/>
    <x v="14"/>
    <n v="1499"/>
    <s v=""/>
    <n v="1499"/>
  </r>
  <r>
    <s v="2025-06-15"/>
    <x v="5"/>
    <x v="13"/>
    <x v="2"/>
    <s v="Operational Cost"/>
    <x v="14"/>
    <n v="8913"/>
    <s v=""/>
    <n v="8913"/>
  </r>
  <r>
    <s v="2025-06-16"/>
    <x v="5"/>
    <x v="10"/>
    <x v="3"/>
    <s v="Operational Cost"/>
    <x v="12"/>
    <n v="2935.99"/>
    <s v=""/>
    <n v="2935.99"/>
  </r>
  <r>
    <s v="2025-06-16"/>
    <x v="5"/>
    <x v="16"/>
    <x v="6"/>
    <s v="Operational Cost"/>
    <x v="15"/>
    <n v="1190"/>
    <s v=""/>
    <n v="1190"/>
  </r>
  <r>
    <s v="2025-06-18"/>
    <x v="5"/>
    <x v="14"/>
    <x v="3"/>
    <s v="Sales General &amp; Administration "/>
    <x v="12"/>
    <n v="10000"/>
    <s v=""/>
    <n v="10000"/>
  </r>
  <r>
    <s v="2025-06-18"/>
    <x v="5"/>
    <x v="8"/>
    <x v="5"/>
    <s v="Indirect Income"/>
    <x v="7"/>
    <s v=""/>
    <n v="55995.8"/>
    <n v="-55995.8"/>
  </r>
  <r>
    <s v="2025-06-18"/>
    <x v="5"/>
    <x v="16"/>
    <x v="6"/>
    <s v="Operational Cost"/>
    <x v="15"/>
    <n v="896"/>
    <s v=""/>
    <n v="896"/>
  </r>
  <r>
    <s v="2025-06-19"/>
    <x v="5"/>
    <x v="21"/>
    <x v="0"/>
    <s v="Operational Cost"/>
    <x v="20"/>
    <n v="140575"/>
    <s v=""/>
    <n v="140575"/>
  </r>
  <r>
    <s v="2025-06-19"/>
    <x v="5"/>
    <x v="13"/>
    <x v="2"/>
    <s v="Operational Cost"/>
    <x v="22"/>
    <n v="6299.14"/>
    <s v=""/>
    <n v="6299.14"/>
  </r>
  <r>
    <s v="2025-06-19"/>
    <x v="5"/>
    <x v="16"/>
    <x v="6"/>
    <s v="Operational Cost"/>
    <x v="15"/>
    <n v="789"/>
    <s v=""/>
    <n v="789"/>
  </r>
  <r>
    <s v="2025-06-20"/>
    <x v="5"/>
    <x v="16"/>
    <x v="6"/>
    <s v="Operational Cost"/>
    <x v="15"/>
    <n v="5533"/>
    <s v=""/>
    <n v="5533"/>
  </r>
  <r>
    <s v="2025-06-20"/>
    <x v="5"/>
    <x v="13"/>
    <x v="2"/>
    <s v="Operational Cost"/>
    <x v="21"/>
    <n v="2367"/>
    <s v=""/>
    <n v="2367"/>
  </r>
  <r>
    <s v="2025-06-20"/>
    <x v="5"/>
    <x v="14"/>
    <x v="3"/>
    <s v="Sales General &amp; Administration "/>
    <x v="12"/>
    <n v="7500"/>
    <s v=""/>
    <n v="7500"/>
  </r>
  <r>
    <s v="2025-06-20"/>
    <x v="5"/>
    <x v="14"/>
    <x v="3"/>
    <s v="Sales General &amp; Administration "/>
    <x v="9"/>
    <n v="7035"/>
    <s v=""/>
    <n v="7035"/>
  </r>
  <r>
    <s v="2025-06-22"/>
    <x v="5"/>
    <x v="13"/>
    <x v="2"/>
    <s v="Operational Cost"/>
    <x v="14"/>
    <n v="5372"/>
    <s v=""/>
    <n v="5372"/>
  </r>
  <r>
    <s v="2025-06-23"/>
    <x v="5"/>
    <x v="14"/>
    <x v="3"/>
    <s v="Sales General &amp; Administration "/>
    <x v="12"/>
    <n v="9450"/>
    <s v=""/>
    <n v="9450"/>
  </r>
  <r>
    <s v="2025-06-23"/>
    <x v="5"/>
    <x v="10"/>
    <x v="3"/>
    <s v="Operational Cost"/>
    <x v="12"/>
    <n v="682.5"/>
    <s v=""/>
    <n v="682.5"/>
  </r>
  <r>
    <s v="2025-06-24"/>
    <x v="5"/>
    <x v="19"/>
    <x v="8"/>
    <s v="Sales General &amp; Administration "/>
    <x v="12"/>
    <n v="23.67"/>
    <s v=""/>
    <n v="23.67"/>
  </r>
  <r>
    <s v="2025-06-24"/>
    <x v="5"/>
    <x v="10"/>
    <x v="3"/>
    <s v="Operational Cost"/>
    <x v="51"/>
    <s v=""/>
    <n v="9.9"/>
    <n v="-9.9"/>
  </r>
  <r>
    <s v="2025-06-24"/>
    <x v="5"/>
    <x v="10"/>
    <x v="3"/>
    <s v="Operational Cost"/>
    <x v="51"/>
    <s v=""/>
    <n v="10.02"/>
    <n v="-10.02"/>
  </r>
  <r>
    <s v="2025-06-24"/>
    <x v="5"/>
    <x v="10"/>
    <x v="3"/>
    <s v="Operational Cost"/>
    <x v="51"/>
    <n v="1000"/>
    <s v=""/>
    <n v="1000"/>
  </r>
  <r>
    <s v="2025-06-24"/>
    <x v="5"/>
    <x v="10"/>
    <x v="3"/>
    <s v="Operational Cost"/>
    <x v="51"/>
    <n v="1011.8"/>
    <s v=""/>
    <n v="1011.8"/>
  </r>
  <r>
    <s v="2025-06-24"/>
    <x v="5"/>
    <x v="10"/>
    <x v="3"/>
    <s v="Operational Cost"/>
    <x v="77"/>
    <n v="2271.71"/>
    <s v=""/>
    <n v="2271.71"/>
  </r>
  <r>
    <s v="2025-06-24"/>
    <x v="5"/>
    <x v="10"/>
    <x v="3"/>
    <s v="Operational Cost"/>
    <x v="12"/>
    <s v=""/>
    <n v="1530.72"/>
    <n v="-1530.72"/>
  </r>
  <r>
    <s v="2025-06-25"/>
    <x v="5"/>
    <x v="13"/>
    <x v="2"/>
    <s v="Operational Cost"/>
    <x v="23"/>
    <n v="50000"/>
    <s v=""/>
    <n v="50000"/>
  </r>
  <r>
    <s v="2025-06-25"/>
    <x v="5"/>
    <x v="10"/>
    <x v="3"/>
    <s v="Operational Cost"/>
    <x v="12"/>
    <s v=""/>
    <n v="765.36"/>
    <n v="-765.36"/>
  </r>
  <r>
    <s v="2025-06-25"/>
    <x v="5"/>
    <x v="47"/>
    <x v="3"/>
    <s v="Sales General &amp; Administration "/>
    <x v="78"/>
    <n v="2409.8200000000002"/>
    <s v=""/>
    <n v="2409.8200000000002"/>
  </r>
  <r>
    <s v="2025-06-26"/>
    <x v="5"/>
    <x v="11"/>
    <x v="6"/>
    <s v="Operational Cost"/>
    <x v="51"/>
    <n v="1150"/>
    <s v=""/>
    <n v="1150"/>
  </r>
  <r>
    <s v="2025-06-26"/>
    <x v="5"/>
    <x v="14"/>
    <x v="3"/>
    <s v="Sales General &amp; Administration "/>
    <x v="12"/>
    <n v="1452"/>
    <s v=""/>
    <n v="1452"/>
  </r>
  <r>
    <s v="2025-06-27"/>
    <x v="5"/>
    <x v="10"/>
    <x v="3"/>
    <s v="Operational Cost"/>
    <x v="12"/>
    <s v=""/>
    <n v="10"/>
    <n v="-10"/>
  </r>
  <r>
    <s v="2025-06-27"/>
    <x v="5"/>
    <x v="10"/>
    <x v="3"/>
    <s v="Operational Cost"/>
    <x v="12"/>
    <n v="1010"/>
    <s v=""/>
    <n v="1010"/>
  </r>
  <r>
    <s v="2025-06-27"/>
    <x v="5"/>
    <x v="14"/>
    <x v="3"/>
    <s v="Sales General &amp; Administration "/>
    <x v="12"/>
    <n v="3820"/>
    <s v=""/>
    <n v="3820"/>
  </r>
  <r>
    <s v="2025-06-27"/>
    <x v="5"/>
    <x v="13"/>
    <x v="2"/>
    <s v="Operational Cost"/>
    <x v="21"/>
    <n v="1499"/>
    <s v=""/>
    <n v="1499"/>
  </r>
  <r>
    <s v="2025-06-29"/>
    <x v="5"/>
    <x v="10"/>
    <x v="3"/>
    <s v="Operational Cost"/>
    <x v="12"/>
    <n v="2020"/>
    <s v=""/>
    <n v="2020"/>
  </r>
  <r>
    <s v="2025-06-29"/>
    <x v="5"/>
    <x v="10"/>
    <x v="3"/>
    <s v="Operational Cost"/>
    <x v="12"/>
    <s v=""/>
    <n v="20"/>
    <n v="-20"/>
  </r>
  <r>
    <s v="2025-06-29"/>
    <x v="5"/>
    <x v="10"/>
    <x v="3"/>
    <s v="Operational Cost"/>
    <x v="51"/>
    <s v=""/>
    <n v="10"/>
    <n v="-10"/>
  </r>
  <r>
    <s v="2025-06-29"/>
    <x v="5"/>
    <x v="10"/>
    <x v="3"/>
    <s v="Operational Cost"/>
    <x v="51"/>
    <n v="1010"/>
    <s v=""/>
    <n v="1010"/>
  </r>
  <r>
    <s v="2025-06-29"/>
    <x v="5"/>
    <x v="14"/>
    <x v="3"/>
    <s v="Sales General &amp; Administration "/>
    <x v="12"/>
    <n v="1820"/>
    <s v=""/>
    <n v="1820"/>
  </r>
  <r>
    <s v="2025-06-29"/>
    <x v="5"/>
    <x v="47"/>
    <x v="3"/>
    <s v="Sales General &amp; Administration "/>
    <x v="78"/>
    <n v="2678.58"/>
    <s v=""/>
    <n v="2678.58"/>
  </r>
  <r>
    <s v="2025-06-29"/>
    <x v="5"/>
    <x v="47"/>
    <x v="3"/>
    <s v="Sales General &amp; Administration "/>
    <x v="78"/>
    <n v="11782.16"/>
    <s v=""/>
    <n v="11782.16"/>
  </r>
  <r>
    <s v="2025-06-30"/>
    <x v="5"/>
    <x v="23"/>
    <x v="2"/>
    <s v="Operational Cost"/>
    <x v="25"/>
    <n v="1000"/>
    <s v=""/>
    <n v="1000"/>
  </r>
  <r>
    <s v="2025-06-30"/>
    <x v="5"/>
    <x v="24"/>
    <x v="9"/>
    <s v="Sales General &amp; Administration "/>
    <x v="26"/>
    <n v="160000"/>
    <s v=""/>
    <n v="160000"/>
  </r>
  <r>
    <s v="2025-06-30"/>
    <x v="5"/>
    <x v="24"/>
    <x v="9"/>
    <s v="Sales General &amp; Administration "/>
    <x v="26"/>
    <n v="160000"/>
    <s v=""/>
    <n v="160000"/>
  </r>
  <r>
    <s v="2025-06-30"/>
    <x v="5"/>
    <x v="24"/>
    <x v="9"/>
    <s v="Sales General &amp; Administration "/>
    <x v="26"/>
    <n v="60000"/>
    <s v=""/>
    <n v="60000"/>
  </r>
  <r>
    <s v="2025-06-30"/>
    <x v="5"/>
    <x v="24"/>
    <x v="9"/>
    <s v="Sales General &amp; Administration "/>
    <x v="26"/>
    <n v="268000"/>
    <s v=""/>
    <n v="268000"/>
  </r>
  <r>
    <s v="2025-06-30"/>
    <x v="5"/>
    <x v="31"/>
    <x v="3"/>
    <s v="Sales General &amp; Administration "/>
    <x v="33"/>
    <n v="12000"/>
    <s v=""/>
    <n v="12000"/>
  </r>
  <r>
    <s v="2025-06-30"/>
    <x v="5"/>
    <x v="32"/>
    <x v="3"/>
    <s v="Sales General &amp; Administration "/>
    <x v="34"/>
    <n v="12000"/>
    <s v=""/>
    <n v="12000"/>
  </r>
  <r>
    <s v="2025-06-30"/>
    <x v="5"/>
    <x v="24"/>
    <x v="9"/>
    <s v="Sales General &amp; Administration "/>
    <x v="26"/>
    <n v="561843"/>
    <s v=""/>
    <n v="561843"/>
  </r>
  <r>
    <s v="2025-06-30"/>
    <x v="5"/>
    <x v="31"/>
    <x v="3"/>
    <s v="Sales General &amp; Administration "/>
    <x v="33"/>
    <n v="6000"/>
    <s v=""/>
    <n v="6000"/>
  </r>
  <r>
    <s v="2025-06-30"/>
    <x v="5"/>
    <x v="32"/>
    <x v="3"/>
    <s v="Sales General &amp; Administration "/>
    <x v="34"/>
    <n v="6000"/>
    <s v=""/>
    <n v="6000"/>
  </r>
  <r>
    <s v="2025-06-30"/>
    <x v="5"/>
    <x v="25"/>
    <x v="7"/>
    <s v="Operational Cost"/>
    <x v="27"/>
    <n v="12000"/>
    <s v=""/>
    <n v="12000"/>
  </r>
  <r>
    <s v="2025-06-30"/>
    <x v="5"/>
    <x v="50"/>
    <x v="1"/>
    <s v="Sales General &amp; Administration "/>
    <x v="66"/>
    <n v="165000"/>
    <s v=""/>
    <n v="165000"/>
  </r>
  <r>
    <s v="2025-06-30"/>
    <x v="5"/>
    <x v="41"/>
    <x v="1"/>
    <s v="Sales General &amp; Administration "/>
    <x v="79"/>
    <n v="81000"/>
    <s v=""/>
    <n v="81000"/>
  </r>
  <r>
    <s v="2025-06-30"/>
    <x v="5"/>
    <x v="41"/>
    <x v="1"/>
    <s v="Sales General &amp; Administration "/>
    <x v="79"/>
    <n v="25000"/>
    <s v=""/>
    <n v="25000"/>
  </r>
  <r>
    <s v="2025-06-30"/>
    <x v="5"/>
    <x v="41"/>
    <x v="1"/>
    <s v="Sales General &amp; Administration "/>
    <x v="79"/>
    <n v="25000"/>
    <s v=""/>
    <n v="25000"/>
  </r>
  <r>
    <s v="2025-06-30"/>
    <x v="5"/>
    <x v="51"/>
    <x v="0"/>
    <s v="Operational Cost"/>
    <x v="80"/>
    <n v="7000"/>
    <s v=""/>
    <n v="7000"/>
  </r>
  <r>
    <s v="2025-06-30"/>
    <x v="5"/>
    <x v="7"/>
    <x v="3"/>
    <s v="Sales General &amp; Administration "/>
    <x v="42"/>
    <n v="7620"/>
    <s v=""/>
    <n v="7620"/>
  </r>
  <r>
    <s v="2025-06-30"/>
    <x v="5"/>
    <x v="11"/>
    <x v="6"/>
    <s v="Operational Cost"/>
    <x v="45"/>
    <n v="13000"/>
    <s v=""/>
    <n v="13000"/>
  </r>
  <r>
    <s v="2025-06-30"/>
    <x v="5"/>
    <x v="7"/>
    <x v="3"/>
    <s v="Sales General &amp; Administration "/>
    <x v="42"/>
    <n v="19637"/>
    <s v=""/>
    <n v="19637"/>
  </r>
  <r>
    <s v="2025-06-30"/>
    <x v="5"/>
    <x v="14"/>
    <x v="3"/>
    <s v="Sales General &amp; Administration "/>
    <x v="81"/>
    <n v="41390"/>
    <s v=""/>
    <n v="41390"/>
  </r>
  <r>
    <s v="2025-06-30"/>
    <x v="5"/>
    <x v="26"/>
    <x v="3"/>
    <s v="Sales General &amp; Administration "/>
    <x v="28"/>
    <n v="32000"/>
    <s v=""/>
    <n v="32000"/>
  </r>
  <r>
    <s v="2025-06-30"/>
    <x v="5"/>
    <x v="27"/>
    <x v="3"/>
    <s v="Sales General &amp; Administration "/>
    <x v="29"/>
    <n v="27635"/>
    <s v=""/>
    <n v="27635"/>
  </r>
  <r>
    <s v="2025-06-30"/>
    <x v="5"/>
    <x v="28"/>
    <x v="3"/>
    <s v="Sales General &amp; Administration "/>
    <x v="30"/>
    <n v="229828"/>
    <s v=""/>
    <n v="229828"/>
  </r>
  <r>
    <s v="2025-06-30"/>
    <x v="5"/>
    <x v="29"/>
    <x v="7"/>
    <s v="Operational Cost"/>
    <x v="31"/>
    <n v="5065520"/>
    <s v=""/>
    <n v="5065520"/>
  </r>
  <r>
    <s v="2025-06-30"/>
    <x v="5"/>
    <x v="30"/>
    <x v="7"/>
    <s v="Operational Cost"/>
    <x v="32"/>
    <n v="2220435"/>
    <s v=""/>
    <n v="2220435"/>
  </r>
  <r>
    <s v="2025-06-30"/>
    <x v="5"/>
    <x v="31"/>
    <x v="3"/>
    <s v="Sales General &amp; Administration "/>
    <x v="33"/>
    <n v="320763"/>
    <s v=""/>
    <n v="320763"/>
  </r>
  <r>
    <s v="2025-06-30"/>
    <x v="5"/>
    <x v="32"/>
    <x v="3"/>
    <s v="Sales General &amp; Administration "/>
    <x v="34"/>
    <n v="320763"/>
    <s v=""/>
    <n v="320763"/>
  </r>
  <r>
    <s v="2025-06-30"/>
    <x v="5"/>
    <x v="33"/>
    <x v="3"/>
    <s v="Sales General &amp; Administration "/>
    <x v="35"/>
    <n v="20620"/>
    <s v=""/>
    <n v="20620"/>
  </r>
  <r>
    <s v="2025-06-30"/>
    <x v="5"/>
    <x v="34"/>
    <x v="3"/>
    <s v="Sales General &amp; Administration "/>
    <x v="36"/>
    <n v="4708"/>
    <s v=""/>
    <n v="4708"/>
  </r>
  <r>
    <s v="2025-06-30"/>
    <x v="5"/>
    <x v="35"/>
    <x v="10"/>
    <s v="Sales General &amp; Administration "/>
    <x v="37"/>
    <n v="19867"/>
    <s v=""/>
    <n v="19867"/>
  </r>
  <r>
    <s v="2025-06-30"/>
    <x v="5"/>
    <x v="36"/>
    <x v="9"/>
    <s v="Sales General &amp; Administration "/>
    <x v="38"/>
    <n v="28800"/>
    <s v=""/>
    <n v="28800"/>
  </r>
  <r>
    <s v="2025-06-30"/>
    <x v="5"/>
    <x v="37"/>
    <x v="9"/>
    <s v="Sales General &amp; Administration "/>
    <x v="39"/>
    <n v="74488"/>
    <s v=""/>
    <n v="74488"/>
  </r>
  <r>
    <s v="2025-06-30"/>
    <x v="5"/>
    <x v="38"/>
    <x v="9"/>
    <s v="Sales General &amp; Administration "/>
    <x v="40"/>
    <n v="63878"/>
    <s v=""/>
    <n v="63878"/>
  </r>
  <r>
    <s v="2025-06-30"/>
    <x v="5"/>
    <x v="39"/>
    <x v="3"/>
    <s v="Sales General &amp; Administration "/>
    <x v="41"/>
    <n v="50500"/>
    <s v=""/>
    <n v="50500"/>
  </r>
  <r>
    <s v="2025-06-30"/>
    <x v="5"/>
    <x v="7"/>
    <x v="3"/>
    <s v="Sales General &amp; Administration "/>
    <x v="58"/>
    <n v="2265"/>
    <s v=""/>
    <n v="2265"/>
  </r>
  <r>
    <s v="2025-06-30"/>
    <x v="5"/>
    <x v="7"/>
    <x v="3"/>
    <s v="Sales General &amp; Administration "/>
    <x v="58"/>
    <n v="57565"/>
    <s v=""/>
    <n v="57565"/>
  </r>
  <r>
    <s v="2025-07-01"/>
    <x v="6"/>
    <x v="0"/>
    <x v="0"/>
    <s v="Operational Cost"/>
    <x v="0"/>
    <n v="376923"/>
    <s v=""/>
    <n v="376923"/>
  </r>
  <r>
    <s v="2025-07-01"/>
    <x v="6"/>
    <x v="1"/>
    <x v="0"/>
    <s v="Operational Cost"/>
    <x v="0"/>
    <n v="65105"/>
    <s v=""/>
    <n v="65105"/>
  </r>
  <r>
    <s v="2025-07-01"/>
    <x v="6"/>
    <x v="50"/>
    <x v="1"/>
    <s v="Sales General &amp; Administration "/>
    <x v="66"/>
    <n v="30000"/>
    <s v=""/>
    <n v="30000"/>
  </r>
  <r>
    <s v="2025-07-01"/>
    <x v="6"/>
    <x v="52"/>
    <x v="0"/>
    <s v="Operational Cost"/>
    <x v="82"/>
    <n v="400000"/>
    <s v=""/>
    <n v="400000"/>
  </r>
  <r>
    <s v="2025-07-01"/>
    <x v="6"/>
    <x v="7"/>
    <x v="3"/>
    <s v="Sales General &amp; Administration "/>
    <x v="6"/>
    <n v="15465"/>
    <s v=""/>
    <n v="15465"/>
  </r>
  <r>
    <s v="2025-07-01"/>
    <x v="6"/>
    <x v="6"/>
    <x v="4"/>
    <s v="Operational Cost"/>
    <x v="5"/>
    <n v="228800"/>
    <s v=""/>
    <n v="228800"/>
  </r>
  <r>
    <s v="2025-07-01"/>
    <x v="6"/>
    <x v="4"/>
    <x v="2"/>
    <s v="Operational Cost"/>
    <x v="3"/>
    <n v="15100"/>
    <s v=""/>
    <n v="15100"/>
  </r>
  <r>
    <s v="2025-07-01"/>
    <x v="6"/>
    <x v="46"/>
    <x v="8"/>
    <s v="Sales General &amp; Administration "/>
    <x v="55"/>
    <n v="2"/>
    <s v=""/>
    <n v="2"/>
  </r>
  <r>
    <s v="2025-07-01"/>
    <x v="6"/>
    <x v="3"/>
    <x v="1"/>
    <s v="Sales General &amp; Administration "/>
    <x v="2"/>
    <n v="125000"/>
    <s v=""/>
    <n v="125000"/>
  </r>
  <r>
    <s v="2025-07-01"/>
    <x v="6"/>
    <x v="53"/>
    <x v="1"/>
    <s v="Sales General &amp; Administration "/>
    <x v="2"/>
    <n v="300"/>
    <s v=""/>
    <n v="300"/>
  </r>
  <r>
    <s v="2025-07-01"/>
    <x v="6"/>
    <x v="13"/>
    <x v="2"/>
    <s v="Operational Cost"/>
    <x v="14"/>
    <n v="2817"/>
    <s v=""/>
    <n v="2817"/>
  </r>
  <r>
    <s v="2025-07-02"/>
    <x v="6"/>
    <x v="17"/>
    <x v="0"/>
    <s v="Operational Cost"/>
    <x v="16"/>
    <n v="222710.11"/>
    <s v=""/>
    <n v="222710.11"/>
  </r>
  <r>
    <s v="2025-07-02"/>
    <x v="6"/>
    <x v="7"/>
    <x v="3"/>
    <s v="Sales General &amp; Administration "/>
    <x v="9"/>
    <n v="20273"/>
    <s v=""/>
    <n v="20273"/>
  </r>
  <r>
    <s v="2025-07-03"/>
    <x v="6"/>
    <x v="9"/>
    <x v="2"/>
    <s v="Operational Cost"/>
    <x v="8"/>
    <n v="23333"/>
    <s v=""/>
    <n v="23333"/>
  </r>
  <r>
    <s v="2025-07-03"/>
    <x v="6"/>
    <x v="9"/>
    <x v="2"/>
    <s v="Operational Cost"/>
    <x v="8"/>
    <n v="10417"/>
    <s v=""/>
    <n v="10417"/>
  </r>
  <r>
    <s v="2025-07-04"/>
    <x v="6"/>
    <x v="7"/>
    <x v="3"/>
    <s v="Sales General &amp; Administration "/>
    <x v="83"/>
    <n v="11495"/>
    <s v=""/>
    <n v="11495"/>
  </r>
  <r>
    <s v="2025-07-05"/>
    <x v="6"/>
    <x v="7"/>
    <x v="3"/>
    <s v="Sales General &amp; Administration "/>
    <x v="83"/>
    <n v="5204"/>
    <s v=""/>
    <n v="5204"/>
  </r>
  <r>
    <s v="2025-07-05"/>
    <x v="6"/>
    <x v="13"/>
    <x v="2"/>
    <s v="Operational Cost"/>
    <x v="14"/>
    <n v="2834"/>
    <s v=""/>
    <n v="2834"/>
  </r>
  <r>
    <s v="2025-07-05"/>
    <x v="6"/>
    <x v="16"/>
    <x v="6"/>
    <s v="Operational Cost"/>
    <x v="15"/>
    <n v="40833"/>
    <s v=""/>
    <n v="40833"/>
  </r>
  <r>
    <s v="2025-07-06"/>
    <x v="6"/>
    <x v="13"/>
    <x v="2"/>
    <s v="Operational Cost"/>
    <x v="14"/>
    <n v="2479"/>
    <s v=""/>
    <n v="2479"/>
  </r>
  <r>
    <s v="2025-07-07"/>
    <x v="6"/>
    <x v="18"/>
    <x v="0"/>
    <s v="Operational Cost"/>
    <x v="17"/>
    <n v="26250"/>
    <s v=""/>
    <n v="26250"/>
  </r>
  <r>
    <s v="2025-07-07"/>
    <x v="6"/>
    <x v="7"/>
    <x v="3"/>
    <s v="Sales General &amp; Administration "/>
    <x v="84"/>
    <n v="2240"/>
    <s v=""/>
    <n v="2240"/>
  </r>
  <r>
    <s v="2025-07-07"/>
    <x v="6"/>
    <x v="13"/>
    <x v="2"/>
    <s v="Operational Cost"/>
    <x v="14"/>
    <n v="572"/>
    <s v=""/>
    <n v="572"/>
  </r>
  <r>
    <s v="2025-07-08"/>
    <x v="6"/>
    <x v="10"/>
    <x v="3"/>
    <s v="Operational Cost"/>
    <x v="12"/>
    <s v=""/>
    <n v="50.9"/>
    <n v="-50.9"/>
  </r>
  <r>
    <s v="2025-07-08"/>
    <x v="6"/>
    <x v="10"/>
    <x v="3"/>
    <s v="Operational Cost"/>
    <x v="12"/>
    <n v="5160.67"/>
    <s v=""/>
    <n v="5160.67"/>
  </r>
  <r>
    <s v="2025-07-08"/>
    <x v="6"/>
    <x v="11"/>
    <x v="6"/>
    <s v="Operational Cost"/>
    <x v="9"/>
    <n v="100"/>
    <s v=""/>
    <n v="100"/>
  </r>
  <r>
    <s v="2025-07-08"/>
    <x v="6"/>
    <x v="8"/>
    <x v="5"/>
    <s v="Indirect Income"/>
    <x v="7"/>
    <n v="6863.23"/>
    <s v=""/>
    <n v="6863.23"/>
  </r>
  <r>
    <s v="2025-07-08"/>
    <x v="6"/>
    <x v="8"/>
    <x v="5"/>
    <s v="Indirect Income"/>
    <x v="7"/>
    <n v="7752.07"/>
    <s v=""/>
    <n v="7752.07"/>
  </r>
  <r>
    <s v="2025-07-09"/>
    <x v="6"/>
    <x v="15"/>
    <x v="2"/>
    <s v="Operational Cost"/>
    <x v="19"/>
    <n v="1298"/>
    <s v=""/>
    <n v="1298"/>
  </r>
  <r>
    <s v="2025-07-11"/>
    <x v="6"/>
    <x v="16"/>
    <x v="6"/>
    <s v="Operational Cost"/>
    <x v="15"/>
    <n v="994"/>
    <s v=""/>
    <n v="994"/>
  </r>
  <r>
    <s v="2025-07-13"/>
    <x v="6"/>
    <x v="13"/>
    <x v="2"/>
    <s v="Operational Cost"/>
    <x v="21"/>
    <n v="2793.06"/>
    <s v=""/>
    <n v="2793.06"/>
  </r>
  <r>
    <s v="2025-07-15"/>
    <x v="6"/>
    <x v="13"/>
    <x v="2"/>
    <s v="Operational Cost"/>
    <x v="14"/>
    <n v="8913"/>
    <s v=""/>
    <n v="8913"/>
  </r>
  <r>
    <s v="2025-07-16"/>
    <x v="6"/>
    <x v="15"/>
    <x v="2"/>
    <s v="Operational Cost"/>
    <x v="19"/>
    <n v="746.82"/>
    <s v=""/>
    <n v="746.82"/>
  </r>
  <r>
    <s v="2025-07-16"/>
    <x v="6"/>
    <x v="16"/>
    <x v="6"/>
    <s v="Operational Cost"/>
    <x v="15"/>
    <n v="1190"/>
    <s v=""/>
    <n v="1190"/>
  </r>
  <r>
    <s v="2025-07-17"/>
    <x v="6"/>
    <x v="10"/>
    <x v="3"/>
    <s v="Operational Cost"/>
    <x v="77"/>
    <n v="945"/>
    <s v=""/>
    <n v="945"/>
  </r>
  <r>
    <s v="2025-07-18"/>
    <x v="6"/>
    <x v="13"/>
    <x v="2"/>
    <s v="Operational Cost"/>
    <x v="14"/>
    <n v="1499"/>
    <s v=""/>
    <n v="1499"/>
  </r>
  <r>
    <s v="2025-07-18"/>
    <x v="6"/>
    <x v="16"/>
    <x v="6"/>
    <s v="Operational Cost"/>
    <x v="15"/>
    <n v="896"/>
    <s v=""/>
    <n v="896"/>
  </r>
  <r>
    <s v="2025-07-19"/>
    <x v="6"/>
    <x v="21"/>
    <x v="0"/>
    <s v="Operational Cost"/>
    <x v="20"/>
    <n v="151460"/>
    <s v=""/>
    <n v="151460"/>
  </r>
  <r>
    <s v="2025-07-19"/>
    <x v="6"/>
    <x v="13"/>
    <x v="2"/>
    <s v="Operational Cost"/>
    <x v="22"/>
    <n v="6299.14"/>
    <s v=""/>
    <n v="6299.14"/>
  </r>
  <r>
    <s v="2025-07-19"/>
    <x v="6"/>
    <x v="16"/>
    <x v="6"/>
    <s v="Operational Cost"/>
    <x v="15"/>
    <n v="789"/>
    <s v=""/>
    <n v="789"/>
  </r>
  <r>
    <s v="2025-07-20"/>
    <x v="6"/>
    <x v="16"/>
    <x v="6"/>
    <s v="Operational Cost"/>
    <x v="15"/>
    <n v="5533"/>
    <s v=""/>
    <n v="5533"/>
  </r>
  <r>
    <s v="2025-07-20"/>
    <x v="6"/>
    <x v="13"/>
    <x v="2"/>
    <s v="Operational Cost"/>
    <x v="21"/>
    <n v="2367"/>
    <s v=""/>
    <n v="2367"/>
  </r>
  <r>
    <s v="2025-07-21"/>
    <x v="6"/>
    <x v="10"/>
    <x v="3"/>
    <s v="Operational Cost"/>
    <x v="12"/>
    <n v="1121.96"/>
    <s v=""/>
    <n v="1121.96"/>
  </r>
  <r>
    <s v="2025-07-22"/>
    <x v="6"/>
    <x v="13"/>
    <x v="2"/>
    <s v="Operational Cost"/>
    <x v="14"/>
    <n v="5372"/>
    <s v=""/>
    <n v="5372"/>
  </r>
  <r>
    <s v="2025-07-24"/>
    <x v="6"/>
    <x v="19"/>
    <x v="8"/>
    <s v="Sales General &amp; Administration "/>
    <x v="12"/>
    <n v="23.67"/>
    <s v=""/>
    <n v="23.67"/>
  </r>
  <r>
    <s v="2025-07-24"/>
    <x v="6"/>
    <x v="10"/>
    <x v="3"/>
    <s v="Operational Cost"/>
    <x v="12"/>
    <n v="1975.86"/>
    <s v=""/>
    <n v="1975.86"/>
  </r>
  <r>
    <s v="2025-07-24"/>
    <x v="6"/>
    <x v="40"/>
    <x v="3"/>
    <s v="Sales General &amp; Administration "/>
    <x v="46"/>
    <n v="16095"/>
    <s v=""/>
    <n v="16095"/>
  </r>
  <r>
    <s v="2025-07-24"/>
    <x v="6"/>
    <x v="16"/>
    <x v="6"/>
    <s v="Operational Cost"/>
    <x v="15"/>
    <n v="10600"/>
    <s v=""/>
    <n v="10600"/>
  </r>
  <r>
    <s v="2025-07-25"/>
    <x v="6"/>
    <x v="19"/>
    <x v="8"/>
    <s v="Sales General &amp; Administration "/>
    <x v="12"/>
    <n v="2001.96"/>
    <s v=""/>
    <n v="2001.96"/>
  </r>
  <r>
    <s v="2025-07-26"/>
    <x v="6"/>
    <x v="11"/>
    <x v="6"/>
    <s v="Operational Cost"/>
    <x v="58"/>
    <n v="3160"/>
    <s v=""/>
    <n v="3160"/>
  </r>
  <r>
    <s v="2025-07-27"/>
    <x v="6"/>
    <x v="10"/>
    <x v="3"/>
    <s v="Operational Cost"/>
    <x v="12"/>
    <n v="3035.4"/>
    <s v=""/>
    <n v="3035.4"/>
  </r>
  <r>
    <s v="2025-07-27"/>
    <x v="6"/>
    <x v="10"/>
    <x v="3"/>
    <s v="Operational Cost"/>
    <x v="12"/>
    <s v=""/>
    <n v="30.05"/>
    <n v="-30.05"/>
  </r>
  <r>
    <s v="2025-07-28"/>
    <x v="6"/>
    <x v="14"/>
    <x v="3"/>
    <s v="Sales General &amp; Administration "/>
    <x v="12"/>
    <n v="1428"/>
    <s v=""/>
    <n v="1428"/>
  </r>
  <r>
    <s v="2025-07-28"/>
    <x v="6"/>
    <x v="13"/>
    <x v="2"/>
    <s v="Operational Cost"/>
    <x v="21"/>
    <n v="1499"/>
    <s v=""/>
    <n v="1499"/>
  </r>
  <r>
    <s v="2025-07-28"/>
    <x v="6"/>
    <x v="13"/>
    <x v="2"/>
    <s v="Operational Cost"/>
    <x v="23"/>
    <n v="50000"/>
    <s v=""/>
    <n v="50000"/>
  </r>
  <r>
    <s v="2025-07-28"/>
    <x v="6"/>
    <x v="47"/>
    <x v="3"/>
    <s v="Sales General &amp; Administration "/>
    <x v="78"/>
    <n v="2677.68"/>
    <s v=""/>
    <n v="2677.68"/>
  </r>
  <r>
    <s v="2025-07-28"/>
    <x v="6"/>
    <x v="8"/>
    <x v="5"/>
    <s v="Indirect Income"/>
    <x v="7"/>
    <s v=""/>
    <n v="77785"/>
    <n v="-77785"/>
  </r>
  <r>
    <s v="2025-07-28"/>
    <x v="6"/>
    <x v="8"/>
    <x v="5"/>
    <s v="Indirect Income"/>
    <x v="7"/>
    <s v=""/>
    <n v="31975.47"/>
    <n v="-31975.47"/>
  </r>
  <r>
    <s v="2025-07-29"/>
    <x v="6"/>
    <x v="14"/>
    <x v="3"/>
    <s v="Sales General &amp; Administration "/>
    <x v="12"/>
    <n v="700"/>
    <s v=""/>
    <n v="700"/>
  </r>
  <r>
    <s v="2025-07-29"/>
    <x v="6"/>
    <x v="14"/>
    <x v="3"/>
    <s v="Sales General &amp; Administration "/>
    <x v="12"/>
    <n v="150"/>
    <s v=""/>
    <n v="150"/>
  </r>
  <r>
    <s v="2025-07-30"/>
    <x v="6"/>
    <x v="10"/>
    <x v="3"/>
    <s v="Operational Cost"/>
    <x v="12"/>
    <s v=""/>
    <n v="10.02"/>
    <n v="-10.02"/>
  </r>
  <r>
    <s v="2025-07-30"/>
    <x v="6"/>
    <x v="10"/>
    <x v="3"/>
    <s v="Operational Cost"/>
    <x v="12"/>
    <n v="1011.8"/>
    <s v=""/>
    <n v="1011.8"/>
  </r>
  <r>
    <s v="2025-07-30"/>
    <x v="6"/>
    <x v="23"/>
    <x v="2"/>
    <s v="Operational Cost"/>
    <x v="25"/>
    <n v="1000"/>
    <s v=""/>
    <n v="1000"/>
  </r>
  <r>
    <s v="2025-07-30"/>
    <x v="6"/>
    <x v="14"/>
    <x v="3"/>
    <s v="Sales General &amp; Administration "/>
    <x v="12"/>
    <n v="820"/>
    <s v=""/>
    <n v="820"/>
  </r>
  <r>
    <s v="2025-07-31"/>
    <x v="6"/>
    <x v="26"/>
    <x v="3"/>
    <s v="Sales General &amp; Administration "/>
    <x v="28"/>
    <n v="32000"/>
    <s v=""/>
    <n v="32000"/>
  </r>
  <r>
    <s v="2025-07-31"/>
    <x v="6"/>
    <x v="24"/>
    <x v="9"/>
    <s v="Sales General &amp; Administration "/>
    <x v="26"/>
    <n v="160000"/>
    <s v=""/>
    <n v="160000"/>
  </r>
  <r>
    <s v="2025-07-31"/>
    <x v="6"/>
    <x v="24"/>
    <x v="9"/>
    <s v="Sales General &amp; Administration "/>
    <x v="26"/>
    <n v="160000"/>
    <s v=""/>
    <n v="160000"/>
  </r>
  <r>
    <s v="2025-07-31"/>
    <x v="6"/>
    <x v="24"/>
    <x v="9"/>
    <s v="Sales General &amp; Administration "/>
    <x v="26"/>
    <n v="268000"/>
    <s v=""/>
    <n v="268000"/>
  </r>
  <r>
    <s v="2025-07-31"/>
    <x v="6"/>
    <x v="31"/>
    <x v="3"/>
    <s v="Sales General &amp; Administration "/>
    <x v="33"/>
    <n v="12000"/>
    <s v=""/>
    <n v="12000"/>
  </r>
  <r>
    <s v="2025-07-31"/>
    <x v="6"/>
    <x v="32"/>
    <x v="3"/>
    <s v="Sales General &amp; Administration "/>
    <x v="34"/>
    <n v="12000"/>
    <s v=""/>
    <n v="12000"/>
  </r>
  <r>
    <s v="2025-07-31"/>
    <x v="6"/>
    <x v="24"/>
    <x v="9"/>
    <s v="Sales General &amp; Administration "/>
    <x v="26"/>
    <n v="60000"/>
    <s v=""/>
    <n v="60000"/>
  </r>
  <r>
    <s v="2025-07-31"/>
    <x v="6"/>
    <x v="24"/>
    <x v="9"/>
    <s v="Sales General &amp; Administration "/>
    <x v="26"/>
    <n v="247074"/>
    <s v=""/>
    <n v="247074"/>
  </r>
  <r>
    <s v="2025-07-31"/>
    <x v="6"/>
    <x v="31"/>
    <x v="3"/>
    <s v="Sales General &amp; Administration "/>
    <x v="33"/>
    <n v="6000"/>
    <s v=""/>
    <n v="6000"/>
  </r>
  <r>
    <s v="2025-07-31"/>
    <x v="6"/>
    <x v="32"/>
    <x v="3"/>
    <s v="Sales General &amp; Administration "/>
    <x v="34"/>
    <n v="6000"/>
    <s v=""/>
    <n v="6000"/>
  </r>
  <r>
    <s v="2025-07-31"/>
    <x v="6"/>
    <x v="25"/>
    <x v="7"/>
    <s v="Operational Cost"/>
    <x v="27"/>
    <n v="12000"/>
    <s v=""/>
    <n v="12000"/>
  </r>
  <r>
    <s v="2025-07-31"/>
    <x v="6"/>
    <x v="7"/>
    <x v="3"/>
    <s v="Sales General &amp; Administration "/>
    <x v="42"/>
    <n v="14000"/>
    <s v=""/>
    <n v="14000"/>
  </r>
  <r>
    <s v="2025-07-31"/>
    <x v="6"/>
    <x v="20"/>
    <x v="3"/>
    <s v="Sales General &amp; Administration "/>
    <x v="57"/>
    <n v="1140"/>
    <s v=""/>
    <n v="1140"/>
  </r>
  <r>
    <s v="2025-07-31"/>
    <x v="6"/>
    <x v="14"/>
    <x v="3"/>
    <s v="Sales General &amp; Administration "/>
    <x v="81"/>
    <n v="6417"/>
    <s v=""/>
    <n v="6417"/>
  </r>
  <r>
    <s v="2025-07-31"/>
    <x v="6"/>
    <x v="11"/>
    <x v="6"/>
    <s v="Operational Cost"/>
    <x v="45"/>
    <n v="31833"/>
    <s v=""/>
    <n v="31833"/>
  </r>
  <r>
    <s v="2025-07-31"/>
    <x v="6"/>
    <x v="14"/>
    <x v="3"/>
    <s v="Sales General &amp; Administration "/>
    <x v="12"/>
    <n v="1575"/>
    <s v=""/>
    <n v="1575"/>
  </r>
  <r>
    <s v="2025-07-31"/>
    <x v="6"/>
    <x v="11"/>
    <x v="6"/>
    <s v="Operational Cost"/>
    <x v="70"/>
    <n v="10932.28"/>
    <s v=""/>
    <n v="10932.28"/>
  </r>
  <r>
    <s v="2025-07-31"/>
    <x v="6"/>
    <x v="47"/>
    <x v="3"/>
    <s v="Sales General &amp; Administration "/>
    <x v="78"/>
    <n v="12854.46"/>
    <s v=""/>
    <n v="12854.46"/>
  </r>
  <r>
    <s v="2025-07-31"/>
    <x v="6"/>
    <x v="47"/>
    <x v="3"/>
    <s v="Sales General &amp; Administration "/>
    <x v="78"/>
    <n v="4284.82"/>
    <s v=""/>
    <n v="4284.82"/>
  </r>
  <r>
    <s v="2025-07-31"/>
    <x v="6"/>
    <x v="10"/>
    <x v="3"/>
    <s v="Operational Cost"/>
    <x v="77"/>
    <n v="875.45"/>
    <s v=""/>
    <n v="875.45"/>
  </r>
  <r>
    <s v="2025-07-31"/>
    <x v="6"/>
    <x v="10"/>
    <x v="3"/>
    <s v="Operational Cost"/>
    <x v="77"/>
    <n v="927"/>
    <s v=""/>
    <n v="927"/>
  </r>
  <r>
    <s v="2025-07-31"/>
    <x v="6"/>
    <x v="7"/>
    <x v="3"/>
    <s v="Sales General &amp; Administration "/>
    <x v="12"/>
    <n v="603"/>
    <s v=""/>
    <n v="603"/>
  </r>
  <r>
    <s v="2025-07-31"/>
    <x v="6"/>
    <x v="27"/>
    <x v="3"/>
    <s v="Sales General &amp; Administration "/>
    <x v="29"/>
    <n v="29152"/>
    <s v=""/>
    <n v="29152"/>
  </r>
  <r>
    <s v="2025-07-31"/>
    <x v="6"/>
    <x v="28"/>
    <x v="3"/>
    <s v="Sales General &amp; Administration "/>
    <x v="30"/>
    <n v="297205"/>
    <s v=""/>
    <n v="297205"/>
  </r>
  <r>
    <s v="2025-07-31"/>
    <x v="6"/>
    <x v="29"/>
    <x v="7"/>
    <s v="Operational Cost"/>
    <x v="31"/>
    <n v="5158862"/>
    <s v=""/>
    <n v="5158862"/>
  </r>
  <r>
    <s v="2025-07-31"/>
    <x v="6"/>
    <x v="30"/>
    <x v="7"/>
    <s v="Operational Cost"/>
    <x v="32"/>
    <n v="2498763"/>
    <s v=""/>
    <n v="2498763"/>
  </r>
  <r>
    <s v="2025-07-31"/>
    <x v="6"/>
    <x v="31"/>
    <x v="3"/>
    <s v="Sales General &amp; Administration "/>
    <x v="33"/>
    <n v="338938"/>
    <s v=""/>
    <n v="338938"/>
  </r>
  <r>
    <s v="2025-07-31"/>
    <x v="6"/>
    <x v="32"/>
    <x v="3"/>
    <s v="Sales General &amp; Administration "/>
    <x v="34"/>
    <n v="338938"/>
    <s v=""/>
    <n v="338938"/>
  </r>
  <r>
    <s v="2025-07-31"/>
    <x v="6"/>
    <x v="33"/>
    <x v="3"/>
    <s v="Sales General &amp; Administration "/>
    <x v="35"/>
    <n v="19208"/>
    <s v=""/>
    <n v="19208"/>
  </r>
  <r>
    <s v="2025-07-31"/>
    <x v="6"/>
    <x v="34"/>
    <x v="3"/>
    <s v="Sales General &amp; Administration "/>
    <x v="36"/>
    <n v="4421"/>
    <s v=""/>
    <n v="4421"/>
  </r>
  <r>
    <s v="2025-07-31"/>
    <x v="6"/>
    <x v="35"/>
    <x v="10"/>
    <s v="Sales General &amp; Administration "/>
    <x v="37"/>
    <n v="19867"/>
    <s v=""/>
    <n v="19867"/>
  </r>
  <r>
    <s v="2025-07-31"/>
    <x v="6"/>
    <x v="36"/>
    <x v="9"/>
    <s v="Sales General &amp; Administration "/>
    <x v="38"/>
    <n v="44729"/>
    <s v=""/>
    <n v="44729"/>
  </r>
  <r>
    <s v="2025-07-31"/>
    <x v="6"/>
    <x v="37"/>
    <x v="9"/>
    <s v="Sales General &amp; Administration "/>
    <x v="39"/>
    <n v="74488"/>
    <s v=""/>
    <n v="74488"/>
  </r>
  <r>
    <s v="2025-07-31"/>
    <x v="6"/>
    <x v="38"/>
    <x v="9"/>
    <s v="Sales General &amp; Administration "/>
    <x v="40"/>
    <n v="63878"/>
    <s v=""/>
    <n v="63878"/>
  </r>
  <r>
    <s v="2025-07-31"/>
    <x v="6"/>
    <x v="39"/>
    <x v="3"/>
    <s v="Sales General &amp; Administration "/>
    <x v="41"/>
    <n v="51405"/>
    <s v=""/>
    <n v="51405"/>
  </r>
  <r>
    <s v="2025-08-01"/>
    <x v="7"/>
    <x v="1"/>
    <x v="0"/>
    <s v="Operational Cost"/>
    <x v="0"/>
    <n v="65105"/>
    <s v=""/>
    <n v="65105"/>
  </r>
  <r>
    <s v="2025-08-01"/>
    <x v="7"/>
    <x v="0"/>
    <x v="0"/>
    <s v="Operational Cost"/>
    <x v="0"/>
    <n v="376923"/>
    <s v=""/>
    <n v="376923"/>
  </r>
  <r>
    <s v="2025-08-01"/>
    <x v="7"/>
    <x v="17"/>
    <x v="0"/>
    <s v="Operational Cost"/>
    <x v="16"/>
    <n v="216296.3"/>
    <s v=""/>
    <n v="216296.3"/>
  </r>
  <r>
    <s v="2025-08-01"/>
    <x v="7"/>
    <x v="52"/>
    <x v="0"/>
    <s v="Operational Cost"/>
    <x v="82"/>
    <n v="400000"/>
    <s v=""/>
    <n v="400000"/>
  </r>
  <r>
    <s v="2025-08-01"/>
    <x v="7"/>
    <x v="6"/>
    <x v="4"/>
    <s v="Operational Cost"/>
    <x v="5"/>
    <n v="250200"/>
    <s v=""/>
    <n v="250200"/>
  </r>
  <r>
    <s v="2025-08-01"/>
    <x v="7"/>
    <x v="17"/>
    <x v="0"/>
    <s v="Operational Cost"/>
    <x v="16"/>
    <n v="65177.85"/>
    <s v=""/>
    <n v="65177.85"/>
  </r>
  <r>
    <s v="2025-08-01"/>
    <x v="7"/>
    <x v="10"/>
    <x v="3"/>
    <s v="Operational Cost"/>
    <x v="12"/>
    <s v=""/>
    <n v="19.8"/>
    <n v="-19.8"/>
  </r>
  <r>
    <s v="2025-08-01"/>
    <x v="7"/>
    <x v="10"/>
    <x v="3"/>
    <s v="Operational Cost"/>
    <x v="12"/>
    <n v="2000"/>
    <s v=""/>
    <n v="2000"/>
  </r>
  <r>
    <s v="2025-08-01"/>
    <x v="7"/>
    <x v="3"/>
    <x v="1"/>
    <s v="Sales General &amp; Administration "/>
    <x v="2"/>
    <n v="125000"/>
    <s v=""/>
    <n v="125000"/>
  </r>
  <r>
    <s v="2025-08-01"/>
    <x v="7"/>
    <x v="4"/>
    <x v="2"/>
    <s v="Operational Cost"/>
    <x v="3"/>
    <n v="16300"/>
    <s v=""/>
    <n v="16300"/>
  </r>
  <r>
    <s v="2025-08-01"/>
    <x v="7"/>
    <x v="13"/>
    <x v="2"/>
    <s v="Operational Cost"/>
    <x v="14"/>
    <n v="2817"/>
    <s v=""/>
    <n v="2817"/>
  </r>
  <r>
    <s v="2025-08-01"/>
    <x v="7"/>
    <x v="13"/>
    <x v="2"/>
    <s v="Operational Cost"/>
    <x v="14"/>
    <n v="533"/>
    <s v=""/>
    <n v="533"/>
  </r>
  <r>
    <s v="2025-08-03"/>
    <x v="7"/>
    <x v="9"/>
    <x v="2"/>
    <s v="Operational Cost"/>
    <x v="85"/>
    <n v="5000"/>
    <s v=""/>
    <n v="5000"/>
  </r>
  <r>
    <s v="2025-08-03"/>
    <x v="7"/>
    <x v="9"/>
    <x v="2"/>
    <s v="Operational Cost"/>
    <x v="8"/>
    <n v="23333"/>
    <s v=""/>
    <n v="23333"/>
  </r>
  <r>
    <s v="2025-08-03"/>
    <x v="7"/>
    <x v="9"/>
    <x v="2"/>
    <s v="Operational Cost"/>
    <x v="8"/>
    <n v="10417"/>
    <s v=""/>
    <n v="10417"/>
  </r>
  <r>
    <s v="2025-08-03"/>
    <x v="7"/>
    <x v="9"/>
    <x v="2"/>
    <s v="Operational Cost"/>
    <x v="8"/>
    <n v="9167"/>
    <s v=""/>
    <n v="9167"/>
  </r>
  <r>
    <s v="2025-08-03"/>
    <x v="7"/>
    <x v="19"/>
    <x v="8"/>
    <s v="Sales General &amp; Administration "/>
    <x v="55"/>
    <n v="5134.62"/>
    <s v=""/>
    <n v="5134.62"/>
  </r>
  <r>
    <s v="2025-08-04"/>
    <x v="7"/>
    <x v="7"/>
    <x v="3"/>
    <s v="Sales General &amp; Administration "/>
    <x v="6"/>
    <n v="23548.5"/>
    <s v=""/>
    <n v="23548.5"/>
  </r>
  <r>
    <s v="2025-08-05"/>
    <x v="7"/>
    <x v="13"/>
    <x v="2"/>
    <s v="Operational Cost"/>
    <x v="14"/>
    <n v="2834"/>
    <s v=""/>
    <n v="2834"/>
  </r>
  <r>
    <s v="2025-08-05"/>
    <x v="7"/>
    <x v="16"/>
    <x v="6"/>
    <s v="Operational Cost"/>
    <x v="15"/>
    <n v="40833"/>
    <s v=""/>
    <n v="40833"/>
  </r>
  <r>
    <s v="2025-08-06"/>
    <x v="7"/>
    <x v="17"/>
    <x v="0"/>
    <s v="Operational Cost"/>
    <x v="82"/>
    <n v="15396"/>
    <s v=""/>
    <n v="15396"/>
  </r>
  <r>
    <s v="2025-08-06"/>
    <x v="7"/>
    <x v="18"/>
    <x v="0"/>
    <s v="Operational Cost"/>
    <x v="17"/>
    <n v="26250"/>
    <s v=""/>
    <n v="26250"/>
  </r>
  <r>
    <s v="2025-08-06"/>
    <x v="7"/>
    <x v="13"/>
    <x v="2"/>
    <s v="Operational Cost"/>
    <x v="14"/>
    <n v="2479"/>
    <s v=""/>
    <n v="2479"/>
  </r>
  <r>
    <s v="2025-08-07"/>
    <x v="7"/>
    <x v="13"/>
    <x v="2"/>
    <s v="Operational Cost"/>
    <x v="14"/>
    <n v="572"/>
    <s v=""/>
    <n v="572"/>
  </r>
  <r>
    <s v="2025-08-08"/>
    <x v="7"/>
    <x v="11"/>
    <x v="6"/>
    <s v="Operational Cost"/>
    <x v="86"/>
    <n v="770"/>
    <s v=""/>
    <n v="770"/>
  </r>
  <r>
    <s v="2025-08-08"/>
    <x v="7"/>
    <x v="11"/>
    <x v="6"/>
    <s v="Operational Cost"/>
    <x v="86"/>
    <n v="1093.46"/>
    <s v=""/>
    <n v="1093.46"/>
  </r>
  <r>
    <s v="2025-08-09"/>
    <x v="7"/>
    <x v="15"/>
    <x v="2"/>
    <s v="Operational Cost"/>
    <x v="19"/>
    <n v="1298"/>
    <s v=""/>
    <n v="1298"/>
  </r>
  <r>
    <s v="2025-08-09"/>
    <x v="7"/>
    <x v="47"/>
    <x v="3"/>
    <s v="Sales General &amp; Administration "/>
    <x v="78"/>
    <n v="11156.25"/>
    <s v=""/>
    <n v="11156.25"/>
  </r>
  <r>
    <s v="2025-08-11"/>
    <x v="7"/>
    <x v="11"/>
    <x v="6"/>
    <s v="Operational Cost"/>
    <x v="86"/>
    <n v="650"/>
    <s v=""/>
    <n v="650"/>
  </r>
  <r>
    <s v="2025-08-11"/>
    <x v="7"/>
    <x v="11"/>
    <x v="6"/>
    <s v="Operational Cost"/>
    <x v="86"/>
    <n v="551.39"/>
    <s v=""/>
    <n v="551.39"/>
  </r>
  <r>
    <s v="2025-08-11"/>
    <x v="7"/>
    <x v="11"/>
    <x v="6"/>
    <s v="Operational Cost"/>
    <x v="86"/>
    <n v="961.16"/>
    <s v=""/>
    <n v="961.16"/>
  </r>
  <r>
    <s v="2025-08-11"/>
    <x v="7"/>
    <x v="16"/>
    <x v="6"/>
    <s v="Operational Cost"/>
    <x v="15"/>
    <n v="994"/>
    <s v=""/>
    <n v="994"/>
  </r>
  <r>
    <s v="2025-08-12"/>
    <x v="7"/>
    <x v="14"/>
    <x v="3"/>
    <s v="Sales General &amp; Administration "/>
    <x v="81"/>
    <n v="4333"/>
    <s v=""/>
    <n v="4333"/>
  </r>
  <r>
    <s v="2025-08-12"/>
    <x v="7"/>
    <x v="10"/>
    <x v="3"/>
    <s v="Operational Cost"/>
    <x v="43"/>
    <n v="4730"/>
    <s v=""/>
    <n v="4730"/>
  </r>
  <r>
    <s v="2025-08-12"/>
    <x v="7"/>
    <x v="47"/>
    <x v="3"/>
    <s v="Sales General &amp; Administration "/>
    <x v="87"/>
    <n v="2500"/>
    <s v=""/>
    <n v="2500"/>
  </r>
  <r>
    <s v="2025-08-13"/>
    <x v="7"/>
    <x v="10"/>
    <x v="3"/>
    <s v="Operational Cost"/>
    <x v="12"/>
    <n v="5328.73"/>
    <s v=""/>
    <n v="5328.73"/>
  </r>
  <r>
    <s v="2025-08-13"/>
    <x v="7"/>
    <x v="10"/>
    <x v="3"/>
    <s v="Operational Cost"/>
    <x v="12"/>
    <s v=""/>
    <n v="50.9"/>
    <n v="-50.9"/>
  </r>
  <r>
    <s v="2025-08-13"/>
    <x v="7"/>
    <x v="47"/>
    <x v="3"/>
    <s v="Sales General &amp; Administration "/>
    <x v="78"/>
    <n v="4107.1400000000003"/>
    <s v=""/>
    <n v="4107.1400000000003"/>
  </r>
  <r>
    <s v="2025-08-13"/>
    <x v="7"/>
    <x v="13"/>
    <x v="2"/>
    <s v="Operational Cost"/>
    <x v="21"/>
    <n v="2793.06"/>
    <s v=""/>
    <n v="2793.06"/>
  </r>
  <r>
    <s v="2025-08-13"/>
    <x v="7"/>
    <x v="13"/>
    <x v="2"/>
    <s v="Operational Cost"/>
    <x v="21"/>
    <n v="3382"/>
    <s v=""/>
    <n v="3382"/>
  </r>
  <r>
    <s v="2025-08-13"/>
    <x v="7"/>
    <x v="13"/>
    <x v="2"/>
    <s v="Operational Cost"/>
    <x v="21"/>
    <n v="202"/>
    <s v=""/>
    <n v="202"/>
  </r>
  <r>
    <s v="2025-08-14"/>
    <x v="7"/>
    <x v="17"/>
    <x v="0"/>
    <s v="Operational Cost"/>
    <x v="16"/>
    <n v="635.67999999999995"/>
    <s v=""/>
    <n v="635.67999999999995"/>
  </r>
  <r>
    <s v="2025-08-15"/>
    <x v="7"/>
    <x v="13"/>
    <x v="2"/>
    <s v="Operational Cost"/>
    <x v="14"/>
    <n v="8913"/>
    <s v=""/>
    <n v="8913"/>
  </r>
  <r>
    <s v="2025-08-15"/>
    <x v="7"/>
    <x v="19"/>
    <x v="8"/>
    <s v="Sales General &amp; Administration "/>
    <x v="12"/>
    <n v="35.840000000000003"/>
    <s v=""/>
    <n v="35.840000000000003"/>
  </r>
  <r>
    <s v="2025-08-15"/>
    <x v="7"/>
    <x v="13"/>
    <x v="2"/>
    <s v="Operational Cost"/>
    <x v="14"/>
    <n v="3535"/>
    <s v=""/>
    <n v="3535"/>
  </r>
  <r>
    <s v="2025-08-16"/>
    <x v="7"/>
    <x v="16"/>
    <x v="6"/>
    <s v="Operational Cost"/>
    <x v="15"/>
    <n v="1190"/>
    <s v=""/>
    <n v="1190"/>
  </r>
  <r>
    <s v="2025-08-18"/>
    <x v="7"/>
    <x v="13"/>
    <x v="2"/>
    <s v="Operational Cost"/>
    <x v="14"/>
    <n v="1499"/>
    <s v=""/>
    <n v="1499"/>
  </r>
  <r>
    <s v="2025-08-18"/>
    <x v="7"/>
    <x v="10"/>
    <x v="3"/>
    <s v="Operational Cost"/>
    <x v="12"/>
    <n v="582.05999999999995"/>
    <s v=""/>
    <n v="582.05999999999995"/>
  </r>
  <r>
    <s v="2025-08-18"/>
    <x v="7"/>
    <x v="11"/>
    <x v="6"/>
    <s v="Operational Cost"/>
    <x v="86"/>
    <n v="820"/>
    <s v=""/>
    <n v="820"/>
  </r>
  <r>
    <s v="2025-08-18"/>
    <x v="7"/>
    <x v="11"/>
    <x v="6"/>
    <s v="Operational Cost"/>
    <x v="86"/>
    <n v="236.19"/>
    <s v=""/>
    <n v="236.19"/>
  </r>
  <r>
    <s v="2025-08-18"/>
    <x v="7"/>
    <x v="16"/>
    <x v="6"/>
    <s v="Operational Cost"/>
    <x v="15"/>
    <n v="896"/>
    <s v=""/>
    <n v="896"/>
  </r>
  <r>
    <s v="2025-08-19"/>
    <x v="7"/>
    <x v="13"/>
    <x v="2"/>
    <s v="Operational Cost"/>
    <x v="22"/>
    <n v="6299.14"/>
    <s v=""/>
    <n v="6299.14"/>
  </r>
  <r>
    <s v="2025-08-19"/>
    <x v="7"/>
    <x v="16"/>
    <x v="6"/>
    <s v="Operational Cost"/>
    <x v="15"/>
    <n v="789"/>
    <s v=""/>
    <n v="789"/>
  </r>
  <r>
    <s v="2025-08-20"/>
    <x v="7"/>
    <x v="16"/>
    <x v="6"/>
    <s v="Operational Cost"/>
    <x v="15"/>
    <n v="5533"/>
    <s v=""/>
    <n v="5533"/>
  </r>
  <r>
    <s v="2025-08-20"/>
    <x v="7"/>
    <x v="13"/>
    <x v="2"/>
    <s v="Operational Cost"/>
    <x v="21"/>
    <n v="2367"/>
    <s v=""/>
    <n v="2367"/>
  </r>
  <r>
    <s v="2025-08-21"/>
    <x v="7"/>
    <x v="11"/>
    <x v="6"/>
    <s v="Operational Cost"/>
    <x v="86"/>
    <n v="1900"/>
    <s v=""/>
    <n v="1900"/>
  </r>
  <r>
    <s v="2025-08-21"/>
    <x v="7"/>
    <x v="11"/>
    <x v="6"/>
    <s v="Operational Cost"/>
    <x v="86"/>
    <n v="1532.55"/>
    <s v=""/>
    <n v="1532.55"/>
  </r>
  <r>
    <s v="2025-08-22"/>
    <x v="7"/>
    <x v="13"/>
    <x v="2"/>
    <s v="Operational Cost"/>
    <x v="14"/>
    <n v="5372"/>
    <s v=""/>
    <n v="5372"/>
  </r>
  <r>
    <s v="2025-08-22"/>
    <x v="7"/>
    <x v="7"/>
    <x v="3"/>
    <s v="Sales General &amp; Administration "/>
    <x v="42"/>
    <n v="250"/>
    <s v=""/>
    <n v="250"/>
  </r>
  <r>
    <s v="2025-08-22"/>
    <x v="7"/>
    <x v="14"/>
    <x v="3"/>
    <s v="Sales General &amp; Administration "/>
    <x v="81"/>
    <n v="7189"/>
    <s v=""/>
    <n v="7189"/>
  </r>
  <r>
    <s v="2025-08-22"/>
    <x v="7"/>
    <x v="10"/>
    <x v="3"/>
    <s v="Operational Cost"/>
    <x v="43"/>
    <n v="2500"/>
    <s v=""/>
    <n v="2500"/>
  </r>
  <r>
    <s v="2025-08-23"/>
    <x v="7"/>
    <x v="47"/>
    <x v="3"/>
    <s v="Sales General &amp; Administration "/>
    <x v="88"/>
    <n v="14732.08"/>
    <s v=""/>
    <n v="14732.08"/>
  </r>
  <r>
    <s v="2025-08-24"/>
    <x v="7"/>
    <x v="19"/>
    <x v="8"/>
    <s v="Sales General &amp; Administration "/>
    <x v="12"/>
    <n v="23.67"/>
    <s v=""/>
    <n v="23.67"/>
  </r>
  <r>
    <s v="2025-08-24"/>
    <x v="7"/>
    <x v="16"/>
    <x v="6"/>
    <s v="Operational Cost"/>
    <x v="15"/>
    <n v="10600"/>
    <s v=""/>
    <n v="10600"/>
  </r>
  <r>
    <s v="2025-08-27"/>
    <x v="7"/>
    <x v="13"/>
    <x v="2"/>
    <s v="Operational Cost"/>
    <x v="21"/>
    <n v="1499"/>
    <s v=""/>
    <n v="1499"/>
  </r>
  <r>
    <s v="2025-08-28"/>
    <x v="7"/>
    <x v="13"/>
    <x v="2"/>
    <s v="Operational Cost"/>
    <x v="23"/>
    <n v="50000"/>
    <s v=""/>
    <n v="50000"/>
  </r>
  <r>
    <s v="2025-08-29"/>
    <x v="7"/>
    <x v="24"/>
    <x v="9"/>
    <s v="Sales General &amp; Administration "/>
    <x v="26"/>
    <n v="160000"/>
    <s v=""/>
    <n v="160000"/>
  </r>
  <r>
    <s v="2025-08-29"/>
    <x v="7"/>
    <x v="24"/>
    <x v="9"/>
    <s v="Sales General &amp; Administration "/>
    <x v="26"/>
    <n v="160000"/>
    <s v=""/>
    <n v="160000"/>
  </r>
  <r>
    <s v="2025-08-29"/>
    <x v="7"/>
    <x v="24"/>
    <x v="9"/>
    <s v="Sales General &amp; Administration "/>
    <x v="26"/>
    <n v="268000"/>
    <s v=""/>
    <n v="268000"/>
  </r>
  <r>
    <s v="2025-08-29"/>
    <x v="7"/>
    <x v="31"/>
    <x v="3"/>
    <s v="Sales General &amp; Administration "/>
    <x v="33"/>
    <n v="12000"/>
    <s v=""/>
    <n v="12000"/>
  </r>
  <r>
    <s v="2025-08-29"/>
    <x v="7"/>
    <x v="32"/>
    <x v="3"/>
    <s v="Sales General &amp; Administration "/>
    <x v="34"/>
    <n v="12000"/>
    <s v=""/>
    <n v="12000"/>
  </r>
  <r>
    <s v="2025-08-29"/>
    <x v="7"/>
    <x v="24"/>
    <x v="9"/>
    <s v="Sales General &amp; Administration "/>
    <x v="26"/>
    <n v="60000"/>
    <s v=""/>
    <n v="60000"/>
  </r>
  <r>
    <s v="2025-08-29"/>
    <x v="7"/>
    <x v="24"/>
    <x v="9"/>
    <s v="Sales General &amp; Administration "/>
    <x v="26"/>
    <n v="247074"/>
    <s v=""/>
    <n v="247074"/>
  </r>
  <r>
    <s v="2025-08-29"/>
    <x v="7"/>
    <x v="31"/>
    <x v="3"/>
    <s v="Sales General &amp; Administration "/>
    <x v="33"/>
    <n v="6000"/>
    <s v=""/>
    <n v="6000"/>
  </r>
  <r>
    <s v="2025-08-29"/>
    <x v="7"/>
    <x v="32"/>
    <x v="3"/>
    <s v="Sales General &amp; Administration "/>
    <x v="34"/>
    <n v="6000"/>
    <s v=""/>
    <n v="6000"/>
  </r>
  <r>
    <s v="2025-08-29"/>
    <x v="7"/>
    <x v="25"/>
    <x v="7"/>
    <s v="Operational Cost"/>
    <x v="27"/>
    <n v="12000"/>
    <s v=""/>
    <n v="12000"/>
  </r>
  <r>
    <s v="2025-08-29"/>
    <x v="7"/>
    <x v="15"/>
    <x v="2"/>
    <s v="Operational Cost"/>
    <x v="19"/>
    <n v="746.82"/>
    <s v=""/>
    <n v="746.82"/>
  </r>
  <r>
    <s v="2025-08-29"/>
    <x v="7"/>
    <x v="23"/>
    <x v="2"/>
    <s v="Operational Cost"/>
    <x v="89"/>
    <n v="1936"/>
    <s v=""/>
    <n v="1936"/>
  </r>
  <r>
    <s v="2025-08-29"/>
    <x v="7"/>
    <x v="27"/>
    <x v="3"/>
    <s v="Sales General &amp; Administration "/>
    <x v="29"/>
    <n v="31963"/>
    <s v=""/>
    <n v="31963"/>
  </r>
  <r>
    <s v="2025-08-29"/>
    <x v="7"/>
    <x v="28"/>
    <x v="3"/>
    <s v="Sales General &amp; Administration "/>
    <x v="30"/>
    <n v="273626"/>
    <s v=""/>
    <n v="273626"/>
  </r>
  <r>
    <s v="2025-08-29"/>
    <x v="7"/>
    <x v="29"/>
    <x v="7"/>
    <s v="Operational Cost"/>
    <x v="31"/>
    <n v="5788065"/>
    <s v=""/>
    <n v="5788065"/>
  </r>
  <r>
    <s v="2025-08-29"/>
    <x v="7"/>
    <x v="30"/>
    <x v="7"/>
    <s v="Operational Cost"/>
    <x v="32"/>
    <n v="2762127"/>
    <s v=""/>
    <n v="2762127"/>
  </r>
  <r>
    <s v="2025-08-29"/>
    <x v="7"/>
    <x v="31"/>
    <x v="3"/>
    <s v="Sales General &amp; Administration "/>
    <x v="33"/>
    <n v="372653"/>
    <s v=""/>
    <n v="372653"/>
  </r>
  <r>
    <s v="2025-08-29"/>
    <x v="7"/>
    <x v="32"/>
    <x v="3"/>
    <s v="Sales General &amp; Administration "/>
    <x v="34"/>
    <n v="372653"/>
    <s v=""/>
    <n v="372653"/>
  </r>
  <r>
    <s v="2025-08-29"/>
    <x v="7"/>
    <x v="33"/>
    <x v="3"/>
    <s v="Sales General &amp; Administration "/>
    <x v="35"/>
    <n v="18757"/>
    <s v=""/>
    <n v="18757"/>
  </r>
  <r>
    <s v="2025-08-29"/>
    <x v="7"/>
    <x v="34"/>
    <x v="3"/>
    <s v="Sales General &amp; Administration "/>
    <x v="36"/>
    <n v="4345"/>
    <s v=""/>
    <n v="4345"/>
  </r>
  <r>
    <s v="2025-08-29"/>
    <x v="7"/>
    <x v="35"/>
    <x v="10"/>
    <s v="Sales General &amp; Administration "/>
    <x v="37"/>
    <n v="125076"/>
    <s v=""/>
    <n v="125076"/>
  </r>
  <r>
    <s v="2025-08-29"/>
    <x v="7"/>
    <x v="36"/>
    <x v="9"/>
    <s v="Sales General &amp; Administration "/>
    <x v="38"/>
    <n v="48600"/>
    <s v=""/>
    <n v="48600"/>
  </r>
  <r>
    <s v="2025-08-29"/>
    <x v="7"/>
    <x v="37"/>
    <x v="9"/>
    <s v="Sales General &amp; Administration "/>
    <x v="39"/>
    <n v="89843"/>
    <s v=""/>
    <n v="89843"/>
  </r>
  <r>
    <s v="2025-08-29"/>
    <x v="7"/>
    <x v="38"/>
    <x v="9"/>
    <s v="Sales General &amp; Administration "/>
    <x v="40"/>
    <n v="63878"/>
    <s v=""/>
    <n v="63878"/>
  </r>
  <r>
    <s v="2025-08-29"/>
    <x v="7"/>
    <x v="39"/>
    <x v="3"/>
    <s v="Sales General &amp; Administration "/>
    <x v="41"/>
    <n v="56800"/>
    <s v=""/>
    <n v="56800"/>
  </r>
  <r>
    <s v="2025-08-30"/>
    <x v="7"/>
    <x v="23"/>
    <x v="2"/>
    <s v="Operational Cost"/>
    <x v="25"/>
    <n v="1000"/>
    <s v=""/>
    <n v="1000"/>
  </r>
  <r>
    <s v="2025-08-30"/>
    <x v="7"/>
    <x v="11"/>
    <x v="6"/>
    <s v="Operational Cost"/>
    <x v="90"/>
    <n v="15000"/>
    <s v=""/>
    <n v="15000"/>
  </r>
  <r>
    <s v="2025-08-30"/>
    <x v="7"/>
    <x v="21"/>
    <x v="0"/>
    <s v="Operational Cost"/>
    <x v="20"/>
    <n v="150740"/>
    <s v=""/>
    <n v="150740"/>
  </r>
  <r>
    <s v="2025-08-30"/>
    <x v="7"/>
    <x v="11"/>
    <x v="6"/>
    <s v="Operational Cost"/>
    <x v="9"/>
    <n v="90000"/>
    <s v=""/>
    <n v="90000"/>
  </r>
  <r>
    <s v="2025-08-30"/>
    <x v="7"/>
    <x v="16"/>
    <x v="6"/>
    <s v="Operational Cost"/>
    <x v="91"/>
    <n v="9326"/>
    <s v=""/>
    <n v="9326"/>
  </r>
  <r>
    <s v="2025-08-31"/>
    <x v="7"/>
    <x v="7"/>
    <x v="3"/>
    <s v="Sales General &amp; Administration "/>
    <x v="42"/>
    <n v="4180"/>
    <s v=""/>
    <n v="4180"/>
  </r>
  <r>
    <s v="2025-08-31"/>
    <x v="7"/>
    <x v="14"/>
    <x v="3"/>
    <s v="Sales General &amp; Administration "/>
    <x v="81"/>
    <n v="435"/>
    <s v=""/>
    <n v="435"/>
  </r>
  <r>
    <s v="2025-08-31"/>
    <x v="7"/>
    <x v="10"/>
    <x v="3"/>
    <s v="Operational Cost"/>
    <x v="43"/>
    <n v="367"/>
    <s v=""/>
    <n v="367"/>
  </r>
  <r>
    <s v="2025-08-31"/>
    <x v="7"/>
    <x v="11"/>
    <x v="6"/>
    <s v="Operational Cost"/>
    <x v="45"/>
    <n v="47348"/>
    <s v=""/>
    <n v="47348"/>
  </r>
  <r>
    <s v="2025-08-31"/>
    <x v="7"/>
    <x v="26"/>
    <x v="3"/>
    <s v="Sales General &amp; Administration "/>
    <x v="28"/>
    <n v="32000"/>
    <s v=""/>
    <n v="32000"/>
  </r>
  <r>
    <s v="2025-08-31"/>
    <x v="7"/>
    <x v="26"/>
    <x v="3"/>
    <s v="Sales General &amp; Administration "/>
    <x v="92"/>
    <n v="9040"/>
    <s v=""/>
    <n v="9040"/>
  </r>
  <r>
    <s v="2025-08-31"/>
    <x v="7"/>
    <x v="11"/>
    <x v="6"/>
    <s v="Operational Cost"/>
    <x v="58"/>
    <n v="5750"/>
    <s v=""/>
    <n v="5750"/>
  </r>
  <r>
    <s v="2025-09-01"/>
    <x v="8"/>
    <x v="0"/>
    <x v="0"/>
    <s v="Operational Cost"/>
    <x v="0"/>
    <n v="376923"/>
    <s v=""/>
    <n v="376923"/>
  </r>
  <r>
    <s v="2025-09-01"/>
    <x v="8"/>
    <x v="1"/>
    <x v="0"/>
    <s v="Operational Cost"/>
    <x v="0"/>
    <n v="65105"/>
    <s v=""/>
    <n v="65105"/>
  </r>
  <r>
    <s v="2025-09-01"/>
    <x v="8"/>
    <x v="52"/>
    <x v="0"/>
    <s v="Operational Cost"/>
    <x v="82"/>
    <n v="400000"/>
    <s v=""/>
    <n v="400000"/>
  </r>
  <r>
    <s v="2025-09-01"/>
    <x v="8"/>
    <x v="4"/>
    <x v="2"/>
    <s v="Operational Cost"/>
    <x v="3"/>
    <n v="15900"/>
    <s v=""/>
    <n v="15900"/>
  </r>
  <r>
    <s v="2025-09-01"/>
    <x v="8"/>
    <x v="46"/>
    <x v="8"/>
    <s v="Sales General &amp; Administration "/>
    <x v="55"/>
    <n v="5880"/>
    <s v=""/>
    <n v="5880"/>
  </r>
  <r>
    <s v="2025-09-01"/>
    <x v="8"/>
    <x v="7"/>
    <x v="3"/>
    <s v="Sales General &amp; Administration "/>
    <x v="6"/>
    <n v="6161"/>
    <s v=""/>
    <n v="6161"/>
  </r>
  <r>
    <s v="2025-09-01"/>
    <x v="8"/>
    <x v="7"/>
    <x v="3"/>
    <s v="Sales General &amp; Administration "/>
    <x v="6"/>
    <n v="16363"/>
    <s v=""/>
    <n v="16363"/>
  </r>
  <r>
    <s v="2025-09-01"/>
    <x v="8"/>
    <x v="6"/>
    <x v="4"/>
    <s v="Operational Cost"/>
    <x v="5"/>
    <n v="218400"/>
    <s v=""/>
    <n v="218400"/>
  </r>
  <r>
    <s v="2025-09-01"/>
    <x v="8"/>
    <x v="3"/>
    <x v="1"/>
    <s v="Sales General &amp; Administration "/>
    <x v="2"/>
    <n v="125000"/>
    <s v=""/>
    <n v="125000"/>
  </r>
  <r>
    <s v="2025-09-01"/>
    <x v="8"/>
    <x v="13"/>
    <x v="2"/>
    <s v="Operational Cost"/>
    <x v="14"/>
    <n v="2817"/>
    <s v=""/>
    <n v="2817"/>
  </r>
  <r>
    <s v="2025-09-01"/>
    <x v="8"/>
    <x v="13"/>
    <x v="2"/>
    <s v="Operational Cost"/>
    <x v="14"/>
    <n v="533"/>
    <s v=""/>
    <n v="533"/>
  </r>
  <r>
    <s v="2025-09-02"/>
    <x v="8"/>
    <x v="16"/>
    <x v="6"/>
    <s v="Operational Cost"/>
    <x v="91"/>
    <n v="252.5"/>
    <s v=""/>
    <n v="252.5"/>
  </r>
  <r>
    <s v="2025-09-03"/>
    <x v="8"/>
    <x v="9"/>
    <x v="2"/>
    <s v="Operational Cost"/>
    <x v="8"/>
    <n v="23333"/>
    <s v=""/>
    <n v="23333"/>
  </r>
  <r>
    <s v="2025-09-03"/>
    <x v="8"/>
    <x v="9"/>
    <x v="2"/>
    <s v="Operational Cost"/>
    <x v="8"/>
    <n v="10417"/>
    <s v=""/>
    <n v="10417"/>
  </r>
  <r>
    <s v="2025-09-03"/>
    <x v="8"/>
    <x v="9"/>
    <x v="2"/>
    <s v="Operational Cost"/>
    <x v="8"/>
    <n v="9167"/>
    <s v=""/>
    <n v="9167"/>
  </r>
  <r>
    <s v="2025-09-05"/>
    <x v="8"/>
    <x v="13"/>
    <x v="2"/>
    <s v="Operational Cost"/>
    <x v="14"/>
    <n v="2834"/>
    <s v=""/>
    <n v="2834"/>
  </r>
  <r>
    <s v="2025-09-05"/>
    <x v="8"/>
    <x v="16"/>
    <x v="6"/>
    <s v="Operational Cost"/>
    <x v="15"/>
    <n v="40833"/>
    <s v=""/>
    <n v="40833"/>
  </r>
  <r>
    <s v="2025-09-05"/>
    <x v="8"/>
    <x v="18"/>
    <x v="0"/>
    <s v="Operational Cost"/>
    <x v="17"/>
    <n v="26250"/>
    <s v=""/>
    <n v="26250"/>
  </r>
  <r>
    <s v="2025-09-05"/>
    <x v="8"/>
    <x v="11"/>
    <x v="6"/>
    <s v="Operational Cost"/>
    <x v="9"/>
    <n v="2750"/>
    <s v=""/>
    <n v="2750"/>
  </r>
  <r>
    <s v="2025-09-06"/>
    <x v="8"/>
    <x v="13"/>
    <x v="2"/>
    <s v="Operational Cost"/>
    <x v="14"/>
    <n v="2479"/>
    <s v=""/>
    <n v="2479"/>
  </r>
  <r>
    <s v="2025-09-07"/>
    <x v="8"/>
    <x v="13"/>
    <x v="2"/>
    <s v="Operational Cost"/>
    <x v="14"/>
    <n v="572"/>
    <s v=""/>
    <n v="572"/>
  </r>
  <r>
    <s v="2025-09-08"/>
    <x v="8"/>
    <x v="10"/>
    <x v="3"/>
    <s v="Operational Cost"/>
    <x v="9"/>
    <n v="37150"/>
    <s v=""/>
    <n v="37150"/>
  </r>
  <r>
    <s v="2025-09-09"/>
    <x v="8"/>
    <x v="15"/>
    <x v="2"/>
    <s v="Operational Cost"/>
    <x v="19"/>
    <n v="1298"/>
    <s v=""/>
    <n v="1298"/>
  </r>
  <r>
    <s v="2025-09-09"/>
    <x v="8"/>
    <x v="7"/>
    <x v="3"/>
    <s v="Sales General &amp; Administration "/>
    <x v="80"/>
    <n v="32406"/>
    <s v=""/>
    <n v="32406"/>
  </r>
  <r>
    <s v="2025-09-09"/>
    <x v="8"/>
    <x v="11"/>
    <x v="6"/>
    <s v="Operational Cost"/>
    <x v="86"/>
    <n v="7019"/>
    <s v=""/>
    <n v="7019"/>
  </r>
  <r>
    <s v="2025-09-09"/>
    <x v="8"/>
    <x v="6"/>
    <x v="4"/>
    <s v="Operational Cost"/>
    <x v="5"/>
    <n v="43600"/>
    <s v=""/>
    <n v="43600"/>
  </r>
  <r>
    <s v="2025-09-11"/>
    <x v="8"/>
    <x v="16"/>
    <x v="6"/>
    <s v="Operational Cost"/>
    <x v="15"/>
    <n v="994"/>
    <s v=""/>
    <n v="994"/>
  </r>
  <r>
    <s v="2025-09-12"/>
    <x v="8"/>
    <x v="23"/>
    <x v="2"/>
    <s v="Operational Cost"/>
    <x v="89"/>
    <n v="15000"/>
    <s v=""/>
    <n v="15000"/>
  </r>
  <r>
    <s v="2025-09-13"/>
    <x v="8"/>
    <x v="17"/>
    <x v="0"/>
    <s v="Operational Cost"/>
    <x v="82"/>
    <n v="33468"/>
    <s v=""/>
    <n v="33468"/>
  </r>
  <r>
    <s v="2025-09-15"/>
    <x v="8"/>
    <x v="13"/>
    <x v="2"/>
    <s v="Operational Cost"/>
    <x v="14"/>
    <n v="8913"/>
    <s v=""/>
    <n v="8913"/>
  </r>
  <r>
    <s v="2025-09-15"/>
    <x v="8"/>
    <x v="13"/>
    <x v="2"/>
    <s v="Operational Cost"/>
    <x v="14"/>
    <n v="3535"/>
    <s v=""/>
    <n v="3535"/>
  </r>
  <r>
    <s v="2025-09-15"/>
    <x v="8"/>
    <x v="13"/>
    <x v="2"/>
    <s v="Operational Cost"/>
    <x v="21"/>
    <n v="2793.06"/>
    <s v=""/>
    <n v="2793.06"/>
  </r>
  <r>
    <s v="2025-09-15"/>
    <x v="8"/>
    <x v="17"/>
    <x v="0"/>
    <s v="Operational Cost"/>
    <x v="16"/>
    <n v="219561"/>
    <s v=""/>
    <n v="219561"/>
  </r>
  <r>
    <s v="2025-09-16"/>
    <x v="8"/>
    <x v="16"/>
    <x v="6"/>
    <s v="Operational Cost"/>
    <x v="15"/>
    <n v="1190"/>
    <s v=""/>
    <n v="1190"/>
  </r>
  <r>
    <s v="2025-09-16"/>
    <x v="8"/>
    <x v="8"/>
    <x v="5"/>
    <s v="Indirect Income"/>
    <x v="7"/>
    <s v=""/>
    <n v="62294.46"/>
    <n v="-62294.46"/>
  </r>
  <r>
    <s v="2025-09-16"/>
    <x v="8"/>
    <x v="8"/>
    <x v="5"/>
    <s v="Indirect Income"/>
    <x v="7"/>
    <s v=""/>
    <n v="126176.4"/>
    <n v="-126176.4"/>
  </r>
  <r>
    <s v="2025-09-16"/>
    <x v="8"/>
    <x v="15"/>
    <x v="2"/>
    <s v="Operational Cost"/>
    <x v="19"/>
    <n v="1041.82"/>
    <s v=""/>
    <n v="1041.82"/>
  </r>
  <r>
    <s v="2025-09-16"/>
    <x v="8"/>
    <x v="13"/>
    <x v="2"/>
    <s v="Operational Cost"/>
    <x v="21"/>
    <n v="3382"/>
    <s v=""/>
    <n v="3382"/>
  </r>
  <r>
    <s v="2025-09-16"/>
    <x v="8"/>
    <x v="6"/>
    <x v="4"/>
    <s v="Operational Cost"/>
    <x v="9"/>
    <n v="4"/>
    <s v=""/>
    <n v="4"/>
  </r>
  <r>
    <s v="2025-09-17"/>
    <x v="8"/>
    <x v="19"/>
    <x v="8"/>
    <s v="Sales General &amp; Administration "/>
    <x v="12"/>
    <n v="33.82"/>
    <s v=""/>
    <n v="33.82"/>
  </r>
  <r>
    <s v="2025-09-17"/>
    <x v="8"/>
    <x v="13"/>
    <x v="2"/>
    <s v="Operational Cost"/>
    <x v="14"/>
    <n v="547"/>
    <s v=""/>
    <n v="547"/>
  </r>
  <r>
    <s v="2025-09-17"/>
    <x v="8"/>
    <x v="13"/>
    <x v="2"/>
    <s v="Operational Cost"/>
    <x v="14"/>
    <n v="8870"/>
    <s v=""/>
    <n v="8870"/>
  </r>
  <r>
    <s v="2025-09-18"/>
    <x v="8"/>
    <x v="16"/>
    <x v="6"/>
    <s v="Operational Cost"/>
    <x v="15"/>
    <n v="896"/>
    <s v=""/>
    <n v="896"/>
  </r>
  <r>
    <s v="2025-09-18"/>
    <x v="8"/>
    <x v="13"/>
    <x v="2"/>
    <s v="Operational Cost"/>
    <x v="14"/>
    <n v="1499"/>
    <s v=""/>
    <n v="1499"/>
  </r>
  <r>
    <s v="2025-09-18"/>
    <x v="8"/>
    <x v="16"/>
    <x v="6"/>
    <s v="Operational Cost"/>
    <x v="91"/>
    <n v="8021"/>
    <s v=""/>
    <n v="8021"/>
  </r>
  <r>
    <s v="2025-09-19"/>
    <x v="8"/>
    <x v="16"/>
    <x v="6"/>
    <s v="Operational Cost"/>
    <x v="15"/>
    <n v="789"/>
    <s v=""/>
    <n v="789"/>
  </r>
  <r>
    <s v="2025-09-19"/>
    <x v="8"/>
    <x v="11"/>
    <x v="6"/>
    <s v="Operational Cost"/>
    <x v="93"/>
    <n v="400"/>
    <s v=""/>
    <n v="400"/>
  </r>
  <r>
    <s v="2025-09-20"/>
    <x v="8"/>
    <x v="16"/>
    <x v="6"/>
    <s v="Operational Cost"/>
    <x v="15"/>
    <n v="4833"/>
    <s v=""/>
    <n v="4833"/>
  </r>
  <r>
    <s v="2025-09-22"/>
    <x v="8"/>
    <x v="13"/>
    <x v="2"/>
    <s v="Operational Cost"/>
    <x v="14"/>
    <n v="5372"/>
    <s v=""/>
    <n v="5372"/>
  </r>
  <r>
    <s v="2025-09-22"/>
    <x v="8"/>
    <x v="13"/>
    <x v="2"/>
    <s v="Operational Cost"/>
    <x v="22"/>
    <n v="6299.14"/>
    <s v=""/>
    <n v="6299.14"/>
  </r>
  <r>
    <s v="2025-09-23"/>
    <x v="8"/>
    <x v="13"/>
    <x v="2"/>
    <s v="Operational Cost"/>
    <x v="21"/>
    <n v="2367"/>
    <s v=""/>
    <n v="2367"/>
  </r>
  <r>
    <s v="2025-09-24"/>
    <x v="8"/>
    <x v="16"/>
    <x v="6"/>
    <s v="Operational Cost"/>
    <x v="15"/>
    <n v="10600"/>
    <s v=""/>
    <n v="10600"/>
  </r>
  <r>
    <s v="2025-09-24"/>
    <x v="8"/>
    <x v="19"/>
    <x v="8"/>
    <s v="Sales General &amp; Administration "/>
    <x v="12"/>
    <n v="23.67"/>
    <s v=""/>
    <n v="23.67"/>
  </r>
  <r>
    <s v="2025-09-25"/>
    <x v="8"/>
    <x v="47"/>
    <x v="3"/>
    <s v="Sales General &amp; Administration "/>
    <x v="78"/>
    <n v="2408.5700000000002"/>
    <s v=""/>
    <n v="2408.5700000000002"/>
  </r>
  <r>
    <s v="2025-09-26"/>
    <x v="8"/>
    <x v="47"/>
    <x v="3"/>
    <s v="Sales General &amp; Administration "/>
    <x v="78"/>
    <n v="2237.14"/>
    <s v=""/>
    <n v="2237.14"/>
  </r>
  <r>
    <s v="2025-09-27"/>
    <x v="8"/>
    <x v="13"/>
    <x v="2"/>
    <s v="Operational Cost"/>
    <x v="21"/>
    <n v="1499"/>
    <s v=""/>
    <n v="1499"/>
  </r>
  <r>
    <s v="2025-09-29"/>
    <x v="8"/>
    <x v="13"/>
    <x v="2"/>
    <s v="Operational Cost"/>
    <x v="23"/>
    <n v="6153"/>
    <s v=""/>
    <n v="6153"/>
  </r>
  <r>
    <s v="2025-09-29"/>
    <x v="8"/>
    <x v="8"/>
    <x v="5"/>
    <s v="Indirect Income"/>
    <x v="7"/>
    <s v=""/>
    <n v="67593.37"/>
    <n v="-67593.37"/>
  </r>
  <r>
    <s v="2025-09-30"/>
    <x v="8"/>
    <x v="7"/>
    <x v="3"/>
    <s v="Sales General &amp; Administration "/>
    <x v="80"/>
    <n v="6271.19"/>
    <s v=""/>
    <n v="6271.19"/>
  </r>
  <r>
    <s v="2025-09-30"/>
    <x v="8"/>
    <x v="23"/>
    <x v="2"/>
    <s v="Operational Cost"/>
    <x v="25"/>
    <n v="1000"/>
    <s v=""/>
    <n v="1000"/>
  </r>
  <r>
    <s v="2025-09-30"/>
    <x v="8"/>
    <x v="26"/>
    <x v="3"/>
    <s v="Sales General &amp; Administration "/>
    <x v="92"/>
    <n v="14000"/>
    <s v=""/>
    <n v="14000"/>
  </r>
  <r>
    <s v="2025-09-30"/>
    <x v="8"/>
    <x v="26"/>
    <x v="3"/>
    <s v="Sales General &amp; Administration "/>
    <x v="28"/>
    <n v="32000"/>
    <s v=""/>
    <n v="32000"/>
  </r>
  <r>
    <s v="2025-09-30"/>
    <x v="8"/>
    <x v="24"/>
    <x v="9"/>
    <s v="Sales General &amp; Administration "/>
    <x v="26"/>
    <n v="160000"/>
    <s v=""/>
    <n v="160000"/>
  </r>
  <r>
    <s v="2025-09-30"/>
    <x v="8"/>
    <x v="24"/>
    <x v="9"/>
    <s v="Sales General &amp; Administration "/>
    <x v="26"/>
    <n v="160000"/>
    <s v=""/>
    <n v="160000"/>
  </r>
  <r>
    <s v="2025-09-30"/>
    <x v="8"/>
    <x v="24"/>
    <x v="9"/>
    <s v="Sales General &amp; Administration "/>
    <x v="26"/>
    <n v="268000"/>
    <s v=""/>
    <n v="268000"/>
  </r>
  <r>
    <s v="2025-09-30"/>
    <x v="8"/>
    <x v="31"/>
    <x v="3"/>
    <s v="Sales General &amp; Administration "/>
    <x v="33"/>
    <n v="12000"/>
    <s v=""/>
    <n v="12000"/>
  </r>
  <r>
    <s v="2025-09-30"/>
    <x v="8"/>
    <x v="32"/>
    <x v="3"/>
    <s v="Sales General &amp; Administration "/>
    <x v="34"/>
    <n v="12000"/>
    <s v=""/>
    <n v="12000"/>
  </r>
  <r>
    <s v="2025-09-30"/>
    <x v="8"/>
    <x v="24"/>
    <x v="9"/>
    <s v="Sales General &amp; Administration "/>
    <x v="26"/>
    <n v="60000"/>
    <s v=""/>
    <n v="60000"/>
  </r>
  <r>
    <s v="2025-09-30"/>
    <x v="8"/>
    <x v="24"/>
    <x v="9"/>
    <s v="Sales General &amp; Administration "/>
    <x v="26"/>
    <n v="247074"/>
    <s v=""/>
    <n v="247074"/>
  </r>
  <r>
    <s v="2025-09-30"/>
    <x v="8"/>
    <x v="31"/>
    <x v="3"/>
    <s v="Sales General &amp; Administration "/>
    <x v="33"/>
    <n v="6000"/>
    <s v=""/>
    <n v="6000"/>
  </r>
  <r>
    <s v="2025-09-30"/>
    <x v="8"/>
    <x v="32"/>
    <x v="3"/>
    <s v="Sales General &amp; Administration "/>
    <x v="34"/>
    <n v="6000"/>
    <s v=""/>
    <n v="6000"/>
  </r>
  <r>
    <s v="2025-09-30"/>
    <x v="8"/>
    <x v="25"/>
    <x v="7"/>
    <s v="Operational Cost"/>
    <x v="27"/>
    <n v="12000"/>
    <s v=""/>
    <n v="12000"/>
  </r>
  <r>
    <s v="2025-09-30"/>
    <x v="8"/>
    <x v="11"/>
    <x v="6"/>
    <s v="Operational Cost"/>
    <x v="45"/>
    <n v="7649"/>
    <s v=""/>
    <n v="7649"/>
  </r>
  <r>
    <s v="2025-09-30"/>
    <x v="8"/>
    <x v="13"/>
    <x v="2"/>
    <s v="Operational Cost"/>
    <x v="23"/>
    <n v="50000"/>
    <s v=""/>
    <n v="50000"/>
  </r>
  <r>
    <s v="2025-09-30"/>
    <x v="8"/>
    <x v="19"/>
    <x v="8"/>
    <s v="Sales General &amp; Administration "/>
    <x v="55"/>
    <n v="3210"/>
    <s v=""/>
    <n v="3210"/>
  </r>
  <r>
    <s v="2025-09-30"/>
    <x v="8"/>
    <x v="11"/>
    <x v="6"/>
    <s v="Operational Cost"/>
    <x v="58"/>
    <n v="1325"/>
    <s v=""/>
    <n v="1325"/>
  </r>
  <r>
    <s v="2025-09-30"/>
    <x v="8"/>
    <x v="11"/>
    <x v="6"/>
    <s v="Operational Cost"/>
    <x v="45"/>
    <n v="10465"/>
    <s v=""/>
    <n v="10465"/>
  </r>
  <r>
    <s v="2025-09-30"/>
    <x v="8"/>
    <x v="14"/>
    <x v="3"/>
    <s v="Sales General &amp; Administration "/>
    <x v="81"/>
    <n v="1784"/>
    <s v=""/>
    <n v="1784"/>
  </r>
  <r>
    <s v="2025-09-30"/>
    <x v="8"/>
    <x v="10"/>
    <x v="3"/>
    <s v="Operational Cost"/>
    <x v="43"/>
    <n v="6731"/>
    <s v=""/>
    <n v="6731"/>
  </r>
  <r>
    <s v="2025-09-30"/>
    <x v="8"/>
    <x v="11"/>
    <x v="6"/>
    <s v="Operational Cost"/>
    <x v="45"/>
    <n v="8954"/>
    <s v=""/>
    <n v="8954"/>
  </r>
  <r>
    <s v="2025-09-30"/>
    <x v="8"/>
    <x v="47"/>
    <x v="3"/>
    <s v="Sales General &amp; Administration "/>
    <x v="87"/>
    <n v="14275"/>
    <s v=""/>
    <n v="14275"/>
  </r>
  <r>
    <s v="2025-09-30"/>
    <x v="8"/>
    <x v="14"/>
    <x v="3"/>
    <s v="Sales General &amp; Administration "/>
    <x v="81"/>
    <n v="2898"/>
    <s v=""/>
    <n v="2898"/>
  </r>
  <r>
    <s v="2025-09-30"/>
    <x v="8"/>
    <x v="14"/>
    <x v="3"/>
    <s v="Sales General &amp; Administration "/>
    <x v="81"/>
    <n v="13080"/>
    <s v=""/>
    <n v="13080"/>
  </r>
  <r>
    <s v="2025-09-30"/>
    <x v="8"/>
    <x v="11"/>
    <x v="6"/>
    <s v="Operational Cost"/>
    <x v="45"/>
    <n v="12263"/>
    <s v=""/>
    <n v="12263"/>
  </r>
  <r>
    <s v="2025-09-30"/>
    <x v="8"/>
    <x v="21"/>
    <x v="0"/>
    <s v="Operational Cost"/>
    <x v="20"/>
    <n v="152855.09"/>
    <s v=""/>
    <n v="152855.09"/>
  </r>
  <r>
    <s v="2025-09-30"/>
    <x v="8"/>
    <x v="7"/>
    <x v="3"/>
    <s v="Sales General &amp; Administration "/>
    <x v="42"/>
    <n v="3200"/>
    <s v=""/>
    <n v="3200"/>
  </r>
  <r>
    <s v="2025-09-30"/>
    <x v="8"/>
    <x v="11"/>
    <x v="6"/>
    <s v="Operational Cost"/>
    <x v="45"/>
    <n v="35400"/>
    <s v=""/>
    <n v="35400"/>
  </r>
  <r>
    <s v="2025-09-30"/>
    <x v="8"/>
    <x v="11"/>
    <x v="6"/>
    <s v="Operational Cost"/>
    <x v="9"/>
    <n v="1000"/>
    <s v=""/>
    <n v="1000"/>
  </r>
  <r>
    <s v="2025-09-30"/>
    <x v="8"/>
    <x v="27"/>
    <x v="3"/>
    <s v="Sales General &amp; Administration "/>
    <x v="29"/>
    <n v="34272"/>
    <s v=""/>
    <n v="34272"/>
  </r>
  <r>
    <s v="2025-09-30"/>
    <x v="8"/>
    <x v="28"/>
    <x v="3"/>
    <s v="Sales General &amp; Administration "/>
    <x v="30"/>
    <n v="277256"/>
    <s v=""/>
    <n v="277256"/>
  </r>
  <r>
    <s v="2025-09-30"/>
    <x v="8"/>
    <x v="29"/>
    <x v="7"/>
    <s v="Operational Cost"/>
    <x v="31"/>
    <n v="5991910"/>
    <s v=""/>
    <n v="5991910"/>
  </r>
  <r>
    <s v="2025-09-30"/>
    <x v="8"/>
    <x v="30"/>
    <x v="7"/>
    <s v="Operational Cost"/>
    <x v="32"/>
    <n v="2796629"/>
    <s v=""/>
    <n v="2796629"/>
  </r>
  <r>
    <s v="2025-09-30"/>
    <x v="8"/>
    <x v="31"/>
    <x v="3"/>
    <s v="Sales General &amp; Administration "/>
    <x v="33"/>
    <n v="400465"/>
    <s v=""/>
    <n v="400465"/>
  </r>
  <r>
    <s v="2025-09-30"/>
    <x v="8"/>
    <x v="32"/>
    <x v="3"/>
    <s v="Sales General &amp; Administration "/>
    <x v="34"/>
    <n v="400465"/>
    <s v=""/>
    <n v="400465"/>
  </r>
  <r>
    <s v="2025-09-30"/>
    <x v="8"/>
    <x v="33"/>
    <x v="3"/>
    <s v="Sales General &amp; Administration "/>
    <x v="35"/>
    <n v="19188"/>
    <s v=""/>
    <n v="19188"/>
  </r>
  <r>
    <s v="2025-09-30"/>
    <x v="8"/>
    <x v="34"/>
    <x v="3"/>
    <s v="Sales General &amp; Administration "/>
    <x v="36"/>
    <n v="4446"/>
    <s v=""/>
    <n v="4446"/>
  </r>
  <r>
    <s v="2025-09-30"/>
    <x v="8"/>
    <x v="35"/>
    <x v="10"/>
    <s v="Sales General &amp; Administration "/>
    <x v="37"/>
    <n v="112295"/>
    <s v=""/>
    <n v="112295"/>
  </r>
  <r>
    <s v="2025-09-30"/>
    <x v="8"/>
    <x v="36"/>
    <x v="9"/>
    <s v="Sales General &amp; Administration "/>
    <x v="38"/>
    <n v="49705"/>
    <s v=""/>
    <n v="49705"/>
  </r>
  <r>
    <s v="2025-09-30"/>
    <x v="8"/>
    <x v="37"/>
    <x v="9"/>
    <s v="Sales General &amp; Administration "/>
    <x v="39"/>
    <n v="92772"/>
    <s v=""/>
    <n v="92772"/>
  </r>
  <r>
    <s v="2025-09-30"/>
    <x v="8"/>
    <x v="38"/>
    <x v="9"/>
    <s v="Sales General &amp; Administration "/>
    <x v="40"/>
    <n v="66558"/>
    <s v=""/>
    <n v="66558"/>
  </r>
  <r>
    <s v="2025-09-30"/>
    <x v="8"/>
    <x v="39"/>
    <x v="3"/>
    <s v="Sales General &amp; Administration "/>
    <x v="41"/>
    <n v="101380"/>
    <s v=""/>
    <n v="101380"/>
  </r>
  <r>
    <s v="2025-10-01"/>
    <x v="9"/>
    <x v="1"/>
    <x v="0"/>
    <s v="Operational Cost"/>
    <x v="0"/>
    <n v="68360"/>
    <s v=""/>
    <n v="68360"/>
  </r>
  <r>
    <s v="2025-10-01"/>
    <x v="9"/>
    <x v="0"/>
    <x v="0"/>
    <s v="Operational Cost"/>
    <x v="0"/>
    <n v="395769"/>
    <s v=""/>
    <n v="395769"/>
  </r>
  <r>
    <s v="2025-10-01"/>
    <x v="9"/>
    <x v="52"/>
    <x v="0"/>
    <s v="Operational Cost"/>
    <x v="82"/>
    <n v="400000"/>
    <s v=""/>
    <n v="400000"/>
  </r>
  <r>
    <s v="2025-10-01"/>
    <x v="9"/>
    <x v="7"/>
    <x v="3"/>
    <s v="Sales General &amp; Administration "/>
    <x v="6"/>
    <n v="5871.5"/>
    <s v=""/>
    <n v="5871.5"/>
  </r>
  <r>
    <s v="2025-10-01"/>
    <x v="9"/>
    <x v="7"/>
    <x v="3"/>
    <s v="Sales General &amp; Administration "/>
    <x v="6"/>
    <n v="15963.5"/>
    <s v=""/>
    <n v="15963.5"/>
  </r>
  <r>
    <s v="2025-10-01"/>
    <x v="9"/>
    <x v="11"/>
    <x v="6"/>
    <s v="Operational Cost"/>
    <x v="9"/>
    <n v="843"/>
    <s v=""/>
    <n v="843"/>
  </r>
  <r>
    <s v="2025-10-01"/>
    <x v="9"/>
    <x v="46"/>
    <x v="8"/>
    <s v="Sales General &amp; Administration "/>
    <x v="55"/>
    <n v="31039"/>
    <s v=""/>
    <n v="31039"/>
  </r>
  <r>
    <s v="2025-10-01"/>
    <x v="9"/>
    <x v="3"/>
    <x v="1"/>
    <s v="Sales General &amp; Administration "/>
    <x v="2"/>
    <n v="125000"/>
    <s v=""/>
    <n v="125000"/>
  </r>
  <r>
    <s v="2025-10-01"/>
    <x v="9"/>
    <x v="13"/>
    <x v="2"/>
    <s v="Operational Cost"/>
    <x v="14"/>
    <n v="533"/>
    <s v=""/>
    <n v="533"/>
  </r>
  <r>
    <s v="2025-10-01"/>
    <x v="9"/>
    <x v="13"/>
    <x v="2"/>
    <s v="Operational Cost"/>
    <x v="14"/>
    <n v="2817"/>
    <s v=""/>
    <n v="2817"/>
  </r>
  <r>
    <s v="2025-10-01"/>
    <x v="9"/>
    <x v="47"/>
    <x v="3"/>
    <s v="Sales General &amp; Administration "/>
    <x v="78"/>
    <n v="13422.86"/>
    <s v=""/>
    <n v="13422.86"/>
  </r>
  <r>
    <s v="2025-10-01"/>
    <x v="9"/>
    <x v="6"/>
    <x v="4"/>
    <s v="Operational Cost"/>
    <x v="5"/>
    <n v="302876"/>
    <s v=""/>
    <n v="302876"/>
  </r>
  <r>
    <s v="2025-10-03"/>
    <x v="9"/>
    <x v="4"/>
    <x v="2"/>
    <s v="Operational Cost"/>
    <x v="3"/>
    <n v="15900"/>
    <s v=""/>
    <n v="15900"/>
  </r>
  <r>
    <s v="2025-10-03"/>
    <x v="9"/>
    <x v="8"/>
    <x v="5"/>
    <s v="Indirect Income"/>
    <x v="7"/>
    <s v=""/>
    <n v="183326.14"/>
    <n v="-183326.14"/>
  </r>
  <r>
    <s v="2025-10-03"/>
    <x v="9"/>
    <x v="8"/>
    <x v="5"/>
    <s v="Indirect Income"/>
    <x v="7"/>
    <s v=""/>
    <n v="94476.01"/>
    <n v="-94476.01"/>
  </r>
  <r>
    <s v="2025-10-03"/>
    <x v="9"/>
    <x v="9"/>
    <x v="2"/>
    <s v="Operational Cost"/>
    <x v="8"/>
    <n v="9167"/>
    <s v=""/>
    <n v="9167"/>
  </r>
  <r>
    <s v="2025-10-03"/>
    <x v="9"/>
    <x v="9"/>
    <x v="2"/>
    <s v="Operational Cost"/>
    <x v="8"/>
    <n v="10417"/>
    <s v=""/>
    <n v="10417"/>
  </r>
  <r>
    <s v="2025-10-03"/>
    <x v="9"/>
    <x v="9"/>
    <x v="2"/>
    <s v="Operational Cost"/>
    <x v="8"/>
    <n v="23333"/>
    <s v=""/>
    <n v="23333"/>
  </r>
  <r>
    <s v="2025-10-03"/>
    <x v="9"/>
    <x v="9"/>
    <x v="2"/>
    <s v="Operational Cost"/>
    <x v="8"/>
    <n v="9167"/>
    <s v=""/>
    <n v="9167"/>
  </r>
  <r>
    <s v="2025-10-04"/>
    <x v="9"/>
    <x v="7"/>
    <x v="3"/>
    <s v="Sales General &amp; Administration "/>
    <x v="94"/>
    <n v="40400"/>
    <s v=""/>
    <n v="40400"/>
  </r>
  <r>
    <s v="2025-10-06"/>
    <x v="9"/>
    <x v="13"/>
    <x v="2"/>
    <s v="Operational Cost"/>
    <x v="14"/>
    <n v="2479"/>
    <s v=""/>
    <n v="2479"/>
  </r>
  <r>
    <s v="2025-10-07"/>
    <x v="9"/>
    <x v="23"/>
    <x v="2"/>
    <s v="Operational Cost"/>
    <x v="89"/>
    <n v="15000"/>
    <s v=""/>
    <n v="15000"/>
  </r>
  <r>
    <s v="2025-10-07"/>
    <x v="9"/>
    <x v="8"/>
    <x v="5"/>
    <s v="Indirect Income"/>
    <x v="7"/>
    <s v=""/>
    <n v="68920.960000000006"/>
    <n v="-68920.960000000006"/>
  </r>
  <r>
    <s v="2025-10-07"/>
    <x v="9"/>
    <x v="13"/>
    <x v="2"/>
    <s v="Operational Cost"/>
    <x v="14"/>
    <n v="572"/>
    <s v=""/>
    <n v="572"/>
  </r>
  <r>
    <s v="2025-10-07"/>
    <x v="9"/>
    <x v="16"/>
    <x v="6"/>
    <s v="Operational Cost"/>
    <x v="15"/>
    <n v="59099"/>
    <s v=""/>
    <n v="59099"/>
  </r>
  <r>
    <s v="2025-10-09"/>
    <x v="9"/>
    <x v="15"/>
    <x v="2"/>
    <s v="Operational Cost"/>
    <x v="19"/>
    <n v="1298"/>
    <s v=""/>
    <n v="1298"/>
  </r>
  <r>
    <s v="2025-10-09"/>
    <x v="9"/>
    <x v="18"/>
    <x v="0"/>
    <s v="Operational Cost"/>
    <x v="17"/>
    <n v="26250"/>
    <s v=""/>
    <n v="26250"/>
  </r>
  <r>
    <s v="2025-10-09"/>
    <x v="9"/>
    <x v="23"/>
    <x v="2"/>
    <s v="Operational Cost"/>
    <x v="9"/>
    <n v="20997"/>
    <s v=""/>
    <n v="20997"/>
  </r>
  <r>
    <s v="2025-10-09"/>
    <x v="9"/>
    <x v="23"/>
    <x v="2"/>
    <s v="Operational Cost"/>
    <x v="95"/>
    <n v="11400"/>
    <s v=""/>
    <n v="11400"/>
  </r>
  <r>
    <s v="2025-10-10"/>
    <x v="9"/>
    <x v="17"/>
    <x v="0"/>
    <s v="Operational Cost"/>
    <x v="16"/>
    <n v="59994"/>
    <s v=""/>
    <n v="59994"/>
  </r>
  <r>
    <s v="2025-10-10"/>
    <x v="9"/>
    <x v="19"/>
    <x v="8"/>
    <s v="Sales General &amp; Administration "/>
    <x v="12"/>
    <n v="114"/>
    <s v=""/>
    <n v="114"/>
  </r>
  <r>
    <s v="2025-10-10"/>
    <x v="9"/>
    <x v="13"/>
    <x v="2"/>
    <s v="Operational Cost"/>
    <x v="14"/>
    <n v="2455"/>
    <s v=""/>
    <n v="2455"/>
  </r>
  <r>
    <s v="2025-10-10"/>
    <x v="9"/>
    <x v="13"/>
    <x v="2"/>
    <s v="Operational Cost"/>
    <x v="14"/>
    <n v="514"/>
    <s v=""/>
    <n v="514"/>
  </r>
  <r>
    <s v="2025-10-13"/>
    <x v="9"/>
    <x v="10"/>
    <x v="3"/>
    <s v="Operational Cost"/>
    <x v="12"/>
    <n v="3611.54"/>
    <s v=""/>
    <n v="3611.54"/>
  </r>
  <r>
    <s v="2025-10-13"/>
    <x v="9"/>
    <x v="10"/>
    <x v="3"/>
    <s v="Operational Cost"/>
    <x v="12"/>
    <s v=""/>
    <n v="35.76"/>
    <n v="-35.76"/>
  </r>
  <r>
    <s v="2025-10-13"/>
    <x v="9"/>
    <x v="11"/>
    <x v="6"/>
    <s v="Operational Cost"/>
    <x v="9"/>
    <n v="1500"/>
    <s v=""/>
    <n v="1500"/>
  </r>
  <r>
    <s v="2025-10-14"/>
    <x v="9"/>
    <x v="14"/>
    <x v="3"/>
    <s v="Sales General &amp; Administration "/>
    <x v="96"/>
    <n v="6249"/>
    <s v=""/>
    <n v="6249"/>
  </r>
  <r>
    <s v="2025-10-15"/>
    <x v="9"/>
    <x v="17"/>
    <x v="0"/>
    <s v="Operational Cost"/>
    <x v="16"/>
    <n v="218078"/>
    <s v=""/>
    <n v="218078"/>
  </r>
  <r>
    <s v="2025-10-15"/>
    <x v="9"/>
    <x v="7"/>
    <x v="3"/>
    <s v="Sales General &amp; Administration "/>
    <x v="97"/>
    <n v="2653"/>
    <s v=""/>
    <n v="2653"/>
  </r>
  <r>
    <s v="2025-10-15"/>
    <x v="9"/>
    <x v="13"/>
    <x v="2"/>
    <s v="Operational Cost"/>
    <x v="21"/>
    <n v="2793.06"/>
    <s v=""/>
    <n v="2793.06"/>
  </r>
  <r>
    <s v="2025-10-15"/>
    <x v="9"/>
    <x v="13"/>
    <x v="2"/>
    <s v="Operational Cost"/>
    <x v="14"/>
    <n v="3535"/>
    <s v=""/>
    <n v="3535"/>
  </r>
  <r>
    <s v="2025-10-15"/>
    <x v="9"/>
    <x v="13"/>
    <x v="2"/>
    <s v="Operational Cost"/>
    <x v="14"/>
    <n v="8913"/>
    <s v=""/>
    <n v="8913"/>
  </r>
  <r>
    <s v="2025-10-16"/>
    <x v="9"/>
    <x v="11"/>
    <x v="6"/>
    <s v="Operational Cost"/>
    <x v="93"/>
    <n v="800"/>
    <s v=""/>
    <n v="800"/>
  </r>
  <r>
    <s v="2025-10-16"/>
    <x v="9"/>
    <x v="10"/>
    <x v="3"/>
    <s v="Operational Cost"/>
    <x v="12"/>
    <n v="1120"/>
    <s v=""/>
    <n v="1120"/>
  </r>
  <r>
    <s v="2025-10-16"/>
    <x v="9"/>
    <x v="10"/>
    <x v="3"/>
    <s v="Operational Cost"/>
    <x v="12"/>
    <s v=""/>
    <n v="11.09"/>
    <n v="-11.09"/>
  </r>
  <r>
    <s v="2025-10-16"/>
    <x v="9"/>
    <x v="13"/>
    <x v="2"/>
    <s v="Operational Cost"/>
    <x v="21"/>
    <n v="3382"/>
    <s v=""/>
    <n v="3382"/>
  </r>
  <r>
    <s v="2025-10-16"/>
    <x v="9"/>
    <x v="15"/>
    <x v="2"/>
    <s v="Operational Cost"/>
    <x v="19"/>
    <n v="923.82"/>
    <s v=""/>
    <n v="923.82"/>
  </r>
  <r>
    <s v="2025-10-16"/>
    <x v="9"/>
    <x v="11"/>
    <x v="6"/>
    <s v="Operational Cost"/>
    <x v="9"/>
    <n v="206250"/>
    <s v=""/>
    <n v="206250"/>
  </r>
  <r>
    <s v="2025-10-16"/>
    <x v="9"/>
    <x v="7"/>
    <x v="3"/>
    <s v="Sales General &amp; Administration "/>
    <x v="9"/>
    <n v="3400"/>
    <s v=""/>
    <n v="3400"/>
  </r>
  <r>
    <s v="2025-10-17"/>
    <x v="9"/>
    <x v="19"/>
    <x v="8"/>
    <s v="Sales General &amp; Administration "/>
    <x v="12"/>
    <n v="33.82"/>
    <s v=""/>
    <n v="33.82"/>
  </r>
  <r>
    <s v="2025-10-17"/>
    <x v="9"/>
    <x v="13"/>
    <x v="2"/>
    <s v="Operational Cost"/>
    <x v="14"/>
    <n v="8870"/>
    <s v=""/>
    <n v="8870"/>
  </r>
  <r>
    <s v="2025-10-17"/>
    <x v="9"/>
    <x v="13"/>
    <x v="2"/>
    <s v="Operational Cost"/>
    <x v="14"/>
    <n v="547"/>
    <s v=""/>
    <n v="547"/>
  </r>
  <r>
    <s v="2025-10-17"/>
    <x v="9"/>
    <x v="11"/>
    <x v="6"/>
    <s v="Operational Cost"/>
    <x v="45"/>
    <n v="40750"/>
    <s v=""/>
    <n v="40750"/>
  </r>
  <r>
    <s v="2025-10-18"/>
    <x v="9"/>
    <x v="13"/>
    <x v="2"/>
    <s v="Operational Cost"/>
    <x v="14"/>
    <n v="1499"/>
    <s v=""/>
    <n v="1499"/>
  </r>
  <r>
    <s v="2025-10-20"/>
    <x v="9"/>
    <x v="16"/>
    <x v="6"/>
    <s v="Operational Cost"/>
    <x v="15"/>
    <n v="4833"/>
    <s v=""/>
    <n v="4833"/>
  </r>
  <r>
    <s v="2025-10-21"/>
    <x v="9"/>
    <x v="10"/>
    <x v="3"/>
    <s v="Operational Cost"/>
    <x v="12"/>
    <n v="4674.5200000000004"/>
    <s v=""/>
    <n v="4674.5200000000004"/>
  </r>
  <r>
    <s v="2025-10-21"/>
    <x v="9"/>
    <x v="10"/>
    <x v="3"/>
    <s v="Operational Cost"/>
    <x v="12"/>
    <s v=""/>
    <n v="46.28"/>
    <n v="-46.28"/>
  </r>
  <r>
    <s v="2025-10-21"/>
    <x v="9"/>
    <x v="14"/>
    <x v="3"/>
    <s v="Sales General &amp; Administration "/>
    <x v="98"/>
    <n v="150"/>
    <s v=""/>
    <n v="150"/>
  </r>
  <r>
    <s v="2025-10-21"/>
    <x v="9"/>
    <x v="11"/>
    <x v="6"/>
    <s v="Operational Cost"/>
    <x v="98"/>
    <n v="160"/>
    <s v=""/>
    <n v="160"/>
  </r>
  <r>
    <s v="2025-10-22"/>
    <x v="9"/>
    <x v="13"/>
    <x v="2"/>
    <s v="Operational Cost"/>
    <x v="22"/>
    <n v="6299.14"/>
    <s v=""/>
    <n v="6299.14"/>
  </r>
  <r>
    <s v="2025-10-22"/>
    <x v="9"/>
    <x v="13"/>
    <x v="2"/>
    <s v="Operational Cost"/>
    <x v="14"/>
    <n v="5372"/>
    <s v=""/>
    <n v="5372"/>
  </r>
  <r>
    <s v="2025-10-22"/>
    <x v="9"/>
    <x v="14"/>
    <x v="3"/>
    <s v="Sales General &amp; Administration "/>
    <x v="98"/>
    <n v="126"/>
    <s v=""/>
    <n v="126"/>
  </r>
  <r>
    <s v="2025-10-22"/>
    <x v="9"/>
    <x v="14"/>
    <x v="3"/>
    <s v="Sales General &amp; Administration "/>
    <x v="98"/>
    <n v="140"/>
    <s v=""/>
    <n v="140"/>
  </r>
  <r>
    <s v="2025-10-22"/>
    <x v="9"/>
    <x v="10"/>
    <x v="3"/>
    <s v="Operational Cost"/>
    <x v="51"/>
    <n v="2424.5700000000002"/>
    <s v=""/>
    <n v="2424.5700000000002"/>
  </r>
  <r>
    <s v="2025-10-22"/>
    <x v="9"/>
    <x v="10"/>
    <x v="3"/>
    <s v="Operational Cost"/>
    <x v="51"/>
    <n v="2293.04"/>
    <s v=""/>
    <n v="2293.04"/>
  </r>
  <r>
    <s v="2025-10-23"/>
    <x v="9"/>
    <x v="13"/>
    <x v="2"/>
    <s v="Operational Cost"/>
    <x v="21"/>
    <n v="2367"/>
    <s v=""/>
    <n v="2367"/>
  </r>
  <r>
    <s v="2025-10-23"/>
    <x v="9"/>
    <x v="54"/>
    <x v="3"/>
    <s v="Sales General &amp; Administration "/>
    <x v="55"/>
    <n v="5000"/>
    <s v=""/>
    <n v="5000"/>
  </r>
  <r>
    <s v="2025-10-23"/>
    <x v="9"/>
    <x v="14"/>
    <x v="3"/>
    <s v="Sales General &amp; Administration "/>
    <x v="98"/>
    <n v="60"/>
    <s v=""/>
    <n v="60"/>
  </r>
  <r>
    <s v="2025-10-23"/>
    <x v="9"/>
    <x v="14"/>
    <x v="3"/>
    <s v="Sales General &amp; Administration "/>
    <x v="98"/>
    <n v="1380"/>
    <s v=""/>
    <n v="1380"/>
  </r>
  <r>
    <s v="2025-10-23"/>
    <x v="9"/>
    <x v="14"/>
    <x v="3"/>
    <s v="Sales General &amp; Administration "/>
    <x v="98"/>
    <n v="95"/>
    <s v=""/>
    <n v="95"/>
  </r>
  <r>
    <s v="2025-10-23"/>
    <x v="9"/>
    <x v="10"/>
    <x v="3"/>
    <s v="Operational Cost"/>
    <x v="98"/>
    <n v="1369.41"/>
    <s v=""/>
    <n v="1369.41"/>
  </r>
  <r>
    <s v="2025-10-24"/>
    <x v="9"/>
    <x v="19"/>
    <x v="8"/>
    <s v="Sales General &amp; Administration "/>
    <x v="12"/>
    <n v="23.67"/>
    <s v=""/>
    <n v="23.67"/>
  </r>
  <r>
    <s v="2025-10-24"/>
    <x v="9"/>
    <x v="14"/>
    <x v="3"/>
    <s v="Sales General &amp; Administration "/>
    <x v="98"/>
    <n v="96"/>
    <s v=""/>
    <n v="96"/>
  </r>
  <r>
    <s v="2025-10-24"/>
    <x v="9"/>
    <x v="14"/>
    <x v="3"/>
    <s v="Sales General &amp; Administration "/>
    <x v="98"/>
    <n v="96"/>
    <s v=""/>
    <n v="96"/>
  </r>
  <r>
    <s v="2025-10-24"/>
    <x v="9"/>
    <x v="10"/>
    <x v="3"/>
    <s v="Operational Cost"/>
    <x v="98"/>
    <n v="778.56"/>
    <s v=""/>
    <n v="778.56"/>
  </r>
  <r>
    <s v="2025-10-24"/>
    <x v="9"/>
    <x v="7"/>
    <x v="3"/>
    <s v="Sales General &amp; Administration "/>
    <x v="99"/>
    <n v="3602.3"/>
    <s v=""/>
    <n v="3602.3"/>
  </r>
  <r>
    <s v="2025-10-25"/>
    <x v="9"/>
    <x v="23"/>
    <x v="2"/>
    <s v="Operational Cost"/>
    <x v="95"/>
    <n v="11387.23"/>
    <s v=""/>
    <n v="11387.23"/>
  </r>
  <r>
    <s v="2025-10-27"/>
    <x v="9"/>
    <x v="19"/>
    <x v="8"/>
    <s v="Sales General &amp; Administration "/>
    <x v="12"/>
    <n v="113.87"/>
    <s v=""/>
    <n v="113.87"/>
  </r>
  <r>
    <s v="2025-10-27"/>
    <x v="9"/>
    <x v="14"/>
    <x v="3"/>
    <s v="Sales General &amp; Administration "/>
    <x v="98"/>
    <n v="144"/>
    <s v=""/>
    <n v="144"/>
  </r>
  <r>
    <s v="2025-10-27"/>
    <x v="9"/>
    <x v="13"/>
    <x v="2"/>
    <s v="Operational Cost"/>
    <x v="21"/>
    <n v="1499"/>
    <s v=""/>
    <n v="1499"/>
  </r>
  <r>
    <s v="2025-10-28"/>
    <x v="9"/>
    <x v="11"/>
    <x v="6"/>
    <s v="Operational Cost"/>
    <x v="12"/>
    <n v="150"/>
    <s v=""/>
    <n v="150"/>
  </r>
  <r>
    <s v="2025-10-28"/>
    <x v="9"/>
    <x v="11"/>
    <x v="6"/>
    <s v="Operational Cost"/>
    <x v="12"/>
    <n v="455"/>
    <s v=""/>
    <n v="455"/>
  </r>
  <r>
    <s v="2025-10-28"/>
    <x v="9"/>
    <x v="11"/>
    <x v="6"/>
    <s v="Operational Cost"/>
    <x v="12"/>
    <n v="397.91"/>
    <s v=""/>
    <n v="397.91"/>
  </r>
  <r>
    <s v="2025-10-28"/>
    <x v="9"/>
    <x v="11"/>
    <x v="6"/>
    <s v="Operational Cost"/>
    <x v="12"/>
    <n v="500"/>
    <s v=""/>
    <n v="500"/>
  </r>
  <r>
    <s v="2025-10-28"/>
    <x v="9"/>
    <x v="11"/>
    <x v="6"/>
    <s v="Operational Cost"/>
    <x v="12"/>
    <n v="396.2"/>
    <s v=""/>
    <n v="396.2"/>
  </r>
  <r>
    <s v="2025-10-28"/>
    <x v="9"/>
    <x v="14"/>
    <x v="3"/>
    <s v="Sales General &amp; Administration "/>
    <x v="98"/>
    <n v="126"/>
    <s v=""/>
    <n v="126"/>
  </r>
  <r>
    <s v="2025-10-28"/>
    <x v="9"/>
    <x v="14"/>
    <x v="3"/>
    <s v="Sales General &amp; Administration "/>
    <x v="98"/>
    <n v="100"/>
    <s v=""/>
    <n v="100"/>
  </r>
  <r>
    <s v="2025-10-28"/>
    <x v="9"/>
    <x v="7"/>
    <x v="3"/>
    <s v="Sales General &amp; Administration "/>
    <x v="100"/>
    <n v="1186.44"/>
    <s v=""/>
    <n v="1186.44"/>
  </r>
  <r>
    <s v="2025-10-29"/>
    <x v="9"/>
    <x v="14"/>
    <x v="3"/>
    <s v="Sales General &amp; Administration "/>
    <x v="98"/>
    <n v="100"/>
    <s v=""/>
    <n v="100"/>
  </r>
  <r>
    <s v="2025-10-29"/>
    <x v="9"/>
    <x v="8"/>
    <x v="5"/>
    <s v="Indirect Income"/>
    <x v="7"/>
    <s v=""/>
    <n v="117347.5"/>
    <n v="-117347.5"/>
  </r>
  <r>
    <s v="2025-10-29"/>
    <x v="9"/>
    <x v="11"/>
    <x v="6"/>
    <s v="Operational Cost"/>
    <x v="10"/>
    <n v="1143"/>
    <s v=""/>
    <n v="1143"/>
  </r>
  <r>
    <s v="2025-10-30"/>
    <x v="9"/>
    <x v="7"/>
    <x v="3"/>
    <s v="Sales General &amp; Administration "/>
    <x v="93"/>
    <n v="100"/>
    <s v=""/>
    <n v="100"/>
  </r>
  <r>
    <s v="2025-10-30"/>
    <x v="9"/>
    <x v="23"/>
    <x v="2"/>
    <s v="Operational Cost"/>
    <x v="25"/>
    <n v="1000"/>
    <s v=""/>
    <n v="1000"/>
  </r>
  <r>
    <s v="2025-10-30"/>
    <x v="9"/>
    <x v="14"/>
    <x v="3"/>
    <s v="Sales General &amp; Administration "/>
    <x v="98"/>
    <n v="156"/>
    <s v=""/>
    <n v="156"/>
  </r>
  <r>
    <s v="2025-10-30"/>
    <x v="9"/>
    <x v="14"/>
    <x v="3"/>
    <s v="Sales General &amp; Administration "/>
    <x v="98"/>
    <n v="96"/>
    <s v=""/>
    <n v="96"/>
  </r>
  <r>
    <s v="2025-10-30"/>
    <x v="9"/>
    <x v="10"/>
    <x v="3"/>
    <s v="Operational Cost"/>
    <x v="98"/>
    <n v="1015.91"/>
    <s v=""/>
    <n v="1015.91"/>
  </r>
  <r>
    <s v="2025-10-30"/>
    <x v="9"/>
    <x v="8"/>
    <x v="5"/>
    <s v="Indirect Income"/>
    <x v="7"/>
    <s v=""/>
    <n v="131717.74"/>
    <n v="-131717.74"/>
  </r>
  <r>
    <s v="2025-10-31"/>
    <x v="9"/>
    <x v="26"/>
    <x v="3"/>
    <s v="Sales General &amp; Administration "/>
    <x v="92"/>
    <n v="14464"/>
    <s v=""/>
    <n v="14464"/>
  </r>
  <r>
    <s v="2025-10-31"/>
    <x v="9"/>
    <x v="26"/>
    <x v="3"/>
    <s v="Sales General &amp; Administration "/>
    <x v="28"/>
    <n v="32000"/>
    <s v=""/>
    <n v="32000"/>
  </r>
  <r>
    <s v="2025-10-31"/>
    <x v="9"/>
    <x v="21"/>
    <x v="0"/>
    <s v="Operational Cost"/>
    <x v="20"/>
    <n v="159250.09"/>
    <s v=""/>
    <n v="159250.09"/>
  </r>
  <r>
    <s v="2025-10-31"/>
    <x v="9"/>
    <x v="24"/>
    <x v="9"/>
    <s v="Sales General &amp; Administration "/>
    <x v="26"/>
    <n v="160000"/>
    <s v=""/>
    <n v="160000"/>
  </r>
  <r>
    <s v="2025-10-31"/>
    <x v="9"/>
    <x v="24"/>
    <x v="9"/>
    <s v="Sales General &amp; Administration "/>
    <x v="26"/>
    <n v="160000"/>
    <s v=""/>
    <n v="160000"/>
  </r>
  <r>
    <s v="2025-10-31"/>
    <x v="9"/>
    <x v="24"/>
    <x v="9"/>
    <s v="Sales General &amp; Administration "/>
    <x v="26"/>
    <n v="268000"/>
    <s v=""/>
    <n v="268000"/>
  </r>
  <r>
    <s v="2025-10-31"/>
    <x v="9"/>
    <x v="31"/>
    <x v="3"/>
    <s v="Sales General &amp; Administration "/>
    <x v="33"/>
    <n v="12000"/>
    <s v=""/>
    <n v="12000"/>
  </r>
  <r>
    <s v="2025-10-31"/>
    <x v="9"/>
    <x v="32"/>
    <x v="3"/>
    <s v="Sales General &amp; Administration "/>
    <x v="34"/>
    <n v="12000"/>
    <s v=""/>
    <n v="12000"/>
  </r>
  <r>
    <s v="2025-10-31"/>
    <x v="9"/>
    <x v="24"/>
    <x v="9"/>
    <s v="Sales General &amp; Administration "/>
    <x v="26"/>
    <n v="60000"/>
    <s v=""/>
    <n v="60000"/>
  </r>
  <r>
    <s v="2025-10-31"/>
    <x v="9"/>
    <x v="24"/>
    <x v="9"/>
    <s v="Sales General &amp; Administration "/>
    <x v="26"/>
    <n v="247074"/>
    <s v=""/>
    <n v="247074"/>
  </r>
  <r>
    <s v="2025-10-31"/>
    <x v="9"/>
    <x v="31"/>
    <x v="3"/>
    <s v="Sales General &amp; Administration "/>
    <x v="33"/>
    <n v="6000"/>
    <s v=""/>
    <n v="6000"/>
  </r>
  <r>
    <s v="2025-10-31"/>
    <x v="9"/>
    <x v="32"/>
    <x v="3"/>
    <s v="Sales General &amp; Administration "/>
    <x v="34"/>
    <n v="6000"/>
    <s v=""/>
    <n v="6000"/>
  </r>
  <r>
    <s v="2025-10-31"/>
    <x v="9"/>
    <x v="25"/>
    <x v="7"/>
    <s v="Operational Cost"/>
    <x v="27"/>
    <n v="12000"/>
    <s v=""/>
    <n v="12000"/>
  </r>
  <r>
    <s v="2025-10-31"/>
    <x v="9"/>
    <x v="14"/>
    <x v="3"/>
    <s v="Sales General &amp; Administration "/>
    <x v="98"/>
    <n v="111"/>
    <s v=""/>
    <n v="111"/>
  </r>
  <r>
    <s v="2025-10-31"/>
    <x v="9"/>
    <x v="7"/>
    <x v="3"/>
    <s v="Sales General &amp; Administration "/>
    <x v="42"/>
    <n v="12000"/>
    <s v=""/>
    <n v="12000"/>
  </r>
  <r>
    <s v="2025-10-31"/>
    <x v="9"/>
    <x v="11"/>
    <x v="6"/>
    <s v="Operational Cost"/>
    <x v="45"/>
    <n v="33000"/>
    <s v=""/>
    <n v="33000"/>
  </r>
  <r>
    <s v="2025-10-31"/>
    <x v="9"/>
    <x v="27"/>
    <x v="3"/>
    <s v="Sales General &amp; Administration "/>
    <x v="29"/>
    <n v="35244"/>
    <s v=""/>
    <n v="35244"/>
  </r>
  <r>
    <s v="2025-10-31"/>
    <x v="9"/>
    <x v="28"/>
    <x v="3"/>
    <s v="Sales General &amp; Administration "/>
    <x v="30"/>
    <n v="289438"/>
    <s v=""/>
    <n v="289438"/>
  </r>
  <r>
    <s v="2025-10-31"/>
    <x v="9"/>
    <x v="29"/>
    <x v="7"/>
    <s v="Operational Cost"/>
    <x v="31"/>
    <n v="6270781"/>
    <s v=""/>
    <n v="6270781"/>
  </r>
  <r>
    <s v="2025-10-31"/>
    <x v="9"/>
    <x v="30"/>
    <x v="7"/>
    <s v="Operational Cost"/>
    <x v="32"/>
    <n v="3187170"/>
    <s v=""/>
    <n v="3187170"/>
  </r>
  <r>
    <s v="2025-10-31"/>
    <x v="9"/>
    <x v="31"/>
    <x v="3"/>
    <s v="Sales General &amp; Administration "/>
    <x v="33"/>
    <n v="412132"/>
    <s v=""/>
    <n v="412132"/>
  </r>
  <r>
    <s v="2025-10-31"/>
    <x v="9"/>
    <x v="32"/>
    <x v="3"/>
    <s v="Sales General &amp; Administration "/>
    <x v="34"/>
    <n v="412132"/>
    <s v=""/>
    <n v="412132"/>
  </r>
  <r>
    <s v="2025-10-31"/>
    <x v="9"/>
    <x v="33"/>
    <x v="3"/>
    <s v="Sales General &amp; Administration "/>
    <x v="35"/>
    <n v="19803"/>
    <s v=""/>
    <n v="19803"/>
  </r>
  <r>
    <s v="2025-10-31"/>
    <x v="9"/>
    <x v="34"/>
    <x v="3"/>
    <s v="Sales General &amp; Administration "/>
    <x v="36"/>
    <n v="4591"/>
    <s v=""/>
    <n v="4591"/>
  </r>
  <r>
    <s v="2025-10-31"/>
    <x v="9"/>
    <x v="35"/>
    <x v="10"/>
    <s v="Sales General &amp; Administration "/>
    <x v="37"/>
    <n v="130598"/>
    <s v=""/>
    <n v="130598"/>
  </r>
  <r>
    <s v="2025-10-31"/>
    <x v="9"/>
    <x v="36"/>
    <x v="9"/>
    <s v="Sales General &amp; Administration "/>
    <x v="38"/>
    <n v="48600"/>
    <s v=""/>
    <n v="48600"/>
  </r>
  <r>
    <s v="2025-10-31"/>
    <x v="9"/>
    <x v="37"/>
    <x v="9"/>
    <s v="Sales General &amp; Administration "/>
    <x v="39"/>
    <n v="91488"/>
    <s v=""/>
    <n v="91488"/>
  </r>
  <r>
    <s v="2025-10-31"/>
    <x v="9"/>
    <x v="38"/>
    <x v="9"/>
    <s v="Sales General &amp; Administration "/>
    <x v="40"/>
    <n v="63878"/>
    <s v=""/>
    <n v="63878"/>
  </r>
  <r>
    <s v="2025-10-31"/>
    <x v="9"/>
    <x v="39"/>
    <x v="3"/>
    <s v="Sales General &amp; Administration "/>
    <x v="41"/>
    <n v="57910"/>
    <s v=""/>
    <n v="57910"/>
  </r>
  <r>
    <s v="2025-11-01"/>
    <x v="10"/>
    <x v="0"/>
    <x v="0"/>
    <s v="Operational Cost"/>
    <x v="0"/>
    <n v="395769"/>
    <s v=""/>
    <n v="395769"/>
  </r>
  <r>
    <s v="2025-11-01"/>
    <x v="10"/>
    <x v="1"/>
    <x v="0"/>
    <s v="Operational Cost"/>
    <x v="0"/>
    <n v="68360"/>
    <s v=""/>
    <n v="68360"/>
  </r>
  <r>
    <s v="2025-11-01"/>
    <x v="10"/>
    <x v="4"/>
    <x v="2"/>
    <s v="Operational Cost"/>
    <x v="3"/>
    <n v="18100"/>
    <s v=""/>
    <n v="18100"/>
  </r>
  <r>
    <s v="2025-11-01"/>
    <x v="10"/>
    <x v="52"/>
    <x v="0"/>
    <s v="Operational Cost"/>
    <x v="82"/>
    <n v="400000"/>
    <s v=""/>
    <n v="400000"/>
  </r>
  <r>
    <s v="2025-11-01"/>
    <x v="10"/>
    <x v="3"/>
    <x v="1"/>
    <s v="Sales General &amp; Administration "/>
    <x v="2"/>
    <n v="125000"/>
    <s v=""/>
    <n v="125000"/>
  </r>
  <r>
    <s v="2025-11-01"/>
    <x v="10"/>
    <x v="46"/>
    <x v="8"/>
    <s v="Sales General &amp; Administration "/>
    <x v="55"/>
    <n v="6623"/>
    <s v=""/>
    <n v="6623"/>
  </r>
  <r>
    <s v="2025-11-01"/>
    <x v="10"/>
    <x v="10"/>
    <x v="3"/>
    <s v="Operational Cost"/>
    <x v="98"/>
    <n v="778.56"/>
    <s v=""/>
    <n v="778.56"/>
  </r>
  <r>
    <s v="2025-11-01"/>
    <x v="10"/>
    <x v="13"/>
    <x v="2"/>
    <s v="Operational Cost"/>
    <x v="14"/>
    <n v="2817"/>
    <s v=""/>
    <n v="2817"/>
  </r>
  <r>
    <s v="2025-11-01"/>
    <x v="10"/>
    <x v="13"/>
    <x v="2"/>
    <s v="Operational Cost"/>
    <x v="14"/>
    <n v="533"/>
    <s v=""/>
    <n v="533"/>
  </r>
  <r>
    <s v="2025-11-03"/>
    <x v="10"/>
    <x v="13"/>
    <x v="2"/>
    <s v="Operational Cost"/>
    <x v="23"/>
    <n v="50000"/>
    <s v=""/>
    <n v="50000"/>
  </r>
  <r>
    <s v="2025-11-03"/>
    <x v="10"/>
    <x v="6"/>
    <x v="4"/>
    <s v="Operational Cost"/>
    <x v="5"/>
    <n v="303800"/>
    <s v=""/>
    <n v="303800"/>
  </r>
  <r>
    <s v="2025-11-03"/>
    <x v="10"/>
    <x v="9"/>
    <x v="2"/>
    <s v="Operational Cost"/>
    <x v="8"/>
    <n v="9167"/>
    <s v=""/>
    <n v="9167"/>
  </r>
  <r>
    <s v="2025-11-03"/>
    <x v="10"/>
    <x v="9"/>
    <x v="2"/>
    <s v="Operational Cost"/>
    <x v="8"/>
    <n v="10417"/>
    <s v=""/>
    <n v="10417"/>
  </r>
  <r>
    <s v="2025-11-03"/>
    <x v="10"/>
    <x v="9"/>
    <x v="2"/>
    <s v="Operational Cost"/>
    <x v="8"/>
    <n v="23333"/>
    <s v=""/>
    <n v="23333"/>
  </r>
  <r>
    <s v="2025-11-04"/>
    <x v="10"/>
    <x v="23"/>
    <x v="2"/>
    <s v="Operational Cost"/>
    <x v="89"/>
    <n v="15000"/>
    <s v=""/>
    <n v="15000"/>
  </r>
  <r>
    <s v="2025-11-04"/>
    <x v="10"/>
    <x v="14"/>
    <x v="3"/>
    <s v="Sales General &amp; Administration "/>
    <x v="98"/>
    <n v="156"/>
    <s v=""/>
    <n v="156"/>
  </r>
  <r>
    <s v="2025-11-05"/>
    <x v="10"/>
    <x v="18"/>
    <x v="0"/>
    <s v="Operational Cost"/>
    <x v="17"/>
    <n v="26250"/>
    <s v=""/>
    <n v="26250"/>
  </r>
  <r>
    <s v="2025-11-05"/>
    <x v="10"/>
    <x v="14"/>
    <x v="3"/>
    <s v="Sales General &amp; Administration "/>
    <x v="98"/>
    <n v="180"/>
    <s v=""/>
    <n v="180"/>
  </r>
  <r>
    <s v="2025-11-05"/>
    <x v="10"/>
    <x v="7"/>
    <x v="3"/>
    <s v="Sales General &amp; Administration "/>
    <x v="6"/>
    <n v="23086"/>
    <s v=""/>
    <n v="23086"/>
  </r>
  <r>
    <s v="2025-11-05"/>
    <x v="10"/>
    <x v="7"/>
    <x v="3"/>
    <s v="Sales General &amp; Administration "/>
    <x v="6"/>
    <n v="3296"/>
    <s v=""/>
    <n v="3296"/>
  </r>
  <r>
    <s v="2025-11-06"/>
    <x v="10"/>
    <x v="14"/>
    <x v="3"/>
    <s v="Sales General &amp; Administration "/>
    <x v="98"/>
    <n v="124"/>
    <s v=""/>
    <n v="124"/>
  </r>
  <r>
    <s v="2025-11-06"/>
    <x v="10"/>
    <x v="10"/>
    <x v="3"/>
    <s v="Operational Cost"/>
    <x v="98"/>
    <n v="1015.91"/>
    <s v=""/>
    <n v="1015.91"/>
  </r>
  <r>
    <s v="2025-11-06"/>
    <x v="10"/>
    <x v="10"/>
    <x v="3"/>
    <s v="Operational Cost"/>
    <x v="98"/>
    <n v="899.76"/>
    <s v=""/>
    <n v="899.76"/>
  </r>
  <r>
    <s v="2025-11-06"/>
    <x v="10"/>
    <x v="13"/>
    <x v="2"/>
    <s v="Operational Cost"/>
    <x v="14"/>
    <n v="2479"/>
    <s v=""/>
    <n v="2479"/>
  </r>
  <r>
    <s v="2025-11-07"/>
    <x v="10"/>
    <x v="14"/>
    <x v="3"/>
    <s v="Sales General &amp; Administration "/>
    <x v="98"/>
    <n v="136"/>
    <s v=""/>
    <n v="136"/>
  </r>
  <r>
    <s v="2025-11-07"/>
    <x v="10"/>
    <x v="55"/>
    <x v="0"/>
    <s v="Operational Cost"/>
    <x v="101"/>
    <n v="25000"/>
    <s v=""/>
    <n v="25000"/>
  </r>
  <r>
    <s v="2025-11-07"/>
    <x v="10"/>
    <x v="7"/>
    <x v="3"/>
    <s v="Sales General &amp; Administration "/>
    <x v="9"/>
    <n v="350"/>
    <s v=""/>
    <n v="350"/>
  </r>
  <r>
    <s v="2025-11-07"/>
    <x v="10"/>
    <x v="7"/>
    <x v="3"/>
    <s v="Sales General &amp; Administration "/>
    <x v="9"/>
    <n v="1000"/>
    <s v=""/>
    <n v="1000"/>
  </r>
  <r>
    <s v="2025-11-07"/>
    <x v="10"/>
    <x v="10"/>
    <x v="3"/>
    <s v="Operational Cost"/>
    <x v="9"/>
    <n v="1772"/>
    <s v=""/>
    <n v="1772"/>
  </r>
  <r>
    <s v="2025-11-07"/>
    <x v="10"/>
    <x v="16"/>
    <x v="6"/>
    <s v="Operational Cost"/>
    <x v="15"/>
    <n v="59099"/>
    <s v=""/>
    <n v="59099"/>
  </r>
  <r>
    <s v="2025-11-07"/>
    <x v="10"/>
    <x v="13"/>
    <x v="2"/>
    <s v="Operational Cost"/>
    <x v="14"/>
    <n v="572"/>
    <s v=""/>
    <n v="572"/>
  </r>
  <r>
    <s v="2025-11-07"/>
    <x v="10"/>
    <x v="11"/>
    <x v="6"/>
    <s v="Operational Cost"/>
    <x v="9"/>
    <n v="16662"/>
    <s v=""/>
    <n v="16662"/>
  </r>
  <r>
    <s v="2025-11-07"/>
    <x v="10"/>
    <x v="11"/>
    <x v="6"/>
    <s v="Operational Cost"/>
    <x v="9"/>
    <n v="900"/>
    <s v=""/>
    <n v="900"/>
  </r>
  <r>
    <s v="2025-11-09"/>
    <x v="10"/>
    <x v="15"/>
    <x v="2"/>
    <s v="Operational Cost"/>
    <x v="19"/>
    <n v="1298"/>
    <s v=""/>
    <n v="1298"/>
  </r>
  <r>
    <s v="2025-11-10"/>
    <x v="10"/>
    <x v="14"/>
    <x v="3"/>
    <s v="Sales General &amp; Administration "/>
    <x v="98"/>
    <n v="126"/>
    <s v=""/>
    <n v="126"/>
  </r>
  <r>
    <s v="2025-11-10"/>
    <x v="10"/>
    <x v="14"/>
    <x v="3"/>
    <s v="Sales General &amp; Administration "/>
    <x v="98"/>
    <n v="140"/>
    <s v=""/>
    <n v="140"/>
  </r>
  <r>
    <s v="2025-11-10"/>
    <x v="10"/>
    <x v="13"/>
    <x v="2"/>
    <s v="Operational Cost"/>
    <x v="14"/>
    <n v="2455"/>
    <s v=""/>
    <n v="2455"/>
  </r>
  <r>
    <s v="2025-11-10"/>
    <x v="10"/>
    <x v="13"/>
    <x v="2"/>
    <s v="Operational Cost"/>
    <x v="14"/>
    <n v="514"/>
    <s v=""/>
    <n v="514"/>
  </r>
  <r>
    <s v="2025-11-11"/>
    <x v="10"/>
    <x v="14"/>
    <x v="3"/>
    <s v="Sales General &amp; Administration "/>
    <x v="98"/>
    <n v="136"/>
    <s v=""/>
    <n v="136"/>
  </r>
  <r>
    <s v="2025-11-11"/>
    <x v="10"/>
    <x v="14"/>
    <x v="3"/>
    <s v="Sales General &amp; Administration "/>
    <x v="98"/>
    <n v="100"/>
    <s v=""/>
    <n v="100"/>
  </r>
  <r>
    <s v="2025-11-12"/>
    <x v="10"/>
    <x v="17"/>
    <x v="0"/>
    <s v="Operational Cost"/>
    <x v="82"/>
    <n v="47724"/>
    <s v=""/>
    <n v="47724"/>
  </r>
  <r>
    <s v="2025-11-12"/>
    <x v="10"/>
    <x v="7"/>
    <x v="3"/>
    <s v="Sales General &amp; Administration "/>
    <x v="102"/>
    <n v="78810"/>
    <s v=""/>
    <n v="78810"/>
  </r>
  <r>
    <s v="2025-11-12"/>
    <x v="10"/>
    <x v="13"/>
    <x v="2"/>
    <s v="Operational Cost"/>
    <x v="14"/>
    <n v="473"/>
    <s v=""/>
    <n v="473"/>
  </r>
  <r>
    <s v="2025-11-12"/>
    <x v="10"/>
    <x v="13"/>
    <x v="2"/>
    <s v="Operational Cost"/>
    <x v="14"/>
    <n v="2775"/>
    <s v=""/>
    <n v="2775"/>
  </r>
  <r>
    <s v="2025-11-12"/>
    <x v="10"/>
    <x v="14"/>
    <x v="3"/>
    <s v="Sales General &amp; Administration "/>
    <x v="98"/>
    <n v="150"/>
    <s v=""/>
    <n v="150"/>
  </r>
  <r>
    <s v="2025-11-12"/>
    <x v="10"/>
    <x v="14"/>
    <x v="3"/>
    <s v="Sales General &amp; Administration "/>
    <x v="98"/>
    <n v="106"/>
    <s v=""/>
    <n v="106"/>
  </r>
  <r>
    <s v="2025-11-13"/>
    <x v="10"/>
    <x v="17"/>
    <x v="0"/>
    <s v="Operational Cost"/>
    <x v="16"/>
    <n v="200256"/>
    <s v=""/>
    <n v="200256"/>
  </r>
  <r>
    <s v="2025-11-13"/>
    <x v="10"/>
    <x v="14"/>
    <x v="3"/>
    <s v="Sales General &amp; Administration "/>
    <x v="98"/>
    <n v="100"/>
    <s v=""/>
    <n v="100"/>
  </r>
  <r>
    <s v="2025-11-13"/>
    <x v="10"/>
    <x v="10"/>
    <x v="3"/>
    <s v="Operational Cost"/>
    <x v="98"/>
    <n v="1015.91"/>
    <s v=""/>
    <n v="1015.91"/>
  </r>
  <r>
    <s v="2025-11-14"/>
    <x v="10"/>
    <x v="14"/>
    <x v="3"/>
    <s v="Sales General &amp; Administration "/>
    <x v="98"/>
    <n v="110"/>
    <s v=""/>
    <n v="110"/>
  </r>
  <r>
    <s v="2025-11-14"/>
    <x v="10"/>
    <x v="14"/>
    <x v="3"/>
    <s v="Sales General &amp; Administration "/>
    <x v="98"/>
    <n v="106"/>
    <s v=""/>
    <n v="106"/>
  </r>
  <r>
    <s v="2025-11-14"/>
    <x v="10"/>
    <x v="10"/>
    <x v="3"/>
    <s v="Operational Cost"/>
    <x v="98"/>
    <n v="899.76"/>
    <s v=""/>
    <n v="899.76"/>
  </r>
  <r>
    <s v="2025-11-15"/>
    <x v="10"/>
    <x v="13"/>
    <x v="2"/>
    <s v="Operational Cost"/>
    <x v="14"/>
    <n v="8913"/>
    <s v=""/>
    <n v="8913"/>
  </r>
  <r>
    <s v="2025-11-15"/>
    <x v="10"/>
    <x v="13"/>
    <x v="2"/>
    <s v="Operational Cost"/>
    <x v="14"/>
    <n v="3535"/>
    <s v=""/>
    <n v="3535"/>
  </r>
  <r>
    <s v="2025-11-15"/>
    <x v="10"/>
    <x v="13"/>
    <x v="2"/>
    <s v="Operational Cost"/>
    <x v="21"/>
    <n v="2793.06"/>
    <s v=""/>
    <n v="2793.06"/>
  </r>
  <r>
    <s v="2025-11-15"/>
    <x v="10"/>
    <x v="15"/>
    <x v="2"/>
    <s v="Operational Cost"/>
    <x v="19"/>
    <n v="923.82"/>
    <s v=""/>
    <n v="923.82"/>
  </r>
  <r>
    <s v="2025-11-15"/>
    <x v="10"/>
    <x v="10"/>
    <x v="3"/>
    <s v="Operational Cost"/>
    <x v="98"/>
    <n v="2221.3000000000002"/>
    <s v=""/>
    <n v="2221.3000000000002"/>
  </r>
  <r>
    <s v="2025-11-16"/>
    <x v="10"/>
    <x v="13"/>
    <x v="2"/>
    <s v="Operational Cost"/>
    <x v="21"/>
    <n v="3382"/>
    <s v=""/>
    <n v="3382"/>
  </r>
  <r>
    <s v="2025-11-17"/>
    <x v="10"/>
    <x v="13"/>
    <x v="2"/>
    <s v="Operational Cost"/>
    <x v="14"/>
    <n v="547"/>
    <s v=""/>
    <n v="547"/>
  </r>
  <r>
    <s v="2025-11-17"/>
    <x v="10"/>
    <x v="13"/>
    <x v="2"/>
    <s v="Operational Cost"/>
    <x v="14"/>
    <n v="8870"/>
    <s v=""/>
    <n v="8870"/>
  </r>
  <r>
    <s v="2025-11-17"/>
    <x v="10"/>
    <x v="14"/>
    <x v="3"/>
    <s v="Sales General &amp; Administration "/>
    <x v="98"/>
    <n v="524"/>
    <s v=""/>
    <n v="524"/>
  </r>
  <r>
    <s v="2025-11-18"/>
    <x v="10"/>
    <x v="10"/>
    <x v="3"/>
    <s v="Operational Cost"/>
    <x v="9"/>
    <n v="5600"/>
    <s v=""/>
    <n v="5600"/>
  </r>
  <r>
    <s v="2025-11-18"/>
    <x v="10"/>
    <x v="13"/>
    <x v="2"/>
    <s v="Operational Cost"/>
    <x v="14"/>
    <n v="1499"/>
    <s v=""/>
    <n v="1499"/>
  </r>
  <r>
    <s v="2025-11-18"/>
    <x v="10"/>
    <x v="11"/>
    <x v="6"/>
    <s v="Operational Cost"/>
    <x v="9"/>
    <n v="4500"/>
    <s v=""/>
    <n v="4500"/>
  </r>
  <r>
    <s v="2025-11-18"/>
    <x v="10"/>
    <x v="19"/>
    <x v="8"/>
    <s v="Sales General &amp; Administration "/>
    <x v="12"/>
    <n v="33.82"/>
    <s v=""/>
    <n v="33.82"/>
  </r>
  <r>
    <s v="2025-11-18"/>
    <x v="10"/>
    <x v="14"/>
    <x v="3"/>
    <s v="Sales General &amp; Administration "/>
    <x v="51"/>
    <n v="18170"/>
    <s v=""/>
    <n v="18170"/>
  </r>
  <r>
    <s v="2025-11-18"/>
    <x v="10"/>
    <x v="14"/>
    <x v="3"/>
    <s v="Sales General &amp; Administration "/>
    <x v="98"/>
    <n v="270"/>
    <s v=""/>
    <n v="270"/>
  </r>
  <r>
    <s v="2025-11-18"/>
    <x v="10"/>
    <x v="14"/>
    <x v="3"/>
    <s v="Sales General &amp; Administration "/>
    <x v="98"/>
    <n v="126"/>
    <s v=""/>
    <n v="126"/>
  </r>
  <r>
    <s v="2025-11-19"/>
    <x v="10"/>
    <x v="11"/>
    <x v="6"/>
    <s v="Operational Cost"/>
    <x v="86"/>
    <n v="650"/>
    <s v=""/>
    <n v="650"/>
  </r>
  <r>
    <s v="2025-11-19"/>
    <x v="10"/>
    <x v="11"/>
    <x v="6"/>
    <s v="Operational Cost"/>
    <x v="51"/>
    <n v="1177.3399999999999"/>
    <s v=""/>
    <n v="1177.3399999999999"/>
  </r>
  <r>
    <s v="2025-11-19"/>
    <x v="10"/>
    <x v="8"/>
    <x v="5"/>
    <s v="Indirect Income"/>
    <x v="7"/>
    <s v=""/>
    <n v="24875.49"/>
    <n v="-24875.49"/>
  </r>
  <r>
    <s v="2025-11-19"/>
    <x v="10"/>
    <x v="14"/>
    <x v="3"/>
    <s v="Sales General &amp; Administration "/>
    <x v="98"/>
    <n v="100"/>
    <s v=""/>
    <n v="100"/>
  </r>
  <r>
    <s v="2025-11-19"/>
    <x v="10"/>
    <x v="14"/>
    <x v="3"/>
    <s v="Sales General &amp; Administration "/>
    <x v="98"/>
    <n v="480"/>
    <s v=""/>
    <n v="480"/>
  </r>
  <r>
    <s v="2025-11-19"/>
    <x v="10"/>
    <x v="14"/>
    <x v="3"/>
    <s v="Sales General &amp; Administration "/>
    <x v="98"/>
    <n v="280"/>
    <s v=""/>
    <n v="280"/>
  </r>
  <r>
    <s v="2025-11-19"/>
    <x v="10"/>
    <x v="14"/>
    <x v="3"/>
    <s v="Sales General &amp; Administration "/>
    <x v="98"/>
    <n v="462"/>
    <s v=""/>
    <n v="462"/>
  </r>
  <r>
    <s v="2025-11-19"/>
    <x v="10"/>
    <x v="15"/>
    <x v="2"/>
    <s v="Operational Cost"/>
    <x v="19"/>
    <n v="1271.18"/>
    <s v=""/>
    <n v="1271.18"/>
  </r>
  <r>
    <s v="2025-11-20"/>
    <x v="10"/>
    <x v="16"/>
    <x v="6"/>
    <s v="Operational Cost"/>
    <x v="15"/>
    <n v="4833"/>
    <s v=""/>
    <n v="4833"/>
  </r>
  <r>
    <s v="2025-11-20"/>
    <x v="10"/>
    <x v="8"/>
    <x v="5"/>
    <s v="Indirect Income"/>
    <x v="7"/>
    <s v=""/>
    <n v="9141.11"/>
    <n v="-9141.11"/>
  </r>
  <r>
    <s v="2025-11-20"/>
    <x v="10"/>
    <x v="8"/>
    <x v="5"/>
    <s v="Indirect Income"/>
    <x v="7"/>
    <s v=""/>
    <n v="44707.89"/>
    <n v="-44707.89"/>
  </r>
  <r>
    <s v="2025-11-20"/>
    <x v="10"/>
    <x v="14"/>
    <x v="3"/>
    <s v="Sales General &amp; Administration "/>
    <x v="98"/>
    <n v="100"/>
    <s v=""/>
    <n v="100"/>
  </r>
  <r>
    <s v="2025-11-20"/>
    <x v="10"/>
    <x v="14"/>
    <x v="3"/>
    <s v="Sales General &amp; Administration "/>
    <x v="98"/>
    <n v="716"/>
    <s v=""/>
    <n v="716"/>
  </r>
  <r>
    <s v="2025-11-20"/>
    <x v="10"/>
    <x v="10"/>
    <x v="3"/>
    <s v="Operational Cost"/>
    <x v="98"/>
    <n v="899.76"/>
    <s v=""/>
    <n v="899.76"/>
  </r>
  <r>
    <s v="2025-11-20"/>
    <x v="10"/>
    <x v="10"/>
    <x v="3"/>
    <s v="Operational Cost"/>
    <x v="98"/>
    <n v="1015.91"/>
    <s v=""/>
    <n v="1015.91"/>
  </r>
  <r>
    <s v="2025-11-20"/>
    <x v="10"/>
    <x v="10"/>
    <x v="3"/>
    <s v="Operational Cost"/>
    <x v="98"/>
    <n v="1061.3599999999999"/>
    <s v=""/>
    <n v="1061.3599999999999"/>
  </r>
  <r>
    <s v="2025-11-21"/>
    <x v="10"/>
    <x v="19"/>
    <x v="8"/>
    <s v="Sales General &amp; Administration "/>
    <x v="55"/>
    <n v="3406.57"/>
    <s v=""/>
    <n v="3406.57"/>
  </r>
  <r>
    <s v="2025-11-21"/>
    <x v="10"/>
    <x v="14"/>
    <x v="3"/>
    <s v="Sales General &amp; Administration "/>
    <x v="103"/>
    <n v="20000"/>
    <s v=""/>
    <n v="20000"/>
  </r>
  <r>
    <d v="2025-08-31T00:00:00"/>
    <x v="7"/>
    <x v="6"/>
    <x v="4"/>
    <s v="Operational Cost"/>
    <x v="104"/>
    <n v="54600"/>
    <s v=""/>
    <n v="54600"/>
  </r>
  <r>
    <d v="2025-09-30T00:00:00"/>
    <x v="8"/>
    <x v="6"/>
    <x v="4"/>
    <s v="Operational Cost"/>
    <x v="104"/>
    <n v="39000"/>
    <s v=""/>
    <n v="39000"/>
  </r>
  <r>
    <s v="2025-11-22"/>
    <x v="10"/>
    <x v="13"/>
    <x v="2"/>
    <s v="Operational Cost"/>
    <x v="14"/>
    <n v="5372"/>
    <s v=""/>
    <n v="5372"/>
  </r>
  <r>
    <s v="2025-11-22"/>
    <x v="10"/>
    <x v="13"/>
    <x v="2"/>
    <s v="Operational Cost"/>
    <x v="22"/>
    <n v="6299.14"/>
    <s v=""/>
    <n v="6299.14"/>
  </r>
  <r>
    <s v="2025-11-22"/>
    <x v="10"/>
    <x v="7"/>
    <x v="3"/>
    <s v="Sales General &amp; Administration "/>
    <x v="80"/>
    <n v="4500"/>
    <s v=""/>
    <n v="4500"/>
  </r>
  <r>
    <d v="2025-10-31T00:00:00"/>
    <x v="9"/>
    <x v="6"/>
    <x v="4"/>
    <s v="Operational Cost"/>
    <x v="104"/>
    <n v="90350"/>
    <s v=""/>
    <n v="90350"/>
  </r>
  <r>
    <s v="2025-11-23"/>
    <x v="10"/>
    <x v="13"/>
    <x v="2"/>
    <s v="Operational Cost"/>
    <x v="21"/>
    <n v="2367"/>
    <s v=""/>
    <n v="2367"/>
  </r>
  <r>
    <s v="2025-11-24"/>
    <x v="10"/>
    <x v="14"/>
    <x v="3"/>
    <s v="Sales General &amp; Administration "/>
    <x v="98"/>
    <n v="140"/>
    <s v=""/>
    <n v="140"/>
  </r>
  <r>
    <s v="2025-11-24"/>
    <x v="10"/>
    <x v="14"/>
    <x v="3"/>
    <s v="Sales General &amp; Administration "/>
    <x v="98"/>
    <n v="106"/>
    <s v=""/>
    <n v="106"/>
  </r>
  <r>
    <s v="2025-11-25"/>
    <x v="10"/>
    <x v="19"/>
    <x v="8"/>
    <s v="Sales General &amp; Administration "/>
    <x v="12"/>
    <n v="23.67"/>
    <s v=""/>
    <n v="23.67"/>
  </r>
  <r>
    <s v="2025-11-25"/>
    <x v="10"/>
    <x v="8"/>
    <x v="5"/>
    <s v="Indirect Income"/>
    <x v="7"/>
    <s v=""/>
    <n v="283820.67"/>
    <n v="-283820.67"/>
  </r>
  <r>
    <s v="2025-11-25"/>
    <x v="10"/>
    <x v="11"/>
    <x v="6"/>
    <s v="Operational Cost"/>
    <x v="45"/>
    <n v="164389.20000000001"/>
    <s v=""/>
    <n v="164389.20000000001"/>
  </r>
  <r>
    <s v="2025-11-25"/>
    <x v="10"/>
    <x v="14"/>
    <x v="3"/>
    <s v="Sales General &amp; Administration "/>
    <x v="98"/>
    <n v="100"/>
    <s v=""/>
    <n v="100"/>
  </r>
  <r>
    <s v="2025-11-25"/>
    <x v="10"/>
    <x v="14"/>
    <x v="3"/>
    <s v="Sales General &amp; Administration "/>
    <x v="98"/>
    <n v="140"/>
    <s v=""/>
    <n v="140"/>
  </r>
  <r>
    <s v="2025-11-26"/>
    <x v="10"/>
    <x v="13"/>
    <x v="2"/>
    <s v="Operational Cost"/>
    <x v="105"/>
    <n v="19820.54"/>
    <s v=""/>
    <n v="19820.54"/>
  </r>
  <r>
    <s v="2025-11-26"/>
    <x v="10"/>
    <x v="13"/>
    <x v="2"/>
    <s v="Operational Cost"/>
    <x v="51"/>
    <n v="5990"/>
    <s v=""/>
    <n v="5990"/>
  </r>
  <r>
    <s v="2025-11-26"/>
    <x v="10"/>
    <x v="14"/>
    <x v="3"/>
    <s v="Sales General &amp; Administration "/>
    <x v="98"/>
    <n v="136"/>
    <s v=""/>
    <n v="136"/>
  </r>
  <r>
    <s v="2025-11-26"/>
    <x v="10"/>
    <x v="14"/>
    <x v="3"/>
    <s v="Sales General &amp; Administration "/>
    <x v="98"/>
    <n v="104"/>
    <s v=""/>
    <n v="104"/>
  </r>
  <r>
    <s v="2025-11-26"/>
    <x v="10"/>
    <x v="14"/>
    <x v="3"/>
    <s v="Sales General &amp; Administration "/>
    <x v="98"/>
    <n v="210"/>
    <s v=""/>
    <n v="210"/>
  </r>
  <r>
    <s v="2025-11-27"/>
    <x v="10"/>
    <x v="13"/>
    <x v="2"/>
    <s v="Operational Cost"/>
    <x v="21"/>
    <n v="1499"/>
    <s v=""/>
    <n v="1499"/>
  </r>
  <r>
    <s v="2025-11-27"/>
    <x v="10"/>
    <x v="19"/>
    <x v="8"/>
    <s v="Sales General &amp; Administration "/>
    <x v="51"/>
    <n v="99"/>
    <s v=""/>
    <n v="99"/>
  </r>
  <r>
    <s v="2025-11-27"/>
    <x v="10"/>
    <x v="14"/>
    <x v="3"/>
    <s v="Sales General &amp; Administration "/>
    <x v="98"/>
    <n v="100"/>
    <s v=""/>
    <n v="100"/>
  </r>
  <r>
    <s v="2025-11-27"/>
    <x v="10"/>
    <x v="14"/>
    <x v="3"/>
    <s v="Sales General &amp; Administration "/>
    <x v="98"/>
    <n v="98"/>
    <s v=""/>
    <n v="98"/>
  </r>
  <r>
    <s v="2025-11-27"/>
    <x v="10"/>
    <x v="14"/>
    <x v="3"/>
    <s v="Sales General &amp; Administration "/>
    <x v="98"/>
    <n v="110"/>
    <s v=""/>
    <n v="110"/>
  </r>
  <r>
    <s v="2025-11-28"/>
    <x v="10"/>
    <x v="24"/>
    <x v="9"/>
    <s v="Sales General &amp; Administration "/>
    <x v="26"/>
    <n v="160000"/>
    <s v=""/>
    <n v="160000"/>
  </r>
  <r>
    <s v="2025-11-28"/>
    <x v="10"/>
    <x v="24"/>
    <x v="9"/>
    <s v="Sales General &amp; Administration "/>
    <x v="26"/>
    <n v="160000"/>
    <s v=""/>
    <n v="160000"/>
  </r>
  <r>
    <s v="2025-11-28"/>
    <x v="10"/>
    <x v="24"/>
    <x v="9"/>
    <s v="Sales General &amp; Administration "/>
    <x v="26"/>
    <n v="268000"/>
    <s v=""/>
    <n v="268000"/>
  </r>
  <r>
    <s v="2025-11-28"/>
    <x v="10"/>
    <x v="31"/>
    <x v="3"/>
    <s v="Sales General &amp; Administration "/>
    <x v="33"/>
    <n v="12000"/>
    <s v=""/>
    <n v="12000"/>
  </r>
  <r>
    <s v="2025-11-28"/>
    <x v="10"/>
    <x v="32"/>
    <x v="3"/>
    <s v="Sales General &amp; Administration "/>
    <x v="34"/>
    <n v="12000"/>
    <s v=""/>
    <n v="12000"/>
  </r>
  <r>
    <s v="2025-11-28"/>
    <x v="10"/>
    <x v="24"/>
    <x v="9"/>
    <s v="Sales General &amp; Administration "/>
    <x v="26"/>
    <n v="60000"/>
    <s v=""/>
    <n v="60000"/>
  </r>
  <r>
    <s v="2025-11-28"/>
    <x v="10"/>
    <x v="24"/>
    <x v="9"/>
    <s v="Sales General &amp; Administration "/>
    <x v="26"/>
    <n v="247074"/>
    <s v=""/>
    <n v="247074"/>
  </r>
  <r>
    <s v="2025-11-28"/>
    <x v="10"/>
    <x v="31"/>
    <x v="3"/>
    <s v="Sales General &amp; Administration "/>
    <x v="33"/>
    <n v="6000"/>
    <s v=""/>
    <n v="6000"/>
  </r>
  <r>
    <s v="2025-11-28"/>
    <x v="10"/>
    <x v="32"/>
    <x v="3"/>
    <s v="Sales General &amp; Administration "/>
    <x v="34"/>
    <n v="6000"/>
    <s v=""/>
    <n v="6000"/>
  </r>
  <r>
    <s v="2025-11-28"/>
    <x v="10"/>
    <x v="25"/>
    <x v="7"/>
    <s v="Operational Cost"/>
    <x v="27"/>
    <n v="12000"/>
    <s v=""/>
    <n v="12000"/>
  </r>
  <r>
    <s v="2025-11-28"/>
    <x v="10"/>
    <x v="7"/>
    <x v="3"/>
    <s v="Sales General &amp; Administration "/>
    <x v="42"/>
    <n v="12000"/>
    <s v=""/>
    <n v="12000"/>
  </r>
  <r>
    <s v="2025-11-28"/>
    <x v="10"/>
    <x v="11"/>
    <x v="6"/>
    <s v="Operational Cost"/>
    <x v="45"/>
    <n v="33000"/>
    <s v=""/>
    <n v="33000"/>
  </r>
  <r>
    <s v="2025-11-28"/>
    <x v="10"/>
    <x v="19"/>
    <x v="8"/>
    <s v="Sales General &amp; Administration "/>
    <x v="51"/>
    <n v="495.51"/>
    <s v=""/>
    <n v="495.51"/>
  </r>
  <r>
    <s v="2025-11-28"/>
    <x v="10"/>
    <x v="14"/>
    <x v="3"/>
    <s v="Sales General &amp; Administration "/>
    <x v="106"/>
    <n v="2271"/>
    <s v=""/>
    <n v="2271"/>
  </r>
  <r>
    <s v="2025-11-28"/>
    <x v="10"/>
    <x v="7"/>
    <x v="3"/>
    <s v="Sales General &amp; Administration "/>
    <x v="98"/>
    <n v="246.05"/>
    <s v=""/>
    <n v="246.05"/>
  </r>
  <r>
    <s v="2025-11-28"/>
    <x v="10"/>
    <x v="27"/>
    <x v="3"/>
    <s v="Sales General &amp; Administration "/>
    <x v="29"/>
    <n v="35732"/>
    <s v=""/>
    <n v="35732"/>
  </r>
  <r>
    <s v="2025-11-28"/>
    <x v="10"/>
    <x v="28"/>
    <x v="3"/>
    <s v="Sales General &amp; Administration "/>
    <x v="30"/>
    <n v="264362"/>
    <s v=""/>
    <n v="264362"/>
  </r>
  <r>
    <s v="2025-11-28"/>
    <x v="10"/>
    <x v="29"/>
    <x v="7"/>
    <s v="Operational Cost"/>
    <x v="31"/>
    <n v="6229342"/>
    <s v=""/>
    <n v="6229342"/>
  </r>
  <r>
    <s v="2025-11-28"/>
    <x v="10"/>
    <x v="30"/>
    <x v="7"/>
    <s v="Operational Cost"/>
    <x v="32"/>
    <n v="3255082"/>
    <s v=""/>
    <n v="3255082"/>
  </r>
  <r>
    <s v="2025-11-28"/>
    <x v="10"/>
    <x v="31"/>
    <x v="3"/>
    <s v="Sales General &amp; Administration "/>
    <x v="33"/>
    <n v="417979"/>
    <s v=""/>
    <n v="417979"/>
  </r>
  <r>
    <s v="2025-11-28"/>
    <x v="10"/>
    <x v="32"/>
    <x v="3"/>
    <s v="Sales General &amp; Administration "/>
    <x v="34"/>
    <n v="417979"/>
    <s v=""/>
    <n v="417979"/>
  </r>
  <r>
    <s v="2025-11-28"/>
    <x v="10"/>
    <x v="33"/>
    <x v="3"/>
    <s v="Sales General &amp; Administration "/>
    <x v="35"/>
    <n v="18980"/>
    <s v=""/>
    <n v="18980"/>
  </r>
  <r>
    <s v="2025-11-28"/>
    <x v="10"/>
    <x v="34"/>
    <x v="3"/>
    <s v="Sales General &amp; Administration "/>
    <x v="36"/>
    <n v="4396"/>
    <s v=""/>
    <n v="4396"/>
  </r>
  <r>
    <s v="2025-11-28"/>
    <x v="10"/>
    <x v="35"/>
    <x v="10"/>
    <s v="Sales General &amp; Administration "/>
    <x v="37"/>
    <n v="118522"/>
    <s v=""/>
    <n v="118522"/>
  </r>
  <r>
    <s v="2025-11-28"/>
    <x v="10"/>
    <x v="36"/>
    <x v="9"/>
    <s v="Sales General &amp; Administration "/>
    <x v="38"/>
    <n v="56960"/>
    <s v=""/>
    <n v="56960"/>
  </r>
  <r>
    <s v="2025-11-28"/>
    <x v="10"/>
    <x v="37"/>
    <x v="9"/>
    <s v="Sales General &amp; Administration "/>
    <x v="39"/>
    <n v="91488"/>
    <s v=""/>
    <n v="91488"/>
  </r>
  <r>
    <s v="2025-11-28"/>
    <x v="10"/>
    <x v="38"/>
    <x v="9"/>
    <s v="Sales General &amp; Administration "/>
    <x v="40"/>
    <n v="76816"/>
    <s v=""/>
    <n v="76816"/>
  </r>
  <r>
    <s v="2025-11-28"/>
    <x v="10"/>
    <x v="39"/>
    <x v="3"/>
    <s v="Sales General &amp; Administration "/>
    <x v="41"/>
    <n v="59440"/>
    <s v=""/>
    <n v="59440"/>
  </r>
  <r>
    <s v="2025-11-29"/>
    <x v="10"/>
    <x v="21"/>
    <x v="0"/>
    <s v="Operational Cost"/>
    <x v="20"/>
    <n v="168956.09"/>
    <s v=""/>
    <n v="168956.09"/>
  </r>
  <r>
    <s v="2025-11-30"/>
    <x v="10"/>
    <x v="26"/>
    <x v="3"/>
    <s v="Sales General &amp; Administration "/>
    <x v="92"/>
    <n v="14000"/>
    <s v=""/>
    <n v="14000"/>
  </r>
  <r>
    <s v="2025-11-30"/>
    <x v="10"/>
    <x v="17"/>
    <x v="0"/>
    <s v="Operational Cost"/>
    <x v="16"/>
    <n v="423"/>
    <s v=""/>
    <n v="423"/>
  </r>
  <r>
    <s v="2025-11-30"/>
    <x v="10"/>
    <x v="23"/>
    <x v="2"/>
    <s v="Operational Cost"/>
    <x v="25"/>
    <n v="1000"/>
    <s v=""/>
    <n v="1000"/>
  </r>
  <r>
    <s v="2025-11-30"/>
    <x v="10"/>
    <x v="26"/>
    <x v="3"/>
    <s v="Sales General &amp; Administration "/>
    <x v="107"/>
    <n v="32000"/>
    <s v=""/>
    <n v="32000"/>
  </r>
  <r>
    <s v="2025-11-30"/>
    <x v="10"/>
    <x v="10"/>
    <x v="3"/>
    <s v="Operational Cost"/>
    <x v="98"/>
    <n v="1086.6099999999999"/>
    <s v=""/>
    <n v="1086.6099999999999"/>
  </r>
  <r>
    <s v="2025-11-30"/>
    <x v="10"/>
    <x v="7"/>
    <x v="3"/>
    <s v="Sales General &amp; Administration "/>
    <x v="108"/>
    <n v="1600"/>
    <s v=""/>
    <n v="1600"/>
  </r>
  <r>
    <s v="2025-11-30"/>
    <x v="10"/>
    <x v="56"/>
    <x v="10"/>
    <s v="Sales General &amp; Administration "/>
    <x v="108"/>
    <n v="5"/>
    <s v=""/>
    <n v="5"/>
  </r>
  <r>
    <s v="2025-11-30"/>
    <x v="10"/>
    <x v="7"/>
    <x v="3"/>
    <s v="Sales General &amp; Administration "/>
    <x v="108"/>
    <n v="189"/>
    <s v=""/>
    <n v="189"/>
  </r>
  <r>
    <s v="2025-11-30"/>
    <x v="10"/>
    <x v="56"/>
    <x v="10"/>
    <s v="Sales General &amp; Administration "/>
    <x v="108"/>
    <n v="5"/>
    <s v=""/>
    <n v="5"/>
  </r>
  <r>
    <s v="2025-11-30"/>
    <x v="10"/>
    <x v="7"/>
    <x v="3"/>
    <s v="Sales General &amp; Administration "/>
    <x v="108"/>
    <n v="20490"/>
    <s v=""/>
    <n v="20490"/>
  </r>
  <r>
    <s v="2025-12-01"/>
    <x v="11"/>
    <x v="52"/>
    <x v="0"/>
    <s v="Operational Cost"/>
    <x v="82"/>
    <n v="400000"/>
    <s v=""/>
    <n v="400000"/>
  </r>
  <r>
    <s v="2025-12-01"/>
    <x v="11"/>
    <x v="4"/>
    <x v="2"/>
    <s v="Operational Cost"/>
    <x v="3"/>
    <n v="17400"/>
    <s v=""/>
    <n v="17400"/>
  </r>
  <r>
    <s v="2025-12-01"/>
    <x v="11"/>
    <x v="7"/>
    <x v="3"/>
    <s v="Sales General &amp; Administration "/>
    <x v="9"/>
    <n v="500"/>
    <s v=""/>
    <n v="500"/>
  </r>
  <r>
    <s v="2025-12-01"/>
    <x v="11"/>
    <x v="13"/>
    <x v="2"/>
    <s v="Operational Cost"/>
    <x v="23"/>
    <n v="50000"/>
    <s v=""/>
    <n v="50000"/>
  </r>
  <r>
    <s v="2025-12-01"/>
    <x v="11"/>
    <x v="3"/>
    <x v="1"/>
    <s v="Sales General &amp; Administration "/>
    <x v="2"/>
    <n v="125000"/>
    <s v=""/>
    <n v="125000"/>
  </r>
  <r>
    <s v="2025-12-01"/>
    <x v="11"/>
    <x v="14"/>
    <x v="3"/>
    <s v="Sales General &amp; Administration "/>
    <x v="98"/>
    <n v="150"/>
    <s v=""/>
    <n v="150"/>
  </r>
  <r>
    <s v="2025-12-01"/>
    <x v="11"/>
    <x v="14"/>
    <x v="3"/>
    <s v="Sales General &amp; Administration "/>
    <x v="98"/>
    <n v="1262"/>
    <s v=""/>
    <n v="1262"/>
  </r>
  <r>
    <s v="2025-12-01"/>
    <x v="11"/>
    <x v="50"/>
    <x v="1"/>
    <s v="Sales General &amp; Administration "/>
    <x v="66"/>
    <n v="2000"/>
    <s v=""/>
    <n v="2000"/>
  </r>
  <r>
    <s v="2025-12-01"/>
    <x v="11"/>
    <x v="50"/>
    <x v="1"/>
    <s v="Sales General &amp; Administration "/>
    <x v="66"/>
    <n v="2000"/>
    <s v=""/>
    <n v="2000"/>
  </r>
  <r>
    <s v="2025-12-01"/>
    <x v="11"/>
    <x v="50"/>
    <x v="1"/>
    <s v="Sales General &amp; Administration "/>
    <x v="66"/>
    <n v="2000"/>
    <s v=""/>
    <n v="2000"/>
  </r>
  <r>
    <s v="2025-12-01"/>
    <x v="11"/>
    <x v="46"/>
    <x v="8"/>
    <s v="Sales General &amp; Administration "/>
    <x v="55"/>
    <n v="32666"/>
    <s v=""/>
    <n v="32666"/>
  </r>
  <r>
    <s v="2025-12-01"/>
    <x v="11"/>
    <x v="1"/>
    <x v="0"/>
    <s v="Operational Cost"/>
    <x v="0"/>
    <n v="68360"/>
    <s v=""/>
    <n v="68360"/>
  </r>
  <r>
    <s v="2025-12-01"/>
    <x v="11"/>
    <x v="0"/>
    <x v="0"/>
    <s v="Operational Cost"/>
    <x v="0"/>
    <n v="395769"/>
    <s v=""/>
    <n v="395769"/>
  </r>
  <r>
    <s v="2025-12-01"/>
    <x v="11"/>
    <x v="13"/>
    <x v="2"/>
    <s v="Operational Cost"/>
    <x v="14"/>
    <n v="533"/>
    <s v=""/>
    <n v="533"/>
  </r>
  <r>
    <s v="2025-12-01"/>
    <x v="11"/>
    <x v="13"/>
    <x v="2"/>
    <s v="Operational Cost"/>
    <x v="14"/>
    <n v="2817"/>
    <s v=""/>
    <n v="2817"/>
  </r>
  <r>
    <s v="2025-12-02"/>
    <x v="11"/>
    <x v="7"/>
    <x v="3"/>
    <s v="Sales General &amp; Administration "/>
    <x v="42"/>
    <n v="100"/>
    <s v=""/>
    <n v="100"/>
  </r>
  <r>
    <s v="2025-12-02"/>
    <x v="11"/>
    <x v="14"/>
    <x v="3"/>
    <s v="Sales General &amp; Administration "/>
    <x v="81"/>
    <n v="2326"/>
    <s v=""/>
    <n v="2326"/>
  </r>
  <r>
    <s v="2025-12-02"/>
    <x v="11"/>
    <x v="10"/>
    <x v="3"/>
    <s v="Operational Cost"/>
    <x v="43"/>
    <n v="2922"/>
    <s v=""/>
    <n v="2922"/>
  </r>
  <r>
    <s v="2025-12-02"/>
    <x v="11"/>
    <x v="11"/>
    <x v="6"/>
    <s v="Operational Cost"/>
    <x v="45"/>
    <n v="650"/>
    <s v=""/>
    <n v="650"/>
  </r>
  <r>
    <s v="2025-12-02"/>
    <x v="11"/>
    <x v="49"/>
    <x v="3"/>
    <s v="Sales General &amp; Administration "/>
    <x v="75"/>
    <n v="70569"/>
    <s v=""/>
    <n v="70569"/>
  </r>
  <r>
    <s v="2025-12-02"/>
    <x v="11"/>
    <x v="6"/>
    <x v="4"/>
    <s v="Operational Cost"/>
    <x v="5"/>
    <n v="278000"/>
    <s v=""/>
    <n v="278000"/>
  </r>
  <r>
    <s v="2025-12-02"/>
    <x v="11"/>
    <x v="7"/>
    <x v="3"/>
    <s v="Sales General &amp; Administration "/>
    <x v="6"/>
    <n v="16052"/>
    <s v=""/>
    <n v="16052"/>
  </r>
  <r>
    <s v="2025-12-02"/>
    <x v="11"/>
    <x v="8"/>
    <x v="5"/>
    <s v="Indirect Income"/>
    <x v="7"/>
    <s v=""/>
    <n v="78349"/>
    <n v="-78349"/>
  </r>
  <r>
    <s v="2025-12-02"/>
    <x v="11"/>
    <x v="14"/>
    <x v="3"/>
    <s v="Sales General &amp; Administration "/>
    <x v="98"/>
    <n v="100"/>
    <s v=""/>
    <n v="100"/>
  </r>
  <r>
    <s v="2025-12-02"/>
    <x v="11"/>
    <x v="14"/>
    <x v="3"/>
    <s v="Sales General &amp; Administration "/>
    <x v="98"/>
    <n v="190"/>
    <s v=""/>
    <n v="190"/>
  </r>
  <r>
    <s v="2025-12-02"/>
    <x v="11"/>
    <x v="14"/>
    <x v="3"/>
    <s v="Sales General &amp; Administration "/>
    <x v="98"/>
    <n v="241"/>
    <s v=""/>
    <n v="241"/>
  </r>
  <r>
    <s v="2025-12-02"/>
    <x v="11"/>
    <x v="10"/>
    <x v="3"/>
    <s v="Operational Cost"/>
    <x v="98"/>
    <n v="705.52"/>
    <s v=""/>
    <n v="705.52"/>
  </r>
  <r>
    <s v="2025-12-02"/>
    <x v="11"/>
    <x v="42"/>
    <x v="3"/>
    <s v="Sales General &amp; Administration "/>
    <x v="109"/>
    <n v="10000"/>
    <s v=""/>
    <n v="10000"/>
  </r>
  <r>
    <s v="2025-12-02"/>
    <x v="11"/>
    <x v="42"/>
    <x v="3"/>
    <s v="Sales General &amp; Administration "/>
    <x v="110"/>
    <n v="10000"/>
    <s v=""/>
    <n v="10000"/>
  </r>
  <r>
    <s v="2025-12-02"/>
    <x v="11"/>
    <x v="16"/>
    <x v="6"/>
    <s v="Operational Cost"/>
    <x v="15"/>
    <n v="5605"/>
    <s v=""/>
    <n v="5605"/>
  </r>
  <r>
    <s v="2025-12-03"/>
    <x v="11"/>
    <x v="17"/>
    <x v="0"/>
    <s v="Operational Cost"/>
    <x v="82"/>
    <n v="19848"/>
    <s v=""/>
    <n v="19848"/>
  </r>
  <r>
    <s v="2025-12-03"/>
    <x v="11"/>
    <x v="18"/>
    <x v="0"/>
    <s v="Operational Cost"/>
    <x v="17"/>
    <n v="26250"/>
    <s v=""/>
    <n v="26250"/>
  </r>
  <r>
    <d v="2025-11-30T00:00:00"/>
    <x v="10"/>
    <x v="6"/>
    <x v="4"/>
    <s v="Operational Cost"/>
    <x v="104"/>
    <n v="92300"/>
    <s v=""/>
    <n v="92300"/>
  </r>
  <r>
    <s v="2025-12-03"/>
    <x v="11"/>
    <x v="11"/>
    <x v="6"/>
    <s v="Operational Cost"/>
    <x v="12"/>
    <n v="650"/>
    <s v=""/>
    <n v="650"/>
  </r>
  <r>
    <s v="2025-12-03"/>
    <x v="11"/>
    <x v="11"/>
    <x v="6"/>
    <s v="Operational Cost"/>
    <x v="12"/>
    <n v="539.98"/>
    <s v=""/>
    <n v="539.98"/>
  </r>
  <r>
    <s v="2025-12-03"/>
    <x v="11"/>
    <x v="11"/>
    <x v="6"/>
    <s v="Operational Cost"/>
    <x v="12"/>
    <n v="1056.69"/>
    <s v=""/>
    <n v="1056.69"/>
  </r>
  <r>
    <s v="2025-12-03"/>
    <x v="11"/>
    <x v="14"/>
    <x v="3"/>
    <s v="Sales General &amp; Administration "/>
    <x v="9"/>
    <n v="35700"/>
    <s v=""/>
    <n v="35700"/>
  </r>
  <r>
    <s v="2025-12-03"/>
    <x v="11"/>
    <x v="9"/>
    <x v="2"/>
    <s v="Operational Cost"/>
    <x v="8"/>
    <n v="23333"/>
    <s v=""/>
    <n v="23333"/>
  </r>
  <r>
    <s v="2025-12-03"/>
    <x v="11"/>
    <x v="9"/>
    <x v="2"/>
    <s v="Operational Cost"/>
    <x v="8"/>
    <n v="10417"/>
    <s v=""/>
    <n v="10417"/>
  </r>
  <r>
    <s v="2025-12-03"/>
    <x v="11"/>
    <x v="9"/>
    <x v="2"/>
    <s v="Operational Cost"/>
    <x v="8"/>
    <n v="9167"/>
    <s v=""/>
    <n v="9167"/>
  </r>
  <r>
    <s v="2025-12-04"/>
    <x v="11"/>
    <x v="14"/>
    <x v="3"/>
    <s v="Sales General &amp; Administration "/>
    <x v="98"/>
    <n v="110"/>
    <s v=""/>
    <n v="110"/>
  </r>
  <r>
    <s v="2025-12-05"/>
    <x v="11"/>
    <x v="14"/>
    <x v="3"/>
    <s v="Sales General &amp; Administration "/>
    <x v="111"/>
    <n v="27036"/>
    <s v=""/>
    <n v="27036"/>
  </r>
  <r>
    <s v="2025-12-06"/>
    <x v="11"/>
    <x v="23"/>
    <x v="2"/>
    <s v="Operational Cost"/>
    <x v="89"/>
    <n v="15000"/>
    <s v=""/>
    <n v="15000"/>
  </r>
  <r>
    <s v="2025-12-06"/>
    <x v="11"/>
    <x v="7"/>
    <x v="3"/>
    <s v="Sales General &amp; Administration "/>
    <x v="98"/>
    <n v="491"/>
    <s v=""/>
    <n v="491"/>
  </r>
  <r>
    <s v="2025-12-06"/>
    <x v="11"/>
    <x v="15"/>
    <x v="2"/>
    <s v="Operational Cost"/>
    <x v="19"/>
    <n v="923.82"/>
    <s v=""/>
    <n v="923.82"/>
  </r>
  <r>
    <s v="2025-12-06"/>
    <x v="11"/>
    <x v="13"/>
    <x v="2"/>
    <s v="Operational Cost"/>
    <x v="14"/>
    <n v="2479"/>
    <s v=""/>
    <n v="2479"/>
  </r>
  <r>
    <s v="2025-12-07"/>
    <x v="11"/>
    <x v="10"/>
    <x v="3"/>
    <s v="Operational Cost"/>
    <x v="98"/>
    <n v="984.53"/>
    <s v=""/>
    <n v="984.53"/>
  </r>
  <r>
    <s v="2025-12-07"/>
    <x v="11"/>
    <x v="13"/>
    <x v="2"/>
    <s v="Operational Cost"/>
    <x v="14"/>
    <n v="572"/>
    <s v=""/>
    <n v="572"/>
  </r>
  <r>
    <s v="2025-12-07"/>
    <x v="11"/>
    <x v="16"/>
    <x v="6"/>
    <s v="Operational Cost"/>
    <x v="15"/>
    <n v="59099"/>
    <s v=""/>
    <n v="59099"/>
  </r>
  <r>
    <s v="2025-12-08"/>
    <x v="11"/>
    <x v="55"/>
    <x v="0"/>
    <s v="Operational Cost"/>
    <x v="101"/>
    <n v="25000"/>
    <s v=""/>
    <n v="25000"/>
  </r>
  <r>
    <s v="2025-12-08"/>
    <x v="11"/>
    <x v="7"/>
    <x v="3"/>
    <s v="Sales General &amp; Administration "/>
    <x v="42"/>
    <n v="140"/>
    <s v=""/>
    <n v="140"/>
  </r>
  <r>
    <s v="2025-12-08"/>
    <x v="11"/>
    <x v="14"/>
    <x v="3"/>
    <s v="Sales General &amp; Administration "/>
    <x v="81"/>
    <n v="1600"/>
    <s v=""/>
    <n v="1600"/>
  </r>
  <r>
    <s v="2025-12-08"/>
    <x v="11"/>
    <x v="11"/>
    <x v="6"/>
    <s v="Operational Cost"/>
    <x v="45"/>
    <n v="260"/>
    <s v=""/>
    <n v="260"/>
  </r>
  <r>
    <s v="2025-12-08"/>
    <x v="11"/>
    <x v="11"/>
    <x v="6"/>
    <s v="Operational Cost"/>
    <x v="9"/>
    <n v="435"/>
    <s v=""/>
    <n v="435"/>
  </r>
  <r>
    <s v="2025-12-08"/>
    <x v="11"/>
    <x v="20"/>
    <x v="3"/>
    <s v="Sales General &amp; Administration "/>
    <x v="9"/>
    <n v="898"/>
    <s v=""/>
    <n v="898"/>
  </r>
  <r>
    <s v="2025-12-08"/>
    <x v="11"/>
    <x v="11"/>
    <x v="6"/>
    <s v="Operational Cost"/>
    <x v="9"/>
    <n v="440"/>
    <s v=""/>
    <n v="440"/>
  </r>
  <r>
    <s v="2025-12-08"/>
    <x v="11"/>
    <x v="14"/>
    <x v="3"/>
    <s v="Sales General &amp; Administration "/>
    <x v="98"/>
    <n v="118"/>
    <s v=""/>
    <n v="118"/>
  </r>
  <r>
    <s v="2025-12-08"/>
    <x v="11"/>
    <x v="10"/>
    <x v="3"/>
    <s v="Operational Cost"/>
    <x v="98"/>
    <n v="955.73"/>
    <s v=""/>
    <n v="955.73"/>
  </r>
  <r>
    <s v="2025-12-08"/>
    <x v="11"/>
    <x v="11"/>
    <x v="6"/>
    <s v="Operational Cost"/>
    <x v="9"/>
    <n v="15097"/>
    <s v=""/>
    <n v="15097"/>
  </r>
  <r>
    <s v="2025-12-09"/>
    <x v="11"/>
    <x v="15"/>
    <x v="2"/>
    <s v="Operational Cost"/>
    <x v="19"/>
    <n v="1298"/>
    <s v=""/>
    <n v="1298"/>
  </r>
  <r>
    <s v="2025-12-09"/>
    <x v="11"/>
    <x v="14"/>
    <x v="3"/>
    <s v="Sales General &amp; Administration "/>
    <x v="98"/>
    <n v="139"/>
    <s v=""/>
    <n v="139"/>
  </r>
  <r>
    <s v="2025-12-09"/>
    <x v="11"/>
    <x v="10"/>
    <x v="3"/>
    <s v="Operational Cost"/>
    <x v="12"/>
    <n v="4674.5200000000004"/>
    <s v=""/>
    <n v="4674.5200000000004"/>
  </r>
  <r>
    <s v="2025-12-09"/>
    <x v="11"/>
    <x v="10"/>
    <x v="3"/>
    <s v="Operational Cost"/>
    <x v="12"/>
    <s v=""/>
    <n v="46.28"/>
    <n v="-46.28"/>
  </r>
  <r>
    <s v="2025-12-09"/>
    <x v="11"/>
    <x v="57"/>
    <x v="6"/>
    <s v="Operational Cost"/>
    <x v="9"/>
    <n v="5000"/>
    <s v=""/>
    <n v="5000"/>
  </r>
  <r>
    <s v="2025-12-10"/>
    <x v="11"/>
    <x v="7"/>
    <x v="3"/>
    <s v="Sales General &amp; Administration "/>
    <x v="80"/>
    <n v="11263.56"/>
    <s v=""/>
    <n v="11263.56"/>
  </r>
  <r>
    <s v="2025-12-10"/>
    <x v="11"/>
    <x v="14"/>
    <x v="3"/>
    <s v="Sales General &amp; Administration "/>
    <x v="98"/>
    <n v="348"/>
    <s v=""/>
    <n v="348"/>
  </r>
  <r>
    <s v="2025-12-10"/>
    <x v="11"/>
    <x v="7"/>
    <x v="3"/>
    <s v="Sales General &amp; Administration "/>
    <x v="80"/>
    <n v="12542.38"/>
    <s v=""/>
    <n v="12542.38"/>
  </r>
  <r>
    <s v="2025-12-10"/>
    <x v="11"/>
    <x v="13"/>
    <x v="2"/>
    <s v="Operational Cost"/>
    <x v="14"/>
    <n v="514"/>
    <s v=""/>
    <n v="514"/>
  </r>
  <r>
    <s v="2025-12-10"/>
    <x v="11"/>
    <x v="13"/>
    <x v="2"/>
    <s v="Operational Cost"/>
    <x v="14"/>
    <n v="2455"/>
    <s v=""/>
    <n v="2455"/>
  </r>
  <r>
    <s v="2025-12-11"/>
    <x v="11"/>
    <x v="42"/>
    <x v="3"/>
    <s v="Sales General &amp; Administration "/>
    <x v="112"/>
    <n v="71000"/>
    <s v=""/>
    <n v="71000"/>
  </r>
  <r>
    <s v="2025-12-11"/>
    <x v="11"/>
    <x v="17"/>
    <x v="0"/>
    <s v="Operational Cost"/>
    <x v="16"/>
    <n v="41315"/>
    <s v=""/>
    <n v="41315"/>
  </r>
  <r>
    <s v="2025-12-11"/>
    <x v="11"/>
    <x v="14"/>
    <x v="3"/>
    <s v="Sales General &amp; Administration "/>
    <x v="98"/>
    <n v="105"/>
    <s v=""/>
    <n v="105"/>
  </r>
  <r>
    <s v="2025-12-11"/>
    <x v="11"/>
    <x v="7"/>
    <x v="3"/>
    <s v="Sales General &amp; Administration "/>
    <x v="12"/>
    <n v="1504"/>
    <s v=""/>
    <n v="1504"/>
  </r>
  <r>
    <s v="2025-12-12"/>
    <x v="11"/>
    <x v="8"/>
    <x v="5"/>
    <s v="Indirect Income"/>
    <x v="7"/>
    <s v=""/>
    <n v="113195.53"/>
    <n v="-113195.53"/>
  </r>
  <r>
    <s v="2025-12-12"/>
    <x v="11"/>
    <x v="19"/>
    <x v="8"/>
    <s v="Sales General &amp; Administration "/>
    <x v="51"/>
    <n v="495.51"/>
    <s v=""/>
    <n v="495.51"/>
  </r>
  <r>
    <s v="2025-12-12"/>
    <x v="11"/>
    <x v="14"/>
    <x v="3"/>
    <s v="Sales General &amp; Administration "/>
    <x v="113"/>
    <n v="13622"/>
    <s v=""/>
    <n v="13622"/>
  </r>
  <r>
    <s v="2025-12-12"/>
    <x v="11"/>
    <x v="11"/>
    <x v="6"/>
    <s v="Operational Cost"/>
    <x v="12"/>
    <n v="1740"/>
    <s v=""/>
    <n v="1740"/>
  </r>
  <r>
    <s v="2025-12-12"/>
    <x v="11"/>
    <x v="10"/>
    <x v="3"/>
    <s v="Operational Cost"/>
    <x v="12"/>
    <n v="3298.87"/>
    <s v=""/>
    <n v="3298.87"/>
  </r>
  <r>
    <s v="2025-12-12"/>
    <x v="11"/>
    <x v="10"/>
    <x v="3"/>
    <s v="Operational Cost"/>
    <x v="12"/>
    <n v="2949.8"/>
    <s v=""/>
    <n v="2949.8"/>
  </r>
  <r>
    <s v="2025-12-12"/>
    <x v="11"/>
    <x v="11"/>
    <x v="6"/>
    <s v="Operational Cost"/>
    <x v="114"/>
    <n v="1091"/>
    <s v=""/>
    <n v="1091"/>
  </r>
  <r>
    <s v="2025-12-12"/>
    <x v="11"/>
    <x v="13"/>
    <x v="2"/>
    <s v="Operational Cost"/>
    <x v="14"/>
    <n v="2775"/>
    <s v=""/>
    <n v="2775"/>
  </r>
  <r>
    <s v="2025-12-12"/>
    <x v="11"/>
    <x v="13"/>
    <x v="2"/>
    <s v="Operational Cost"/>
    <x v="14"/>
    <n v="473"/>
    <s v=""/>
    <n v="473"/>
  </r>
  <r>
    <s v="2025-12-12"/>
    <x v="11"/>
    <x v="14"/>
    <x v="3"/>
    <s v="Sales General &amp; Administration "/>
    <x v="98"/>
    <n v="126"/>
    <s v=""/>
    <n v="126"/>
  </r>
  <r>
    <s v="2025-12-12"/>
    <x v="11"/>
    <x v="14"/>
    <x v="3"/>
    <s v="Sales General &amp; Administration "/>
    <x v="98"/>
    <n v="106"/>
    <s v=""/>
    <n v="106"/>
  </r>
  <r>
    <s v="2025-12-12"/>
    <x v="11"/>
    <x v="7"/>
    <x v="3"/>
    <s v="Sales General &amp; Administration "/>
    <x v="98"/>
    <n v="428"/>
    <s v=""/>
    <n v="428"/>
  </r>
  <r>
    <s v="2025-12-13"/>
    <x v="11"/>
    <x v="10"/>
    <x v="3"/>
    <s v="Operational Cost"/>
    <x v="98"/>
    <n v="1162.3599999999999"/>
    <s v=""/>
    <n v="1162.3599999999999"/>
  </r>
  <r>
    <s v="2025-12-15"/>
    <x v="11"/>
    <x v="17"/>
    <x v="0"/>
    <s v="Operational Cost"/>
    <x v="16"/>
    <n v="204019"/>
    <s v=""/>
    <n v="204019"/>
  </r>
  <r>
    <s v="2025-12-15"/>
    <x v="11"/>
    <x v="7"/>
    <x v="3"/>
    <s v="Sales General &amp; Administration "/>
    <x v="42"/>
    <n v="4720"/>
    <s v=""/>
    <n v="4720"/>
  </r>
  <r>
    <s v="2025-12-15"/>
    <x v="11"/>
    <x v="20"/>
    <x v="3"/>
    <s v="Sales General &amp; Administration "/>
    <x v="57"/>
    <n v="360"/>
    <s v=""/>
    <n v="360"/>
  </r>
  <r>
    <s v="2025-12-15"/>
    <x v="11"/>
    <x v="14"/>
    <x v="3"/>
    <s v="Sales General &amp; Administration "/>
    <x v="81"/>
    <n v="3060"/>
    <s v=""/>
    <n v="3060"/>
  </r>
  <r>
    <s v="2025-12-15"/>
    <x v="11"/>
    <x v="7"/>
    <x v="3"/>
    <s v="Sales General &amp; Administration "/>
    <x v="42"/>
    <n v="3091"/>
    <s v=""/>
    <n v="3091"/>
  </r>
  <r>
    <s v="2025-12-15"/>
    <x v="11"/>
    <x v="14"/>
    <x v="3"/>
    <s v="Sales General &amp; Administration "/>
    <x v="81"/>
    <n v="8320"/>
    <s v=""/>
    <n v="8320"/>
  </r>
  <r>
    <s v="2025-12-15"/>
    <x v="11"/>
    <x v="10"/>
    <x v="3"/>
    <s v="Operational Cost"/>
    <x v="43"/>
    <n v="2375"/>
    <s v=""/>
    <n v="2375"/>
  </r>
  <r>
    <s v="2025-12-15"/>
    <x v="11"/>
    <x v="11"/>
    <x v="6"/>
    <s v="Operational Cost"/>
    <x v="45"/>
    <n v="7107"/>
    <s v=""/>
    <n v="7107"/>
  </r>
  <r>
    <s v="2025-12-15"/>
    <x v="11"/>
    <x v="13"/>
    <x v="2"/>
    <s v="Operational Cost"/>
    <x v="21"/>
    <n v="2793.06"/>
    <s v=""/>
    <n v="2793.06"/>
  </r>
  <r>
    <s v="2025-12-15"/>
    <x v="11"/>
    <x v="13"/>
    <x v="2"/>
    <s v="Operational Cost"/>
    <x v="14"/>
    <n v="3535"/>
    <s v=""/>
    <n v="3535"/>
  </r>
  <r>
    <s v="2025-12-15"/>
    <x v="11"/>
    <x v="13"/>
    <x v="2"/>
    <s v="Operational Cost"/>
    <x v="14"/>
    <n v="8913"/>
    <s v=""/>
    <n v="8913"/>
  </r>
  <r>
    <s v="2025-12-15"/>
    <x v="11"/>
    <x v="14"/>
    <x v="3"/>
    <s v="Sales General &amp; Administration "/>
    <x v="98"/>
    <n v="230"/>
    <s v=""/>
    <n v="230"/>
  </r>
  <r>
    <s v="2025-12-15"/>
    <x v="11"/>
    <x v="14"/>
    <x v="3"/>
    <s v="Sales General &amp; Administration "/>
    <x v="98"/>
    <n v="160"/>
    <s v=""/>
    <n v="160"/>
  </r>
  <r>
    <s v="2025-12-16"/>
    <x v="11"/>
    <x v="13"/>
    <x v="2"/>
    <s v="Operational Cost"/>
    <x v="21"/>
    <n v="3382"/>
    <s v=""/>
    <n v="3382"/>
  </r>
  <r>
    <s v="2025-12-16"/>
    <x v="11"/>
    <x v="14"/>
    <x v="3"/>
    <s v="Sales General &amp; Administration "/>
    <x v="98"/>
    <n v="110"/>
    <s v=""/>
    <n v="110"/>
  </r>
  <r>
    <s v="2025-12-16"/>
    <x v="11"/>
    <x v="10"/>
    <x v="3"/>
    <s v="Operational Cost"/>
    <x v="98"/>
    <n v="1121.96"/>
    <s v=""/>
    <n v="1121.96"/>
  </r>
  <r>
    <s v="2025-12-17"/>
    <x v="11"/>
    <x v="19"/>
    <x v="8"/>
    <s v="Sales General &amp; Administration "/>
    <x v="12"/>
    <n v="33.82"/>
    <s v=""/>
    <n v="33.82"/>
  </r>
  <r>
    <s v="2025-12-17"/>
    <x v="11"/>
    <x v="14"/>
    <x v="3"/>
    <s v="Sales General &amp; Administration "/>
    <x v="115"/>
    <n v="26000"/>
    <s v=""/>
    <n v="26000"/>
  </r>
  <r>
    <s v="2025-12-17"/>
    <x v="11"/>
    <x v="13"/>
    <x v="2"/>
    <s v="Operational Cost"/>
    <x v="14"/>
    <n v="8870"/>
    <s v=""/>
    <n v="8870"/>
  </r>
  <r>
    <s v="2025-12-17"/>
    <x v="11"/>
    <x v="13"/>
    <x v="2"/>
    <s v="Operational Cost"/>
    <x v="14"/>
    <n v="547"/>
    <s v=""/>
    <n v="547"/>
  </r>
  <r>
    <s v="2025-12-17"/>
    <x v="11"/>
    <x v="14"/>
    <x v="3"/>
    <s v="Sales General &amp; Administration "/>
    <x v="98"/>
    <n v="151"/>
    <s v=""/>
    <n v="151"/>
  </r>
  <r>
    <s v="2025-12-17"/>
    <x v="11"/>
    <x v="10"/>
    <x v="3"/>
    <s v="Operational Cost"/>
    <x v="98"/>
    <n v="2688.55"/>
    <s v=""/>
    <n v="2688.55"/>
  </r>
  <r>
    <s v="2025-12-18"/>
    <x v="11"/>
    <x v="13"/>
    <x v="2"/>
    <s v="Operational Cost"/>
    <x v="14"/>
    <n v="1499"/>
    <s v=""/>
    <n v="1499"/>
  </r>
  <r>
    <s v="2025-12-19"/>
    <x v="11"/>
    <x v="7"/>
    <x v="3"/>
    <s v="Sales General &amp; Administration "/>
    <x v="9"/>
    <n v="3850"/>
    <s v=""/>
    <n v="3850"/>
  </r>
  <r>
    <s v="2025-12-19"/>
    <x v="11"/>
    <x v="11"/>
    <x v="6"/>
    <s v="Operational Cost"/>
    <x v="9"/>
    <n v="8500"/>
    <s v=""/>
    <n v="8500"/>
  </r>
  <r>
    <s v="2025-12-20"/>
    <x v="11"/>
    <x v="14"/>
    <x v="3"/>
    <s v="Sales General &amp; Administration "/>
    <x v="116"/>
    <n v="24069"/>
    <s v=""/>
    <n v="24069"/>
  </r>
  <r>
    <s v="2025-12-20"/>
    <x v="11"/>
    <x v="16"/>
    <x v="6"/>
    <s v="Operational Cost"/>
    <x v="15"/>
    <n v="4833"/>
    <s v=""/>
    <n v="4833"/>
  </r>
  <r>
    <s v="2025-12-22"/>
    <x v="11"/>
    <x v="42"/>
    <x v="3"/>
    <s v="Sales General &amp; Administration "/>
    <x v="112"/>
    <n v="35000"/>
    <s v=""/>
    <n v="35000"/>
  </r>
  <r>
    <s v="2025-12-22"/>
    <x v="11"/>
    <x v="13"/>
    <x v="2"/>
    <s v="Operational Cost"/>
    <x v="22"/>
    <n v="6299.14"/>
    <s v=""/>
    <n v="6299.14"/>
  </r>
  <r>
    <s v="2025-12-22"/>
    <x v="11"/>
    <x v="17"/>
    <x v="0"/>
    <s v="Operational Cost"/>
    <x v="16"/>
    <n v="1081"/>
    <s v=""/>
    <n v="1081"/>
  </r>
  <r>
    <s v="2025-12-22"/>
    <x v="11"/>
    <x v="14"/>
    <x v="3"/>
    <s v="Sales General &amp; Administration "/>
    <x v="117"/>
    <n v="32625"/>
    <s v=""/>
    <n v="32625"/>
  </r>
  <r>
    <s v="2025-12-22"/>
    <x v="11"/>
    <x v="13"/>
    <x v="2"/>
    <s v="Operational Cost"/>
    <x v="14"/>
    <n v="5372"/>
    <s v=""/>
    <n v="5372"/>
  </r>
  <r>
    <s v="2025-12-23"/>
    <x v="11"/>
    <x v="13"/>
    <x v="2"/>
    <s v="Operational Cost"/>
    <x v="21"/>
    <n v="2367"/>
    <s v=""/>
    <n v="2367"/>
  </r>
  <r>
    <s v="2025-12-23"/>
    <x v="11"/>
    <x v="14"/>
    <x v="3"/>
    <s v="Sales General &amp; Administration "/>
    <x v="117"/>
    <n v="50600"/>
    <s v=""/>
    <n v="50600"/>
  </r>
  <r>
    <s v="2025-12-23"/>
    <x v="11"/>
    <x v="14"/>
    <x v="3"/>
    <s v="Sales General &amp; Administration "/>
    <x v="118"/>
    <n v="1600"/>
    <s v=""/>
    <n v="1600"/>
  </r>
  <r>
    <s v="2025-12-23"/>
    <x v="11"/>
    <x v="11"/>
    <x v="6"/>
    <s v="Operational Cost"/>
    <x v="9"/>
    <n v="4000"/>
    <s v=""/>
    <n v="4000"/>
  </r>
  <r>
    <s v="2025-12-23"/>
    <x v="11"/>
    <x v="10"/>
    <x v="3"/>
    <s v="Operational Cost"/>
    <x v="119"/>
    <n v="5876"/>
    <s v=""/>
    <n v="5876"/>
  </r>
  <r>
    <s v="2025-12-24"/>
    <x v="11"/>
    <x v="11"/>
    <x v="6"/>
    <s v="Operational Cost"/>
    <x v="12"/>
    <n v="700"/>
    <s v=""/>
    <n v="700"/>
  </r>
  <r>
    <s v="2025-12-24"/>
    <x v="11"/>
    <x v="11"/>
    <x v="6"/>
    <s v="Operational Cost"/>
    <x v="12"/>
    <n v="365.01"/>
    <s v=""/>
    <n v="365.01"/>
  </r>
  <r>
    <s v="2025-12-24"/>
    <x v="11"/>
    <x v="19"/>
    <x v="8"/>
    <s v="Sales General &amp; Administration "/>
    <x v="12"/>
    <n v="23.67"/>
    <s v=""/>
    <n v="23.67"/>
  </r>
  <r>
    <s v="2025-12-26"/>
    <x v="11"/>
    <x v="8"/>
    <x v="5"/>
    <s v="Indirect Income"/>
    <x v="7"/>
    <s v=""/>
    <n v="134271.98000000001"/>
    <n v="-134271.98000000001"/>
  </r>
  <r>
    <s v="2025-12-26"/>
    <x v="11"/>
    <x v="8"/>
    <x v="5"/>
    <s v="Indirect Income"/>
    <x v="7"/>
    <s v=""/>
    <n v="150647.32"/>
    <n v="-150647.32"/>
  </r>
  <r>
    <s v="2025-12-26"/>
    <x v="11"/>
    <x v="11"/>
    <x v="6"/>
    <s v="Operational Cost"/>
    <x v="12"/>
    <n v="650"/>
    <s v=""/>
    <n v="650"/>
  </r>
  <r>
    <s v="2025-12-26"/>
    <x v="11"/>
    <x v="11"/>
    <x v="6"/>
    <s v="Operational Cost"/>
    <x v="12"/>
    <n v="53.09"/>
    <s v=""/>
    <n v="53.09"/>
  </r>
  <r>
    <s v="2025-12-26"/>
    <x v="11"/>
    <x v="11"/>
    <x v="6"/>
    <s v="Operational Cost"/>
    <x v="12"/>
    <n v="1116.52"/>
    <s v=""/>
    <n v="1116.52"/>
  </r>
  <r>
    <s v="2025-12-26"/>
    <x v="11"/>
    <x v="46"/>
    <x v="8"/>
    <s v="Sales General &amp; Administration "/>
    <x v="55"/>
    <n v="1080"/>
    <s v=""/>
    <n v="1080"/>
  </r>
  <r>
    <s v="2025-12-26"/>
    <x v="11"/>
    <x v="46"/>
    <x v="8"/>
    <s v="Sales General &amp; Administration "/>
    <x v="55"/>
    <n v="50707"/>
    <s v=""/>
    <n v="50707"/>
  </r>
  <r>
    <s v="2025-12-26"/>
    <x v="11"/>
    <x v="46"/>
    <x v="8"/>
    <s v="Sales General &amp; Administration "/>
    <x v="55"/>
    <n v="4705.08"/>
    <s v=""/>
    <n v="4705.08"/>
  </r>
  <r>
    <s v="2025-12-26"/>
    <x v="11"/>
    <x v="46"/>
    <x v="8"/>
    <s v="Sales General &amp; Administration "/>
    <x v="55"/>
    <n v="423.46"/>
    <s v=""/>
    <n v="423.46"/>
  </r>
  <r>
    <s v="2025-12-26"/>
    <x v="11"/>
    <x v="46"/>
    <x v="8"/>
    <s v="Sales General &amp; Administration "/>
    <x v="55"/>
    <n v="100"/>
    <s v=""/>
    <n v="100"/>
  </r>
  <r>
    <s v="2025-12-26"/>
    <x v="11"/>
    <x v="46"/>
    <x v="8"/>
    <s v="Sales General &amp; Administration "/>
    <x v="55"/>
    <n v="9"/>
    <s v=""/>
    <n v="9"/>
  </r>
  <r>
    <s v="2025-12-26"/>
    <x v="11"/>
    <x v="46"/>
    <x v="8"/>
    <s v="Sales General &amp; Administration "/>
    <x v="55"/>
    <n v="12000"/>
    <s v=""/>
    <n v="12000"/>
  </r>
  <r>
    <s v="2025-12-26"/>
    <x v="11"/>
    <x v="11"/>
    <x v="6"/>
    <s v="Operational Cost"/>
    <x v="9"/>
    <n v="2659"/>
    <s v=""/>
    <n v="2659"/>
  </r>
  <r>
    <s v="2025-12-27"/>
    <x v="11"/>
    <x v="13"/>
    <x v="2"/>
    <s v="Operational Cost"/>
    <x v="21"/>
    <n v="1499"/>
    <s v=""/>
    <n v="1499"/>
  </r>
  <r>
    <s v="2025-12-27"/>
    <x v="11"/>
    <x v="10"/>
    <x v="3"/>
    <s v="Operational Cost"/>
    <x v="98"/>
    <n v="1177.51"/>
    <s v=""/>
    <n v="1177.51"/>
  </r>
  <r>
    <s v="2025-12-28"/>
    <x v="11"/>
    <x v="14"/>
    <x v="3"/>
    <s v="Sales General &amp; Administration "/>
    <x v="98"/>
    <n v="581"/>
    <s v=""/>
    <n v="581"/>
  </r>
  <r>
    <s v="2025-12-29"/>
    <x v="11"/>
    <x v="10"/>
    <x v="3"/>
    <s v="Operational Cost"/>
    <x v="9"/>
    <n v="900"/>
    <s v=""/>
    <n v="900"/>
  </r>
  <r>
    <s v="2025-12-29"/>
    <x v="11"/>
    <x v="14"/>
    <x v="3"/>
    <s v="Sales General &amp; Administration "/>
    <x v="98"/>
    <n v="115"/>
    <s v=""/>
    <n v="115"/>
  </r>
  <r>
    <s v="2025-12-30"/>
    <x v="11"/>
    <x v="14"/>
    <x v="3"/>
    <s v="Sales General &amp; Administration "/>
    <x v="120"/>
    <n v="6000"/>
    <s v=""/>
    <n v="6000"/>
  </r>
  <r>
    <s v="2025-12-30"/>
    <x v="11"/>
    <x v="23"/>
    <x v="2"/>
    <s v="Operational Cost"/>
    <x v="25"/>
    <n v="1000"/>
    <s v=""/>
    <n v="1000"/>
  </r>
  <r>
    <s v="2025-12-30"/>
    <x v="11"/>
    <x v="24"/>
    <x v="9"/>
    <s v="Sales General &amp; Administration "/>
    <x v="26"/>
    <n v="160000"/>
    <s v=""/>
    <n v="160000"/>
  </r>
  <r>
    <s v="2025-12-30"/>
    <x v="11"/>
    <x v="25"/>
    <x v="7"/>
    <s v="Operational Cost"/>
    <x v="27"/>
    <n v="12000"/>
    <s v=""/>
    <n v="12000"/>
  </r>
  <r>
    <s v="2025-12-30"/>
    <x v="11"/>
    <x v="27"/>
    <x v="3"/>
    <s v="Sales General &amp; Administration "/>
    <x v="29"/>
    <n v="46200"/>
    <s v=""/>
    <n v="46200"/>
  </r>
  <r>
    <s v="2025-12-30"/>
    <x v="11"/>
    <x v="28"/>
    <x v="3"/>
    <s v="Sales General &amp; Administration "/>
    <x v="30"/>
    <n v="293709"/>
    <s v=""/>
    <n v="293709"/>
  </r>
  <r>
    <s v="2025-12-30"/>
    <x v="11"/>
    <x v="29"/>
    <x v="7"/>
    <s v="Operational Cost"/>
    <x v="31"/>
    <n v="6323574"/>
    <s v=""/>
    <n v="6323574"/>
  </r>
  <r>
    <s v="2025-12-30"/>
    <x v="11"/>
    <x v="30"/>
    <x v="7"/>
    <s v="Operational Cost"/>
    <x v="32"/>
    <n v="3428387"/>
    <s v=""/>
    <n v="3428387"/>
  </r>
  <r>
    <s v="2025-12-30"/>
    <x v="11"/>
    <x v="31"/>
    <x v="3"/>
    <s v="Sales General &amp; Administration "/>
    <x v="33"/>
    <n v="479345"/>
    <s v=""/>
    <n v="479345"/>
  </r>
  <r>
    <s v="2025-12-30"/>
    <x v="11"/>
    <x v="32"/>
    <x v="3"/>
    <s v="Sales General &amp; Administration "/>
    <x v="34"/>
    <n v="479345"/>
    <s v=""/>
    <n v="479345"/>
  </r>
  <r>
    <s v="2025-12-30"/>
    <x v="11"/>
    <x v="33"/>
    <x v="3"/>
    <s v="Sales General &amp; Administration "/>
    <x v="35"/>
    <n v="22799"/>
    <s v=""/>
    <n v="22799"/>
  </r>
  <r>
    <s v="2025-12-30"/>
    <x v="11"/>
    <x v="34"/>
    <x v="3"/>
    <s v="Sales General &amp; Administration "/>
    <x v="36"/>
    <n v="5284"/>
    <s v=""/>
    <n v="5284"/>
  </r>
  <r>
    <s v="2025-12-30"/>
    <x v="11"/>
    <x v="35"/>
    <x v="10"/>
    <s v="Sales General &amp; Administration "/>
    <x v="37"/>
    <n v="106479"/>
    <s v=""/>
    <n v="106479"/>
  </r>
  <r>
    <s v="2025-12-30"/>
    <x v="11"/>
    <x v="36"/>
    <x v="9"/>
    <s v="Sales General &amp; Administration "/>
    <x v="38"/>
    <n v="69728"/>
    <s v=""/>
    <n v="69728"/>
  </r>
  <r>
    <s v="2025-12-30"/>
    <x v="11"/>
    <x v="37"/>
    <x v="9"/>
    <s v="Sales General &amp; Administration "/>
    <x v="39"/>
    <n v="91440"/>
    <s v=""/>
    <n v="91440"/>
  </r>
  <r>
    <s v="2025-12-30"/>
    <x v="11"/>
    <x v="38"/>
    <x v="9"/>
    <s v="Sales General &amp; Administration "/>
    <x v="40"/>
    <n v="78606"/>
    <s v=""/>
    <n v="78606"/>
  </r>
  <r>
    <s v="2025-12-30"/>
    <x v="11"/>
    <x v="39"/>
    <x v="3"/>
    <s v="Sales General &amp; Administration "/>
    <x v="41"/>
    <n v="72328"/>
    <s v=""/>
    <n v="72328"/>
  </r>
  <r>
    <s v="2025-12-31"/>
    <x v="11"/>
    <x v="26"/>
    <x v="3"/>
    <s v="Sales General &amp; Administration "/>
    <x v="92"/>
    <n v="14000"/>
    <s v=""/>
    <n v="14000"/>
  </r>
  <r>
    <s v="2025-12-31"/>
    <x v="11"/>
    <x v="14"/>
    <x v="3"/>
    <s v="Sales General &amp; Administration "/>
    <x v="121"/>
    <n v="441"/>
    <s v=""/>
    <n v="441"/>
  </r>
  <r>
    <s v="2025-12-31"/>
    <x v="11"/>
    <x v="21"/>
    <x v="0"/>
    <s v="Operational Cost"/>
    <x v="20"/>
    <n v="181117.09"/>
    <s v=""/>
    <n v="181117.09"/>
  </r>
  <r>
    <s v="2025-12-31"/>
    <x v="11"/>
    <x v="26"/>
    <x v="3"/>
    <s v="Sales General &amp; Administration "/>
    <x v="107"/>
    <n v="32000"/>
    <s v=""/>
    <n v="32000"/>
  </r>
  <r>
    <s v="2025-12-31"/>
    <x v="11"/>
    <x v="11"/>
    <x v="6"/>
    <s v="Operational Cost"/>
    <x v="9"/>
    <n v="880"/>
    <s v=""/>
    <n v="880"/>
  </r>
  <r>
    <s v="2025-12-31"/>
    <x v="11"/>
    <x v="23"/>
    <x v="2"/>
    <s v="Operational Cost"/>
    <x v="89"/>
    <n v="8241.77"/>
    <s v=""/>
    <n v="8241.77"/>
  </r>
  <r>
    <s v="2025-12-31"/>
    <x v="11"/>
    <x v="7"/>
    <x v="3"/>
    <s v="Sales General &amp; Administration "/>
    <x v="42"/>
    <n v="2000"/>
    <s v=""/>
    <n v="2000"/>
  </r>
  <r>
    <s v="2025-12-31"/>
    <x v="11"/>
    <x v="11"/>
    <x v="6"/>
    <s v="Operational Cost"/>
    <x v="45"/>
    <n v="3000"/>
    <s v=""/>
    <n v="3000"/>
  </r>
  <r>
    <s v="2025-12-31"/>
    <x v="11"/>
    <x v="14"/>
    <x v="3"/>
    <s v="Sales General &amp; Administration "/>
    <x v="98"/>
    <n v="140"/>
    <s v=""/>
    <n v="140"/>
  </r>
  <r>
    <s v="2025-12-31"/>
    <x v="11"/>
    <x v="10"/>
    <x v="3"/>
    <s v="Operational Cost"/>
    <x v="98"/>
    <n v="134.47999999999999"/>
    <s v=""/>
    <n v="134.47999999999999"/>
  </r>
  <r>
    <s v="2025-12-31"/>
    <x v="11"/>
    <x v="10"/>
    <x v="3"/>
    <s v="Operational Cost"/>
    <x v="98"/>
    <n v="124.38"/>
    <s v=""/>
    <n v="124.38"/>
  </r>
  <r>
    <s v="2025-12-31"/>
    <x v="11"/>
    <x v="14"/>
    <x v="3"/>
    <s v="Sales General &amp; Administration "/>
    <x v="98"/>
    <n v="125.96"/>
    <s v=""/>
    <n v="125.96"/>
  </r>
  <r>
    <s v="2026-01-01"/>
    <x v="12"/>
    <x v="4"/>
    <x v="2"/>
    <s v="Operational Cost"/>
    <x v="3"/>
    <n v="17400"/>
    <s v=""/>
    <n v="17400"/>
  </r>
  <r>
    <s v="2026-01-01"/>
    <x v="12"/>
    <x v="52"/>
    <x v="0"/>
    <s v="Operational Cost"/>
    <x v="82"/>
    <n v="400000"/>
    <s v=""/>
    <n v="400000"/>
  </r>
  <r>
    <s v="2026-01-01"/>
    <x v="12"/>
    <x v="46"/>
    <x v="8"/>
    <s v="Sales General &amp; Administration "/>
    <x v="55"/>
    <n v="58759"/>
    <s v=""/>
    <n v="58759"/>
  </r>
  <r>
    <s v="2026-01-01"/>
    <x v="12"/>
    <x v="50"/>
    <x v="1"/>
    <s v="Sales General &amp; Administration "/>
    <x v="66"/>
    <n v="5000"/>
    <s v=""/>
    <n v="5000"/>
  </r>
  <r>
    <s v="2026-01-01"/>
    <x v="12"/>
    <x v="1"/>
    <x v="0"/>
    <s v="Operational Cost"/>
    <x v="0"/>
    <n v="68360"/>
    <s v=""/>
    <n v="68360"/>
  </r>
  <r>
    <s v="2026-01-01"/>
    <x v="12"/>
    <x v="0"/>
    <x v="0"/>
    <s v="Operational Cost"/>
    <x v="0"/>
    <n v="395769"/>
    <s v=""/>
    <n v="395769"/>
  </r>
  <r>
    <s v="2026-01-01"/>
    <x v="12"/>
    <x v="3"/>
    <x v="1"/>
    <s v="Sales General &amp; Administration "/>
    <x v="2"/>
    <n v="125000"/>
    <s v=""/>
    <n v="125000"/>
  </r>
  <r>
    <s v="2026-01-01"/>
    <x v="12"/>
    <x v="7"/>
    <x v="3"/>
    <s v="Sales General &amp; Administration "/>
    <x v="99"/>
    <n v="3178.5"/>
    <s v=""/>
    <n v="3178.5"/>
  </r>
  <r>
    <s v="2026-01-01"/>
    <x v="12"/>
    <x v="58"/>
    <x v="3"/>
    <s v="Sales General &amp; Administration "/>
    <x v="122"/>
    <n v="28090"/>
    <s v=""/>
    <n v="28090"/>
  </r>
  <r>
    <s v="2026-01-01"/>
    <x v="12"/>
    <x v="14"/>
    <x v="3"/>
    <s v="Sales General &amp; Administration "/>
    <x v="98"/>
    <n v="110"/>
    <s v=""/>
    <n v="110"/>
  </r>
  <r>
    <s v="2026-01-01"/>
    <x v="12"/>
    <x v="7"/>
    <x v="3"/>
    <s v="Sales General &amp; Administration "/>
    <x v="98"/>
    <n v="1105.9000000000001"/>
    <s v=""/>
    <n v="1105.9000000000001"/>
  </r>
  <r>
    <s v="2026-01-01"/>
    <x v="12"/>
    <x v="23"/>
    <x v="2"/>
    <s v="Operational Cost"/>
    <x v="123"/>
    <n v="792"/>
    <s v=""/>
    <n v="792"/>
  </r>
  <r>
    <s v="2026-01-01"/>
    <x v="12"/>
    <x v="23"/>
    <x v="2"/>
    <s v="Operational Cost"/>
    <x v="123"/>
    <n v="126.24"/>
    <s v=""/>
    <n v="126.24"/>
  </r>
  <r>
    <s v="2026-01-01"/>
    <x v="12"/>
    <x v="23"/>
    <x v="2"/>
    <s v="Operational Cost"/>
    <x v="123"/>
    <n v="49.1"/>
    <s v=""/>
    <n v="49.1"/>
  </r>
  <r>
    <s v="2026-01-01"/>
    <x v="12"/>
    <x v="13"/>
    <x v="2"/>
    <s v="Operational Cost"/>
    <x v="14"/>
    <n v="9147"/>
    <s v=""/>
    <n v="9147"/>
  </r>
  <r>
    <s v="2026-01-01"/>
    <x v="12"/>
    <x v="13"/>
    <x v="2"/>
    <s v="Operational Cost"/>
    <x v="14"/>
    <n v="577"/>
    <s v=""/>
    <n v="577"/>
  </r>
  <r>
    <s v="2026-01-01"/>
    <x v="12"/>
    <x v="10"/>
    <x v="3"/>
    <s v="Operational Cost"/>
    <x v="98"/>
    <s v=""/>
    <n v="45.81"/>
    <n v="-45.81"/>
  </r>
  <r>
    <s v="2026-01-01"/>
    <x v="12"/>
    <x v="13"/>
    <x v="2"/>
    <s v="Operational Cost"/>
    <x v="23"/>
    <n v="10000"/>
    <s v=""/>
    <n v="10000"/>
  </r>
  <r>
    <s v="2026-01-02"/>
    <x v="12"/>
    <x v="10"/>
    <x v="3"/>
    <s v="Operational Cost"/>
    <x v="124"/>
    <n v="22400"/>
    <s v=""/>
    <n v="22400"/>
  </r>
  <r>
    <s v="2026-01-02"/>
    <x v="12"/>
    <x v="6"/>
    <x v="4"/>
    <s v="Operational Cost"/>
    <x v="5"/>
    <n v="297200"/>
    <s v=""/>
    <n v="297200"/>
  </r>
  <r>
    <s v="2026-01-02"/>
    <x v="12"/>
    <x v="14"/>
    <x v="3"/>
    <s v="Sales General &amp; Administration "/>
    <x v="98"/>
    <n v="106"/>
    <s v=""/>
    <n v="106"/>
  </r>
  <r>
    <s v="2026-01-02"/>
    <x v="12"/>
    <x v="16"/>
    <x v="6"/>
    <s v="Operational Cost"/>
    <x v="15"/>
    <n v="5605"/>
    <s v=""/>
    <n v="5605"/>
  </r>
  <r>
    <s v="2026-01-02"/>
    <x v="12"/>
    <x v="7"/>
    <x v="3"/>
    <s v="Sales General &amp; Administration "/>
    <x v="98"/>
    <n v="570"/>
    <s v=""/>
    <n v="570"/>
  </r>
  <r>
    <s v="2026-01-02"/>
    <x v="12"/>
    <x v="8"/>
    <x v="5"/>
    <s v="Indirect Income"/>
    <x v="7"/>
    <s v=""/>
    <n v="44317.9"/>
    <n v="-44317.9"/>
  </r>
  <r>
    <s v="2026-01-03"/>
    <x v="12"/>
    <x v="18"/>
    <x v="0"/>
    <s v="Operational Cost"/>
    <x v="17"/>
    <n v="26250"/>
    <s v=""/>
    <n v="26250"/>
  </r>
  <r>
    <s v="2026-01-03"/>
    <x v="12"/>
    <x v="9"/>
    <x v="2"/>
    <s v="Operational Cost"/>
    <x v="8"/>
    <n v="23333"/>
    <s v=""/>
    <n v="23333"/>
  </r>
  <r>
    <s v="2026-01-03"/>
    <x v="12"/>
    <x v="9"/>
    <x v="2"/>
    <s v="Operational Cost"/>
    <x v="8"/>
    <n v="10417"/>
    <s v=""/>
    <n v="10417"/>
  </r>
  <r>
    <s v="2026-01-03"/>
    <x v="12"/>
    <x v="9"/>
    <x v="2"/>
    <s v="Operational Cost"/>
    <x v="8"/>
    <n v="9167"/>
    <s v=""/>
    <n v="9167"/>
  </r>
  <r>
    <d v="2025-12-31T00:00:00"/>
    <x v="11"/>
    <x v="6"/>
    <x v="4"/>
    <s v="Operational Cost"/>
    <x v="104"/>
    <n v="111150"/>
    <s v=""/>
    <n v="111150"/>
  </r>
  <r>
    <s v="2026-01-05"/>
    <x v="12"/>
    <x v="14"/>
    <x v="3"/>
    <s v="Sales General &amp; Administration "/>
    <x v="98"/>
    <n v="390"/>
    <s v=""/>
    <n v="390"/>
  </r>
  <r>
    <s v="2026-01-05"/>
    <x v="12"/>
    <x v="59"/>
    <x v="3"/>
    <s v="Sales General &amp; Administration "/>
    <x v="9"/>
    <n v="20000"/>
    <s v=""/>
    <n v="20000"/>
  </r>
  <r>
    <s v="2026-01-05"/>
    <x v="12"/>
    <x v="10"/>
    <x v="3"/>
    <s v="Operational Cost"/>
    <x v="98"/>
    <n v="955.31"/>
    <s v=""/>
    <n v="955.31"/>
  </r>
  <r>
    <s v="2026-01-06"/>
    <x v="12"/>
    <x v="7"/>
    <x v="3"/>
    <s v="Sales General &amp; Administration "/>
    <x v="6"/>
    <n v="15599.5"/>
    <s v=""/>
    <n v="15599.5"/>
  </r>
  <r>
    <s v="2026-01-06"/>
    <x v="12"/>
    <x v="13"/>
    <x v="2"/>
    <s v="Operational Cost"/>
    <x v="14"/>
    <n v="2479"/>
    <s v=""/>
    <n v="2479"/>
  </r>
  <r>
    <s v="2026-01-07"/>
    <x v="12"/>
    <x v="14"/>
    <x v="3"/>
    <s v="Sales General &amp; Administration "/>
    <x v="98"/>
    <n v="150"/>
    <s v=""/>
    <n v="150"/>
  </r>
  <r>
    <s v="2026-01-07"/>
    <x v="12"/>
    <x v="16"/>
    <x v="6"/>
    <s v="Operational Cost"/>
    <x v="15"/>
    <n v="59099"/>
    <s v=""/>
    <n v="59099"/>
  </r>
  <r>
    <s v="2026-01-07"/>
    <x v="12"/>
    <x v="12"/>
    <x v="7"/>
    <s v="Operational Cost"/>
    <x v="9"/>
    <n v="15000"/>
    <s v=""/>
    <n v="15000"/>
  </r>
  <r>
    <s v="2026-01-08"/>
    <x v="12"/>
    <x v="23"/>
    <x v="2"/>
    <s v="Operational Cost"/>
    <x v="89"/>
    <n v="15000"/>
    <s v=""/>
    <n v="15000"/>
  </r>
  <r>
    <s v="2026-01-08"/>
    <x v="12"/>
    <x v="55"/>
    <x v="0"/>
    <s v="Operational Cost"/>
    <x v="101"/>
    <n v="25000"/>
    <s v=""/>
    <n v="25000"/>
  </r>
  <r>
    <s v="2026-01-08"/>
    <x v="12"/>
    <x v="14"/>
    <x v="3"/>
    <s v="Sales General &amp; Administration "/>
    <x v="98"/>
    <n v="140"/>
    <s v=""/>
    <n v="140"/>
  </r>
  <r>
    <s v="2026-01-08"/>
    <x v="12"/>
    <x v="7"/>
    <x v="3"/>
    <s v="Sales General &amp; Administration "/>
    <x v="98"/>
    <n v="590"/>
    <s v=""/>
    <n v="590"/>
  </r>
  <r>
    <s v="2026-01-09"/>
    <x v="12"/>
    <x v="15"/>
    <x v="2"/>
    <s v="Operational Cost"/>
    <x v="19"/>
    <n v="1298"/>
    <s v=""/>
    <n v="1298"/>
  </r>
  <r>
    <s v="2026-01-09"/>
    <x v="12"/>
    <x v="15"/>
    <x v="2"/>
    <s v="Operational Cost"/>
    <x v="19"/>
    <n v="923.82"/>
    <s v=""/>
    <n v="923.82"/>
  </r>
  <r>
    <s v="2026-01-09"/>
    <x v="12"/>
    <x v="14"/>
    <x v="3"/>
    <s v="Sales General &amp; Administration "/>
    <x v="98"/>
    <n v="140"/>
    <s v=""/>
    <n v="140"/>
  </r>
  <r>
    <s v="2026-01-09"/>
    <x v="12"/>
    <x v="14"/>
    <x v="3"/>
    <s v="Sales General &amp; Administration "/>
    <x v="98"/>
    <n v="181"/>
    <s v=""/>
    <n v="181"/>
  </r>
  <r>
    <s v="2026-01-09"/>
    <x v="12"/>
    <x v="14"/>
    <x v="3"/>
    <s v="Sales General &amp; Administration "/>
    <x v="98"/>
    <n v="170"/>
    <s v=""/>
    <n v="170"/>
  </r>
  <r>
    <s v="2026-01-09"/>
    <x v="12"/>
    <x v="11"/>
    <x v="6"/>
    <s v="Operational Cost"/>
    <x v="9"/>
    <n v="19985"/>
    <s v=""/>
    <n v="19985"/>
  </r>
  <r>
    <s v="2026-01-09"/>
    <x v="12"/>
    <x v="11"/>
    <x v="6"/>
    <s v="Operational Cost"/>
    <x v="9"/>
    <n v="400"/>
    <s v=""/>
    <n v="400"/>
  </r>
  <r>
    <s v="2026-01-09"/>
    <x v="12"/>
    <x v="17"/>
    <x v="0"/>
    <s v="Operational Cost"/>
    <x v="101"/>
    <n v="974"/>
    <s v=""/>
    <n v="974"/>
  </r>
  <r>
    <s v="2026-01-09"/>
    <x v="12"/>
    <x v="11"/>
    <x v="6"/>
    <s v="Operational Cost"/>
    <x v="9"/>
    <n v="2000"/>
    <s v=""/>
    <n v="2000"/>
  </r>
  <r>
    <s v="2026-01-09"/>
    <x v="12"/>
    <x v="13"/>
    <x v="2"/>
    <s v="Operational Cost"/>
    <x v="14"/>
    <n v="8350"/>
    <s v=""/>
    <n v="8350"/>
  </r>
  <r>
    <s v="2026-01-09"/>
    <x v="12"/>
    <x v="7"/>
    <x v="3"/>
    <s v="Sales General &amp; Administration "/>
    <x v="9"/>
    <n v="1132"/>
    <s v=""/>
    <n v="1132"/>
  </r>
  <r>
    <s v="2026-01-09"/>
    <x v="12"/>
    <x v="7"/>
    <x v="3"/>
    <s v="Sales General &amp; Administration "/>
    <x v="9"/>
    <n v="2266"/>
    <s v=""/>
    <n v="2266"/>
  </r>
  <r>
    <s v="2026-01-10"/>
    <x v="12"/>
    <x v="10"/>
    <x v="3"/>
    <s v="Operational Cost"/>
    <x v="98"/>
    <n v="1190.6099999999999"/>
    <s v=""/>
    <n v="1190.6099999999999"/>
  </r>
  <r>
    <s v="2026-01-11"/>
    <x v="12"/>
    <x v="14"/>
    <x v="3"/>
    <s v="Sales General &amp; Administration "/>
    <x v="98"/>
    <n v="120"/>
    <s v=""/>
    <n v="120"/>
  </r>
  <r>
    <s v="2026-01-12"/>
    <x v="12"/>
    <x v="13"/>
    <x v="2"/>
    <s v="Operational Cost"/>
    <x v="14"/>
    <n v="2775"/>
    <s v=""/>
    <n v="2775"/>
  </r>
  <r>
    <s v="2026-01-12"/>
    <x v="12"/>
    <x v="13"/>
    <x v="2"/>
    <s v="Operational Cost"/>
    <x v="23"/>
    <n v="12000"/>
    <s v=""/>
    <n v="12000"/>
  </r>
  <r>
    <s v="2026-01-13"/>
    <x v="12"/>
    <x v="14"/>
    <x v="3"/>
    <s v="Sales General &amp; Administration "/>
    <x v="12"/>
    <n v="230"/>
    <s v=""/>
    <n v="230"/>
  </r>
  <r>
    <s v="2026-01-13"/>
    <x v="12"/>
    <x v="7"/>
    <x v="3"/>
    <s v="Sales General &amp; Administration "/>
    <x v="9"/>
    <s v=""/>
    <n v="230"/>
    <n v="-230"/>
  </r>
  <r>
    <s v="2026-01-13"/>
    <x v="12"/>
    <x v="7"/>
    <x v="3"/>
    <s v="Sales General &amp; Administration "/>
    <x v="12"/>
    <n v="1000"/>
    <s v=""/>
    <n v="1000"/>
  </r>
  <r>
    <s v="2026-01-14"/>
    <x v="12"/>
    <x v="19"/>
    <x v="8"/>
    <s v="Sales General &amp; Administration "/>
    <x v="55"/>
    <n v="672.79"/>
    <s v=""/>
    <n v="672.79"/>
  </r>
  <r>
    <s v="2026-01-15"/>
    <x v="12"/>
    <x v="13"/>
    <x v="2"/>
    <s v="Operational Cost"/>
    <x v="21"/>
    <n v="2793.06"/>
    <s v=""/>
    <n v="2793.06"/>
  </r>
  <r>
    <s v="2026-01-15"/>
    <x v="12"/>
    <x v="13"/>
    <x v="2"/>
    <s v="Operational Cost"/>
    <x v="14"/>
    <n v="3535"/>
    <s v=""/>
    <n v="3535"/>
  </r>
  <r>
    <s v="2026-01-15"/>
    <x v="12"/>
    <x v="13"/>
    <x v="2"/>
    <s v="Operational Cost"/>
    <x v="14"/>
    <n v="8913"/>
    <s v=""/>
    <n v="8913"/>
  </r>
  <r>
    <s v="2026-01-16"/>
    <x v="12"/>
    <x v="13"/>
    <x v="2"/>
    <s v="Operational Cost"/>
    <x v="21"/>
    <n v="3382"/>
    <s v=""/>
    <n v="3382"/>
  </r>
  <r>
    <s v="2026-01-17"/>
    <x v="12"/>
    <x v="19"/>
    <x v="8"/>
    <s v="Sales General &amp; Administration "/>
    <x v="12"/>
    <n v="33.82"/>
    <s v=""/>
    <n v="33.82"/>
  </r>
  <r>
    <s v="2026-01-18"/>
    <x v="12"/>
    <x v="13"/>
    <x v="2"/>
    <s v="Operational Cost"/>
    <x v="14"/>
    <n v="1499"/>
    <s v=""/>
    <n v="1499"/>
  </r>
  <r>
    <s v="2026-01-18"/>
    <x v="12"/>
    <x v="17"/>
    <x v="0"/>
    <s v="Operational Cost"/>
    <x v="16"/>
    <n v="180086"/>
    <s v=""/>
    <n v="180086"/>
  </r>
  <r>
    <s v="2026-01-19"/>
    <x v="12"/>
    <x v="11"/>
    <x v="6"/>
    <s v="Operational Cost"/>
    <x v="9"/>
    <n v="800"/>
    <s v=""/>
    <n v="800"/>
  </r>
  <r>
    <s v="2026-01-19"/>
    <x v="12"/>
    <x v="11"/>
    <x v="6"/>
    <s v="Operational Cost"/>
    <x v="9"/>
    <n v="2435"/>
    <s v=""/>
    <n v="2435"/>
  </r>
  <r>
    <s v="2026-01-19"/>
    <x v="12"/>
    <x v="14"/>
    <x v="3"/>
    <s v="Sales General &amp; Administration "/>
    <x v="51"/>
    <n v="589.5"/>
    <s v=""/>
    <n v="589.5"/>
  </r>
  <r>
    <s v="2026-01-19"/>
    <x v="12"/>
    <x v="13"/>
    <x v="2"/>
    <s v="Operational Cost"/>
    <x v="23"/>
    <n v="10000"/>
    <s v=""/>
    <n v="10000"/>
  </r>
  <r>
    <s v="2026-01-20"/>
    <x v="12"/>
    <x v="7"/>
    <x v="3"/>
    <s v="Sales General &amp; Administration "/>
    <x v="125"/>
    <n v="9401.73"/>
    <s v=""/>
    <n v="9401.73"/>
  </r>
  <r>
    <s v="2026-01-20"/>
    <x v="12"/>
    <x v="11"/>
    <x v="6"/>
    <s v="Operational Cost"/>
    <x v="9"/>
    <n v="2888"/>
    <s v=""/>
    <n v="2888"/>
  </r>
  <r>
    <s v="2026-01-20"/>
    <x v="12"/>
    <x v="16"/>
    <x v="6"/>
    <s v="Operational Cost"/>
    <x v="15"/>
    <n v="4833"/>
    <s v=""/>
    <n v="4833"/>
  </r>
  <r>
    <s v="2026-01-21"/>
    <x v="12"/>
    <x v="7"/>
    <x v="3"/>
    <s v="Sales General &amp; Administration "/>
    <x v="9"/>
    <n v="4000"/>
    <s v=""/>
    <n v="4000"/>
  </r>
  <r>
    <s v="2026-01-22"/>
    <x v="12"/>
    <x v="23"/>
    <x v="2"/>
    <s v="Operational Cost"/>
    <x v="89"/>
    <n v="17542.650000000001"/>
    <s v=""/>
    <n v="17542.650000000001"/>
  </r>
  <r>
    <s v="2026-01-22"/>
    <x v="12"/>
    <x v="11"/>
    <x v="6"/>
    <s v="Operational Cost"/>
    <x v="12"/>
    <n v="900"/>
    <s v=""/>
    <n v="900"/>
  </r>
  <r>
    <s v="2026-01-22"/>
    <x v="12"/>
    <x v="11"/>
    <x v="6"/>
    <s v="Operational Cost"/>
    <x v="12"/>
    <n v="1070"/>
    <s v=""/>
    <n v="1070"/>
  </r>
  <r>
    <s v="2026-01-22"/>
    <x v="12"/>
    <x v="11"/>
    <x v="6"/>
    <s v="Operational Cost"/>
    <x v="12"/>
    <n v="929.58"/>
    <s v=""/>
    <n v="929.58"/>
  </r>
  <r>
    <s v="2026-01-22"/>
    <x v="12"/>
    <x v="11"/>
    <x v="6"/>
    <s v="Operational Cost"/>
    <x v="12"/>
    <n v="965.32"/>
    <s v=""/>
    <n v="965.32"/>
  </r>
  <r>
    <s v="2026-01-22"/>
    <x v="12"/>
    <x v="13"/>
    <x v="2"/>
    <s v="Operational Cost"/>
    <x v="22"/>
    <n v="6299.14"/>
    <s v=""/>
    <n v="6299.14"/>
  </r>
  <r>
    <s v="2026-01-22"/>
    <x v="12"/>
    <x v="13"/>
    <x v="2"/>
    <s v="Operational Cost"/>
    <x v="14"/>
    <n v="5372"/>
    <s v=""/>
    <n v="5372"/>
  </r>
  <r>
    <s v="2026-01-23"/>
    <x v="12"/>
    <x v="13"/>
    <x v="2"/>
    <s v="Operational Cost"/>
    <x v="21"/>
    <n v="2367"/>
    <s v=""/>
    <n v="2367"/>
  </r>
  <r>
    <s v="2026-01-23"/>
    <x v="12"/>
    <x v="7"/>
    <x v="3"/>
    <s v="Sales General &amp; Administration "/>
    <x v="12"/>
    <n v="1008"/>
    <s v=""/>
    <n v="1008"/>
  </r>
  <r>
    <s v="2026-01-24"/>
    <x v="12"/>
    <x v="19"/>
    <x v="8"/>
    <s v="Sales General &amp; Administration "/>
    <x v="12"/>
    <n v="23.67"/>
    <s v=""/>
    <n v="23.67"/>
  </r>
  <r>
    <s v="2026-01-27"/>
    <x v="12"/>
    <x v="13"/>
    <x v="2"/>
    <s v="Operational Cost"/>
    <x v="21"/>
    <n v="1499"/>
    <s v=""/>
    <n v="1499"/>
  </r>
  <r>
    <s v="2026-01-27"/>
    <x v="12"/>
    <x v="8"/>
    <x v="5"/>
    <s v="Indirect Income"/>
    <x v="7"/>
    <s v=""/>
    <n v="271911.46999999997"/>
    <n v="-271911.46999999997"/>
  </r>
  <r>
    <s v="2026-01-27"/>
    <x v="12"/>
    <x v="8"/>
    <x v="5"/>
    <s v="Indirect Income"/>
    <x v="7"/>
    <s v=""/>
    <n v="258419.23"/>
    <n v="-258419.23"/>
  </r>
  <r>
    <s v="2026-01-28"/>
    <x v="12"/>
    <x v="11"/>
    <x v="6"/>
    <s v="Operational Cost"/>
    <x v="12"/>
    <n v="1770"/>
    <s v=""/>
    <n v="1770"/>
  </r>
  <r>
    <s v="2026-01-28"/>
    <x v="12"/>
    <x v="11"/>
    <x v="6"/>
    <s v="Operational Cost"/>
    <x v="12"/>
    <n v="450"/>
    <s v=""/>
    <n v="450"/>
  </r>
  <r>
    <s v="2026-01-28"/>
    <x v="12"/>
    <x v="11"/>
    <x v="6"/>
    <s v="Operational Cost"/>
    <x v="12"/>
    <n v="378.73"/>
    <s v=""/>
    <n v="378.73"/>
  </r>
  <r>
    <s v="2026-01-28"/>
    <x v="12"/>
    <x v="11"/>
    <x v="6"/>
    <s v="Operational Cost"/>
    <x v="9"/>
    <n v="738"/>
    <s v=""/>
    <n v="738"/>
  </r>
  <r>
    <s v="2026-01-28"/>
    <x v="12"/>
    <x v="19"/>
    <x v="8"/>
    <s v="Sales General &amp; Administration "/>
    <x v="9"/>
    <n v="590"/>
    <s v=""/>
    <n v="590"/>
  </r>
  <r>
    <s v="2026-01-28"/>
    <x v="12"/>
    <x v="58"/>
    <x v="3"/>
    <s v="Sales General &amp; Administration "/>
    <x v="122"/>
    <n v="279"/>
    <s v=""/>
    <n v="279"/>
  </r>
  <r>
    <s v="2026-01-29"/>
    <x v="12"/>
    <x v="11"/>
    <x v="6"/>
    <s v="Operational Cost"/>
    <x v="12"/>
    <n v="1670"/>
    <s v=""/>
    <n v="1670"/>
  </r>
  <r>
    <s v="2026-01-29"/>
    <x v="12"/>
    <x v="11"/>
    <x v="6"/>
    <s v="Operational Cost"/>
    <x v="12"/>
    <n v="1133.8499999999999"/>
    <s v=""/>
    <n v="1133.8499999999999"/>
  </r>
  <r>
    <s v="2026-01-30"/>
    <x v="12"/>
    <x v="24"/>
    <x v="9"/>
    <s v="Sales General &amp; Administration "/>
    <x v="26"/>
    <n v="160000"/>
    <s v=""/>
    <n v="160000"/>
  </r>
  <r>
    <s v="2026-01-30"/>
    <x v="12"/>
    <x v="24"/>
    <x v="9"/>
    <s v="Sales General &amp; Administration "/>
    <x v="26"/>
    <n v="160000"/>
    <s v=""/>
    <n v="160000"/>
  </r>
  <r>
    <s v="2026-01-30"/>
    <x v="12"/>
    <x v="24"/>
    <x v="9"/>
    <s v="Sales General &amp; Administration "/>
    <x v="26"/>
    <n v="268000"/>
    <s v=""/>
    <n v="268000"/>
  </r>
  <r>
    <s v="2026-01-30"/>
    <x v="12"/>
    <x v="31"/>
    <x v="3"/>
    <s v="Sales General &amp; Administration "/>
    <x v="33"/>
    <n v="12000"/>
    <s v=""/>
    <n v="12000"/>
  </r>
  <r>
    <s v="2026-01-30"/>
    <x v="12"/>
    <x v="32"/>
    <x v="3"/>
    <s v="Sales General &amp; Administration "/>
    <x v="34"/>
    <n v="12000"/>
    <s v=""/>
    <n v="12000"/>
  </r>
  <r>
    <s v="2026-01-30"/>
    <x v="12"/>
    <x v="24"/>
    <x v="9"/>
    <s v="Sales General &amp; Administration "/>
    <x v="26"/>
    <n v="60000"/>
    <s v=""/>
    <n v="60000"/>
  </r>
  <r>
    <s v="2026-01-30"/>
    <x v="12"/>
    <x v="24"/>
    <x v="9"/>
    <s v="Sales General &amp; Administration "/>
    <x v="26"/>
    <n v="247074"/>
    <s v=""/>
    <n v="247074"/>
  </r>
  <r>
    <s v="2026-01-30"/>
    <x v="12"/>
    <x v="31"/>
    <x v="3"/>
    <s v="Sales General &amp; Administration "/>
    <x v="33"/>
    <n v="6000"/>
    <s v=""/>
    <n v="6000"/>
  </r>
  <r>
    <s v="2026-01-30"/>
    <x v="12"/>
    <x v="32"/>
    <x v="3"/>
    <s v="Sales General &amp; Administration "/>
    <x v="34"/>
    <n v="6000"/>
    <s v=""/>
    <n v="6000"/>
  </r>
  <r>
    <s v="2026-01-30"/>
    <x v="12"/>
    <x v="27"/>
    <x v="3"/>
    <s v="Sales General &amp; Administration "/>
    <x v="29"/>
    <n v="37436"/>
    <s v=""/>
    <n v="37436"/>
  </r>
  <r>
    <s v="2026-01-30"/>
    <x v="12"/>
    <x v="28"/>
    <x v="3"/>
    <s v="Sales General &amp; Administration "/>
    <x v="30"/>
    <n v="296255"/>
    <s v=""/>
    <n v="296255"/>
  </r>
  <r>
    <s v="2026-01-30"/>
    <x v="12"/>
    <x v="29"/>
    <x v="7"/>
    <s v="Operational Cost"/>
    <x v="31"/>
    <n v="6062679"/>
    <s v=""/>
    <n v="6062679"/>
  </r>
  <r>
    <s v="2026-01-30"/>
    <x v="12"/>
    <x v="30"/>
    <x v="7"/>
    <s v="Operational Cost"/>
    <x v="32"/>
    <n v="3422489"/>
    <s v=""/>
    <n v="3422489"/>
  </r>
  <r>
    <s v="2026-01-30"/>
    <x v="12"/>
    <x v="31"/>
    <x v="3"/>
    <s v="Sales General &amp; Administration "/>
    <x v="33"/>
    <n v="449242"/>
    <s v=""/>
    <n v="449242"/>
  </r>
  <r>
    <s v="2026-01-30"/>
    <x v="12"/>
    <x v="32"/>
    <x v="3"/>
    <s v="Sales General &amp; Administration "/>
    <x v="34"/>
    <n v="449242"/>
    <s v=""/>
    <n v="449242"/>
  </r>
  <r>
    <s v="2026-01-30"/>
    <x v="12"/>
    <x v="33"/>
    <x v="3"/>
    <s v="Sales General &amp; Administration "/>
    <x v="35"/>
    <n v="32834"/>
    <s v=""/>
    <n v="32834"/>
  </r>
  <r>
    <s v="2026-01-30"/>
    <x v="12"/>
    <x v="34"/>
    <x v="3"/>
    <s v="Sales General &amp; Administration "/>
    <x v="36"/>
    <n v="7602"/>
    <s v=""/>
    <n v="7602"/>
  </r>
  <r>
    <s v="2026-01-30"/>
    <x v="12"/>
    <x v="35"/>
    <x v="10"/>
    <s v="Sales General &amp; Administration "/>
    <x v="37"/>
    <n v="106145"/>
    <s v=""/>
    <n v="106145"/>
  </r>
  <r>
    <s v="2026-01-30"/>
    <x v="12"/>
    <x v="36"/>
    <x v="9"/>
    <s v="Sales General &amp; Administration "/>
    <x v="38"/>
    <n v="69706"/>
    <s v=""/>
    <n v="69706"/>
  </r>
  <r>
    <s v="2026-01-30"/>
    <x v="12"/>
    <x v="37"/>
    <x v="9"/>
    <s v="Sales General &amp; Administration "/>
    <x v="39"/>
    <n v="42470"/>
    <s v=""/>
    <n v="42470"/>
  </r>
  <r>
    <s v="2026-01-30"/>
    <x v="12"/>
    <x v="38"/>
    <x v="9"/>
    <s v="Sales General &amp; Administration "/>
    <x v="40"/>
    <n v="78584"/>
    <s v=""/>
    <n v="78584"/>
  </r>
  <r>
    <s v="2026-01-30"/>
    <x v="12"/>
    <x v="39"/>
    <x v="3"/>
    <s v="Sales General &amp; Administration "/>
    <x v="41"/>
    <n v="68808"/>
    <s v=""/>
    <n v="68808"/>
  </r>
  <r>
    <s v="2026-01-30"/>
    <x v="12"/>
    <x v="49"/>
    <x v="3"/>
    <s v="Sales General &amp; Administration "/>
    <x v="75"/>
    <n v="53429"/>
    <s v=""/>
    <n v="53429"/>
  </r>
  <r>
    <s v="2026-01-30"/>
    <x v="12"/>
    <x v="58"/>
    <x v="3"/>
    <s v="Sales General &amp; Administration "/>
    <x v="122"/>
    <n v="3"/>
    <s v=""/>
    <n v="3"/>
  </r>
  <r>
    <s v="2026-01-31"/>
    <x v="12"/>
    <x v="26"/>
    <x v="3"/>
    <s v="Sales General &amp; Administration "/>
    <x v="107"/>
    <n v="32000"/>
    <s v=""/>
    <n v="32000"/>
  </r>
  <r>
    <s v="2026-01-31"/>
    <x v="12"/>
    <x v="26"/>
    <x v="3"/>
    <s v="Sales General &amp; Administration "/>
    <x v="92"/>
    <n v="14000"/>
    <s v=""/>
    <n v="14000"/>
  </r>
  <r>
    <s v="2026-01-31"/>
    <x v="12"/>
    <x v="21"/>
    <x v="0"/>
    <s v="Operational Cost"/>
    <x v="20"/>
    <n v="189327.1"/>
    <s v=""/>
    <n v="189327.1"/>
  </r>
  <r>
    <s v="2026-01-31"/>
    <x v="12"/>
    <x v="37"/>
    <x v="9"/>
    <s v="Sales General &amp; Administration "/>
    <x v="39"/>
    <n v="49000"/>
    <s v=""/>
    <n v="49000"/>
  </r>
  <r>
    <s v="2026-01-31"/>
    <x v="12"/>
    <x v="7"/>
    <x v="3"/>
    <s v="Sales General &amp; Administration "/>
    <x v="12"/>
    <n v="650"/>
    <s v=""/>
    <n v="650"/>
  </r>
  <r>
    <s v="2026-01-31"/>
    <x v="12"/>
    <x v="7"/>
    <x v="3"/>
    <s v="Sales General &amp; Administration "/>
    <x v="12"/>
    <n v="6009"/>
    <s v=""/>
    <n v="6009"/>
  </r>
  <r>
    <s v="2026-02-01"/>
    <x v="13"/>
    <x v="0"/>
    <x v="0"/>
    <s v="Operational Cost"/>
    <x v="0"/>
    <n v="395769"/>
    <s v=""/>
    <n v="395769"/>
  </r>
  <r>
    <s v="2026-02-01"/>
    <x v="13"/>
    <x v="1"/>
    <x v="0"/>
    <s v="Operational Cost"/>
    <x v="0"/>
    <n v="68360"/>
    <s v=""/>
    <n v="68360"/>
  </r>
  <r>
    <s v="2026-02-01"/>
    <x v="13"/>
    <x v="52"/>
    <x v="0"/>
    <s v="Operational Cost"/>
    <x v="82"/>
    <n v="400000"/>
    <s v=""/>
    <n v="400000"/>
  </r>
  <r>
    <s v="2026-02-01"/>
    <x v="13"/>
    <x v="3"/>
    <x v="1"/>
    <s v="Sales General &amp; Administration "/>
    <x v="2"/>
    <n v="125000"/>
    <s v=""/>
    <n v="125000"/>
  </r>
  <r>
    <s v="2026-02-01"/>
    <x v="13"/>
    <x v="46"/>
    <x v="8"/>
    <s v="Sales General &amp; Administration "/>
    <x v="55"/>
    <n v="68655"/>
    <s v=""/>
    <n v="68655"/>
  </r>
  <r>
    <s v="2026-02-01"/>
    <x v="13"/>
    <x v="7"/>
    <x v="3"/>
    <s v="Sales General &amp; Administration "/>
    <x v="9"/>
    <n v="3500"/>
    <s v=""/>
    <n v="3500"/>
  </r>
  <r>
    <s v="2026-02-01"/>
    <x v="13"/>
    <x v="17"/>
    <x v="0"/>
    <s v="Operational Cost"/>
    <x v="9"/>
    <n v="373"/>
    <s v=""/>
    <n v="373"/>
  </r>
  <r>
    <s v="2026-02-01"/>
    <x v="13"/>
    <x v="14"/>
    <x v="3"/>
    <s v="Sales General &amp; Administration "/>
    <x v="98"/>
    <n v="120"/>
    <s v=""/>
    <n v="120"/>
  </r>
  <r>
    <s v="2026-02-01"/>
    <x v="13"/>
    <x v="14"/>
    <x v="3"/>
    <s v="Sales General &amp; Administration "/>
    <x v="98"/>
    <n v="180"/>
    <s v=""/>
    <n v="180"/>
  </r>
  <r>
    <s v="2026-02-01"/>
    <x v="13"/>
    <x v="13"/>
    <x v="2"/>
    <s v="Operational Cost"/>
    <x v="14"/>
    <n v="577"/>
    <s v=""/>
    <n v="577"/>
  </r>
  <r>
    <s v="2026-02-01"/>
    <x v="13"/>
    <x v="13"/>
    <x v="2"/>
    <s v="Operational Cost"/>
    <x v="14"/>
    <n v="9147"/>
    <s v=""/>
    <n v="9147"/>
  </r>
  <r>
    <s v="2026-02-02"/>
    <x v="13"/>
    <x v="4"/>
    <x v="2"/>
    <s v="Operational Cost"/>
    <x v="3"/>
    <n v="17400"/>
    <s v=""/>
    <n v="17400"/>
  </r>
  <r>
    <s v="2026-02-02"/>
    <x v="13"/>
    <x v="17"/>
    <x v="0"/>
    <s v="Operational Cost"/>
    <x v="82"/>
    <n v="69324"/>
    <s v=""/>
    <n v="69324"/>
  </r>
  <r>
    <s v="2026-02-02"/>
    <x v="13"/>
    <x v="6"/>
    <x v="4"/>
    <s v="Operational Cost"/>
    <x v="5"/>
    <n v="299400"/>
    <s v=""/>
    <n v="299400"/>
  </r>
  <r>
    <s v="2026-02-02"/>
    <x v="13"/>
    <x v="7"/>
    <x v="3"/>
    <s v="Sales General &amp; Administration "/>
    <x v="6"/>
    <n v="14716.5"/>
    <s v=""/>
    <n v="14716.5"/>
  </r>
  <r>
    <s v="2026-02-02"/>
    <x v="13"/>
    <x v="7"/>
    <x v="3"/>
    <s v="Sales General &amp; Administration "/>
    <x v="98"/>
    <n v="1395.8"/>
    <s v=""/>
    <n v="1395.8"/>
  </r>
  <r>
    <s v="2026-02-02"/>
    <x v="13"/>
    <x v="14"/>
    <x v="3"/>
    <s v="Sales General &amp; Administration "/>
    <x v="98"/>
    <n v="195"/>
    <s v=""/>
    <n v="195"/>
  </r>
  <r>
    <s v="2026-02-02"/>
    <x v="13"/>
    <x v="16"/>
    <x v="6"/>
    <s v="Operational Cost"/>
    <x v="15"/>
    <n v="5605"/>
    <s v=""/>
    <n v="5605"/>
  </r>
  <r>
    <s v="2026-02-03"/>
    <x v="13"/>
    <x v="18"/>
    <x v="0"/>
    <s v="Operational Cost"/>
    <x v="17"/>
    <n v="26250"/>
    <s v=""/>
    <n v="26250"/>
  </r>
  <r>
    <s v="2026-02-03"/>
    <x v="13"/>
    <x v="14"/>
    <x v="3"/>
    <s v="Sales General &amp; Administration "/>
    <x v="98"/>
    <n v="266"/>
    <s v=""/>
    <n v="266"/>
  </r>
  <r>
    <s v="2026-02-03"/>
    <x v="13"/>
    <x v="9"/>
    <x v="2"/>
    <s v="Operational Cost"/>
    <x v="8"/>
    <n v="9167"/>
    <s v=""/>
    <n v="9167"/>
  </r>
  <r>
    <s v="2026-02-03"/>
    <x v="13"/>
    <x v="9"/>
    <x v="2"/>
    <s v="Operational Cost"/>
    <x v="8"/>
    <n v="10417"/>
    <s v=""/>
    <n v="10417"/>
  </r>
  <r>
    <s v="2026-02-03"/>
    <x v="13"/>
    <x v="9"/>
    <x v="2"/>
    <s v="Operational Cost"/>
    <x v="8"/>
    <n v="23333"/>
    <s v=""/>
    <n v="23333"/>
  </r>
  <r>
    <s v="2026-02-03"/>
    <x v="13"/>
    <x v="7"/>
    <x v="3"/>
    <s v="Sales General &amp; Administration "/>
    <x v="83"/>
    <n v="808"/>
    <s v=""/>
    <n v="808"/>
  </r>
  <r>
    <d v="2026-01-31T00:00:00"/>
    <x v="12"/>
    <x v="6"/>
    <x v="4"/>
    <s v="Operational Cost"/>
    <x v="104"/>
    <n v="102700"/>
    <s v=""/>
    <n v="102700"/>
  </r>
  <r>
    <s v="2026-02-04"/>
    <x v="13"/>
    <x v="14"/>
    <x v="3"/>
    <s v="Sales General &amp; Administration "/>
    <x v="98"/>
    <n v="209"/>
    <s v=""/>
    <n v="209"/>
  </r>
  <r>
    <s v="2026-02-04"/>
    <x v="13"/>
    <x v="11"/>
    <x v="6"/>
    <s v="Operational Cost"/>
    <x v="9"/>
    <n v="4200"/>
    <s v=""/>
    <n v="4200"/>
  </r>
  <r>
    <s v="2026-02-04"/>
    <x v="13"/>
    <x v="11"/>
    <x v="6"/>
    <s v="Operational Cost"/>
    <x v="9"/>
    <n v="3565"/>
    <s v=""/>
    <n v="3565"/>
  </r>
  <r>
    <s v="2026-02-05"/>
    <x v="13"/>
    <x v="10"/>
    <x v="3"/>
    <s v="Operational Cost"/>
    <x v="98"/>
    <n v="1217.9100000000001"/>
    <s v=""/>
    <n v="1217.9100000000001"/>
  </r>
  <r>
    <s v="2026-02-05"/>
    <x v="13"/>
    <x v="14"/>
    <x v="3"/>
    <s v="Sales General &amp; Administration "/>
    <x v="98"/>
    <n v="324"/>
    <s v=""/>
    <n v="324"/>
  </r>
  <r>
    <s v="2026-02-05"/>
    <x v="13"/>
    <x v="7"/>
    <x v="3"/>
    <s v="Sales General &amp; Administration "/>
    <x v="83"/>
    <n v="809"/>
    <s v=""/>
    <n v="809"/>
  </r>
  <r>
    <s v="2026-02-06"/>
    <x v="13"/>
    <x v="55"/>
    <x v="0"/>
    <s v="Operational Cost"/>
    <x v="101"/>
    <n v="25000"/>
    <s v=""/>
    <n v="25000"/>
  </r>
  <r>
    <s v="2026-02-06"/>
    <x v="13"/>
    <x v="23"/>
    <x v="2"/>
    <s v="Operational Cost"/>
    <x v="89"/>
    <n v="15000"/>
    <s v=""/>
    <n v="15000"/>
  </r>
  <r>
    <s v="2026-02-06"/>
    <x v="13"/>
    <x v="14"/>
    <x v="3"/>
    <s v="Sales General &amp; Administration "/>
    <x v="98"/>
    <n v="338"/>
    <s v=""/>
    <n v="338"/>
  </r>
  <r>
    <s v="2026-02-06"/>
    <x v="13"/>
    <x v="13"/>
    <x v="2"/>
    <s v="Operational Cost"/>
    <x v="14"/>
    <n v="2479"/>
    <s v=""/>
    <n v="2479"/>
  </r>
  <r>
    <s v="2026-02-06"/>
    <x v="13"/>
    <x v="11"/>
    <x v="6"/>
    <s v="Operational Cost"/>
    <x v="12"/>
    <n v="1425"/>
    <s v=""/>
    <n v="1425"/>
  </r>
  <r>
    <s v="2026-02-06"/>
    <x v="13"/>
    <x v="11"/>
    <x v="6"/>
    <s v="Operational Cost"/>
    <x v="12"/>
    <n v="150"/>
    <s v=""/>
    <n v="150"/>
  </r>
  <r>
    <s v="2026-02-06"/>
    <x v="13"/>
    <x v="11"/>
    <x v="6"/>
    <s v="Operational Cost"/>
    <x v="12"/>
    <n v="1410"/>
    <s v=""/>
    <n v="1410"/>
  </r>
  <r>
    <s v="2026-02-07"/>
    <x v="13"/>
    <x v="10"/>
    <x v="3"/>
    <s v="Operational Cost"/>
    <x v="98"/>
    <n v="1177.51"/>
    <s v=""/>
    <n v="1177.51"/>
  </r>
  <r>
    <s v="2026-02-07"/>
    <x v="13"/>
    <x v="7"/>
    <x v="3"/>
    <s v="Sales General &amp; Administration "/>
    <x v="98"/>
    <n v="661.95"/>
    <s v=""/>
    <n v="661.95"/>
  </r>
  <r>
    <s v="2026-02-07"/>
    <x v="13"/>
    <x v="16"/>
    <x v="6"/>
    <s v="Operational Cost"/>
    <x v="15"/>
    <n v="59099"/>
    <s v=""/>
    <n v="59099"/>
  </r>
  <r>
    <s v="2026-02-07"/>
    <x v="13"/>
    <x v="17"/>
    <x v="0"/>
    <s v="Operational Cost"/>
    <x v="16"/>
    <n v="32139"/>
    <s v=""/>
    <n v="32139"/>
  </r>
  <r>
    <s v="2026-02-08"/>
    <x v="13"/>
    <x v="14"/>
    <x v="3"/>
    <s v="Sales General &amp; Administration "/>
    <x v="98"/>
    <n v="321"/>
    <s v=""/>
    <n v="321"/>
  </r>
  <r>
    <s v="2026-02-09"/>
    <x v="13"/>
    <x v="15"/>
    <x v="2"/>
    <s v="Operational Cost"/>
    <x v="19"/>
    <n v="1531.64"/>
    <s v=""/>
    <n v="1531.64"/>
  </r>
  <r>
    <s v="2026-02-09"/>
    <x v="13"/>
    <x v="13"/>
    <x v="2"/>
    <s v="Operational Cost"/>
    <x v="23"/>
    <n v="100"/>
    <s v=""/>
    <n v="100"/>
  </r>
  <r>
    <s v="2026-02-09"/>
    <x v="13"/>
    <x v="13"/>
    <x v="2"/>
    <s v="Operational Cost"/>
    <x v="23"/>
    <n v="7000"/>
    <s v=""/>
    <n v="7000"/>
  </r>
  <r>
    <s v="2026-02-09"/>
    <x v="13"/>
    <x v="13"/>
    <x v="2"/>
    <s v="Operational Cost"/>
    <x v="14"/>
    <n v="8350"/>
    <s v=""/>
    <n v="8350"/>
  </r>
  <r>
    <s v="2026-02-09"/>
    <x v="13"/>
    <x v="13"/>
    <x v="2"/>
    <s v="Operational Cost"/>
    <x v="14"/>
    <n v="223"/>
    <s v=""/>
    <n v="223"/>
  </r>
  <r>
    <s v="2026-02-09"/>
    <x v="13"/>
    <x v="14"/>
    <x v="3"/>
    <s v="Sales General &amp; Administration "/>
    <x v="51"/>
    <n v="20100"/>
    <s v=""/>
    <n v="20100"/>
  </r>
  <r>
    <s v="2026-02-10"/>
    <x v="13"/>
    <x v="14"/>
    <x v="3"/>
    <s v="Sales General &amp; Administration "/>
    <x v="98"/>
    <n v="150"/>
    <s v=""/>
    <n v="150"/>
  </r>
  <r>
    <s v="2026-02-10"/>
    <x v="13"/>
    <x v="14"/>
    <x v="3"/>
    <s v="Sales General &amp; Administration "/>
    <x v="98"/>
    <n v="220"/>
    <s v=""/>
    <n v="220"/>
  </r>
  <r>
    <s v="2026-02-10"/>
    <x v="13"/>
    <x v="14"/>
    <x v="3"/>
    <s v="Sales General &amp; Administration "/>
    <x v="98"/>
    <n v="128"/>
    <s v=""/>
    <n v="128"/>
  </r>
  <r>
    <s v="2026-02-10"/>
    <x v="13"/>
    <x v="11"/>
    <x v="6"/>
    <s v="Operational Cost"/>
    <x v="126"/>
    <n v="3600"/>
    <s v=""/>
    <n v="3600"/>
  </r>
  <r>
    <s v="2026-02-10"/>
    <x v="13"/>
    <x v="11"/>
    <x v="6"/>
    <s v="Operational Cost"/>
    <x v="9"/>
    <n v="3000"/>
    <s v=""/>
    <n v="3000"/>
  </r>
  <r>
    <s v="2026-02-10"/>
    <x v="13"/>
    <x v="10"/>
    <x v="3"/>
    <s v="Operational Cost"/>
    <x v="9"/>
    <n v="639"/>
    <s v=""/>
    <n v="639"/>
  </r>
  <r>
    <s v="2026-02-10"/>
    <x v="13"/>
    <x v="11"/>
    <x v="6"/>
    <s v="Operational Cost"/>
    <x v="9"/>
    <n v="2720"/>
    <s v=""/>
    <n v="2720"/>
  </r>
  <r>
    <s v="2026-02-10"/>
    <x v="13"/>
    <x v="11"/>
    <x v="6"/>
    <s v="Operational Cost"/>
    <x v="12"/>
    <n v="5586.8"/>
    <s v=""/>
    <n v="5586.8"/>
  </r>
  <r>
    <s v="2026-02-10"/>
    <x v="13"/>
    <x v="15"/>
    <x v="2"/>
    <s v="Operational Cost"/>
    <x v="9"/>
    <n v="10443"/>
    <s v=""/>
    <n v="10443"/>
  </r>
  <r>
    <s v="2026-02-11"/>
    <x v="13"/>
    <x v="14"/>
    <x v="3"/>
    <s v="Sales General &amp; Administration "/>
    <x v="98"/>
    <n v="168"/>
    <s v=""/>
    <n v="168"/>
  </r>
  <r>
    <s v="2026-02-11"/>
    <x v="13"/>
    <x v="14"/>
    <x v="3"/>
    <s v="Sales General &amp; Administration "/>
    <x v="98"/>
    <n v="150"/>
    <s v=""/>
    <n v="150"/>
  </r>
  <r>
    <s v="2026-02-11"/>
    <x v="13"/>
    <x v="14"/>
    <x v="3"/>
    <s v="Sales General &amp; Administration "/>
    <x v="98"/>
    <n v="210"/>
    <s v=""/>
    <n v="210"/>
  </r>
  <r>
    <s v="2026-02-11"/>
    <x v="13"/>
    <x v="11"/>
    <x v="6"/>
    <s v="Operational Cost"/>
    <x v="9"/>
    <n v="2493"/>
    <s v=""/>
    <n v="2493"/>
  </r>
  <r>
    <s v="2026-02-12"/>
    <x v="13"/>
    <x v="13"/>
    <x v="2"/>
    <s v="Operational Cost"/>
    <x v="14"/>
    <n v="2775"/>
    <s v=""/>
    <n v="2775"/>
  </r>
  <r>
    <s v="2026-02-14"/>
    <x v="13"/>
    <x v="14"/>
    <x v="3"/>
    <s v="Sales General &amp; Administration "/>
    <x v="9"/>
    <n v="1520"/>
    <s v=""/>
    <n v="1520"/>
  </r>
  <r>
    <s v="2026-02-15"/>
    <x v="13"/>
    <x v="13"/>
    <x v="2"/>
    <s v="Operational Cost"/>
    <x v="21"/>
    <n v="2793.06"/>
    <s v=""/>
    <n v="2793.06"/>
  </r>
  <r>
    <s v="2026-02-15"/>
    <x v="13"/>
    <x v="13"/>
    <x v="2"/>
    <s v="Operational Cost"/>
    <x v="14"/>
    <n v="8913"/>
    <s v=""/>
    <n v="8913"/>
  </r>
  <r>
    <s v="2026-02-15"/>
    <x v="13"/>
    <x v="13"/>
    <x v="2"/>
    <s v="Operational Cost"/>
    <x v="14"/>
    <n v="3535"/>
    <s v=""/>
    <n v="3535"/>
  </r>
  <r>
    <s v="2026-02-16"/>
    <x v="13"/>
    <x v="13"/>
    <x v="2"/>
    <s v="Operational Cost"/>
    <x v="21"/>
    <n v="3382"/>
    <s v=""/>
    <n v="3382"/>
  </r>
  <r>
    <s v="2026-02-16"/>
    <x v="13"/>
    <x v="11"/>
    <x v="6"/>
    <s v="Operational Cost"/>
    <x v="86"/>
    <n v="770"/>
    <s v=""/>
    <n v="770"/>
  </r>
  <r>
    <s v="2026-02-16"/>
    <x v="13"/>
    <x v="11"/>
    <x v="6"/>
    <s v="Operational Cost"/>
    <x v="86"/>
    <n v="957.18"/>
    <s v=""/>
    <n v="957.18"/>
  </r>
  <r>
    <s v="2026-02-17"/>
    <x v="13"/>
    <x v="7"/>
    <x v="3"/>
    <s v="Sales General &amp; Administration "/>
    <x v="9"/>
    <n v="420"/>
    <s v=""/>
    <n v="420"/>
  </r>
  <r>
    <s v="2026-02-17"/>
    <x v="13"/>
    <x v="11"/>
    <x v="6"/>
    <s v="Operational Cost"/>
    <x v="9"/>
    <n v="3500"/>
    <s v=""/>
    <n v="3500"/>
  </r>
  <r>
    <s v="2026-02-17"/>
    <x v="13"/>
    <x v="19"/>
    <x v="8"/>
    <s v="Sales General &amp; Administration "/>
    <x v="12"/>
    <n v="33.82"/>
    <s v=""/>
    <n v="33.82"/>
  </r>
  <r>
    <s v="2026-02-17"/>
    <x v="13"/>
    <x v="13"/>
    <x v="2"/>
    <s v="Operational Cost"/>
    <x v="23"/>
    <n v="850"/>
    <s v=""/>
    <n v="850"/>
  </r>
  <r>
    <s v="2026-02-17"/>
    <x v="13"/>
    <x v="11"/>
    <x v="6"/>
    <s v="Operational Cost"/>
    <x v="9"/>
    <n v="19249"/>
    <s v=""/>
    <n v="19249"/>
  </r>
  <r>
    <s v="2026-02-17"/>
    <x v="13"/>
    <x v="47"/>
    <x v="3"/>
    <s v="Sales General &amp; Administration "/>
    <x v="127"/>
    <n v="34000"/>
    <s v=""/>
    <n v="34000"/>
  </r>
  <r>
    <s v="2026-02-17"/>
    <x v="13"/>
    <x v="11"/>
    <x v="6"/>
    <s v="Operational Cost"/>
    <x v="9"/>
    <n v="2000"/>
    <s v=""/>
    <n v="2000"/>
  </r>
  <r>
    <s v="2026-02-17"/>
    <x v="13"/>
    <x v="20"/>
    <x v="3"/>
    <s v="Sales General &amp; Administration "/>
    <x v="9"/>
    <n v="1080"/>
    <s v=""/>
    <n v="1080"/>
  </r>
  <r>
    <s v="2026-02-17"/>
    <x v="13"/>
    <x v="8"/>
    <x v="5"/>
    <s v="Indirect Income"/>
    <x v="7"/>
    <s v=""/>
    <n v="65661.25"/>
    <n v="-65661.25"/>
  </r>
  <r>
    <s v="2026-02-18"/>
    <x v="13"/>
    <x v="15"/>
    <x v="2"/>
    <s v="Operational Cost"/>
    <x v="19"/>
    <n v="370.52"/>
    <s v=""/>
    <n v="370.52"/>
  </r>
  <r>
    <s v="2026-02-18"/>
    <x v="13"/>
    <x v="15"/>
    <x v="2"/>
    <s v="Operational Cost"/>
    <x v="19"/>
    <n v="336.3"/>
    <s v=""/>
    <n v="336.3"/>
  </r>
  <r>
    <s v="2026-02-18"/>
    <x v="13"/>
    <x v="13"/>
    <x v="2"/>
    <s v="Operational Cost"/>
    <x v="14"/>
    <n v="1499"/>
    <s v=""/>
    <n v="1499"/>
  </r>
  <r>
    <s v="2026-02-18"/>
    <x v="13"/>
    <x v="15"/>
    <x v="2"/>
    <s v="Operational Cost"/>
    <x v="19"/>
    <n v="782.9"/>
    <s v=""/>
    <n v="782.9"/>
  </r>
  <r>
    <s v="2026-02-18"/>
    <x v="13"/>
    <x v="17"/>
    <x v="0"/>
    <s v="Operational Cost"/>
    <x v="16"/>
    <n v="180086"/>
    <s v=""/>
    <n v="180086"/>
  </r>
  <r>
    <s v="2026-02-19"/>
    <x v="13"/>
    <x v="11"/>
    <x v="6"/>
    <s v="Operational Cost"/>
    <x v="9"/>
    <n v="2812"/>
    <s v=""/>
    <n v="2812"/>
  </r>
  <r>
    <s v="2026-02-19"/>
    <x v="13"/>
    <x v="14"/>
    <x v="3"/>
    <s v="Sales General &amp; Administration "/>
    <x v="51"/>
    <n v="817.69"/>
    <s v=""/>
    <n v="817.69"/>
  </r>
  <r>
    <s v="2026-02-20"/>
    <x v="13"/>
    <x v="16"/>
    <x v="6"/>
    <s v="Operational Cost"/>
    <x v="15"/>
    <n v="4833"/>
    <s v=""/>
    <n v="4833"/>
  </r>
  <r>
    <s v="2026-02-21"/>
    <x v="13"/>
    <x v="19"/>
    <x v="8"/>
    <s v="Sales General &amp; Administration "/>
    <x v="51"/>
    <n v="8.18"/>
    <s v=""/>
    <n v="8.18"/>
  </r>
  <r>
    <s v="2026-02-21"/>
    <x v="13"/>
    <x v="11"/>
    <x v="6"/>
    <s v="Operational Cost"/>
    <x v="45"/>
    <n v="104969.25"/>
    <s v=""/>
    <n v="104969.25"/>
  </r>
  <r>
    <s v="2026-02-22"/>
    <x v="13"/>
    <x v="13"/>
    <x v="2"/>
    <s v="Operational Cost"/>
    <x v="14"/>
    <n v="5372"/>
    <s v=""/>
    <n v="5372"/>
  </r>
  <r>
    <s v="2026-02-23"/>
    <x v="13"/>
    <x v="23"/>
    <x v="2"/>
    <s v="Operational Cost"/>
    <x v="89"/>
    <n v="18095.87"/>
    <s v=""/>
    <n v="18095.87"/>
  </r>
  <r>
    <s v="2026-02-23"/>
    <x v="13"/>
    <x v="13"/>
    <x v="2"/>
    <s v="Operational Cost"/>
    <x v="21"/>
    <n v="2367"/>
    <s v=""/>
    <n v="2367"/>
  </r>
  <r>
    <s v="2026-02-23"/>
    <x v="13"/>
    <x v="7"/>
    <x v="3"/>
    <s v="Sales General &amp; Administration "/>
    <x v="9"/>
    <n v="4091"/>
    <s v=""/>
    <n v="4091"/>
  </r>
  <r>
    <s v="2026-02-23"/>
    <x v="13"/>
    <x v="11"/>
    <x v="6"/>
    <s v="Operational Cost"/>
    <x v="9"/>
    <n v="1500"/>
    <s v=""/>
    <n v="1500"/>
  </r>
  <r>
    <s v="2026-02-24"/>
    <x v="13"/>
    <x v="19"/>
    <x v="8"/>
    <s v="Sales General &amp; Administration "/>
    <x v="12"/>
    <n v="23.67"/>
    <s v=""/>
    <n v="23.67"/>
  </r>
  <r>
    <s v="2026-02-24"/>
    <x v="13"/>
    <x v="8"/>
    <x v="5"/>
    <s v="Indirect Income"/>
    <x v="7"/>
    <s v=""/>
    <n v="271039.01"/>
    <n v="-271039.01"/>
  </r>
  <r>
    <s v="2026-02-24"/>
    <x v="13"/>
    <x v="8"/>
    <x v="5"/>
    <s v="Indirect Income"/>
    <x v="7"/>
    <s v=""/>
    <n v="90403.94"/>
    <n v="-90403.94"/>
  </r>
  <r>
    <s v="2026-02-25"/>
    <x v="13"/>
    <x v="10"/>
    <x v="3"/>
    <s v="Operational Cost"/>
    <x v="51"/>
    <n v="1246.78"/>
    <s v=""/>
    <n v="1246.78"/>
  </r>
  <r>
    <s v="2026-02-25"/>
    <x v="13"/>
    <x v="10"/>
    <x v="3"/>
    <s v="Operational Cost"/>
    <x v="51"/>
    <n v="935.11"/>
    <s v=""/>
    <n v="935.11"/>
  </r>
  <r>
    <s v="2026-02-25"/>
    <x v="13"/>
    <x v="11"/>
    <x v="6"/>
    <s v="Operational Cost"/>
    <x v="45"/>
    <n v="164389.20000000001"/>
    <s v=""/>
    <n v="164389.20000000001"/>
  </r>
  <r>
    <s v="2026-02-26"/>
    <x v="13"/>
    <x v="14"/>
    <x v="3"/>
    <s v="Sales General &amp; Administration "/>
    <x v="9"/>
    <n v="1500"/>
    <s v=""/>
    <n v="1500"/>
  </r>
  <r>
    <s v="2026-02-26"/>
    <x v="13"/>
    <x v="10"/>
    <x v="3"/>
    <s v="Operational Cost"/>
    <x v="51"/>
    <s v=""/>
    <n v="833.61"/>
    <n v="-833.61"/>
  </r>
  <r>
    <s v="2026-02-27"/>
    <x v="13"/>
    <x v="58"/>
    <x v="3"/>
    <s v="Sales General &amp; Administration "/>
    <x v="122"/>
    <n v="25300"/>
    <s v=""/>
    <n v="25300"/>
  </r>
  <r>
    <s v="2026-02-27"/>
    <x v="13"/>
    <x v="13"/>
    <x v="2"/>
    <s v="Operational Cost"/>
    <x v="21"/>
    <n v="1499"/>
    <s v=""/>
    <n v="1499"/>
  </r>
  <r>
    <s v="2026-02-28"/>
    <x v="13"/>
    <x v="26"/>
    <x v="3"/>
    <s v="Sales General &amp; Administration "/>
    <x v="92"/>
    <n v="14000"/>
    <s v=""/>
    <n v="14000"/>
  </r>
  <r>
    <s v="2026-02-28"/>
    <x v="13"/>
    <x v="58"/>
    <x v="3"/>
    <s v="Sales General &amp; Administration "/>
    <x v="122"/>
    <n v="2900"/>
    <s v=""/>
    <n v="2900"/>
  </r>
  <r>
    <s v="2026-02-28"/>
    <x v="13"/>
    <x v="21"/>
    <x v="0"/>
    <s v="Operational Cost"/>
    <x v="20"/>
    <n v="190241.09"/>
    <s v=""/>
    <n v="190241.09"/>
  </r>
  <r>
    <s v="2026-02-28"/>
    <x v="13"/>
    <x v="26"/>
    <x v="3"/>
    <s v="Sales General &amp; Administration "/>
    <x v="107"/>
    <n v="32000"/>
    <s v=""/>
    <n v="32000"/>
  </r>
  <r>
    <s v="2026-02-28"/>
    <x v="13"/>
    <x v="24"/>
    <x v="9"/>
    <s v="Sales General &amp; Administration "/>
    <x v="26"/>
    <n v="160000"/>
    <s v=""/>
    <n v="160000"/>
  </r>
  <r>
    <s v="2026-02-28"/>
    <x v="13"/>
    <x v="24"/>
    <x v="9"/>
    <s v="Sales General &amp; Administration "/>
    <x v="26"/>
    <n v="247074"/>
    <s v=""/>
    <n v="247074"/>
  </r>
  <r>
    <s v="2026-02-28"/>
    <x v="13"/>
    <x v="31"/>
    <x v="3"/>
    <s v="Sales General &amp; Administration "/>
    <x v="33"/>
    <n v="6000"/>
    <s v=""/>
    <n v="6000"/>
  </r>
  <r>
    <s v="2026-02-28"/>
    <x v="13"/>
    <x v="32"/>
    <x v="3"/>
    <s v="Sales General &amp; Administration "/>
    <x v="34"/>
    <n v="6000"/>
    <s v=""/>
    <n v="6000"/>
  </r>
  <r>
    <s v="2026-02-28"/>
    <x v="13"/>
    <x v="24"/>
    <x v="9"/>
    <s v="Sales General &amp; Administration "/>
    <x v="26"/>
    <n v="60000"/>
    <s v=""/>
    <n v="60000"/>
  </r>
  <r>
    <s v="2026-02-28"/>
    <x v="13"/>
    <x v="24"/>
    <x v="9"/>
    <s v="Sales General &amp; Administration "/>
    <x v="26"/>
    <n v="268000"/>
    <s v=""/>
    <n v="268000"/>
  </r>
  <r>
    <s v="2026-02-28"/>
    <x v="13"/>
    <x v="31"/>
    <x v="3"/>
    <s v="Sales General &amp; Administration "/>
    <x v="33"/>
    <n v="12000"/>
    <s v=""/>
    <n v="12000"/>
  </r>
  <r>
    <s v="2026-02-28"/>
    <x v="13"/>
    <x v="32"/>
    <x v="3"/>
    <s v="Sales General &amp; Administration "/>
    <x v="34"/>
    <n v="12000"/>
    <s v=""/>
    <n v="12000"/>
  </r>
  <r>
    <s v="2026-02-28"/>
    <x v="13"/>
    <x v="24"/>
    <x v="9"/>
    <s v="Sales General &amp; Administration "/>
    <x v="26"/>
    <n v="160000"/>
    <s v=""/>
    <n v="160000"/>
  </r>
  <r>
    <s v="2026-02-28"/>
    <x v="13"/>
    <x v="25"/>
    <x v="7"/>
    <s v="Operational Cost"/>
    <x v="27"/>
    <n v="20000"/>
    <s v=""/>
    <n v="20000"/>
  </r>
  <r>
    <s v="2026-02-28"/>
    <x v="13"/>
    <x v="37"/>
    <x v="9"/>
    <s v="Sales General &amp; Administration "/>
    <x v="39"/>
    <n v="37715"/>
    <s v=""/>
    <n v="37715"/>
  </r>
  <r>
    <s v="2026-02-28"/>
    <x v="13"/>
    <x v="27"/>
    <x v="3"/>
    <s v="Sales General &amp; Administration "/>
    <x v="29"/>
    <n v="34044"/>
    <s v=""/>
    <n v="34044"/>
  </r>
  <r>
    <s v="2026-02-28"/>
    <x v="13"/>
    <x v="28"/>
    <x v="3"/>
    <s v="Sales General &amp; Administration "/>
    <x v="30"/>
    <n v="267000"/>
    <s v=""/>
    <n v="267000"/>
  </r>
  <r>
    <s v="2026-02-28"/>
    <x v="13"/>
    <x v="29"/>
    <x v="7"/>
    <s v="Operational Cost"/>
    <x v="31"/>
    <n v="6115267"/>
    <s v=""/>
    <n v="6115267"/>
  </r>
  <r>
    <s v="2026-02-28"/>
    <x v="13"/>
    <x v="30"/>
    <x v="7"/>
    <s v="Operational Cost"/>
    <x v="32"/>
    <n v="3333406"/>
    <s v=""/>
    <n v="3333406"/>
  </r>
  <r>
    <s v="2026-02-28"/>
    <x v="13"/>
    <x v="31"/>
    <x v="3"/>
    <s v="Sales General &amp; Administration "/>
    <x v="33"/>
    <n v="408537"/>
    <s v=""/>
    <n v="408537"/>
  </r>
  <r>
    <s v="2026-02-28"/>
    <x v="13"/>
    <x v="32"/>
    <x v="3"/>
    <s v="Sales General &amp; Administration "/>
    <x v="34"/>
    <n v="408537"/>
    <s v=""/>
    <n v="408537"/>
  </r>
  <r>
    <s v="2026-02-28"/>
    <x v="13"/>
    <x v="33"/>
    <x v="3"/>
    <s v="Sales General &amp; Administration "/>
    <x v="35"/>
    <n v="31935"/>
    <s v=""/>
    <n v="31935"/>
  </r>
  <r>
    <s v="2026-02-28"/>
    <x v="13"/>
    <x v="34"/>
    <x v="3"/>
    <s v="Sales General &amp; Administration "/>
    <x v="36"/>
    <n v="7397"/>
    <s v=""/>
    <n v="7397"/>
  </r>
  <r>
    <s v="2026-02-28"/>
    <x v="13"/>
    <x v="35"/>
    <x v="10"/>
    <s v="Sales General &amp; Administration "/>
    <x v="37"/>
    <n v="93372"/>
    <s v=""/>
    <n v="93372"/>
  </r>
  <r>
    <s v="2026-02-28"/>
    <x v="13"/>
    <x v="36"/>
    <x v="9"/>
    <s v="Sales General &amp; Administration "/>
    <x v="38"/>
    <n v="68994"/>
    <s v=""/>
    <n v="68994"/>
  </r>
  <r>
    <s v="2026-02-28"/>
    <x v="13"/>
    <x v="37"/>
    <x v="9"/>
    <s v="Sales General &amp; Administration "/>
    <x v="39"/>
    <n v="42470"/>
    <s v=""/>
    <n v="42470"/>
  </r>
  <r>
    <s v="2026-02-28"/>
    <x v="13"/>
    <x v="38"/>
    <x v="9"/>
    <s v="Sales General &amp; Administration "/>
    <x v="40"/>
    <n v="61960"/>
    <s v=""/>
    <n v="61960"/>
  </r>
  <r>
    <s v="2026-02-28"/>
    <x v="13"/>
    <x v="39"/>
    <x v="3"/>
    <s v="Sales General &amp; Administration "/>
    <x v="41"/>
    <n v="59223"/>
    <s v=""/>
    <n v="59223"/>
  </r>
  <r>
    <s v="2026-03-01"/>
    <x v="14"/>
    <x v="0"/>
    <x v="0"/>
    <s v="Operational Cost"/>
    <x v="0"/>
    <n v="395769"/>
    <s v=""/>
    <n v="395769"/>
  </r>
  <r>
    <s v="2026-03-01"/>
    <x v="14"/>
    <x v="1"/>
    <x v="0"/>
    <s v="Operational Cost"/>
    <x v="0"/>
    <n v="68360"/>
    <s v=""/>
    <n v="68360"/>
  </r>
  <r>
    <s v="2026-03-01"/>
    <x v="14"/>
    <x v="52"/>
    <x v="0"/>
    <s v="Operational Cost"/>
    <x v="82"/>
    <n v="400000"/>
    <s v=""/>
    <n v="400000"/>
  </r>
  <r>
    <s v="2026-03-01"/>
    <x v="14"/>
    <x v="46"/>
    <x v="8"/>
    <s v="Sales General &amp; Administration "/>
    <x v="55"/>
    <n v="76512"/>
    <s v=""/>
    <n v="76512"/>
  </r>
  <r>
    <s v="2026-03-01"/>
    <x v="14"/>
    <x v="3"/>
    <x v="1"/>
    <s v="Sales General &amp; Administration "/>
    <x v="2"/>
    <n v="125000"/>
    <s v=""/>
    <n v="125000"/>
  </r>
  <r>
    <s v="2026-03-01"/>
    <x v="14"/>
    <x v="10"/>
    <x v="3"/>
    <s v="Operational Cost"/>
    <x v="98"/>
    <n v="1096.71"/>
    <s v=""/>
    <n v="1096.71"/>
  </r>
  <r>
    <s v="2026-03-01"/>
    <x v="14"/>
    <x v="13"/>
    <x v="2"/>
    <s v="Operational Cost"/>
    <x v="14"/>
    <n v="9147"/>
    <s v=""/>
    <n v="9147"/>
  </r>
  <r>
    <s v="2026-03-01"/>
    <x v="14"/>
    <x v="13"/>
    <x v="2"/>
    <s v="Operational Cost"/>
    <x v="14"/>
    <n v="577"/>
    <s v=""/>
    <n v="577"/>
  </r>
  <r>
    <s v="2026-03-02"/>
    <x v="14"/>
    <x v="3"/>
    <x v="1"/>
    <s v="Sales General &amp; Administration "/>
    <x v="2"/>
    <n v="60000"/>
    <s v=""/>
    <n v="60000"/>
  </r>
  <r>
    <s v="2026-03-02"/>
    <x v="14"/>
    <x v="6"/>
    <x v="4"/>
    <s v="Operational Cost"/>
    <x v="5"/>
    <n v="318700"/>
    <s v=""/>
    <n v="318700"/>
  </r>
  <r>
    <s v="2026-03-02"/>
    <x v="14"/>
    <x v="14"/>
    <x v="3"/>
    <s v="Sales General &amp; Administration "/>
    <x v="98"/>
    <n v="190"/>
    <s v=""/>
    <n v="190"/>
  </r>
  <r>
    <s v="2026-03-02"/>
    <x v="14"/>
    <x v="16"/>
    <x v="6"/>
    <s v="Operational Cost"/>
    <x v="15"/>
    <n v="5605"/>
    <s v=""/>
    <n v="5605"/>
  </r>
  <r>
    <s v="2026-03-02"/>
    <x v="14"/>
    <x v="15"/>
    <x v="2"/>
    <s v="Operational Cost"/>
    <x v="19"/>
    <n v="368.99"/>
    <s v=""/>
    <n v="368.99"/>
  </r>
  <r>
    <s v="2026-03-02"/>
    <x v="14"/>
    <x v="13"/>
    <x v="2"/>
    <s v="Operational Cost"/>
    <x v="14"/>
    <n v="1083"/>
    <s v=""/>
    <n v="1083"/>
  </r>
  <r>
    <s v="2026-03-03"/>
    <x v="14"/>
    <x v="17"/>
    <x v="0"/>
    <s v="Operational Cost"/>
    <x v="82"/>
    <n v="32304"/>
    <s v=""/>
    <n v="32304"/>
  </r>
  <r>
    <s v="2026-03-03"/>
    <x v="14"/>
    <x v="13"/>
    <x v="2"/>
    <s v="Operational Cost"/>
    <x v="22"/>
    <n v="12701.69"/>
    <s v=""/>
    <n v="12701.69"/>
  </r>
  <r>
    <s v="2026-03-03"/>
    <x v="14"/>
    <x v="4"/>
    <x v="2"/>
    <s v="Operational Cost"/>
    <x v="3"/>
    <n v="17400"/>
    <s v=""/>
    <n v="17400"/>
  </r>
  <r>
    <s v="2026-03-03"/>
    <x v="14"/>
    <x v="7"/>
    <x v="3"/>
    <s v="Sales General &amp; Administration "/>
    <x v="6"/>
    <n v="21443.5"/>
    <s v=""/>
    <n v="21443.5"/>
  </r>
  <r>
    <s v="2026-03-03"/>
    <x v="14"/>
    <x v="14"/>
    <x v="3"/>
    <s v="Sales General &amp; Administration "/>
    <x v="98"/>
    <n v="150"/>
    <s v=""/>
    <n v="150"/>
  </r>
  <r>
    <s v="2026-03-03"/>
    <x v="14"/>
    <x v="7"/>
    <x v="3"/>
    <s v="Sales General &amp; Administration "/>
    <x v="98"/>
    <n v="218"/>
    <s v=""/>
    <n v="218"/>
  </r>
  <r>
    <s v="2026-03-03"/>
    <x v="14"/>
    <x v="9"/>
    <x v="2"/>
    <s v="Operational Cost"/>
    <x v="8"/>
    <n v="23333"/>
    <s v=""/>
    <n v="23333"/>
  </r>
  <r>
    <s v="2026-03-03"/>
    <x v="14"/>
    <x v="9"/>
    <x v="2"/>
    <s v="Operational Cost"/>
    <x v="8"/>
    <n v="10417"/>
    <s v=""/>
    <n v="10417"/>
  </r>
  <r>
    <s v="2026-03-03"/>
    <x v="14"/>
    <x v="9"/>
    <x v="2"/>
    <s v="Operational Cost"/>
    <x v="8"/>
    <n v="9167"/>
    <s v=""/>
    <n v="9167"/>
  </r>
  <r>
    <s v="2026-03-03"/>
    <x v="14"/>
    <x v="58"/>
    <x v="3"/>
    <s v="Sales General &amp; Administration "/>
    <x v="122"/>
    <n v="5.9"/>
    <s v=""/>
    <n v="5.9"/>
  </r>
  <r>
    <s v="2026-03-04"/>
    <x v="14"/>
    <x v="23"/>
    <x v="2"/>
    <s v="Operational Cost"/>
    <x v="89"/>
    <n v="15000"/>
    <s v=""/>
    <n v="15000"/>
  </r>
  <r>
    <s v="2026-03-04"/>
    <x v="14"/>
    <x v="19"/>
    <x v="8"/>
    <s v="Sales General &amp; Administration "/>
    <x v="51"/>
    <n v="130"/>
    <s v=""/>
    <n v="130"/>
  </r>
  <r>
    <s v="2026-03-04"/>
    <x v="14"/>
    <x v="14"/>
    <x v="3"/>
    <s v="Sales General &amp; Administration "/>
    <x v="98"/>
    <n v="180"/>
    <s v=""/>
    <n v="180"/>
  </r>
  <r>
    <s v="2026-03-04"/>
    <x v="14"/>
    <x v="14"/>
    <x v="3"/>
    <s v="Sales General &amp; Administration "/>
    <x v="98"/>
    <n v="168"/>
    <s v=""/>
    <n v="168"/>
  </r>
  <r>
    <s v="2026-03-04"/>
    <x v="14"/>
    <x v="14"/>
    <x v="3"/>
    <s v="Sales General &amp; Administration "/>
    <x v="98"/>
    <n v="580"/>
    <s v=""/>
    <n v="580"/>
  </r>
  <r>
    <s v="2026-03-05"/>
    <x v="14"/>
    <x v="14"/>
    <x v="3"/>
    <s v="Sales General &amp; Administration "/>
    <x v="98"/>
    <n v="306"/>
    <s v=""/>
    <n v="306"/>
  </r>
  <r>
    <s v="2026-03-05"/>
    <x v="14"/>
    <x v="10"/>
    <x v="3"/>
    <s v="Operational Cost"/>
    <x v="98"/>
    <n v="2404.34"/>
    <s v=""/>
    <n v="2404.34"/>
  </r>
  <r>
    <s v="2026-03-05"/>
    <x v="14"/>
    <x v="7"/>
    <x v="3"/>
    <s v="Sales General &amp; Administration "/>
    <x v="98"/>
    <n v="620.4"/>
    <s v=""/>
    <n v="620.4"/>
  </r>
  <r>
    <s v="2026-03-05"/>
    <x v="14"/>
    <x v="14"/>
    <x v="3"/>
    <s v="Sales General &amp; Administration "/>
    <x v="98"/>
    <n v="267"/>
    <s v=""/>
    <n v="267"/>
  </r>
  <r>
    <s v="2026-03-05"/>
    <x v="14"/>
    <x v="7"/>
    <x v="3"/>
    <s v="Sales General &amp; Administration "/>
    <x v="97"/>
    <n v="480"/>
    <s v=""/>
    <n v="480"/>
  </r>
  <r>
    <d v="2026-02-28T00:00:00"/>
    <x v="13"/>
    <x v="6"/>
    <x v="4"/>
    <s v="Operational Cost"/>
    <x v="104"/>
    <n v="89700"/>
    <s v=""/>
    <n v="89700"/>
  </r>
  <r>
    <s v="2026-03-06"/>
    <x v="14"/>
    <x v="14"/>
    <x v="3"/>
    <s v="Sales General &amp; Administration "/>
    <x v="98"/>
    <n v="352"/>
    <s v=""/>
    <n v="352"/>
  </r>
  <r>
    <s v="2026-03-06"/>
    <x v="14"/>
    <x v="13"/>
    <x v="2"/>
    <s v="Operational Cost"/>
    <x v="14"/>
    <n v="2479"/>
    <s v=""/>
    <n v="2479"/>
  </r>
  <r>
    <s v="2026-03-07"/>
    <x v="14"/>
    <x v="16"/>
    <x v="6"/>
    <s v="Operational Cost"/>
    <x v="15"/>
    <n v="59099"/>
    <s v=""/>
    <n v="59099"/>
  </r>
  <r>
    <s v="2026-03-08"/>
    <x v="14"/>
    <x v="10"/>
    <x v="3"/>
    <s v="Operational Cost"/>
    <x v="98"/>
    <n v="1096.71"/>
    <s v=""/>
    <n v="1096.71"/>
  </r>
  <r>
    <s v="2026-03-08"/>
    <x v="14"/>
    <x v="10"/>
    <x v="3"/>
    <s v="Operational Cost"/>
    <x v="98"/>
    <n v="975.51"/>
    <s v=""/>
    <n v="975.51"/>
  </r>
  <r>
    <s v="2026-03-09"/>
    <x v="14"/>
    <x v="15"/>
    <x v="2"/>
    <s v="Operational Cost"/>
    <x v="19"/>
    <n v="1298"/>
    <s v=""/>
    <n v="1298"/>
  </r>
  <r>
    <s v="2026-03-09"/>
    <x v="14"/>
    <x v="11"/>
    <x v="6"/>
    <s v="Operational Cost"/>
    <x v="126"/>
    <n v="2800"/>
    <s v=""/>
    <n v="2800"/>
  </r>
  <r>
    <s v="2026-03-09"/>
    <x v="14"/>
    <x v="18"/>
    <x v="0"/>
    <s v="Operational Cost"/>
    <x v="17"/>
    <n v="26250"/>
    <s v=""/>
    <n v="26250"/>
  </r>
  <r>
    <s v="2026-03-09"/>
    <x v="14"/>
    <x v="55"/>
    <x v="0"/>
    <s v="Operational Cost"/>
    <x v="101"/>
    <n v="25000"/>
    <s v=""/>
    <n v="25000"/>
  </r>
  <r>
    <s v="2026-03-09"/>
    <x v="14"/>
    <x v="11"/>
    <x v="6"/>
    <s v="Operational Cost"/>
    <x v="9"/>
    <n v="22581"/>
    <s v=""/>
    <n v="22581"/>
  </r>
  <r>
    <s v="2026-03-09"/>
    <x v="14"/>
    <x v="11"/>
    <x v="6"/>
    <s v="Operational Cost"/>
    <x v="9"/>
    <n v="4165"/>
    <s v=""/>
    <n v="4165"/>
  </r>
  <r>
    <s v="2026-03-09"/>
    <x v="14"/>
    <x v="11"/>
    <x v="6"/>
    <s v="Operational Cost"/>
    <x v="9"/>
    <n v="270"/>
    <s v=""/>
    <n v="270"/>
  </r>
  <r>
    <s v="2026-03-09"/>
    <x v="14"/>
    <x v="14"/>
    <x v="3"/>
    <s v="Sales General &amp; Administration "/>
    <x v="98"/>
    <n v="386"/>
    <s v=""/>
    <n v="386"/>
  </r>
  <r>
    <s v="2026-03-09"/>
    <x v="14"/>
    <x v="10"/>
    <x v="3"/>
    <s v="Operational Cost"/>
    <x v="98"/>
    <n v="1369.86"/>
    <s v=""/>
    <n v="1369.86"/>
  </r>
  <r>
    <s v="2026-03-09"/>
    <x v="14"/>
    <x v="13"/>
    <x v="2"/>
    <s v="Operational Cost"/>
    <x v="14"/>
    <n v="8350"/>
    <s v=""/>
    <n v="8350"/>
  </r>
  <r>
    <s v="2026-03-09"/>
    <x v="14"/>
    <x v="13"/>
    <x v="2"/>
    <s v="Operational Cost"/>
    <x v="14"/>
    <n v="223"/>
    <s v=""/>
    <n v="223"/>
  </r>
  <r>
    <s v="2026-03-09"/>
    <x v="14"/>
    <x v="8"/>
    <x v="5"/>
    <s v="Indirect Income"/>
    <x v="7"/>
    <s v=""/>
    <n v="82773.850000000006"/>
    <n v="-82773.850000000006"/>
  </r>
  <r>
    <s v="2026-03-10"/>
    <x v="14"/>
    <x v="10"/>
    <x v="3"/>
    <s v="Operational Cost"/>
    <x v="98"/>
    <n v="879.56"/>
    <s v=""/>
    <n v="879.56"/>
  </r>
  <r>
    <s v="2026-03-10"/>
    <x v="14"/>
    <x v="14"/>
    <x v="3"/>
    <s v="Sales General &amp; Administration "/>
    <x v="98"/>
    <n v="100"/>
    <s v=""/>
    <n v="100"/>
  </r>
  <r>
    <s v="2026-03-10"/>
    <x v="14"/>
    <x v="14"/>
    <x v="3"/>
    <s v="Sales General &amp; Administration "/>
    <x v="98"/>
    <n v="155"/>
    <s v=""/>
    <n v="155"/>
  </r>
  <r>
    <s v="2026-03-10"/>
    <x v="14"/>
    <x v="10"/>
    <x v="3"/>
    <s v="Operational Cost"/>
    <x v="98"/>
    <n v="783.61"/>
    <s v=""/>
    <n v="783.61"/>
  </r>
  <r>
    <s v="2026-03-10"/>
    <x v="14"/>
    <x v="10"/>
    <x v="3"/>
    <s v="Operational Cost"/>
    <x v="9"/>
    <n v="2450"/>
    <s v=""/>
    <n v="2450"/>
  </r>
  <r>
    <s v="2026-03-10"/>
    <x v="14"/>
    <x v="46"/>
    <x v="8"/>
    <s v="Sales General &amp; Administration "/>
    <x v="55"/>
    <s v=""/>
    <n v="133.9"/>
    <n v="-133.9"/>
  </r>
  <r>
    <s v="2026-03-11"/>
    <x v="14"/>
    <x v="23"/>
    <x v="2"/>
    <s v="Operational Cost"/>
    <x v="89"/>
    <n v="16855.18"/>
    <s v=""/>
    <n v="16855.18"/>
  </r>
  <r>
    <s v="2026-03-11"/>
    <x v="14"/>
    <x v="13"/>
    <x v="2"/>
    <s v="Operational Cost"/>
    <x v="22"/>
    <n v="9198.18"/>
    <s v=""/>
    <n v="9198.18"/>
  </r>
  <r>
    <s v="2026-03-11"/>
    <x v="14"/>
    <x v="11"/>
    <x v="6"/>
    <s v="Operational Cost"/>
    <x v="9"/>
    <n v="2000"/>
    <s v=""/>
    <n v="2000"/>
  </r>
  <r>
    <s v="2026-03-11"/>
    <x v="14"/>
    <x v="11"/>
    <x v="6"/>
    <s v="Operational Cost"/>
    <x v="9"/>
    <n v="4800"/>
    <s v=""/>
    <n v="4800"/>
  </r>
  <r>
    <s v="2026-03-12"/>
    <x v="14"/>
    <x v="11"/>
    <x v="6"/>
    <s v="Operational Cost"/>
    <x v="9"/>
    <n v="4827"/>
    <s v=""/>
    <n v="4827"/>
  </r>
  <r>
    <s v="2026-03-12"/>
    <x v="14"/>
    <x v="13"/>
    <x v="2"/>
    <s v="Operational Cost"/>
    <x v="14"/>
    <n v="2775"/>
    <s v=""/>
    <n v="2775"/>
  </r>
  <r>
    <s v="2026-03-12"/>
    <x v="14"/>
    <x v="2"/>
    <x v="1"/>
    <s v="Sales General &amp; Administration "/>
    <x v="9"/>
    <n v="11172"/>
    <s v=""/>
    <n v="11172"/>
  </r>
  <r>
    <s v="2026-03-12"/>
    <x v="14"/>
    <x v="7"/>
    <x v="3"/>
    <s v="Sales General &amp; Administration "/>
    <x v="9"/>
    <n v="44118"/>
    <s v=""/>
    <n v="44118"/>
  </r>
  <r>
    <s v="2026-03-13"/>
    <x v="14"/>
    <x v="14"/>
    <x v="3"/>
    <s v="Sales General &amp; Administration "/>
    <x v="9"/>
    <n v="710"/>
    <s v=""/>
    <n v="710"/>
  </r>
  <r>
    <s v="2026-03-15"/>
    <x v="14"/>
    <x v="13"/>
    <x v="2"/>
    <s v="Operational Cost"/>
    <x v="21"/>
    <n v="2793.06"/>
    <s v=""/>
    <n v="2793.06"/>
  </r>
  <r>
    <s v="2026-03-15"/>
    <x v="14"/>
    <x v="7"/>
    <x v="3"/>
    <s v="Sales General &amp; Administration "/>
    <x v="99"/>
    <n v="4238"/>
    <s v=""/>
    <n v="4238"/>
  </r>
  <r>
    <s v="2026-03-15"/>
    <x v="14"/>
    <x v="13"/>
    <x v="2"/>
    <s v="Operational Cost"/>
    <x v="14"/>
    <n v="8913"/>
    <s v=""/>
    <n v="8913"/>
  </r>
  <r>
    <s v="2026-03-15"/>
    <x v="14"/>
    <x v="13"/>
    <x v="2"/>
    <s v="Operational Cost"/>
    <x v="14"/>
    <n v="3535"/>
    <s v=""/>
    <n v="3535"/>
  </r>
  <r>
    <s v="2026-03-17"/>
    <x v="14"/>
    <x v="15"/>
    <x v="2"/>
    <s v="Operational Cost"/>
    <x v="19"/>
    <n v="782.9"/>
    <s v=""/>
    <n v="782.9"/>
  </r>
  <r>
    <s v="2026-03-17"/>
    <x v="14"/>
    <x v="17"/>
    <x v="0"/>
    <s v="Operational Cost"/>
    <x v="16"/>
    <n v="213603.73"/>
    <s v=""/>
    <n v="213603.73"/>
  </r>
  <r>
    <s v="2026-03-18"/>
    <x v="14"/>
    <x v="15"/>
    <x v="2"/>
    <s v="Operational Cost"/>
    <x v="19"/>
    <n v="370.52"/>
    <s v=""/>
    <n v="370.52"/>
  </r>
  <r>
    <s v="2026-03-18"/>
    <x v="14"/>
    <x v="15"/>
    <x v="2"/>
    <s v="Operational Cost"/>
    <x v="19"/>
    <n v="336.3"/>
    <s v=""/>
    <n v="336.3"/>
  </r>
  <r>
    <s v="2026-03-18"/>
    <x v="14"/>
    <x v="13"/>
    <x v="2"/>
    <s v="Operational Cost"/>
    <x v="14"/>
    <n v="1499"/>
    <s v=""/>
    <n v="1499"/>
  </r>
  <r>
    <s v="2026-03-18"/>
    <x v="14"/>
    <x v="54"/>
    <x v="3"/>
    <s v="Sales General &amp; Administration "/>
    <x v="9"/>
    <n v="5000"/>
    <s v=""/>
    <n v="5000"/>
  </r>
  <r>
    <s v="2026-03-19"/>
    <x v="14"/>
    <x v="11"/>
    <x v="6"/>
    <s v="Operational Cost"/>
    <x v="9"/>
    <n v="1026"/>
    <s v=""/>
    <n v="1026"/>
  </r>
  <r>
    <s v="2026-03-19"/>
    <x v="14"/>
    <x v="11"/>
    <x v="6"/>
    <s v="Operational Cost"/>
    <x v="9"/>
    <n v="1868"/>
    <s v=""/>
    <n v="1868"/>
  </r>
  <r>
    <s v="2026-03-19"/>
    <x v="14"/>
    <x v="9"/>
    <x v="2"/>
    <s v="Operational Cost"/>
    <x v="128"/>
    <n v="1673.76"/>
    <s v=""/>
    <n v="1673.76"/>
  </r>
  <r>
    <s v="2026-03-20"/>
    <x v="14"/>
    <x v="14"/>
    <x v="3"/>
    <s v="Sales General &amp; Administration "/>
    <x v="12"/>
    <n v="2150"/>
    <s v=""/>
    <n v="2150"/>
  </r>
  <r>
    <s v="2026-03-20"/>
    <x v="14"/>
    <x v="16"/>
    <x v="6"/>
    <s v="Operational Cost"/>
    <x v="15"/>
    <n v="4833"/>
    <s v=""/>
    <n v="4833"/>
  </r>
  <r>
    <s v="2026-03-21"/>
    <x v="14"/>
    <x v="19"/>
    <x v="8"/>
    <s v="Sales General &amp; Administration "/>
    <x v="51"/>
    <n v="16.739999999999998"/>
    <s v=""/>
    <n v="16.739999999999998"/>
  </r>
  <r>
    <s v="2026-03-21"/>
    <x v="14"/>
    <x v="11"/>
    <x v="6"/>
    <s v="Operational Cost"/>
    <x v="45"/>
    <n v="104969.25"/>
    <s v=""/>
    <n v="104969.25"/>
  </r>
  <r>
    <s v="2026-03-22"/>
    <x v="14"/>
    <x v="13"/>
    <x v="2"/>
    <s v="Operational Cost"/>
    <x v="14"/>
    <n v="5372"/>
    <s v=""/>
    <n v="5372"/>
  </r>
  <r>
    <s v="2026-03-23"/>
    <x v="14"/>
    <x v="17"/>
    <x v="0"/>
    <s v="Operational Cost"/>
    <x v="16"/>
    <n v="302"/>
    <s v=""/>
    <n v="302"/>
  </r>
  <r>
    <s v="2026-03-24"/>
    <x v="14"/>
    <x v="13"/>
    <x v="2"/>
    <s v="Operational Cost"/>
    <x v="21"/>
    <n v="2367"/>
    <s v=""/>
    <n v="2367"/>
  </r>
  <r>
    <s v="2026-03-24"/>
    <x v="14"/>
    <x v="13"/>
    <x v="2"/>
    <s v="Operational Cost"/>
    <x v="21"/>
    <n v="3382"/>
    <s v=""/>
    <n v="3382"/>
  </r>
  <r>
    <s v="2026-03-24"/>
    <x v="14"/>
    <x v="60"/>
    <x v="3"/>
    <s v="Operational Cost"/>
    <x v="9"/>
    <n v="25000"/>
    <s v=""/>
    <n v="25000"/>
  </r>
  <r>
    <s v="2026-03-24"/>
    <x v="14"/>
    <x v="46"/>
    <x v="8"/>
    <s v="Sales General &amp; Administration "/>
    <x v="55"/>
    <n v="54000"/>
    <s v=""/>
    <n v="54000"/>
  </r>
  <r>
    <s v="2026-03-25"/>
    <x v="14"/>
    <x v="11"/>
    <x v="6"/>
    <s v="Operational Cost"/>
    <x v="9"/>
    <n v="500"/>
    <s v=""/>
    <n v="500"/>
  </r>
  <r>
    <s v="2026-03-25"/>
    <x v="14"/>
    <x v="19"/>
    <x v="8"/>
    <s v="Sales General &amp; Administration "/>
    <x v="12"/>
    <n v="57.49"/>
    <s v=""/>
    <n v="57.49"/>
  </r>
  <r>
    <s v="2026-03-25"/>
    <x v="14"/>
    <x v="11"/>
    <x v="6"/>
    <s v="Operational Cost"/>
    <x v="45"/>
    <n v="164389.20000000001"/>
    <s v=""/>
    <n v="164389.20000000001"/>
  </r>
  <r>
    <s v="2026-03-25"/>
    <x v="14"/>
    <x v="11"/>
    <x v="6"/>
    <s v="Operational Cost"/>
    <x v="9"/>
    <n v="3000"/>
    <s v=""/>
    <n v="3000"/>
  </r>
  <r>
    <s v="2026-03-27"/>
    <x v="14"/>
    <x v="13"/>
    <x v="2"/>
    <s v="Operational Cost"/>
    <x v="21"/>
    <n v="2714"/>
    <s v=""/>
    <n v="2714"/>
  </r>
  <r>
    <s v="2026-03-30"/>
    <x v="14"/>
    <x v="8"/>
    <x v="5"/>
    <s v="Indirect Income"/>
    <x v="7"/>
    <s v=""/>
    <n v="82546.14"/>
    <n v="-82546.14"/>
  </r>
  <r>
    <s v="2026-03-30"/>
    <x v="14"/>
    <x v="8"/>
    <x v="5"/>
    <s v="Indirect Income"/>
    <x v="7"/>
    <s v=""/>
    <n v="615033.78"/>
    <n v="-615033.78"/>
  </r>
  <r>
    <s v="2026-03-31"/>
    <x v="14"/>
    <x v="58"/>
    <x v="3"/>
    <s v="Sales General &amp; Administration "/>
    <x v="122"/>
    <n v="27100"/>
    <s v=""/>
    <n v="27100"/>
  </r>
  <r>
    <s v="2026-03-31"/>
    <x v="14"/>
    <x v="11"/>
    <x v="6"/>
    <s v="Operational Cost"/>
    <x v="58"/>
    <n v="2570"/>
    <s v=""/>
    <n v="2570"/>
  </r>
  <r>
    <s v="2026-03-31"/>
    <x v="14"/>
    <x v="23"/>
    <x v="2"/>
    <s v="Operational Cost"/>
    <x v="89"/>
    <n v="32348.7"/>
    <s v=""/>
    <n v="32348.7"/>
  </r>
  <r>
    <s v="2026-03-31"/>
    <x v="14"/>
    <x v="26"/>
    <x v="3"/>
    <s v="Sales General &amp; Administration "/>
    <x v="107"/>
    <n v="32000"/>
    <s v=""/>
    <n v="32000"/>
  </r>
  <r>
    <s v="2026-03-31"/>
    <x v="14"/>
    <x v="26"/>
    <x v="3"/>
    <s v="Sales General &amp; Administration "/>
    <x v="92"/>
    <n v="14000"/>
    <s v=""/>
    <n v="14000"/>
  </r>
  <r>
    <s v="2026-03-31"/>
    <x v="14"/>
    <x v="21"/>
    <x v="0"/>
    <s v="Operational Cost"/>
    <x v="20"/>
    <n v="126551.08"/>
    <s v=""/>
    <n v="126551.08"/>
  </r>
  <r>
    <s v="2026-03-31"/>
    <x v="14"/>
    <x v="21"/>
    <x v="0"/>
    <s v="Operational Cost"/>
    <x v="20"/>
    <n v="11730"/>
    <s v=""/>
    <n v="11730"/>
  </r>
  <r>
    <s v="2026-03-31"/>
    <x v="14"/>
    <x v="21"/>
    <x v="0"/>
    <s v="Operational Cost"/>
    <x v="20"/>
    <n v="37155.01"/>
    <s v=""/>
    <n v="37155.01"/>
  </r>
  <r>
    <s v="2026-03-31"/>
    <x v="14"/>
    <x v="6"/>
    <x v="4"/>
    <s v="Operational Cost"/>
    <x v="104"/>
    <n v="83850"/>
    <s v=""/>
    <n v="83850"/>
  </r>
  <r>
    <s v="2026-03-31"/>
    <x v="14"/>
    <x v="23"/>
    <x v="2"/>
    <s v="Operational Cost"/>
    <x v="67"/>
    <n v="55800"/>
    <s v=""/>
    <n v="55800"/>
  </r>
  <r>
    <s v="2026-03-31"/>
    <x v="14"/>
    <x v="11"/>
    <x v="6"/>
    <s v="Operational Cost"/>
    <x v="129"/>
    <n v="22339"/>
    <s v=""/>
    <n v="22339"/>
  </r>
  <r>
    <s v="2026-03-31"/>
    <x v="14"/>
    <x v="24"/>
    <x v="9"/>
    <s v="Sales General &amp; Administration "/>
    <x v="26"/>
    <n v="160000"/>
    <s v=""/>
    <n v="160000"/>
  </r>
  <r>
    <s v="2026-03-31"/>
    <x v="14"/>
    <x v="24"/>
    <x v="9"/>
    <s v="Sales General &amp; Administration "/>
    <x v="26"/>
    <n v="247074"/>
    <s v=""/>
    <n v="247074"/>
  </r>
  <r>
    <s v="2026-03-31"/>
    <x v="14"/>
    <x v="31"/>
    <x v="3"/>
    <s v="Sales General &amp; Administration "/>
    <x v="33"/>
    <n v="6000"/>
    <s v=""/>
    <n v="6000"/>
  </r>
  <r>
    <s v="2026-03-31"/>
    <x v="14"/>
    <x v="32"/>
    <x v="3"/>
    <s v="Sales General &amp; Administration "/>
    <x v="34"/>
    <n v="6000"/>
    <s v=""/>
    <n v="6000"/>
  </r>
  <r>
    <s v="2026-03-31"/>
    <x v="14"/>
    <x v="24"/>
    <x v="9"/>
    <s v="Sales General &amp; Administration "/>
    <x v="26"/>
    <n v="60000"/>
    <s v=""/>
    <n v="60000"/>
  </r>
  <r>
    <s v="2026-03-31"/>
    <x v="14"/>
    <x v="24"/>
    <x v="9"/>
    <s v="Sales General &amp; Administration "/>
    <x v="26"/>
    <n v="268000"/>
    <s v=""/>
    <n v="268000"/>
  </r>
  <r>
    <s v="2026-03-31"/>
    <x v="14"/>
    <x v="31"/>
    <x v="3"/>
    <s v="Sales General &amp; Administration "/>
    <x v="33"/>
    <n v="12000"/>
    <s v=""/>
    <n v="12000"/>
  </r>
  <r>
    <s v="2026-03-31"/>
    <x v="14"/>
    <x v="32"/>
    <x v="3"/>
    <s v="Sales General &amp; Administration "/>
    <x v="34"/>
    <n v="12000"/>
    <s v=""/>
    <n v="12000"/>
  </r>
  <r>
    <s v="2026-03-31"/>
    <x v="14"/>
    <x v="24"/>
    <x v="9"/>
    <s v="Sales General &amp; Administration "/>
    <x v="26"/>
    <n v="160000"/>
    <s v=""/>
    <n v="160000"/>
  </r>
  <r>
    <s v="2026-03-31"/>
    <x v="14"/>
    <x v="25"/>
    <x v="7"/>
    <s v="Operational Cost"/>
    <x v="27"/>
    <n v="20000"/>
    <s v=""/>
    <n v="20000"/>
  </r>
  <r>
    <s v="2026-03-31"/>
    <x v="14"/>
    <x v="37"/>
    <x v="9"/>
    <s v="Sales General &amp; Administration "/>
    <x v="39"/>
    <n v="20000"/>
    <s v=""/>
    <n v="20000"/>
  </r>
  <r>
    <s v="2026-03-31"/>
    <x v="14"/>
    <x v="7"/>
    <x v="3"/>
    <s v="Sales General &amp; Administration "/>
    <x v="42"/>
    <n v="4000"/>
    <s v=""/>
    <n v="4000"/>
  </r>
  <r>
    <s v="2026-03-31"/>
    <x v="14"/>
    <x v="11"/>
    <x v="6"/>
    <s v="Operational Cost"/>
    <x v="45"/>
    <n v="16000"/>
    <s v=""/>
    <n v="16000"/>
  </r>
  <r>
    <s v="2026-03-31"/>
    <x v="14"/>
    <x v="27"/>
    <x v="3"/>
    <s v="Sales General &amp; Administration "/>
    <x v="29"/>
    <n v="36098"/>
    <s v=""/>
    <n v="36098"/>
  </r>
  <r>
    <s v="2026-03-31"/>
    <x v="14"/>
    <x v="28"/>
    <x v="3"/>
    <s v="Sales General &amp; Administration "/>
    <x v="30"/>
    <n v="282458"/>
    <s v=""/>
    <n v="282458"/>
  </r>
  <r>
    <s v="2026-03-31"/>
    <x v="14"/>
    <x v="29"/>
    <x v="7"/>
    <s v="Operational Cost"/>
    <x v="31"/>
    <n v="6041252"/>
    <s v=""/>
    <n v="6041252"/>
  </r>
  <r>
    <s v="2026-03-31"/>
    <x v="14"/>
    <x v="30"/>
    <x v="7"/>
    <s v="Operational Cost"/>
    <x v="32"/>
    <n v="3516012"/>
    <s v=""/>
    <n v="3516012"/>
  </r>
  <r>
    <s v="2026-03-31"/>
    <x v="14"/>
    <x v="31"/>
    <x v="3"/>
    <s v="Sales General &amp; Administration "/>
    <x v="33"/>
    <n v="440363"/>
    <s v=""/>
    <n v="440363"/>
  </r>
  <r>
    <s v="2026-03-31"/>
    <x v="14"/>
    <x v="32"/>
    <x v="3"/>
    <s v="Sales General &amp; Administration "/>
    <x v="34"/>
    <n v="440363"/>
    <s v=""/>
    <n v="440363"/>
  </r>
  <r>
    <s v="2026-03-31"/>
    <x v="14"/>
    <x v="33"/>
    <x v="3"/>
    <s v="Sales General &amp; Administration "/>
    <x v="35"/>
    <n v="30201"/>
    <s v=""/>
    <n v="30201"/>
  </r>
  <r>
    <s v="2026-03-31"/>
    <x v="14"/>
    <x v="34"/>
    <x v="3"/>
    <s v="Sales General &amp; Administration "/>
    <x v="36"/>
    <n v="6991"/>
    <s v=""/>
    <n v="6991"/>
  </r>
  <r>
    <s v="2026-03-31"/>
    <x v="14"/>
    <x v="35"/>
    <x v="10"/>
    <s v="Sales General &amp; Administration "/>
    <x v="37"/>
    <n v="116553"/>
    <s v=""/>
    <n v="116553"/>
  </r>
  <r>
    <s v="2026-03-31"/>
    <x v="14"/>
    <x v="36"/>
    <x v="9"/>
    <s v="Sales General &amp; Administration "/>
    <x v="38"/>
    <n v="77295"/>
    <s v=""/>
    <n v="77295"/>
  </r>
  <r>
    <s v="2026-03-31"/>
    <x v="14"/>
    <x v="37"/>
    <x v="9"/>
    <s v="Sales General &amp; Administration "/>
    <x v="39"/>
    <n v="51674"/>
    <s v=""/>
    <n v="51674"/>
  </r>
  <r>
    <s v="2026-03-31"/>
    <x v="14"/>
    <x v="38"/>
    <x v="9"/>
    <s v="Sales General &amp; Administration "/>
    <x v="40"/>
    <n v="81042"/>
    <s v=""/>
    <n v="81042"/>
  </r>
  <r>
    <s v="2026-03-31"/>
    <x v="14"/>
    <x v="39"/>
    <x v="3"/>
    <s v="Sales General &amp; Administration "/>
    <x v="41"/>
    <n v="58813"/>
    <s v=""/>
    <n v="58813"/>
  </r>
  <r>
    <s v="2026-04-01"/>
    <x v="15"/>
    <x v="3"/>
    <x v="1"/>
    <s v="Sales General &amp; Administration "/>
    <x v="2"/>
    <n v="125000"/>
    <s v=""/>
    <n v="125000"/>
  </r>
  <r>
    <s v="2026-04-01"/>
    <x v="15"/>
    <x v="52"/>
    <x v="0"/>
    <s v="Operational Cost"/>
    <x v="82"/>
    <n v="400000"/>
    <s v=""/>
    <n v="400000"/>
  </r>
  <r>
    <s v="2026-04-01"/>
    <x v="15"/>
    <x v="0"/>
    <x v="0"/>
    <s v="Operational Cost"/>
    <x v="0"/>
    <n v="395769"/>
    <s v=""/>
    <n v="395769"/>
  </r>
  <r>
    <s v="2026-04-01"/>
    <x v="15"/>
    <x v="1"/>
    <x v="0"/>
    <s v="Operational Cost"/>
    <x v="0"/>
    <n v="68360"/>
    <s v=""/>
    <n v="68360"/>
  </r>
  <r>
    <s v="2026-04-01"/>
    <x v="15"/>
    <x v="6"/>
    <x v="4"/>
    <s v="Operational Cost"/>
    <x v="5"/>
    <n v="286700"/>
    <s v=""/>
    <n v="286700"/>
  </r>
  <r>
    <s v="2026-04-01"/>
    <x v="15"/>
    <x v="46"/>
    <x v="8"/>
    <s v="Sales General &amp; Administration "/>
    <x v="55"/>
    <n v="87283"/>
    <s v=""/>
    <n v="87283"/>
  </r>
  <r>
    <s v="2026-04-01"/>
    <x v="15"/>
    <x v="4"/>
    <x v="2"/>
    <s v="Operational Cost"/>
    <x v="3"/>
    <n v="19560"/>
    <s v=""/>
    <n v="19560"/>
  </r>
  <r>
    <s v="2026-04-01"/>
    <x v="15"/>
    <x v="7"/>
    <x v="3"/>
    <s v="Sales General &amp; Administration "/>
    <x v="6"/>
    <n v="18622"/>
    <s v=""/>
    <n v="18622"/>
  </r>
  <r>
    <s v="2026-04-01"/>
    <x v="15"/>
    <x v="61"/>
    <x v="3"/>
    <s v="Sales General &amp; Administration "/>
    <x v="9"/>
    <n v="4007"/>
    <s v=""/>
    <n v="4007"/>
  </r>
  <r>
    <s v="2026-04-01"/>
    <x v="15"/>
    <x v="14"/>
    <x v="3"/>
    <s v="Sales General &amp; Administration "/>
    <x v="98"/>
    <n v="165"/>
    <s v=""/>
    <n v="165"/>
  </r>
  <r>
    <s v="2026-04-01"/>
    <x v="15"/>
    <x v="10"/>
    <x v="3"/>
    <s v="Operational Cost"/>
    <x v="98"/>
    <n v="783.61"/>
    <s v=""/>
    <n v="783.61"/>
  </r>
  <r>
    <s v="2026-04-01"/>
    <x v="15"/>
    <x v="13"/>
    <x v="2"/>
    <s v="Operational Cost"/>
    <x v="14"/>
    <n v="577"/>
    <s v=""/>
    <n v="577"/>
  </r>
  <r>
    <s v="2026-04-01"/>
    <x v="15"/>
    <x v="13"/>
    <x v="2"/>
    <s v="Operational Cost"/>
    <x v="14"/>
    <n v="9147"/>
    <s v=""/>
    <n v="9147"/>
  </r>
  <r>
    <s v="2026-04-02"/>
    <x v="15"/>
    <x v="7"/>
    <x v="3"/>
    <s v="Sales General &amp; Administration "/>
    <x v="98"/>
    <n v="1929.25"/>
    <s v=""/>
    <n v="1929.25"/>
  </r>
  <r>
    <s v="2026-04-02"/>
    <x v="15"/>
    <x v="10"/>
    <x v="3"/>
    <s v="Operational Cost"/>
    <x v="98"/>
    <n v="1020.96"/>
    <s v=""/>
    <n v="1020.96"/>
  </r>
  <r>
    <s v="2026-04-02"/>
    <x v="15"/>
    <x v="13"/>
    <x v="2"/>
    <s v="Operational Cost"/>
    <x v="14"/>
    <n v="1083"/>
    <s v=""/>
    <n v="1083"/>
  </r>
  <r>
    <s v="2026-04-02"/>
    <x v="15"/>
    <x v="16"/>
    <x v="6"/>
    <s v="Operational Cost"/>
    <x v="15"/>
    <n v="5605"/>
    <s v=""/>
    <n v="5605"/>
  </r>
  <r>
    <s v="2026-04-02"/>
    <x v="15"/>
    <x v="11"/>
    <x v="6"/>
    <s v="Operational Cost"/>
    <x v="126"/>
    <n v="4800"/>
    <s v=""/>
    <n v="4800"/>
  </r>
  <r>
    <s v="2026-04-03"/>
    <x v="15"/>
    <x v="14"/>
    <x v="3"/>
    <s v="Sales General &amp; Administration "/>
    <x v="98"/>
    <n v="274"/>
    <s v=""/>
    <n v="274"/>
  </r>
  <r>
    <s v="2026-04-03"/>
    <x v="15"/>
    <x v="9"/>
    <x v="2"/>
    <s v="Operational Cost"/>
    <x v="8"/>
    <n v="23333"/>
    <s v=""/>
    <n v="23333"/>
  </r>
  <r>
    <s v="2026-04-03"/>
    <x v="15"/>
    <x v="9"/>
    <x v="2"/>
    <s v="Operational Cost"/>
    <x v="8"/>
    <n v="10417"/>
    <s v=""/>
    <n v="10417"/>
  </r>
  <r>
    <s v="2026-04-03"/>
    <x v="15"/>
    <x v="9"/>
    <x v="2"/>
    <s v="Operational Cost"/>
    <x v="8"/>
    <n v="9167"/>
    <s v=""/>
    <n v="9167"/>
  </r>
  <r>
    <s v="2026-04-04"/>
    <x v="15"/>
    <x v="13"/>
    <x v="2"/>
    <s v="Operational Cost"/>
    <x v="22"/>
    <n v="1895.7"/>
    <s v=""/>
    <n v="1895.7"/>
  </r>
  <r>
    <s v="2026-04-06"/>
    <x v="15"/>
    <x v="10"/>
    <x v="3"/>
    <s v="Operational Cost"/>
    <x v="51"/>
    <n v="965.94"/>
    <s v=""/>
    <n v="965.94"/>
  </r>
  <r>
    <s v="2026-04-06"/>
    <x v="15"/>
    <x v="14"/>
    <x v="3"/>
    <s v="Sales General &amp; Administration "/>
    <x v="98"/>
    <n v="314"/>
    <s v=""/>
    <n v="314"/>
  </r>
  <r>
    <s v="2026-04-06"/>
    <x v="15"/>
    <x v="13"/>
    <x v="2"/>
    <s v="Operational Cost"/>
    <x v="14"/>
    <n v="2479"/>
    <s v=""/>
    <n v="2479"/>
  </r>
  <r>
    <s v="2026-04-07"/>
    <x v="15"/>
    <x v="23"/>
    <x v="2"/>
    <s v="Operational Cost"/>
    <x v="89"/>
    <n v="15000"/>
    <s v=""/>
    <n v="15000"/>
  </r>
  <r>
    <s v="2026-04-07"/>
    <x v="15"/>
    <x v="14"/>
    <x v="3"/>
    <s v="Sales General &amp; Administration "/>
    <x v="98"/>
    <n v="99"/>
    <s v=""/>
    <n v="99"/>
  </r>
  <r>
    <s v="2026-04-07"/>
    <x v="15"/>
    <x v="7"/>
    <x v="3"/>
    <s v="Sales General &amp; Administration "/>
    <x v="98"/>
    <n v="555.76"/>
    <s v=""/>
    <n v="555.76"/>
  </r>
  <r>
    <s v="2026-04-07"/>
    <x v="15"/>
    <x v="14"/>
    <x v="3"/>
    <s v="Sales General &amp; Administration "/>
    <x v="98"/>
    <n v="115"/>
    <s v=""/>
    <n v="115"/>
  </r>
  <r>
    <s v="2026-04-07"/>
    <x v="15"/>
    <x v="16"/>
    <x v="6"/>
    <s v="Operational Cost"/>
    <x v="15"/>
    <n v="59099"/>
    <s v=""/>
    <n v="59099"/>
  </r>
  <r>
    <s v="2026-04-07"/>
    <x v="15"/>
    <x v="7"/>
    <x v="3"/>
    <s v="Sales General &amp; Administration "/>
    <x v="9"/>
    <n v="690"/>
    <s v=""/>
    <n v="690"/>
  </r>
  <r>
    <s v="2026-04-08"/>
    <x v="15"/>
    <x v="10"/>
    <x v="3"/>
    <s v="Operational Cost"/>
    <x v="51"/>
    <s v=""/>
    <n v="845.36"/>
    <n v="-845.36"/>
  </r>
  <r>
    <s v="2026-04-08"/>
    <x v="15"/>
    <x v="14"/>
    <x v="3"/>
    <s v="Sales General &amp; Administration "/>
    <x v="98"/>
    <n v="130"/>
    <s v=""/>
    <n v="130"/>
  </r>
  <r>
    <s v="2026-04-08"/>
    <x v="15"/>
    <x v="14"/>
    <x v="3"/>
    <s v="Sales General &amp; Administration "/>
    <x v="98"/>
    <n v="333"/>
    <s v=""/>
    <n v="333"/>
  </r>
  <r>
    <s v="2026-04-08"/>
    <x v="15"/>
    <x v="55"/>
    <x v="0"/>
    <s v="Operational Cost"/>
    <x v="101"/>
    <n v="25000"/>
    <s v=""/>
    <n v="25000"/>
  </r>
  <r>
    <s v="2026-04-08"/>
    <x v="15"/>
    <x v="7"/>
    <x v="3"/>
    <s v="Sales General &amp; Administration "/>
    <x v="9"/>
    <n v="2066"/>
    <s v=""/>
    <n v="2066"/>
  </r>
  <r>
    <s v="2026-04-08"/>
    <x v="15"/>
    <x v="7"/>
    <x v="3"/>
    <s v="Sales General &amp; Administration "/>
    <x v="9"/>
    <n v="218"/>
    <s v=""/>
    <n v="218"/>
  </r>
  <r>
    <s v="2026-04-08"/>
    <x v="15"/>
    <x v="7"/>
    <x v="3"/>
    <s v="Sales General &amp; Administration "/>
    <x v="9"/>
    <n v="2284.5"/>
    <s v=""/>
    <n v="2284.5"/>
  </r>
  <r>
    <s v="2026-04-08"/>
    <x v="15"/>
    <x v="11"/>
    <x v="6"/>
    <s v="Operational Cost"/>
    <x v="12"/>
    <n v="5300"/>
    <s v=""/>
    <n v="5300"/>
  </r>
  <r>
    <s v="2026-04-09"/>
    <x v="15"/>
    <x v="15"/>
    <x v="2"/>
    <s v="Operational Cost"/>
    <x v="19"/>
    <n v="1298"/>
    <s v=""/>
    <n v="1298"/>
  </r>
  <r>
    <s v="2026-04-09"/>
    <x v="15"/>
    <x v="17"/>
    <x v="0"/>
    <s v="Operational Cost"/>
    <x v="82"/>
    <n v="50052"/>
    <s v=""/>
    <n v="50052"/>
  </r>
  <r>
    <s v="2026-04-09"/>
    <x v="15"/>
    <x v="14"/>
    <x v="3"/>
    <s v="Sales General &amp; Administration "/>
    <x v="98"/>
    <n v="276"/>
    <s v=""/>
    <n v="276"/>
  </r>
  <r>
    <s v="2026-04-09"/>
    <x v="15"/>
    <x v="14"/>
    <x v="3"/>
    <s v="Sales General &amp; Administration "/>
    <x v="98"/>
    <n v="417"/>
    <s v=""/>
    <n v="417"/>
  </r>
  <r>
    <s v="2026-04-09"/>
    <x v="15"/>
    <x v="10"/>
    <x v="3"/>
    <s v="Operational Cost"/>
    <x v="98"/>
    <n v="4241.21"/>
    <s v=""/>
    <n v="4241.21"/>
  </r>
  <r>
    <s v="2026-04-09"/>
    <x v="15"/>
    <x v="13"/>
    <x v="2"/>
    <s v="Operational Cost"/>
    <x v="14"/>
    <n v="223"/>
    <s v=""/>
    <n v="223"/>
  </r>
  <r>
    <s v="2026-04-09"/>
    <x v="15"/>
    <x v="13"/>
    <x v="2"/>
    <s v="Operational Cost"/>
    <x v="14"/>
    <n v="8350"/>
    <s v=""/>
    <n v="8350"/>
  </r>
  <r>
    <s v="2026-04-09"/>
    <x v="15"/>
    <x v="18"/>
    <x v="0"/>
    <s v="Operational Cost"/>
    <x v="17"/>
    <n v="26250"/>
    <s v=""/>
    <n v="26250"/>
  </r>
  <r>
    <s v="2026-04-09"/>
    <x v="15"/>
    <x v="17"/>
    <x v="0"/>
    <s v="Operational Cost"/>
    <x v="16"/>
    <n v="35244"/>
    <s v=""/>
    <n v="35244"/>
  </r>
  <r>
    <s v="2026-04-09"/>
    <x v="15"/>
    <x v="7"/>
    <x v="3"/>
    <s v="Sales General &amp; Administration "/>
    <x v="9"/>
    <n v="250"/>
    <s v=""/>
    <n v="250"/>
  </r>
  <r>
    <s v="2026-04-10"/>
    <x v="15"/>
    <x v="14"/>
    <x v="3"/>
    <s v="Sales General &amp; Administration "/>
    <x v="98"/>
    <n v="2955"/>
    <s v=""/>
    <n v="2955"/>
  </r>
  <r>
    <s v="2026-04-10"/>
    <x v="15"/>
    <x v="10"/>
    <x v="3"/>
    <s v="Operational Cost"/>
    <x v="98"/>
    <n v="783.61"/>
    <s v=""/>
    <n v="783.61"/>
  </r>
  <r>
    <s v="2026-04-10"/>
    <x v="15"/>
    <x v="14"/>
    <x v="3"/>
    <s v="Sales General &amp; Administration "/>
    <x v="9"/>
    <n v="160"/>
    <s v=""/>
    <n v="160"/>
  </r>
  <r>
    <s v="2026-04-10"/>
    <x v="15"/>
    <x v="7"/>
    <x v="3"/>
    <s v="Sales General &amp; Administration "/>
    <x v="9"/>
    <n v="300"/>
    <s v=""/>
    <n v="300"/>
  </r>
  <r>
    <s v="2026-04-10"/>
    <x v="15"/>
    <x v="10"/>
    <x v="3"/>
    <s v="Operational Cost"/>
    <x v="9"/>
    <n v="2450"/>
    <s v=""/>
    <n v="2450"/>
  </r>
  <r>
    <s v="2026-04-10"/>
    <x v="15"/>
    <x v="7"/>
    <x v="3"/>
    <s v="Sales General &amp; Administration "/>
    <x v="9"/>
    <n v="7308"/>
    <s v=""/>
    <n v="7308"/>
  </r>
  <r>
    <s v="2026-04-10"/>
    <x v="15"/>
    <x v="7"/>
    <x v="3"/>
    <s v="Sales General &amp; Administration "/>
    <x v="9"/>
    <n v="250"/>
    <s v=""/>
    <n v="250"/>
  </r>
  <r>
    <s v="2026-04-12"/>
    <x v="15"/>
    <x v="13"/>
    <x v="2"/>
    <s v="Operational Cost"/>
    <x v="14"/>
    <n v="2775"/>
    <s v=""/>
    <n v="2775"/>
  </r>
  <r>
    <s v="2026-04-12"/>
    <x v="15"/>
    <x v="10"/>
    <x v="3"/>
    <s v="Operational Cost"/>
    <x v="98"/>
    <n v="975.51"/>
    <s v=""/>
    <n v="975.51"/>
  </r>
  <r>
    <s v="2026-04-13"/>
    <x v="15"/>
    <x v="27"/>
    <x v="3"/>
    <s v="Sales General &amp; Administration "/>
    <x v="9"/>
    <n v="900"/>
    <s v=""/>
    <n v="900"/>
  </r>
  <r>
    <s v="2026-04-13"/>
    <x v="15"/>
    <x v="14"/>
    <x v="3"/>
    <s v="Sales General &amp; Administration "/>
    <x v="98"/>
    <n v="300"/>
    <s v=""/>
    <n v="300"/>
  </r>
  <r>
    <s v="2026-04-14"/>
    <x v="15"/>
    <x v="14"/>
    <x v="3"/>
    <s v="Sales General &amp; Administration "/>
    <x v="98"/>
    <n v="115"/>
    <s v=""/>
    <n v="115"/>
  </r>
  <r>
    <s v="2026-04-15"/>
    <x v="15"/>
    <x v="13"/>
    <x v="2"/>
    <s v="Operational Cost"/>
    <x v="14"/>
    <n v="3535"/>
    <s v=""/>
    <n v="3535"/>
  </r>
  <r>
    <s v="2026-04-15"/>
    <x v="15"/>
    <x v="13"/>
    <x v="2"/>
    <s v="Operational Cost"/>
    <x v="14"/>
    <n v="8913"/>
    <s v=""/>
    <n v="8913"/>
  </r>
  <r>
    <s v="2026-04-15"/>
    <x v="15"/>
    <x v="13"/>
    <x v="2"/>
    <s v="Operational Cost"/>
    <x v="21"/>
    <n v="2793.06"/>
    <s v=""/>
    <n v="2793.06"/>
  </r>
  <r>
    <s v="2026-04-15"/>
    <x v="15"/>
    <x v="17"/>
    <x v="0"/>
    <s v="Operational Cost"/>
    <x v="16"/>
    <n v="188900"/>
    <s v=""/>
    <n v="188900"/>
  </r>
  <r>
    <s v="2026-04-15"/>
    <x v="15"/>
    <x v="14"/>
    <x v="3"/>
    <s v="Sales General &amp; Administration "/>
    <x v="98"/>
    <n v="327"/>
    <s v=""/>
    <n v="327"/>
  </r>
  <r>
    <s v="2026-04-16"/>
    <x v="15"/>
    <x v="15"/>
    <x v="2"/>
    <s v="Operational Cost"/>
    <x v="19"/>
    <n v="782.9"/>
    <s v=""/>
    <n v="782.9"/>
  </r>
  <r>
    <s v="2026-04-16"/>
    <x v="15"/>
    <x v="13"/>
    <x v="2"/>
    <s v="Operational Cost"/>
    <x v="21"/>
    <n v="3382"/>
    <s v=""/>
    <n v="3382"/>
  </r>
  <r>
    <s v="2026-04-16"/>
    <x v="15"/>
    <x v="11"/>
    <x v="6"/>
    <s v="Operational Cost"/>
    <x v="12"/>
    <n v="740"/>
    <s v=""/>
    <n v="740"/>
  </r>
  <r>
    <s v="2026-04-16"/>
    <x v="15"/>
    <x v="11"/>
    <x v="6"/>
    <s v="Operational Cost"/>
    <x v="12"/>
    <n v="1547.89"/>
    <s v=""/>
    <n v="1547.89"/>
  </r>
  <r>
    <s v="2026-04-16"/>
    <x v="15"/>
    <x v="14"/>
    <x v="3"/>
    <s v="Sales General &amp; Administration "/>
    <x v="98"/>
    <n v="290"/>
    <s v=""/>
    <n v="290"/>
  </r>
  <r>
    <s v="2026-04-16"/>
    <x v="15"/>
    <x v="7"/>
    <x v="3"/>
    <s v="Sales General &amp; Administration "/>
    <x v="98"/>
    <n v="900"/>
    <s v=""/>
    <n v="900"/>
  </r>
  <r>
    <s v="2026-04-17"/>
    <x v="15"/>
    <x v="11"/>
    <x v="6"/>
    <s v="Operational Cost"/>
    <x v="9"/>
    <n v="4000"/>
    <s v=""/>
    <n v="4000"/>
  </r>
  <r>
    <s v="2026-04-17"/>
    <x v="15"/>
    <x v="19"/>
    <x v="8"/>
    <s v="Sales General &amp; Administration "/>
    <x v="12"/>
    <n v="33.82"/>
    <s v=""/>
    <n v="33.82"/>
  </r>
  <r>
    <s v="2026-04-17"/>
    <x v="15"/>
    <x v="11"/>
    <x v="6"/>
    <s v="Operational Cost"/>
    <x v="9"/>
    <n v="5000"/>
    <s v=""/>
    <n v="5000"/>
  </r>
  <r>
    <s v="2026-04-17"/>
    <x v="15"/>
    <x v="11"/>
    <x v="6"/>
    <s v="Operational Cost"/>
    <x v="12"/>
    <n v="980"/>
    <s v=""/>
    <n v="980"/>
  </r>
  <r>
    <s v="2026-04-17"/>
    <x v="15"/>
    <x v="7"/>
    <x v="3"/>
    <s v="Sales General &amp; Administration "/>
    <x v="51"/>
    <n v="25245.71"/>
    <s v=""/>
    <n v="25245.71"/>
  </r>
  <r>
    <s v="2026-04-17"/>
    <x v="15"/>
    <x v="14"/>
    <x v="3"/>
    <s v="Sales General &amp; Administration "/>
    <x v="98"/>
    <n v="296"/>
    <s v=""/>
    <n v="296"/>
  </r>
  <r>
    <s v="2026-04-17"/>
    <x v="15"/>
    <x v="10"/>
    <x v="3"/>
    <s v="Operational Cost"/>
    <x v="98"/>
    <n v="1349.21"/>
    <s v=""/>
    <n v="1349.21"/>
  </r>
  <r>
    <s v="2026-04-18"/>
    <x v="15"/>
    <x v="13"/>
    <x v="2"/>
    <s v="Operational Cost"/>
    <x v="14"/>
    <n v="1499"/>
    <s v=""/>
    <n v="1499"/>
  </r>
  <r>
    <s v="2026-04-18"/>
    <x v="15"/>
    <x v="11"/>
    <x v="6"/>
    <s v="Operational Cost"/>
    <x v="12"/>
    <n v="380"/>
    <s v=""/>
    <n v="380"/>
  </r>
  <r>
    <s v="2026-04-19"/>
    <x v="15"/>
    <x v="13"/>
    <x v="2"/>
    <s v="Operational Cost"/>
    <x v="22"/>
    <n v="7640.5"/>
    <s v=""/>
    <n v="7640.5"/>
  </r>
  <r>
    <s v="2026-04-19"/>
    <x v="15"/>
    <x v="9"/>
    <x v="2"/>
    <s v="Operational Cost"/>
    <x v="128"/>
    <n v="1179"/>
    <s v=""/>
    <n v="1179"/>
  </r>
  <r>
    <s v="2026-04-19"/>
    <x v="15"/>
    <x v="11"/>
    <x v="6"/>
    <s v="Operational Cost"/>
    <x v="12"/>
    <n v="6000"/>
    <s v=""/>
    <n v="6000"/>
  </r>
  <r>
    <s v="2026-04-19"/>
    <x v="15"/>
    <x v="10"/>
    <x v="3"/>
    <s v="Operational Cost"/>
    <x v="98"/>
    <n v="561.41"/>
    <s v=""/>
    <n v="561.41"/>
  </r>
  <r>
    <s v="2026-04-19"/>
    <x v="15"/>
    <x v="10"/>
    <x v="3"/>
    <s v="Operational Cost"/>
    <x v="98"/>
    <n v="975.51"/>
    <s v=""/>
    <n v="975.51"/>
  </r>
  <r>
    <s v="2026-04-20"/>
    <x v="15"/>
    <x v="16"/>
    <x v="6"/>
    <s v="Operational Cost"/>
    <x v="15"/>
    <n v="4833"/>
    <s v=""/>
    <n v="4833"/>
  </r>
  <r>
    <s v="2026-04-20"/>
    <x v="15"/>
    <x v="7"/>
    <x v="3"/>
    <s v="Sales General &amp; Administration "/>
    <x v="9"/>
    <n v="5400"/>
    <s v=""/>
    <n v="5400"/>
  </r>
  <r>
    <s v="2026-04-20"/>
    <x v="15"/>
    <x v="11"/>
    <x v="6"/>
    <s v="Operational Cost"/>
    <x v="9"/>
    <s v=""/>
    <n v="2865"/>
    <n v="-2865"/>
  </r>
  <r>
    <s v="2026-04-20"/>
    <x v="15"/>
    <x v="14"/>
    <x v="3"/>
    <s v="Sales General &amp; Administration "/>
    <x v="98"/>
    <n v="226"/>
    <s v=""/>
    <n v="226"/>
  </r>
  <r>
    <s v="2026-04-20"/>
    <x v="15"/>
    <x v="10"/>
    <x v="3"/>
    <s v="Operational Cost"/>
    <x v="98"/>
    <n v="308.91000000000003"/>
    <s v=""/>
    <n v="308.91000000000003"/>
  </r>
  <r>
    <s v="2026-04-21"/>
    <x v="15"/>
    <x v="11"/>
    <x v="6"/>
    <s v="Operational Cost"/>
    <x v="45"/>
    <n v="104969.25"/>
    <s v=""/>
    <n v="104969.25"/>
  </r>
  <r>
    <s v="2026-04-21"/>
    <x v="15"/>
    <x v="19"/>
    <x v="8"/>
    <s v="Sales General &amp; Administration "/>
    <x v="51"/>
    <n v="11.79"/>
    <s v=""/>
    <n v="11.79"/>
  </r>
  <r>
    <s v="2026-04-21"/>
    <x v="15"/>
    <x v="14"/>
    <x v="3"/>
    <s v="Sales General &amp; Administration "/>
    <x v="98"/>
    <n v="266"/>
    <s v=""/>
    <n v="266"/>
  </r>
  <r>
    <s v="2026-04-21"/>
    <x v="15"/>
    <x v="7"/>
    <x v="3"/>
    <s v="Sales General &amp; Administration "/>
    <x v="98"/>
    <n v="727"/>
    <s v=""/>
    <n v="727"/>
  </r>
  <r>
    <s v="2026-04-22"/>
    <x v="15"/>
    <x v="13"/>
    <x v="2"/>
    <s v="Operational Cost"/>
    <x v="14"/>
    <n v="5372"/>
    <s v=""/>
    <n v="5372"/>
  </r>
  <r>
    <s v="2026-04-22"/>
    <x v="15"/>
    <x v="11"/>
    <x v="6"/>
    <s v="Operational Cost"/>
    <x v="9"/>
    <n v="4000"/>
    <s v=""/>
    <n v="4000"/>
  </r>
  <r>
    <s v="2026-04-22"/>
    <x v="15"/>
    <x v="14"/>
    <x v="3"/>
    <s v="Sales General &amp; Administration "/>
    <x v="98"/>
    <n v="280"/>
    <s v=""/>
    <n v="280"/>
  </r>
  <r>
    <s v="2026-04-22"/>
    <x v="15"/>
    <x v="14"/>
    <x v="3"/>
    <s v="Sales General &amp; Administration "/>
    <x v="98"/>
    <n v="126"/>
    <s v=""/>
    <n v="126"/>
  </r>
  <r>
    <s v="2026-04-23"/>
    <x v="15"/>
    <x v="13"/>
    <x v="2"/>
    <s v="Operational Cost"/>
    <x v="21"/>
    <n v="2367"/>
    <s v=""/>
    <n v="2367"/>
  </r>
  <r>
    <s v="2026-04-24"/>
    <x v="15"/>
    <x v="19"/>
    <x v="8"/>
    <s v="Sales General &amp; Administration "/>
    <x v="12"/>
    <n v="23.67"/>
    <s v=""/>
    <n v="23.67"/>
  </r>
  <r>
    <s v="2026-04-24"/>
    <x v="15"/>
    <x v="14"/>
    <x v="3"/>
    <s v="Sales General &amp; Administration "/>
    <x v="98"/>
    <n v="306"/>
    <s v=""/>
    <n v="306"/>
  </r>
  <r>
    <s v="2026-04-25"/>
    <x v="15"/>
    <x v="10"/>
    <x v="3"/>
    <s v="Operational Cost"/>
    <x v="119"/>
    <n v="1479"/>
    <s v=""/>
    <n v="1479"/>
  </r>
  <r>
    <s v="2026-04-25"/>
    <x v="15"/>
    <x v="14"/>
    <x v="3"/>
    <s v="Sales General &amp; Administration "/>
    <x v="98"/>
    <n v="138"/>
    <s v=""/>
    <n v="138"/>
  </r>
  <r>
    <s v="2026-04-25"/>
    <x v="15"/>
    <x v="14"/>
    <x v="3"/>
    <s v="Sales General &amp; Administration "/>
    <x v="98"/>
    <n v="136"/>
    <s v=""/>
    <n v="136"/>
  </r>
  <r>
    <s v="2026-04-26"/>
    <x v="15"/>
    <x v="14"/>
    <x v="3"/>
    <s v="Sales General &amp; Administration "/>
    <x v="98"/>
    <n v="381"/>
    <s v=""/>
    <n v="381"/>
  </r>
  <r>
    <s v="2026-04-27"/>
    <x v="15"/>
    <x v="13"/>
    <x v="2"/>
    <s v="Operational Cost"/>
    <x v="21"/>
    <n v="2714"/>
    <s v=""/>
    <n v="2714"/>
  </r>
  <r>
    <s v="2026-04-27"/>
    <x v="15"/>
    <x v="14"/>
    <x v="3"/>
    <s v="Sales General &amp; Administration "/>
    <x v="98"/>
    <n v="475"/>
    <s v=""/>
    <n v="475"/>
  </r>
  <r>
    <s v="2026-04-27"/>
    <x v="15"/>
    <x v="14"/>
    <x v="3"/>
    <s v="Sales General &amp; Administration "/>
    <x v="98"/>
    <n v="105"/>
    <s v=""/>
    <n v="105"/>
  </r>
  <r>
    <s v="2026-04-28"/>
    <x v="15"/>
    <x v="14"/>
    <x v="3"/>
    <s v="Sales General &amp; Administration "/>
    <x v="98"/>
    <n v="189"/>
    <s v=""/>
    <n v="189"/>
  </r>
  <r>
    <s v="2026-04-28"/>
    <x v="15"/>
    <x v="15"/>
    <x v="2"/>
    <s v="Operational Cost"/>
    <x v="19"/>
    <n v="599"/>
    <s v=""/>
    <n v="599"/>
  </r>
  <r>
    <s v="2026-04-29"/>
    <x v="15"/>
    <x v="7"/>
    <x v="3"/>
    <s v="Sales General &amp; Administration "/>
    <x v="9"/>
    <n v="750"/>
    <s v=""/>
    <n v="750"/>
  </r>
  <r>
    <s v="2026-04-29"/>
    <x v="15"/>
    <x v="8"/>
    <x v="5"/>
    <s v="Indirect Income"/>
    <x v="7"/>
    <s v=""/>
    <n v="260272.13"/>
    <n v="-260272.13"/>
  </r>
  <r>
    <s v="2026-04-29"/>
    <x v="15"/>
    <x v="8"/>
    <x v="5"/>
    <s v="Indirect Income"/>
    <x v="7"/>
    <s v=""/>
    <n v="123964.87"/>
    <n v="-123964.87"/>
  </r>
  <r>
    <s v="2026-04-29"/>
    <x v="15"/>
    <x v="14"/>
    <x v="3"/>
    <s v="Sales General &amp; Administration "/>
    <x v="98"/>
    <n v="322"/>
    <s v=""/>
    <n v="322"/>
  </r>
  <r>
    <s v="2026-04-29"/>
    <x v="15"/>
    <x v="10"/>
    <x v="3"/>
    <s v="Operational Cost"/>
    <x v="98"/>
    <n v="1020.96"/>
    <s v=""/>
    <n v="1020.96"/>
  </r>
  <r>
    <s v="2026-04-30"/>
    <x v="15"/>
    <x v="58"/>
    <x v="3"/>
    <s v="Sales General &amp; Administration "/>
    <x v="122"/>
    <n v="27000"/>
    <s v=""/>
    <n v="27000"/>
  </r>
  <r>
    <s v="2026-04-30"/>
    <x v="15"/>
    <x v="58"/>
    <x v="3"/>
    <s v="Sales General &amp; Administration "/>
    <x v="122"/>
    <n v="30"/>
    <s v=""/>
    <n v="30"/>
  </r>
  <r>
    <s v="2026-04-30"/>
    <x v="15"/>
    <x v="13"/>
    <x v="2"/>
    <s v="Operational Cost"/>
    <x v="14"/>
    <n v="4650"/>
    <s v=""/>
    <n v="4650"/>
  </r>
  <r>
    <s v="2026-04-30"/>
    <x v="15"/>
    <x v="37"/>
    <x v="9"/>
    <s v="Sales General &amp; Administration "/>
    <x v="39"/>
    <n v="20000"/>
    <s v=""/>
    <n v="20000"/>
  </r>
  <r>
    <s v="2026-04-30"/>
    <x v="15"/>
    <x v="24"/>
    <x v="9"/>
    <s v="Sales General &amp; Administration "/>
    <x v="26"/>
    <n v="160000"/>
    <s v=""/>
    <n v="160000"/>
  </r>
  <r>
    <s v="2026-04-30"/>
    <x v="15"/>
    <x v="24"/>
    <x v="9"/>
    <s v="Sales General &amp; Administration "/>
    <x v="26"/>
    <n v="160000"/>
    <s v=""/>
    <n v="160000"/>
  </r>
  <r>
    <s v="2026-04-30"/>
    <x v="15"/>
    <x v="24"/>
    <x v="9"/>
    <s v="Sales General &amp; Administration "/>
    <x v="26"/>
    <n v="60000"/>
    <s v=""/>
    <n v="60000"/>
  </r>
  <r>
    <s v="2026-04-30"/>
    <x v="15"/>
    <x v="26"/>
    <x v="3"/>
    <s v="Sales General &amp; Administration "/>
    <x v="92"/>
    <n v="13533"/>
    <s v=""/>
    <n v="13533"/>
  </r>
  <r>
    <s v="2026-04-30"/>
    <x v="15"/>
    <x v="21"/>
    <x v="0"/>
    <s v="Operational Cost"/>
    <x v="20"/>
    <n v="11040"/>
    <s v=""/>
    <n v="11040"/>
  </r>
  <r>
    <s v="2026-04-30"/>
    <x v="15"/>
    <x v="21"/>
    <x v="0"/>
    <s v="Operational Cost"/>
    <x v="20"/>
    <n v="127391.08"/>
    <s v=""/>
    <n v="127391.08"/>
  </r>
  <r>
    <s v="2026-04-30"/>
    <x v="15"/>
    <x v="21"/>
    <x v="0"/>
    <s v="Operational Cost"/>
    <x v="20"/>
    <n v="42265.01"/>
    <s v=""/>
    <n v="42265.01"/>
  </r>
  <r>
    <s v="2026-04-30"/>
    <x v="15"/>
    <x v="26"/>
    <x v="3"/>
    <s v="Sales General &amp; Administration "/>
    <x v="107"/>
    <n v="32000"/>
    <s v=""/>
    <n v="32000"/>
  </r>
  <r>
    <s v="2026-04-30"/>
    <x v="15"/>
    <x v="11"/>
    <x v="6"/>
    <s v="Operational Cost"/>
    <x v="45"/>
    <n v="18000"/>
    <s v=""/>
    <n v="18000"/>
  </r>
  <r>
    <s v="2026-04-30"/>
    <x v="15"/>
    <x v="11"/>
    <x v="6"/>
    <s v="Operational Cost"/>
    <x v="129"/>
    <n v="24040"/>
    <s v=""/>
    <n v="24040"/>
  </r>
  <r>
    <s v="2026-04-30"/>
    <x v="15"/>
    <x v="27"/>
    <x v="3"/>
    <s v="Sales General &amp; Administration "/>
    <x v="29"/>
    <n v="805"/>
    <s v=""/>
    <n v="805"/>
  </r>
  <r>
    <s v="2026-04-30"/>
    <x v="15"/>
    <x v="24"/>
    <x v="9"/>
    <s v="Sales General &amp; Administration "/>
    <x v="26"/>
    <n v="255946"/>
    <s v=""/>
    <n v="255946"/>
  </r>
  <r>
    <s v="2026-04-30"/>
    <x v="15"/>
    <x v="31"/>
    <x v="3"/>
    <s v="Sales General &amp; Administration "/>
    <x v="33"/>
    <n v="17520"/>
    <s v=""/>
    <n v="17520"/>
  </r>
  <r>
    <s v="2026-04-30"/>
    <x v="15"/>
    <x v="32"/>
    <x v="3"/>
    <s v="Sales General &amp; Administration "/>
    <x v="34"/>
    <n v="17520"/>
    <s v=""/>
    <n v="17520"/>
  </r>
  <r>
    <s v="2026-04-30"/>
    <x v="15"/>
    <x v="39"/>
    <x v="3"/>
    <s v="Sales General &amp; Administration "/>
    <x v="41"/>
    <n v="209"/>
    <s v=""/>
    <n v="209"/>
  </r>
  <r>
    <s v="2026-04-30"/>
    <x v="15"/>
    <x v="27"/>
    <x v="3"/>
    <s v="Sales General &amp; Administration "/>
    <x v="29"/>
    <n v="35284"/>
    <s v=""/>
    <n v="35284"/>
  </r>
  <r>
    <s v="2026-04-30"/>
    <x v="15"/>
    <x v="28"/>
    <x v="3"/>
    <s v="Sales General &amp; Administration "/>
    <x v="30"/>
    <n v="271457"/>
    <s v=""/>
    <n v="271457"/>
  </r>
  <r>
    <s v="2026-04-30"/>
    <x v="15"/>
    <x v="29"/>
    <x v="7"/>
    <s v="Operational Cost"/>
    <x v="31"/>
    <n v="5768982"/>
    <s v=""/>
    <n v="5768982"/>
  </r>
  <r>
    <s v="2026-04-30"/>
    <x v="15"/>
    <x v="30"/>
    <x v="7"/>
    <s v="Operational Cost"/>
    <x v="32"/>
    <n v="3503973"/>
    <s v=""/>
    <n v="3503973"/>
  </r>
  <r>
    <s v="2026-04-30"/>
    <x v="15"/>
    <x v="31"/>
    <x v="3"/>
    <s v="Sales General &amp; Administration "/>
    <x v="33"/>
    <n v="423386"/>
    <s v=""/>
    <n v="423386"/>
  </r>
  <r>
    <s v="2026-04-30"/>
    <x v="15"/>
    <x v="32"/>
    <x v="3"/>
    <s v="Sales General &amp; Administration "/>
    <x v="34"/>
    <n v="423386"/>
    <s v=""/>
    <n v="423386"/>
  </r>
  <r>
    <s v="2026-04-30"/>
    <x v="15"/>
    <x v="33"/>
    <x v="3"/>
    <s v="Sales General &amp; Administration "/>
    <x v="35"/>
    <n v="29236"/>
    <s v=""/>
    <n v="29236"/>
  </r>
  <r>
    <s v="2026-04-30"/>
    <x v="15"/>
    <x v="34"/>
    <x v="3"/>
    <s v="Sales General &amp; Administration "/>
    <x v="36"/>
    <n v="6769"/>
    <s v=""/>
    <n v="6769"/>
  </r>
  <r>
    <s v="2026-04-30"/>
    <x v="15"/>
    <x v="35"/>
    <x v="10"/>
    <s v="Sales General &amp; Administration "/>
    <x v="37"/>
    <n v="114721"/>
    <s v=""/>
    <n v="114721"/>
  </r>
  <r>
    <s v="2026-04-30"/>
    <x v="15"/>
    <x v="36"/>
    <x v="9"/>
    <s v="Sales General &amp; Administration "/>
    <x v="38"/>
    <n v="58100"/>
    <s v=""/>
    <n v="58100"/>
  </r>
  <r>
    <s v="2026-04-30"/>
    <x v="15"/>
    <x v="37"/>
    <x v="9"/>
    <s v="Sales General &amp; Administration "/>
    <x v="39"/>
    <n v="51219"/>
    <s v=""/>
    <n v="51219"/>
  </r>
  <r>
    <s v="2026-04-30"/>
    <x v="15"/>
    <x v="38"/>
    <x v="9"/>
    <s v="Sales General &amp; Administration "/>
    <x v="40"/>
    <n v="76922"/>
    <s v=""/>
    <n v="76922"/>
  </r>
  <r>
    <s v="2026-04-30"/>
    <x v="15"/>
    <x v="39"/>
    <x v="3"/>
    <s v="Sales General &amp; Administration "/>
    <x v="41"/>
    <n v="55745"/>
    <s v=""/>
    <n v="55745"/>
  </r>
  <r>
    <s v="2026-04-30"/>
    <x v="15"/>
    <x v="27"/>
    <x v="3"/>
    <s v="Sales General &amp; Administration "/>
    <x v="29"/>
    <n v="790"/>
    <s v=""/>
    <n v="790"/>
  </r>
  <r>
    <s v="2026-04-30"/>
    <x v="15"/>
    <x v="24"/>
    <x v="9"/>
    <s v="Sales General &amp; Administration "/>
    <x v="26"/>
    <n v="250992"/>
    <s v=""/>
    <n v="250992"/>
  </r>
  <r>
    <s v="2026-04-30"/>
    <x v="15"/>
    <x v="31"/>
    <x v="3"/>
    <s v="Sales General &amp; Administration "/>
    <x v="33"/>
    <n v="17181"/>
    <s v=""/>
    <n v="17181"/>
  </r>
  <r>
    <s v="2026-04-30"/>
    <x v="15"/>
    <x v="32"/>
    <x v="3"/>
    <s v="Sales General &amp; Administration "/>
    <x v="34"/>
    <n v="17181"/>
    <s v=""/>
    <n v="17181"/>
  </r>
  <r>
    <s v="2026-04-30"/>
    <x v="15"/>
    <x v="39"/>
    <x v="3"/>
    <s v="Sales General &amp; Administration "/>
    <x v="41"/>
    <n v="209"/>
    <s v=""/>
    <n v="209"/>
  </r>
  <r>
    <s v="2026-04-30"/>
    <x v="15"/>
    <x v="14"/>
    <x v="3"/>
    <s v="Sales General &amp; Administration "/>
    <x v="98"/>
    <n v="298"/>
    <s v=""/>
    <n v="298"/>
  </r>
  <r>
    <s v="2026-04-30"/>
    <x v="15"/>
    <x v="7"/>
    <x v="3"/>
    <s v="Sales General &amp; Administration "/>
    <x v="98"/>
    <n v="795.9"/>
    <s v=""/>
    <n v="795.9"/>
  </r>
  <r>
    <s v="2026-04-30"/>
    <x v="15"/>
    <x v="6"/>
    <x v="4"/>
    <s v="Operational Cost"/>
    <x v="104"/>
    <n v="89050"/>
    <s v=""/>
    <n v="89050"/>
  </r>
  <r>
    <s v="2026-05-01"/>
    <x v="16"/>
    <x v="46"/>
    <x v="8"/>
    <s v="Sales General &amp; Administration "/>
    <x v="55"/>
    <n v="81227"/>
    <s v=""/>
    <n v="81227"/>
  </r>
  <r>
    <s v="2026-05-01"/>
    <x v="16"/>
    <x v="19"/>
    <x v="8"/>
    <s v="Sales General &amp; Administration "/>
    <x v="12"/>
    <n v="47.16"/>
    <s v=""/>
    <n v="47.16"/>
  </r>
  <r>
    <s v="2026-05-01"/>
    <x v="16"/>
    <x v="0"/>
    <x v="0"/>
    <s v="Operational Cost"/>
    <x v="0"/>
    <n v="395769"/>
    <s v=""/>
    <n v="395769"/>
  </r>
  <r>
    <s v="2026-05-01"/>
    <x v="16"/>
    <x v="52"/>
    <x v="0"/>
    <s v="Operational Cost"/>
    <x v="82"/>
    <n v="400000"/>
    <s v=""/>
    <n v="400000"/>
  </r>
  <r>
    <s v="2026-05-01"/>
    <x v="16"/>
    <x v="4"/>
    <x v="2"/>
    <s v="Operational Cost"/>
    <x v="3"/>
    <n v="19886"/>
    <s v=""/>
    <n v="19886"/>
  </r>
  <r>
    <s v="2026-05-01"/>
    <x v="16"/>
    <x v="1"/>
    <x v="0"/>
    <s v="Operational Cost"/>
    <x v="0"/>
    <n v="68360"/>
    <s v=""/>
    <n v="68360"/>
  </r>
  <r>
    <s v="2026-05-01"/>
    <x v="16"/>
    <x v="6"/>
    <x v="4"/>
    <s v="Operational Cost"/>
    <x v="5"/>
    <n v="325500"/>
    <s v=""/>
    <n v="325500"/>
  </r>
  <r>
    <s v="2026-05-01"/>
    <x v="16"/>
    <x v="13"/>
    <x v="2"/>
    <s v="Operational Cost"/>
    <x v="14"/>
    <n v="9147"/>
    <s v=""/>
    <n v="9147"/>
  </r>
  <r>
    <s v="2026-05-01"/>
    <x v="16"/>
    <x v="13"/>
    <x v="2"/>
    <s v="Operational Cost"/>
    <x v="14"/>
    <n v="577"/>
    <s v=""/>
    <n v="577"/>
  </r>
  <r>
    <s v="2026-05-02"/>
    <x v="16"/>
    <x v="10"/>
    <x v="3"/>
    <s v="Operational Cost"/>
    <x v="98"/>
    <n v="1177.51"/>
    <s v=""/>
    <n v="1177.51"/>
  </r>
  <r>
    <s v="2026-05-02"/>
    <x v="16"/>
    <x v="16"/>
    <x v="6"/>
    <s v="Operational Cost"/>
    <x v="15"/>
    <n v="5605"/>
    <s v=""/>
    <n v="5605"/>
  </r>
  <r>
    <s v="2026-05-02"/>
    <x v="16"/>
    <x v="13"/>
    <x v="2"/>
    <s v="Operational Cost"/>
    <x v="14"/>
    <n v="1083"/>
    <s v=""/>
    <n v="1083"/>
  </r>
  <r>
    <s v="2026-05-03"/>
    <x v="16"/>
    <x v="14"/>
    <x v="3"/>
    <s v="Sales General &amp; Administration "/>
    <x v="98"/>
    <n v="196"/>
    <s v=""/>
    <n v="196"/>
  </r>
  <r>
    <s v="2026-05-03"/>
    <x v="16"/>
    <x v="9"/>
    <x v="2"/>
    <s v="Operational Cost"/>
    <x v="8"/>
    <n v="9167"/>
    <s v=""/>
    <n v="9167"/>
  </r>
  <r>
    <s v="2026-05-03"/>
    <x v="16"/>
    <x v="9"/>
    <x v="2"/>
    <s v="Operational Cost"/>
    <x v="8"/>
    <n v="10417"/>
    <s v=""/>
    <n v="10417"/>
  </r>
  <r>
    <s v="2026-05-03"/>
    <x v="16"/>
    <x v="9"/>
    <x v="2"/>
    <s v="Operational Cost"/>
    <x v="8"/>
    <n v="23333"/>
    <s v=""/>
    <n v="23333"/>
  </r>
  <r>
    <s v="2026-05-04"/>
    <x v="16"/>
    <x v="17"/>
    <x v="0"/>
    <s v="Operational Cost"/>
    <x v="82"/>
    <n v="42360"/>
    <s v=""/>
    <n v="42360"/>
  </r>
  <r>
    <s v="2026-05-04"/>
    <x v="16"/>
    <x v="7"/>
    <x v="3"/>
    <s v="Sales General &amp; Administration "/>
    <x v="6"/>
    <n v="18919"/>
    <s v=""/>
    <n v="18919"/>
  </r>
  <r>
    <s v="2026-05-04"/>
    <x v="16"/>
    <x v="55"/>
    <x v="0"/>
    <s v="Operational Cost"/>
    <x v="101"/>
    <n v="25000"/>
    <s v=""/>
    <n v="25000"/>
  </r>
  <r>
    <s v="2026-05-04"/>
    <x v="16"/>
    <x v="17"/>
    <x v="0"/>
    <s v="Operational Cost"/>
    <x v="101"/>
    <n v="4907"/>
    <s v=""/>
    <n v="4907"/>
  </r>
  <r>
    <s v="2026-05-04"/>
    <x v="16"/>
    <x v="11"/>
    <x v="6"/>
    <s v="Operational Cost"/>
    <x v="9"/>
    <n v="150"/>
    <s v=""/>
    <n v="150"/>
  </r>
  <r>
    <s v="2026-05-04"/>
    <x v="16"/>
    <x v="11"/>
    <x v="6"/>
    <s v="Operational Cost"/>
    <x v="9"/>
    <n v="378"/>
    <s v=""/>
    <n v="378"/>
  </r>
  <r>
    <s v="2026-05-04"/>
    <x v="16"/>
    <x v="9"/>
    <x v="2"/>
    <s v="Operational Cost"/>
    <x v="130"/>
    <n v="20750"/>
    <s v=""/>
    <n v="20750"/>
  </r>
  <r>
    <s v="2026-05-05"/>
    <x v="16"/>
    <x v="7"/>
    <x v="3"/>
    <s v="Sales General &amp; Administration "/>
    <x v="97"/>
    <n v="1047"/>
    <s v=""/>
    <n v="1047"/>
  </r>
  <r>
    <s v="2026-05-05"/>
    <x v="16"/>
    <x v="14"/>
    <x v="3"/>
    <s v="Sales General &amp; Administration "/>
    <x v="98"/>
    <n v="430"/>
    <s v=""/>
    <n v="430"/>
  </r>
  <r>
    <s v="2026-05-05"/>
    <x v="16"/>
    <x v="11"/>
    <x v="6"/>
    <s v="Operational Cost"/>
    <x v="9"/>
    <n v="1224.05"/>
    <s v=""/>
    <n v="1224.05"/>
  </r>
  <r>
    <s v="2026-05-05"/>
    <x v="16"/>
    <x v="11"/>
    <x v="6"/>
    <s v="Operational Cost"/>
    <x v="9"/>
    <n v="1224.05"/>
    <s v=""/>
    <n v="1224.05"/>
  </r>
  <r>
    <s v="2026-05-05"/>
    <x v="16"/>
    <x v="11"/>
    <x v="6"/>
    <s v="Operational Cost"/>
    <x v="9"/>
    <n v="2455"/>
    <s v=""/>
    <n v="2455"/>
  </r>
  <r>
    <s v="2026-05-06"/>
    <x v="16"/>
    <x v="14"/>
    <x v="3"/>
    <s v="Sales General &amp; Administration "/>
    <x v="98"/>
    <n v="359"/>
    <s v=""/>
    <n v="359"/>
  </r>
  <r>
    <s v="2026-05-06"/>
    <x v="16"/>
    <x v="14"/>
    <x v="3"/>
    <s v="Sales General &amp; Administration "/>
    <x v="98"/>
    <n v="145"/>
    <s v=""/>
    <n v="145"/>
  </r>
  <r>
    <s v="2026-05-06"/>
    <x v="16"/>
    <x v="7"/>
    <x v="3"/>
    <s v="Sales General &amp; Administration "/>
    <x v="98"/>
    <n v="225.7"/>
    <s v=""/>
    <n v="225.7"/>
  </r>
  <r>
    <s v="2026-05-06"/>
    <x v="16"/>
    <x v="10"/>
    <x v="3"/>
    <s v="Operational Cost"/>
    <x v="9"/>
    <n v="2664.35"/>
    <s v=""/>
    <n v="2664.35"/>
  </r>
  <r>
    <s v="2026-05-06"/>
    <x v="16"/>
    <x v="13"/>
    <x v="2"/>
    <s v="Operational Cost"/>
    <x v="14"/>
    <n v="2479"/>
    <s v=""/>
    <n v="2479"/>
  </r>
  <r>
    <s v="2026-05-06"/>
    <x v="16"/>
    <x v="11"/>
    <x v="6"/>
    <s v="Operational Cost"/>
    <x v="9"/>
    <n v="2214.5"/>
    <s v=""/>
    <n v="2214.5"/>
  </r>
  <r>
    <s v="2026-05-06"/>
    <x v="16"/>
    <x v="11"/>
    <x v="6"/>
    <s v="Operational Cost"/>
    <x v="9"/>
    <n v="2024.5"/>
    <s v=""/>
    <n v="2024.5"/>
  </r>
  <r>
    <s v="2026-05-06"/>
    <x v="16"/>
    <x v="11"/>
    <x v="6"/>
    <s v="Operational Cost"/>
    <x v="9"/>
    <n v="250"/>
    <s v=""/>
    <n v="250"/>
  </r>
  <r>
    <s v="2026-05-07"/>
    <x v="16"/>
    <x v="11"/>
    <x v="6"/>
    <s v="Operational Cost"/>
    <x v="126"/>
    <n v="1200"/>
    <s v=""/>
    <n v="1200"/>
  </r>
  <r>
    <s v="2026-05-07"/>
    <x v="16"/>
    <x v="14"/>
    <x v="3"/>
    <s v="Sales General &amp; Administration "/>
    <x v="98"/>
    <n v="267"/>
    <s v=""/>
    <n v="267"/>
  </r>
  <r>
    <s v="2026-05-07"/>
    <x v="16"/>
    <x v="10"/>
    <x v="3"/>
    <s v="Operational Cost"/>
    <x v="98"/>
    <n v="2353.29"/>
    <s v=""/>
    <n v="2353.29"/>
  </r>
  <r>
    <s v="2026-05-07"/>
    <x v="16"/>
    <x v="14"/>
    <x v="3"/>
    <s v="Sales General &amp; Administration "/>
    <x v="98"/>
    <n v="1500"/>
    <s v=""/>
    <n v="1500"/>
  </r>
  <r>
    <s v="2026-05-07"/>
    <x v="16"/>
    <x v="58"/>
    <x v="3"/>
    <s v="Sales General &amp; Administration "/>
    <x v="122"/>
    <n v="200"/>
    <s v=""/>
    <n v="200"/>
  </r>
  <r>
    <s v="2026-05-07"/>
    <x v="16"/>
    <x v="14"/>
    <x v="3"/>
    <s v="Sales General &amp; Administration "/>
    <x v="9"/>
    <n v="730"/>
    <s v=""/>
    <n v="730"/>
  </r>
  <r>
    <s v="2026-05-07"/>
    <x v="16"/>
    <x v="48"/>
    <x v="8"/>
    <s v="Sales General &amp; Administration "/>
    <x v="9"/>
    <n v="729"/>
    <s v=""/>
    <n v="729"/>
  </r>
  <r>
    <s v="2026-05-07"/>
    <x v="16"/>
    <x v="23"/>
    <x v="2"/>
    <s v="Operational Cost"/>
    <x v="89"/>
    <n v="24529.52"/>
    <s v=""/>
    <n v="24529.52"/>
  </r>
  <r>
    <s v="2026-05-07"/>
    <x v="16"/>
    <x v="23"/>
    <x v="2"/>
    <s v="Operational Cost"/>
    <x v="89"/>
    <n v="15000"/>
    <s v=""/>
    <n v="15000"/>
  </r>
  <r>
    <s v="2026-05-07"/>
    <x v="16"/>
    <x v="16"/>
    <x v="6"/>
    <s v="Operational Cost"/>
    <x v="15"/>
    <n v="59099"/>
    <s v=""/>
    <n v="59099"/>
  </r>
  <r>
    <s v="2026-05-08"/>
    <x v="16"/>
    <x v="14"/>
    <x v="3"/>
    <s v="Sales General &amp; Administration "/>
    <x v="98"/>
    <n v="234"/>
    <s v=""/>
    <n v="234"/>
  </r>
  <r>
    <s v="2026-05-08"/>
    <x v="16"/>
    <x v="10"/>
    <x v="3"/>
    <s v="Operational Cost"/>
    <x v="98"/>
    <n v="1389.61"/>
    <s v=""/>
    <n v="1389.61"/>
  </r>
  <r>
    <s v="2026-05-08"/>
    <x v="16"/>
    <x v="14"/>
    <x v="3"/>
    <s v="Sales General &amp; Administration "/>
    <x v="98"/>
    <n v="8950"/>
    <s v=""/>
    <n v="8950"/>
  </r>
  <r>
    <s v="2026-05-09"/>
    <x v="16"/>
    <x v="15"/>
    <x v="2"/>
    <s v="Operational Cost"/>
    <x v="19"/>
    <n v="1298"/>
    <s v=""/>
    <n v="1298"/>
  </r>
  <r>
    <s v="2026-05-09"/>
    <x v="16"/>
    <x v="13"/>
    <x v="2"/>
    <s v="Operational Cost"/>
    <x v="14"/>
    <n v="8350"/>
    <s v=""/>
    <n v="8350"/>
  </r>
  <r>
    <s v="2026-05-09"/>
    <x v="16"/>
    <x v="13"/>
    <x v="2"/>
    <s v="Operational Cost"/>
    <x v="14"/>
    <n v="223"/>
    <s v=""/>
    <n v="223"/>
  </r>
  <r>
    <s v="2026-05-10"/>
    <x v="16"/>
    <x v="10"/>
    <x v="3"/>
    <s v="Operational Cost"/>
    <x v="98"/>
    <n v="975.51"/>
    <s v=""/>
    <n v="975.51"/>
  </r>
  <r>
    <s v="2026-05-11"/>
    <x v="16"/>
    <x v="14"/>
    <x v="3"/>
    <s v="Sales General &amp; Administration "/>
    <x v="98"/>
    <n v="426"/>
    <s v=""/>
    <n v="426"/>
  </r>
  <r>
    <s v="2026-05-11"/>
    <x v="16"/>
    <x v="3"/>
    <x v="1"/>
    <s v="Sales General &amp; Administration "/>
    <x v="2"/>
    <n v="125000"/>
    <s v=""/>
    <n v="125000"/>
  </r>
  <r>
    <s v="2026-05-11"/>
    <x v="16"/>
    <x v="11"/>
    <x v="6"/>
    <s v="Operational Cost"/>
    <x v="9"/>
    <s v=""/>
    <n v="1490.72"/>
    <n v="-1490.72"/>
  </r>
  <r>
    <s v="2026-05-11"/>
    <x v="16"/>
    <x v="11"/>
    <x v="6"/>
    <s v="Operational Cost"/>
    <x v="9"/>
    <s v=""/>
    <n v="1630.72"/>
    <n v="-1630.72"/>
  </r>
  <r>
    <s v="2026-05-12"/>
    <x v="16"/>
    <x v="19"/>
    <x v="8"/>
    <s v="Sales General &amp; Administration "/>
    <x v="51"/>
    <n v="631.14"/>
    <s v=""/>
    <n v="631.14"/>
  </r>
  <r>
    <s v="2026-05-12"/>
    <x v="16"/>
    <x v="14"/>
    <x v="3"/>
    <s v="Sales General &amp; Administration "/>
    <x v="98"/>
    <n v="361"/>
    <s v=""/>
    <n v="361"/>
  </r>
  <r>
    <s v="2026-05-12"/>
    <x v="16"/>
    <x v="13"/>
    <x v="2"/>
    <s v="Operational Cost"/>
    <x v="14"/>
    <n v="2775"/>
    <s v=""/>
    <n v="2775"/>
  </r>
  <r>
    <s v="2026-05-13"/>
    <x v="16"/>
    <x v="14"/>
    <x v="3"/>
    <s v="Sales General &amp; Administration "/>
    <x v="98"/>
    <n v="305"/>
    <s v=""/>
    <n v="305"/>
  </r>
  <r>
    <s v="2026-05-14"/>
    <x v="16"/>
    <x v="11"/>
    <x v="6"/>
    <s v="Operational Cost"/>
    <x v="9"/>
    <n v="1404"/>
    <s v=""/>
    <n v="1404"/>
  </r>
  <r>
    <s v="2026-05-14"/>
    <x v="16"/>
    <x v="17"/>
    <x v="0"/>
    <s v="Operational Cost"/>
    <x v="16"/>
    <n v="205399"/>
    <s v=""/>
    <n v="205399"/>
  </r>
  <r>
    <s v="2026-05-14"/>
    <x v="16"/>
    <x v="11"/>
    <x v="6"/>
    <s v="Operational Cost"/>
    <x v="9"/>
    <n v="630"/>
    <s v=""/>
    <n v="630"/>
  </r>
  <r>
    <s v="2026-05-14"/>
    <x v="16"/>
    <x v="10"/>
    <x v="3"/>
    <s v="Operational Cost"/>
    <x v="9"/>
    <n v="2450"/>
    <s v=""/>
    <n v="2450"/>
  </r>
  <r>
    <s v="2026-05-14"/>
    <x v="16"/>
    <x v="11"/>
    <x v="6"/>
    <s v="Operational Cost"/>
    <x v="9"/>
    <n v="2000"/>
    <s v=""/>
    <n v="2000"/>
  </r>
  <r>
    <s v="2026-05-14"/>
    <x v="16"/>
    <x v="11"/>
    <x v="6"/>
    <s v="Operational Cost"/>
    <x v="9"/>
    <n v="2492"/>
    <s v=""/>
    <n v="2492"/>
  </r>
  <r>
    <s v="2026-05-15"/>
    <x v="16"/>
    <x v="15"/>
    <x v="2"/>
    <s v="Operational Cost"/>
    <x v="19"/>
    <n v="782.9"/>
    <s v=""/>
    <n v="782.9"/>
  </r>
  <r>
    <s v="2026-05-15"/>
    <x v="16"/>
    <x v="14"/>
    <x v="3"/>
    <s v="Sales General &amp; Administration "/>
    <x v="98"/>
    <n v="375"/>
    <s v=""/>
    <n v="375"/>
  </r>
  <r>
    <s v="2026-05-15"/>
    <x v="16"/>
    <x v="14"/>
    <x v="3"/>
    <s v="Sales General &amp; Administration "/>
    <x v="98"/>
    <n v="145"/>
    <s v=""/>
    <n v="145"/>
  </r>
  <r>
    <s v="2026-05-15"/>
    <x v="16"/>
    <x v="13"/>
    <x v="2"/>
    <s v="Operational Cost"/>
    <x v="14"/>
    <n v="8913"/>
    <s v=""/>
    <n v="8913"/>
  </r>
  <r>
    <s v="2026-05-15"/>
    <x v="16"/>
    <x v="13"/>
    <x v="2"/>
    <s v="Operational Cost"/>
    <x v="14"/>
    <n v="3535"/>
    <s v=""/>
    <n v="3535"/>
  </r>
  <r>
    <s v="2026-05-15"/>
    <x v="16"/>
    <x v="10"/>
    <x v="3"/>
    <s v="Operational Cost"/>
    <x v="98"/>
    <n v="2459.54"/>
    <s v=""/>
    <n v="2459.54"/>
  </r>
  <r>
    <s v="2026-05-16"/>
    <x v="16"/>
    <x v="14"/>
    <x v="3"/>
    <s v="Sales General &amp; Administration "/>
    <x v="98"/>
    <n v="259"/>
    <s v=""/>
    <n v="259"/>
  </r>
  <r>
    <s v="2026-05-16"/>
    <x v="16"/>
    <x v="14"/>
    <x v="3"/>
    <s v="Sales General &amp; Administration "/>
    <x v="98"/>
    <n v="276"/>
    <s v=""/>
    <n v="276"/>
  </r>
  <r>
    <s v="2026-05-17"/>
    <x v="16"/>
    <x v="10"/>
    <x v="3"/>
    <s v="Operational Cost"/>
    <x v="98"/>
    <n v="2135.7600000000002"/>
    <s v=""/>
    <n v="2135.7600000000002"/>
  </r>
  <r>
    <s v="2026-05-18"/>
    <x v="16"/>
    <x v="18"/>
    <x v="0"/>
    <s v="Operational Cost"/>
    <x v="17"/>
    <n v="27562"/>
    <s v=""/>
    <n v="27562"/>
  </r>
  <r>
    <s v="2026-05-18"/>
    <x v="16"/>
    <x v="13"/>
    <x v="2"/>
    <s v="Operational Cost"/>
    <x v="14"/>
    <n v="1499"/>
    <s v=""/>
    <n v="1499"/>
  </r>
  <r>
    <s v="2026-05-18"/>
    <x v="16"/>
    <x v="14"/>
    <x v="3"/>
    <s v="Sales General &amp; Administration "/>
    <x v="12"/>
    <n v="390"/>
    <s v=""/>
    <n v="390"/>
  </r>
  <r>
    <s v="2026-05-18"/>
    <x v="16"/>
    <x v="14"/>
    <x v="3"/>
    <s v="Sales General &amp; Administration "/>
    <x v="12"/>
    <n v="190"/>
    <s v=""/>
    <n v="190"/>
  </r>
  <r>
    <s v="2026-05-18"/>
    <x v="16"/>
    <x v="8"/>
    <x v="5"/>
    <s v="Indirect Income"/>
    <x v="7"/>
    <s v=""/>
    <n v="150920.79999999999"/>
    <n v="-150920.79999999999"/>
  </r>
  <r>
    <s v="2026-05-19"/>
    <x v="16"/>
    <x v="11"/>
    <x v="6"/>
    <s v="Operational Cost"/>
    <x v="12"/>
    <n v="1083.72"/>
    <s v=""/>
    <n v="1083.72"/>
  </r>
  <r>
    <s v="2026-05-19"/>
    <x v="16"/>
    <x v="14"/>
    <x v="3"/>
    <s v="Sales General &amp; Administration "/>
    <x v="98"/>
    <n v="385"/>
    <s v=""/>
    <n v="385"/>
  </r>
  <r>
    <s v="2026-05-19"/>
    <x v="16"/>
    <x v="7"/>
    <x v="3"/>
    <s v="Sales General &amp; Administration "/>
    <x v="98"/>
    <n v="485"/>
    <s v=""/>
    <n v="485"/>
  </r>
  <r>
    <s v="2026-05-19"/>
    <x v="16"/>
    <x v="15"/>
    <x v="2"/>
    <s v="Operational Cost"/>
    <x v="19"/>
    <n v="599"/>
    <s v=""/>
    <n v="599"/>
  </r>
  <r>
    <s v="2026-05-19"/>
    <x v="16"/>
    <x v="11"/>
    <x v="6"/>
    <s v="Operational Cost"/>
    <x v="51"/>
    <n v="3622"/>
    <s v=""/>
    <n v="3622"/>
  </r>
  <r>
    <s v="2026-05-20"/>
    <x v="16"/>
    <x v="9"/>
    <x v="2"/>
    <s v="Operational Cost"/>
    <x v="128"/>
    <n v="1149.52"/>
    <s v=""/>
    <n v="1149.52"/>
  </r>
  <r>
    <s v="2026-05-20"/>
    <x v="16"/>
    <x v="16"/>
    <x v="6"/>
    <s v="Operational Cost"/>
    <x v="15"/>
    <n v="4833"/>
    <s v=""/>
    <n v="4833"/>
  </r>
  <r>
    <s v="2026-05-20"/>
    <x v="16"/>
    <x v="23"/>
    <x v="2"/>
    <s v="Operational Cost"/>
    <x v="131"/>
    <n v="847.46"/>
    <s v=""/>
    <n v="847.46"/>
  </r>
  <r>
    <s v="2026-05-20"/>
    <x v="16"/>
    <x v="11"/>
    <x v="6"/>
    <s v="Operational Cost"/>
    <x v="9"/>
    <n v="2523"/>
    <s v=""/>
    <n v="2523"/>
  </r>
  <r>
    <s v="2026-05-21"/>
    <x v="16"/>
    <x v="14"/>
    <x v="3"/>
    <s v="Sales General &amp; Administration "/>
    <x v="98"/>
    <n v="290"/>
    <s v=""/>
    <n v="290"/>
  </r>
  <r>
    <s v="2026-05-21"/>
    <x v="16"/>
    <x v="7"/>
    <x v="3"/>
    <s v="Sales General &amp; Administration "/>
    <x v="98"/>
    <n v="232"/>
    <s v=""/>
    <n v="232"/>
  </r>
  <r>
    <s v="2026-05-21"/>
    <x v="16"/>
    <x v="11"/>
    <x v="6"/>
    <s v="Operational Cost"/>
    <x v="45"/>
    <n v="104969.25"/>
    <s v=""/>
    <n v="104969.25"/>
  </r>
  <r>
    <s v="2026-05-21"/>
    <x v="16"/>
    <x v="10"/>
    <x v="3"/>
    <s v="Operational Cost"/>
    <x v="98"/>
    <n v="2095.2800000000002"/>
    <s v=""/>
    <n v="2095.2800000000002"/>
  </r>
  <r>
    <s v="2026-05-21"/>
    <x v="16"/>
    <x v="19"/>
    <x v="8"/>
    <s v="Sales General &amp; Administration "/>
    <x v="51"/>
    <n v="99"/>
    <s v=""/>
    <n v="99"/>
  </r>
  <r>
    <s v="2026-05-22"/>
    <x v="16"/>
    <x v="11"/>
    <x v="6"/>
    <s v="Operational Cost"/>
    <x v="9"/>
    <n v="5100"/>
    <s v=""/>
    <n v="5100"/>
  </r>
  <r>
    <s v="2026-05-22"/>
    <x v="16"/>
    <x v="19"/>
    <x v="8"/>
    <s v="Sales General &amp; Administration "/>
    <x v="51"/>
    <n v="11.5"/>
    <s v=""/>
    <n v="11.5"/>
  </r>
  <r>
    <s v="2026-05-22"/>
    <x v="16"/>
    <x v="14"/>
    <x v="3"/>
    <s v="Sales General &amp; Administration "/>
    <x v="98"/>
    <n v="160"/>
    <s v=""/>
    <n v="160"/>
  </r>
  <r>
    <s v="2026-05-22"/>
    <x v="16"/>
    <x v="13"/>
    <x v="2"/>
    <s v="Operational Cost"/>
    <x v="14"/>
    <n v="5372"/>
    <s v=""/>
    <n v="5372"/>
  </r>
  <r>
    <s v="2026-05-23"/>
    <x v="16"/>
    <x v="10"/>
    <x v="3"/>
    <s v="Operational Cost"/>
    <x v="98"/>
    <n v="1111.8599999999999"/>
    <s v=""/>
    <n v="1111.8599999999999"/>
  </r>
  <r>
    <s v="2026-05-24"/>
    <x v="16"/>
    <x v="14"/>
    <x v="3"/>
    <s v="Sales General &amp; Administration "/>
    <x v="98"/>
    <n v="287"/>
    <s v=""/>
    <n v="287"/>
  </r>
  <r>
    <s v="2026-05-25"/>
    <x v="16"/>
    <x v="7"/>
    <x v="3"/>
    <s v="Sales General &amp; Administration "/>
    <x v="99"/>
    <n v="4238"/>
    <s v=""/>
    <n v="4238"/>
  </r>
  <r>
    <s v="2026-05-25"/>
    <x v="16"/>
    <x v="14"/>
    <x v="3"/>
    <s v="Sales General &amp; Administration "/>
    <x v="98"/>
    <n v="173"/>
    <s v=""/>
    <n v="173"/>
  </r>
  <r>
    <s v="2026-05-26"/>
    <x v="16"/>
    <x v="10"/>
    <x v="3"/>
    <s v="Operational Cost"/>
    <x v="9"/>
    <n v="1804.5"/>
    <s v=""/>
    <n v="1804.5"/>
  </r>
  <r>
    <s v="2026-05-26"/>
    <x v="16"/>
    <x v="17"/>
    <x v="0"/>
    <s v="Operational Cost"/>
    <x v="16"/>
    <n v="373"/>
    <s v=""/>
    <n v="373"/>
  </r>
  <r>
    <s v="2026-05-26"/>
    <x v="16"/>
    <x v="11"/>
    <x v="6"/>
    <s v="Operational Cost"/>
    <x v="9"/>
    <n v="171"/>
    <s v=""/>
    <n v="171"/>
  </r>
  <r>
    <s v="2026-05-27"/>
    <x v="16"/>
    <x v="10"/>
    <x v="3"/>
    <s v="Operational Cost"/>
    <x v="9"/>
    <n v="2214.5"/>
    <s v=""/>
    <n v="2214.5"/>
  </r>
  <r>
    <s v="2026-05-27"/>
    <x v="16"/>
    <x v="14"/>
    <x v="3"/>
    <s v="Sales General &amp; Administration "/>
    <x v="98"/>
    <n v="204"/>
    <s v=""/>
    <n v="204"/>
  </r>
  <r>
    <s v="2026-05-27"/>
    <x v="16"/>
    <x v="14"/>
    <x v="3"/>
    <s v="Sales General &amp; Administration "/>
    <x v="98"/>
    <n v="145"/>
    <s v=""/>
    <n v="145"/>
  </r>
  <r>
    <s v="2026-05-28"/>
    <x v="16"/>
    <x v="13"/>
    <x v="2"/>
    <s v="Operational Cost"/>
    <x v="132"/>
    <n v="1916.04"/>
    <s v=""/>
    <n v="1916.04"/>
  </r>
  <r>
    <s v="2026-05-28"/>
    <x v="16"/>
    <x v="13"/>
    <x v="2"/>
    <s v="Operational Cost"/>
    <x v="21"/>
    <n v="2367"/>
    <s v=""/>
    <n v="2367"/>
  </r>
  <r>
    <s v="2026-05-28"/>
    <x v="16"/>
    <x v="14"/>
    <x v="3"/>
    <s v="Sales General &amp; Administration "/>
    <x v="98"/>
    <n v="415"/>
    <s v=""/>
    <n v="415"/>
  </r>
  <r>
    <s v="2026-05-28"/>
    <x v="16"/>
    <x v="14"/>
    <x v="3"/>
    <s v="Sales General &amp; Administration "/>
    <x v="98"/>
    <n v="129"/>
    <s v=""/>
    <n v="129"/>
  </r>
  <r>
    <s v="2026-05-29"/>
    <x v="16"/>
    <x v="58"/>
    <x v="3"/>
    <s v="Sales General &amp; Administration "/>
    <x v="122"/>
    <n v="26500"/>
    <s v=""/>
    <n v="26500"/>
  </r>
  <r>
    <s v="2026-05-29"/>
    <x v="16"/>
    <x v="11"/>
    <x v="6"/>
    <s v="Operational Cost"/>
    <x v="129"/>
    <n v="22340"/>
    <s v=""/>
    <n v="22340"/>
  </r>
  <r>
    <s v="2026-05-29"/>
    <x v="16"/>
    <x v="14"/>
    <x v="3"/>
    <s v="Sales General &amp; Administration "/>
    <x v="12"/>
    <n v="3600"/>
    <s v=""/>
    <n v="3600"/>
  </r>
  <r>
    <s v="2026-05-29"/>
    <x v="16"/>
    <x v="14"/>
    <x v="3"/>
    <s v="Sales General &amp; Administration "/>
    <x v="12"/>
    <n v="2900"/>
    <s v=""/>
    <n v="2900"/>
  </r>
  <r>
    <s v="2026-05-29"/>
    <x v="16"/>
    <x v="25"/>
    <x v="7"/>
    <s v="Operational Cost"/>
    <x v="27"/>
    <n v="20000"/>
    <s v=""/>
    <n v="20000"/>
  </r>
  <r>
    <s v="2026-05-29"/>
    <x v="16"/>
    <x v="24"/>
    <x v="9"/>
    <s v="Sales General &amp; Administration "/>
    <x v="26"/>
    <n v="60000"/>
    <s v=""/>
    <n v="60000"/>
  </r>
  <r>
    <s v="2026-05-29"/>
    <x v="16"/>
    <x v="24"/>
    <x v="9"/>
    <s v="Sales General &amp; Administration "/>
    <x v="26"/>
    <n v="160000"/>
    <s v=""/>
    <n v="160000"/>
  </r>
  <r>
    <s v="2026-05-29"/>
    <x v="16"/>
    <x v="24"/>
    <x v="9"/>
    <s v="Sales General &amp; Administration "/>
    <x v="26"/>
    <n v="160000"/>
    <s v=""/>
    <n v="160000"/>
  </r>
  <r>
    <s v="2026-05-29"/>
    <x v="16"/>
    <x v="37"/>
    <x v="9"/>
    <s v="Sales General &amp; Administration "/>
    <x v="39"/>
    <n v="19613"/>
    <s v=""/>
    <n v="19613"/>
  </r>
  <r>
    <s v="2026-05-29"/>
    <x v="16"/>
    <x v="13"/>
    <x v="2"/>
    <s v="Operational Cost"/>
    <x v="14"/>
    <n v="4650"/>
    <s v=""/>
    <n v="4650"/>
  </r>
  <r>
    <s v="2026-05-29"/>
    <x v="16"/>
    <x v="11"/>
    <x v="6"/>
    <s v="Operational Cost"/>
    <x v="9"/>
    <n v="7500"/>
    <s v=""/>
    <n v="7500"/>
  </r>
  <r>
    <s v="2026-05-29"/>
    <x v="16"/>
    <x v="62"/>
    <x v="8"/>
    <s v="Sales General &amp; Administration "/>
    <x v="9"/>
    <n v="11745"/>
    <s v=""/>
    <n v="11745"/>
  </r>
  <r>
    <s v="2026-05-29"/>
    <x v="16"/>
    <x v="11"/>
    <x v="6"/>
    <s v="Operational Cost"/>
    <x v="9"/>
    <n v="2563"/>
    <s v=""/>
    <n v="2563"/>
  </r>
  <r>
    <s v="2026-05-29"/>
    <x v="16"/>
    <x v="11"/>
    <x v="6"/>
    <s v="Operational Cost"/>
    <x v="9"/>
    <n v="327"/>
    <s v=""/>
    <n v="327"/>
  </r>
  <r>
    <s v="2026-05-29"/>
    <x v="16"/>
    <x v="8"/>
    <x v="5"/>
    <s v="Indirect Income"/>
    <x v="7"/>
    <s v=""/>
    <n v="184269.28"/>
    <n v="-184269.28"/>
  </r>
  <r>
    <s v="2026-05-29"/>
    <x v="16"/>
    <x v="8"/>
    <x v="5"/>
    <s v="Indirect Income"/>
    <x v="7"/>
    <s v=""/>
    <n v="339773.72"/>
    <n v="-339773.72"/>
  </r>
  <r>
    <s v="2026-05-29"/>
    <x v="16"/>
    <x v="27"/>
    <x v="3"/>
    <s v="Sales General &amp; Administration "/>
    <x v="29"/>
    <n v="805"/>
    <s v=""/>
    <n v="805"/>
  </r>
  <r>
    <s v="2026-05-29"/>
    <x v="16"/>
    <x v="24"/>
    <x v="9"/>
    <s v="Sales General &amp; Administration "/>
    <x v="26"/>
    <n v="255946"/>
    <s v=""/>
    <n v="255946"/>
  </r>
  <r>
    <s v="2026-05-29"/>
    <x v="16"/>
    <x v="31"/>
    <x v="3"/>
    <s v="Sales General &amp; Administration "/>
    <x v="33"/>
    <n v="17520"/>
    <s v=""/>
    <n v="17520"/>
  </r>
  <r>
    <s v="2026-05-29"/>
    <x v="16"/>
    <x v="32"/>
    <x v="3"/>
    <s v="Sales General &amp; Administration "/>
    <x v="34"/>
    <n v="17520"/>
    <s v=""/>
    <n v="17520"/>
  </r>
  <r>
    <s v="2026-05-29"/>
    <x v="16"/>
    <x v="39"/>
    <x v="3"/>
    <s v="Sales General &amp; Administration "/>
    <x v="41"/>
    <n v="209"/>
    <s v=""/>
    <n v="209"/>
  </r>
  <r>
    <s v="2026-05-29"/>
    <x v="16"/>
    <x v="27"/>
    <x v="3"/>
    <s v="Sales General &amp; Administration "/>
    <x v="29"/>
    <n v="791"/>
    <s v=""/>
    <n v="791"/>
  </r>
  <r>
    <s v="2026-05-29"/>
    <x v="16"/>
    <x v="24"/>
    <x v="9"/>
    <s v="Sales General &amp; Administration "/>
    <x v="26"/>
    <n v="250992"/>
    <s v=""/>
    <n v="250992"/>
  </r>
  <r>
    <s v="2026-05-29"/>
    <x v="16"/>
    <x v="31"/>
    <x v="3"/>
    <s v="Sales General &amp; Administration "/>
    <x v="33"/>
    <n v="17181"/>
    <s v=""/>
    <n v="17181"/>
  </r>
  <r>
    <s v="2026-05-29"/>
    <x v="16"/>
    <x v="32"/>
    <x v="3"/>
    <s v="Sales General &amp; Administration "/>
    <x v="34"/>
    <n v="17181"/>
    <s v=""/>
    <n v="17181"/>
  </r>
  <r>
    <s v="2026-05-29"/>
    <x v="16"/>
    <x v="39"/>
    <x v="3"/>
    <s v="Sales General &amp; Administration "/>
    <x v="41"/>
    <n v="209"/>
    <s v=""/>
    <n v="209"/>
  </r>
  <r>
    <s v="2026-05-29"/>
    <x v="16"/>
    <x v="27"/>
    <x v="3"/>
    <s v="Sales General &amp; Administration "/>
    <x v="29"/>
    <n v="34642"/>
    <s v=""/>
    <n v="34642"/>
  </r>
  <r>
    <s v="2026-05-29"/>
    <x v="16"/>
    <x v="28"/>
    <x v="3"/>
    <s v="Sales General &amp; Administration "/>
    <x v="30"/>
    <n v="268211"/>
    <s v=""/>
    <n v="268211"/>
  </r>
  <r>
    <s v="2026-05-29"/>
    <x v="16"/>
    <x v="29"/>
    <x v="7"/>
    <s v="Operational Cost"/>
    <x v="31"/>
    <n v="5470829"/>
    <s v=""/>
    <n v="5470829"/>
  </r>
  <r>
    <s v="2026-05-29"/>
    <x v="16"/>
    <x v="30"/>
    <x v="7"/>
    <s v="Operational Cost"/>
    <x v="32"/>
    <n v="3335558"/>
    <s v=""/>
    <n v="3335558"/>
  </r>
  <r>
    <s v="2026-05-29"/>
    <x v="16"/>
    <x v="31"/>
    <x v="3"/>
    <s v="Sales General &amp; Administration "/>
    <x v="33"/>
    <n v="416285.5"/>
    <s v=""/>
    <n v="416285.5"/>
  </r>
  <r>
    <s v="2026-05-29"/>
    <x v="16"/>
    <x v="32"/>
    <x v="3"/>
    <s v="Sales General &amp; Administration "/>
    <x v="34"/>
    <n v="416285.5"/>
    <s v=""/>
    <n v="416285.5"/>
  </r>
  <r>
    <s v="2026-05-29"/>
    <x v="16"/>
    <x v="33"/>
    <x v="3"/>
    <s v="Sales General &amp; Administration "/>
    <x v="35"/>
    <n v="28238"/>
    <s v=""/>
    <n v="28238"/>
  </r>
  <r>
    <s v="2026-05-29"/>
    <x v="16"/>
    <x v="34"/>
    <x v="3"/>
    <s v="Sales General &amp; Administration "/>
    <x v="36"/>
    <n v="6545"/>
    <s v=""/>
    <n v="6545"/>
  </r>
  <r>
    <s v="2026-05-29"/>
    <x v="16"/>
    <x v="35"/>
    <x v="10"/>
    <s v="Sales General &amp; Administration "/>
    <x v="37"/>
    <n v="104048"/>
    <s v=""/>
    <n v="104048"/>
  </r>
  <r>
    <s v="2026-05-29"/>
    <x v="16"/>
    <x v="36"/>
    <x v="9"/>
    <s v="Sales General &amp; Administration "/>
    <x v="38"/>
    <n v="53341"/>
    <s v=""/>
    <n v="53341"/>
  </r>
  <r>
    <s v="2026-05-29"/>
    <x v="16"/>
    <x v="37"/>
    <x v="9"/>
    <s v="Sales General &amp; Administration "/>
    <x v="39"/>
    <n v="46648"/>
    <s v=""/>
    <n v="46648"/>
  </r>
  <r>
    <s v="2026-05-29"/>
    <x v="16"/>
    <x v="38"/>
    <x v="9"/>
    <s v="Sales General &amp; Administration "/>
    <x v="40"/>
    <n v="73941"/>
    <s v=""/>
    <n v="73941"/>
  </r>
  <r>
    <s v="2026-05-29"/>
    <x v="16"/>
    <x v="39"/>
    <x v="3"/>
    <s v="Sales General &amp; Administration "/>
    <x v="41"/>
    <n v="56420"/>
    <s v=""/>
    <n v="56420"/>
  </r>
  <r>
    <s v="2026-05-30"/>
    <x v="16"/>
    <x v="14"/>
    <x v="3"/>
    <s v="Sales General &amp; Administration "/>
    <x v="98"/>
    <n v="250"/>
    <s v=""/>
    <n v="250"/>
  </r>
  <r>
    <s v="2026-05-30"/>
    <x v="16"/>
    <x v="14"/>
    <x v="3"/>
    <s v="Sales General &amp; Administration "/>
    <x v="98"/>
    <n v="205"/>
    <s v=""/>
    <n v="205"/>
  </r>
  <r>
    <s v="2026-05-30"/>
    <x v="16"/>
    <x v="21"/>
    <x v="0"/>
    <s v="Operational Cost"/>
    <x v="20"/>
    <n v="11040"/>
    <s v=""/>
    <n v="11040"/>
  </r>
  <r>
    <s v="2026-05-30"/>
    <x v="16"/>
    <x v="21"/>
    <x v="0"/>
    <s v="Operational Cost"/>
    <x v="20"/>
    <n v="44755.01"/>
    <s v=""/>
    <n v="44755.01"/>
  </r>
  <r>
    <s v="2026-05-30"/>
    <x v="16"/>
    <x v="21"/>
    <x v="0"/>
    <s v="Operational Cost"/>
    <x v="20"/>
    <n v="127193.08"/>
    <s v=""/>
    <n v="127193.08"/>
  </r>
  <r>
    <s v="2026-05-30"/>
    <x v="16"/>
    <x v="14"/>
    <x v="3"/>
    <s v="Sales General &amp; Administration "/>
    <x v="98"/>
    <n v="190"/>
    <s v=""/>
    <n v="190"/>
  </r>
  <r>
    <s v="2026-05-31"/>
    <x v="16"/>
    <x v="58"/>
    <x v="3"/>
    <s v="Sales General &amp; Administration "/>
    <x v="122"/>
    <n v="210"/>
    <s v=""/>
    <n v="210"/>
  </r>
  <r>
    <s v="2026-05-31"/>
    <x v="16"/>
    <x v="14"/>
    <x v="3"/>
    <s v="Sales General &amp; Administration "/>
    <x v="98"/>
    <n v="166"/>
    <s v=""/>
    <n v="166"/>
  </r>
  <r>
    <s v="2026-05-31"/>
    <x v="16"/>
    <x v="14"/>
    <x v="3"/>
    <s v="Sales General &amp; Administration "/>
    <x v="98"/>
    <n v="245"/>
    <s v=""/>
    <n v="245"/>
  </r>
  <r>
    <s v="2026-05-31"/>
    <x v="16"/>
    <x v="26"/>
    <x v="3"/>
    <s v="Sales General &amp; Administration "/>
    <x v="107"/>
    <n v="32000"/>
    <s v=""/>
    <n v="32000"/>
  </r>
  <r>
    <s v="2026-05-31"/>
    <x v="16"/>
    <x v="26"/>
    <x v="3"/>
    <s v="Sales General &amp; Administration "/>
    <x v="92"/>
    <n v="14000"/>
    <s v=""/>
    <n v="14000"/>
  </r>
  <r>
    <s v="2026-05-31"/>
    <x v="16"/>
    <x v="6"/>
    <x v="4"/>
    <s v="Operational Cost"/>
    <x v="104"/>
    <n v="78650"/>
    <s v=""/>
    <n v="78650"/>
  </r>
  <r>
    <s v="2026-05-31"/>
    <x v="16"/>
    <x v="7"/>
    <x v="3"/>
    <s v="Sales General &amp; Administration "/>
    <x v="42"/>
    <n v="4000"/>
    <s v=""/>
    <n v="4000"/>
  </r>
  <r>
    <s v="2026-05-31"/>
    <x v="16"/>
    <x v="11"/>
    <x v="6"/>
    <s v="Operational Cost"/>
    <x v="45"/>
    <n v="16000"/>
    <s v=""/>
    <n v="1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97947-3067-419C-9763-365327DE7E25}" name="PivotTable5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3:S321" firstHeaderRow="1" firstDataRow="2" firstDataCol="1"/>
  <pivotFields count="12">
    <pivotField showAll="0"/>
    <pivotField axis="axisCol" numFmtId="15" showAll="0">
      <items count="18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t="default"/>
      </items>
    </pivotField>
    <pivotField axis="axisRow" showAll="0">
      <items count="28">
        <item x="0"/>
        <item x="2"/>
        <item x="26"/>
        <item x="4"/>
        <item x="5"/>
        <item x="6"/>
        <item x="25"/>
        <item x="8"/>
        <item x="12"/>
        <item x="15"/>
        <item x="16"/>
        <item x="17"/>
        <item x="18"/>
        <item x="20"/>
        <item x="22"/>
        <item x="23"/>
        <item x="24"/>
        <item x="21"/>
        <item x="11"/>
        <item x="9"/>
        <item x="19"/>
        <item x="1"/>
        <item x="13"/>
        <item x="14"/>
        <item x="7"/>
        <item x="10"/>
        <item x="3"/>
        <item t="default"/>
      </items>
    </pivotField>
    <pivotField axis="axisRow" showAll="0">
      <items count="10">
        <item x="8"/>
        <item x="6"/>
        <item x="3"/>
        <item x="5"/>
        <item x="1"/>
        <item x="0"/>
        <item x="4"/>
        <item x="7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255">
        <item x="31"/>
        <item x="19"/>
        <item x="175"/>
        <item x="167"/>
        <item x="29"/>
        <item x="189"/>
        <item x="2"/>
        <item x="41"/>
        <item x="22"/>
        <item x="21"/>
        <item x="40"/>
        <item x="7"/>
        <item x="166"/>
        <item x="11"/>
        <item x="174"/>
        <item x="168"/>
        <item x="225"/>
        <item x="52"/>
        <item x="23"/>
        <item x="51"/>
        <item x="182"/>
        <item x="36"/>
        <item x="219"/>
        <item x="73"/>
        <item x="201"/>
        <item x="214"/>
        <item x="171"/>
        <item x="163"/>
        <item x="191"/>
        <item x="215"/>
        <item x="30"/>
        <item x="179"/>
        <item x="28"/>
        <item x="190"/>
        <item x="177"/>
        <item x="176"/>
        <item x="110"/>
        <item x="185"/>
        <item x="115"/>
        <item x="54"/>
        <item x="35"/>
        <item x="55"/>
        <item x="197"/>
        <item x="91"/>
        <item x="95"/>
        <item x="134"/>
        <item x="198"/>
        <item x="84"/>
        <item x="228"/>
        <item x="44"/>
        <item x="186"/>
        <item x="39"/>
        <item x="20"/>
        <item x="65"/>
        <item x="188"/>
        <item x="206"/>
        <item x="6"/>
        <item x="187"/>
        <item x="45"/>
        <item x="46"/>
        <item x="5"/>
        <item x="193"/>
        <item x="24"/>
        <item x="68"/>
        <item x="69"/>
        <item x="194"/>
        <item x="195"/>
        <item x="75"/>
        <item x="66"/>
        <item x="0"/>
        <item x="192"/>
        <item x="37"/>
        <item x="213"/>
        <item x="77"/>
        <item x="199"/>
        <item x="200"/>
        <item x="80"/>
        <item x="170"/>
        <item x="85"/>
        <item x="82"/>
        <item x="87"/>
        <item x="38"/>
        <item x="25"/>
        <item x="88"/>
        <item x="159"/>
        <item x="90"/>
        <item x="26"/>
        <item x="92"/>
        <item x="93"/>
        <item x="96"/>
        <item x="202"/>
        <item x="97"/>
        <item x="98"/>
        <item x="83"/>
        <item x="203"/>
        <item x="47"/>
        <item x="89"/>
        <item x="178"/>
        <item x="204"/>
        <item x="27"/>
        <item x="56"/>
        <item x="102"/>
        <item x="1"/>
        <item x="205"/>
        <item x="8"/>
        <item x="9"/>
        <item x="10"/>
        <item m="1" x="253"/>
        <item x="57"/>
        <item x="3"/>
        <item x="53"/>
        <item x="152"/>
        <item x="153"/>
        <item x="172"/>
        <item x="12"/>
        <item x="58"/>
        <item x="104"/>
        <item x="105"/>
        <item x="180"/>
        <item x="181"/>
        <item x="48"/>
        <item x="50"/>
        <item x="64"/>
        <item x="154"/>
        <item x="155"/>
        <item x="156"/>
        <item x="157"/>
        <item x="173"/>
        <item x="109"/>
        <item x="111"/>
        <item x="112"/>
        <item x="43"/>
        <item x="116"/>
        <item x="117"/>
        <item x="118"/>
        <item x="119"/>
        <item x="120"/>
        <item x="121"/>
        <item x="122"/>
        <item x="126"/>
        <item x="127"/>
        <item x="128"/>
        <item x="106"/>
        <item x="59"/>
        <item x="207"/>
        <item x="208"/>
        <item x="209"/>
        <item x="210"/>
        <item x="211"/>
        <item x="212"/>
        <item x="160"/>
        <item x="161"/>
        <item x="42"/>
        <item x="13"/>
        <item x="14"/>
        <item x="15"/>
        <item x="183"/>
        <item x="32"/>
        <item x="33"/>
        <item x="49"/>
        <item x="132"/>
        <item x="133"/>
        <item x="135"/>
        <item x="162"/>
        <item x="60"/>
        <item x="61"/>
        <item x="16"/>
        <item x="17"/>
        <item x="184"/>
        <item x="34"/>
        <item x="158"/>
        <item x="216"/>
        <item x="217"/>
        <item x="138"/>
        <item x="139"/>
        <item x="140"/>
        <item x="141"/>
        <item x="142"/>
        <item x="143"/>
        <item x="164"/>
        <item x="18"/>
        <item x="149"/>
        <item x="150"/>
        <item x="151"/>
        <item x="165"/>
        <item x="4"/>
        <item x="62"/>
        <item x="63"/>
        <item x="67"/>
        <item x="70"/>
        <item x="71"/>
        <item x="72"/>
        <item x="74"/>
        <item x="76"/>
        <item x="78"/>
        <item x="79"/>
        <item x="81"/>
        <item x="86"/>
        <item x="94"/>
        <item x="99"/>
        <item x="100"/>
        <item x="101"/>
        <item x="103"/>
        <item x="107"/>
        <item x="108"/>
        <item x="113"/>
        <item x="114"/>
        <item x="123"/>
        <item x="124"/>
        <item x="125"/>
        <item x="129"/>
        <item x="130"/>
        <item x="131"/>
        <item x="136"/>
        <item x="137"/>
        <item x="144"/>
        <item x="145"/>
        <item x="146"/>
        <item x="147"/>
        <item x="148"/>
        <item x="169"/>
        <item x="196"/>
        <item x="218"/>
        <item x="220"/>
        <item x="221"/>
        <item x="222"/>
        <item x="223"/>
        <item x="224"/>
        <item x="226"/>
        <item x="227"/>
        <item x="229"/>
        <item x="230"/>
        <item x="231"/>
        <item x="235"/>
        <item x="236"/>
        <item x="241"/>
        <item x="240"/>
        <item x="232"/>
        <item x="239"/>
        <item x="242"/>
        <item x="243"/>
        <item x="246"/>
        <item x="247"/>
        <item x="233"/>
        <item x="234"/>
        <item x="237"/>
        <item x="248"/>
        <item x="238"/>
        <item x="244"/>
        <item x="245"/>
        <item x="249"/>
        <item x="250"/>
        <item x="251"/>
        <item x="252"/>
        <item t="default"/>
      </items>
    </pivotField>
    <pivotField showAll="0"/>
    <pivotField showAll="0"/>
    <pivotField dataField="1" showAll="0"/>
    <pivotField showAll="0">
      <items count="15">
        <item sd="0" x="0"/>
        <item sd="0" x="5"/>
        <item sd="0" x="6"/>
        <item sd="0" x="7"/>
        <item sd="0" x="8"/>
        <item sd="0" x="9"/>
        <item sd="0" x="10"/>
        <item sd="0" x="11"/>
        <item sd="0" x="12"/>
        <item sd="0" x="1"/>
        <item sd="0" x="2"/>
        <item sd="0" x="3"/>
        <item sd="0" x="4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2"/>
        <item x="0"/>
        <item x="3"/>
        <item t="default"/>
      </items>
    </pivotField>
  </pivotFields>
  <rowFields count="4">
    <field x="4"/>
    <field x="3"/>
    <field x="2"/>
    <field x="5"/>
  </rowFields>
  <rowItems count="317">
    <i>
      <x/>
    </i>
    <i r="1">
      <x/>
    </i>
    <i r="2">
      <x v="2"/>
    </i>
    <i r="3">
      <x v="159"/>
    </i>
    <i r="1">
      <x v="1"/>
    </i>
    <i r="2">
      <x v="20"/>
    </i>
    <i r="3">
      <x v="106"/>
    </i>
    <i r="1">
      <x v="2"/>
    </i>
    <i r="2">
      <x v="3"/>
    </i>
    <i r="3">
      <x/>
    </i>
    <i r="3">
      <x v="1"/>
    </i>
    <i r="3">
      <x v="4"/>
    </i>
    <i r="3">
      <x v="8"/>
    </i>
    <i r="3">
      <x v="9"/>
    </i>
    <i r="3">
      <x v="18"/>
    </i>
    <i r="3">
      <x v="30"/>
    </i>
    <i r="3">
      <x v="32"/>
    </i>
    <i r="3">
      <x v="52"/>
    </i>
    <i r="3">
      <x v="62"/>
    </i>
    <i r="3">
      <x v="82"/>
    </i>
    <i r="3">
      <x v="86"/>
    </i>
    <i r="3">
      <x v="99"/>
    </i>
    <i r="3">
      <x v="157"/>
    </i>
    <i r="3">
      <x v="158"/>
    </i>
    <i r="3">
      <x v="169"/>
    </i>
    <i r="2">
      <x v="7"/>
    </i>
    <i r="3">
      <x v="17"/>
    </i>
    <i r="3">
      <x v="19"/>
    </i>
    <i r="3">
      <x v="39"/>
    </i>
    <i r="3">
      <x v="110"/>
    </i>
    <i r="2">
      <x v="14"/>
    </i>
    <i r="3">
      <x v="37"/>
    </i>
    <i r="3">
      <x v="50"/>
    </i>
    <i r="1">
      <x v="7"/>
    </i>
    <i r="2">
      <x v="13"/>
    </i>
    <i r="3">
      <x v="2"/>
    </i>
    <i r="3">
      <x v="4"/>
    </i>
    <i r="3">
      <x v="12"/>
    </i>
    <i r="3">
      <x v="14"/>
    </i>
    <i r="3">
      <x v="15"/>
    </i>
    <i r="3">
      <x v="20"/>
    </i>
    <i r="3">
      <x v="31"/>
    </i>
    <i r="3">
      <x v="32"/>
    </i>
    <i r="3">
      <x v="34"/>
    </i>
    <i r="3">
      <x v="35"/>
    </i>
    <i r="3">
      <x v="97"/>
    </i>
    <i r="3">
      <x v="110"/>
    </i>
    <i r="3">
      <x v="118"/>
    </i>
    <i r="3">
      <x v="119"/>
    </i>
    <i r="3">
      <x v="156"/>
    </i>
    <i r="3">
      <x v="168"/>
    </i>
    <i r="3">
      <x v="236"/>
    </i>
    <i r="3">
      <x v="238"/>
    </i>
    <i r="3">
      <x v="250"/>
    </i>
    <i r="3">
      <x v="251"/>
    </i>
    <i r="1">
      <x v="8"/>
    </i>
    <i r="2">
      <x v="1"/>
    </i>
    <i r="3">
      <x v="11"/>
    </i>
    <i r="3">
      <x v="56"/>
    </i>
    <i r="3">
      <x v="60"/>
    </i>
    <i r="3">
      <x v="104"/>
    </i>
    <i r="3">
      <x v="106"/>
    </i>
    <i r="3">
      <x v="114"/>
    </i>
    <i r="3">
      <x v="153"/>
    </i>
    <i r="3">
      <x v="154"/>
    </i>
    <i r="3">
      <x v="166"/>
    </i>
    <i r="3">
      <x v="167"/>
    </i>
    <i r="3">
      <x v="180"/>
    </i>
    <i r="3">
      <x v="232"/>
    </i>
    <i r="3">
      <x v="237"/>
    </i>
    <i>
      <x v="1"/>
    </i>
    <i r="1">
      <x v="3"/>
    </i>
    <i r="2">
      <x v="10"/>
    </i>
    <i r="3">
      <x v="186"/>
    </i>
    <i r="2">
      <x v="18"/>
    </i>
    <i r="3">
      <x v="186"/>
    </i>
    <i r="1">
      <x v="4"/>
    </i>
    <i r="2">
      <x v="4"/>
    </i>
    <i r="3">
      <x v="7"/>
    </i>
    <i r="3">
      <x v="10"/>
    </i>
    <i r="3">
      <x v="21"/>
    </i>
    <i r="3">
      <x v="40"/>
    </i>
    <i r="3">
      <x v="51"/>
    </i>
    <i r="3">
      <x v="71"/>
    </i>
    <i r="3">
      <x v="81"/>
    </i>
    <i r="3">
      <x v="131"/>
    </i>
    <i r="3">
      <x v="152"/>
    </i>
    <i r="2">
      <x v="5"/>
    </i>
    <i r="3">
      <x v="49"/>
    </i>
    <i r="3">
      <x v="58"/>
    </i>
    <i r="3">
      <x v="59"/>
    </i>
    <i r="3">
      <x v="95"/>
    </i>
    <i r="3">
      <x v="120"/>
    </i>
    <i r="3">
      <x v="121"/>
    </i>
    <i r="3">
      <x v="159"/>
    </i>
    <i r="2">
      <x v="8"/>
    </i>
    <i r="3">
      <x v="16"/>
    </i>
    <i r="3">
      <x v="23"/>
    </i>
    <i r="3">
      <x v="36"/>
    </i>
    <i r="3">
      <x v="38"/>
    </i>
    <i r="3">
      <x v="43"/>
    </i>
    <i r="3">
      <x v="44"/>
    </i>
    <i r="3">
      <x v="45"/>
    </i>
    <i r="3">
      <x v="47"/>
    </i>
    <i r="3">
      <x v="53"/>
    </i>
    <i r="3">
      <x v="63"/>
    </i>
    <i r="3">
      <x v="64"/>
    </i>
    <i r="3">
      <x v="67"/>
    </i>
    <i r="3">
      <x v="68"/>
    </i>
    <i r="3">
      <x v="73"/>
    </i>
    <i r="3">
      <x v="76"/>
    </i>
    <i r="3">
      <x v="78"/>
    </i>
    <i r="3">
      <x v="79"/>
    </i>
    <i r="3">
      <x v="80"/>
    </i>
    <i r="3">
      <x v="82"/>
    </i>
    <i r="3">
      <x v="83"/>
    </i>
    <i r="3">
      <x v="85"/>
    </i>
    <i r="3">
      <x v="87"/>
    </i>
    <i r="3">
      <x v="88"/>
    </i>
    <i r="3">
      <x v="89"/>
    </i>
    <i r="3">
      <x v="91"/>
    </i>
    <i r="3">
      <x v="92"/>
    </i>
    <i r="3">
      <x v="93"/>
    </i>
    <i r="3">
      <x v="96"/>
    </i>
    <i r="3">
      <x v="101"/>
    </i>
    <i r="3">
      <x v="116"/>
    </i>
    <i r="3">
      <x v="117"/>
    </i>
    <i r="3">
      <x v="121"/>
    </i>
    <i r="3">
      <x v="122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3">
      <x v="160"/>
    </i>
    <i r="3">
      <x v="161"/>
    </i>
    <i r="3">
      <x v="162"/>
    </i>
    <i r="3">
      <x v="173"/>
    </i>
    <i r="3">
      <x v="174"/>
    </i>
    <i r="3">
      <x v="175"/>
    </i>
    <i r="3">
      <x v="176"/>
    </i>
    <i r="3">
      <x v="177"/>
    </i>
    <i r="3">
      <x v="178"/>
    </i>
    <i r="3">
      <x v="181"/>
    </i>
    <i r="3">
      <x v="182"/>
    </i>
    <i r="3">
      <x v="183"/>
    </i>
    <i r="3">
      <x v="187"/>
    </i>
    <i r="3">
      <x v="188"/>
    </i>
    <i r="3">
      <x v="189"/>
    </i>
    <i r="3">
      <x v="190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3">
      <x v="203"/>
    </i>
    <i r="3">
      <x v="204"/>
    </i>
    <i r="3">
      <x v="205"/>
    </i>
    <i r="3">
      <x v="206"/>
    </i>
    <i r="3">
      <x v="207"/>
    </i>
    <i r="3">
      <x v="208"/>
    </i>
    <i r="3">
      <x v="209"/>
    </i>
    <i r="3">
      <x v="210"/>
    </i>
    <i r="3">
      <x v="211"/>
    </i>
    <i r="3">
      <x v="212"/>
    </i>
    <i r="3">
      <x v="213"/>
    </i>
    <i r="3">
      <x v="214"/>
    </i>
    <i r="3">
      <x v="215"/>
    </i>
    <i r="3">
      <x v="216"/>
    </i>
    <i r="3">
      <x v="217"/>
    </i>
    <i r="3">
      <x v="218"/>
    </i>
    <i r="3">
      <x v="219"/>
    </i>
    <i r="3">
      <x v="225"/>
    </i>
    <i r="3">
      <x v="226"/>
    </i>
    <i r="3">
      <x v="227"/>
    </i>
    <i r="3">
      <x v="233"/>
    </i>
    <i r="3">
      <x v="234"/>
    </i>
    <i r="3">
      <x v="238"/>
    </i>
    <i r="3">
      <x v="243"/>
    </i>
    <i r="3">
      <x v="244"/>
    </i>
    <i r="3">
      <x v="245"/>
    </i>
    <i r="3">
      <x v="246"/>
    </i>
    <i r="2">
      <x v="9"/>
    </i>
    <i r="3">
      <x v="186"/>
    </i>
    <i r="2">
      <x v="11"/>
    </i>
    <i r="3">
      <x v="27"/>
    </i>
    <i r="3">
      <x v="179"/>
    </i>
    <i r="2">
      <x v="12"/>
    </i>
    <i r="3">
      <x v="6"/>
    </i>
    <i r="3">
      <x v="184"/>
    </i>
    <i r="3">
      <x v="247"/>
    </i>
    <i r="2">
      <x v="15"/>
    </i>
    <i r="3">
      <x v="5"/>
    </i>
    <i r="3">
      <x v="54"/>
    </i>
    <i r="3">
      <x v="57"/>
    </i>
    <i r="2">
      <x v="19"/>
    </i>
    <i r="3">
      <x v="41"/>
    </i>
    <i r="3">
      <x v="100"/>
    </i>
    <i r="3">
      <x v="108"/>
    </i>
    <i r="3">
      <x v="115"/>
    </i>
    <i r="3">
      <x v="143"/>
    </i>
    <i r="3">
      <x v="241"/>
    </i>
    <i r="3">
      <x v="242"/>
    </i>
    <i r="2">
      <x v="21"/>
    </i>
    <i r="3">
      <x v="6"/>
    </i>
    <i r="2">
      <x v="22"/>
    </i>
    <i r="3">
      <x v="73"/>
    </i>
    <i r="3">
      <x v="111"/>
    </i>
    <i r="3">
      <x v="112"/>
    </i>
    <i r="3">
      <x v="122"/>
    </i>
    <i r="3">
      <x v="123"/>
    </i>
    <i r="3">
      <x v="124"/>
    </i>
    <i r="3">
      <x v="125"/>
    </i>
    <i r="3">
      <x v="126"/>
    </i>
    <i r="3">
      <x v="170"/>
    </i>
    <i r="3">
      <x v="195"/>
    </i>
    <i r="3">
      <x v="228"/>
    </i>
    <i r="3">
      <x v="229"/>
    </i>
    <i r="2">
      <x v="23"/>
    </i>
    <i r="3">
      <x v="84"/>
    </i>
    <i r="3">
      <x v="131"/>
    </i>
    <i r="3">
      <x v="150"/>
    </i>
    <i r="3">
      <x v="151"/>
    </i>
    <i r="3">
      <x v="163"/>
    </i>
    <i r="2">
      <x v="26"/>
    </i>
    <i r="3">
      <x v="13"/>
    </i>
    <i r="3">
      <x v="105"/>
    </i>
    <i r="3">
      <x v="155"/>
    </i>
    <i r="1">
      <x v="6"/>
    </i>
    <i r="2">
      <x v="16"/>
    </i>
    <i r="3">
      <x v="6"/>
    </i>
    <i r="3">
      <x v="22"/>
    </i>
    <i r="3">
      <x v="24"/>
    </i>
    <i r="3">
      <x v="25"/>
    </i>
    <i r="3">
      <x v="28"/>
    </i>
    <i r="3">
      <x v="29"/>
    </i>
    <i r="3">
      <x v="33"/>
    </i>
    <i r="3">
      <x v="40"/>
    </i>
    <i r="3">
      <x v="42"/>
    </i>
    <i r="3">
      <x v="46"/>
    </i>
    <i r="3">
      <x v="48"/>
    </i>
    <i r="3">
      <x v="55"/>
    </i>
    <i r="3">
      <x v="61"/>
    </i>
    <i r="3">
      <x v="65"/>
    </i>
    <i r="3">
      <x v="66"/>
    </i>
    <i r="3">
      <x v="70"/>
    </i>
    <i r="3">
      <x v="72"/>
    </i>
    <i r="3">
      <x v="74"/>
    </i>
    <i r="3">
      <x v="75"/>
    </i>
    <i r="3">
      <x v="84"/>
    </i>
    <i r="3">
      <x v="90"/>
    </i>
    <i r="3">
      <x v="94"/>
    </i>
    <i r="3">
      <x v="98"/>
    </i>
    <i r="3">
      <x v="103"/>
    </i>
    <i r="3">
      <x v="144"/>
    </i>
    <i r="3">
      <x v="145"/>
    </i>
    <i r="3">
      <x v="146"/>
    </i>
    <i r="3">
      <x v="147"/>
    </i>
    <i r="3">
      <x v="148"/>
    </i>
    <i r="3">
      <x v="149"/>
    </i>
    <i r="3">
      <x v="171"/>
    </i>
    <i r="3">
      <x v="172"/>
    </i>
    <i r="3">
      <x v="221"/>
    </i>
    <i r="3">
      <x v="222"/>
    </i>
    <i r="3">
      <x v="223"/>
    </i>
    <i r="3">
      <x v="224"/>
    </i>
    <i r="3">
      <x v="230"/>
    </i>
    <i r="3">
      <x v="231"/>
    </i>
    <i r="3">
      <x v="233"/>
    </i>
    <i r="3">
      <x v="235"/>
    </i>
    <i r="3">
      <x v="239"/>
    </i>
    <i r="3">
      <x v="240"/>
    </i>
    <i r="3">
      <x v="248"/>
    </i>
    <i r="3">
      <x v="252"/>
    </i>
    <i r="3">
      <x v="253"/>
    </i>
    <i r="2">
      <x v="17"/>
    </i>
    <i r="3">
      <x v="3"/>
    </i>
    <i r="3">
      <x v="26"/>
    </i>
    <i r="3">
      <x v="77"/>
    </i>
    <i r="3">
      <x v="113"/>
    </i>
    <i r="3">
      <x v="127"/>
    </i>
    <i r="3">
      <x v="220"/>
    </i>
    <i r="2">
      <x v="25"/>
    </i>
    <i r="3">
      <x v="164"/>
    </i>
    <i r="3">
      <x v="165"/>
    </i>
    <i>
      <x v="2"/>
    </i>
    <i r="1">
      <x v="5"/>
    </i>
    <i r="2">
      <x/>
    </i>
    <i r="3">
      <x v="6"/>
    </i>
    <i r="3">
      <x v="69"/>
    </i>
    <i r="3">
      <x v="99"/>
    </i>
    <i r="3">
      <x v="102"/>
    </i>
    <i r="3">
      <x v="109"/>
    </i>
    <i r="3">
      <x v="185"/>
    </i>
    <i r="3">
      <x v="249"/>
    </i>
    <i r="2">
      <x v="6"/>
    </i>
    <i r="3">
      <x v="6"/>
    </i>
    <i r="2">
      <x v="24"/>
    </i>
    <i r="3">
      <x v="6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colItems>
  <dataFields count="1">
    <dataField name="Sum of Amount" fld="8" baseField="0" baseItem="0" numFmtId="165"/>
  </dataFields>
  <formats count="90">
    <format dxfId="240">
      <pivotArea type="all" dataOnly="0" outline="0" fieldPosition="0"/>
    </format>
    <format dxfId="239">
      <pivotArea outline="0" collapsedLevelsAreSubtotals="1" fieldPosition="0"/>
    </format>
    <format dxfId="238">
      <pivotArea type="origin" dataOnly="0" labelOnly="1" outline="0" fieldPosition="0"/>
    </format>
    <format dxfId="237">
      <pivotArea field="1" type="button" dataOnly="0" labelOnly="1" outline="0" axis="axisCol" fieldPosition="0"/>
    </format>
    <format dxfId="236">
      <pivotArea type="topRight" dataOnly="0" labelOnly="1" outline="0" fieldPosition="0"/>
    </format>
    <format dxfId="235">
      <pivotArea field="4" type="button" dataOnly="0" labelOnly="1" outline="0" axis="axisRow" fieldPosition="0"/>
    </format>
    <format dxfId="234">
      <pivotArea dataOnly="0" labelOnly="1" grandRow="1" outline="0" fieldPosition="0"/>
    </format>
    <format dxfId="233">
      <pivotArea dataOnly="0" labelOnly="1" grandCol="1" outline="0" fieldPosition="0"/>
    </format>
    <format dxfId="232">
      <pivotArea collapsedLevelsAreSubtotals="1" fieldPosition="0">
        <references count="2">
          <reference field="3" count="1">
            <x v="0"/>
          </reference>
          <reference field="4" count="1" selected="0">
            <x v="0"/>
          </reference>
        </references>
      </pivotArea>
    </format>
    <format dxfId="231">
      <pivotArea collapsedLevelsAreSubtotals="1" fieldPosition="0">
        <references count="3">
          <reference field="2" count="1">
            <x v="2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230">
      <pivotArea dataOnly="0" labelOnly="1" fieldPosition="0">
        <references count="2">
          <reference field="3" count="1">
            <x v="0"/>
          </reference>
          <reference field="4" count="1" selected="0">
            <x v="0"/>
          </reference>
        </references>
      </pivotArea>
    </format>
    <format dxfId="229">
      <pivotArea dataOnly="0" labelOnly="1" fieldPosition="0">
        <references count="3">
          <reference field="2" count="1">
            <x v="2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228">
      <pivotArea type="all" dataOnly="0" outline="0" fieldPosition="0"/>
    </format>
    <format dxfId="227">
      <pivotArea outline="0" collapsedLevelsAreSubtotals="1" fieldPosition="0"/>
    </format>
    <format dxfId="226">
      <pivotArea type="origin" dataOnly="0" labelOnly="1" outline="0" fieldPosition="0"/>
    </format>
    <format dxfId="225">
      <pivotArea field="1" type="button" dataOnly="0" labelOnly="1" outline="0" axis="axisCol" fieldPosition="0"/>
    </format>
    <format dxfId="224">
      <pivotArea type="topRight" dataOnly="0" labelOnly="1" outline="0" fieldPosition="0"/>
    </format>
    <format dxfId="223">
      <pivotArea field="4" type="button" dataOnly="0" labelOnly="1" outline="0" axis="axisRow" fieldPosition="0"/>
    </format>
    <format dxfId="222">
      <pivotArea dataOnly="0" labelOnly="1" fieldPosition="0">
        <references count="1">
          <reference field="4" count="0"/>
        </references>
      </pivotArea>
    </format>
    <format dxfId="221">
      <pivotArea dataOnly="0" labelOnly="1" grandRow="1" outline="0" fieldPosition="0"/>
    </format>
    <format dxfId="220">
      <pivotArea dataOnly="0" labelOnly="1" fieldPosition="0">
        <references count="2">
          <reference field="3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219">
      <pivotArea dataOnly="0" labelOnly="1" fieldPosition="0">
        <references count="2">
          <reference field="3" count="4">
            <x v="3"/>
            <x v="4"/>
            <x v="5"/>
            <x v="6"/>
          </reference>
          <reference field="4" count="1" selected="0">
            <x v="1"/>
          </reference>
        </references>
      </pivotArea>
    </format>
    <format dxfId="218">
      <pivotArea dataOnly="0" labelOnly="1" fieldPosition="0">
        <references count="3">
          <reference field="2" count="1">
            <x v="2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217">
      <pivotArea dataOnly="0" labelOnly="1" fieldPosition="0">
        <references count="3">
          <reference field="2" count="4">
            <x v="3"/>
            <x v="7"/>
            <x v="13"/>
            <x v="14"/>
          </reference>
          <reference field="3" count="1" selected="0">
            <x v="2"/>
          </reference>
          <reference field="4" count="1" selected="0">
            <x v="0"/>
          </reference>
        </references>
      </pivotArea>
    </format>
    <format dxfId="216">
      <pivotArea dataOnly="0" labelOnly="1" fieldPosition="0">
        <references count="3">
          <reference field="2" count="1">
            <x v="10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215">
      <pivotArea dataOnly="0" labelOnly="1" fieldPosition="0">
        <references count="3">
          <reference field="2" count="8">
            <x v="1"/>
            <x v="4"/>
            <x v="5"/>
            <x v="8"/>
            <x v="9"/>
            <x v="11"/>
            <x v="12"/>
            <x v="15"/>
          </reference>
          <reference field="3" count="1" selected="0">
            <x v="4"/>
          </reference>
          <reference field="4" count="1" selected="0">
            <x v="1"/>
          </reference>
        </references>
      </pivotArea>
    </format>
    <format dxfId="214">
      <pivotArea dataOnly="0" labelOnly="1" fieldPosition="0">
        <references count="3">
          <reference field="2" count="2">
            <x v="0"/>
            <x v="6"/>
          </reference>
          <reference field="3" count="1" selected="0">
            <x v="5"/>
          </reference>
          <reference field="4" count="1" selected="0">
            <x v="1"/>
          </reference>
        </references>
      </pivotArea>
    </format>
    <format dxfId="213">
      <pivotArea dataOnly="0" labelOnly="1" fieldPosition="0">
        <references count="3">
          <reference field="2" count="1">
            <x v="16"/>
          </reference>
          <reference field="3" count="1" selected="0">
            <x v="6"/>
          </reference>
          <reference field="4" count="1" selected="0">
            <x v="1"/>
          </reference>
        </references>
      </pivotArea>
    </format>
    <format dxfId="212">
      <pivotArea dataOnly="0" labelOnly="1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0"/>
          </reference>
          <reference field="5" count="11">
            <x v="0"/>
            <x v="1"/>
            <x v="2"/>
            <x v="6"/>
            <x v="8"/>
            <x v="9"/>
            <x v="18"/>
            <x v="20"/>
            <x v="30"/>
            <x v="39"/>
            <x v="52"/>
          </reference>
        </references>
      </pivotArea>
    </format>
    <format dxfId="211">
      <pivotArea dataOnly="0" labelOnly="1" fieldPosition="0">
        <references count="4">
          <reference field="2" count="1" selected="0">
            <x v="7"/>
          </reference>
          <reference field="3" count="1" selected="0">
            <x v="2"/>
          </reference>
          <reference field="4" count="1" selected="0">
            <x v="0"/>
          </reference>
          <reference field="5" count="2">
            <x v="17"/>
            <x v="19"/>
          </reference>
        </references>
      </pivotArea>
    </format>
    <format dxfId="210">
      <pivotArea dataOnly="0" labelOnly="1" fieldPosition="0">
        <references count="4">
          <reference field="2" count="1" selected="0">
            <x v="13"/>
          </reference>
          <reference field="3" count="1" selected="0">
            <x v="2"/>
          </reference>
          <reference field="4" count="1" selected="0">
            <x v="0"/>
          </reference>
          <reference field="5" count="2">
            <x v="14"/>
            <x v="35"/>
          </reference>
        </references>
      </pivotArea>
    </format>
    <format dxfId="209">
      <pivotArea dataOnly="0" labelOnly="1" fieldPosition="0">
        <references count="4">
          <reference field="2" count="1" selected="0">
            <x v="14"/>
          </reference>
          <reference field="3" count="1" selected="0">
            <x v="2"/>
          </reference>
          <reference field="4" count="1" selected="0">
            <x v="0"/>
          </reference>
          <reference field="5" count="1">
            <x v="50"/>
          </reference>
        </references>
      </pivotArea>
    </format>
    <format dxfId="208">
      <pivotArea dataOnly="0" labelOnly="1" fieldPosition="0">
        <references count="4">
          <reference field="2" count="1" selected="0">
            <x v="10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207">
      <pivotArea dataOnly="0" labelOnly="1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4" count="1" selected="0">
            <x v="1"/>
          </reference>
          <reference field="5" count="1">
            <x v="13"/>
          </reference>
        </references>
      </pivotArea>
    </format>
    <format dxfId="206">
      <pivotArea dataOnly="0" labelOnly="1" fieldPosition="0">
        <references count="4">
          <reference field="2" count="1" selected="0">
            <x v="4"/>
          </reference>
          <reference field="3" count="1" selected="0">
            <x v="4"/>
          </reference>
          <reference field="4" count="1" selected="0">
            <x v="1"/>
          </reference>
          <reference field="5" count="4">
            <x v="7"/>
            <x v="21"/>
            <x v="40"/>
            <x v="51"/>
          </reference>
        </references>
      </pivotArea>
    </format>
    <format dxfId="205">
      <pivotArea dataOnly="0" labelOnly="1" fieldPosition="0">
        <references count="4">
          <reference field="2" count="1" selected="0">
            <x v="5"/>
          </reference>
          <reference field="3" count="1" selected="0">
            <x v="4"/>
          </reference>
          <reference field="4" count="1" selected="0">
            <x v="1"/>
          </reference>
          <reference field="5" count="2">
            <x v="6"/>
            <x v="49"/>
          </reference>
        </references>
      </pivotArea>
    </format>
    <format dxfId="204">
      <pivotArea dataOnly="0" labelOnly="1" fieldPosition="0">
        <references count="4">
          <reference field="2" count="1" selected="0">
            <x v="8"/>
          </reference>
          <reference field="3" count="1" selected="0">
            <x v="4"/>
          </reference>
          <reference field="4" count="1" selected="0">
            <x v="1"/>
          </reference>
          <reference field="5" count="10">
            <x v="10"/>
            <x v="16"/>
            <x v="21"/>
            <x v="23"/>
            <x v="36"/>
            <x v="38"/>
            <x v="43"/>
            <x v="44"/>
            <x v="45"/>
            <x v="47"/>
          </reference>
        </references>
      </pivotArea>
    </format>
    <format dxfId="203">
      <pivotArea dataOnly="0" labelOnly="1" fieldPosition="0">
        <references count="4">
          <reference field="2" count="1" selected="0">
            <x v="9"/>
          </reference>
          <reference field="3" count="1" selected="0">
            <x v="4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202">
      <pivotArea dataOnly="0" labelOnly="1" fieldPosition="0">
        <references count="4">
          <reference field="2" count="1" selected="0">
            <x v="11"/>
          </reference>
          <reference field="3" count="1" selected="0">
            <x v="4"/>
          </reference>
          <reference field="4" count="1" selected="0">
            <x v="1"/>
          </reference>
          <reference field="5" count="1">
            <x v="27"/>
          </reference>
        </references>
      </pivotArea>
    </format>
    <format dxfId="201">
      <pivotArea dataOnly="0" labelOnly="1" fieldPosition="0">
        <references count="4">
          <reference field="2" count="1" selected="0">
            <x v="12"/>
          </reference>
          <reference field="3" count="1" selected="0">
            <x v="4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200">
      <pivotArea dataOnly="0" labelOnly="1" fieldPosition="0">
        <references count="4">
          <reference field="2" count="1" selected="0">
            <x v="15"/>
          </reference>
          <reference field="3" count="1" selected="0">
            <x v="4"/>
          </reference>
          <reference field="4" count="1" selected="0">
            <x v="1"/>
          </reference>
          <reference field="5" count="1">
            <x v="5"/>
          </reference>
        </references>
      </pivotArea>
    </format>
    <format dxfId="199">
      <pivotArea dataOnly="0" labelOnly="1" fieldPosition="0">
        <references count="4">
          <reference field="2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198">
      <pivotArea dataOnly="0" labelOnly="1" fieldPosition="0">
        <references count="4">
          <reference field="2" count="1" selected="0">
            <x v="6"/>
          </reference>
          <reference field="3" count="1" selected="0">
            <x v="5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197">
      <pivotArea dataOnly="0" labelOnly="1" fieldPosition="0">
        <references count="4">
          <reference field="2" count="1" selected="0">
            <x v="16"/>
          </reference>
          <reference field="3" count="1" selected="0">
            <x v="6"/>
          </reference>
          <reference field="4" count="1" selected="0">
            <x v="1"/>
          </reference>
          <reference field="5" count="10">
            <x v="6"/>
            <x v="22"/>
            <x v="24"/>
            <x v="25"/>
            <x v="28"/>
            <x v="29"/>
            <x v="33"/>
            <x v="42"/>
            <x v="46"/>
            <x v="48"/>
          </reference>
        </references>
      </pivotArea>
    </format>
    <format dxfId="196">
      <pivotArea dataOnly="0" labelOnly="1" grandCol="1" outline="0" fieldPosition="0"/>
    </format>
    <format dxfId="195">
      <pivotArea collapsedLevelsAreSubtotals="1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0"/>
          </reference>
          <reference field="5" count="1">
            <x v="39"/>
          </reference>
        </references>
      </pivotArea>
    </format>
    <format dxfId="194">
      <pivotArea dataOnly="0" labelOnly="1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0"/>
          </reference>
          <reference field="5" count="1">
            <x v="39"/>
          </reference>
        </references>
      </pivotArea>
    </format>
    <format dxfId="193">
      <pivotArea outline="0" collapsedLevelsAreSubtotals="1" fieldPosition="0"/>
    </format>
    <format dxfId="192">
      <pivotArea field="1" type="button" dataOnly="0" labelOnly="1" outline="0" axis="axisCol" fieldPosition="0"/>
    </format>
    <format dxfId="191">
      <pivotArea type="topRight" dataOnly="0" labelOnly="1" outline="0" fieldPosition="0"/>
    </format>
    <format dxfId="190">
      <pivotArea dataOnly="0" labelOnly="1" grandCol="1" outline="0" fieldPosition="0"/>
    </format>
    <format dxfId="189">
      <pivotArea collapsedLevelsAreSubtotals="1" fieldPosition="0">
        <references count="1">
          <reference field="4" count="1">
            <x v="1"/>
          </reference>
        </references>
      </pivotArea>
    </format>
    <format dxfId="188">
      <pivotArea dataOnly="0" labelOnly="1" fieldPosition="0">
        <references count="1">
          <reference field="4" count="1">
            <x v="1"/>
          </reference>
        </references>
      </pivotArea>
    </format>
    <format dxfId="187">
      <pivotArea collapsedLevelsAreSubtotals="1" fieldPosition="0">
        <references count="4">
          <reference field="2" count="1" selected="0">
            <x v="14"/>
          </reference>
          <reference field="3" count="1" selected="0">
            <x v="2"/>
          </reference>
          <reference field="4" count="1" selected="0">
            <x v="0"/>
          </reference>
          <reference field="5" count="2">
            <x v="37"/>
            <x v="50"/>
          </reference>
        </references>
      </pivotArea>
    </format>
    <format dxfId="186">
      <pivotArea collapsedLevelsAreSubtotals="1" fieldPosition="0">
        <references count="2">
          <reference field="3" count="1">
            <x v="7"/>
          </reference>
          <reference field="4" count="1" selected="0">
            <x v="0"/>
          </reference>
        </references>
      </pivotArea>
    </format>
    <format dxfId="185">
      <pivotArea collapsedLevelsAreSubtotals="1" fieldPosition="0">
        <references count="3">
          <reference field="2" count="1">
            <x v="13"/>
          </reference>
          <reference field="3" count="1" selected="0">
            <x v="7"/>
          </reference>
          <reference field="4" count="1" selected="0">
            <x v="0"/>
          </reference>
        </references>
      </pivotArea>
    </format>
    <format dxfId="184">
      <pivotArea collapsedLevelsAreSubtotals="1" fieldPosition="0">
        <references count="4">
          <reference field="2" count="1" selected="0">
            <x v="13"/>
          </reference>
          <reference field="3" count="1" selected="0">
            <x v="7"/>
          </reference>
          <reference field="4" count="1" selected="0">
            <x v="0"/>
          </reference>
          <reference field="5" count="4">
            <x v="2"/>
            <x v="4"/>
            <x v="32"/>
            <x v="34"/>
          </reference>
        </references>
      </pivotArea>
    </format>
    <format dxfId="183">
      <pivotArea dataOnly="0" labelOnly="1" fieldPosition="0">
        <references count="2">
          <reference field="3" count="1">
            <x v="7"/>
          </reference>
          <reference field="4" count="1" selected="0">
            <x v="0"/>
          </reference>
        </references>
      </pivotArea>
    </format>
    <format dxfId="182">
      <pivotArea dataOnly="0" labelOnly="1" fieldPosition="0">
        <references count="3">
          <reference field="2" count="1">
            <x v="13"/>
          </reference>
          <reference field="3" count="1" selected="0">
            <x v="7"/>
          </reference>
          <reference field="4" count="1" selected="0">
            <x v="0"/>
          </reference>
        </references>
      </pivotArea>
    </format>
    <format dxfId="181">
      <pivotArea dataOnly="0" labelOnly="1" fieldPosition="0">
        <references count="4">
          <reference field="2" count="1" selected="0">
            <x v="14"/>
          </reference>
          <reference field="3" count="1" selected="0">
            <x v="2"/>
          </reference>
          <reference field="4" count="1" selected="0">
            <x v="0"/>
          </reference>
          <reference field="5" count="2">
            <x v="37"/>
            <x v="50"/>
          </reference>
        </references>
      </pivotArea>
    </format>
    <format dxfId="180">
      <pivotArea dataOnly="0" labelOnly="1" fieldPosition="0">
        <references count="4">
          <reference field="2" count="1" selected="0">
            <x v="13"/>
          </reference>
          <reference field="3" count="1" selected="0">
            <x v="7"/>
          </reference>
          <reference field="4" count="1" selected="0">
            <x v="0"/>
          </reference>
          <reference field="5" count="4">
            <x v="2"/>
            <x v="4"/>
            <x v="32"/>
            <x v="34"/>
          </reference>
        </references>
      </pivotArea>
    </format>
    <format dxfId="179">
      <pivotArea dataOnly="0" labelOnly="1" fieldPosition="0">
        <references count="1">
          <reference field="1" count="0"/>
        </references>
      </pivotArea>
    </format>
    <format dxfId="178">
      <pivotArea collapsedLevelsAreSubtotals="1" fieldPosition="0">
        <references count="2">
          <reference field="3" count="1">
            <x v="3"/>
          </reference>
          <reference field="4" count="1" selected="0">
            <x v="1"/>
          </reference>
        </references>
      </pivotArea>
    </format>
    <format dxfId="177">
      <pivotArea collapsedLevelsAreSubtotals="1" fieldPosition="0">
        <references count="3">
          <reference field="2" count="1">
            <x v="10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176">
      <pivotArea collapsedLevelsAreSubtotals="1" fieldPosition="0">
        <references count="4">
          <reference field="2" count="1" selected="0">
            <x v="10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175">
      <pivotArea collapsedLevelsAreSubtotals="1" fieldPosition="0">
        <references count="3">
          <reference field="2" count="1">
            <x v="18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174">
      <pivotArea collapsedLevelsAreSubtotals="1" fieldPosition="0">
        <references count="4">
          <reference field="2" count="1" selected="0">
            <x v="18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173">
      <pivotArea dataOnly="0" labelOnly="1" fieldPosition="0">
        <references count="2">
          <reference field="3" count="1">
            <x v="3"/>
          </reference>
          <reference field="4" count="1" selected="0">
            <x v="1"/>
          </reference>
        </references>
      </pivotArea>
    </format>
    <format dxfId="172">
      <pivotArea dataOnly="0" labelOnly="1" fieldPosition="0">
        <references count="3">
          <reference field="2" count="2">
            <x v="10"/>
            <x v="18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171">
      <pivotArea dataOnly="0" labelOnly="1" fieldPosition="0">
        <references count="4">
          <reference field="2" count="1" selected="0">
            <x v="10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170">
      <pivotArea dataOnly="0" labelOnly="1" fieldPosition="0">
        <references count="4">
          <reference field="2" count="1" selected="0">
            <x v="18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169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  <format dxfId="168">
      <pivotArea dataOnly="0" labelOnly="1" fieldPosition="0">
        <references count="4">
          <reference field="2" count="1" selected="0">
            <x v="13"/>
          </reference>
          <reference field="3" count="1" selected="0">
            <x v="2"/>
          </reference>
          <reference field="4" count="1" selected="0">
            <x v="0"/>
          </reference>
          <reference field="5" count="1">
            <x v="14"/>
          </reference>
        </references>
      </pivotArea>
    </format>
    <format dxfId="167">
      <pivotArea collapsedLevelsAreSubtotals="1" fieldPosition="0">
        <references count="4">
          <reference field="2" count="1" selected="0">
            <x v="10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166">
      <pivotArea collapsedLevelsAreSubtotals="1" fieldPosition="0">
        <references count="4">
          <reference field="2" count="1" selected="0">
            <x v="18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165">
      <pivotArea dataOnly="0" labelOnly="1" fieldPosition="0">
        <references count="4">
          <reference field="2" count="1" selected="0">
            <x v="10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164">
      <pivotArea dataOnly="0" labelOnly="1" fieldPosition="0">
        <references count="4">
          <reference field="2" count="1" selected="0">
            <x v="18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163">
      <pivotArea dataOnly="0" labelOnly="1" fieldPosition="0">
        <references count="2">
          <reference field="3" count="1">
            <x v="3"/>
          </reference>
          <reference field="4" count="1" selected="0">
            <x v="1"/>
          </reference>
        </references>
      </pivotArea>
    </format>
    <format dxfId="162">
      <pivotArea dataOnly="0" labelOnly="1" fieldPosition="0">
        <references count="2">
          <reference field="3" count="1">
            <x v="3"/>
          </reference>
          <reference field="4" count="1" selected="0">
            <x v="1"/>
          </reference>
        </references>
      </pivotArea>
    </format>
    <format dxfId="161">
      <pivotArea collapsedLevelsAreSubtotals="1" fieldPosition="0">
        <references count="4">
          <reference field="2" count="1" selected="0">
            <x v="5"/>
          </reference>
          <reference field="3" count="1" selected="0">
            <x v="4"/>
          </reference>
          <reference field="4" count="1" selected="0">
            <x v="1"/>
          </reference>
          <reference field="5" count="1">
            <x v="159"/>
          </reference>
        </references>
      </pivotArea>
    </format>
    <format dxfId="160">
      <pivotArea dataOnly="0" labelOnly="1" fieldPosition="0">
        <references count="4">
          <reference field="2" count="1" selected="0">
            <x v="5"/>
          </reference>
          <reference field="3" count="1" selected="0">
            <x v="4"/>
          </reference>
          <reference field="4" count="1" selected="0">
            <x v="1"/>
          </reference>
          <reference field="5" count="1">
            <x v="159"/>
          </reference>
        </references>
      </pivotArea>
    </format>
    <format dxfId="159">
      <pivotArea collapsedLevelsAreSubtotals="1" fieldPosition="0">
        <references count="2">
          <reference field="3" count="1">
            <x v="3"/>
          </reference>
          <reference field="4" count="1" selected="0">
            <x v="1"/>
          </reference>
        </references>
      </pivotArea>
    </format>
    <format dxfId="158">
      <pivotArea collapsedLevelsAreSubtotals="1" fieldPosition="0">
        <references count="3">
          <reference field="2" count="1">
            <x v="10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157">
      <pivotArea collapsedLevelsAreSubtotals="1" fieldPosition="0">
        <references count="4">
          <reference field="2" count="1" selected="0">
            <x v="10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186"/>
          </reference>
        </references>
      </pivotArea>
    </format>
    <format dxfId="156">
      <pivotArea collapsedLevelsAreSubtotals="1" fieldPosition="0">
        <references count="3">
          <reference field="2" count="1">
            <x v="18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155">
      <pivotArea collapsedLevelsAreSubtotals="1" fieldPosition="0">
        <references count="4">
          <reference field="2" count="1" selected="0">
            <x v="18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186"/>
          </reference>
        </references>
      </pivotArea>
    </format>
    <format dxfId="154">
      <pivotArea dataOnly="0" labelOnly="1" fieldPosition="0">
        <references count="3">
          <reference field="2" count="2">
            <x v="10"/>
            <x v="18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153">
      <pivotArea dataOnly="0" labelOnly="1" fieldPosition="0">
        <references count="4">
          <reference field="2" count="1" selected="0">
            <x v="10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186"/>
          </reference>
        </references>
      </pivotArea>
    </format>
    <format dxfId="152">
      <pivotArea dataOnly="0" labelOnly="1" fieldPosition="0">
        <references count="4">
          <reference field="2" count="1" selected="0">
            <x v="18"/>
          </reference>
          <reference field="3" count="1" selected="0">
            <x v="3"/>
          </reference>
          <reference field="4" count="1" selected="0">
            <x v="1"/>
          </reference>
          <reference field="5" count="1">
            <x v="186"/>
          </reference>
        </references>
      </pivotArea>
    </format>
    <format dxfId="151">
      <pivotArea dataOnly="0" labelOnly="1" fieldPosition="0">
        <references count="4">
          <reference field="2" count="1" selected="0">
            <x v="13"/>
          </reference>
          <reference field="3" count="1" selected="0">
            <x v="7"/>
          </reference>
          <reference field="4" count="1" selected="0">
            <x v="0"/>
          </reference>
          <reference field="5" count="2">
            <x v="250"/>
            <x v="2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8489C-10F0-4C92-A9D8-8696BFC5C2AB}" name="PivotTable1" cacheId="2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U198" firstHeaderRow="1" firstDataRow="2" firstDataCol="3"/>
  <pivotFields count="11">
    <pivotField compact="0" outline="0" showAll="0"/>
    <pivotField axis="axisCol" compact="0" numFmtId="15" outline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compact="0" outline="0" showAll="0" sortType="descending" defaultSubtotal="0">
      <items count="63">
        <item x="47"/>
        <item x="37"/>
        <item x="56"/>
        <item x="19"/>
        <item x="12"/>
        <item x="2"/>
        <item x="51"/>
        <item x="42"/>
        <item x="25"/>
        <item x="22"/>
        <item x="17"/>
        <item x="57"/>
        <item x="34"/>
        <item x="31"/>
        <item x="33"/>
        <item x="32"/>
        <item x="27"/>
        <item x="8"/>
        <item x="28"/>
        <item x="3"/>
        <item x="26"/>
        <item x="36"/>
        <item x="48"/>
        <item x="9"/>
        <item x="38"/>
        <item x="1"/>
        <item x="0"/>
        <item x="21"/>
        <item x="5"/>
        <item x="13"/>
        <item x="24"/>
        <item x="53"/>
        <item x="14"/>
        <item x="7"/>
        <item x="29"/>
        <item x="30"/>
        <item x="20"/>
        <item x="41"/>
        <item x="43"/>
        <item x="35"/>
        <item x="23"/>
        <item x="6"/>
        <item x="11"/>
        <item x="15"/>
        <item x="4"/>
        <item x="18"/>
        <item x="10"/>
        <item x="39"/>
        <item x="40"/>
        <item x="16"/>
        <item x="44"/>
        <item x="45"/>
        <item x="46"/>
        <item x="50"/>
        <item x="52"/>
        <item x="55"/>
        <item x="54"/>
        <item x="49"/>
        <item x="58"/>
        <item x="59"/>
        <item x="60"/>
        <item x="61"/>
        <item x="6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2">
        <item x="7"/>
        <item x="0"/>
        <item x="2"/>
        <item x="4"/>
        <item x="6"/>
        <item x="5"/>
        <item x="9"/>
        <item x="1"/>
        <item x="10"/>
        <item x="3"/>
        <item x="8"/>
        <item t="default"/>
      </items>
    </pivotField>
    <pivotField compact="0" outline="0" showAll="0"/>
    <pivotField axis="axisRow" compact="0" outline="0" showAll="0">
      <items count="134">
        <item x="47"/>
        <item x="39"/>
        <item x="21"/>
        <item x="17"/>
        <item x="19"/>
        <item x="27"/>
        <item x="52"/>
        <item x="100"/>
        <item x="74"/>
        <item x="23"/>
        <item x="4"/>
        <item x="36"/>
        <item x="33"/>
        <item x="35"/>
        <item x="34"/>
        <item x="29"/>
        <item x="11"/>
        <item x="30"/>
        <item x="89"/>
        <item x="9"/>
        <item x="12"/>
        <item x="51"/>
        <item x="38"/>
        <item x="7"/>
        <item x="67"/>
        <item x="48"/>
        <item x="40"/>
        <item x="0"/>
        <item x="22"/>
        <item x="20"/>
        <item x="26"/>
        <item x="31"/>
        <item x="32"/>
        <item x="6"/>
        <item x="63"/>
        <item x="37"/>
        <item x="2"/>
        <item x="58"/>
        <item x="10"/>
        <item x="16"/>
        <item x="28"/>
        <item x="56"/>
        <item x="3"/>
        <item x="5"/>
        <item x="80"/>
        <item x="45"/>
        <item x="42"/>
        <item x="57"/>
        <item x="43"/>
        <item x="8"/>
        <item x="14"/>
        <item x="24"/>
        <item x="41"/>
        <item x="54"/>
        <item x="46"/>
        <item x="15"/>
        <item x="77"/>
        <item x="62"/>
        <item x="83"/>
        <item x="119"/>
        <item x="123"/>
        <item x="81"/>
        <item x="1"/>
        <item x="13"/>
        <item x="18"/>
        <item x="25"/>
        <item x="44"/>
        <item x="49"/>
        <item x="50"/>
        <item x="53"/>
        <item x="55"/>
        <item x="59"/>
        <item x="60"/>
        <item x="61"/>
        <item x="64"/>
        <item x="65"/>
        <item x="66"/>
        <item x="68"/>
        <item x="69"/>
        <item x="71"/>
        <item x="72"/>
        <item x="73"/>
        <item x="76"/>
        <item x="78"/>
        <item x="79"/>
        <item x="82"/>
        <item x="84"/>
        <item x="91"/>
        <item x="70"/>
        <item x="85"/>
        <item x="86"/>
        <item x="87"/>
        <item x="88"/>
        <item x="90"/>
        <item x="92"/>
        <item x="93"/>
        <item x="94"/>
        <item x="95"/>
        <item x="96"/>
        <item x="101"/>
        <item x="97"/>
        <item x="98"/>
        <item x="99"/>
        <item x="104"/>
        <item x="109"/>
        <item x="110"/>
        <item x="111"/>
        <item x="112"/>
        <item x="113"/>
        <item x="114"/>
        <item x="115"/>
        <item x="116"/>
        <item x="117"/>
        <item x="118"/>
        <item x="120"/>
        <item x="121"/>
        <item x="107"/>
        <item x="75"/>
        <item x="102"/>
        <item x="103"/>
        <item x="105"/>
        <item x="106"/>
        <item x="108"/>
        <item x="122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compact="0" outline="0" showAll="0"/>
    <pivotField compact="0" outline="0" showAll="0"/>
    <pivotField dataField="1" compact="0" numFmtId="168" outline="0" showAll="0"/>
    <pivotField compact="0" outline="0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0"/>
        <item x="367"/>
        <item t="default"/>
      </items>
    </pivotField>
    <pivotField compact="0" outline="0" showAll="0">
      <items count="15">
        <item sd="0" x="0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"/>
        <item sd="0" x="2"/>
        <item sd="0" x="3"/>
        <item sd="0" x="13"/>
        <item t="default"/>
      </items>
    </pivotField>
  </pivotFields>
  <rowFields count="3">
    <field x="3"/>
    <field x="2"/>
    <field x="5"/>
  </rowFields>
  <rowItems count="193">
    <i>
      <x/>
      <x v="34"/>
      <x v="31"/>
    </i>
    <i r="1">
      <x v="35"/>
      <x v="32"/>
    </i>
    <i r="1">
      <x v="4"/>
      <x v="19"/>
    </i>
    <i r="1">
      <x v="8"/>
      <x v="5"/>
    </i>
    <i t="default">
      <x/>
    </i>
    <i>
      <x v="1"/>
      <x v="26"/>
      <x v="27"/>
    </i>
    <i r="1">
      <x v="54"/>
      <x v="85"/>
    </i>
    <i r="1">
      <x v="10"/>
      <x v="19"/>
    </i>
    <i r="2">
      <x v="39"/>
    </i>
    <i r="2">
      <x v="85"/>
    </i>
    <i r="2">
      <x v="99"/>
    </i>
    <i r="1">
      <x v="27"/>
      <x v="29"/>
    </i>
    <i r="1">
      <x v="25"/>
      <x v="27"/>
    </i>
    <i r="1">
      <x v="45"/>
      <x v="3"/>
    </i>
    <i r="1">
      <x v="55"/>
      <x v="99"/>
    </i>
    <i r="1">
      <x v="6"/>
      <x v="44"/>
    </i>
    <i t="default">
      <x v="1"/>
    </i>
    <i>
      <x v="2"/>
      <x v="29"/>
      <x v="2"/>
    </i>
    <i r="2">
      <x v="9"/>
    </i>
    <i r="2">
      <x v="16"/>
    </i>
    <i r="2">
      <x v="21"/>
    </i>
    <i r="2">
      <x v="28"/>
    </i>
    <i r="2">
      <x v="41"/>
    </i>
    <i r="2">
      <x v="50"/>
    </i>
    <i r="2">
      <x v="120"/>
    </i>
    <i r="2">
      <x v="132"/>
    </i>
    <i r="1">
      <x v="23"/>
      <x v="49"/>
    </i>
    <i r="2">
      <x v="81"/>
    </i>
    <i r="2">
      <x v="89"/>
    </i>
    <i r="2">
      <x v="128"/>
    </i>
    <i r="2">
      <x v="130"/>
    </i>
    <i r="1">
      <x v="40"/>
      <x v="18"/>
    </i>
    <i r="2">
      <x v="19"/>
    </i>
    <i r="2">
      <x v="24"/>
    </i>
    <i r="2">
      <x v="60"/>
    </i>
    <i r="2">
      <x v="65"/>
    </i>
    <i r="2">
      <x v="97"/>
    </i>
    <i r="2">
      <x v="131"/>
    </i>
    <i r="1">
      <x v="44"/>
      <x v="42"/>
    </i>
    <i r="1">
      <x v="9"/>
      <x v="51"/>
    </i>
    <i r="1">
      <x v="43"/>
      <x v="4"/>
    </i>
    <i r="2">
      <x v="19"/>
    </i>
    <i t="default">
      <x v="2"/>
    </i>
    <i>
      <x v="3"/>
      <x v="41"/>
      <x v="19"/>
    </i>
    <i r="2">
      <x v="43"/>
    </i>
    <i r="2">
      <x v="103"/>
    </i>
    <i t="default">
      <x v="3"/>
    </i>
    <i>
      <x v="4"/>
      <x v="42"/>
      <x v="19"/>
    </i>
    <i r="2">
      <x v="20"/>
    </i>
    <i r="2">
      <x v="21"/>
    </i>
    <i r="2">
      <x v="37"/>
    </i>
    <i r="2">
      <x v="38"/>
    </i>
    <i r="2">
      <x v="45"/>
    </i>
    <i r="2">
      <x v="67"/>
    </i>
    <i r="2">
      <x v="69"/>
    </i>
    <i r="2">
      <x v="73"/>
    </i>
    <i r="2">
      <x v="88"/>
    </i>
    <i r="2">
      <x v="90"/>
    </i>
    <i r="2">
      <x v="93"/>
    </i>
    <i r="2">
      <x v="95"/>
    </i>
    <i r="2">
      <x v="101"/>
    </i>
    <i r="2">
      <x v="109"/>
    </i>
    <i r="2">
      <x v="126"/>
    </i>
    <i r="2">
      <x v="129"/>
    </i>
    <i r="1">
      <x v="49"/>
      <x v="55"/>
    </i>
    <i r="2">
      <x v="70"/>
    </i>
    <i r="2">
      <x v="87"/>
    </i>
    <i r="1">
      <x v="38"/>
      <x v="19"/>
    </i>
    <i r="1">
      <x v="11"/>
      <x v="19"/>
    </i>
    <i t="default">
      <x v="4"/>
    </i>
    <i>
      <x v="5"/>
      <x v="17"/>
      <x v="23"/>
    </i>
    <i t="default">
      <x v="5"/>
    </i>
    <i>
      <x v="6"/>
      <x v="30"/>
      <x v="30"/>
    </i>
    <i r="1">
      <x v="1"/>
      <x v="1"/>
    </i>
    <i r="1">
      <x v="24"/>
      <x v="26"/>
    </i>
    <i r="1">
      <x v="21"/>
      <x v="22"/>
    </i>
    <i t="default">
      <x v="6"/>
    </i>
    <i>
      <x v="7"/>
      <x v="19"/>
      <x v="36"/>
    </i>
    <i r="1">
      <x v="5"/>
      <x v="6"/>
    </i>
    <i r="2">
      <x v="19"/>
    </i>
    <i r="2">
      <x v="62"/>
    </i>
    <i r="1">
      <x v="37"/>
      <x/>
    </i>
    <i r="2">
      <x v="78"/>
    </i>
    <i r="2">
      <x v="84"/>
    </i>
    <i r="1">
      <x v="53"/>
      <x v="76"/>
    </i>
    <i r="1">
      <x v="31"/>
      <x v="36"/>
    </i>
    <i t="default">
      <x v="7"/>
    </i>
    <i>
      <x v="8"/>
      <x v="39"/>
      <x v="35"/>
    </i>
    <i r="1">
      <x v="2"/>
      <x v="122"/>
    </i>
    <i t="default">
      <x v="8"/>
    </i>
    <i>
      <x v="9"/>
      <x v="15"/>
      <x v="14"/>
    </i>
    <i r="1">
      <x v="13"/>
      <x v="12"/>
    </i>
    <i r="1">
      <x v="18"/>
      <x v="17"/>
    </i>
    <i r="1">
      <x v="47"/>
      <x v="52"/>
    </i>
    <i r="1">
      <x v="33"/>
      <x v="7"/>
    </i>
    <i r="2">
      <x v="8"/>
    </i>
    <i r="2">
      <x v="19"/>
    </i>
    <i r="2">
      <x v="20"/>
    </i>
    <i r="2">
      <x v="21"/>
    </i>
    <i r="2">
      <x v="27"/>
    </i>
    <i r="2">
      <x v="33"/>
    </i>
    <i r="2">
      <x v="34"/>
    </i>
    <i r="2">
      <x v="37"/>
    </i>
    <i r="2">
      <x v="44"/>
    </i>
    <i r="2">
      <x v="46"/>
    </i>
    <i r="2">
      <x v="57"/>
    </i>
    <i r="2">
      <x v="58"/>
    </i>
    <i r="2">
      <x v="82"/>
    </i>
    <i r="2">
      <x v="86"/>
    </i>
    <i r="2">
      <x v="95"/>
    </i>
    <i r="2">
      <x v="96"/>
    </i>
    <i r="2">
      <x v="100"/>
    </i>
    <i r="2">
      <x v="101"/>
    </i>
    <i r="2">
      <x v="102"/>
    </i>
    <i r="2">
      <x v="118"/>
    </i>
    <i r="2">
      <x v="122"/>
    </i>
    <i r="2">
      <x v="125"/>
    </i>
    <i r="1">
      <x v="32"/>
      <x v="19"/>
    </i>
    <i r="2">
      <x v="20"/>
    </i>
    <i r="2">
      <x v="21"/>
    </i>
    <i r="2">
      <x v="56"/>
    </i>
    <i r="2">
      <x v="61"/>
    </i>
    <i r="2">
      <x v="63"/>
    </i>
    <i r="2">
      <x v="71"/>
    </i>
    <i r="2">
      <x v="98"/>
    </i>
    <i r="2">
      <x v="101"/>
    </i>
    <i r="2">
      <x v="106"/>
    </i>
    <i r="2">
      <x v="108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9"/>
    </i>
    <i r="2">
      <x v="121"/>
    </i>
    <i r="1">
      <x v="20"/>
      <x v="40"/>
    </i>
    <i r="2">
      <x v="94"/>
    </i>
    <i r="2">
      <x v="116"/>
    </i>
    <i r="1">
      <x v="16"/>
      <x v="15"/>
    </i>
    <i r="2">
      <x v="19"/>
    </i>
    <i r="1">
      <x v="14"/>
      <x v="13"/>
    </i>
    <i r="1">
      <x v="57"/>
      <x v="117"/>
    </i>
    <i r="1">
      <x v="7"/>
      <x v="53"/>
    </i>
    <i r="2">
      <x v="80"/>
    </i>
    <i r="2">
      <x v="104"/>
    </i>
    <i r="2">
      <x v="105"/>
    </i>
    <i r="2">
      <x v="107"/>
    </i>
    <i r="1">
      <x/>
      <x v="79"/>
    </i>
    <i r="2">
      <x v="83"/>
    </i>
    <i r="2">
      <x v="91"/>
    </i>
    <i r="2">
      <x v="92"/>
    </i>
    <i r="2">
      <x v="127"/>
    </i>
    <i r="1">
      <x v="48"/>
      <x v="19"/>
    </i>
    <i r="2">
      <x v="54"/>
    </i>
    <i r="1">
      <x v="58"/>
      <x v="123"/>
    </i>
    <i r="1">
      <x v="12"/>
      <x v="11"/>
    </i>
    <i r="1">
      <x v="28"/>
      <x v="10"/>
    </i>
    <i r="2">
      <x v="66"/>
    </i>
    <i r="1">
      <x v="60"/>
      <x v="19"/>
    </i>
    <i r="1">
      <x v="59"/>
      <x v="19"/>
    </i>
    <i r="1">
      <x v="50"/>
      <x v="75"/>
    </i>
    <i r="1">
      <x v="56"/>
      <x v="19"/>
    </i>
    <i r="2">
      <x v="70"/>
    </i>
    <i r="1">
      <x v="36"/>
      <x v="19"/>
    </i>
    <i r="2">
      <x v="47"/>
    </i>
    <i r="2">
      <x v="64"/>
    </i>
    <i r="1">
      <x v="61"/>
      <x v="19"/>
    </i>
    <i r="1">
      <x v="51"/>
      <x v="76"/>
    </i>
    <i r="1">
      <x v="46"/>
      <x v="19"/>
    </i>
    <i r="2">
      <x v="20"/>
    </i>
    <i r="2">
      <x v="21"/>
    </i>
    <i r="2">
      <x v="25"/>
    </i>
    <i r="2">
      <x v="48"/>
    </i>
    <i r="2">
      <x v="56"/>
    </i>
    <i r="2">
      <x v="59"/>
    </i>
    <i r="2">
      <x v="68"/>
    </i>
    <i r="2">
      <x v="72"/>
    </i>
    <i r="2">
      <x v="74"/>
    </i>
    <i r="2">
      <x v="77"/>
    </i>
    <i r="2">
      <x v="78"/>
    </i>
    <i r="2">
      <x v="101"/>
    </i>
    <i r="2">
      <x v="124"/>
    </i>
    <i t="default">
      <x v="9"/>
    </i>
    <i>
      <x v="10"/>
      <x v="52"/>
      <x v="70"/>
    </i>
    <i r="1">
      <x v="3"/>
      <x v="19"/>
    </i>
    <i r="2">
      <x v="20"/>
    </i>
    <i r="2">
      <x v="21"/>
    </i>
    <i r="2">
      <x v="70"/>
    </i>
    <i r="1">
      <x v="62"/>
      <x v="19"/>
    </i>
    <i r="1">
      <x v="22"/>
      <x v="19"/>
    </i>
    <i t="default">
      <x v="10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colItems>
  <dataFields count="1">
    <dataField name="Sum of Amount" fld="8" baseField="0" baseItem="0"/>
  </dataFields>
  <formats count="151">
    <format dxfId="150">
      <pivotArea outline="0" collapsedLevelsAreSubtotals="1" fieldPosition="0"/>
    </format>
    <format dxfId="149">
      <pivotArea field="10" type="button" dataOnly="0" labelOnly="1" outline="0"/>
    </format>
    <format dxfId="148">
      <pivotArea field="9" type="button" dataOnly="0" labelOnly="1" outline="0"/>
    </format>
    <format dxfId="147">
      <pivotArea type="topRight" dataOnly="0" labelOnly="1" outline="0" fieldPosition="0"/>
    </format>
    <format dxfId="146">
      <pivotArea type="origin" dataOnly="0" labelOnly="1" outline="0" fieldPosition="0"/>
    </format>
    <format dxfId="145">
      <pivotArea field="3" type="button" dataOnly="0" labelOnly="1" outline="0" axis="axisRow" fieldPosition="0"/>
    </format>
    <format dxfId="144">
      <pivotArea dataOnly="0" labelOnly="1" outline="0" fieldPosition="0">
        <references count="1">
          <reference field="3" count="1">
            <x v="0"/>
          </reference>
        </references>
      </pivotArea>
    </format>
    <format dxfId="143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142">
      <pivotArea dataOnly="0" labelOnly="1" outline="0" fieldPosition="0">
        <references count="1">
          <reference field="3" count="1">
            <x v="1"/>
          </reference>
        </references>
      </pivotArea>
    </format>
    <format dxfId="141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140">
      <pivotArea dataOnly="0" labelOnly="1" outline="0" fieldPosition="0">
        <references count="1">
          <reference field="3" count="1">
            <x v="2"/>
          </reference>
        </references>
      </pivotArea>
    </format>
    <format dxfId="139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138">
      <pivotArea dataOnly="0" labelOnly="1" outline="0" fieldPosition="0">
        <references count="1">
          <reference field="3" count="1">
            <x v="3"/>
          </reference>
        </references>
      </pivotArea>
    </format>
    <format dxfId="137">
      <pivotArea dataOnly="0" labelOnly="1" outline="0" fieldPosition="0">
        <references count="1">
          <reference field="3" count="1" defaultSubtotal="1">
            <x v="3"/>
          </reference>
        </references>
      </pivotArea>
    </format>
    <format dxfId="136">
      <pivotArea dataOnly="0" labelOnly="1" outline="0" fieldPosition="0">
        <references count="1">
          <reference field="3" count="1">
            <x v="4"/>
          </reference>
        </references>
      </pivotArea>
    </format>
    <format dxfId="135">
      <pivotArea dataOnly="0" labelOnly="1" outline="0" fieldPosition="0">
        <references count="1">
          <reference field="3" count="1" defaultSubtotal="1">
            <x v="4"/>
          </reference>
        </references>
      </pivotArea>
    </format>
    <format dxfId="134">
      <pivotArea dataOnly="0" labelOnly="1" outline="0" fieldPosition="0">
        <references count="1">
          <reference field="3" count="1">
            <x v="5"/>
          </reference>
        </references>
      </pivotArea>
    </format>
    <format dxfId="133">
      <pivotArea dataOnly="0" labelOnly="1" outline="0" fieldPosition="0">
        <references count="1">
          <reference field="3" count="1" defaultSubtotal="1">
            <x v="5"/>
          </reference>
        </references>
      </pivotArea>
    </format>
    <format dxfId="132">
      <pivotArea dataOnly="0" labelOnly="1" outline="0" fieldPosition="0">
        <references count="1">
          <reference field="3" count="1">
            <x v="6"/>
          </reference>
        </references>
      </pivotArea>
    </format>
    <format dxfId="131">
      <pivotArea dataOnly="0" labelOnly="1" outline="0" fieldPosition="0">
        <references count="1">
          <reference field="3" count="1" defaultSubtotal="1">
            <x v="6"/>
          </reference>
        </references>
      </pivotArea>
    </format>
    <format dxfId="130">
      <pivotArea dataOnly="0" labelOnly="1" outline="0" fieldPosition="0">
        <references count="1">
          <reference field="3" count="1">
            <x v="7"/>
          </reference>
        </references>
      </pivotArea>
    </format>
    <format dxfId="129">
      <pivotArea dataOnly="0" labelOnly="1" outline="0" fieldPosition="0">
        <references count="1">
          <reference field="3" count="1" defaultSubtotal="1">
            <x v="7"/>
          </reference>
        </references>
      </pivotArea>
    </format>
    <format dxfId="128">
      <pivotArea dataOnly="0" labelOnly="1" outline="0" fieldPosition="0">
        <references count="1">
          <reference field="3" count="1">
            <x v="8"/>
          </reference>
        </references>
      </pivotArea>
    </format>
    <format dxfId="127">
      <pivotArea dataOnly="0" labelOnly="1" outline="0" fieldPosition="0">
        <references count="1">
          <reference field="3" count="1" defaultSubtotal="1">
            <x v="8"/>
          </reference>
        </references>
      </pivotArea>
    </format>
    <format dxfId="126">
      <pivotArea dataOnly="0" labelOnly="1" outline="0" fieldPosition="0">
        <references count="1">
          <reference field="3" count="1">
            <x v="9"/>
          </reference>
        </references>
      </pivotArea>
    </format>
    <format dxfId="125">
      <pivotArea dataOnly="0" labelOnly="1" outline="0" fieldPosition="0">
        <references count="1">
          <reference field="3" count="1" defaultSubtotal="1">
            <x v="9"/>
          </reference>
        </references>
      </pivotArea>
    </format>
    <format dxfId="124">
      <pivotArea dataOnly="0" labelOnly="1" outline="0" fieldPosition="0">
        <references count="1">
          <reference field="3" count="1">
            <x v="10"/>
          </reference>
        </references>
      </pivotArea>
    </format>
    <format dxfId="123">
      <pivotArea dataOnly="0" labelOnly="1" outline="0" fieldPosition="0">
        <references count="1">
          <reference field="3" count="1" defaultSubtotal="1">
            <x v="10"/>
          </reference>
        </references>
      </pivotArea>
    </format>
    <format dxfId="122">
      <pivotArea dataOnly="0" labelOnly="1" grandRow="1" outline="0" fieldPosition="0"/>
    </format>
    <format dxfId="121">
      <pivotArea outline="0" fieldPosition="0">
        <references count="1">
          <reference field="3" count="1" selected="0" defaultSubtotal="1">
            <x v="0"/>
          </reference>
        </references>
      </pivotArea>
    </format>
    <format dxfId="120">
      <pivotArea dataOnly="0" labelOnly="1" outline="0" fieldPosition="0">
        <references count="1">
          <reference field="3" count="1">
            <x v="0"/>
          </reference>
        </references>
      </pivotArea>
    </format>
    <format dxfId="119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118">
      <pivotArea outline="0" fieldPosition="0">
        <references count="1">
          <reference field="3" count="1" selected="0" defaultSubtotal="1">
            <x v="2"/>
          </reference>
        </references>
      </pivotArea>
    </format>
    <format dxfId="117">
      <pivotArea dataOnly="0" labelOnly="1" outline="0" fieldPosition="0">
        <references count="1">
          <reference field="3" count="1">
            <x v="2"/>
          </reference>
        </references>
      </pivotArea>
    </format>
    <format dxfId="116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115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2"/>
          </reference>
          <reference field="5" count="7">
            <x v="2"/>
            <x v="9"/>
            <x v="16"/>
            <x v="20"/>
            <x v="28"/>
            <x v="41"/>
            <x v="50"/>
          </reference>
        </references>
      </pivotArea>
    </format>
    <format dxfId="114">
      <pivotArea type="topRight" dataOnly="0" labelOnly="1" outline="0" offset="B1" fieldPosition="0"/>
    </format>
    <format dxfId="113">
      <pivotArea outline="0" fieldPosition="0">
        <references count="3">
          <reference field="2" count="1" selected="0">
            <x v="30"/>
          </reference>
          <reference field="3" count="1" selected="0">
            <x v="6"/>
          </reference>
          <reference field="5" count="1" selected="0">
            <x v="30"/>
          </reference>
        </references>
      </pivotArea>
    </format>
    <format dxfId="112">
      <pivotArea dataOnly="0" labelOnly="1" outline="0" fieldPosition="0">
        <references count="2">
          <reference field="2" count="1">
            <x v="30"/>
          </reference>
          <reference field="3" count="1" selected="0">
            <x v="6"/>
          </reference>
        </references>
      </pivotArea>
    </format>
    <format dxfId="111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"/>
          </reference>
          <reference field="5" count="1">
            <x v="30"/>
          </reference>
        </references>
      </pivotArea>
    </format>
    <format dxfId="110">
      <pivotArea outline="0" fieldPosition="0">
        <references count="3">
          <reference field="2" count="1" selected="0">
            <x v="30"/>
          </reference>
          <reference field="3" count="1" selected="0">
            <x v="6"/>
          </reference>
          <reference field="5" count="1" selected="0">
            <x v="30"/>
          </reference>
        </references>
      </pivotArea>
    </format>
    <format dxfId="109">
      <pivotArea dataOnly="0" labelOnly="1" outline="0" offset="IV5" fieldPosition="0">
        <references count="1">
          <reference field="3" count="1">
            <x v="4"/>
          </reference>
        </references>
      </pivotArea>
    </format>
    <format dxfId="108">
      <pivotArea outline="0" fieldPosition="0">
        <references count="3">
          <reference field="2" count="1" selected="0">
            <x v="42"/>
          </reference>
          <reference field="3" count="1" selected="0">
            <x v="4"/>
          </reference>
          <reference field="5" count="2" selected="0">
            <x v="20"/>
            <x v="21"/>
          </reference>
        </references>
      </pivotArea>
    </format>
    <format dxfId="107">
      <pivotArea dataOnly="0" labelOnly="1" outline="0" offset="IV6:IV7" fieldPosition="0">
        <references count="1">
          <reference field="3" count="1">
            <x v="4"/>
          </reference>
        </references>
      </pivotArea>
    </format>
    <format dxfId="106">
      <pivotArea outline="0" fieldPosition="0">
        <references count="1">
          <reference field="3" count="1" selected="0" defaultSubtotal="1">
            <x v="5"/>
          </reference>
        </references>
      </pivotArea>
    </format>
    <format dxfId="105">
      <pivotArea dataOnly="0" labelOnly="1" outline="0" fieldPosition="0">
        <references count="1">
          <reference field="3" count="1" defaultSubtotal="1">
            <x v="5"/>
          </reference>
        </references>
      </pivotArea>
    </format>
    <format dxfId="104">
      <pivotArea outline="0" fieldPosition="0">
        <references count="3">
          <reference field="2" count="1" selected="0">
            <x v="30"/>
          </reference>
          <reference field="3" count="1" selected="0">
            <x v="6"/>
          </reference>
          <reference field="5" count="1" selected="0">
            <x v="30"/>
          </reference>
        </references>
      </pivotArea>
    </format>
    <format dxfId="103">
      <pivotArea field="5" grandCol="1" outline="0" axis="axisRow" fieldPosition="2">
        <references count="3">
          <reference field="2" count="1" selected="0">
            <x v="46"/>
          </reference>
          <reference field="3" count="1" selected="0">
            <x v="9"/>
          </reference>
          <reference field="5" count="5" selected="0">
            <x v="19"/>
            <x v="20"/>
            <x v="21"/>
            <x v="25"/>
            <x v="48"/>
          </reference>
        </references>
      </pivotArea>
    </format>
    <format dxfId="102">
      <pivotArea outline="0" fieldPosition="0">
        <references count="3">
          <reference field="2" count="1" selected="0">
            <x v="3"/>
          </reference>
          <reference field="3" count="1" selected="0">
            <x v="10"/>
          </reference>
          <reference field="5" count="1" selected="0">
            <x v="21"/>
          </reference>
        </references>
      </pivotArea>
    </format>
    <format dxfId="101">
      <pivotArea dataOnly="0" labelOnly="1" outline="0" offset="IV4" fieldPosition="0">
        <references count="1">
          <reference field="3" count="1">
            <x v="10"/>
          </reference>
        </references>
      </pivotArea>
    </format>
    <format dxfId="100">
      <pivotArea outline="0" fieldPosition="0">
        <references count="3">
          <reference field="2" count="1" selected="0">
            <x v="30"/>
          </reference>
          <reference field="3" count="1" selected="0">
            <x v="6"/>
          </reference>
          <reference field="5" count="1" selected="0">
            <x v="30"/>
          </reference>
        </references>
      </pivotArea>
    </format>
    <format dxfId="99">
      <pivotArea dataOnly="0" labelOnly="1" outline="0" fieldPosition="0">
        <references count="2">
          <reference field="2" count="1">
            <x v="30"/>
          </reference>
          <reference field="3" count="1" selected="0">
            <x v="6"/>
          </reference>
        </references>
      </pivotArea>
    </format>
    <format dxfId="98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"/>
          </reference>
          <reference field="5" count="1">
            <x v="30"/>
          </reference>
        </references>
      </pivotArea>
    </format>
    <format dxfId="97">
      <pivotArea outline="0" fieldPosition="0">
        <references count="3">
          <reference field="2" count="1" selected="0">
            <x v="30"/>
          </reference>
          <reference field="3" count="1" selected="0">
            <x v="6"/>
          </reference>
          <reference field="5" count="1" selected="0">
            <x v="30"/>
          </reference>
        </references>
      </pivotArea>
    </format>
    <format dxfId="96">
      <pivotArea grandCol="1" outline="0" collapsedLevelsAreSubtotals="1" fieldPosition="0"/>
    </format>
    <format dxfId="95">
      <pivotArea field="1" type="button" dataOnly="0" labelOnly="1" outline="0" axis="axisCol" fieldPosition="0"/>
    </format>
    <format dxfId="94">
      <pivotArea type="topRight" dataOnly="0" labelOnly="1" outline="0" fieldPosition="0"/>
    </format>
    <format dxfId="93">
      <pivotArea dataOnly="0" labelOnly="1" grandCol="1" outline="0" fieldPosition="0"/>
    </format>
    <format dxfId="92">
      <pivotArea outline="0" fieldPosition="0">
        <references count="1">
          <reference field="3" count="1" selected="0" defaultSubtotal="1">
            <x v="6"/>
          </reference>
        </references>
      </pivotArea>
    </format>
    <format dxfId="91">
      <pivotArea dataOnly="0" labelOnly="1" outline="0" fieldPosition="0">
        <references count="1">
          <reference field="3" count="1" defaultSubtotal="1">
            <x v="6"/>
          </reference>
        </references>
      </pivotArea>
    </format>
    <format dxfId="90">
      <pivotArea outline="0" fieldPosition="0">
        <references count="3">
          <reference field="2" count="1" selected="0">
            <x v="26"/>
          </reference>
          <reference field="3" count="1" selected="0">
            <x v="1"/>
          </reference>
          <reference field="5" count="1" selected="0">
            <x v="27"/>
          </reference>
        </references>
      </pivotArea>
    </format>
    <format dxfId="89">
      <pivotArea outline="0" fieldPosition="0">
        <references count="3">
          <reference field="2" count="1" selected="0">
            <x v="8"/>
          </reference>
          <reference field="3" count="1" selected="0">
            <x v="0"/>
          </reference>
          <reference field="5" count="1" selected="0">
            <x v="5"/>
          </reference>
        </references>
      </pivotArea>
    </format>
    <format dxfId="88">
      <pivotArea outline="0" fieldPosition="0">
        <references count="3">
          <reference field="2" count="1" selected="0">
            <x v="29"/>
          </reference>
          <reference field="3" count="1" selected="0">
            <x v="2"/>
          </reference>
          <reference field="5" count="5" selected="0">
            <x v="2"/>
            <x v="9"/>
            <x v="16"/>
            <x v="20"/>
            <x v="28"/>
          </reference>
        </references>
      </pivotArea>
    </format>
    <format dxfId="87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2"/>
          </reference>
          <reference field="5" count="5">
            <x v="2"/>
            <x v="9"/>
            <x v="16"/>
            <x v="20"/>
            <x v="28"/>
          </reference>
        </references>
      </pivotArea>
    </format>
    <format dxfId="86">
      <pivotArea outline="0" fieldPosition="0">
        <references count="3">
          <reference field="2" count="1" selected="0">
            <x v="37"/>
          </reference>
          <reference field="3" count="1" selected="0">
            <x v="7"/>
          </reference>
          <reference field="5" count="1" selected="0">
            <x v="0"/>
          </reference>
        </references>
      </pivotArea>
    </format>
    <format dxfId="85">
      <pivotArea outline="0" fieldPosition="0">
        <references count="3">
          <reference field="2" count="4" selected="0">
            <x v="7"/>
            <x v="19"/>
            <x v="20"/>
            <x v="33"/>
          </reference>
          <reference field="3" count="1" selected="0">
            <x v="9"/>
          </reference>
          <reference field="5" count="12" selected="0">
            <x v="7"/>
            <x v="8"/>
            <x v="19"/>
            <x v="20"/>
            <x v="33"/>
            <x v="34"/>
            <x v="36"/>
            <x v="40"/>
            <x v="46"/>
            <x v="53"/>
            <x v="57"/>
            <x v="58"/>
          </reference>
        </references>
      </pivotArea>
    </format>
    <format dxfId="84">
      <pivotArea outline="0" fieldPosition="0">
        <references count="3">
          <reference field="2" count="1" selected="0">
            <x v="28"/>
          </reference>
          <reference field="3" count="1" selected="0">
            <x v="9"/>
          </reference>
          <reference field="5" count="1" selected="0">
            <x v="10"/>
          </reference>
        </references>
      </pivotArea>
    </format>
    <format dxfId="83">
      <pivotArea outline="0" collapsedLevelsAreSubtotals="1" fieldPosition="0"/>
    </format>
    <format dxfId="82">
      <pivotArea dataOnly="0" labelOnly="1" outline="0" fieldPosition="0">
        <references count="1">
          <reference field="3" count="0"/>
        </references>
      </pivotArea>
    </format>
    <format dxfId="81">
      <pivotArea dataOnly="0" labelOnly="1" outline="0" fieldPosition="0">
        <references count="1">
          <reference field="3" count="0" defaultSubtotal="1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2">
          <reference field="2" count="10">
            <x v="4"/>
            <x v="8"/>
            <x v="12"/>
            <x v="13"/>
            <x v="14"/>
            <x v="15"/>
            <x v="16"/>
            <x v="34"/>
            <x v="35"/>
            <x v="47"/>
          </reference>
          <reference field="3" count="1" selected="0">
            <x v="0"/>
          </reference>
        </references>
      </pivotArea>
    </format>
    <format dxfId="78">
      <pivotArea dataOnly="0" labelOnly="1" outline="0" fieldPosition="0">
        <references count="2">
          <reference field="2" count="8">
            <x v="6"/>
            <x v="10"/>
            <x v="25"/>
            <x v="26"/>
            <x v="27"/>
            <x v="45"/>
            <x v="54"/>
            <x v="55"/>
          </reference>
          <reference field="3" count="1" selected="0">
            <x v="1"/>
          </reference>
        </references>
      </pivotArea>
    </format>
    <format dxfId="77">
      <pivotArea dataOnly="0" labelOnly="1" outline="0" fieldPosition="0">
        <references count="2">
          <reference field="2" count="6">
            <x v="9"/>
            <x v="23"/>
            <x v="29"/>
            <x v="40"/>
            <x v="43"/>
            <x v="44"/>
          </reference>
          <reference field="3" count="1" selected="0">
            <x v="2"/>
          </reference>
        </references>
      </pivotArea>
    </format>
    <format dxfId="76">
      <pivotArea dataOnly="0" labelOnly="1" outline="0" fieldPosition="0">
        <references count="2">
          <reference field="2" count="1">
            <x v="41"/>
          </reference>
          <reference field="3" count="1" selected="0">
            <x v="3"/>
          </reference>
        </references>
      </pivotArea>
    </format>
    <format dxfId="75">
      <pivotArea dataOnly="0" labelOnly="1" outline="0" fieldPosition="0">
        <references count="2">
          <reference field="2" count="6">
            <x v="11"/>
            <x v="18"/>
            <x v="32"/>
            <x v="38"/>
            <x v="42"/>
            <x v="49"/>
          </reference>
          <reference field="3" count="1" selected="0">
            <x v="4"/>
          </reference>
        </references>
      </pivotArea>
    </format>
    <format dxfId="74">
      <pivotArea dataOnly="0" labelOnly="1" outline="0" fieldPosition="0">
        <references count="2">
          <reference field="2" count="1">
            <x v="17"/>
          </reference>
          <reference field="3" count="1" selected="0">
            <x v="5"/>
          </reference>
        </references>
      </pivotArea>
    </format>
    <format dxfId="73">
      <pivotArea dataOnly="0" labelOnly="1" outline="0" fieldPosition="0">
        <references count="2">
          <reference field="2" count="4">
            <x v="1"/>
            <x v="21"/>
            <x v="24"/>
            <x v="30"/>
          </reference>
          <reference field="3" count="1" selected="0">
            <x v="6"/>
          </reference>
        </references>
      </pivotArea>
    </format>
    <format dxfId="72">
      <pivotArea dataOnly="0" labelOnly="1" outline="0" fieldPosition="0">
        <references count="2">
          <reference field="2" count="3">
            <x v="5"/>
            <x v="31"/>
            <x v="37"/>
          </reference>
          <reference field="3" count="1" selected="0">
            <x v="7"/>
          </reference>
        </references>
      </pivotArea>
    </format>
    <format dxfId="71">
      <pivotArea dataOnly="0" labelOnly="1" outline="0" fieldPosition="0">
        <references count="2">
          <reference field="2" count="2">
            <x v="2"/>
            <x v="39"/>
          </reference>
          <reference field="3" count="1" selected="0">
            <x v="8"/>
          </reference>
        </references>
      </pivotArea>
    </format>
    <format dxfId="70">
      <pivotArea dataOnly="0" labelOnly="1" outline="0" fieldPosition="0">
        <references count="2">
          <reference field="2" count="19">
            <x v="0"/>
            <x v="7"/>
            <x v="19"/>
            <x v="20"/>
            <x v="28"/>
            <x v="33"/>
            <x v="36"/>
            <x v="46"/>
            <x v="48"/>
            <x v="50"/>
            <x v="51"/>
            <x v="52"/>
            <x v="53"/>
            <x v="56"/>
            <x v="57"/>
            <x v="58"/>
            <x v="59"/>
            <x v="60"/>
            <x v="61"/>
          </reference>
          <reference field="3" count="1" selected="0">
            <x v="9"/>
          </reference>
        </references>
      </pivotArea>
    </format>
    <format dxfId="69">
      <pivotArea dataOnly="0" labelOnly="1" outline="0" fieldPosition="0">
        <references count="2">
          <reference field="2" count="2">
            <x v="3"/>
            <x v="22"/>
          </reference>
          <reference field="3" count="1" selected="0">
            <x v="10"/>
          </reference>
        </references>
      </pivotArea>
    </format>
    <format dxfId="68">
      <pivotArea dataOnly="0" labelOnly="1" outline="0" fieldPosition="0">
        <references count="3">
          <reference field="2" count="1" selected="0">
            <x v="34"/>
          </reference>
          <reference field="3" count="1" selected="0">
            <x v="0"/>
          </reference>
          <reference field="5" count="1">
            <x v="31"/>
          </reference>
        </references>
      </pivotArea>
    </format>
    <format dxfId="67">
      <pivotArea dataOnly="0" labelOnly="1" outline="0" fieldPosition="0">
        <references count="3">
          <reference field="2" count="1" selected="0">
            <x v="35"/>
          </reference>
          <reference field="3" count="1" selected="0">
            <x v="0"/>
          </reference>
          <reference field="5" count="1">
            <x v="32"/>
          </reference>
        </references>
      </pivotArea>
    </format>
    <format dxfId="66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0"/>
          </reference>
          <reference field="5" count="1">
            <x v="12"/>
          </reference>
        </references>
      </pivotArea>
    </format>
    <format dxfId="65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0"/>
          </reference>
          <reference field="5" count="1">
            <x v="14"/>
          </reference>
        </references>
      </pivotArea>
    </format>
    <format dxfId="64">
      <pivotArea dataOnly="0" labelOnly="1" outline="0" fieldPosition="0">
        <references count="3">
          <reference field="2" count="1" selected="0">
            <x v="47"/>
          </reference>
          <reference field="3" count="1" selected="0">
            <x v="0"/>
          </reference>
          <reference field="5" count="1">
            <x v="52"/>
          </reference>
        </references>
      </pivotArea>
    </format>
    <format dxfId="6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0"/>
          </reference>
          <reference field="5" count="1">
            <x v="19"/>
          </reference>
        </references>
      </pivotArea>
    </format>
    <format dxfId="62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0"/>
          </reference>
          <reference field="5" count="2">
            <x v="15"/>
            <x v="19"/>
          </reference>
        </references>
      </pivotArea>
    </format>
    <format dxfId="61">
      <pivotArea dataOnly="0" labelOnly="1" outline="0" fieldPosition="0">
        <references count="3">
          <reference field="2" count="1" selected="0">
            <x v="14"/>
          </reference>
          <reference field="3" count="1" selected="0">
            <x v="0"/>
          </reference>
          <reference field="5" count="1">
            <x v="13"/>
          </reference>
        </references>
      </pivotArea>
    </format>
    <format dxfId="60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0"/>
          </reference>
          <reference field="5" count="1">
            <x v="5"/>
          </reference>
        </references>
      </pivotArea>
    </format>
    <format dxfId="59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0"/>
          </reference>
          <reference field="5" count="1">
            <x v="11"/>
          </reference>
        </references>
      </pivotArea>
    </format>
    <format dxfId="58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1"/>
          </reference>
          <reference field="5" count="1">
            <x v="27"/>
          </reference>
        </references>
      </pivotArea>
    </format>
    <format dxfId="57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"/>
          </reference>
          <reference field="5" count="1">
            <x v="85"/>
          </reference>
        </references>
      </pivotArea>
    </format>
    <format dxfId="5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"/>
          </reference>
          <reference field="5" count="4">
            <x v="19"/>
            <x v="39"/>
            <x v="85"/>
            <x v="99"/>
          </reference>
        </references>
      </pivotArea>
    </format>
    <format dxfId="55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1"/>
          </reference>
          <reference field="5" count="1">
            <x v="29"/>
          </reference>
        </references>
      </pivotArea>
    </format>
    <format dxfId="54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1"/>
          </reference>
          <reference field="5" count="1">
            <x v="27"/>
          </reference>
        </references>
      </pivotArea>
    </format>
    <format dxfId="53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1"/>
          </reference>
          <reference field="5" count="1">
            <x v="3"/>
          </reference>
        </references>
      </pivotArea>
    </format>
    <format dxfId="52">
      <pivotArea dataOnly="0" labelOnly="1" outline="0" fieldPosition="0">
        <references count="3">
          <reference field="2" count="1" selected="0">
            <x v="55"/>
          </reference>
          <reference field="3" count="1" selected="0">
            <x v="1"/>
          </reference>
          <reference field="5" count="1">
            <x v="99"/>
          </reference>
        </references>
      </pivotArea>
    </format>
    <format dxfId="51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1"/>
          </reference>
          <reference field="5" count="1">
            <x v="44"/>
          </reference>
        </references>
      </pivotArea>
    </format>
    <format dxfId="50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2"/>
          </reference>
          <reference field="5" count="8">
            <x v="2"/>
            <x v="9"/>
            <x v="16"/>
            <x v="21"/>
            <x v="28"/>
            <x v="41"/>
            <x v="50"/>
            <x v="120"/>
          </reference>
        </references>
      </pivotArea>
    </format>
    <format dxfId="49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2"/>
          </reference>
          <reference field="5" count="4">
            <x v="49"/>
            <x v="81"/>
            <x v="89"/>
            <x v="128"/>
          </reference>
        </references>
      </pivotArea>
    </format>
    <format dxfId="48">
      <pivotArea dataOnly="0" labelOnly="1" outline="0" fieldPosition="0">
        <references count="3">
          <reference field="2" count="1" selected="0">
            <x v="40"/>
          </reference>
          <reference field="3" count="1" selected="0">
            <x v="2"/>
          </reference>
          <reference field="5" count="6">
            <x v="18"/>
            <x v="19"/>
            <x v="24"/>
            <x v="60"/>
            <x v="65"/>
            <x v="97"/>
          </reference>
        </references>
      </pivotArea>
    </format>
    <format dxfId="47">
      <pivotArea dataOnly="0" labelOnly="1" outline="0" fieldPosition="0">
        <references count="3">
          <reference field="2" count="1" selected="0">
            <x v="44"/>
          </reference>
          <reference field="3" count="1" selected="0">
            <x v="2"/>
          </reference>
          <reference field="5" count="1">
            <x v="42"/>
          </reference>
        </references>
      </pivotArea>
    </format>
    <format dxfId="46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2"/>
          </reference>
          <reference field="5" count="1">
            <x v="51"/>
          </reference>
        </references>
      </pivotArea>
    </format>
    <format dxfId="45">
      <pivotArea dataOnly="0" labelOnly="1" outline="0" fieldPosition="0">
        <references count="3">
          <reference field="2" count="1" selected="0">
            <x v="43"/>
          </reference>
          <reference field="3" count="1" selected="0">
            <x v="2"/>
          </reference>
          <reference field="5" count="2">
            <x v="4"/>
            <x v="19"/>
          </reference>
        </references>
      </pivotArea>
    </format>
    <format dxfId="44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3"/>
          </reference>
          <reference field="5" count="3">
            <x v="19"/>
            <x v="43"/>
            <x v="103"/>
          </reference>
        </references>
      </pivotArea>
    </format>
    <format dxfId="43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"/>
          </reference>
          <reference field="5" count="1">
            <x v="17"/>
          </reference>
        </references>
      </pivotArea>
    </format>
    <format dxfId="42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4"/>
          </reference>
          <reference field="5" count="17">
            <x v="19"/>
            <x v="20"/>
            <x v="21"/>
            <x v="37"/>
            <x v="38"/>
            <x v="45"/>
            <x v="67"/>
            <x v="69"/>
            <x v="73"/>
            <x v="88"/>
            <x v="90"/>
            <x v="93"/>
            <x v="95"/>
            <x v="101"/>
            <x v="109"/>
            <x v="126"/>
            <x v="129"/>
          </reference>
        </references>
      </pivotArea>
    </format>
    <format dxfId="41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4"/>
          </reference>
          <reference field="5" count="3">
            <x v="55"/>
            <x v="70"/>
            <x v="87"/>
          </reference>
        </references>
      </pivotArea>
    </format>
    <format dxfId="40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4"/>
          </reference>
          <reference field="5" count="19">
            <x v="19"/>
            <x v="20"/>
            <x v="21"/>
            <x v="56"/>
            <x v="61"/>
            <x v="63"/>
            <x v="71"/>
            <x v="98"/>
            <x v="101"/>
            <x v="106"/>
            <x v="108"/>
            <x v="110"/>
            <x v="111"/>
            <x v="112"/>
            <x v="113"/>
            <x v="114"/>
            <x v="115"/>
            <x v="119"/>
            <x v="121"/>
          </reference>
        </references>
      </pivotArea>
    </format>
    <format dxfId="39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"/>
          </reference>
          <reference field="5" count="1">
            <x v="19"/>
          </reference>
        </references>
      </pivotArea>
    </format>
    <format dxfId="38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"/>
          </reference>
          <reference field="5" count="1">
            <x v="19"/>
          </reference>
        </references>
      </pivotArea>
    </format>
    <format dxfId="37">
      <pivotArea dataOnly="0" labelOnly="1" outline="0" fieldPosition="0">
        <references count="3">
          <reference field="2" count="1" selected="0">
            <x v="17"/>
          </reference>
          <reference field="3" count="1" selected="0">
            <x v="5"/>
          </reference>
          <reference field="5" count="1">
            <x v="23"/>
          </reference>
        </references>
      </pivotArea>
    </format>
    <format dxfId="36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"/>
          </reference>
          <reference field="5" count="1">
            <x v="30"/>
          </reference>
        </references>
      </pivotArea>
    </format>
    <format dxfId="35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5" count="1">
            <x v="1"/>
          </reference>
        </references>
      </pivotArea>
    </format>
    <format dxfId="34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6"/>
          </reference>
          <reference field="5" count="1">
            <x v="26"/>
          </reference>
        </references>
      </pivotArea>
    </format>
    <format dxfId="33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6"/>
          </reference>
          <reference field="5" count="1">
            <x v="22"/>
          </reference>
        </references>
      </pivotArea>
    </format>
    <format dxfId="32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7"/>
          </reference>
          <reference field="5" count="3">
            <x v="6"/>
            <x v="19"/>
            <x v="62"/>
          </reference>
        </references>
      </pivotArea>
    </format>
    <format dxfId="31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7"/>
          </reference>
          <reference field="5" count="3">
            <x v="0"/>
            <x v="78"/>
            <x v="84"/>
          </reference>
        </references>
      </pivotArea>
    </format>
    <format dxfId="30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7"/>
          </reference>
          <reference field="5" count="1">
            <x v="36"/>
          </reference>
        </references>
      </pivotArea>
    </format>
    <format dxfId="29">
      <pivotArea dataOnly="0" labelOnly="1" outline="0" fieldPosition="0">
        <references count="3">
          <reference field="2" count="1" selected="0">
            <x v="39"/>
          </reference>
          <reference field="3" count="1" selected="0">
            <x v="8"/>
          </reference>
          <reference field="5" count="1">
            <x v="35"/>
          </reference>
        </references>
      </pivotArea>
    </format>
    <format dxfId="28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8"/>
          </reference>
          <reference field="5" count="1">
            <x v="122"/>
          </reference>
        </references>
      </pivotArea>
    </format>
    <format dxfId="27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9"/>
          </reference>
          <reference field="5" count="1">
            <x v="36"/>
          </reference>
        </references>
      </pivotArea>
    </format>
    <format dxfId="26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9"/>
          </reference>
          <reference field="5" count="23">
            <x v="7"/>
            <x v="8"/>
            <x v="19"/>
            <x v="20"/>
            <x v="21"/>
            <x v="27"/>
            <x v="33"/>
            <x v="34"/>
            <x v="37"/>
            <x v="44"/>
            <x v="46"/>
            <x v="57"/>
            <x v="58"/>
            <x v="82"/>
            <x v="86"/>
            <x v="95"/>
            <x v="96"/>
            <x v="100"/>
            <x v="101"/>
            <x v="102"/>
            <x v="118"/>
            <x v="122"/>
            <x v="125"/>
          </reference>
        </references>
      </pivotArea>
    </format>
    <format dxfId="25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9"/>
          </reference>
          <reference field="5" count="3">
            <x v="40"/>
            <x v="94"/>
            <x v="116"/>
          </reference>
        </references>
      </pivotArea>
    </format>
    <format dxfId="24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9"/>
          </reference>
          <reference field="5" count="1">
            <x v="70"/>
          </reference>
        </references>
      </pivotArea>
    </format>
    <format dxfId="23">
      <pivotArea dataOnly="0" labelOnly="1" outline="0" fieldPosition="0">
        <references count="3">
          <reference field="2" count="1" selected="0">
            <x v="57"/>
          </reference>
          <reference field="3" count="1" selected="0">
            <x v="9"/>
          </reference>
          <reference field="5" count="1">
            <x v="117"/>
          </reference>
        </references>
      </pivotArea>
    </format>
    <format dxfId="22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9"/>
          </reference>
          <reference field="5" count="5">
            <x v="53"/>
            <x v="80"/>
            <x v="104"/>
            <x v="105"/>
            <x v="107"/>
          </reference>
        </references>
      </pivotArea>
    </format>
    <format dxfId="21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9"/>
          </reference>
          <reference field="5" count="1">
            <x v="76"/>
          </reference>
        </references>
      </pivotArea>
    </format>
    <format dxfId="20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9"/>
          </reference>
          <reference field="5" count="5">
            <x v="79"/>
            <x v="83"/>
            <x v="91"/>
            <x v="92"/>
            <x v="127"/>
          </reference>
        </references>
      </pivotArea>
    </format>
    <format dxfId="19">
      <pivotArea dataOnly="0" labelOnly="1" outline="0" fieldPosition="0">
        <references count="3">
          <reference field="2" count="1" selected="0">
            <x v="48"/>
          </reference>
          <reference field="3" count="1" selected="0">
            <x v="9"/>
          </reference>
          <reference field="5" count="2">
            <x v="19"/>
            <x v="54"/>
          </reference>
        </references>
      </pivotArea>
    </format>
    <format dxfId="18">
      <pivotArea dataOnly="0" labelOnly="1" outline="0" fieldPosition="0">
        <references count="3">
          <reference field="2" count="1" selected="0">
            <x v="58"/>
          </reference>
          <reference field="3" count="1" selected="0">
            <x v="9"/>
          </reference>
          <reference field="5" count="1">
            <x v="123"/>
          </reference>
        </references>
      </pivotArea>
    </format>
    <format dxfId="17">
      <pivotArea dataOnly="0" labelOnly="1" outline="0" fieldPosition="0">
        <references count="3">
          <reference field="2" count="1" selected="0">
            <x v="28"/>
          </reference>
          <reference field="3" count="1" selected="0">
            <x v="9"/>
          </reference>
          <reference field="5" count="2">
            <x v="10"/>
            <x v="66"/>
          </reference>
        </references>
      </pivotArea>
    </format>
    <format dxfId="16">
      <pivotArea dataOnly="0" labelOnly="1" outline="0" fieldPosition="0">
        <references count="3">
          <reference field="2" count="1" selected="0">
            <x v="60"/>
          </reference>
          <reference field="3" count="1" selected="0">
            <x v="9"/>
          </reference>
          <reference field="5" count="1">
            <x v="19"/>
          </reference>
        </references>
      </pivotArea>
    </format>
    <format dxfId="15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9"/>
          </reference>
          <reference field="5" count="1">
            <x v="19"/>
          </reference>
        </references>
      </pivotArea>
    </format>
    <format dxfId="14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9"/>
          </reference>
          <reference field="5" count="1">
            <x v="75"/>
          </reference>
        </references>
      </pivotArea>
    </format>
    <format dxfId="13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9"/>
          </reference>
          <reference field="5" count="2">
            <x v="19"/>
            <x v="70"/>
          </reference>
        </references>
      </pivotArea>
    </format>
    <format dxfId="12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9"/>
          </reference>
          <reference field="5" count="3">
            <x v="19"/>
            <x v="47"/>
            <x v="64"/>
          </reference>
        </references>
      </pivotArea>
    </format>
    <format dxfId="11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9"/>
          </reference>
          <reference field="5" count="1">
            <x v="19"/>
          </reference>
        </references>
      </pivotArea>
    </format>
    <format dxfId="10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9"/>
          </reference>
          <reference field="5" count="1">
            <x v="76"/>
          </reference>
        </references>
      </pivotArea>
    </format>
    <format dxfId="9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9"/>
          </reference>
          <reference field="5" count="14">
            <x v="19"/>
            <x v="20"/>
            <x v="21"/>
            <x v="25"/>
            <x v="48"/>
            <x v="56"/>
            <x v="59"/>
            <x v="68"/>
            <x v="72"/>
            <x v="74"/>
            <x v="77"/>
            <x v="78"/>
            <x v="101"/>
            <x v="124"/>
          </reference>
        </references>
      </pivotArea>
    </format>
    <format dxfId="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10"/>
          </reference>
          <reference field="5" count="4">
            <x v="19"/>
            <x v="20"/>
            <x v="21"/>
            <x v="70"/>
          </reference>
        </references>
      </pivotArea>
    </format>
    <format dxfId="7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10"/>
          </reference>
          <reference field="5" count="1">
            <x v="19"/>
          </reference>
        </references>
      </pivotArea>
    </format>
    <format dxfId="6">
      <pivotArea outline="0" fieldPosition="0">
        <references count="3">
          <reference field="2" count="4" selected="0">
            <x v="1"/>
            <x v="21"/>
            <x v="24"/>
            <x v="30"/>
          </reference>
          <reference field="3" count="1" selected="0">
            <x v="6"/>
          </reference>
          <reference field="5" count="4" selected="0">
            <x v="1"/>
            <x v="22"/>
            <x v="26"/>
            <x v="30"/>
          </reference>
        </references>
      </pivotArea>
    </format>
    <format dxfId="5">
      <pivotArea dataOnly="0" labelOnly="1" outline="0" fieldPosition="0">
        <references count="1">
          <reference field="3" count="1">
            <x v="6"/>
          </reference>
        </references>
      </pivotArea>
    </format>
    <format dxfId="4">
      <pivotArea dataOnly="0" labelOnly="1" outline="0" fieldPosition="0">
        <references count="2">
          <reference field="2" count="4">
            <x v="1"/>
            <x v="21"/>
            <x v="24"/>
            <x v="30"/>
          </reference>
          <reference field="3" count="1" selected="0">
            <x v="6"/>
          </reference>
        </references>
      </pivotArea>
    </format>
    <format dxfId="3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"/>
          </reference>
          <reference field="5" count="1">
            <x v="30"/>
          </reference>
        </references>
      </pivotArea>
    </format>
    <format dxfId="2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5" count="1">
            <x v="1"/>
          </reference>
        </references>
      </pivotArea>
    </format>
    <format dxfId="1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6"/>
          </reference>
          <reference field="5" count="1">
            <x v="26"/>
          </reference>
        </references>
      </pivotArea>
    </format>
    <format dxfId="0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6"/>
          </reference>
          <reference field="5" count="1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0FD3BC-829A-474E-9746-43D49117FD5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c89c271-a450-4da8-a761-b39553cc442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53FF-B5AD-4CFD-A650-6AA6647FCE40}">
  <dimension ref="A1:F155"/>
  <sheetViews>
    <sheetView tabSelected="1" workbookViewId="0">
      <pane ySplit="4" topLeftCell="A19" activePane="bottomLeft" state="frozen"/>
      <selection pane="bottomLeft" activeCell="B26" sqref="B26"/>
    </sheetView>
  </sheetViews>
  <sheetFormatPr defaultRowHeight="14.5" x14ac:dyDescent="0.35"/>
  <cols>
    <col min="1" max="1" width="50.90625" customWidth="1"/>
    <col min="2" max="6" width="17.26953125" customWidth="1"/>
  </cols>
  <sheetData>
    <row r="1" spans="1:6" ht="18.5" x14ac:dyDescent="0.45">
      <c r="A1" s="172" t="s">
        <v>236</v>
      </c>
      <c r="B1" s="172"/>
      <c r="C1" s="172"/>
      <c r="D1" s="172"/>
      <c r="E1" s="172"/>
      <c r="F1" s="172"/>
    </row>
    <row r="2" spans="1:6" x14ac:dyDescent="0.35">
      <c r="A2" s="107" t="s">
        <v>237</v>
      </c>
      <c r="B2" s="107"/>
      <c r="C2" s="107"/>
      <c r="D2" s="107"/>
      <c r="E2" s="107"/>
      <c r="F2" s="107"/>
    </row>
    <row r="4" spans="1:6" ht="15" thickBot="1" x14ac:dyDescent="0.4">
      <c r="A4" s="108" t="s">
        <v>234</v>
      </c>
      <c r="B4" s="121" t="s">
        <v>239</v>
      </c>
      <c r="C4" s="121" t="s">
        <v>240</v>
      </c>
      <c r="D4" s="121" t="s">
        <v>241</v>
      </c>
      <c r="E4" s="121" t="s">
        <v>242</v>
      </c>
      <c r="F4" s="121" t="s">
        <v>243</v>
      </c>
    </row>
    <row r="5" spans="1:6" x14ac:dyDescent="0.35">
      <c r="A5" s="110" t="s">
        <v>156</v>
      </c>
      <c r="B5" s="111"/>
      <c r="C5" s="111"/>
      <c r="D5" s="111"/>
      <c r="E5" s="111"/>
      <c r="F5" s="111"/>
    </row>
    <row r="6" spans="1:6" x14ac:dyDescent="0.35">
      <c r="A6" s="112" t="s">
        <v>155</v>
      </c>
      <c r="B6" s="113">
        <v>226527</v>
      </c>
      <c r="C6" s="113">
        <v>227771</v>
      </c>
      <c r="D6" s="113">
        <v>221215</v>
      </c>
      <c r="E6" s="113">
        <v>195207</v>
      </c>
      <c r="F6" s="113">
        <v>209918</v>
      </c>
    </row>
    <row r="7" spans="1:6" x14ac:dyDescent="0.35">
      <c r="A7" t="s">
        <v>154</v>
      </c>
      <c r="B7" s="109">
        <v>226814</v>
      </c>
      <c r="C7" s="109">
        <v>227770</v>
      </c>
      <c r="D7" s="109">
        <v>221215</v>
      </c>
      <c r="E7" s="109">
        <v>194902</v>
      </c>
      <c r="F7" s="109">
        <v>209920</v>
      </c>
    </row>
    <row r="8" spans="1:6" x14ac:dyDescent="0.35">
      <c r="A8" t="s">
        <v>153</v>
      </c>
      <c r="B8" s="109">
        <v>0</v>
      </c>
      <c r="C8" s="109">
        <v>1</v>
      </c>
      <c r="D8" s="109">
        <v>0</v>
      </c>
      <c r="E8" s="109">
        <v>0</v>
      </c>
      <c r="F8" s="109">
        <v>0</v>
      </c>
    </row>
    <row r="9" spans="1:6" x14ac:dyDescent="0.35">
      <c r="A9" t="s">
        <v>152</v>
      </c>
      <c r="B9" s="109">
        <v>0</v>
      </c>
      <c r="C9" s="109"/>
      <c r="D9" s="109"/>
      <c r="E9" s="109"/>
      <c r="F9" s="109"/>
    </row>
    <row r="10" spans="1:6" x14ac:dyDescent="0.35">
      <c r="A10" t="s">
        <v>151</v>
      </c>
      <c r="B10" s="109">
        <v>287</v>
      </c>
      <c r="C10" s="109">
        <v>0</v>
      </c>
      <c r="D10" s="109">
        <v>0</v>
      </c>
      <c r="E10" s="109">
        <v>16</v>
      </c>
      <c r="F10" s="109">
        <v>0</v>
      </c>
    </row>
    <row r="11" spans="1:6" x14ac:dyDescent="0.35">
      <c r="A11" t="s">
        <v>150</v>
      </c>
      <c r="B11" s="109">
        <v>0</v>
      </c>
      <c r="C11" s="109"/>
      <c r="D11" s="109"/>
      <c r="E11" s="109">
        <v>289</v>
      </c>
      <c r="F11" s="109">
        <v>-2</v>
      </c>
    </row>
    <row r="12" spans="1:6" ht="15" thickBot="1" x14ac:dyDescent="0.4">
      <c r="A12" s="116" t="s">
        <v>149</v>
      </c>
      <c r="B12" s="117">
        <v>226814</v>
      </c>
      <c r="C12" s="117">
        <v>227771</v>
      </c>
      <c r="D12" s="117">
        <v>221215</v>
      </c>
      <c r="E12" s="117">
        <v>195207</v>
      </c>
      <c r="F12" s="117">
        <v>209918</v>
      </c>
    </row>
    <row r="13" spans="1:6" ht="15" thickTop="1" x14ac:dyDescent="0.35">
      <c r="A13" s="110" t="s">
        <v>148</v>
      </c>
      <c r="B13" s="111"/>
      <c r="C13" s="111"/>
      <c r="D13" s="111"/>
      <c r="E13" s="111"/>
      <c r="F13" s="111"/>
    </row>
    <row r="14" spans="1:6" x14ac:dyDescent="0.35">
      <c r="A14" s="112" t="s">
        <v>147</v>
      </c>
      <c r="B14" s="113">
        <v>114851</v>
      </c>
      <c r="C14" s="113">
        <v>108834</v>
      </c>
      <c r="D14" s="113">
        <v>120509</v>
      </c>
      <c r="E14" s="113">
        <v>100793</v>
      </c>
      <c r="F14" s="113">
        <v>92483</v>
      </c>
    </row>
    <row r="15" spans="1:6" x14ac:dyDescent="0.35">
      <c r="A15" s="110" t="s">
        <v>146</v>
      </c>
      <c r="B15" s="111"/>
      <c r="C15" s="111"/>
      <c r="D15" s="111"/>
      <c r="E15" s="111"/>
      <c r="F15" s="111"/>
    </row>
    <row r="16" spans="1:6" x14ac:dyDescent="0.35">
      <c r="A16" t="s">
        <v>145</v>
      </c>
      <c r="B16" s="109">
        <v>0</v>
      </c>
      <c r="C16" s="109">
        <v>5914</v>
      </c>
      <c r="D16" s="109">
        <v>7575</v>
      </c>
      <c r="E16" s="109">
        <v>0</v>
      </c>
      <c r="F16" s="109">
        <v>0</v>
      </c>
    </row>
    <row r="17" spans="1:6" x14ac:dyDescent="0.35">
      <c r="A17" t="s">
        <v>144</v>
      </c>
      <c r="B17" s="109">
        <v>65899</v>
      </c>
      <c r="C17" s="109">
        <v>66470</v>
      </c>
      <c r="D17" s="109">
        <v>71381</v>
      </c>
      <c r="E17" s="109">
        <v>62706</v>
      </c>
      <c r="F17" s="109">
        <v>57391</v>
      </c>
    </row>
    <row r="18" spans="1:6" x14ac:dyDescent="0.35">
      <c r="A18" t="s">
        <v>143</v>
      </c>
      <c r="B18" s="109">
        <v>37201</v>
      </c>
      <c r="C18" s="109">
        <v>36233</v>
      </c>
      <c r="D18" s="109">
        <v>41215</v>
      </c>
      <c r="E18" s="109">
        <v>38087</v>
      </c>
      <c r="F18" s="109">
        <v>35040</v>
      </c>
    </row>
    <row r="19" spans="1:6" x14ac:dyDescent="0.35">
      <c r="A19" t="s">
        <v>142</v>
      </c>
      <c r="B19" s="109">
        <v>0</v>
      </c>
      <c r="C19" s="109">
        <v>217</v>
      </c>
      <c r="D19" s="109">
        <v>217</v>
      </c>
      <c r="E19" s="109">
        <v>0</v>
      </c>
      <c r="F19" s="109">
        <v>53</v>
      </c>
    </row>
    <row r="20" spans="1:6" x14ac:dyDescent="0.35">
      <c r="A20" t="s">
        <v>141</v>
      </c>
      <c r="B20" s="109">
        <v>0</v>
      </c>
      <c r="C20" s="109"/>
      <c r="D20" s="109">
        <v>121</v>
      </c>
      <c r="E20" s="109">
        <v>0</v>
      </c>
      <c r="F20" s="109">
        <v>-1</v>
      </c>
    </row>
    <row r="21" spans="1:6" x14ac:dyDescent="0.35">
      <c r="A21" s="112" t="s">
        <v>140</v>
      </c>
      <c r="B21" s="113"/>
      <c r="C21" s="113">
        <v>10714</v>
      </c>
      <c r="D21" s="113">
        <v>11400</v>
      </c>
      <c r="E21" s="113">
        <v>11371</v>
      </c>
      <c r="F21" s="113">
        <v>10965</v>
      </c>
    </row>
    <row r="22" spans="1:6" x14ac:dyDescent="0.35">
      <c r="A22" t="s">
        <v>139</v>
      </c>
      <c r="B22" s="109">
        <v>83</v>
      </c>
      <c r="C22" s="109"/>
      <c r="D22" s="109"/>
      <c r="E22" s="109"/>
      <c r="F22" s="109"/>
    </row>
    <row r="23" spans="1:6" x14ac:dyDescent="0.35">
      <c r="A23" t="s">
        <v>138</v>
      </c>
      <c r="B23" s="109">
        <v>407</v>
      </c>
      <c r="C23" s="109">
        <v>370</v>
      </c>
      <c r="D23" s="109">
        <v>392</v>
      </c>
      <c r="E23" s="109">
        <v>411</v>
      </c>
      <c r="F23" s="109">
        <v>381</v>
      </c>
    </row>
    <row r="24" spans="1:6" x14ac:dyDescent="0.35">
      <c r="A24" t="s">
        <v>137</v>
      </c>
      <c r="B24" s="109">
        <v>5079</v>
      </c>
      <c r="C24" s="109">
        <v>9273</v>
      </c>
      <c r="D24" s="109">
        <v>9964</v>
      </c>
      <c r="E24" s="109">
        <v>9958</v>
      </c>
      <c r="F24" s="109">
        <v>9488</v>
      </c>
    </row>
    <row r="25" spans="1:6" x14ac:dyDescent="0.35">
      <c r="A25" t="s">
        <v>136</v>
      </c>
      <c r="B25" s="109">
        <v>357</v>
      </c>
      <c r="C25" s="109">
        <v>428</v>
      </c>
      <c r="D25" s="109">
        <v>404</v>
      </c>
      <c r="E25" s="109">
        <v>391</v>
      </c>
      <c r="F25" s="109">
        <v>365</v>
      </c>
    </row>
    <row r="26" spans="1:6" x14ac:dyDescent="0.35">
      <c r="A26" t="s">
        <v>135</v>
      </c>
      <c r="B26" s="109">
        <v>5079</v>
      </c>
      <c r="C26" s="109"/>
      <c r="D26" s="109"/>
      <c r="E26" s="109"/>
      <c r="F26" s="109"/>
    </row>
    <row r="27" spans="1:6" x14ac:dyDescent="0.35">
      <c r="A27" t="s">
        <v>134</v>
      </c>
      <c r="B27" s="109">
        <v>748</v>
      </c>
      <c r="C27" s="109">
        <v>644</v>
      </c>
      <c r="D27" s="109">
        <v>639</v>
      </c>
      <c r="E27" s="109">
        <v>610</v>
      </c>
      <c r="F27" s="109">
        <v>597</v>
      </c>
    </row>
    <row r="28" spans="1:6" x14ac:dyDescent="0.35">
      <c r="A28" t="s">
        <v>133</v>
      </c>
      <c r="B28" s="109">
        <v>0</v>
      </c>
      <c r="C28" s="109"/>
      <c r="D28" s="109"/>
      <c r="E28" s="109"/>
      <c r="F28" s="109">
        <v>8</v>
      </c>
    </row>
    <row r="29" spans="1:6" x14ac:dyDescent="0.35">
      <c r="A29" t="s">
        <v>132</v>
      </c>
      <c r="B29" s="109">
        <v>0</v>
      </c>
      <c r="C29" s="109"/>
      <c r="D29" s="109"/>
      <c r="E29" s="109"/>
      <c r="F29" s="109"/>
    </row>
    <row r="30" spans="1:6" x14ac:dyDescent="0.35">
      <c r="A30" t="s">
        <v>131</v>
      </c>
      <c r="B30" s="109"/>
      <c r="C30" s="109"/>
      <c r="D30" s="109"/>
      <c r="E30" s="109"/>
      <c r="F30" s="109">
        <v>127</v>
      </c>
    </row>
    <row r="31" spans="1:6" x14ac:dyDescent="0.35">
      <c r="A31" s="112" t="s">
        <v>130</v>
      </c>
      <c r="B31" s="113">
        <v>15976</v>
      </c>
      <c r="C31" s="113">
        <v>15082</v>
      </c>
      <c r="D31" s="113">
        <v>15533</v>
      </c>
      <c r="E31" s="113">
        <v>14894</v>
      </c>
      <c r="F31" s="113">
        <v>17229</v>
      </c>
    </row>
    <row r="32" spans="1:6" x14ac:dyDescent="0.35">
      <c r="A32" t="s">
        <v>129</v>
      </c>
      <c r="B32" s="109">
        <v>0</v>
      </c>
      <c r="C32" s="109"/>
      <c r="D32" s="109"/>
      <c r="E32" s="109"/>
      <c r="F32" s="109"/>
    </row>
    <row r="33" spans="1:6" x14ac:dyDescent="0.35">
      <c r="A33" t="s">
        <v>128</v>
      </c>
      <c r="B33" s="109">
        <v>1968</v>
      </c>
      <c r="C33" s="109">
        <v>3064</v>
      </c>
      <c r="D33" s="109">
        <v>2676</v>
      </c>
      <c r="E33" s="109">
        <v>2980</v>
      </c>
      <c r="F33" s="109">
        <v>2663</v>
      </c>
    </row>
    <row r="34" spans="1:6" x14ac:dyDescent="0.35">
      <c r="A34" t="s">
        <v>127</v>
      </c>
      <c r="B34" s="109">
        <v>0</v>
      </c>
      <c r="C34" s="109"/>
      <c r="D34" s="109"/>
      <c r="E34" s="109"/>
      <c r="F34" s="109"/>
    </row>
    <row r="35" spans="1:6" x14ac:dyDescent="0.35">
      <c r="A35" t="s">
        <v>126</v>
      </c>
      <c r="B35" s="109">
        <v>743</v>
      </c>
      <c r="C35" s="109">
        <v>743</v>
      </c>
      <c r="D35" s="109">
        <v>743</v>
      </c>
      <c r="E35" s="109">
        <v>743</v>
      </c>
      <c r="F35" s="109">
        <v>719</v>
      </c>
    </row>
    <row r="36" spans="1:6" x14ac:dyDescent="0.35">
      <c r="A36" t="s">
        <v>125</v>
      </c>
      <c r="B36" s="109">
        <v>4302</v>
      </c>
      <c r="C36" s="109">
        <v>4302</v>
      </c>
      <c r="D36" s="109">
        <v>4302</v>
      </c>
      <c r="E36" s="109">
        <v>4302</v>
      </c>
      <c r="F36" s="109">
        <v>4162</v>
      </c>
    </row>
    <row r="37" spans="1:6" x14ac:dyDescent="0.35">
      <c r="A37" t="s">
        <v>124</v>
      </c>
      <c r="B37" s="109">
        <v>2058</v>
      </c>
      <c r="C37" s="109">
        <v>2068</v>
      </c>
      <c r="D37" s="109">
        <v>1907</v>
      </c>
      <c r="E37" s="109">
        <v>1964</v>
      </c>
      <c r="F37" s="109">
        <v>1924</v>
      </c>
    </row>
    <row r="38" spans="1:6" x14ac:dyDescent="0.35">
      <c r="A38" t="s">
        <v>123</v>
      </c>
      <c r="B38" s="109">
        <v>285</v>
      </c>
      <c r="C38" s="109">
        <v>285</v>
      </c>
      <c r="D38" s="109">
        <v>285</v>
      </c>
      <c r="E38" s="109">
        <v>285</v>
      </c>
      <c r="F38" s="109">
        <v>290</v>
      </c>
    </row>
    <row r="39" spans="1:6" x14ac:dyDescent="0.35">
      <c r="A39" t="s">
        <v>122</v>
      </c>
      <c r="B39" s="109">
        <v>4348</v>
      </c>
      <c r="C39" s="109">
        <v>4348</v>
      </c>
      <c r="D39" s="109">
        <v>4348</v>
      </c>
      <c r="E39" s="109">
        <v>4348</v>
      </c>
      <c r="F39" s="109">
        <v>4207</v>
      </c>
    </row>
    <row r="40" spans="1:6" x14ac:dyDescent="0.35">
      <c r="A40" t="s">
        <v>121</v>
      </c>
      <c r="B40" s="109">
        <v>2000</v>
      </c>
      <c r="C40" s="109">
        <v>272</v>
      </c>
      <c r="D40" s="109">
        <v>1272</v>
      </c>
      <c r="E40" s="109">
        <v>272</v>
      </c>
      <c r="F40" s="109">
        <v>3263</v>
      </c>
    </row>
    <row r="41" spans="1:6" x14ac:dyDescent="0.35">
      <c r="A41" t="s">
        <v>120</v>
      </c>
      <c r="B41" s="109">
        <v>272</v>
      </c>
      <c r="C41" s="109"/>
      <c r="D41" s="109"/>
      <c r="E41" s="109"/>
      <c r="F41" s="109"/>
    </row>
    <row r="42" spans="1:6" x14ac:dyDescent="0.35">
      <c r="A42" s="112" t="s">
        <v>119</v>
      </c>
      <c r="B42" s="113">
        <v>4939</v>
      </c>
      <c r="C42" s="113">
        <v>19569</v>
      </c>
      <c r="D42" s="113">
        <v>26953</v>
      </c>
      <c r="E42" s="113">
        <v>1981</v>
      </c>
      <c r="F42" s="113">
        <v>1969</v>
      </c>
    </row>
    <row r="43" spans="1:6" x14ac:dyDescent="0.35">
      <c r="A43" t="s">
        <v>118</v>
      </c>
      <c r="B43" s="109">
        <v>2336</v>
      </c>
      <c r="C43" s="109">
        <v>541</v>
      </c>
      <c r="D43" s="109">
        <v>295</v>
      </c>
      <c r="E43" s="109">
        <v>285</v>
      </c>
      <c r="F43" s="109">
        <v>285</v>
      </c>
    </row>
    <row r="44" spans="1:6" x14ac:dyDescent="0.35">
      <c r="A44" t="s">
        <v>117</v>
      </c>
      <c r="B44" s="109">
        <v>435</v>
      </c>
      <c r="C44" s="109">
        <v>393</v>
      </c>
      <c r="D44" s="109">
        <v>459</v>
      </c>
      <c r="E44" s="109">
        <v>220</v>
      </c>
      <c r="F44" s="109">
        <v>220</v>
      </c>
    </row>
    <row r="45" spans="1:6" x14ac:dyDescent="0.35">
      <c r="A45" t="s">
        <v>116</v>
      </c>
      <c r="B45" s="109">
        <v>966</v>
      </c>
      <c r="C45" s="109">
        <v>973</v>
      </c>
      <c r="D45" s="109">
        <v>985</v>
      </c>
      <c r="E45" s="109">
        <v>479</v>
      </c>
      <c r="F45" s="109">
        <v>688</v>
      </c>
    </row>
    <row r="46" spans="1:6" x14ac:dyDescent="0.35">
      <c r="A46" t="s">
        <v>115</v>
      </c>
      <c r="B46" s="109"/>
      <c r="C46" s="109">
        <v>146</v>
      </c>
      <c r="D46" s="109">
        <v>34</v>
      </c>
      <c r="E46" s="109">
        <v>29</v>
      </c>
      <c r="F46" s="109">
        <v>27</v>
      </c>
    </row>
    <row r="47" spans="1:6" x14ac:dyDescent="0.35">
      <c r="A47" t="s">
        <v>114</v>
      </c>
      <c r="B47" s="109">
        <v>189</v>
      </c>
      <c r="C47" s="109">
        <v>189</v>
      </c>
      <c r="D47" s="109">
        <v>189</v>
      </c>
      <c r="E47" s="109">
        <v>213</v>
      </c>
      <c r="F47" s="109">
        <v>210</v>
      </c>
    </row>
    <row r="48" spans="1:6" x14ac:dyDescent="0.35">
      <c r="A48" t="s">
        <v>113</v>
      </c>
      <c r="B48" s="109">
        <v>989</v>
      </c>
      <c r="C48" s="109">
        <v>662</v>
      </c>
      <c r="D48" s="109">
        <v>838</v>
      </c>
      <c r="E48" s="109">
        <v>754</v>
      </c>
      <c r="F48" s="109">
        <v>539</v>
      </c>
    </row>
    <row r="49" spans="1:6" x14ac:dyDescent="0.35">
      <c r="A49" s="112" t="s">
        <v>112</v>
      </c>
      <c r="B49" s="113">
        <v>4439</v>
      </c>
      <c r="C49" s="113">
        <v>4371</v>
      </c>
      <c r="D49" s="113">
        <v>5351</v>
      </c>
      <c r="E49" s="113">
        <v>4084</v>
      </c>
      <c r="F49" s="113">
        <v>4254</v>
      </c>
    </row>
    <row r="50" spans="1:6" x14ac:dyDescent="0.35">
      <c r="A50" t="s">
        <v>111</v>
      </c>
      <c r="B50" s="109">
        <v>4439</v>
      </c>
      <c r="C50" s="109">
        <v>4371</v>
      </c>
      <c r="D50" s="109">
        <v>5351</v>
      </c>
      <c r="E50" s="109">
        <v>4084</v>
      </c>
      <c r="F50" s="109">
        <v>4254</v>
      </c>
    </row>
    <row r="51" spans="1:6" x14ac:dyDescent="0.35">
      <c r="A51" s="112" t="s">
        <v>110</v>
      </c>
      <c r="B51" s="113">
        <v>20230</v>
      </c>
      <c r="C51" s="113">
        <v>7664</v>
      </c>
      <c r="D51" s="113">
        <v>9684</v>
      </c>
      <c r="E51" s="113">
        <v>21527</v>
      </c>
      <c r="F51" s="113">
        <v>17650</v>
      </c>
    </row>
    <row r="52" spans="1:6" x14ac:dyDescent="0.35">
      <c r="A52" t="s">
        <v>109</v>
      </c>
      <c r="B52" s="109">
        <v>0</v>
      </c>
      <c r="C52" s="109"/>
      <c r="D52" s="109"/>
      <c r="E52" s="109"/>
      <c r="F52" s="109"/>
    </row>
    <row r="53" spans="1:6" x14ac:dyDescent="0.35">
      <c r="A53" t="s">
        <v>108</v>
      </c>
      <c r="B53" s="109">
        <v>756</v>
      </c>
      <c r="C53" s="109"/>
      <c r="D53" s="109"/>
      <c r="E53" s="109"/>
      <c r="F53" s="109"/>
    </row>
    <row r="54" spans="1:6" x14ac:dyDescent="0.35">
      <c r="A54" t="s">
        <v>107</v>
      </c>
      <c r="B54" s="109">
        <v>0</v>
      </c>
      <c r="C54" s="109"/>
      <c r="D54" s="109"/>
      <c r="E54" s="109"/>
      <c r="F54" s="109"/>
    </row>
    <row r="55" spans="1:6" x14ac:dyDescent="0.35">
      <c r="A55" t="s">
        <v>106</v>
      </c>
      <c r="B55" s="109">
        <v>364</v>
      </c>
      <c r="C55" s="109">
        <v>360</v>
      </c>
      <c r="D55" s="109">
        <v>1304</v>
      </c>
      <c r="E55" s="109">
        <v>163</v>
      </c>
      <c r="F55" s="109">
        <v>427</v>
      </c>
    </row>
    <row r="56" spans="1:6" x14ac:dyDescent="0.35">
      <c r="A56" t="s">
        <v>105</v>
      </c>
      <c r="B56" s="109">
        <v>0</v>
      </c>
      <c r="C56" s="109"/>
      <c r="D56" s="109"/>
      <c r="E56" s="109"/>
      <c r="F56" s="109"/>
    </row>
    <row r="57" spans="1:6" x14ac:dyDescent="0.35">
      <c r="A57" t="s">
        <v>104</v>
      </c>
      <c r="B57" s="109">
        <v>0</v>
      </c>
      <c r="C57" s="109"/>
      <c r="D57" s="109"/>
      <c r="E57" s="109"/>
      <c r="F57" s="109"/>
    </row>
    <row r="58" spans="1:6" x14ac:dyDescent="0.35">
      <c r="A58" t="s">
        <v>103</v>
      </c>
      <c r="B58" s="109">
        <v>419</v>
      </c>
      <c r="C58" s="109">
        <v>3655</v>
      </c>
      <c r="D58" s="109">
        <v>3892</v>
      </c>
      <c r="E58" s="109">
        <v>1727</v>
      </c>
      <c r="F58" s="109">
        <v>1873</v>
      </c>
    </row>
    <row r="59" spans="1:6" x14ac:dyDescent="0.35">
      <c r="A59" t="s">
        <v>102</v>
      </c>
      <c r="B59" s="109">
        <v>0</v>
      </c>
      <c r="C59" s="109"/>
      <c r="D59" s="109"/>
      <c r="E59" s="109"/>
      <c r="F59" s="109"/>
    </row>
    <row r="60" spans="1:6" x14ac:dyDescent="0.35">
      <c r="A60" t="s">
        <v>101</v>
      </c>
      <c r="B60" s="109">
        <v>0</v>
      </c>
      <c r="C60" s="109"/>
      <c r="D60" s="109"/>
      <c r="E60" s="109"/>
      <c r="F60" s="109"/>
    </row>
    <row r="61" spans="1:6" x14ac:dyDescent="0.35">
      <c r="A61" t="s">
        <v>100</v>
      </c>
      <c r="B61" s="109">
        <v>3220</v>
      </c>
      <c r="C61" s="109">
        <v>2902</v>
      </c>
      <c r="D61" s="109">
        <v>3070</v>
      </c>
      <c r="E61" s="109">
        <v>2951</v>
      </c>
      <c r="F61" s="109">
        <v>2818</v>
      </c>
    </row>
    <row r="62" spans="1:6" x14ac:dyDescent="0.35">
      <c r="A62" t="s">
        <v>99</v>
      </c>
      <c r="B62" s="109">
        <v>14832.9</v>
      </c>
      <c r="C62" s="109">
        <v>16666</v>
      </c>
      <c r="D62" s="109">
        <v>24152</v>
      </c>
      <c r="E62" s="109">
        <v>16686</v>
      </c>
      <c r="F62" s="109">
        <v>12533</v>
      </c>
    </row>
    <row r="63" spans="1:6" ht="15" thickBot="1" x14ac:dyDescent="0.4">
      <c r="A63" s="114" t="s">
        <v>98</v>
      </c>
      <c r="B63" s="115">
        <v>160435</v>
      </c>
      <c r="C63" s="115">
        <v>166233</v>
      </c>
      <c r="D63" s="115">
        <v>189430</v>
      </c>
      <c r="E63" s="115">
        <v>154650</v>
      </c>
      <c r="F63" s="115">
        <v>144550</v>
      </c>
    </row>
    <row r="64" spans="1:6" ht="15.5" thickTop="1" thickBot="1" x14ac:dyDescent="0.4">
      <c r="A64" s="118" t="s">
        <v>97</v>
      </c>
      <c r="B64" s="119">
        <v>66379</v>
      </c>
      <c r="C64" s="119">
        <v>61538</v>
      </c>
      <c r="D64" s="119">
        <v>31785</v>
      </c>
      <c r="E64" s="119">
        <v>40557</v>
      </c>
      <c r="F64" s="119">
        <v>65368</v>
      </c>
    </row>
    <row r="65" spans="1:6" ht="15" thickTop="1" x14ac:dyDescent="0.35">
      <c r="A65" t="s">
        <v>96</v>
      </c>
      <c r="B65" s="120"/>
      <c r="C65" s="120">
        <v>0.27</v>
      </c>
      <c r="D65" s="120">
        <v>0.14000000000000001</v>
      </c>
      <c r="E65" s="120">
        <v>0.21</v>
      </c>
      <c r="F65" s="120">
        <v>0.31</v>
      </c>
    </row>
    <row r="66" spans="1:6" x14ac:dyDescent="0.35">
      <c r="A66" s="110" t="s">
        <v>89</v>
      </c>
      <c r="B66" s="111"/>
      <c r="C66" s="111"/>
      <c r="D66" s="111"/>
      <c r="E66" s="111"/>
      <c r="F66" s="111"/>
    </row>
    <row r="67" spans="1:6" x14ac:dyDescent="0.35">
      <c r="A67" s="112" t="s">
        <v>88</v>
      </c>
      <c r="B67" s="113">
        <v>5200</v>
      </c>
      <c r="C67" s="113">
        <v>3273</v>
      </c>
      <c r="D67" s="113">
        <v>2839</v>
      </c>
      <c r="E67" s="113">
        <v>2109</v>
      </c>
      <c r="F67" s="113">
        <v>1407</v>
      </c>
    </row>
    <row r="68" spans="1:6" x14ac:dyDescent="0.35">
      <c r="A68" t="s">
        <v>87</v>
      </c>
      <c r="B68" s="109">
        <v>1499</v>
      </c>
      <c r="C68" s="109"/>
      <c r="D68" s="109"/>
      <c r="E68" s="109"/>
      <c r="F68" s="109"/>
    </row>
    <row r="69" spans="1:6" x14ac:dyDescent="0.35">
      <c r="A69" t="s">
        <v>86</v>
      </c>
      <c r="B69" s="109">
        <v>0</v>
      </c>
      <c r="C69" s="109"/>
      <c r="D69" s="109"/>
      <c r="E69" s="109"/>
      <c r="F69" s="109"/>
    </row>
    <row r="70" spans="1:6" x14ac:dyDescent="0.35">
      <c r="A70" t="s">
        <v>85</v>
      </c>
      <c r="B70" s="109">
        <v>0</v>
      </c>
      <c r="C70" s="109"/>
      <c r="D70" s="109"/>
      <c r="E70" s="109"/>
      <c r="F70" s="109"/>
    </row>
    <row r="71" spans="1:6" x14ac:dyDescent="0.35">
      <c r="A71" t="s">
        <v>84</v>
      </c>
      <c r="B71" s="109">
        <v>605</v>
      </c>
      <c r="C71" s="109">
        <v>1070</v>
      </c>
      <c r="D71" s="109">
        <v>152</v>
      </c>
      <c r="E71" s="109">
        <v>734</v>
      </c>
      <c r="F71" s="109">
        <v>318</v>
      </c>
    </row>
    <row r="72" spans="1:6" x14ac:dyDescent="0.35">
      <c r="A72" t="s">
        <v>83</v>
      </c>
      <c r="B72" s="109">
        <v>0</v>
      </c>
      <c r="C72" s="109"/>
      <c r="D72" s="109"/>
      <c r="E72" s="109"/>
      <c r="F72" s="109"/>
    </row>
    <row r="73" spans="1:6" x14ac:dyDescent="0.35">
      <c r="A73" t="s">
        <v>82</v>
      </c>
      <c r="B73" s="109">
        <v>0</v>
      </c>
      <c r="C73" s="109"/>
      <c r="D73" s="109"/>
      <c r="E73" s="109"/>
      <c r="F73" s="109"/>
    </row>
    <row r="74" spans="1:6" x14ac:dyDescent="0.35">
      <c r="A74" t="s">
        <v>81</v>
      </c>
      <c r="B74" s="109">
        <v>0</v>
      </c>
      <c r="C74" s="109"/>
      <c r="D74" s="109"/>
      <c r="E74" s="109"/>
      <c r="F74" s="109"/>
    </row>
    <row r="75" spans="1:6" x14ac:dyDescent="0.35">
      <c r="A75" t="s">
        <v>80</v>
      </c>
      <c r="B75" s="109">
        <v>1362</v>
      </c>
      <c r="C75" s="109">
        <v>1188</v>
      </c>
      <c r="D75" s="109">
        <v>1211</v>
      </c>
      <c r="E75" s="109">
        <v>128</v>
      </c>
      <c r="F75" s="109">
        <v>0</v>
      </c>
    </row>
    <row r="76" spans="1:6" x14ac:dyDescent="0.35">
      <c r="A76" t="s">
        <v>79</v>
      </c>
      <c r="B76" s="109">
        <v>0</v>
      </c>
      <c r="C76" s="109"/>
      <c r="D76" s="109"/>
      <c r="E76" s="109"/>
      <c r="F76" s="109"/>
    </row>
    <row r="77" spans="1:6" x14ac:dyDescent="0.35">
      <c r="A77" t="s">
        <v>78</v>
      </c>
      <c r="B77" s="109">
        <v>1154</v>
      </c>
      <c r="C77" s="109">
        <v>1015</v>
      </c>
      <c r="D77" s="109">
        <v>1476</v>
      </c>
      <c r="E77" s="109">
        <v>1247</v>
      </c>
      <c r="F77" s="109">
        <v>1093</v>
      </c>
    </row>
    <row r="78" spans="1:6" x14ac:dyDescent="0.35">
      <c r="A78" t="s">
        <v>77</v>
      </c>
      <c r="B78" s="109">
        <v>581</v>
      </c>
      <c r="C78" s="109">
        <v>0</v>
      </c>
      <c r="D78" s="109">
        <v>0</v>
      </c>
      <c r="E78" s="109">
        <v>0</v>
      </c>
      <c r="F78" s="109">
        <v>-4</v>
      </c>
    </row>
    <row r="79" spans="1:6" x14ac:dyDescent="0.35">
      <c r="A79" s="110" t="s">
        <v>74</v>
      </c>
      <c r="B79" s="111"/>
      <c r="C79" s="111"/>
      <c r="D79" s="111"/>
      <c r="E79" s="111"/>
      <c r="F79" s="111"/>
    </row>
    <row r="80" spans="1:6" x14ac:dyDescent="0.35">
      <c r="A80" s="112" t="s">
        <v>73</v>
      </c>
      <c r="B80" s="113">
        <v>47161</v>
      </c>
      <c r="C80" s="113">
        <v>37861</v>
      </c>
      <c r="D80" s="113">
        <v>27151</v>
      </c>
      <c r="E80" s="113">
        <v>32806</v>
      </c>
      <c r="F80" s="113">
        <v>25618</v>
      </c>
    </row>
    <row r="81" spans="1:6" x14ac:dyDescent="0.35">
      <c r="A81" t="s">
        <v>72</v>
      </c>
      <c r="B81" s="109">
        <v>163</v>
      </c>
      <c r="C81" s="109">
        <v>0</v>
      </c>
      <c r="D81" s="109">
        <v>0</v>
      </c>
      <c r="E81" s="109">
        <v>0</v>
      </c>
      <c r="F81" s="109">
        <v>-1</v>
      </c>
    </row>
    <row r="82" spans="1:6" x14ac:dyDescent="0.35">
      <c r="A82" t="s">
        <v>71</v>
      </c>
      <c r="B82" s="109">
        <v>46998</v>
      </c>
      <c r="C82" s="109">
        <v>37861</v>
      </c>
      <c r="D82" s="109">
        <v>27151</v>
      </c>
      <c r="E82" s="109">
        <v>32806</v>
      </c>
      <c r="F82" s="109">
        <v>25619</v>
      </c>
    </row>
    <row r="83" spans="1:6" x14ac:dyDescent="0.35">
      <c r="A83" s="112" t="s">
        <v>70</v>
      </c>
      <c r="B83" s="113">
        <v>9353</v>
      </c>
      <c r="C83" s="113">
        <v>5878</v>
      </c>
      <c r="D83" s="113">
        <v>5987</v>
      </c>
      <c r="E83" s="113">
        <v>3685</v>
      </c>
      <c r="F83" s="113">
        <v>2340</v>
      </c>
    </row>
    <row r="84" spans="1:6" x14ac:dyDescent="0.35">
      <c r="A84" t="s">
        <v>68</v>
      </c>
      <c r="B84" s="109">
        <v>1359</v>
      </c>
      <c r="C84" s="109">
        <v>1359</v>
      </c>
      <c r="D84" s="109">
        <v>2011</v>
      </c>
      <c r="E84" s="109">
        <v>1359</v>
      </c>
      <c r="F84" s="109">
        <v>1315</v>
      </c>
    </row>
    <row r="85" spans="1:6" x14ac:dyDescent="0.35">
      <c r="A85" t="s">
        <v>67</v>
      </c>
      <c r="B85" s="109">
        <v>7940</v>
      </c>
      <c r="C85" s="109">
        <v>4519</v>
      </c>
      <c r="D85" s="109">
        <v>3976</v>
      </c>
      <c r="E85" s="109">
        <v>2326</v>
      </c>
      <c r="F85" s="109">
        <v>1025</v>
      </c>
    </row>
    <row r="86" spans="1:6" x14ac:dyDescent="0.35">
      <c r="A86" t="s">
        <v>66</v>
      </c>
      <c r="B86" s="109">
        <v>54</v>
      </c>
      <c r="C86" s="109">
        <v>0</v>
      </c>
      <c r="D86" s="109">
        <v>0</v>
      </c>
      <c r="E86" s="109"/>
      <c r="F86" s="109"/>
    </row>
    <row r="87" spans="1:6" x14ac:dyDescent="0.35">
      <c r="A87" s="112" t="s">
        <v>65</v>
      </c>
      <c r="B87" s="113">
        <v>14329</v>
      </c>
      <c r="C87" s="113">
        <v>9723</v>
      </c>
      <c r="D87" s="113">
        <v>6533</v>
      </c>
      <c r="E87" s="113">
        <v>5917</v>
      </c>
      <c r="F87" s="113">
        <v>7541</v>
      </c>
    </row>
    <row r="88" spans="1:6" x14ac:dyDescent="0.35">
      <c r="A88" t="s">
        <v>64</v>
      </c>
      <c r="B88" s="109">
        <v>11723</v>
      </c>
      <c r="C88" s="109">
        <v>7357</v>
      </c>
      <c r="D88" s="109">
        <v>3764</v>
      </c>
      <c r="E88" s="109">
        <v>3675</v>
      </c>
      <c r="F88" s="109">
        <v>5513</v>
      </c>
    </row>
    <row r="89" spans="1:6" x14ac:dyDescent="0.35">
      <c r="A89" t="s">
        <v>63</v>
      </c>
      <c r="B89" s="109">
        <v>758</v>
      </c>
      <c r="C89" s="109">
        <v>750</v>
      </c>
      <c r="D89" s="109">
        <v>951</v>
      </c>
      <c r="E89" s="109">
        <v>632</v>
      </c>
      <c r="F89" s="109">
        <v>557</v>
      </c>
    </row>
    <row r="90" spans="1:6" x14ac:dyDescent="0.35">
      <c r="A90" t="s">
        <v>62</v>
      </c>
      <c r="B90" s="109">
        <v>994</v>
      </c>
      <c r="C90" s="109">
        <v>943</v>
      </c>
      <c r="D90" s="109">
        <v>860</v>
      </c>
      <c r="E90" s="109">
        <v>774</v>
      </c>
      <c r="F90" s="109">
        <v>693</v>
      </c>
    </row>
    <row r="91" spans="1:6" x14ac:dyDescent="0.35">
      <c r="A91" t="s">
        <v>61</v>
      </c>
      <c r="B91" s="109">
        <v>854</v>
      </c>
      <c r="C91" s="109">
        <v>673</v>
      </c>
      <c r="D91" s="109">
        <v>958</v>
      </c>
      <c r="E91" s="109">
        <v>836</v>
      </c>
      <c r="F91" s="109">
        <v>777</v>
      </c>
    </row>
    <row r="92" spans="1:6" x14ac:dyDescent="0.35">
      <c r="A92" t="s">
        <v>60</v>
      </c>
      <c r="B92" s="109">
        <v>0</v>
      </c>
      <c r="C92" s="109"/>
      <c r="D92" s="109"/>
      <c r="E92" s="109"/>
      <c r="F92" s="109"/>
    </row>
    <row r="93" spans="1:6" x14ac:dyDescent="0.35">
      <c r="A93" s="112" t="s">
        <v>59</v>
      </c>
      <c r="B93" s="113">
        <v>16549</v>
      </c>
      <c r="C93" s="113">
        <v>9435</v>
      </c>
      <c r="D93" s="113">
        <v>15990</v>
      </c>
      <c r="E93" s="113">
        <v>9176</v>
      </c>
      <c r="F93" s="113">
        <v>10040</v>
      </c>
    </row>
    <row r="94" spans="1:6" x14ac:dyDescent="0.35">
      <c r="A94" t="s">
        <v>58</v>
      </c>
      <c r="B94" s="109">
        <v>6383</v>
      </c>
      <c r="C94" s="109"/>
      <c r="D94" s="109"/>
      <c r="E94" s="109"/>
      <c r="F94" s="109"/>
    </row>
    <row r="95" spans="1:6" x14ac:dyDescent="0.35">
      <c r="A95" t="s">
        <v>57</v>
      </c>
      <c r="B95" s="109">
        <v>0</v>
      </c>
      <c r="C95" s="109"/>
      <c r="D95" s="109"/>
      <c r="E95" s="109"/>
      <c r="F95" s="109"/>
    </row>
    <row r="96" spans="1:6" x14ac:dyDescent="0.35">
      <c r="A96" t="s">
        <v>56</v>
      </c>
      <c r="B96" s="109">
        <v>0</v>
      </c>
      <c r="C96" s="109"/>
      <c r="D96" s="109"/>
      <c r="E96" s="109"/>
      <c r="F96" s="109"/>
    </row>
    <row r="97" spans="1:6" x14ac:dyDescent="0.35">
      <c r="A97" t="s">
        <v>55</v>
      </c>
      <c r="B97" s="109">
        <v>0</v>
      </c>
      <c r="C97" s="109"/>
      <c r="D97" s="109"/>
      <c r="E97" s="109"/>
      <c r="F97" s="109"/>
    </row>
    <row r="98" spans="1:6" x14ac:dyDescent="0.35">
      <c r="A98" t="s">
        <v>54</v>
      </c>
      <c r="B98" s="109">
        <v>132</v>
      </c>
      <c r="C98" s="109">
        <v>125</v>
      </c>
      <c r="D98" s="109">
        <v>97</v>
      </c>
      <c r="E98" s="109">
        <v>89</v>
      </c>
      <c r="F98" s="109">
        <v>0</v>
      </c>
    </row>
    <row r="99" spans="1:6" x14ac:dyDescent="0.35">
      <c r="A99" t="s">
        <v>53</v>
      </c>
      <c r="B99" s="109">
        <v>963</v>
      </c>
      <c r="C99" s="109">
        <v>468</v>
      </c>
      <c r="D99" s="109">
        <v>608</v>
      </c>
      <c r="E99" s="109">
        <v>523</v>
      </c>
      <c r="F99" s="109">
        <v>537</v>
      </c>
    </row>
    <row r="100" spans="1:6" x14ac:dyDescent="0.35">
      <c r="A100" t="s">
        <v>52</v>
      </c>
      <c r="B100" s="109">
        <v>0</v>
      </c>
      <c r="C100" s="109"/>
      <c r="D100" s="109"/>
      <c r="E100" s="109"/>
      <c r="F100" s="109"/>
    </row>
    <row r="101" spans="1:6" x14ac:dyDescent="0.35">
      <c r="A101" t="s">
        <v>51</v>
      </c>
      <c r="B101" s="109">
        <v>25</v>
      </c>
      <c r="C101" s="109">
        <v>25</v>
      </c>
      <c r="D101" s="109">
        <v>0</v>
      </c>
      <c r="E101" s="109">
        <v>25</v>
      </c>
      <c r="F101" s="109">
        <v>0</v>
      </c>
    </row>
    <row r="102" spans="1:6" x14ac:dyDescent="0.35">
      <c r="A102" t="s">
        <v>50</v>
      </c>
      <c r="B102" s="109">
        <v>266</v>
      </c>
      <c r="C102" s="109">
        <v>2658</v>
      </c>
      <c r="D102" s="109">
        <v>2571</v>
      </c>
      <c r="E102" s="109">
        <v>447</v>
      </c>
      <c r="F102" s="109">
        <v>162</v>
      </c>
    </row>
    <row r="103" spans="1:6" x14ac:dyDescent="0.35">
      <c r="A103" t="s">
        <v>49</v>
      </c>
      <c r="B103" s="109">
        <v>6728</v>
      </c>
      <c r="C103" s="109">
        <v>4338</v>
      </c>
      <c r="D103" s="109">
        <v>10409</v>
      </c>
      <c r="E103" s="109">
        <v>3781</v>
      </c>
      <c r="F103" s="109">
        <v>6181</v>
      </c>
    </row>
    <row r="104" spans="1:6" x14ac:dyDescent="0.35">
      <c r="A104" t="s">
        <v>48</v>
      </c>
      <c r="B104" s="109">
        <v>15</v>
      </c>
      <c r="C104" s="109">
        <v>15</v>
      </c>
      <c r="D104" s="109">
        <v>15</v>
      </c>
      <c r="E104" s="109">
        <v>0</v>
      </c>
      <c r="F104" s="109">
        <v>0</v>
      </c>
    </row>
    <row r="105" spans="1:6" x14ac:dyDescent="0.35">
      <c r="A105" t="s">
        <v>47</v>
      </c>
      <c r="B105" s="109">
        <v>0</v>
      </c>
      <c r="C105" s="109">
        <v>12</v>
      </c>
      <c r="D105" s="109">
        <v>0</v>
      </c>
      <c r="E105" s="109">
        <v>0</v>
      </c>
      <c r="F105" s="109">
        <v>0</v>
      </c>
    </row>
    <row r="106" spans="1:6" x14ac:dyDescent="0.35">
      <c r="A106" t="s">
        <v>46</v>
      </c>
      <c r="B106" s="109">
        <v>0</v>
      </c>
      <c r="C106" s="109"/>
      <c r="D106" s="109"/>
      <c r="E106" s="109"/>
      <c r="F106" s="109"/>
    </row>
    <row r="107" spans="1:6" x14ac:dyDescent="0.35">
      <c r="A107" t="s">
        <v>45</v>
      </c>
      <c r="B107" s="109">
        <v>0</v>
      </c>
      <c r="C107" s="109">
        <v>370</v>
      </c>
      <c r="D107" s="109">
        <v>0</v>
      </c>
      <c r="E107" s="109">
        <v>0</v>
      </c>
      <c r="F107" s="109">
        <v>-2</v>
      </c>
    </row>
    <row r="108" spans="1:6" x14ac:dyDescent="0.35">
      <c r="A108" t="s">
        <v>44</v>
      </c>
      <c r="B108" s="109">
        <v>3</v>
      </c>
      <c r="C108" s="109">
        <v>306</v>
      </c>
      <c r="D108" s="109">
        <v>295</v>
      </c>
      <c r="E108" s="109">
        <v>294</v>
      </c>
      <c r="F108" s="109">
        <v>281</v>
      </c>
    </row>
    <row r="109" spans="1:6" x14ac:dyDescent="0.35">
      <c r="A109" t="s">
        <v>43</v>
      </c>
      <c r="B109" s="109">
        <v>0</v>
      </c>
      <c r="C109" s="109"/>
      <c r="D109" s="109"/>
      <c r="E109" s="109"/>
      <c r="F109" s="109"/>
    </row>
    <row r="110" spans="1:6" x14ac:dyDescent="0.35">
      <c r="A110" t="s">
        <v>42</v>
      </c>
      <c r="B110" s="109">
        <v>0</v>
      </c>
      <c r="C110" s="109"/>
      <c r="D110" s="109"/>
      <c r="E110" s="109"/>
      <c r="F110" s="109"/>
    </row>
    <row r="111" spans="1:6" x14ac:dyDescent="0.35">
      <c r="A111" t="s">
        <v>41</v>
      </c>
      <c r="B111" s="109">
        <v>256</v>
      </c>
      <c r="C111" s="109">
        <v>244</v>
      </c>
      <c r="D111" s="109">
        <v>313</v>
      </c>
      <c r="E111" s="109">
        <v>236</v>
      </c>
      <c r="F111" s="109">
        <v>250</v>
      </c>
    </row>
    <row r="112" spans="1:6" x14ac:dyDescent="0.35">
      <c r="A112" t="s">
        <v>40</v>
      </c>
      <c r="B112" s="109">
        <v>500</v>
      </c>
      <c r="C112" s="109">
        <v>500</v>
      </c>
      <c r="D112" s="109">
        <v>500</v>
      </c>
      <c r="E112" s="109">
        <v>495</v>
      </c>
      <c r="F112" s="109">
        <v>484</v>
      </c>
    </row>
    <row r="113" spans="1:6" x14ac:dyDescent="0.35">
      <c r="A113" t="s">
        <v>39</v>
      </c>
      <c r="B113" s="109">
        <v>0</v>
      </c>
      <c r="C113" s="109"/>
      <c r="D113" s="109"/>
      <c r="E113" s="109"/>
      <c r="F113" s="109"/>
    </row>
    <row r="114" spans="1:6" x14ac:dyDescent="0.35">
      <c r="A114" t="s">
        <v>38</v>
      </c>
      <c r="B114" s="109">
        <v>0</v>
      </c>
      <c r="C114" s="109"/>
      <c r="D114" s="109"/>
      <c r="E114" s="109"/>
      <c r="F114" s="109"/>
    </row>
    <row r="115" spans="1:6" x14ac:dyDescent="0.35">
      <c r="A115" t="s">
        <v>37</v>
      </c>
      <c r="B115" s="109">
        <v>0</v>
      </c>
      <c r="C115" s="109"/>
      <c r="D115" s="109"/>
      <c r="E115" s="109">
        <v>0</v>
      </c>
      <c r="F115" s="109">
        <v>-16</v>
      </c>
    </row>
    <row r="116" spans="1:6" x14ac:dyDescent="0.35">
      <c r="A116" t="s">
        <v>36</v>
      </c>
      <c r="B116" s="109">
        <v>0</v>
      </c>
      <c r="C116" s="109"/>
      <c r="D116" s="109"/>
      <c r="E116" s="109"/>
      <c r="F116" s="109"/>
    </row>
    <row r="117" spans="1:6" x14ac:dyDescent="0.35">
      <c r="A117" t="s">
        <v>35</v>
      </c>
      <c r="B117" s="109">
        <v>0</v>
      </c>
      <c r="C117" s="109"/>
      <c r="D117" s="109">
        <v>272</v>
      </c>
      <c r="E117" s="109">
        <v>0</v>
      </c>
      <c r="F117" s="109">
        <v>-2</v>
      </c>
    </row>
    <row r="118" spans="1:6" x14ac:dyDescent="0.35">
      <c r="A118" t="s">
        <v>34</v>
      </c>
      <c r="B118" s="109">
        <v>0</v>
      </c>
      <c r="C118" s="109"/>
      <c r="D118" s="109"/>
      <c r="E118" s="109"/>
      <c r="F118" s="109"/>
    </row>
    <row r="119" spans="1:6" x14ac:dyDescent="0.35">
      <c r="A119" t="s">
        <v>33</v>
      </c>
      <c r="B119" s="109">
        <v>1278</v>
      </c>
      <c r="C119" s="109">
        <v>374</v>
      </c>
      <c r="D119" s="109">
        <v>857</v>
      </c>
      <c r="E119" s="109">
        <v>742</v>
      </c>
      <c r="F119" s="109">
        <v>298</v>
      </c>
    </row>
    <row r="120" spans="1:6" x14ac:dyDescent="0.35">
      <c r="A120" t="s">
        <v>32</v>
      </c>
      <c r="B120" s="109"/>
      <c r="C120" s="109"/>
      <c r="D120" s="109"/>
      <c r="E120" s="109"/>
      <c r="F120" s="109"/>
    </row>
    <row r="121" spans="1:6" x14ac:dyDescent="0.35">
      <c r="A121" t="s">
        <v>31</v>
      </c>
      <c r="B121" s="109">
        <v>0</v>
      </c>
      <c r="C121" s="109"/>
      <c r="D121" s="109"/>
      <c r="E121" s="109"/>
      <c r="F121" s="109"/>
    </row>
    <row r="122" spans="1:6" x14ac:dyDescent="0.35">
      <c r="A122" t="s">
        <v>30</v>
      </c>
      <c r="B122" s="109">
        <v>0</v>
      </c>
      <c r="C122" s="109"/>
      <c r="D122" s="109">
        <v>54</v>
      </c>
      <c r="E122" s="109">
        <v>0</v>
      </c>
      <c r="F122" s="109">
        <v>0</v>
      </c>
    </row>
    <row r="123" spans="1:6" x14ac:dyDescent="0.35">
      <c r="A123" t="s">
        <v>29</v>
      </c>
      <c r="B123" s="109"/>
      <c r="C123" s="109"/>
      <c r="D123" s="109"/>
      <c r="E123" s="109"/>
      <c r="F123" s="109">
        <v>-11</v>
      </c>
    </row>
    <row r="124" spans="1:6" x14ac:dyDescent="0.35">
      <c r="A124" t="s">
        <v>28</v>
      </c>
      <c r="B124" s="109"/>
      <c r="C124" s="109"/>
      <c r="D124" s="109"/>
      <c r="E124" s="109">
        <v>44</v>
      </c>
      <c r="F124" s="109">
        <v>0</v>
      </c>
    </row>
    <row r="125" spans="1:6" x14ac:dyDescent="0.35">
      <c r="A125" t="s">
        <v>27</v>
      </c>
      <c r="B125" s="109"/>
      <c r="C125" s="109"/>
      <c r="D125" s="109"/>
      <c r="E125" s="109">
        <v>2500</v>
      </c>
      <c r="F125" s="109">
        <v>1877</v>
      </c>
    </row>
    <row r="126" spans="1:6" x14ac:dyDescent="0.35">
      <c r="A126" t="s">
        <v>26</v>
      </c>
      <c r="B126" s="109"/>
      <c r="C126" s="109">
        <v>62896</v>
      </c>
      <c r="D126" s="109">
        <v>55661</v>
      </c>
      <c r="E126" s="109">
        <v>51583</v>
      </c>
      <c r="F126" s="109">
        <v>45538</v>
      </c>
    </row>
    <row r="127" spans="1:6" ht="15" thickBot="1" x14ac:dyDescent="0.4">
      <c r="A127" s="114" t="s">
        <v>25</v>
      </c>
      <c r="B127" s="115">
        <v>92592</v>
      </c>
      <c r="C127" s="115">
        <v>66170</v>
      </c>
      <c r="D127" s="115">
        <v>58499</v>
      </c>
      <c r="E127" s="115">
        <v>53692</v>
      </c>
      <c r="F127" s="115">
        <v>46945</v>
      </c>
    </row>
    <row r="128" spans="1:6" ht="15.5" thickTop="1" thickBot="1" x14ac:dyDescent="0.4">
      <c r="A128" s="118" t="s">
        <v>24</v>
      </c>
      <c r="B128" s="119">
        <v>-26214</v>
      </c>
      <c r="C128" s="119">
        <v>-4632</v>
      </c>
      <c r="D128" s="119">
        <v>-26714</v>
      </c>
      <c r="E128" s="119">
        <v>-13135</v>
      </c>
      <c r="F128" s="119">
        <v>18423</v>
      </c>
    </row>
    <row r="129" spans="1:6" ht="15" thickTop="1" x14ac:dyDescent="0.35">
      <c r="A129" t="s">
        <v>23</v>
      </c>
      <c r="B129" s="120"/>
      <c r="C129" s="120">
        <v>-0.02</v>
      </c>
      <c r="D129" s="120">
        <v>-0.12</v>
      </c>
      <c r="E129" s="120">
        <v>-7.0000000000000007E-2</v>
      </c>
      <c r="F129" s="120">
        <v>0.09</v>
      </c>
    </row>
    <row r="130" spans="1:6" x14ac:dyDescent="0.35">
      <c r="B130" s="109"/>
      <c r="C130" s="109"/>
      <c r="D130" s="109"/>
      <c r="E130" s="109"/>
      <c r="F130" s="109"/>
    </row>
    <row r="131" spans="1:6" x14ac:dyDescent="0.35">
      <c r="A131" s="112" t="s">
        <v>17</v>
      </c>
      <c r="B131" s="113">
        <v>-1342</v>
      </c>
      <c r="C131" s="113">
        <v>-1027</v>
      </c>
      <c r="D131" s="113">
        <v>-5973</v>
      </c>
      <c r="E131" s="113">
        <v>-622</v>
      </c>
      <c r="F131" s="113">
        <v>-3671</v>
      </c>
    </row>
    <row r="132" spans="1:6" x14ac:dyDescent="0.35">
      <c r="A132" t="s">
        <v>16</v>
      </c>
      <c r="B132" s="109">
        <v>6</v>
      </c>
      <c r="C132" s="109"/>
      <c r="D132" s="109"/>
      <c r="E132" s="109"/>
      <c r="F132" s="109"/>
    </row>
    <row r="133" spans="1:6" x14ac:dyDescent="0.35">
      <c r="A133" t="s">
        <v>15</v>
      </c>
      <c r="B133" s="109">
        <v>14</v>
      </c>
      <c r="C133" s="109">
        <v>1096</v>
      </c>
      <c r="D133" s="109">
        <v>8</v>
      </c>
      <c r="E133" s="109">
        <v>107</v>
      </c>
      <c r="F133" s="109">
        <v>23</v>
      </c>
    </row>
    <row r="134" spans="1:6" x14ac:dyDescent="0.35">
      <c r="A134" t="s">
        <v>14</v>
      </c>
      <c r="B134" s="109">
        <v>-6246</v>
      </c>
      <c r="C134" s="109">
        <v>-4642</v>
      </c>
      <c r="D134" s="109">
        <v>-8482</v>
      </c>
      <c r="E134" s="109">
        <v>-4176</v>
      </c>
      <c r="F134" s="109">
        <v>-7054</v>
      </c>
    </row>
    <row r="135" spans="1:6" x14ac:dyDescent="0.35">
      <c r="A135" t="s">
        <v>13</v>
      </c>
      <c r="B135" s="109">
        <v>0</v>
      </c>
      <c r="C135" s="109"/>
      <c r="D135" s="109"/>
      <c r="E135" s="109"/>
      <c r="F135" s="109"/>
    </row>
    <row r="136" spans="1:6" x14ac:dyDescent="0.35">
      <c r="A136" t="s">
        <v>12</v>
      </c>
      <c r="B136" s="109">
        <v>163</v>
      </c>
      <c r="C136" s="109">
        <v>159</v>
      </c>
      <c r="D136" s="109">
        <v>140</v>
      </c>
      <c r="E136" s="109">
        <v>139</v>
      </c>
      <c r="F136" s="109">
        <v>147</v>
      </c>
    </row>
    <row r="137" spans="1:6" x14ac:dyDescent="0.35">
      <c r="A137" t="s">
        <v>11</v>
      </c>
      <c r="B137" s="109"/>
      <c r="C137" s="109"/>
      <c r="D137" s="109"/>
      <c r="E137" s="109"/>
      <c r="F137" s="109"/>
    </row>
    <row r="138" spans="1:6" x14ac:dyDescent="0.35">
      <c r="A138" t="s">
        <v>10</v>
      </c>
      <c r="B138" s="109">
        <v>4721</v>
      </c>
      <c r="C138" s="109">
        <v>2360</v>
      </c>
      <c r="D138" s="109">
        <v>2360</v>
      </c>
      <c r="E138" s="109">
        <v>2360</v>
      </c>
      <c r="F138" s="109">
        <v>2360</v>
      </c>
    </row>
    <row r="139" spans="1:6" x14ac:dyDescent="0.35">
      <c r="A139" t="s">
        <v>9</v>
      </c>
      <c r="B139" s="109">
        <v>639</v>
      </c>
      <c r="C139" s="109">
        <v>746</v>
      </c>
      <c r="D139" s="109">
        <v>1417</v>
      </c>
      <c r="E139" s="109">
        <v>949</v>
      </c>
      <c r="F139" s="109">
        <v>853</v>
      </c>
    </row>
    <row r="140" spans="1:6" x14ac:dyDescent="0.35">
      <c r="A140" s="112" t="s">
        <v>8</v>
      </c>
      <c r="B140" s="113">
        <v>0</v>
      </c>
      <c r="C140" s="113">
        <v>0</v>
      </c>
      <c r="D140" s="113">
        <v>517</v>
      </c>
      <c r="E140" s="113">
        <v>709</v>
      </c>
      <c r="F140" s="113">
        <v>0</v>
      </c>
    </row>
    <row r="141" spans="1:6" x14ac:dyDescent="0.35">
      <c r="A141" t="s">
        <v>7</v>
      </c>
      <c r="B141" s="109">
        <v>0</v>
      </c>
      <c r="C141" s="109"/>
      <c r="D141" s="109">
        <v>517</v>
      </c>
      <c r="E141" s="109">
        <v>709</v>
      </c>
      <c r="F141" s="109">
        <v>0</v>
      </c>
    </row>
    <row r="142" spans="1:6" x14ac:dyDescent="0.35">
      <c r="A142" t="s">
        <v>6</v>
      </c>
      <c r="B142" s="109"/>
      <c r="C142" s="109"/>
      <c r="D142" s="109"/>
      <c r="E142" s="109"/>
      <c r="F142" s="109"/>
    </row>
    <row r="143" spans="1:6" x14ac:dyDescent="0.35">
      <c r="A143" t="s">
        <v>5</v>
      </c>
      <c r="B143" s="109"/>
      <c r="C143" s="109"/>
      <c r="D143" s="109"/>
      <c r="E143" s="109"/>
      <c r="F143" s="109"/>
    </row>
    <row r="144" spans="1:6" x14ac:dyDescent="0.35">
      <c r="A144" s="112" t="s">
        <v>4</v>
      </c>
      <c r="B144" s="113">
        <v>0</v>
      </c>
      <c r="C144" s="113">
        <v>0</v>
      </c>
      <c r="D144" s="113">
        <v>0</v>
      </c>
      <c r="E144" s="113">
        <v>0</v>
      </c>
      <c r="F144" s="113">
        <v>-61</v>
      </c>
    </row>
    <row r="145" spans="1:6" x14ac:dyDescent="0.35">
      <c r="A145" t="s">
        <v>3</v>
      </c>
      <c r="B145" s="109">
        <v>0</v>
      </c>
      <c r="C145" s="109"/>
      <c r="D145" s="109"/>
      <c r="E145" s="109"/>
      <c r="F145" s="109">
        <v>-61</v>
      </c>
    </row>
    <row r="146" spans="1:6" ht="15" thickBot="1" x14ac:dyDescent="0.4">
      <c r="A146" s="114" t="s">
        <v>2</v>
      </c>
      <c r="B146" s="115"/>
      <c r="C146" s="115">
        <v>-1027</v>
      </c>
      <c r="D146" s="115">
        <v>-5457</v>
      </c>
      <c r="E146" s="115">
        <v>87</v>
      </c>
      <c r="F146" s="115">
        <v>-3732</v>
      </c>
    </row>
    <row r="147" spans="1:6" ht="15.5" thickTop="1" thickBot="1" x14ac:dyDescent="0.4">
      <c r="A147" s="118" t="s">
        <v>0</v>
      </c>
      <c r="B147" s="119">
        <v>-24871</v>
      </c>
      <c r="C147" s="119">
        <v>-3604</v>
      </c>
      <c r="D147" s="119">
        <v>-21258</v>
      </c>
      <c r="E147" s="119">
        <v>-13222</v>
      </c>
      <c r="F147" s="119">
        <v>22155</v>
      </c>
    </row>
    <row r="148" spans="1:6" ht="15" thickTop="1" x14ac:dyDescent="0.35">
      <c r="B148" s="109"/>
      <c r="C148" s="109"/>
      <c r="D148" s="109"/>
      <c r="E148" s="109"/>
      <c r="F148" s="109"/>
    </row>
    <row r="149" spans="1:6" ht="15" thickBot="1" x14ac:dyDescent="0.4">
      <c r="A149" s="116" t="s">
        <v>238</v>
      </c>
      <c r="B149" s="117"/>
      <c r="C149" s="117"/>
      <c r="D149" s="117"/>
      <c r="E149" s="117"/>
      <c r="F149" s="117"/>
    </row>
    <row r="150" spans="1:6" ht="15" thickTop="1" x14ac:dyDescent="0.35">
      <c r="A150" t="s">
        <v>194</v>
      </c>
      <c r="B150" s="109">
        <v>0</v>
      </c>
      <c r="C150" s="109"/>
      <c r="D150" s="109"/>
      <c r="E150" s="109"/>
      <c r="F150" s="109"/>
    </row>
    <row r="151" spans="1:6" x14ac:dyDescent="0.35">
      <c r="A151" t="s">
        <v>205</v>
      </c>
      <c r="B151" s="109">
        <v>226814</v>
      </c>
      <c r="C151" s="109"/>
      <c r="D151" s="109"/>
      <c r="E151" s="109"/>
      <c r="F151" s="109"/>
    </row>
    <row r="152" spans="1:6" x14ac:dyDescent="0.35">
      <c r="A152" t="s">
        <v>198</v>
      </c>
      <c r="B152" s="109">
        <v>989</v>
      </c>
      <c r="C152" s="109"/>
      <c r="D152" s="109"/>
      <c r="E152" s="109"/>
      <c r="F152" s="109"/>
    </row>
    <row r="153" spans="1:6" x14ac:dyDescent="0.35">
      <c r="A153" t="s">
        <v>186</v>
      </c>
      <c r="B153" s="109">
        <v>14833</v>
      </c>
      <c r="C153" s="109"/>
      <c r="D153" s="109"/>
      <c r="E153" s="109"/>
      <c r="F153" s="109"/>
    </row>
    <row r="154" spans="1:6" x14ac:dyDescent="0.35">
      <c r="A154" t="s">
        <v>200</v>
      </c>
      <c r="B154" s="109">
        <v>114851</v>
      </c>
      <c r="C154" s="109"/>
      <c r="D154" s="109"/>
      <c r="E154" s="109"/>
      <c r="F154" s="109"/>
    </row>
    <row r="155" spans="1:6" x14ac:dyDescent="0.35">
      <c r="A155" t="s">
        <v>193</v>
      </c>
      <c r="B155" s="109">
        <v>5200</v>
      </c>
      <c r="C155" s="109"/>
      <c r="D155" s="109"/>
      <c r="E155" s="109"/>
      <c r="F155" s="109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EA9D-7089-4329-B33F-7805D26CAFC7}">
  <dimension ref="A1:I223"/>
  <sheetViews>
    <sheetView showGridLines="0" zoomScale="70" zoomScaleNormal="70" workbookViewId="0">
      <pane xSplit="2" ySplit="4" topLeftCell="C168" activePane="bottomRight" state="frozen"/>
      <selection pane="topRight" activeCell="G34" sqref="G34"/>
      <selection pane="bottomLeft" activeCell="G34" sqref="G34"/>
      <selection pane="bottomRight" activeCell="H23" sqref="H23"/>
    </sheetView>
  </sheetViews>
  <sheetFormatPr defaultColWidth="9.1796875" defaultRowHeight="15.5" outlineLevelRow="1" outlineLevelCol="1" x14ac:dyDescent="0.35"/>
  <cols>
    <col min="1" max="1" width="2" style="14" customWidth="1"/>
    <col min="2" max="2" width="39.81640625" style="14" bestFit="1" customWidth="1"/>
    <col min="3" max="3" width="12.453125" style="15" customWidth="1" outlineLevel="1"/>
    <col min="4" max="4" width="14.453125" style="15" customWidth="1" outlineLevel="1"/>
    <col min="5" max="5" width="14.1796875" style="16" bestFit="1" customWidth="1"/>
    <col min="6" max="6" width="74.453125" style="15" hidden="1" customWidth="1"/>
    <col min="7" max="16384" width="9.1796875" style="14"/>
  </cols>
  <sheetData>
    <row r="1" spans="2:6" x14ac:dyDescent="0.35">
      <c r="B1" s="106" t="s">
        <v>235</v>
      </c>
    </row>
    <row r="2" spans="2:6" x14ac:dyDescent="0.35">
      <c r="B2" s="17" t="str">
        <f ca="1">MID(CELL("filename",B1),FIND("]",CELL("filename",B1))+1,250)</f>
        <v>Consolidated PnL-Jan</v>
      </c>
      <c r="C2" s="105"/>
      <c r="D2" s="105"/>
      <c r="E2" s="104"/>
    </row>
    <row r="3" spans="2:6" ht="3.65" customHeight="1" x14ac:dyDescent="0.35"/>
    <row r="4" spans="2:6" s="59" customFormat="1" ht="28" x14ac:dyDescent="0.35">
      <c r="B4" s="103" t="s">
        <v>234</v>
      </c>
      <c r="C4" s="101" t="s">
        <v>233</v>
      </c>
      <c r="D4" s="101" t="s">
        <v>232</v>
      </c>
      <c r="E4" s="102" t="s">
        <v>231</v>
      </c>
      <c r="F4" s="101" t="s">
        <v>230</v>
      </c>
    </row>
    <row r="5" spans="2:6" outlineLevel="1" x14ac:dyDescent="0.35">
      <c r="B5" s="58" t="s">
        <v>156</v>
      </c>
      <c r="C5" s="83"/>
      <c r="D5" s="83"/>
      <c r="E5" s="82"/>
      <c r="F5" s="83"/>
    </row>
    <row r="6" spans="2:6" outlineLevel="1" x14ac:dyDescent="0.35">
      <c r="B6" s="89" t="s">
        <v>154</v>
      </c>
      <c r="C6" s="100">
        <f>C77</f>
        <v>226814</v>
      </c>
      <c r="D6" s="100">
        <f>D77</f>
        <v>0</v>
      </c>
      <c r="E6" s="87">
        <f>C6+D6</f>
        <v>226814</v>
      </c>
      <c r="F6" s="100"/>
    </row>
    <row r="7" spans="2:6" s="17" customFormat="1" ht="15" x14ac:dyDescent="0.3">
      <c r="B7" s="58" t="s">
        <v>149</v>
      </c>
      <c r="C7" s="83">
        <f>SUM(C6)</f>
        <v>226814</v>
      </c>
      <c r="D7" s="83">
        <f>SUM(D6)</f>
        <v>0</v>
      </c>
      <c r="E7" s="82">
        <f>C7+D7</f>
        <v>226814</v>
      </c>
      <c r="F7" s="83"/>
    </row>
    <row r="8" spans="2:6" outlineLevel="1" x14ac:dyDescent="0.35">
      <c r="B8" s="89"/>
      <c r="C8" s="88"/>
      <c r="D8" s="88"/>
      <c r="E8" s="87"/>
      <c r="F8" s="88"/>
    </row>
    <row r="9" spans="2:6" outlineLevel="1" x14ac:dyDescent="0.35">
      <c r="B9" s="58" t="s">
        <v>148</v>
      </c>
      <c r="C9" s="83"/>
      <c r="D9" s="83"/>
      <c r="E9" s="82"/>
      <c r="F9" s="83"/>
    </row>
    <row r="10" spans="2:6" ht="17.25" customHeight="1" outlineLevel="1" x14ac:dyDescent="0.35">
      <c r="B10" s="89" t="s">
        <v>204</v>
      </c>
      <c r="C10" s="100">
        <f>C99</f>
        <v>0</v>
      </c>
      <c r="D10" s="100">
        <f>D99</f>
        <v>114851.43478260867</v>
      </c>
      <c r="E10" s="100">
        <f>E99</f>
        <v>114851.43478260867</v>
      </c>
      <c r="F10" s="45" t="s">
        <v>229</v>
      </c>
    </row>
    <row r="11" spans="2:6" s="49" customFormat="1" outlineLevel="1" x14ac:dyDescent="0.35">
      <c r="B11" s="98" t="s">
        <v>199</v>
      </c>
      <c r="C11" s="99">
        <f>C112</f>
        <v>2000</v>
      </c>
      <c r="D11" s="99">
        <f>D112</f>
        <v>13975.718478260869</v>
      </c>
      <c r="E11" s="96">
        <f>C11+D11</f>
        <v>15975.718478260869</v>
      </c>
      <c r="F11" s="94"/>
    </row>
    <row r="12" spans="2:6" s="49" customFormat="1" outlineLevel="1" x14ac:dyDescent="0.35">
      <c r="B12" s="98" t="s">
        <v>228</v>
      </c>
      <c r="C12" s="97">
        <f>C123</f>
        <v>3270.2300000000005</v>
      </c>
      <c r="D12" s="97">
        <f>D123</f>
        <v>1668.7610869565217</v>
      </c>
      <c r="E12" s="96">
        <f>C12+D12</f>
        <v>4938.9910869565219</v>
      </c>
      <c r="F12" s="45"/>
    </row>
    <row r="13" spans="2:6" outlineLevel="1" x14ac:dyDescent="0.35">
      <c r="B13" s="28" t="s">
        <v>227</v>
      </c>
      <c r="C13" s="86">
        <f>C127</f>
        <v>0</v>
      </c>
      <c r="D13" s="86">
        <f>D127</f>
        <v>4438.586956521739</v>
      </c>
      <c r="E13" s="85">
        <f>C13+D13</f>
        <v>4438.586956521739</v>
      </c>
      <c r="F13" s="24" t="s">
        <v>226</v>
      </c>
    </row>
    <row r="14" spans="2:6" s="43" customFormat="1" outlineLevel="1" x14ac:dyDescent="0.35">
      <c r="B14" s="28" t="s">
        <v>225</v>
      </c>
      <c r="C14" s="95">
        <f>C142</f>
        <v>14832.9</v>
      </c>
      <c r="D14" s="95">
        <f>D142</f>
        <v>5397.5485869565218</v>
      </c>
      <c r="E14" s="85">
        <f>C14+D14</f>
        <v>20230.448586956521</v>
      </c>
      <c r="F14" s="94" t="s">
        <v>224</v>
      </c>
    </row>
    <row r="15" spans="2:6" x14ac:dyDescent="0.35">
      <c r="B15" s="58" t="s">
        <v>98</v>
      </c>
      <c r="C15" s="83">
        <f>SUM(C10:C14)</f>
        <v>20103.13</v>
      </c>
      <c r="D15" s="83">
        <f>SUM(D10:D14)</f>
        <v>140332.04989130431</v>
      </c>
      <c r="E15" s="82">
        <f>SUM(E10:E14)</f>
        <v>160435.17989130432</v>
      </c>
      <c r="F15" s="83"/>
    </row>
    <row r="16" spans="2:6" x14ac:dyDescent="0.35">
      <c r="B16" s="58" t="s">
        <v>223</v>
      </c>
      <c r="C16" s="83">
        <f>C7-C15</f>
        <v>206710.87</v>
      </c>
      <c r="D16" s="83">
        <f>D7-D15</f>
        <v>-140332.04989130431</v>
      </c>
      <c r="E16" s="82">
        <f>E7-E15</f>
        <v>66378.820108695683</v>
      </c>
      <c r="F16" s="83"/>
    </row>
    <row r="17" spans="1:9" s="72" customFormat="1" x14ac:dyDescent="0.35">
      <c r="B17" s="93" t="s">
        <v>96</v>
      </c>
      <c r="C17" s="81"/>
      <c r="D17" s="81"/>
      <c r="E17" s="80">
        <f>E16/E7</f>
        <v>0.29265750839320187</v>
      </c>
      <c r="F17" s="81"/>
    </row>
    <row r="18" spans="1:9" outlineLevel="1" x14ac:dyDescent="0.35">
      <c r="B18" s="93"/>
      <c r="C18" s="83"/>
      <c r="D18" s="83"/>
      <c r="E18" s="82"/>
      <c r="F18" s="83"/>
    </row>
    <row r="19" spans="1:9" outlineLevel="1" x14ac:dyDescent="0.35">
      <c r="B19" s="58"/>
      <c r="C19" s="83"/>
      <c r="D19" s="83"/>
      <c r="E19" s="82"/>
      <c r="F19" s="83"/>
      <c r="I19" s="17"/>
    </row>
    <row r="20" spans="1:9" outlineLevel="1" x14ac:dyDescent="0.35">
      <c r="B20" s="58" t="s">
        <v>89</v>
      </c>
      <c r="C20" s="83"/>
      <c r="D20" s="83"/>
      <c r="E20" s="82"/>
      <c r="F20" s="83"/>
    </row>
    <row r="21" spans="1:9" s="43" customFormat="1" outlineLevel="1" x14ac:dyDescent="0.35">
      <c r="B21" s="28" t="s">
        <v>195</v>
      </c>
      <c r="C21" s="86">
        <f>C159</f>
        <v>3440.6899999999996</v>
      </c>
      <c r="D21" s="86">
        <f>D159</f>
        <v>1759.7880434782608</v>
      </c>
      <c r="E21" s="85">
        <f>C21+D21</f>
        <v>5200.4780434782606</v>
      </c>
      <c r="F21" s="92"/>
    </row>
    <row r="22" spans="1:9" outlineLevel="1" x14ac:dyDescent="0.35">
      <c r="B22" s="58" t="s">
        <v>74</v>
      </c>
      <c r="C22" s="83"/>
      <c r="D22" s="83"/>
      <c r="E22" s="82"/>
      <c r="F22" s="83"/>
    </row>
    <row r="23" spans="1:9" s="90" customFormat="1" outlineLevel="1" x14ac:dyDescent="0.35">
      <c r="A23" s="91"/>
      <c r="B23" s="122" t="s">
        <v>189</v>
      </c>
      <c r="C23" s="36">
        <f>C210</f>
        <v>37269.019999999997</v>
      </c>
      <c r="D23" s="36">
        <f>D210</f>
        <v>9892.108695652174</v>
      </c>
      <c r="E23" s="36">
        <f>C23+D23</f>
        <v>47161.128695652173</v>
      </c>
      <c r="F23" s="32"/>
    </row>
    <row r="24" spans="1:9" outlineLevel="1" x14ac:dyDescent="0.35">
      <c r="B24" s="89" t="s">
        <v>190</v>
      </c>
      <c r="C24" s="88">
        <f>C205</f>
        <v>7940.38</v>
      </c>
      <c r="D24" s="88">
        <f>D205</f>
        <v>1413.0434782608695</v>
      </c>
      <c r="E24" s="87">
        <f>C24+D24</f>
        <v>9353.4234782608692</v>
      </c>
      <c r="F24" s="21"/>
    </row>
    <row r="25" spans="1:9" outlineLevel="1" x14ac:dyDescent="0.35">
      <c r="B25" s="28" t="s">
        <v>222</v>
      </c>
      <c r="C25" s="86">
        <f>C198</f>
        <v>11722.56</v>
      </c>
      <c r="D25" s="86">
        <f>D198</f>
        <v>2606.086956521739</v>
      </c>
      <c r="E25" s="85">
        <f>C25+D25</f>
        <v>14328.646956521738</v>
      </c>
      <c r="F25" s="84"/>
    </row>
    <row r="26" spans="1:9" ht="31" outlineLevel="1" x14ac:dyDescent="0.35">
      <c r="B26" s="28" t="s">
        <v>192</v>
      </c>
      <c r="C26" s="86">
        <f>C190</f>
        <v>15020.47</v>
      </c>
      <c r="D26" s="86">
        <f>D190</f>
        <v>1528.3030434782609</v>
      </c>
      <c r="E26" s="85">
        <f>C26+D26</f>
        <v>16548.773043478261</v>
      </c>
      <c r="F26" s="84" t="s">
        <v>221</v>
      </c>
    </row>
    <row r="27" spans="1:9" outlineLevel="1" x14ac:dyDescent="0.35">
      <c r="B27" s="58" t="s">
        <v>26</v>
      </c>
      <c r="C27" s="83">
        <f>SUM(C23:C26)</f>
        <v>71952.429999999993</v>
      </c>
      <c r="D27" s="83">
        <f>SUM(D23:D26)</f>
        <v>15439.542173913045</v>
      </c>
      <c r="E27" s="82">
        <f>C27+D27</f>
        <v>87391.972173913033</v>
      </c>
      <c r="F27" s="41"/>
    </row>
    <row r="28" spans="1:9" outlineLevel="1" x14ac:dyDescent="0.35">
      <c r="B28" s="58"/>
      <c r="C28" s="83"/>
      <c r="D28" s="83"/>
      <c r="E28" s="82"/>
      <c r="F28" s="41"/>
    </row>
    <row r="29" spans="1:9" x14ac:dyDescent="0.35">
      <c r="B29" s="58" t="s">
        <v>25</v>
      </c>
      <c r="C29" s="83">
        <f>+C21+C27</f>
        <v>75393.119999999995</v>
      </c>
      <c r="D29" s="83">
        <f>+D21+D27</f>
        <v>17199.330217391307</v>
      </c>
      <c r="E29" s="82">
        <f>C29+D29</f>
        <v>92592.450217391306</v>
      </c>
      <c r="F29" s="41"/>
    </row>
    <row r="30" spans="1:9" ht="21.75" customHeight="1" x14ac:dyDescent="0.35">
      <c r="B30" s="58"/>
      <c r="C30" s="83"/>
      <c r="D30" s="83"/>
      <c r="E30" s="82"/>
      <c r="F30" s="41"/>
    </row>
    <row r="31" spans="1:9" x14ac:dyDescent="0.35">
      <c r="B31" s="58" t="s">
        <v>24</v>
      </c>
      <c r="C31" s="83">
        <f>C16-C29</f>
        <v>131317.75</v>
      </c>
      <c r="D31" s="83">
        <f>D16-D29</f>
        <v>-157531.38010869562</v>
      </c>
      <c r="E31" s="82">
        <f>E16-E29</f>
        <v>-26213.630108695623</v>
      </c>
      <c r="F31" s="41"/>
    </row>
    <row r="32" spans="1:9" x14ac:dyDescent="0.35">
      <c r="B32" s="58" t="s">
        <v>23</v>
      </c>
      <c r="C32" s="81"/>
      <c r="D32" s="81"/>
      <c r="E32" s="80">
        <f>E31/E7</f>
        <v>-0.11557324551701227</v>
      </c>
      <c r="F32" s="41"/>
    </row>
    <row r="33" spans="2:6" outlineLevel="1" x14ac:dyDescent="0.35">
      <c r="B33" s="58"/>
      <c r="C33" s="81"/>
      <c r="D33" s="81"/>
      <c r="E33" s="80"/>
      <c r="F33" s="41"/>
    </row>
    <row r="34" spans="2:6" outlineLevel="1" x14ac:dyDescent="0.35">
      <c r="B34" s="79" t="s">
        <v>220</v>
      </c>
      <c r="C34" s="21">
        <f>C219</f>
        <v>4889.5200000000004</v>
      </c>
      <c r="D34" s="21">
        <f>D219</f>
        <v>-6231.8295652173911</v>
      </c>
      <c r="E34" s="22">
        <f>C34+D34</f>
        <v>-1342.3095652173906</v>
      </c>
      <c r="F34" s="21"/>
    </row>
    <row r="35" spans="2:6" outlineLevel="1" x14ac:dyDescent="0.35">
      <c r="B35" s="79" t="s">
        <v>7</v>
      </c>
      <c r="C35" s="56">
        <f>C221</f>
        <v>0</v>
      </c>
      <c r="D35" s="56">
        <f>D221</f>
        <v>0</v>
      </c>
      <c r="E35" s="22">
        <f>C35+D35</f>
        <v>0</v>
      </c>
      <c r="F35" s="56"/>
    </row>
    <row r="36" spans="2:6" outlineLevel="1" x14ac:dyDescent="0.35">
      <c r="B36" s="79" t="s">
        <v>3</v>
      </c>
      <c r="C36" s="56">
        <f>C222</f>
        <v>0</v>
      </c>
      <c r="D36" s="56">
        <f>D222</f>
        <v>0</v>
      </c>
      <c r="E36" s="22">
        <f>C36+D36</f>
        <v>0</v>
      </c>
      <c r="F36" s="56"/>
    </row>
    <row r="37" spans="2:6" outlineLevel="1" x14ac:dyDescent="0.35">
      <c r="B37" s="78" t="s">
        <v>26</v>
      </c>
      <c r="C37" s="26">
        <f>SUM(C34:C36)</f>
        <v>4889.5200000000004</v>
      </c>
      <c r="D37" s="26">
        <f>SUM(D34:D36)</f>
        <v>-6231.8295652173911</v>
      </c>
      <c r="E37" s="27">
        <f>C37+D37</f>
        <v>-1342.3095652173906</v>
      </c>
      <c r="F37" s="26"/>
    </row>
    <row r="38" spans="2:6" outlineLevel="1" x14ac:dyDescent="0.35">
      <c r="B38" s="78"/>
      <c r="C38" s="26"/>
      <c r="D38" s="26"/>
      <c r="E38" s="27"/>
      <c r="F38" s="26"/>
    </row>
    <row r="39" spans="2:6" s="17" customFormat="1" ht="15" x14ac:dyDescent="0.3">
      <c r="B39" s="77" t="s">
        <v>0</v>
      </c>
      <c r="C39" s="18">
        <f>C31-C37</f>
        <v>126428.23</v>
      </c>
      <c r="D39" s="18">
        <f>D31-D37</f>
        <v>-151299.55054347822</v>
      </c>
      <c r="E39" s="19">
        <f>E31-E37</f>
        <v>-24871.320543478232</v>
      </c>
      <c r="F39" s="18"/>
    </row>
    <row r="40" spans="2:6" x14ac:dyDescent="0.35">
      <c r="B40" s="17"/>
      <c r="C40" s="69"/>
      <c r="D40" s="63"/>
      <c r="E40" s="76">
        <f>E39/E7</f>
        <v>-0.10965513832249435</v>
      </c>
      <c r="F40" s="63"/>
    </row>
    <row r="41" spans="2:6" hidden="1" x14ac:dyDescent="0.35">
      <c r="B41" s="17" t="s">
        <v>219</v>
      </c>
      <c r="C41" s="63"/>
      <c r="D41" s="63"/>
      <c r="E41" s="64"/>
      <c r="F41" s="63"/>
    </row>
    <row r="42" spans="2:6" hidden="1" x14ac:dyDescent="0.35">
      <c r="B42" s="14" t="s">
        <v>218</v>
      </c>
      <c r="C42" s="14"/>
      <c r="D42" s="67"/>
      <c r="E42" s="75">
        <f>C72</f>
        <v>226527</v>
      </c>
      <c r="F42" s="67"/>
    </row>
    <row r="43" spans="2:6" hidden="1" x14ac:dyDescent="0.35">
      <c r="B43" s="14" t="s">
        <v>217</v>
      </c>
      <c r="C43" s="14"/>
      <c r="D43" s="67"/>
      <c r="E43" s="75">
        <f>'[1]Subs MoM PnL'!T7-'[1]Subs MoM PnL'!T37</f>
        <v>151604.87663043477</v>
      </c>
      <c r="F43" s="67"/>
    </row>
    <row r="44" spans="2:6" hidden="1" x14ac:dyDescent="0.35">
      <c r="B44" s="14" t="s">
        <v>216</v>
      </c>
      <c r="C44" s="14"/>
      <c r="D44" s="67"/>
      <c r="E44" s="75">
        <f>C7-C39</f>
        <v>100385.77</v>
      </c>
      <c r="F44" s="67"/>
    </row>
    <row r="45" spans="2:6" s="17" customFormat="1" ht="15" hidden="1" x14ac:dyDescent="0.3">
      <c r="B45" s="17" t="s">
        <v>215</v>
      </c>
      <c r="D45" s="63"/>
      <c r="E45" s="64">
        <f>E42-E43-E44</f>
        <v>-25463.64663043477</v>
      </c>
      <c r="F45" s="63"/>
    </row>
    <row r="46" spans="2:6" s="17" customFormat="1" ht="15" hidden="1" x14ac:dyDescent="0.3">
      <c r="D46" s="63"/>
      <c r="E46" s="64">
        <f>E45-E39</f>
        <v>-592.32608695653835</v>
      </c>
      <c r="F46" s="63"/>
    </row>
    <row r="47" spans="2:6" s="17" customFormat="1" ht="15" x14ac:dyDescent="0.3">
      <c r="D47" s="63"/>
      <c r="E47" s="64"/>
      <c r="F47" s="63"/>
    </row>
    <row r="48" spans="2:6" s="17" customFormat="1" ht="15" x14ac:dyDescent="0.3">
      <c r="D48" s="63"/>
      <c r="E48" s="64"/>
      <c r="F48" s="63"/>
    </row>
    <row r="49" spans="2:6" s="17" customFormat="1" x14ac:dyDescent="0.35">
      <c r="B49" s="14" t="s">
        <v>149</v>
      </c>
      <c r="C49" s="14"/>
      <c r="D49" s="67"/>
      <c r="E49" s="66">
        <f>E7</f>
        <v>226814</v>
      </c>
      <c r="F49" s="63"/>
    </row>
    <row r="50" spans="2:6" s="17" customFormat="1" x14ac:dyDescent="0.35">
      <c r="B50" s="14" t="s">
        <v>214</v>
      </c>
      <c r="C50" s="14"/>
      <c r="D50" s="74"/>
      <c r="E50" s="73">
        <f>'[1]Payroll Dashboard'!BA5</f>
        <v>197</v>
      </c>
      <c r="F50" s="63"/>
    </row>
    <row r="51" spans="2:6" s="17" customFormat="1" x14ac:dyDescent="0.35">
      <c r="B51" s="14" t="s">
        <v>213</v>
      </c>
      <c r="C51" s="14"/>
      <c r="D51" s="67"/>
      <c r="E51" s="73">
        <f>'[1]Payroll Dashboard'!BA12</f>
        <v>281</v>
      </c>
      <c r="F51" s="63"/>
    </row>
    <row r="52" spans="2:6" s="17" customFormat="1" x14ac:dyDescent="0.35">
      <c r="B52" s="14"/>
      <c r="C52" s="14"/>
      <c r="D52" s="67"/>
      <c r="E52" s="66"/>
      <c r="F52" s="63"/>
    </row>
    <row r="53" spans="2:6" s="17" customFormat="1" x14ac:dyDescent="0.35">
      <c r="B53" s="14"/>
      <c r="C53" s="14"/>
      <c r="D53" s="67"/>
      <c r="E53" s="66"/>
      <c r="F53" s="63"/>
    </row>
    <row r="54" spans="2:6" s="17" customFormat="1" x14ac:dyDescent="0.35">
      <c r="B54" s="14" t="s">
        <v>212</v>
      </c>
      <c r="C54" s="14"/>
      <c r="D54" s="67"/>
      <c r="E54" s="66">
        <f>E49/E50</f>
        <v>1151.3401015228426</v>
      </c>
      <c r="F54" s="63"/>
    </row>
    <row r="55" spans="2:6" s="17" customFormat="1" x14ac:dyDescent="0.35">
      <c r="B55" s="14" t="s">
        <v>211</v>
      </c>
      <c r="C55" s="14"/>
      <c r="D55" s="67"/>
      <c r="E55" s="66">
        <f>E15/E50</f>
        <v>814.39177609799151</v>
      </c>
      <c r="F55" s="63"/>
    </row>
    <row r="56" spans="2:6" s="17" customFormat="1" x14ac:dyDescent="0.35">
      <c r="B56" s="17" t="s">
        <v>210</v>
      </c>
      <c r="C56" s="14"/>
      <c r="D56" s="67"/>
      <c r="E56" s="66">
        <f>E54-E55</f>
        <v>336.94832542485108</v>
      </c>
      <c r="F56" s="63"/>
    </row>
    <row r="57" spans="2:6" s="68" customFormat="1" x14ac:dyDescent="0.35">
      <c r="C57" s="72"/>
      <c r="D57" s="71"/>
      <c r="E57" s="70">
        <f>E56/E54</f>
        <v>0.29265750839320176</v>
      </c>
      <c r="F57" s="69"/>
    </row>
    <row r="58" spans="2:6" s="68" customFormat="1" x14ac:dyDescent="0.35">
      <c r="C58" s="72"/>
      <c r="D58" s="71"/>
      <c r="E58" s="70"/>
      <c r="F58" s="69"/>
    </row>
    <row r="59" spans="2:6" s="68" customFormat="1" x14ac:dyDescent="0.35">
      <c r="C59" s="72"/>
      <c r="D59" s="71"/>
      <c r="E59" s="70"/>
      <c r="F59" s="69"/>
    </row>
    <row r="60" spans="2:6" s="17" customFormat="1" x14ac:dyDescent="0.35">
      <c r="B60" s="14" t="s">
        <v>209</v>
      </c>
      <c r="C60" s="14"/>
      <c r="D60" s="67"/>
      <c r="E60" s="66">
        <f>E49/E51</f>
        <v>807.16725978647685</v>
      </c>
      <c r="F60" s="63"/>
    </row>
    <row r="61" spans="2:6" s="17" customFormat="1" x14ac:dyDescent="0.35">
      <c r="B61" s="14" t="s">
        <v>208</v>
      </c>
      <c r="C61" s="14"/>
      <c r="D61" s="67"/>
      <c r="E61" s="66">
        <f>(E7-E39)/E51</f>
        <v>895.6772973077517</v>
      </c>
      <c r="F61" s="63"/>
    </row>
    <row r="62" spans="2:6" s="17" customFormat="1" x14ac:dyDescent="0.35">
      <c r="B62" s="14" t="s">
        <v>207</v>
      </c>
      <c r="C62" s="14"/>
      <c r="D62" s="67"/>
      <c r="E62" s="66">
        <f>E60-E61</f>
        <v>-88.510037521274853</v>
      </c>
      <c r="F62" s="63"/>
    </row>
    <row r="63" spans="2:6" s="17" customFormat="1" x14ac:dyDescent="0.35">
      <c r="B63" s="14"/>
      <c r="D63" s="63"/>
      <c r="E63" s="65">
        <f>E62/E60</f>
        <v>-0.10965513832249435</v>
      </c>
      <c r="F63" s="63"/>
    </row>
    <row r="64" spans="2:6" s="17" customFormat="1" ht="15" x14ac:dyDescent="0.3">
      <c r="D64" s="63"/>
      <c r="E64" s="64"/>
      <c r="F64" s="63"/>
    </row>
    <row r="65" spans="2:6" s="17" customFormat="1" ht="15" x14ac:dyDescent="0.3">
      <c r="D65" s="63"/>
      <c r="E65" s="64"/>
      <c r="F65" s="63"/>
    </row>
    <row r="66" spans="2:6" s="17" customFormat="1" ht="15" x14ac:dyDescent="0.3">
      <c r="D66" s="63"/>
      <c r="E66" s="64"/>
      <c r="F66" s="63"/>
    </row>
    <row r="68" spans="2:6" x14ac:dyDescent="0.35">
      <c r="B68" s="17" t="s">
        <v>206</v>
      </c>
    </row>
    <row r="69" spans="2:6" x14ac:dyDescent="0.35">
      <c r="C69" s="62">
        <v>27</v>
      </c>
    </row>
    <row r="70" spans="2:6" s="59" customFormat="1" ht="28" x14ac:dyDescent="0.35">
      <c r="B70" s="60" t="str">
        <f>B4</f>
        <v>Particulars</v>
      </c>
      <c r="C70" s="60" t="str">
        <f>C4</f>
        <v>Jan-US</v>
      </c>
      <c r="D70" s="60" t="str">
        <f>D4</f>
        <v>Jan-India</v>
      </c>
      <c r="E70" s="61" t="str">
        <f>E4</f>
        <v>Jan Consolidation</v>
      </c>
      <c r="F70" s="60" t="str">
        <f>F4</f>
        <v>Budget Remarks</v>
      </c>
    </row>
    <row r="71" spans="2:6" x14ac:dyDescent="0.35">
      <c r="B71" s="58" t="s">
        <v>156</v>
      </c>
      <c r="C71" s="21"/>
      <c r="D71" s="21"/>
      <c r="E71" s="22"/>
      <c r="F71" s="21"/>
    </row>
    <row r="72" spans="2:6" x14ac:dyDescent="0.35">
      <c r="B72" s="57" t="s">
        <v>154</v>
      </c>
      <c r="C72" s="21">
        <f>IFERROR(VLOOKUP(B72,'[1]Holding Inc statement'!$B$45:$AB$119,'Consolidated PnL-Jan'!$C$69,0),)</f>
        <v>226527</v>
      </c>
      <c r="D72" s="21"/>
      <c r="E72" s="22">
        <f>C72+D72</f>
        <v>226527</v>
      </c>
      <c r="F72" s="21"/>
    </row>
    <row r="73" spans="2:6" x14ac:dyDescent="0.35">
      <c r="B73" s="57" t="s">
        <v>153</v>
      </c>
      <c r="C73" s="21">
        <f>IFERROR(VLOOKUP(B73,'[1]Holding Inc statement'!$B$45:$AB$119,'Consolidated PnL-Jan'!$C$69,0),)</f>
        <v>0</v>
      </c>
      <c r="D73" s="21"/>
      <c r="E73" s="22">
        <f>C73+D73</f>
        <v>0</v>
      </c>
      <c r="F73" s="21"/>
    </row>
    <row r="74" spans="2:6" x14ac:dyDescent="0.35">
      <c r="B74" s="57" t="s">
        <v>152</v>
      </c>
      <c r="C74" s="21">
        <f>IFERROR(VLOOKUP(B74,'[1]Holding Inc statement'!$B$45:$AB$119,'Consolidated PnL-Jan'!$C$69,0),)</f>
        <v>0</v>
      </c>
      <c r="D74" s="21">
        <f>IFERROR(VLOOKUP(B74,'[1]Subs Income statement'!$AF$48:$BF$178,'Consolidated PnL-Jan'!$C$69,0),)</f>
        <v>0</v>
      </c>
      <c r="E74" s="22">
        <f>C74+D74</f>
        <v>0</v>
      </c>
      <c r="F74" s="21"/>
    </row>
    <row r="75" spans="2:6" x14ac:dyDescent="0.35">
      <c r="B75" s="57" t="s">
        <v>150</v>
      </c>
      <c r="C75" s="21">
        <f>IFERROR(VLOOKUP(B75,'[1]Holding Inc statement'!$B$45:$AB$119,'Consolidated PnL-Jan'!$C$69,0),)</f>
        <v>0</v>
      </c>
      <c r="D75" s="21">
        <f>IFERROR(VLOOKUP(B75,'[1]Subs Income statement'!$AF$48:$BF$178,'Consolidated PnL-Jan'!$C$69,0),)</f>
        <v>0</v>
      </c>
      <c r="E75" s="22">
        <f>C75+D75</f>
        <v>0</v>
      </c>
      <c r="F75" s="21"/>
    </row>
    <row r="76" spans="2:6" x14ac:dyDescent="0.35">
      <c r="B76" s="57" t="s">
        <v>151</v>
      </c>
      <c r="C76" s="21">
        <f>IFERROR(VLOOKUP(B76,'[1]Holding Inc statement'!$B$45:$AB$119,'Consolidated PnL-Jan'!$C$69,0),)</f>
        <v>287</v>
      </c>
      <c r="D76" s="21"/>
      <c r="E76" s="22">
        <f>C76+D76</f>
        <v>287</v>
      </c>
      <c r="F76" s="21"/>
    </row>
    <row r="77" spans="2:6" s="17" customFormat="1" ht="15" x14ac:dyDescent="0.3">
      <c r="B77" s="54" t="s">
        <v>205</v>
      </c>
      <c r="C77" s="26">
        <f>SUM(C72:C76)</f>
        <v>226814</v>
      </c>
      <c r="D77" s="26">
        <f>SUM(D72:D76)</f>
        <v>0</v>
      </c>
      <c r="E77" s="27">
        <f>SUM(E72:E76)</f>
        <v>226814</v>
      </c>
      <c r="F77" s="26"/>
    </row>
    <row r="78" spans="2:6" x14ac:dyDescent="0.35">
      <c r="B78" s="54"/>
      <c r="C78" s="21"/>
      <c r="D78" s="21"/>
      <c r="E78" s="22"/>
      <c r="F78" s="21"/>
    </row>
    <row r="79" spans="2:6" x14ac:dyDescent="0.35">
      <c r="B79" s="25" t="s">
        <v>204</v>
      </c>
      <c r="C79" s="21"/>
      <c r="D79" s="21"/>
      <c r="E79" s="22"/>
      <c r="F79" s="21"/>
    </row>
    <row r="80" spans="2:6" x14ac:dyDescent="0.35">
      <c r="B80" s="24" t="s">
        <v>203</v>
      </c>
      <c r="C80" s="21"/>
      <c r="D80" s="21"/>
      <c r="E80" s="22"/>
      <c r="F80" s="21"/>
    </row>
    <row r="81" spans="2:6" x14ac:dyDescent="0.35">
      <c r="B81" s="24" t="s">
        <v>145</v>
      </c>
      <c r="C81" s="21">
        <f>IFERROR(VLOOKUP(B81,'[1]Holding Inc statement'!$B$45:$AB$119,'Consolidated PnL-Jan'!$C$69,0),)</f>
        <v>0</v>
      </c>
      <c r="D81" s="21">
        <f>IFERROR(VLOOKUP(B81,'[1]Subs Income statement'!$AF$48:$BF$178,'Consolidated PnL-Jan'!$C$69,0),)</f>
        <v>0</v>
      </c>
      <c r="E81" s="22">
        <f>C81+D81</f>
        <v>0</v>
      </c>
      <c r="F81" s="21"/>
    </row>
    <row r="82" spans="2:6" x14ac:dyDescent="0.35">
      <c r="B82" s="24" t="s">
        <v>144</v>
      </c>
      <c r="C82" s="21">
        <f>IFERROR(VLOOKUP(B82,'[1]Holding Inc statement'!$B$45:$AB$119,'Consolidated PnL-Jan'!$C$69,0),)</f>
        <v>0</v>
      </c>
      <c r="D82" s="21">
        <f>IFERROR(VLOOKUP(B82,'[1]Subs Income statement'!$AF$48:$BF$178,'Consolidated PnL-Jan'!$C$69,0),)</f>
        <v>65898.684782608689</v>
      </c>
      <c r="E82" s="22">
        <f>C82+D82</f>
        <v>65898.684782608689</v>
      </c>
      <c r="F82" s="21"/>
    </row>
    <row r="83" spans="2:6" x14ac:dyDescent="0.35">
      <c r="B83" s="24" t="s">
        <v>143</v>
      </c>
      <c r="C83" s="21">
        <f>IFERROR(VLOOKUP(B83,'[1]Holding Inc statement'!$B$45:$AB$119,'Consolidated PnL-Jan'!$C$69,0),)</f>
        <v>0</v>
      </c>
      <c r="D83" s="21">
        <f>IFERROR(VLOOKUP(B83,'[1]Subs Income statement'!$AF$48:$BF$178,'Consolidated PnL-Jan'!$C$69,0),)</f>
        <v>37200.967391304344</v>
      </c>
      <c r="E83" s="22">
        <f>C83+D83</f>
        <v>37200.967391304344</v>
      </c>
      <c r="F83" s="21"/>
    </row>
    <row r="84" spans="2:6" x14ac:dyDescent="0.35">
      <c r="B84" s="45" t="s">
        <v>142</v>
      </c>
      <c r="C84" s="21">
        <f>IFERROR(VLOOKUP(B84,'[1]Holding Inc statement'!$B$45:$AB$119,'Consolidated PnL-Jan'!$C$69,0),)</f>
        <v>0</v>
      </c>
      <c r="D84" s="21">
        <f>IFERROR(VLOOKUP(B84,'[1]Subs Income statement'!$AF$48:$BF$178,'Consolidated PnL-Jan'!$C$69,0),)</f>
        <v>0</v>
      </c>
      <c r="E84" s="22">
        <f>C84+D84</f>
        <v>0</v>
      </c>
      <c r="F84" s="41"/>
    </row>
    <row r="85" spans="2:6" x14ac:dyDescent="0.35">
      <c r="B85" s="24" t="s">
        <v>141</v>
      </c>
      <c r="C85" s="21">
        <f>IFERROR(VLOOKUP(B85,'[1]Holding Inc statement'!$B$45:$AB$119,'Consolidated PnL-Jan'!$C$69,0),)</f>
        <v>0</v>
      </c>
      <c r="D85" s="21">
        <f>IFERROR(VLOOKUP(B85,'[1]Subs Income statement'!$AF$48:$BF$178,'Consolidated PnL-Jan'!$C$69,0),)</f>
        <v>0</v>
      </c>
      <c r="E85" s="56">
        <f>C85+D85</f>
        <v>0</v>
      </c>
      <c r="F85" s="55"/>
    </row>
    <row r="86" spans="2:6" s="17" customFormat="1" ht="15" x14ac:dyDescent="0.3">
      <c r="B86" s="25" t="s">
        <v>202</v>
      </c>
      <c r="C86" s="26">
        <f>SUM(C81:C85)</f>
        <v>0</v>
      </c>
      <c r="D86" s="26">
        <f>SUM(D81:D85)</f>
        <v>103099.65217391303</v>
      </c>
      <c r="E86" s="27">
        <f>SUM(E81:E85)</f>
        <v>103099.65217391303</v>
      </c>
      <c r="F86" s="26"/>
    </row>
    <row r="87" spans="2:6" s="17" customFormat="1" ht="15" x14ac:dyDescent="0.3">
      <c r="B87" s="25"/>
      <c r="C87" s="26"/>
      <c r="D87" s="26"/>
      <c r="E87" s="27"/>
      <c r="F87" s="26"/>
    </row>
    <row r="88" spans="2:6" s="17" customFormat="1" ht="15" x14ac:dyDescent="0.3">
      <c r="B88" s="25" t="s">
        <v>201</v>
      </c>
      <c r="C88" s="26"/>
      <c r="D88" s="26"/>
      <c r="E88" s="27"/>
      <c r="F88" s="26"/>
    </row>
    <row r="89" spans="2:6" x14ac:dyDescent="0.35">
      <c r="B89" s="24" t="s">
        <v>139</v>
      </c>
      <c r="C89" s="21">
        <f>IFERROR(VLOOKUP(B89,'[1]Holding Inc statement'!$B$45:$AB$119,'Consolidated PnL-Jan'!$C$69,0),)</f>
        <v>0</v>
      </c>
      <c r="D89" s="21">
        <f>IFERROR(VLOOKUP(B89,'[1]Subs Income statement'!$AF$48:$BF$178,'Consolidated PnL-Jan'!$C$69,0),)</f>
        <v>82.630434782608702</v>
      </c>
      <c r="E89" s="22">
        <f t="shared" ref="E89:E97" si="0">C89+D89</f>
        <v>82.630434782608702</v>
      </c>
      <c r="F89" s="21"/>
    </row>
    <row r="90" spans="2:6" x14ac:dyDescent="0.35">
      <c r="B90" s="24" t="s">
        <v>138</v>
      </c>
      <c r="C90" s="21">
        <f>IFERROR(VLOOKUP(B90,'[1]Holding Inc statement'!$B$45:$AB$119,'Consolidated PnL-Jan'!$C$69,0),)</f>
        <v>0</v>
      </c>
      <c r="D90" s="21">
        <f>IFERROR(VLOOKUP(B90,'[1]Subs Income statement'!$AF$48:$BF$178,'Consolidated PnL-Jan'!$C$69,0),)</f>
        <v>406.91304347826087</v>
      </c>
      <c r="E90" s="22">
        <f t="shared" si="0"/>
        <v>406.91304347826087</v>
      </c>
      <c r="F90" s="21"/>
    </row>
    <row r="91" spans="2:6" x14ac:dyDescent="0.35">
      <c r="B91" s="24" t="s">
        <v>137</v>
      </c>
      <c r="C91" s="21">
        <f>IFERROR(VLOOKUP(B91,'[1]Holding Inc statement'!$B$45:$AB$119,'Consolidated PnL-Jan'!$C$69,0),)</f>
        <v>0</v>
      </c>
      <c r="D91" s="21">
        <f>IFERROR(VLOOKUP(B91,'[1]Subs Income statement'!$AF$48:$BF$178,'Consolidated PnL-Jan'!$C$69,0),)</f>
        <v>5078.717391304348</v>
      </c>
      <c r="E91" s="22">
        <f t="shared" si="0"/>
        <v>5078.717391304348</v>
      </c>
      <c r="F91" s="21"/>
    </row>
    <row r="92" spans="2:6" x14ac:dyDescent="0.35">
      <c r="B92" s="24" t="s">
        <v>136</v>
      </c>
      <c r="C92" s="21">
        <f>IFERROR(VLOOKUP(B92,'[1]Holding Inc statement'!$B$45:$AB$119,'Consolidated PnL-Jan'!$C$69,0),)</f>
        <v>0</v>
      </c>
      <c r="D92" s="21">
        <f>IFERROR(VLOOKUP(B92,'[1]Subs Income statement'!$AF$48:$BF$178,'Consolidated PnL-Jan'!$C$69,0),)</f>
        <v>356.89130434782606</v>
      </c>
      <c r="E92" s="22">
        <f t="shared" si="0"/>
        <v>356.89130434782606</v>
      </c>
      <c r="F92" s="21"/>
    </row>
    <row r="93" spans="2:6" x14ac:dyDescent="0.35">
      <c r="B93" s="24" t="s">
        <v>135</v>
      </c>
      <c r="C93" s="21">
        <f>IFERROR(VLOOKUP(B93,'[1]Holding Inc statement'!$B$45:$AB$119,'Consolidated PnL-Jan'!$C$69,0),)</f>
        <v>0</v>
      </c>
      <c r="D93" s="21">
        <f>IFERROR(VLOOKUP(B93,'[1]Subs Income statement'!$AF$48:$BF$178,'Consolidated PnL-Jan'!$C$69,0),)</f>
        <v>5078.717391304348</v>
      </c>
      <c r="E93" s="22">
        <f t="shared" si="0"/>
        <v>5078.717391304348</v>
      </c>
      <c r="F93" s="21"/>
    </row>
    <row r="94" spans="2:6" x14ac:dyDescent="0.35">
      <c r="B94" s="24" t="s">
        <v>134</v>
      </c>
      <c r="C94" s="21">
        <f>IFERROR(VLOOKUP(B94,'[1]Holding Inc statement'!$B$45:$AB$119,'Consolidated PnL-Jan'!$C$69,0),)</f>
        <v>0</v>
      </c>
      <c r="D94" s="21">
        <f>IFERROR(VLOOKUP(B94,'[1]Subs Income statement'!$AF$48:$BF$178,'Consolidated PnL-Jan'!$C$69,0),)</f>
        <v>747.91304347826087</v>
      </c>
      <c r="E94" s="22">
        <f t="shared" si="0"/>
        <v>747.91304347826087</v>
      </c>
      <c r="F94" s="21"/>
    </row>
    <row r="95" spans="2:6" x14ac:dyDescent="0.35">
      <c r="B95" s="24" t="s">
        <v>133</v>
      </c>
      <c r="C95" s="21">
        <f>IFERROR(VLOOKUP(B95,'[1]Holding Inc statement'!$B$45:$AB$119,'Consolidated PnL-Jan'!$C$69,0),)</f>
        <v>0</v>
      </c>
      <c r="D95" s="21">
        <f>IFERROR(VLOOKUP(B95,'[1]Subs Income statement'!$AF$48:$BF$178,'Consolidated PnL-Jan'!$C$69,0),)</f>
        <v>0</v>
      </c>
      <c r="E95" s="22">
        <f t="shared" si="0"/>
        <v>0</v>
      </c>
      <c r="F95" s="21"/>
    </row>
    <row r="96" spans="2:6" x14ac:dyDescent="0.35">
      <c r="B96" s="24" t="s">
        <v>132</v>
      </c>
      <c r="C96" s="21">
        <f>IFERROR(VLOOKUP(B96,'[1]Holding Inc statement'!$B$45:$AB$119,'Consolidated PnL-Jan'!$C$69,0),)</f>
        <v>0</v>
      </c>
      <c r="D96" s="21">
        <f>IFERROR(VLOOKUP(B96,'[1]Subs Income statement'!$AF$48:$BF$178,'Consolidated PnL-Jan'!$C$69,0),)</f>
        <v>0</v>
      </c>
      <c r="E96" s="22">
        <f t="shared" si="0"/>
        <v>0</v>
      </c>
      <c r="F96" s="21"/>
    </row>
    <row r="97" spans="2:6" s="17" customFormat="1" ht="15" x14ac:dyDescent="0.3">
      <c r="B97" s="25" t="s">
        <v>26</v>
      </c>
      <c r="C97" s="26">
        <f>SUM(C88:C96)</f>
        <v>0</v>
      </c>
      <c r="D97" s="26">
        <f>SUM(D88:D96)</f>
        <v>11751.782608695652</v>
      </c>
      <c r="E97" s="27">
        <f t="shared" si="0"/>
        <v>11751.782608695652</v>
      </c>
      <c r="F97" s="26"/>
    </row>
    <row r="98" spans="2:6" s="17" customFormat="1" ht="15" x14ac:dyDescent="0.3">
      <c r="B98" s="25"/>
      <c r="C98" s="26"/>
      <c r="D98" s="26"/>
      <c r="E98" s="27"/>
      <c r="F98" s="26"/>
    </row>
    <row r="99" spans="2:6" s="17" customFormat="1" ht="15" x14ac:dyDescent="0.3">
      <c r="B99" s="25" t="s">
        <v>200</v>
      </c>
      <c r="C99" s="26">
        <f>C86+C97</f>
        <v>0</v>
      </c>
      <c r="D99" s="26">
        <f>D86+D97</f>
        <v>114851.43478260867</v>
      </c>
      <c r="E99" s="27">
        <f>E86+E97</f>
        <v>114851.43478260867</v>
      </c>
      <c r="F99" s="26"/>
    </row>
    <row r="100" spans="2:6" x14ac:dyDescent="0.35">
      <c r="B100" s="54"/>
      <c r="C100" s="21"/>
      <c r="D100" s="21"/>
      <c r="E100" s="22"/>
      <c r="F100" s="21"/>
    </row>
    <row r="101" spans="2:6" x14ac:dyDescent="0.35">
      <c r="B101" s="25" t="s">
        <v>199</v>
      </c>
      <c r="C101" s="21"/>
      <c r="D101" s="21"/>
      <c r="E101" s="22"/>
      <c r="F101" s="21"/>
    </row>
    <row r="102" spans="2:6" x14ac:dyDescent="0.35">
      <c r="B102" s="53" t="s">
        <v>129</v>
      </c>
      <c r="C102" s="21">
        <f>IFERROR(VLOOKUP(B102,'[1]Holding Inc statement'!$B$45:$AB$119,'Consolidated PnL-Jan'!$C$69,0),)</f>
        <v>0</v>
      </c>
      <c r="D102" s="21">
        <f>IFERROR(VLOOKUP(B102,'[1]Subs Income statement'!$AF$48:$BF$178,'Consolidated PnL-Jan'!$C$69,0),)</f>
        <v>0</v>
      </c>
      <c r="E102" s="22">
        <f t="shared" ref="E102:E112" si="1">C102+D102</f>
        <v>0</v>
      </c>
      <c r="F102" s="21"/>
    </row>
    <row r="103" spans="2:6" x14ac:dyDescent="0.35">
      <c r="B103" s="53" t="s">
        <v>128</v>
      </c>
      <c r="C103" s="21">
        <f>IFERROR(VLOOKUP(B103,'[1]Holding Inc statement'!$B$45:$AB$119,'Consolidated PnL-Jan'!$C$69,0),)</f>
        <v>0</v>
      </c>
      <c r="D103" s="21">
        <f>IFERROR(VLOOKUP(B103,'[1]Subs Income statement'!$AF$48:$BF$178,'Consolidated PnL-Jan'!$C$69,0),)</f>
        <v>1968.0434782608695</v>
      </c>
      <c r="E103" s="22">
        <f t="shared" si="1"/>
        <v>1968.0434782608695</v>
      </c>
      <c r="F103" s="21"/>
    </row>
    <row r="104" spans="2:6" x14ac:dyDescent="0.35">
      <c r="B104" s="53" t="s">
        <v>127</v>
      </c>
      <c r="C104" s="21">
        <f>IFERROR(VLOOKUP(B104,'[1]Holding Inc statement'!$B$45:$AB$119,'Consolidated PnL-Jan'!$C$69,0),)</f>
        <v>0</v>
      </c>
      <c r="D104" s="21">
        <f>IFERROR(VLOOKUP(B104,'[1]Subs Income statement'!$AF$48:$BF$178,'Consolidated PnL-Jan'!$C$69,0),)</f>
        <v>0</v>
      </c>
      <c r="E104" s="22">
        <f t="shared" si="1"/>
        <v>0</v>
      </c>
      <c r="F104" s="21"/>
    </row>
    <row r="105" spans="2:6" x14ac:dyDescent="0.35">
      <c r="B105" s="53" t="s">
        <v>126</v>
      </c>
      <c r="C105" s="21">
        <f>IFERROR(VLOOKUP(B105,'[1]Holding Inc statement'!$B$45:$AB$119,'Consolidated PnL-Jan'!$C$69,0),)</f>
        <v>0</v>
      </c>
      <c r="D105" s="21">
        <f>IFERROR(VLOOKUP(B105,'[1]Subs Income statement'!$AF$48:$BF$178,'Consolidated PnL-Jan'!$C$69,0),)</f>
        <v>743.04347826086962</v>
      </c>
      <c r="E105" s="22">
        <f t="shared" si="1"/>
        <v>743.04347826086962</v>
      </c>
      <c r="F105" s="21"/>
    </row>
    <row r="106" spans="2:6" x14ac:dyDescent="0.35">
      <c r="B106" s="53" t="s">
        <v>125</v>
      </c>
      <c r="C106" s="21">
        <f>IFERROR(VLOOKUP(B106,'[1]Holding Inc statement'!$B$45:$AB$119,'Consolidated PnL-Jan'!$C$69,0),)</f>
        <v>0</v>
      </c>
      <c r="D106" s="21">
        <f>IFERROR(VLOOKUP(B106,'[1]Subs Income statement'!$AF$48:$BF$178,'Consolidated PnL-Jan'!$C$69,0),)</f>
        <v>4301.836956521739</v>
      </c>
      <c r="E106" s="22">
        <f t="shared" si="1"/>
        <v>4301.836956521739</v>
      </c>
      <c r="F106" s="21"/>
    </row>
    <row r="107" spans="2:6" x14ac:dyDescent="0.35">
      <c r="B107" s="53" t="s">
        <v>124</v>
      </c>
      <c r="C107" s="21">
        <f>IFERROR(VLOOKUP(B107,'[1]Holding Inc statement'!$B$45:$AB$119,'Consolidated PnL-Jan'!$C$69,0),)</f>
        <v>0</v>
      </c>
      <c r="D107" s="21">
        <f>IFERROR(VLOOKUP(B107,'[1]Subs Income statement'!$AF$48:$BF$178,'Consolidated PnL-Jan'!$C$69,0),)</f>
        <v>2057.9032608695652</v>
      </c>
      <c r="E107" s="22">
        <f t="shared" si="1"/>
        <v>2057.9032608695652</v>
      </c>
      <c r="F107" s="21"/>
    </row>
    <row r="108" spans="2:6" x14ac:dyDescent="0.35">
      <c r="B108" s="53" t="s">
        <v>120</v>
      </c>
      <c r="C108" s="21">
        <f>IFERROR(VLOOKUP(B108,'[1]Holding Inc statement'!$B$45:$AB$119,'Consolidated PnL-Jan'!$C$69,0),)</f>
        <v>0</v>
      </c>
      <c r="D108" s="21">
        <f>IFERROR(VLOOKUP(B108,'[1]Subs Income statement'!$AF$48:$BF$178,'Consolidated PnL-Jan'!$C$69,0),)</f>
        <v>271.73913043478262</v>
      </c>
      <c r="E108" s="22">
        <f t="shared" si="1"/>
        <v>271.73913043478262</v>
      </c>
      <c r="F108" s="21"/>
    </row>
    <row r="109" spans="2:6" x14ac:dyDescent="0.35">
      <c r="B109" s="53" t="s">
        <v>123</v>
      </c>
      <c r="C109" s="21">
        <f>IFERROR(VLOOKUP(B109,'[1]Holding Inc statement'!$B$45:$AB$119,'Consolidated PnL-Jan'!$C$69,0),)</f>
        <v>0</v>
      </c>
      <c r="D109" s="21">
        <f>IFERROR(VLOOKUP(B109,'[1]Subs Income statement'!$AF$48:$BF$178,'Consolidated PnL-Jan'!$C$69,0),)</f>
        <v>285.32608695652175</v>
      </c>
      <c r="E109" s="22">
        <f t="shared" si="1"/>
        <v>285.32608695652175</v>
      </c>
      <c r="F109" s="21"/>
    </row>
    <row r="110" spans="2:6" x14ac:dyDescent="0.35">
      <c r="B110" s="53" t="s">
        <v>122</v>
      </c>
      <c r="C110" s="21">
        <f>IFERROR(VLOOKUP(B110,'[1]Holding Inc statement'!$B$45:$AB$119,'Consolidated PnL-Jan'!$C$69,0),)</f>
        <v>0</v>
      </c>
      <c r="D110" s="21">
        <f>IFERROR(VLOOKUP(B110,'[1]Subs Income statement'!$AF$48:$BF$178,'Consolidated PnL-Jan'!$C$69,0),)</f>
        <v>4347.826086956522</v>
      </c>
      <c r="E110" s="22">
        <f t="shared" si="1"/>
        <v>4347.826086956522</v>
      </c>
      <c r="F110" s="21"/>
    </row>
    <row r="111" spans="2:6" x14ac:dyDescent="0.35">
      <c r="B111" s="53" t="s">
        <v>121</v>
      </c>
      <c r="C111" s="21">
        <f>IFERROR(VLOOKUP(B111,'[1]Holding Inc statement'!$B$45:$AB$119,'Consolidated PnL-Jan'!$C$69,0),)</f>
        <v>2000</v>
      </c>
      <c r="D111" s="21">
        <f>IFERROR(VLOOKUP(B111,'[1]Subs Income statement'!$AF$48:$BF$178,'Consolidated PnL-Jan'!$C$69,0),)</f>
        <v>0</v>
      </c>
      <c r="E111" s="22">
        <f t="shared" si="1"/>
        <v>2000</v>
      </c>
      <c r="F111" s="21"/>
    </row>
    <row r="112" spans="2:6" s="17" customFormat="1" ht="15" x14ac:dyDescent="0.3">
      <c r="B112" s="25" t="s">
        <v>26</v>
      </c>
      <c r="C112" s="26">
        <f>SUM(C102:C111)</f>
        <v>2000</v>
      </c>
      <c r="D112" s="26">
        <f>SUM(D102:D111)</f>
        <v>13975.718478260869</v>
      </c>
      <c r="E112" s="27">
        <f t="shared" si="1"/>
        <v>15975.718478260869</v>
      </c>
      <c r="F112" s="26"/>
    </row>
    <row r="113" spans="2:6" s="17" customFormat="1" ht="15" x14ac:dyDescent="0.3">
      <c r="B113" s="25"/>
      <c r="C113" s="26"/>
      <c r="D113" s="26"/>
      <c r="E113" s="27"/>
      <c r="F113" s="26"/>
    </row>
    <row r="114" spans="2:6" s="17" customFormat="1" ht="15" x14ac:dyDescent="0.3">
      <c r="B114" s="25"/>
      <c r="C114" s="26"/>
      <c r="D114" s="26"/>
      <c r="E114" s="27"/>
      <c r="F114" s="26"/>
    </row>
    <row r="115" spans="2:6" x14ac:dyDescent="0.35">
      <c r="B115" s="25" t="s">
        <v>115</v>
      </c>
      <c r="C115" s="21"/>
      <c r="D115" s="21"/>
      <c r="E115" s="22"/>
      <c r="F115" s="21"/>
    </row>
    <row r="116" spans="2:6" x14ac:dyDescent="0.35">
      <c r="B116" s="24" t="s">
        <v>118</v>
      </c>
      <c r="C116" s="21">
        <f>IFERROR(VLOOKUP(B116,'[1]Holding Inc statement'!$B$45:$AB$119,'Consolidated PnL-Jan'!$C$69,0),)</f>
        <v>2335.84</v>
      </c>
      <c r="D116" s="21">
        <f>IFERROR(VLOOKUP(B116,'[1]Subs Income statement'!$AF$48:$BF$178,'Consolidated PnL-Jan'!$C$69,0),)</f>
        <v>0</v>
      </c>
      <c r="E116" s="22">
        <f t="shared" ref="E116:E123" si="2">C116+D116</f>
        <v>2335.84</v>
      </c>
      <c r="F116" s="21"/>
    </row>
    <row r="117" spans="2:6" x14ac:dyDescent="0.35">
      <c r="B117" s="24" t="s">
        <v>117</v>
      </c>
      <c r="C117" s="21">
        <f>IFERROR(VLOOKUP(B117,'[1]Holding Inc statement'!$B$45:$AB$119,'Consolidated PnL-Jan'!$C$69,0),)</f>
        <v>435.09</v>
      </c>
      <c r="D117" s="21">
        <f>IFERROR(VLOOKUP(B117,'[1]Subs Income statement'!$AF$48:$BF$178,'Consolidated PnL-Jan'!$C$69,0),)</f>
        <v>0</v>
      </c>
      <c r="E117" s="44">
        <f t="shared" si="2"/>
        <v>435.09</v>
      </c>
      <c r="F117" s="41"/>
    </row>
    <row r="118" spans="2:6" x14ac:dyDescent="0.35">
      <c r="B118" s="24" t="s">
        <v>99</v>
      </c>
      <c r="C118" s="21">
        <f>IFERROR(VLOOKUP(B118,'[1]Holding Inc statement'!$B$45:$AB$119,'Consolidated PnL-Jan'!$C$69,0),)</f>
        <v>0</v>
      </c>
      <c r="D118" s="21">
        <f>IFERROR(VLOOKUP(B118,'[1]Subs Income statement'!$AF$48:$BF$178,'Consolidated PnL-Jan'!$C$69,0),)</f>
        <v>0</v>
      </c>
      <c r="E118" s="22">
        <f t="shared" si="2"/>
        <v>0</v>
      </c>
      <c r="F118" s="21"/>
    </row>
    <row r="119" spans="2:6" s="43" customFormat="1" x14ac:dyDescent="0.35">
      <c r="B119" s="24" t="s">
        <v>198</v>
      </c>
      <c r="C119" s="21">
        <f>IFERROR(VLOOKUP(B119,'[1]Holding Inc statement'!$B$45:$AB$119,'Consolidated PnL-Jan'!$C$69,0),)</f>
        <v>0</v>
      </c>
      <c r="D119" s="21">
        <f>IFERROR(VLOOKUP(B119,'[1]Subs Income statement'!$AF$48:$BF$178,'Consolidated PnL-Jan'!$C$69,0),)</f>
        <v>988.99130434782603</v>
      </c>
      <c r="E119" s="44">
        <f t="shared" si="2"/>
        <v>988.99130434782603</v>
      </c>
      <c r="F119" s="41"/>
    </row>
    <row r="120" spans="2:6" x14ac:dyDescent="0.35">
      <c r="B120" s="24" t="s">
        <v>116</v>
      </c>
      <c r="C120" s="21">
        <f>IFERROR(VLOOKUP(B120,'[1]Holding Inc statement'!$B$45:$AB$119,'Consolidated PnL-Jan'!$C$69,0),)</f>
        <v>499.3</v>
      </c>
      <c r="D120" s="21">
        <f>IFERROR(VLOOKUP(B120,'[1]Subs Income statement'!$AF$48:$BF$178,'Consolidated PnL-Jan'!$C$69,0),)</f>
        <v>466.48913043478262</v>
      </c>
      <c r="E120" s="22">
        <f t="shared" si="2"/>
        <v>965.78913043478269</v>
      </c>
      <c r="F120" s="52"/>
    </row>
    <row r="121" spans="2:6" x14ac:dyDescent="0.35">
      <c r="B121" s="24" t="s">
        <v>115</v>
      </c>
      <c r="C121" s="21">
        <f>IFERROR(VLOOKUP(B121,'[1]Holding Inc statement'!$B$45:$AB$119,'Consolidated PnL-Jan'!$C$69,0),)</f>
        <v>0</v>
      </c>
      <c r="D121" s="21">
        <f>IFERROR(VLOOKUP(B121,'[1]Subs Income statement'!$AF$48:$BF$178,'Consolidated PnL-Jan'!$C$69,0),)</f>
        <v>24.150217391304349</v>
      </c>
      <c r="E121" s="44">
        <f t="shared" si="2"/>
        <v>24.150217391304349</v>
      </c>
      <c r="F121" s="21"/>
    </row>
    <row r="122" spans="2:6" x14ac:dyDescent="0.35">
      <c r="B122" s="24" t="s">
        <v>114</v>
      </c>
      <c r="C122" s="21">
        <f>IFERROR(VLOOKUP(B122,'[1]Holding Inc statement'!$B$45:$AB$119,'Consolidated PnL-Jan'!$C$69,0),)</f>
        <v>0</v>
      </c>
      <c r="D122" s="21">
        <f>IFERROR(VLOOKUP(B122,'[1]Subs Income statement'!$AF$48:$BF$178,'Consolidated PnL-Jan'!$C$69,0),)</f>
        <v>189.13043478260869</v>
      </c>
      <c r="E122" s="22">
        <f t="shared" si="2"/>
        <v>189.13043478260869</v>
      </c>
      <c r="F122" s="21"/>
    </row>
    <row r="123" spans="2:6" s="17" customFormat="1" ht="15" x14ac:dyDescent="0.3">
      <c r="B123" s="25" t="s">
        <v>26</v>
      </c>
      <c r="C123" s="26">
        <f>SUM(C116:C122)</f>
        <v>3270.2300000000005</v>
      </c>
      <c r="D123" s="26">
        <f>SUM(D116:D122)</f>
        <v>1668.7610869565217</v>
      </c>
      <c r="E123" s="27">
        <f t="shared" si="2"/>
        <v>4938.9910869565219</v>
      </c>
      <c r="F123" s="26"/>
    </row>
    <row r="124" spans="2:6" x14ac:dyDescent="0.35">
      <c r="B124" s="25"/>
      <c r="C124" s="21"/>
      <c r="D124" s="21"/>
      <c r="E124" s="22"/>
      <c r="F124" s="21"/>
    </row>
    <row r="125" spans="2:6" x14ac:dyDescent="0.35">
      <c r="B125" s="25" t="s">
        <v>197</v>
      </c>
      <c r="C125" s="21"/>
      <c r="D125" s="21"/>
      <c r="E125" s="22"/>
      <c r="F125" s="21"/>
    </row>
    <row r="126" spans="2:6" x14ac:dyDescent="0.35">
      <c r="B126" s="24" t="s">
        <v>111</v>
      </c>
      <c r="C126" s="21">
        <f>IFERROR(VLOOKUP(B126,'[1]Holding Inc statement'!$B$45:$AB$119,'Consolidated PnL-Jan'!$C$69,0),)</f>
        <v>0</v>
      </c>
      <c r="D126" s="21">
        <f>IFERROR(VLOOKUP(B126,'[1]Subs Income statement'!$AF$48:$BF$178,'Consolidated PnL-Jan'!$C$69,0),)</f>
        <v>4438.586956521739</v>
      </c>
      <c r="E126" s="22">
        <f>C126+D126</f>
        <v>4438.586956521739</v>
      </c>
      <c r="F126" s="21"/>
    </row>
    <row r="127" spans="2:6" s="17" customFormat="1" ht="15" x14ac:dyDescent="0.3">
      <c r="B127" s="25" t="s">
        <v>26</v>
      </c>
      <c r="C127" s="26">
        <f>SUM(C126)</f>
        <v>0</v>
      </c>
      <c r="D127" s="26">
        <f>SUM(D126)</f>
        <v>4438.586956521739</v>
      </c>
      <c r="E127" s="27">
        <f>C127+D127</f>
        <v>4438.586956521739</v>
      </c>
      <c r="F127" s="26"/>
    </row>
    <row r="128" spans="2:6" x14ac:dyDescent="0.35">
      <c r="B128" s="25"/>
      <c r="C128" s="21"/>
      <c r="D128" s="21"/>
      <c r="E128" s="22"/>
      <c r="F128" s="21"/>
    </row>
    <row r="129" spans="2:6" x14ac:dyDescent="0.35">
      <c r="B129" s="25" t="s">
        <v>196</v>
      </c>
      <c r="C129" s="21"/>
      <c r="D129" s="21"/>
      <c r="E129" s="22"/>
      <c r="F129" s="21"/>
    </row>
    <row r="130" spans="2:6" x14ac:dyDescent="0.35">
      <c r="B130" s="24" t="s">
        <v>109</v>
      </c>
      <c r="C130" s="21">
        <f>IFERROR(VLOOKUP(B130,'[1]Holding Inc statement'!$B$45:$AB$119,'Consolidated PnL-Jan'!$C$69,0),)</f>
        <v>0</v>
      </c>
      <c r="D130" s="21">
        <f>IFERROR(VLOOKUP(B130,'[1]Subs Income statement'!$AF$48:$BF$178,'Consolidated PnL-Jan'!$C$69,0),)</f>
        <v>0</v>
      </c>
      <c r="E130" s="22">
        <f t="shared" ref="E130:E142" si="3">C130+D130</f>
        <v>0</v>
      </c>
      <c r="F130" s="21"/>
    </row>
    <row r="131" spans="2:6" x14ac:dyDescent="0.35">
      <c r="B131" s="24" t="s">
        <v>108</v>
      </c>
      <c r="C131" s="21">
        <f>IFERROR(VLOOKUP(B131,'[1]Holding Inc statement'!$B$45:$AB$119,'Consolidated PnL-Jan'!$C$69,0),)</f>
        <v>0</v>
      </c>
      <c r="D131" s="21">
        <f>IFERROR(VLOOKUP(B131,'[1]Subs Income statement'!$AF$48:$BF$178,'Consolidated PnL-Jan'!$C$69,0),)</f>
        <v>755.83695652173913</v>
      </c>
      <c r="E131" s="22">
        <f t="shared" si="3"/>
        <v>755.83695652173913</v>
      </c>
      <c r="F131" s="21"/>
    </row>
    <row r="132" spans="2:6" x14ac:dyDescent="0.35">
      <c r="B132" s="24" t="s">
        <v>107</v>
      </c>
      <c r="C132" s="21">
        <f>IFERROR(VLOOKUP(B132,'[1]Holding Inc statement'!$B$45:$AB$119,'Consolidated PnL-Jan'!$C$69,0),)</f>
        <v>0</v>
      </c>
      <c r="D132" s="21">
        <f>IFERROR(VLOOKUP(B132,'[1]Subs Income statement'!$AF$48:$BF$178,'Consolidated PnL-Jan'!$C$69,0),)</f>
        <v>0</v>
      </c>
      <c r="E132" s="22">
        <f t="shared" si="3"/>
        <v>0</v>
      </c>
      <c r="F132" s="21"/>
    </row>
    <row r="133" spans="2:6" x14ac:dyDescent="0.35">
      <c r="B133" s="24" t="s">
        <v>186</v>
      </c>
      <c r="C133" s="21">
        <f>IFERROR(VLOOKUP(B133,'[1]Holding Inc statement'!$B$45:$AB$119,'Consolidated PnL-Jan'!$C$69,0),)</f>
        <v>14832.9</v>
      </c>
      <c r="D133" s="21">
        <f>IFERROR(VLOOKUP(B133,'[1]Subs Income statement'!$AF$48:$BF$178,'Consolidated PnL-Jan'!$C$69,0),)</f>
        <v>0</v>
      </c>
      <c r="E133" s="48">
        <f t="shared" si="3"/>
        <v>14832.9</v>
      </c>
      <c r="F133" s="47"/>
    </row>
    <row r="134" spans="2:6" x14ac:dyDescent="0.35">
      <c r="B134" s="24" t="s">
        <v>106</v>
      </c>
      <c r="C134" s="21">
        <f>IFERROR(VLOOKUP(B134,'[1]Holding Inc statement'!$B$45:$AB$119,'Consolidated PnL-Jan'!$C$69,0),)</f>
        <v>0</v>
      </c>
      <c r="D134" s="21">
        <f>IFERROR(VLOOKUP(B134,'[1]Subs Income statement'!$AF$48:$BF$178,'Consolidated PnL-Jan'!$C$69,0),)</f>
        <v>364.23902173913041</v>
      </c>
      <c r="E134" s="22">
        <f t="shared" si="3"/>
        <v>364.23902173913041</v>
      </c>
      <c r="F134" s="52"/>
    </row>
    <row r="135" spans="2:6" x14ac:dyDescent="0.35">
      <c r="B135" s="24" t="s">
        <v>105</v>
      </c>
      <c r="C135" s="21">
        <f>IFERROR(VLOOKUP(B135,'[1]Holding Inc statement'!$B$45:$AB$119,'Consolidated PnL-Jan'!$C$69,0),)</f>
        <v>0</v>
      </c>
      <c r="D135" s="21">
        <f>IFERROR(VLOOKUP(B135,'[1]Subs Income statement'!$AF$48:$BF$178,'Consolidated PnL-Jan'!$C$69,0),)</f>
        <v>0</v>
      </c>
      <c r="E135" s="48">
        <f t="shared" si="3"/>
        <v>0</v>
      </c>
      <c r="F135" s="47"/>
    </row>
    <row r="136" spans="2:6" x14ac:dyDescent="0.35">
      <c r="B136" s="24" t="s">
        <v>104</v>
      </c>
      <c r="C136" s="21">
        <f>IFERROR(VLOOKUP(B136,'[1]Holding Inc statement'!$B$45:$AB$119,'Consolidated PnL-Jan'!$C$69,0),)</f>
        <v>0</v>
      </c>
      <c r="D136" s="21">
        <f>IFERROR(VLOOKUP(B136,'[1]Subs Income statement'!$AF$48:$BF$178,'Consolidated PnL-Jan'!$C$69,0),)</f>
        <v>0</v>
      </c>
      <c r="E136" s="22">
        <f t="shared" si="3"/>
        <v>0</v>
      </c>
      <c r="F136" s="41"/>
    </row>
    <row r="137" spans="2:6" s="49" customFormat="1" x14ac:dyDescent="0.35">
      <c r="B137" s="51" t="s">
        <v>103</v>
      </c>
      <c r="C137" s="21">
        <f>IFERROR(VLOOKUP(B137,'[1]Holding Inc statement'!$B$45:$AB$119,'Consolidated PnL-Jan'!$C$69,0),)</f>
        <v>0</v>
      </c>
      <c r="D137" s="21">
        <f>IFERROR(VLOOKUP(B137,'[1]Subs Income statement'!$AF$48:$BF$178,'Consolidated PnL-Jan'!$C$69,0),)</f>
        <v>418.62478260869568</v>
      </c>
      <c r="E137" s="50">
        <f t="shared" si="3"/>
        <v>418.62478260869568</v>
      </c>
      <c r="F137" s="41"/>
    </row>
    <row r="138" spans="2:6" s="49" customFormat="1" x14ac:dyDescent="0.35">
      <c r="B138" s="51" t="s">
        <v>9</v>
      </c>
      <c r="C138" s="21">
        <f>IFERROR(VLOOKUP(B138,'[1]Holding Inc statement'!$B$45:$AB$119,'Consolidated PnL-Jan'!$C$69,0),)</f>
        <v>0</v>
      </c>
      <c r="D138" s="21">
        <f>IFERROR(VLOOKUP(B138,'[1]Subs Income statement'!$AF$48:$BF$178,'Consolidated PnL-Jan'!$C$69,0),)</f>
        <v>638.68478260869563</v>
      </c>
      <c r="E138" s="50">
        <f t="shared" si="3"/>
        <v>638.68478260869563</v>
      </c>
      <c r="F138" s="41"/>
    </row>
    <row r="139" spans="2:6" s="49" customFormat="1" x14ac:dyDescent="0.35">
      <c r="B139" s="51" t="s">
        <v>102</v>
      </c>
      <c r="C139" s="21">
        <f>IFERROR(VLOOKUP(B139,'[1]Holding Inc statement'!$B$45:$AB$119,'Consolidated PnL-Jan'!$C$69,0),)</f>
        <v>0</v>
      </c>
      <c r="D139" s="21">
        <f>IFERROR(VLOOKUP(B139,'[1]Subs Income statement'!$AF$48:$BF$178,'Consolidated PnL-Jan'!$C$69,0),)</f>
        <v>0</v>
      </c>
      <c r="E139" s="50">
        <f t="shared" si="3"/>
        <v>0</v>
      </c>
      <c r="F139" s="41"/>
    </row>
    <row r="140" spans="2:6" s="49" customFormat="1" x14ac:dyDescent="0.35">
      <c r="B140" s="51" t="s">
        <v>101</v>
      </c>
      <c r="C140" s="21">
        <f>IFERROR(VLOOKUP(B140,'[1]Holding Inc statement'!$B$45:$AB$119,'Consolidated PnL-Jan'!$C$69,0),)</f>
        <v>0</v>
      </c>
      <c r="D140" s="21">
        <f>IFERROR(VLOOKUP(B140,'[1]Subs Income statement'!$AF$48:$BF$178,'Consolidated PnL-Jan'!$C$69,0),)</f>
        <v>0</v>
      </c>
      <c r="E140" s="50">
        <f t="shared" si="3"/>
        <v>0</v>
      </c>
      <c r="F140" s="41"/>
    </row>
    <row r="141" spans="2:6" x14ac:dyDescent="0.35">
      <c r="B141" s="24" t="s">
        <v>100</v>
      </c>
      <c r="C141" s="21">
        <f>IFERROR(VLOOKUP(B141,'[1]Holding Inc statement'!$B$45:$AB$119,'Consolidated PnL-Jan'!$C$69,0),)</f>
        <v>0</v>
      </c>
      <c r="D141" s="21">
        <f>IFERROR(VLOOKUP(B141,'[1]Subs Income statement'!$AF$48:$BF$178,'Consolidated PnL-Jan'!$C$69,0),)</f>
        <v>3220.163043478261</v>
      </c>
      <c r="E141" s="22">
        <f t="shared" si="3"/>
        <v>3220.163043478261</v>
      </c>
      <c r="F141" s="41"/>
    </row>
    <row r="142" spans="2:6" s="17" customFormat="1" ht="15" x14ac:dyDescent="0.3">
      <c r="B142" s="25" t="s">
        <v>26</v>
      </c>
      <c r="C142" s="26">
        <f>SUM(C130:C141)</f>
        <v>14832.9</v>
      </c>
      <c r="D142" s="26">
        <f>SUM(D130:D141)</f>
        <v>5397.5485869565218</v>
      </c>
      <c r="E142" s="27">
        <f t="shared" si="3"/>
        <v>20230.448586956521</v>
      </c>
      <c r="F142" s="26"/>
    </row>
    <row r="143" spans="2:6" x14ac:dyDescent="0.35">
      <c r="B143" s="25"/>
      <c r="C143" s="21"/>
      <c r="D143" s="21"/>
      <c r="E143" s="22"/>
      <c r="F143" s="21"/>
    </row>
    <row r="144" spans="2:6" x14ac:dyDescent="0.35">
      <c r="B144" s="46" t="s">
        <v>89</v>
      </c>
      <c r="C144" s="21"/>
      <c r="D144" s="21"/>
      <c r="E144" s="22"/>
      <c r="F144" s="21"/>
    </row>
    <row r="145" spans="2:6" x14ac:dyDescent="0.35">
      <c r="B145" s="46" t="s">
        <v>195</v>
      </c>
      <c r="C145" s="21"/>
      <c r="D145" s="21"/>
      <c r="E145" s="22"/>
      <c r="F145" s="21"/>
    </row>
    <row r="146" spans="2:6" s="43" customFormat="1" x14ac:dyDescent="0.35">
      <c r="B146" s="24" t="s">
        <v>87</v>
      </c>
      <c r="C146" s="21">
        <f>IFERROR(VLOOKUP(B146,'[1]Holding Inc statement'!$B$45:$AB$119,'Consolidated PnL-Jan'!$C$69,0),)</f>
        <v>1498.83</v>
      </c>
      <c r="D146" s="21">
        <f>IFERROR(VLOOKUP(B146,'[1]Subs Income statement'!$AF$48:$BF$178,'Consolidated PnL-Jan'!$C$69,0),)</f>
        <v>0</v>
      </c>
      <c r="E146" s="44">
        <f t="shared" ref="E146:E159" si="4">C146+D146</f>
        <v>1498.83</v>
      </c>
      <c r="F146" s="41"/>
    </row>
    <row r="147" spans="2:6" x14ac:dyDescent="0.35">
      <c r="B147" s="24" t="s">
        <v>86</v>
      </c>
      <c r="C147" s="21">
        <f>IFERROR(VLOOKUP(B147,'[1]Holding Inc statement'!$B$45:$AB$119,'Consolidated PnL-Jan'!$C$69,0),)</f>
        <v>0</v>
      </c>
      <c r="D147" s="21">
        <f>IFERROR(VLOOKUP(B147,'[1]Subs Income statement'!$AF$48:$BF$178,'Consolidated PnL-Jan'!$C$69,0),)</f>
        <v>0</v>
      </c>
      <c r="E147" s="22">
        <f t="shared" si="4"/>
        <v>0</v>
      </c>
      <c r="F147" s="21"/>
    </row>
    <row r="148" spans="2:6" x14ac:dyDescent="0.35">
      <c r="B148" s="24" t="s">
        <v>85</v>
      </c>
      <c r="C148" s="21">
        <f>IFERROR(VLOOKUP(B148,'[1]Holding Inc statement'!$B$45:$AB$119,'Consolidated PnL-Jan'!$C$69,0),)</f>
        <v>0</v>
      </c>
      <c r="D148" s="21">
        <f>IFERROR(VLOOKUP(B148,'[1]Subs Income statement'!$AF$48:$BF$178,'Consolidated PnL-Jan'!$C$69,0),)</f>
        <v>0</v>
      </c>
      <c r="E148" s="48">
        <f t="shared" si="4"/>
        <v>0</v>
      </c>
      <c r="F148" s="47"/>
    </row>
    <row r="149" spans="2:6" x14ac:dyDescent="0.35">
      <c r="B149" s="24" t="s">
        <v>84</v>
      </c>
      <c r="C149" s="21">
        <f>IFERROR(VLOOKUP(B149,'[1]Holding Inc statement'!$B$45:$AB$119,'Consolidated PnL-Jan'!$C$69,0),)</f>
        <v>579.89</v>
      </c>
      <c r="D149" s="21">
        <f>IFERROR(VLOOKUP(B149,'[1]Subs Income statement'!$AF$48:$BF$178,'Consolidated PnL-Jan'!$C$69,0),)</f>
        <v>25.288043478260871</v>
      </c>
      <c r="E149" s="48">
        <f t="shared" si="4"/>
        <v>605.17804347826086</v>
      </c>
      <c r="F149" s="47"/>
    </row>
    <row r="150" spans="2:6" s="43" customFormat="1" x14ac:dyDescent="0.35">
      <c r="B150" s="24" t="s">
        <v>83</v>
      </c>
      <c r="C150" s="21">
        <f>IFERROR(VLOOKUP(B150,'[1]Holding Inc statement'!$B$45:$AB$119,'Consolidated PnL-Jan'!$C$69,0),)</f>
        <v>0</v>
      </c>
      <c r="D150" s="21">
        <f>IFERROR(VLOOKUP(B150,'[1]Subs Income statement'!$AF$48:$BF$178,'Consolidated PnL-Jan'!$C$69,0),)</f>
        <v>0</v>
      </c>
      <c r="E150" s="44">
        <f t="shared" si="4"/>
        <v>0</v>
      </c>
      <c r="F150" s="41"/>
    </row>
    <row r="151" spans="2:6" s="43" customFormat="1" x14ac:dyDescent="0.35">
      <c r="B151" s="24" t="s">
        <v>194</v>
      </c>
      <c r="C151" s="21">
        <f>IFERROR(VLOOKUP(B151,'[1]Holding Inc statement'!$B$45:$AB$119,'Consolidated PnL-Jan'!$C$69,0),)</f>
        <v>0</v>
      </c>
      <c r="D151" s="21">
        <f>IFERROR(VLOOKUP(B151,'[1]Subs Income statement'!$AF$48:$BF$178,'Consolidated PnL-Jan'!$C$69,0),)</f>
        <v>0</v>
      </c>
      <c r="E151" s="44">
        <f t="shared" si="4"/>
        <v>0</v>
      </c>
      <c r="F151" s="41"/>
    </row>
    <row r="152" spans="2:6" s="43" customFormat="1" x14ac:dyDescent="0.35">
      <c r="B152" s="24" t="s">
        <v>81</v>
      </c>
      <c r="C152" s="21">
        <f>IFERROR(VLOOKUP(B152,'[1]Holding Inc statement'!$B$45:$AB$119,'Consolidated PnL-Jan'!$C$69,0),)</f>
        <v>0</v>
      </c>
      <c r="D152" s="21">
        <f>IFERROR(VLOOKUP(B152,'[1]Subs Income statement'!$AF$48:$BF$178,'Consolidated PnL-Jan'!$C$69,0),)</f>
        <v>0</v>
      </c>
      <c r="E152" s="44">
        <f t="shared" si="4"/>
        <v>0</v>
      </c>
      <c r="F152" s="41"/>
    </row>
    <row r="153" spans="2:6" s="43" customFormat="1" x14ac:dyDescent="0.35">
      <c r="B153" s="24" t="s">
        <v>75</v>
      </c>
      <c r="C153" s="21">
        <f>IFERROR(VLOOKUP(B153,'[1]Holding Inc statement'!$B$45:$AB$119,'Consolidated PnL-Jan'!$C$69,0),)</f>
        <v>0</v>
      </c>
      <c r="D153" s="21">
        <f>IFERROR(VLOOKUP(B153,'[1]Subs Income statement'!$AF$48:$BF$178,'Consolidated PnL-Jan'!$C$69,0),)</f>
        <v>0</v>
      </c>
      <c r="E153" s="44">
        <f t="shared" si="4"/>
        <v>0</v>
      </c>
      <c r="F153" s="41"/>
    </row>
    <row r="154" spans="2:6" s="43" customFormat="1" x14ac:dyDescent="0.35">
      <c r="B154" s="24" t="s">
        <v>80</v>
      </c>
      <c r="C154" s="21">
        <f>IFERROR(VLOOKUP(B154,'[1]Holding Inc statement'!$B$45:$AB$119,'Consolidated PnL-Jan'!$C$69,0),)</f>
        <v>1361.97</v>
      </c>
      <c r="D154" s="21">
        <f>IFERROR(VLOOKUP(B154,'[1]Subs Income statement'!$AF$48:$BF$178,'Consolidated PnL-Jan'!$C$69,0),)</f>
        <v>0</v>
      </c>
      <c r="E154" s="44">
        <f t="shared" si="4"/>
        <v>1361.97</v>
      </c>
      <c r="F154" s="41"/>
    </row>
    <row r="155" spans="2:6" s="43" customFormat="1" x14ac:dyDescent="0.35">
      <c r="B155" s="24" t="s">
        <v>79</v>
      </c>
      <c r="C155" s="21">
        <f>IFERROR(VLOOKUP(B155,'[1]Holding Inc statement'!$B$45:$AB$119,'Consolidated PnL-Jan'!$C$69,0),)</f>
        <v>0</v>
      </c>
      <c r="D155" s="21">
        <f>IFERROR(VLOOKUP(B155,'[1]Subs Income statement'!$AF$48:$BF$178,'Consolidated PnL-Jan'!$C$69,0),)</f>
        <v>0</v>
      </c>
      <c r="E155" s="44">
        <f t="shared" si="4"/>
        <v>0</v>
      </c>
      <c r="F155" s="41"/>
    </row>
    <row r="156" spans="2:6" x14ac:dyDescent="0.35">
      <c r="B156" s="45" t="s">
        <v>78</v>
      </c>
      <c r="C156" s="21">
        <f>IFERROR(VLOOKUP(B156,'[1]Holding Inc statement'!$B$45:$AB$119,'Consolidated PnL-Jan'!$C$69,0),)</f>
        <v>0</v>
      </c>
      <c r="D156" s="21">
        <f>IFERROR(VLOOKUP(B156,'[1]Subs Income statement'!$AF$48:$BF$178,'Consolidated PnL-Jan'!$C$69,0),)</f>
        <v>1153.75</v>
      </c>
      <c r="E156" s="22">
        <f t="shared" si="4"/>
        <v>1153.75</v>
      </c>
      <c r="F156" s="21"/>
    </row>
    <row r="157" spans="2:6" x14ac:dyDescent="0.35">
      <c r="B157" s="45" t="s">
        <v>77</v>
      </c>
      <c r="C157" s="21">
        <f>IFERROR(VLOOKUP(B157,'[1]Holding Inc statement'!$B$45:$AB$119,'Consolidated PnL-Jan'!$C$69,0),)</f>
        <v>0</v>
      </c>
      <c r="D157" s="21">
        <f>IFERROR(VLOOKUP(B157,'[1]Subs Income statement'!$AF$48:$BF$178,'Consolidated PnL-Jan'!$C$69,0),)</f>
        <v>580.75</v>
      </c>
      <c r="E157" s="22">
        <f t="shared" si="4"/>
        <v>580.75</v>
      </c>
      <c r="F157" s="21"/>
    </row>
    <row r="158" spans="2:6" x14ac:dyDescent="0.35">
      <c r="B158" s="45" t="s">
        <v>76</v>
      </c>
      <c r="C158" s="21">
        <f>IFERROR(VLOOKUP(B158,'[1]Holding Inc statement'!$B$45:$AB$119,'Consolidated PnL-Jan'!$C$69,0),)</f>
        <v>0</v>
      </c>
      <c r="D158" s="21">
        <f>IFERROR(VLOOKUP(B158,'[1]Subs Income statement'!$AF$48:$BF$178,'Consolidated PnL-Jan'!$C$69,0),)</f>
        <v>0</v>
      </c>
      <c r="E158" s="22">
        <f t="shared" si="4"/>
        <v>0</v>
      </c>
      <c r="F158" s="21"/>
    </row>
    <row r="159" spans="2:6" s="17" customFormat="1" ht="15" x14ac:dyDescent="0.3">
      <c r="B159" s="46" t="s">
        <v>193</v>
      </c>
      <c r="C159" s="26">
        <f>SUM(C146:C158)</f>
        <v>3440.6899999999996</v>
      </c>
      <c r="D159" s="26">
        <f>SUM(D146:D158)</f>
        <v>1759.7880434782608</v>
      </c>
      <c r="E159" s="27">
        <f t="shared" si="4"/>
        <v>5200.4780434782606</v>
      </c>
      <c r="F159" s="26"/>
    </row>
    <row r="160" spans="2:6" x14ac:dyDescent="0.35">
      <c r="B160" s="25"/>
      <c r="C160" s="21"/>
      <c r="D160" s="21"/>
      <c r="E160" s="22"/>
      <c r="F160" s="21"/>
    </row>
    <row r="161" spans="2:6" x14ac:dyDescent="0.35">
      <c r="B161" s="46" t="s">
        <v>192</v>
      </c>
      <c r="C161" s="21"/>
      <c r="D161" s="21"/>
      <c r="E161" s="22"/>
      <c r="F161" s="21"/>
    </row>
    <row r="162" spans="2:6" s="43" customFormat="1" x14ac:dyDescent="0.35">
      <c r="B162" s="24" t="s">
        <v>58</v>
      </c>
      <c r="C162" s="21">
        <f>IFERROR(VLOOKUP(B162,'[1]Holding Inc statement'!$B$45:$AB$119,'Consolidated PnL-Jan'!$C$69,0),)</f>
        <v>6383.42</v>
      </c>
      <c r="D162" s="21">
        <f>IFERROR(VLOOKUP(B162,'[1]Subs Income statement'!$AF$48:$BF$178,'Consolidated PnL-Jan'!$C$69,0),)</f>
        <v>0</v>
      </c>
      <c r="E162" s="44">
        <f t="shared" ref="E162:E190" si="5">C162+D162</f>
        <v>6383.42</v>
      </c>
      <c r="F162" s="41"/>
    </row>
    <row r="163" spans="2:6" s="43" customFormat="1" x14ac:dyDescent="0.35">
      <c r="B163" s="24" t="s">
        <v>57</v>
      </c>
      <c r="C163" s="21">
        <f>IFERROR(VLOOKUP(B163,'[1]Holding Inc statement'!$B$45:$AB$119,'Consolidated PnL-Jan'!$C$69,0),)</f>
        <v>0</v>
      </c>
      <c r="D163" s="21">
        <f>IFERROR(VLOOKUP(B163,'[1]Subs Income statement'!$AF$48:$BF$178,'Consolidated PnL-Jan'!$C$69,0),)</f>
        <v>0</v>
      </c>
      <c r="E163" s="44">
        <f t="shared" si="5"/>
        <v>0</v>
      </c>
      <c r="F163" s="41"/>
    </row>
    <row r="164" spans="2:6" x14ac:dyDescent="0.35">
      <c r="B164" s="45" t="s">
        <v>56</v>
      </c>
      <c r="C164" s="21">
        <f>IFERROR(VLOOKUP(B164,'[1]Holding Inc statement'!$B$45:$AB$119,'Consolidated PnL-Jan'!$C$69,0),)</f>
        <v>0</v>
      </c>
      <c r="D164" s="21">
        <f>IFERROR(VLOOKUP(B164,'[1]Subs Income statement'!$AF$48:$BF$178,'Consolidated PnL-Jan'!$C$69,0),)</f>
        <v>0</v>
      </c>
      <c r="E164" s="22">
        <f t="shared" si="5"/>
        <v>0</v>
      </c>
      <c r="F164" s="41"/>
    </row>
    <row r="165" spans="2:6" x14ac:dyDescent="0.35">
      <c r="B165" s="45" t="s">
        <v>55</v>
      </c>
      <c r="C165" s="21">
        <f>IFERROR(VLOOKUP(B165,'[1]Holding Inc statement'!$B$45:$AB$119,'Consolidated PnL-Jan'!$C$69,0),)</f>
        <v>0</v>
      </c>
      <c r="D165" s="21">
        <f>IFERROR(VLOOKUP(B165,'[1]Subs Income statement'!$AF$48:$BF$178,'Consolidated PnL-Jan'!$C$69,0),)</f>
        <v>0</v>
      </c>
      <c r="E165" s="22">
        <f t="shared" si="5"/>
        <v>0</v>
      </c>
      <c r="F165" s="41"/>
    </row>
    <row r="166" spans="2:6" x14ac:dyDescent="0.35">
      <c r="B166" s="45" t="s">
        <v>54</v>
      </c>
      <c r="C166" s="21">
        <f>IFERROR(VLOOKUP(B166,'[1]Holding Inc statement'!$B$45:$AB$119,'Consolidated PnL-Jan'!$C$69,0),)</f>
        <v>132.06</v>
      </c>
      <c r="D166" s="21">
        <f>IFERROR(VLOOKUP(B166,'[1]Subs Income statement'!$AF$48:$BF$178,'Consolidated PnL-Jan'!$C$69,0),)</f>
        <v>0</v>
      </c>
      <c r="E166" s="22">
        <f t="shared" si="5"/>
        <v>132.06</v>
      </c>
      <c r="F166" s="41"/>
    </row>
    <row r="167" spans="2:6" x14ac:dyDescent="0.35">
      <c r="B167" s="45" t="s">
        <v>53</v>
      </c>
      <c r="C167" s="21">
        <f>IFERROR(VLOOKUP(B167,'[1]Holding Inc statement'!$B$45:$AB$119,'Consolidated PnL-Jan'!$C$69,0),)</f>
        <v>962.65</v>
      </c>
      <c r="D167" s="21">
        <f>IFERROR(VLOOKUP(B167,'[1]Subs Income statement'!$AF$48:$BF$178,'Consolidated PnL-Jan'!$C$69,0),)</f>
        <v>0</v>
      </c>
      <c r="E167" s="22">
        <f t="shared" si="5"/>
        <v>962.65</v>
      </c>
      <c r="F167" s="41"/>
    </row>
    <row r="168" spans="2:6" x14ac:dyDescent="0.35">
      <c r="B168" s="45" t="s">
        <v>52</v>
      </c>
      <c r="C168" s="21">
        <f>IFERROR(VLOOKUP(B168,'[1]Holding Inc statement'!$B$45:$AB$119,'Consolidated PnL-Jan'!$C$69,0),)</f>
        <v>0</v>
      </c>
      <c r="D168" s="21">
        <f>IFERROR(VLOOKUP(B168,'[1]Subs Income statement'!$AF$48:$BF$178,'Consolidated PnL-Jan'!$C$69,0),)</f>
        <v>0</v>
      </c>
      <c r="E168" s="22">
        <f t="shared" si="5"/>
        <v>0</v>
      </c>
      <c r="F168" s="41"/>
    </row>
    <row r="169" spans="2:6" x14ac:dyDescent="0.35">
      <c r="B169" s="45" t="s">
        <v>51</v>
      </c>
      <c r="C169" s="21">
        <f>IFERROR(VLOOKUP(B169,'[1]Holding Inc statement'!$B$45:$AB$119,'Consolidated PnL-Jan'!$C$69,0),)</f>
        <v>25</v>
      </c>
      <c r="D169" s="21">
        <f>IFERROR(VLOOKUP(B169,'[1]Subs Income statement'!$AF$48:$BF$178,'Consolidated PnL-Jan'!$C$69,0),)</f>
        <v>0</v>
      </c>
      <c r="E169" s="22">
        <f t="shared" si="5"/>
        <v>25</v>
      </c>
      <c r="F169" s="41"/>
    </row>
    <row r="170" spans="2:6" x14ac:dyDescent="0.35">
      <c r="B170" s="45" t="s">
        <v>50</v>
      </c>
      <c r="C170" s="21">
        <f>IFERROR(VLOOKUP(B170,'[1]Holding Inc statement'!$B$45:$AB$119,'Consolidated PnL-Jan'!$C$69,0),)</f>
        <v>0</v>
      </c>
      <c r="D170" s="21">
        <f>IFERROR(VLOOKUP(B170,'[1]Subs Income statement'!$AF$48:$BF$178,'Consolidated PnL-Jan'!$C$69,0),)</f>
        <v>266.30554347826086</v>
      </c>
      <c r="E170" s="22">
        <f t="shared" si="5"/>
        <v>266.30554347826086</v>
      </c>
      <c r="F170" s="41"/>
    </row>
    <row r="171" spans="2:6" x14ac:dyDescent="0.35">
      <c r="B171" s="24" t="s">
        <v>49</v>
      </c>
      <c r="C171" s="21">
        <f>IFERROR(VLOOKUP(B171,'[1]Holding Inc statement'!$B$45:$AB$119,'Consolidated PnL-Jan'!$C$69,0),)</f>
        <v>6727.8</v>
      </c>
      <c r="D171" s="21">
        <f>IFERROR(VLOOKUP(B171,'[1]Subs Income statement'!$AF$48:$BF$178,'Consolidated PnL-Jan'!$C$69,0),)</f>
        <v>0</v>
      </c>
      <c r="E171" s="22">
        <f t="shared" si="5"/>
        <v>6727.8</v>
      </c>
      <c r="F171" s="41"/>
    </row>
    <row r="172" spans="2:6" x14ac:dyDescent="0.35">
      <c r="B172" s="45" t="s">
        <v>48</v>
      </c>
      <c r="C172" s="21">
        <f>IFERROR(VLOOKUP(B172,'[1]Holding Inc statement'!$B$45:$AB$119,'Consolidated PnL-Jan'!$C$69,0),)</f>
        <v>14.99</v>
      </c>
      <c r="D172" s="21">
        <f>IFERROR(VLOOKUP(B172,'[1]Subs Income statement'!$AF$48:$BF$178,'Consolidated PnL-Jan'!$C$69,0),)</f>
        <v>0</v>
      </c>
      <c r="E172" s="22">
        <f t="shared" si="5"/>
        <v>14.99</v>
      </c>
      <c r="F172" s="41"/>
    </row>
    <row r="173" spans="2:6" x14ac:dyDescent="0.35">
      <c r="B173" s="45" t="s">
        <v>47</v>
      </c>
      <c r="C173" s="21">
        <f>IFERROR(VLOOKUP(B173,'[1]Holding Inc statement'!$B$45:$AB$119,'Consolidated PnL-Jan'!$C$69,0),)</f>
        <v>0</v>
      </c>
      <c r="D173" s="21">
        <f>IFERROR(VLOOKUP(B173,'[1]Subs Income statement'!$AF$48:$BF$178,'Consolidated PnL-Jan'!$C$69,0),)</f>
        <v>0</v>
      </c>
      <c r="E173" s="22">
        <f t="shared" si="5"/>
        <v>0</v>
      </c>
      <c r="F173" s="41"/>
    </row>
    <row r="174" spans="2:6" x14ac:dyDescent="0.35">
      <c r="B174" s="45" t="s">
        <v>46</v>
      </c>
      <c r="C174" s="21">
        <f>IFERROR(VLOOKUP(B174,'[1]Holding Inc statement'!$B$45:$AB$119,'Consolidated PnL-Jan'!$C$69,0),)</f>
        <v>0</v>
      </c>
      <c r="D174" s="21">
        <f>IFERROR(VLOOKUP(B174,'[1]Subs Income statement'!$AF$48:$BF$178,'Consolidated PnL-Jan'!$C$69,0),)</f>
        <v>0</v>
      </c>
      <c r="E174" s="22">
        <f t="shared" si="5"/>
        <v>0</v>
      </c>
      <c r="F174" s="41"/>
    </row>
    <row r="175" spans="2:6" x14ac:dyDescent="0.35">
      <c r="B175" s="45" t="s">
        <v>45</v>
      </c>
      <c r="C175" s="21">
        <f>IFERROR(VLOOKUP(B175,'[1]Holding Inc statement'!$B$45:$AB$119,'Consolidated PnL-Jan'!$C$69,0),)</f>
        <v>0</v>
      </c>
      <c r="D175" s="21">
        <f>IFERROR(VLOOKUP(B175,'[1]Subs Income statement'!$AF$48:$BF$178,'Consolidated PnL-Jan'!$C$69,0),)</f>
        <v>0</v>
      </c>
      <c r="E175" s="22">
        <f t="shared" si="5"/>
        <v>0</v>
      </c>
      <c r="F175" s="41"/>
    </row>
    <row r="176" spans="2:6" x14ac:dyDescent="0.35">
      <c r="B176" s="45" t="s">
        <v>44</v>
      </c>
      <c r="C176" s="21">
        <f>IFERROR(VLOOKUP(B176,'[1]Holding Inc statement'!$B$45:$AB$119,'Consolidated PnL-Jan'!$C$69,0),)</f>
        <v>0</v>
      </c>
      <c r="D176" s="21">
        <f>IFERROR(VLOOKUP(B176,'[1]Subs Income statement'!$AF$48:$BF$178,'Consolidated PnL-Jan'!$C$69,0),)</f>
        <v>3.0591304347826087</v>
      </c>
      <c r="E176" s="22">
        <f t="shared" si="5"/>
        <v>3.0591304347826087</v>
      </c>
      <c r="F176" s="41"/>
    </row>
    <row r="177" spans="2:6" x14ac:dyDescent="0.35">
      <c r="B177" s="45" t="s">
        <v>43</v>
      </c>
      <c r="C177" s="21">
        <f>IFERROR(VLOOKUP(B177,'[1]Holding Inc statement'!$B$45:$AB$119,'Consolidated PnL-Jan'!$C$69,0),)</f>
        <v>0</v>
      </c>
      <c r="D177" s="21">
        <f>IFERROR(VLOOKUP(B177,'[1]Subs Income statement'!$AF$48:$BF$178,'Consolidated PnL-Jan'!$C$69,0),)</f>
        <v>0</v>
      </c>
      <c r="E177" s="22">
        <f t="shared" si="5"/>
        <v>0</v>
      </c>
      <c r="F177" s="41"/>
    </row>
    <row r="178" spans="2:6" x14ac:dyDescent="0.35">
      <c r="B178" s="45" t="s">
        <v>42</v>
      </c>
      <c r="C178" s="21">
        <f>IFERROR(VLOOKUP(B178,'[1]Holding Inc statement'!$B$45:$AB$119,'Consolidated PnL-Jan'!$C$69,0),)</f>
        <v>0</v>
      </c>
      <c r="D178" s="21">
        <f>IFERROR(VLOOKUP(B178,'[1]Subs Income statement'!$AF$48:$BF$178,'Consolidated PnL-Jan'!$C$69,0),)</f>
        <v>0</v>
      </c>
      <c r="E178" s="22">
        <f t="shared" si="5"/>
        <v>0</v>
      </c>
      <c r="F178" s="41"/>
    </row>
    <row r="179" spans="2:6" x14ac:dyDescent="0.35">
      <c r="B179" s="45" t="s">
        <v>30</v>
      </c>
      <c r="C179" s="21">
        <f>IFERROR(VLOOKUP(B179,'[1]Holding Inc statement'!$B$45:$AB$119,'Consolidated PnL-Jan'!$C$69,0),)</f>
        <v>0</v>
      </c>
      <c r="D179" s="21">
        <f>IFERROR(VLOOKUP(B179,'[1]Subs Income statement'!$AF$48:$BF$178,'Consolidated PnL-Jan'!$C$69,0),)</f>
        <v>0</v>
      </c>
      <c r="E179" s="22">
        <f t="shared" si="5"/>
        <v>0</v>
      </c>
      <c r="F179" s="41"/>
    </row>
    <row r="180" spans="2:6" x14ac:dyDescent="0.35">
      <c r="B180" s="45" t="s">
        <v>41</v>
      </c>
      <c r="C180" s="21">
        <f>IFERROR(VLOOKUP(B180,'[1]Holding Inc statement'!$B$45:$AB$119,'Consolidated PnL-Jan'!$C$69,0),)</f>
        <v>0</v>
      </c>
      <c r="D180" s="21">
        <f>IFERROR(VLOOKUP(B180,'[1]Subs Income statement'!$AF$48:$BF$178,'Consolidated PnL-Jan'!$C$69,0),)</f>
        <v>255.88804347826087</v>
      </c>
      <c r="E180" s="22">
        <f t="shared" si="5"/>
        <v>255.88804347826087</v>
      </c>
      <c r="F180" s="41"/>
    </row>
    <row r="181" spans="2:6" x14ac:dyDescent="0.35">
      <c r="B181" s="45" t="s">
        <v>40</v>
      </c>
      <c r="C181" s="21">
        <f>IFERROR(VLOOKUP(B181,'[1]Holding Inc statement'!$B$45:$AB$119,'Consolidated PnL-Jan'!$C$69,0),)</f>
        <v>0</v>
      </c>
      <c r="D181" s="21">
        <f>IFERROR(VLOOKUP(B181,'[1]Subs Income statement'!$AF$48:$BF$178,'Consolidated PnL-Jan'!$C$69,0),)</f>
        <v>500</v>
      </c>
      <c r="E181" s="22">
        <f t="shared" si="5"/>
        <v>500</v>
      </c>
      <c r="F181" s="41"/>
    </row>
    <row r="182" spans="2:6" x14ac:dyDescent="0.35">
      <c r="B182" s="45" t="s">
        <v>39</v>
      </c>
      <c r="C182" s="21">
        <f>IFERROR(VLOOKUP(B182,'[1]Holding Inc statement'!$B$45:$AB$119,'Consolidated PnL-Jan'!$C$69,0),)</f>
        <v>0</v>
      </c>
      <c r="D182" s="21">
        <f>IFERROR(VLOOKUP(B182,'[1]Subs Income statement'!$AF$48:$BF$178,'Consolidated PnL-Jan'!$C$69,0),)</f>
        <v>0</v>
      </c>
      <c r="E182" s="22">
        <f t="shared" si="5"/>
        <v>0</v>
      </c>
      <c r="F182" s="41"/>
    </row>
    <row r="183" spans="2:6" x14ac:dyDescent="0.35">
      <c r="B183" s="24" t="s">
        <v>38</v>
      </c>
      <c r="C183" s="21">
        <f>IFERROR(VLOOKUP(B183,'[1]Holding Inc statement'!$B$45:$AB$119,'Consolidated PnL-Jan'!$C$69,0),)</f>
        <v>0</v>
      </c>
      <c r="D183" s="21">
        <f>IFERROR(VLOOKUP(B183,'[1]Subs Income statement'!$AF$48:$BF$178,'Consolidated PnL-Jan'!$C$69,0),)</f>
        <v>0</v>
      </c>
      <c r="E183" s="22">
        <f t="shared" si="5"/>
        <v>0</v>
      </c>
      <c r="F183" s="41"/>
    </row>
    <row r="184" spans="2:6" x14ac:dyDescent="0.35">
      <c r="B184" s="45" t="s">
        <v>37</v>
      </c>
      <c r="C184" s="21">
        <f>IFERROR(VLOOKUP(B184,'[1]Holding Inc statement'!$B$45:$AB$119,'Consolidated PnL-Jan'!$C$69,0),)</f>
        <v>0</v>
      </c>
      <c r="D184" s="21">
        <f>IFERROR(VLOOKUP(B184,'[1]Subs Income statement'!$AF$48:$BF$178,'Consolidated PnL-Jan'!$C$69,0),)</f>
        <v>0</v>
      </c>
      <c r="E184" s="22">
        <f t="shared" si="5"/>
        <v>0</v>
      </c>
      <c r="F184" s="41"/>
    </row>
    <row r="185" spans="2:6" x14ac:dyDescent="0.35">
      <c r="B185" s="45" t="s">
        <v>36</v>
      </c>
      <c r="C185" s="21">
        <f>IFERROR(VLOOKUP(B185,'[1]Holding Inc statement'!$B$45:$AB$119,'Consolidated PnL-Jan'!$C$69,0),)</f>
        <v>0</v>
      </c>
      <c r="D185" s="21">
        <f>IFERROR(VLOOKUP(B185,'[1]Subs Income statement'!$AF$48:$BF$178,'Consolidated PnL-Jan'!$C$69,0),)</f>
        <v>0</v>
      </c>
      <c r="E185" s="22">
        <f t="shared" si="5"/>
        <v>0</v>
      </c>
      <c r="F185" s="41"/>
    </row>
    <row r="186" spans="2:6" x14ac:dyDescent="0.35">
      <c r="B186" s="45" t="s">
        <v>31</v>
      </c>
      <c r="C186" s="21">
        <f>IFERROR(VLOOKUP(B186,'[1]Holding Inc statement'!$B$45:$AB$119,'Consolidated PnL-Jan'!$C$69,0),)</f>
        <v>0</v>
      </c>
      <c r="D186" s="21">
        <f>IFERROR(VLOOKUP(B186,'[1]Subs Income statement'!$AF$48:$BF$178,'Consolidated PnL-Jan'!$C$69,0),)</f>
        <v>0</v>
      </c>
      <c r="E186" s="22">
        <f t="shared" si="5"/>
        <v>0</v>
      </c>
      <c r="F186" s="41"/>
    </row>
    <row r="187" spans="2:6" x14ac:dyDescent="0.35">
      <c r="B187" s="45" t="s">
        <v>35</v>
      </c>
      <c r="C187" s="21">
        <f>IFERROR(VLOOKUP(B187,'[1]Holding Inc statement'!$B$45:$AB$119,'Consolidated PnL-Jan'!$C$69,0),)</f>
        <v>0</v>
      </c>
      <c r="D187" s="21">
        <f>IFERROR(VLOOKUP(B187,'[1]Subs Income statement'!$AF$48:$BF$178,'Consolidated PnL-Jan'!$C$69,0),)</f>
        <v>0</v>
      </c>
      <c r="E187" s="22">
        <f t="shared" si="5"/>
        <v>0</v>
      </c>
      <c r="F187" s="41"/>
    </row>
    <row r="188" spans="2:6" x14ac:dyDescent="0.35">
      <c r="B188" s="45" t="s">
        <v>34</v>
      </c>
      <c r="C188" s="21">
        <f>IFERROR(VLOOKUP(B188,'[1]Holding Inc statement'!$B$45:$AB$119,'Consolidated PnL-Jan'!$C$69,0),)</f>
        <v>0</v>
      </c>
      <c r="D188" s="21">
        <f>IFERROR(VLOOKUP(B188,'[1]Subs Income statement'!$AF$48:$BF$178,'Consolidated PnL-Jan'!$C$69,0),)</f>
        <v>0</v>
      </c>
      <c r="E188" s="22">
        <f t="shared" si="5"/>
        <v>0</v>
      </c>
      <c r="F188" s="41"/>
    </row>
    <row r="189" spans="2:6" s="43" customFormat="1" x14ac:dyDescent="0.35">
      <c r="B189" s="24" t="s">
        <v>33</v>
      </c>
      <c r="C189" s="21">
        <f>IFERROR(VLOOKUP(B189,'[1]Holding Inc statement'!$B$45:$AB$119,'Consolidated PnL-Jan'!$C$69,0),)</f>
        <v>774.55</v>
      </c>
      <c r="D189" s="21">
        <f>IFERROR(VLOOKUP(B189,'[1]Subs Income statement'!$AF$48:$BF$178,'Consolidated PnL-Jan'!$C$69,0),)</f>
        <v>503.05032608695649</v>
      </c>
      <c r="E189" s="44">
        <f t="shared" si="5"/>
        <v>1277.6003260869566</v>
      </c>
      <c r="F189" s="41"/>
    </row>
    <row r="190" spans="2:6" s="17" customFormat="1" ht="15" x14ac:dyDescent="0.3">
      <c r="B190" s="25" t="s">
        <v>26</v>
      </c>
      <c r="C190" s="26">
        <f>SUM(C162:C189)</f>
        <v>15020.47</v>
      </c>
      <c r="D190" s="26">
        <f>SUM(D162:D189)</f>
        <v>1528.3030434782609</v>
      </c>
      <c r="E190" s="27">
        <f t="shared" si="5"/>
        <v>16548.773043478261</v>
      </c>
      <c r="F190" s="42"/>
    </row>
    <row r="191" spans="2:6" x14ac:dyDescent="0.35">
      <c r="B191" s="25"/>
      <c r="C191" s="21"/>
      <c r="D191" s="21"/>
      <c r="E191" s="22"/>
      <c r="F191" s="41"/>
    </row>
    <row r="192" spans="2:6" x14ac:dyDescent="0.35">
      <c r="B192" s="25" t="s">
        <v>191</v>
      </c>
      <c r="C192" s="21"/>
      <c r="D192" s="21"/>
      <c r="E192" s="22"/>
      <c r="F192" s="41"/>
    </row>
    <row r="193" spans="1:6" x14ac:dyDescent="0.35">
      <c r="B193" s="24" t="s">
        <v>64</v>
      </c>
      <c r="C193" s="21">
        <f>IFERROR(VLOOKUP(B193,'[1]Holding Inc statement'!$B$45:$AB$119,'Consolidated PnL-Jan'!$C$69,0),)</f>
        <v>11722.56</v>
      </c>
      <c r="D193" s="21">
        <f>IFERROR(VLOOKUP(B193,'[1]Subs Income statement'!$AF$48:$BF$178,'Consolidated PnL-Jan'!$C$69,0),)</f>
        <v>0</v>
      </c>
      <c r="E193" s="22">
        <f t="shared" ref="E193:E198" si="6">C193+D193</f>
        <v>11722.56</v>
      </c>
      <c r="F193" s="41"/>
    </row>
    <row r="194" spans="1:6" x14ac:dyDescent="0.35">
      <c r="B194" s="24" t="s">
        <v>63</v>
      </c>
      <c r="C194" s="21">
        <f>IFERROR(VLOOKUP(B194,'[1]Holding Inc statement'!$B$45:$AB$119,'Consolidated PnL-Jan'!$C$69,0),)</f>
        <v>0</v>
      </c>
      <c r="D194" s="21">
        <f>IFERROR(VLOOKUP(B194,'[1]Subs Income statement'!$AF$48:$BF$178,'Consolidated PnL-Jan'!$C$69,0),)</f>
        <v>757.67391304347825</v>
      </c>
      <c r="E194" s="22">
        <f t="shared" si="6"/>
        <v>757.67391304347825</v>
      </c>
      <c r="F194" s="41"/>
    </row>
    <row r="195" spans="1:6" x14ac:dyDescent="0.35">
      <c r="B195" s="24" t="s">
        <v>62</v>
      </c>
      <c r="C195" s="21">
        <f>IFERROR(VLOOKUP(B195,'[1]Holding Inc statement'!$B$45:$AB$119,'Consolidated PnL-Jan'!$C$69,0),)</f>
        <v>0</v>
      </c>
      <c r="D195" s="21">
        <f>IFERROR(VLOOKUP(B195,'[1]Subs Income statement'!$AF$48:$BF$178,'Consolidated PnL-Jan'!$C$69,0),)</f>
        <v>994.23913043478262</v>
      </c>
      <c r="E195" s="22">
        <f t="shared" si="6"/>
        <v>994.23913043478262</v>
      </c>
      <c r="F195" s="41"/>
    </row>
    <row r="196" spans="1:6" x14ac:dyDescent="0.35">
      <c r="B196" s="24" t="s">
        <v>61</v>
      </c>
      <c r="C196" s="21">
        <f>IFERROR(VLOOKUP(B196,'[1]Holding Inc statement'!$B$45:$AB$119,'Consolidated PnL-Jan'!$C$69,0),)</f>
        <v>0</v>
      </c>
      <c r="D196" s="21">
        <f>IFERROR(VLOOKUP(B196,'[1]Subs Income statement'!$AF$48:$BF$178,'Consolidated PnL-Jan'!$C$69,0),)</f>
        <v>854.17391304347825</v>
      </c>
      <c r="E196" s="22">
        <f t="shared" si="6"/>
        <v>854.17391304347825</v>
      </c>
      <c r="F196" s="41"/>
    </row>
    <row r="197" spans="1:6" x14ac:dyDescent="0.35">
      <c r="B197" s="24" t="s">
        <v>60</v>
      </c>
      <c r="C197" s="21">
        <f>IFERROR(VLOOKUP(B197,'[1]Holding Inc statement'!$B$45:$AB$119,'Consolidated PnL-Jan'!$C$69,0),)</f>
        <v>0</v>
      </c>
      <c r="D197" s="21">
        <f>IFERROR(VLOOKUP(B197,'[1]Subs Income statement'!$AF$48:$BF$178,'Consolidated PnL-Jan'!$C$69,0),)</f>
        <v>0</v>
      </c>
      <c r="E197" s="22">
        <f t="shared" si="6"/>
        <v>0</v>
      </c>
      <c r="F197" s="41"/>
    </row>
    <row r="198" spans="1:6" s="17" customFormat="1" x14ac:dyDescent="0.3">
      <c r="B198" s="25" t="s">
        <v>26</v>
      </c>
      <c r="C198" s="26">
        <f>SUM(C193:C197)</f>
        <v>11722.56</v>
      </c>
      <c r="D198" s="26">
        <f>SUM(D193:D197)</f>
        <v>2606.086956521739</v>
      </c>
      <c r="E198" s="27">
        <f t="shared" si="6"/>
        <v>14328.646956521738</v>
      </c>
      <c r="F198" s="41"/>
    </row>
    <row r="199" spans="1:6" x14ac:dyDescent="0.35">
      <c r="B199" s="24"/>
      <c r="C199" s="21"/>
      <c r="D199" s="21"/>
      <c r="E199" s="22"/>
      <c r="F199" s="41"/>
    </row>
    <row r="200" spans="1:6" x14ac:dyDescent="0.35">
      <c r="B200" s="25" t="s">
        <v>190</v>
      </c>
      <c r="C200" s="21"/>
      <c r="D200" s="21"/>
      <c r="E200" s="22"/>
      <c r="F200" s="41"/>
    </row>
    <row r="201" spans="1:6" x14ac:dyDescent="0.35">
      <c r="B201" s="24" t="s">
        <v>66</v>
      </c>
      <c r="C201" s="21">
        <f>IFERROR(VLOOKUP(B201,'[1]Holding Inc statement'!$B$45:$AB$119,'Consolidated PnL-Jan'!$C$69,0),)</f>
        <v>0</v>
      </c>
      <c r="D201" s="21">
        <f>IFERROR(VLOOKUP(B201,'[1]Subs Income statement'!$AF$48:$BF$178,'Consolidated PnL-Jan'!$C$69,0),)</f>
        <v>54.347826086956523</v>
      </c>
      <c r="E201" s="22">
        <f>C201+D201</f>
        <v>54.347826086956523</v>
      </c>
      <c r="F201" s="41"/>
    </row>
    <row r="202" spans="1:6" x14ac:dyDescent="0.35">
      <c r="B202" s="24" t="s">
        <v>69</v>
      </c>
      <c r="C202" s="21">
        <f>IFERROR(VLOOKUP(B202,'[1]Holding Inc statement'!$B$45:$AB$119,'Consolidated PnL-Jan'!$C$69,0),)</f>
        <v>0</v>
      </c>
      <c r="D202" s="21">
        <f>IFERROR(VLOOKUP(B202,'[1]Subs Income statement'!$AF$48:$BF$178,'Consolidated PnL-Jan'!$C$69,0),)</f>
        <v>0</v>
      </c>
      <c r="E202" s="22">
        <f>C202+D202</f>
        <v>0</v>
      </c>
      <c r="F202" s="41"/>
    </row>
    <row r="203" spans="1:6" x14ac:dyDescent="0.35">
      <c r="B203" s="24" t="s">
        <v>67</v>
      </c>
      <c r="C203" s="21">
        <f>IFERROR(VLOOKUP(B203,'[1]Holding Inc statement'!$B$45:$AB$119,'Consolidated PnL-Jan'!$C$69,0),)</f>
        <v>7940.38</v>
      </c>
      <c r="D203" s="21">
        <f>IFERROR(VLOOKUP(B203,'[1]Subs Income statement'!$AF$48:$BF$178,'Consolidated PnL-Jan'!$C$69,0),)</f>
        <v>0</v>
      </c>
      <c r="E203" s="22">
        <f>C203+D203</f>
        <v>7940.38</v>
      </c>
      <c r="F203" s="41"/>
    </row>
    <row r="204" spans="1:6" x14ac:dyDescent="0.35">
      <c r="B204" s="24" t="s">
        <v>68</v>
      </c>
      <c r="C204" s="21">
        <f>IFERROR(VLOOKUP(B204,'[1]Holding Inc statement'!$B$45:$AB$119,'Consolidated PnL-Jan'!$C$69,0),)</f>
        <v>0</v>
      </c>
      <c r="D204" s="21">
        <f>IFERROR(VLOOKUP(B204,'[1]Subs Income statement'!$AF$48:$BF$178,'Consolidated PnL-Jan'!$C$69,0),)</f>
        <v>1358.695652173913</v>
      </c>
      <c r="E204" s="22">
        <f>C204+D204</f>
        <v>1358.695652173913</v>
      </c>
      <c r="F204" s="41"/>
    </row>
    <row r="205" spans="1:6" s="17" customFormat="1" ht="15" x14ac:dyDescent="0.3">
      <c r="B205" s="25" t="s">
        <v>26</v>
      </c>
      <c r="C205" s="26">
        <f>SUM(C201:C204)</f>
        <v>7940.38</v>
      </c>
      <c r="D205" s="26">
        <f>SUM(D201:D204)</f>
        <v>1413.0434782608695</v>
      </c>
      <c r="E205" s="27">
        <f>C205+D205</f>
        <v>9353.4234782608692</v>
      </c>
      <c r="F205" s="42"/>
    </row>
    <row r="206" spans="1:6" x14ac:dyDescent="0.35">
      <c r="B206" s="24"/>
      <c r="C206" s="21"/>
      <c r="D206" s="21"/>
      <c r="E206" s="22"/>
      <c r="F206" s="41"/>
    </row>
    <row r="207" spans="1:6" s="35" customFormat="1" x14ac:dyDescent="0.35">
      <c r="A207" s="39"/>
      <c r="B207" s="33" t="s">
        <v>189</v>
      </c>
      <c r="C207" s="32"/>
      <c r="D207" s="32"/>
      <c r="E207" s="32"/>
      <c r="F207" s="40"/>
    </row>
    <row r="208" spans="1:6" s="35" customFormat="1" x14ac:dyDescent="0.35">
      <c r="A208" s="39"/>
      <c r="B208" s="38" t="s">
        <v>71</v>
      </c>
      <c r="C208" s="37">
        <f>IFERROR(VLOOKUP(B208,'[1]Holding Inc statement'!$B$45:$AB$119,'Consolidated PnL-Jan'!$C$69,0),)</f>
        <v>37269.019999999997</v>
      </c>
      <c r="D208" s="37">
        <f>IFERROR(VLOOKUP(B208,'[1]Subs Income statement'!$AF$48:$BF$178,'Consolidated PnL-Jan'!$C$69,0),)</f>
        <v>9729.065217391304</v>
      </c>
      <c r="E208" s="32">
        <f>C208+D208</f>
        <v>46998.085217391301</v>
      </c>
      <c r="F208" s="36"/>
    </row>
    <row r="209" spans="1:6" s="35" customFormat="1" x14ac:dyDescent="0.35">
      <c r="A209" s="39"/>
      <c r="B209" s="38" t="s">
        <v>72</v>
      </c>
      <c r="C209" s="37">
        <f>IFERROR(VLOOKUP(B209,'[1]Holding Inc statement'!$B$45:$AB$119,'Consolidated PnL-Jan'!$C$69,0),)</f>
        <v>0</v>
      </c>
      <c r="D209" s="37">
        <f>IFERROR(VLOOKUP(B209,'[1]Subs Income statement'!$AF$48:$BF$178,'Consolidated PnL-Jan'!$C$69,0),)</f>
        <v>163.04347826086956</v>
      </c>
      <c r="E209" s="32">
        <f>C209+D209</f>
        <v>163.04347826086956</v>
      </c>
      <c r="F209" s="36"/>
    </row>
    <row r="210" spans="1:6" s="29" customFormat="1" x14ac:dyDescent="0.35">
      <c r="A210" s="34"/>
      <c r="B210" s="33" t="s">
        <v>26</v>
      </c>
      <c r="C210" s="32">
        <f>SUM(C208:C209)</f>
        <v>37269.019999999997</v>
      </c>
      <c r="D210" s="31">
        <f>SUM(D208:D209)</f>
        <v>9892.108695652174</v>
      </c>
      <c r="E210" s="31">
        <f>SUM(E208:E209)</f>
        <v>47161.128695652173</v>
      </c>
      <c r="F210" s="30"/>
    </row>
    <row r="211" spans="1:6" x14ac:dyDescent="0.35">
      <c r="B211" s="24"/>
      <c r="C211" s="21"/>
      <c r="D211" s="21"/>
      <c r="E211" s="22"/>
      <c r="F211" s="21"/>
    </row>
    <row r="212" spans="1:6" x14ac:dyDescent="0.35">
      <c r="B212" s="25" t="s">
        <v>188</v>
      </c>
      <c r="C212" s="21"/>
      <c r="D212" s="21"/>
      <c r="E212" s="22"/>
      <c r="F212" s="21"/>
    </row>
    <row r="213" spans="1:6" x14ac:dyDescent="0.35">
      <c r="B213" s="24" t="s">
        <v>16</v>
      </c>
      <c r="C213" s="21">
        <f>IFERROR(VLOOKUP(B213,'[1]Holding Inc statement'!$B$45:$AB$119,'Consolidated PnL-Jan'!$C$69,0),)</f>
        <v>6</v>
      </c>
      <c r="D213" s="21">
        <f>IFERROR(VLOOKUP(B213,'[1]Subs Income statement'!$AF$48:$BF$178,'Consolidated PnL-Jan'!$C$69,0),)</f>
        <v>0</v>
      </c>
      <c r="E213" s="22">
        <f t="shared" ref="E213:E219" si="7">C213+D213</f>
        <v>6</v>
      </c>
      <c r="F213" s="21"/>
    </row>
    <row r="214" spans="1:6" x14ac:dyDescent="0.35">
      <c r="B214" s="24" t="s">
        <v>15</v>
      </c>
      <c r="C214" s="21">
        <f>IFERROR(VLOOKUP(B214,'[1]Holding Inc statement'!$B$45:$AB$119,'Consolidated PnL-Jan'!$C$69,0),)</f>
        <v>0</v>
      </c>
      <c r="D214" s="21">
        <f>IFERROR(VLOOKUP(B214,'[1]Subs Income statement'!$AF$48:$BF$178,'Consolidated PnL-Jan'!$C$69,0),)</f>
        <v>14.350869565217391</v>
      </c>
      <c r="E214" s="22">
        <f t="shared" si="7"/>
        <v>14.350869565217391</v>
      </c>
      <c r="F214" s="21"/>
    </row>
    <row r="215" spans="1:6" x14ac:dyDescent="0.35">
      <c r="B215" s="24" t="s">
        <v>14</v>
      </c>
      <c r="C215" s="21">
        <f>IFERROR(VLOOKUP(B215,'[1]Holding Inc statement'!$B$45:$AB$119,'Consolidated PnL-Jan'!$C$69,0),)</f>
        <v>0</v>
      </c>
      <c r="D215" s="21">
        <f>IFERROR(VLOOKUP(B215,'[1]Subs Income statement'!$AF$48:$BF$178,'Consolidated PnL-Jan'!$C$69,0),)</f>
        <v>-6246.1804347826082</v>
      </c>
      <c r="E215" s="22">
        <f t="shared" si="7"/>
        <v>-6246.1804347826082</v>
      </c>
      <c r="F215" s="21"/>
    </row>
    <row r="216" spans="1:6" x14ac:dyDescent="0.35">
      <c r="B216" s="24" t="s">
        <v>13</v>
      </c>
      <c r="C216" s="21">
        <f>IFERROR(VLOOKUP(B216,'[1]Holding Inc statement'!$B$45:$AB$119,'Consolidated PnL-Jan'!$C$69,0),)</f>
        <v>0</v>
      </c>
      <c r="D216" s="21">
        <f>IFERROR(VLOOKUP(B216,'[1]Subs Income statement'!$AF$48:$BF$178,'Consolidated PnL-Jan'!$C$69,0),)</f>
        <v>0</v>
      </c>
      <c r="E216" s="22">
        <f t="shared" si="7"/>
        <v>0</v>
      </c>
      <c r="F216" s="21"/>
    </row>
    <row r="217" spans="1:6" x14ac:dyDescent="0.35">
      <c r="B217" s="28" t="s">
        <v>10</v>
      </c>
      <c r="C217" s="21">
        <f>IFERROR(VLOOKUP(B217,'[1]Holding Inc statement'!$B$45:$AB$119,'Consolidated PnL-Jan'!$C$69,0),)</f>
        <v>4720.8</v>
      </c>
      <c r="D217" s="21">
        <f>IFERROR(VLOOKUP(B217,'[1]Subs Income statement'!$AF$48:$BF$178,'Consolidated PnL-Jan'!$C$69,0),)</f>
        <v>0</v>
      </c>
      <c r="E217" s="22">
        <f t="shared" si="7"/>
        <v>4720.8</v>
      </c>
      <c r="F217" s="21"/>
    </row>
    <row r="218" spans="1:6" x14ac:dyDescent="0.35">
      <c r="B218" s="28" t="s">
        <v>12</v>
      </c>
      <c r="C218" s="21">
        <f>IFERROR(VLOOKUP(B218,'[1]Holding Inc statement'!$B$45:$AB$119,'Consolidated PnL-Jan'!$C$69,0),)</f>
        <v>162.72</v>
      </c>
      <c r="D218" s="21">
        <f>IFERROR(VLOOKUP(B218,'[1]Subs Income statement'!$AF$48:$BF$178,'Consolidated PnL-Jan'!$C$69,0),)</f>
        <v>0</v>
      </c>
      <c r="E218" s="22">
        <f t="shared" si="7"/>
        <v>162.72</v>
      </c>
      <c r="F218" s="21"/>
    </row>
    <row r="219" spans="1:6" s="17" customFormat="1" ht="15" x14ac:dyDescent="0.3">
      <c r="B219" s="25" t="s">
        <v>26</v>
      </c>
      <c r="C219" s="26">
        <f>SUM(C213:C218)</f>
        <v>4889.5200000000004</v>
      </c>
      <c r="D219" s="26">
        <f>SUM(D213:D218)</f>
        <v>-6231.8295652173911</v>
      </c>
      <c r="E219" s="27">
        <f t="shared" si="7"/>
        <v>-1342.3095652173906</v>
      </c>
      <c r="F219" s="26"/>
    </row>
    <row r="220" spans="1:6" x14ac:dyDescent="0.35">
      <c r="B220" s="25"/>
      <c r="C220" s="21"/>
      <c r="D220" s="21"/>
      <c r="E220" s="22"/>
      <c r="F220" s="21"/>
    </row>
    <row r="221" spans="1:6" x14ac:dyDescent="0.35">
      <c r="B221" s="24" t="s">
        <v>7</v>
      </c>
      <c r="C221" s="21">
        <f>IFERROR(VLOOKUP(B221,'[1]Holding Inc statement'!$B$45:$AB$119,'Consolidated PnL-Jan'!$C$69,0),)</f>
        <v>0</v>
      </c>
      <c r="D221" s="21">
        <f>IFERROR(VLOOKUP(B221,'[1]Subs Income statement'!$AF$48:$BF$178,'Consolidated PnL-Jan'!$C$69,0),)</f>
        <v>0</v>
      </c>
      <c r="E221" s="22">
        <f>C221+D221</f>
        <v>0</v>
      </c>
      <c r="F221" s="21"/>
    </row>
    <row r="222" spans="1:6" x14ac:dyDescent="0.35">
      <c r="B222" s="23" t="s">
        <v>3</v>
      </c>
      <c r="C222" s="21">
        <f>IFERROR(VLOOKUP(B222,'[1]Holding Inc statement'!$B$45:$Z$119,'Consolidated PnL-Jan'!$C$69,0),)</f>
        <v>0</v>
      </c>
      <c r="D222" s="21">
        <f>IFERROR(VLOOKUP(B222,'[1]Subs Income statement'!$AF$48:$BD$178,'Consolidated PnL-Jan'!$C$69,0),)</f>
        <v>0</v>
      </c>
      <c r="E222" s="22">
        <f>C222+D222</f>
        <v>0</v>
      </c>
      <c r="F222" s="21"/>
    </row>
    <row r="223" spans="1:6" s="17" customFormat="1" ht="15" x14ac:dyDescent="0.3">
      <c r="B223" s="20" t="s">
        <v>26</v>
      </c>
      <c r="C223" s="18">
        <f>SUM(C221:C222)</f>
        <v>0</v>
      </c>
      <c r="D223" s="18">
        <f>SUM(D221:D222)</f>
        <v>0</v>
      </c>
      <c r="E223" s="19">
        <f>C223+D223</f>
        <v>0</v>
      </c>
      <c r="F223" s="18"/>
    </row>
  </sheetData>
  <pageMargins left="0.7" right="0.7" top="0.75" bottom="0.75" header="0.3" footer="0.3"/>
  <pageSetup scale="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41A4-19D3-4196-AE7D-F4219469B35C}">
  <dimension ref="A1:K147"/>
  <sheetViews>
    <sheetView showGridLines="0" topLeftCell="A96" workbookViewId="0">
      <selection activeCell="B109" sqref="B109"/>
    </sheetView>
  </sheetViews>
  <sheetFormatPr defaultRowHeight="14.5" outlineLevelRow="1" x14ac:dyDescent="0.35"/>
  <cols>
    <col min="1" max="1" width="5" style="1" customWidth="1"/>
    <col min="2" max="2" width="32.453125" style="1" bestFit="1" customWidth="1"/>
    <col min="3" max="3" width="18" style="2" bestFit="1" customWidth="1"/>
    <col min="4" max="4" width="13.26953125" style="2" bestFit="1" customWidth="1"/>
    <col min="5" max="5" width="7.81640625" style="2" bestFit="1" customWidth="1"/>
    <col min="6" max="6" width="30.54296875" style="2" hidden="1" customWidth="1"/>
    <col min="7" max="7" width="19" style="1" bestFit="1" customWidth="1"/>
    <col min="8" max="8" width="12.1796875" style="1" bestFit="1" customWidth="1"/>
    <col min="9" max="9" width="6.7265625" style="1" bestFit="1" customWidth="1"/>
    <col min="10" max="10" width="31.26953125" style="1" hidden="1" customWidth="1"/>
    <col min="11" max="11" width="8.453125" style="1" bestFit="1" customWidth="1"/>
    <col min="12" max="16384" width="8.7265625" style="1"/>
  </cols>
  <sheetData>
    <row r="1" spans="1:11" hidden="1" x14ac:dyDescent="0.35"/>
    <row r="2" spans="1:11" ht="18.5" x14ac:dyDescent="0.45">
      <c r="B2" s="13" t="s">
        <v>159</v>
      </c>
      <c r="C2" s="12" t="s">
        <v>175</v>
      </c>
      <c r="D2" s="12"/>
      <c r="E2" s="13"/>
      <c r="F2" s="12"/>
      <c r="G2" s="12" t="s">
        <v>187</v>
      </c>
      <c r="H2" s="12"/>
      <c r="I2" s="13"/>
      <c r="J2" s="12"/>
      <c r="K2" s="13"/>
    </row>
    <row r="3" spans="1:11" ht="18.5" x14ac:dyDescent="0.45">
      <c r="B3" s="12" t="s">
        <v>163</v>
      </c>
      <c r="C3" s="12"/>
      <c r="D3" s="12"/>
      <c r="E3" s="12"/>
      <c r="F3" s="12" t="s">
        <v>162</v>
      </c>
      <c r="G3" s="12"/>
      <c r="H3" s="12"/>
      <c r="I3" s="12"/>
      <c r="J3" s="12" t="s">
        <v>162</v>
      </c>
      <c r="K3" s="12"/>
    </row>
    <row r="4" spans="1:11" hidden="1" x14ac:dyDescent="0.35">
      <c r="B4" s="11"/>
      <c r="C4" s="12"/>
      <c r="D4" s="12"/>
      <c r="E4" s="12"/>
      <c r="F4" s="12"/>
      <c r="G4" s="12"/>
      <c r="H4" s="12"/>
      <c r="I4" s="12"/>
      <c r="J4" s="12"/>
      <c r="K4" s="12"/>
    </row>
    <row r="5" spans="1:11" hidden="1" x14ac:dyDescent="0.35">
      <c r="B5" s="11" t="s">
        <v>1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35">
      <c r="A6" s="1" t="s">
        <v>1</v>
      </c>
      <c r="B6" s="10" t="s">
        <v>161</v>
      </c>
      <c r="C6" s="8" t="s">
        <v>160</v>
      </c>
      <c r="D6" s="8" t="s">
        <v>159</v>
      </c>
      <c r="E6" s="8" t="s">
        <v>26</v>
      </c>
      <c r="F6" s="8" t="s">
        <v>158</v>
      </c>
      <c r="G6" s="8" t="s">
        <v>160</v>
      </c>
      <c r="H6" s="8" t="s">
        <v>159</v>
      </c>
      <c r="I6" s="8" t="s">
        <v>26</v>
      </c>
      <c r="J6" s="8" t="s">
        <v>158</v>
      </c>
      <c r="K6" s="8" t="s">
        <v>157</v>
      </c>
    </row>
    <row r="7" spans="1:11" x14ac:dyDescent="0.35">
      <c r="A7" s="6" t="s">
        <v>1</v>
      </c>
      <c r="B7" s="5" t="s">
        <v>156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/>
    </row>
    <row r="8" spans="1:11" x14ac:dyDescent="0.35">
      <c r="B8" s="7" t="s">
        <v>155</v>
      </c>
      <c r="C8" s="3">
        <v>123319</v>
      </c>
      <c r="D8" s="3">
        <v>221215</v>
      </c>
      <c r="E8" s="3">
        <v>221215</v>
      </c>
      <c r="F8" s="3">
        <v>-123319</v>
      </c>
      <c r="G8" s="3">
        <v>184916</v>
      </c>
      <c r="H8" s="3">
        <v>227771</v>
      </c>
      <c r="I8" s="3">
        <v>227771</v>
      </c>
      <c r="J8" s="3">
        <v>-184916</v>
      </c>
      <c r="K8" s="3">
        <f>E8-I8</f>
        <v>-6556</v>
      </c>
    </row>
    <row r="9" spans="1:11" outlineLevel="1" x14ac:dyDescent="0.35">
      <c r="B9" s="7" t="s">
        <v>154</v>
      </c>
      <c r="C9" s="3">
        <v>123319</v>
      </c>
      <c r="D9" s="3">
        <v>221215</v>
      </c>
      <c r="E9" s="3">
        <v>221215</v>
      </c>
      <c r="F9" s="3">
        <v>-123319</v>
      </c>
      <c r="G9" s="3">
        <v>184916</v>
      </c>
      <c r="H9" s="3">
        <v>227770</v>
      </c>
      <c r="I9" s="3">
        <v>227770</v>
      </c>
      <c r="J9" s="3">
        <v>-184916</v>
      </c>
      <c r="K9" s="3"/>
    </row>
    <row r="10" spans="1:11" outlineLevel="1" x14ac:dyDescent="0.35">
      <c r="B10" s="7" t="s">
        <v>153</v>
      </c>
      <c r="C10" s="3">
        <v>0</v>
      </c>
      <c r="D10" s="3">
        <v>0</v>
      </c>
      <c r="E10" s="3">
        <v>0</v>
      </c>
      <c r="F10" s="3" t="s">
        <v>1</v>
      </c>
      <c r="G10" s="3">
        <v>0</v>
      </c>
      <c r="H10" s="3">
        <v>1</v>
      </c>
      <c r="I10" s="3">
        <v>1</v>
      </c>
      <c r="J10" s="3" t="s">
        <v>1</v>
      </c>
      <c r="K10" s="3"/>
    </row>
    <row r="11" spans="1:11" outlineLevel="1" x14ac:dyDescent="0.35">
      <c r="B11" s="7" t="s">
        <v>152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/>
    </row>
    <row r="12" spans="1:11" outlineLevel="1" x14ac:dyDescent="0.35">
      <c r="B12" s="7" t="s">
        <v>151</v>
      </c>
      <c r="C12" s="3" t="s">
        <v>1</v>
      </c>
      <c r="D12" s="3">
        <v>0</v>
      </c>
      <c r="E12" s="3">
        <v>0</v>
      </c>
      <c r="F12" s="3" t="s">
        <v>1</v>
      </c>
      <c r="G12" s="3" t="s">
        <v>1</v>
      </c>
      <c r="H12" s="3">
        <v>0</v>
      </c>
      <c r="I12" s="3">
        <v>0</v>
      </c>
      <c r="J12" s="3" t="s">
        <v>1</v>
      </c>
      <c r="K12" s="3"/>
    </row>
    <row r="13" spans="1:11" outlineLevel="1" x14ac:dyDescent="0.35">
      <c r="B13" s="7" t="s">
        <v>150</v>
      </c>
      <c r="C13" s="3" t="s">
        <v>1</v>
      </c>
      <c r="D13" s="3" t="s">
        <v>1</v>
      </c>
      <c r="E13" s="3" t="s">
        <v>1</v>
      </c>
      <c r="F13" s="3" t="s">
        <v>1</v>
      </c>
      <c r="G13" s="3" t="s">
        <v>1</v>
      </c>
      <c r="H13" s="3" t="s">
        <v>1</v>
      </c>
      <c r="I13" s="3" t="s">
        <v>1</v>
      </c>
      <c r="J13" s="3" t="s">
        <v>1</v>
      </c>
      <c r="K13" s="3"/>
    </row>
    <row r="14" spans="1:11" outlineLevel="1" x14ac:dyDescent="0.35">
      <c r="B14" s="5" t="s">
        <v>149</v>
      </c>
      <c r="C14" s="4">
        <v>123319</v>
      </c>
      <c r="D14" s="4">
        <v>221215</v>
      </c>
      <c r="E14" s="4">
        <v>221215</v>
      </c>
      <c r="F14" s="4">
        <v>-123319</v>
      </c>
      <c r="G14" s="3">
        <v>184916</v>
      </c>
      <c r="H14" s="3">
        <v>227771</v>
      </c>
      <c r="I14" s="3">
        <v>227771</v>
      </c>
      <c r="J14" s="3">
        <v>-184916</v>
      </c>
      <c r="K14" s="3"/>
    </row>
    <row r="15" spans="1:11" x14ac:dyDescent="0.35">
      <c r="A15" s="6" t="s">
        <v>1</v>
      </c>
      <c r="B15" s="5" t="s">
        <v>148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/>
    </row>
    <row r="16" spans="1:11" x14ac:dyDescent="0.35">
      <c r="B16" s="7" t="s">
        <v>147</v>
      </c>
      <c r="C16" s="3">
        <v>112934</v>
      </c>
      <c r="D16" s="3">
        <v>130894</v>
      </c>
      <c r="E16" s="3">
        <v>120509</v>
      </c>
      <c r="F16" s="3">
        <v>-123319</v>
      </c>
      <c r="G16" s="3">
        <v>102920</v>
      </c>
      <c r="H16" s="3">
        <v>190830</v>
      </c>
      <c r="I16" s="3">
        <v>108834</v>
      </c>
      <c r="J16" s="3">
        <v>-184916</v>
      </c>
      <c r="K16" s="3">
        <f>I16-E16</f>
        <v>-11675</v>
      </c>
    </row>
    <row r="17" spans="2:11" outlineLevel="1" x14ac:dyDescent="0.35">
      <c r="B17" s="7" t="s">
        <v>146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/>
    </row>
    <row r="18" spans="2:11" outlineLevel="1" x14ac:dyDescent="0.35">
      <c r="B18" s="7" t="s">
        <v>145</v>
      </c>
      <c r="C18" s="3" t="s">
        <v>1</v>
      </c>
      <c r="D18" s="3">
        <v>7575</v>
      </c>
      <c r="E18" s="3">
        <v>7575</v>
      </c>
      <c r="F18" s="3" t="s">
        <v>1</v>
      </c>
      <c r="G18" s="3" t="s">
        <v>1</v>
      </c>
      <c r="H18" s="3">
        <v>5914</v>
      </c>
      <c r="I18" s="3">
        <v>5914</v>
      </c>
      <c r="J18" s="3" t="s">
        <v>1</v>
      </c>
      <c r="K18" s="3"/>
    </row>
    <row r="19" spans="2:11" outlineLevel="1" x14ac:dyDescent="0.35">
      <c r="B19" s="7" t="s">
        <v>144</v>
      </c>
      <c r="C19" s="3">
        <v>71381</v>
      </c>
      <c r="D19" s="3" t="s">
        <v>1</v>
      </c>
      <c r="E19" s="3">
        <v>71381</v>
      </c>
      <c r="F19" s="3" t="s">
        <v>1</v>
      </c>
      <c r="G19" s="3">
        <v>66470</v>
      </c>
      <c r="H19" s="3" t="s">
        <v>1</v>
      </c>
      <c r="I19" s="3">
        <v>66470</v>
      </c>
      <c r="J19" s="3" t="s">
        <v>1</v>
      </c>
      <c r="K19" s="3"/>
    </row>
    <row r="20" spans="2:11" outlineLevel="1" x14ac:dyDescent="0.35">
      <c r="B20" s="7" t="s">
        <v>143</v>
      </c>
      <c r="C20" s="3">
        <v>41215</v>
      </c>
      <c r="D20" s="3" t="s">
        <v>1</v>
      </c>
      <c r="E20" s="3">
        <v>41215</v>
      </c>
      <c r="F20" s="3" t="s">
        <v>1</v>
      </c>
      <c r="G20" s="3">
        <v>36233</v>
      </c>
      <c r="H20" s="3" t="s">
        <v>1</v>
      </c>
      <c r="I20" s="3">
        <v>36233</v>
      </c>
      <c r="J20" s="3" t="s">
        <v>1</v>
      </c>
      <c r="K20" s="3"/>
    </row>
    <row r="21" spans="2:11" outlineLevel="1" x14ac:dyDescent="0.35">
      <c r="B21" s="7" t="s">
        <v>142</v>
      </c>
      <c r="C21" s="3">
        <v>217</v>
      </c>
      <c r="D21" s="3">
        <v>123319</v>
      </c>
      <c r="E21" s="3">
        <v>217</v>
      </c>
      <c r="F21" s="3">
        <v>-123319</v>
      </c>
      <c r="G21" s="3">
        <v>217</v>
      </c>
      <c r="H21" s="3">
        <v>184916</v>
      </c>
      <c r="I21" s="3">
        <v>217</v>
      </c>
      <c r="J21" s="3">
        <v>-184916</v>
      </c>
      <c r="K21" s="3"/>
    </row>
    <row r="22" spans="2:11" outlineLevel="1" x14ac:dyDescent="0.35">
      <c r="B22" s="7" t="s">
        <v>141</v>
      </c>
      <c r="C22" s="3">
        <v>121</v>
      </c>
      <c r="D22" s="3" t="s">
        <v>1</v>
      </c>
      <c r="E22" s="3">
        <v>121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/>
    </row>
    <row r="23" spans="2:11" x14ac:dyDescent="0.35">
      <c r="B23" s="7" t="s">
        <v>140</v>
      </c>
      <c r="C23" s="3">
        <v>11400</v>
      </c>
      <c r="D23" s="3" t="s">
        <v>1</v>
      </c>
      <c r="E23" s="3">
        <v>11400</v>
      </c>
      <c r="F23" s="3" t="s">
        <v>1</v>
      </c>
      <c r="G23" s="3">
        <v>10714</v>
      </c>
      <c r="H23" s="3" t="s">
        <v>1</v>
      </c>
      <c r="I23" s="3">
        <v>10714</v>
      </c>
      <c r="J23" s="3" t="s">
        <v>1</v>
      </c>
      <c r="K23" s="3">
        <f>I23-E23</f>
        <v>-686</v>
      </c>
    </row>
    <row r="24" spans="2:11" x14ac:dyDescent="0.35">
      <c r="B24" s="7" t="s">
        <v>139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/>
    </row>
    <row r="25" spans="2:11" hidden="1" outlineLevel="1" x14ac:dyDescent="0.35">
      <c r="B25" s="7" t="s">
        <v>138</v>
      </c>
      <c r="C25" s="3">
        <v>392</v>
      </c>
      <c r="D25" s="3" t="s">
        <v>1</v>
      </c>
      <c r="E25" s="3">
        <v>392</v>
      </c>
      <c r="F25" s="3" t="s">
        <v>1</v>
      </c>
      <c r="G25" s="3">
        <v>370</v>
      </c>
      <c r="H25" s="3" t="s">
        <v>1</v>
      </c>
      <c r="I25" s="3">
        <v>370</v>
      </c>
      <c r="J25" s="3" t="s">
        <v>1</v>
      </c>
      <c r="K25" s="3"/>
    </row>
    <row r="26" spans="2:11" hidden="1" outlineLevel="1" x14ac:dyDescent="0.35">
      <c r="B26" s="7" t="s">
        <v>137</v>
      </c>
      <c r="C26" s="3">
        <v>9964</v>
      </c>
      <c r="D26" s="3" t="s">
        <v>1</v>
      </c>
      <c r="E26" s="3">
        <v>9964</v>
      </c>
      <c r="F26" s="3" t="s">
        <v>1</v>
      </c>
      <c r="G26" s="3">
        <v>9273</v>
      </c>
      <c r="H26" s="3" t="s">
        <v>1</v>
      </c>
      <c r="I26" s="3">
        <v>9273</v>
      </c>
      <c r="J26" s="3" t="s">
        <v>1</v>
      </c>
      <c r="K26" s="3"/>
    </row>
    <row r="27" spans="2:11" hidden="1" outlineLevel="1" x14ac:dyDescent="0.35">
      <c r="B27" s="7" t="s">
        <v>136</v>
      </c>
      <c r="C27" s="3">
        <v>404</v>
      </c>
      <c r="D27" s="3" t="s">
        <v>1</v>
      </c>
      <c r="E27" s="3">
        <v>404</v>
      </c>
      <c r="F27" s="3" t="s">
        <v>1</v>
      </c>
      <c r="G27" s="3">
        <v>428</v>
      </c>
      <c r="H27" s="3" t="s">
        <v>1</v>
      </c>
      <c r="I27" s="3">
        <v>428</v>
      </c>
      <c r="J27" s="3" t="s">
        <v>1</v>
      </c>
      <c r="K27" s="3"/>
    </row>
    <row r="28" spans="2:11" hidden="1" outlineLevel="1" x14ac:dyDescent="0.35">
      <c r="B28" s="7" t="s">
        <v>135</v>
      </c>
      <c r="C28" s="3" t="s">
        <v>1</v>
      </c>
      <c r="D28" s="3" t="s">
        <v>1</v>
      </c>
      <c r="E28" s="3" t="s">
        <v>1</v>
      </c>
      <c r="F28" s="3" t="s">
        <v>1</v>
      </c>
      <c r="G28" s="3" t="s">
        <v>1</v>
      </c>
      <c r="H28" s="3" t="s">
        <v>1</v>
      </c>
      <c r="I28" s="3" t="s">
        <v>1</v>
      </c>
      <c r="J28" s="3" t="s">
        <v>1</v>
      </c>
      <c r="K28" s="3"/>
    </row>
    <row r="29" spans="2:11" hidden="1" outlineLevel="1" x14ac:dyDescent="0.35">
      <c r="B29" s="7" t="s">
        <v>134</v>
      </c>
      <c r="C29" s="3">
        <v>639</v>
      </c>
      <c r="D29" s="3" t="s">
        <v>1</v>
      </c>
      <c r="E29" s="3">
        <v>639</v>
      </c>
      <c r="F29" s="3" t="s">
        <v>1</v>
      </c>
      <c r="G29" s="3">
        <v>644</v>
      </c>
      <c r="H29" s="3" t="s">
        <v>1</v>
      </c>
      <c r="I29" s="3">
        <v>644</v>
      </c>
      <c r="J29" s="3" t="s">
        <v>1</v>
      </c>
      <c r="K29" s="3"/>
    </row>
    <row r="30" spans="2:11" hidden="1" outlineLevel="1" x14ac:dyDescent="0.35">
      <c r="B30" s="7" t="s">
        <v>133</v>
      </c>
      <c r="C30" s="3" t="s">
        <v>1</v>
      </c>
      <c r="D30" s="3" t="s">
        <v>1</v>
      </c>
      <c r="E30" s="3" t="s">
        <v>1</v>
      </c>
      <c r="F30" s="3" t="s">
        <v>1</v>
      </c>
      <c r="G30" s="3" t="s">
        <v>1</v>
      </c>
      <c r="H30" s="3" t="s">
        <v>1</v>
      </c>
      <c r="I30" s="3" t="s">
        <v>1</v>
      </c>
      <c r="J30" s="3" t="s">
        <v>1</v>
      </c>
      <c r="K30" s="3"/>
    </row>
    <row r="31" spans="2:11" hidden="1" outlineLevel="1" x14ac:dyDescent="0.35">
      <c r="B31" s="7" t="s">
        <v>132</v>
      </c>
      <c r="C31" s="3" t="s">
        <v>1</v>
      </c>
      <c r="D31" s="3" t="s">
        <v>1</v>
      </c>
      <c r="E31" s="3" t="s">
        <v>1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  <c r="K31" s="3"/>
    </row>
    <row r="32" spans="2:11" collapsed="1" x14ac:dyDescent="0.35">
      <c r="B32" s="7" t="s">
        <v>130</v>
      </c>
      <c r="C32" s="3">
        <v>14533</v>
      </c>
      <c r="D32" s="3">
        <v>1000</v>
      </c>
      <c r="E32" s="3">
        <v>15533</v>
      </c>
      <c r="F32" s="3" t="s">
        <v>1</v>
      </c>
      <c r="G32" s="3">
        <v>15082</v>
      </c>
      <c r="H32" s="3">
        <v>0</v>
      </c>
      <c r="I32" s="3">
        <v>15082</v>
      </c>
      <c r="J32" s="3" t="s">
        <v>1</v>
      </c>
      <c r="K32" s="3">
        <f>I32-E32</f>
        <v>-451</v>
      </c>
    </row>
    <row r="33" spans="2:11" x14ac:dyDescent="0.35">
      <c r="B33" s="7" t="s">
        <v>129</v>
      </c>
      <c r="C33" s="3" t="s">
        <v>1</v>
      </c>
      <c r="D33" s="3" t="s">
        <v>1</v>
      </c>
      <c r="E33" s="3" t="s">
        <v>1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  <c r="K33" s="3"/>
    </row>
    <row r="34" spans="2:11" outlineLevel="1" x14ac:dyDescent="0.35">
      <c r="B34" s="7" t="s">
        <v>128</v>
      </c>
      <c r="C34" s="3">
        <v>2676</v>
      </c>
      <c r="D34" s="3" t="s">
        <v>1</v>
      </c>
      <c r="E34" s="3">
        <v>2676</v>
      </c>
      <c r="F34" s="3" t="s">
        <v>1</v>
      </c>
      <c r="G34" s="3">
        <v>3064</v>
      </c>
      <c r="H34" s="3" t="s">
        <v>1</v>
      </c>
      <c r="I34" s="3">
        <v>3064</v>
      </c>
      <c r="J34" s="3" t="s">
        <v>1</v>
      </c>
      <c r="K34" s="3"/>
    </row>
    <row r="35" spans="2:11" outlineLevel="1" x14ac:dyDescent="0.35">
      <c r="B35" s="7" t="s">
        <v>127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 t="s">
        <v>1</v>
      </c>
      <c r="I35" s="3" t="s">
        <v>1</v>
      </c>
      <c r="J35" s="3" t="s">
        <v>1</v>
      </c>
      <c r="K35" s="3"/>
    </row>
    <row r="36" spans="2:11" outlineLevel="1" x14ac:dyDescent="0.35">
      <c r="B36" s="7" t="s">
        <v>126</v>
      </c>
      <c r="C36" s="3">
        <v>743</v>
      </c>
      <c r="D36" s="3" t="s">
        <v>1</v>
      </c>
      <c r="E36" s="3">
        <v>743</v>
      </c>
      <c r="F36" s="3" t="s">
        <v>1</v>
      </c>
      <c r="G36" s="3">
        <v>743</v>
      </c>
      <c r="H36" s="3" t="s">
        <v>1</v>
      </c>
      <c r="I36" s="3">
        <v>743</v>
      </c>
      <c r="J36" s="3" t="s">
        <v>1</v>
      </c>
      <c r="K36" s="3"/>
    </row>
    <row r="37" spans="2:11" outlineLevel="1" x14ac:dyDescent="0.35">
      <c r="B37" s="7" t="s">
        <v>125</v>
      </c>
      <c r="C37" s="3">
        <v>4302</v>
      </c>
      <c r="D37" s="3" t="s">
        <v>1</v>
      </c>
      <c r="E37" s="3">
        <v>4302</v>
      </c>
      <c r="F37" s="3" t="s">
        <v>1</v>
      </c>
      <c r="G37" s="3">
        <v>4302</v>
      </c>
      <c r="H37" s="3" t="s">
        <v>1</v>
      </c>
      <c r="I37" s="3">
        <v>4302</v>
      </c>
      <c r="J37" s="3" t="s">
        <v>1</v>
      </c>
      <c r="K37" s="3"/>
    </row>
    <row r="38" spans="2:11" outlineLevel="1" x14ac:dyDescent="0.35">
      <c r="B38" s="7" t="s">
        <v>124</v>
      </c>
      <c r="C38" s="3">
        <v>1907</v>
      </c>
      <c r="D38" s="3" t="s">
        <v>1</v>
      </c>
      <c r="E38" s="3">
        <v>1907</v>
      </c>
      <c r="F38" s="3" t="s">
        <v>1</v>
      </c>
      <c r="G38" s="3">
        <v>2068</v>
      </c>
      <c r="H38" s="3" t="s">
        <v>1</v>
      </c>
      <c r="I38" s="3">
        <v>2068</v>
      </c>
      <c r="J38" s="3" t="s">
        <v>1</v>
      </c>
      <c r="K38" s="3"/>
    </row>
    <row r="39" spans="2:11" outlineLevel="1" x14ac:dyDescent="0.35">
      <c r="B39" s="7" t="s">
        <v>123</v>
      </c>
      <c r="C39" s="3">
        <v>285</v>
      </c>
      <c r="D39" s="3" t="s">
        <v>1</v>
      </c>
      <c r="E39" s="3">
        <v>285</v>
      </c>
      <c r="F39" s="3" t="s">
        <v>1</v>
      </c>
      <c r="G39" s="3">
        <v>285</v>
      </c>
      <c r="H39" s="3" t="s">
        <v>1</v>
      </c>
      <c r="I39" s="3">
        <v>285</v>
      </c>
      <c r="J39" s="3" t="s">
        <v>1</v>
      </c>
      <c r="K39" s="3"/>
    </row>
    <row r="40" spans="2:11" outlineLevel="1" x14ac:dyDescent="0.35">
      <c r="B40" s="7" t="s">
        <v>122</v>
      </c>
      <c r="C40" s="3">
        <v>4348</v>
      </c>
      <c r="D40" s="3" t="s">
        <v>1</v>
      </c>
      <c r="E40" s="3">
        <v>4348</v>
      </c>
      <c r="F40" s="3" t="s">
        <v>1</v>
      </c>
      <c r="G40" s="3">
        <v>4348</v>
      </c>
      <c r="H40" s="3" t="s">
        <v>1</v>
      </c>
      <c r="I40" s="3">
        <v>4348</v>
      </c>
      <c r="J40" s="3" t="s">
        <v>1</v>
      </c>
      <c r="K40" s="3"/>
    </row>
    <row r="41" spans="2:11" outlineLevel="1" x14ac:dyDescent="0.35">
      <c r="B41" s="7" t="s">
        <v>121</v>
      </c>
      <c r="C41" s="3">
        <v>272</v>
      </c>
      <c r="D41" s="3">
        <v>1000</v>
      </c>
      <c r="E41" s="3">
        <v>1272</v>
      </c>
      <c r="F41" s="3" t="s">
        <v>1</v>
      </c>
      <c r="G41" s="3">
        <v>272</v>
      </c>
      <c r="H41" s="3">
        <v>0</v>
      </c>
      <c r="I41" s="3">
        <v>272</v>
      </c>
      <c r="J41" s="3" t="s">
        <v>1</v>
      </c>
      <c r="K41" s="3"/>
    </row>
    <row r="42" spans="2:11" outlineLevel="1" x14ac:dyDescent="0.35">
      <c r="B42" s="7" t="s">
        <v>120</v>
      </c>
      <c r="C42" s="3" t="s">
        <v>1</v>
      </c>
      <c r="D42" s="3" t="s">
        <v>1</v>
      </c>
      <c r="E42" s="3" t="s">
        <v>1</v>
      </c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K42" s="3"/>
    </row>
    <row r="43" spans="2:11" x14ac:dyDescent="0.35">
      <c r="B43" s="7" t="s">
        <v>119</v>
      </c>
      <c r="C43" s="3">
        <v>1546</v>
      </c>
      <c r="D43" s="3">
        <v>25406</v>
      </c>
      <c r="E43" s="3">
        <v>26953</v>
      </c>
      <c r="F43" s="3" t="s">
        <v>1</v>
      </c>
      <c r="G43" s="3">
        <v>1464</v>
      </c>
      <c r="H43" s="3">
        <v>18105</v>
      </c>
      <c r="I43" s="3">
        <v>19569</v>
      </c>
      <c r="J43" s="3" t="s">
        <v>1</v>
      </c>
      <c r="K43" s="3">
        <f t="shared" ref="K43:K53" si="0">I43-E43</f>
        <v>-7384</v>
      </c>
    </row>
    <row r="44" spans="2:11" outlineLevel="1" x14ac:dyDescent="0.35">
      <c r="B44" s="7" t="s">
        <v>118</v>
      </c>
      <c r="C44" s="3" t="s">
        <v>1</v>
      </c>
      <c r="D44" s="3">
        <v>295</v>
      </c>
      <c r="E44" s="3">
        <v>295</v>
      </c>
      <c r="F44" s="3" t="s">
        <v>1</v>
      </c>
      <c r="G44" s="3" t="s">
        <v>1</v>
      </c>
      <c r="H44" s="3">
        <v>541</v>
      </c>
      <c r="I44" s="3">
        <v>541</v>
      </c>
      <c r="J44" s="3" t="s">
        <v>1</v>
      </c>
      <c r="K44" s="3">
        <f t="shared" si="0"/>
        <v>246</v>
      </c>
    </row>
    <row r="45" spans="2:11" outlineLevel="1" x14ac:dyDescent="0.35">
      <c r="B45" s="7" t="s">
        <v>117</v>
      </c>
      <c r="C45" s="3" t="s">
        <v>1</v>
      </c>
      <c r="D45" s="3">
        <v>459</v>
      </c>
      <c r="E45" s="3">
        <v>459</v>
      </c>
      <c r="F45" s="3" t="s">
        <v>1</v>
      </c>
      <c r="G45" s="3" t="s">
        <v>1</v>
      </c>
      <c r="H45" s="3">
        <v>393</v>
      </c>
      <c r="I45" s="3">
        <v>393</v>
      </c>
      <c r="J45" s="3" t="s">
        <v>1</v>
      </c>
      <c r="K45" s="3">
        <f t="shared" si="0"/>
        <v>-66</v>
      </c>
    </row>
    <row r="46" spans="2:11" outlineLevel="1" x14ac:dyDescent="0.35">
      <c r="B46" s="7" t="s">
        <v>99</v>
      </c>
      <c r="C46" s="3" t="s">
        <v>1</v>
      </c>
      <c r="D46" s="3">
        <v>24152</v>
      </c>
      <c r="E46" s="3">
        <v>24152</v>
      </c>
      <c r="F46" s="3" t="s">
        <v>1</v>
      </c>
      <c r="G46" s="3" t="s">
        <v>1</v>
      </c>
      <c r="H46" s="3">
        <v>16666</v>
      </c>
      <c r="I46" s="3">
        <v>16666</v>
      </c>
      <c r="J46" s="3" t="s">
        <v>1</v>
      </c>
      <c r="K46" s="3">
        <f t="shared" si="0"/>
        <v>-7486</v>
      </c>
    </row>
    <row r="47" spans="2:11" outlineLevel="1" x14ac:dyDescent="0.35">
      <c r="B47" s="7" t="s">
        <v>116</v>
      </c>
      <c r="C47" s="3">
        <v>485</v>
      </c>
      <c r="D47" s="3">
        <v>501</v>
      </c>
      <c r="E47" s="3">
        <v>985</v>
      </c>
      <c r="F47" s="3" t="s">
        <v>1</v>
      </c>
      <c r="G47" s="3">
        <v>466</v>
      </c>
      <c r="H47" s="3">
        <v>506</v>
      </c>
      <c r="I47" s="3">
        <v>973</v>
      </c>
      <c r="J47" s="3" t="s">
        <v>1</v>
      </c>
      <c r="K47" s="3">
        <f t="shared" si="0"/>
        <v>-12</v>
      </c>
    </row>
    <row r="48" spans="2:11" outlineLevel="1" x14ac:dyDescent="0.35">
      <c r="B48" s="7" t="s">
        <v>115</v>
      </c>
      <c r="C48" s="3">
        <v>34</v>
      </c>
      <c r="D48" s="3" t="s">
        <v>1</v>
      </c>
      <c r="E48" s="3">
        <v>34</v>
      </c>
      <c r="F48" s="3" t="s">
        <v>1</v>
      </c>
      <c r="G48" s="3">
        <v>146</v>
      </c>
      <c r="H48" s="3" t="s">
        <v>1</v>
      </c>
      <c r="I48" s="3">
        <v>146</v>
      </c>
      <c r="J48" s="3" t="s">
        <v>1</v>
      </c>
      <c r="K48" s="3">
        <f t="shared" si="0"/>
        <v>112</v>
      </c>
    </row>
    <row r="49" spans="2:11" outlineLevel="1" x14ac:dyDescent="0.35">
      <c r="B49" s="7" t="s">
        <v>114</v>
      </c>
      <c r="C49" s="3">
        <v>189</v>
      </c>
      <c r="D49" s="3" t="s">
        <v>1</v>
      </c>
      <c r="E49" s="3">
        <v>189</v>
      </c>
      <c r="F49" s="3" t="s">
        <v>1</v>
      </c>
      <c r="G49" s="3">
        <v>189</v>
      </c>
      <c r="H49" s="3" t="s">
        <v>1</v>
      </c>
      <c r="I49" s="3">
        <v>189</v>
      </c>
      <c r="J49" s="3" t="s">
        <v>1</v>
      </c>
      <c r="K49" s="3">
        <f t="shared" si="0"/>
        <v>0</v>
      </c>
    </row>
    <row r="50" spans="2:11" outlineLevel="1" x14ac:dyDescent="0.35">
      <c r="B50" s="7" t="s">
        <v>113</v>
      </c>
      <c r="C50" s="3">
        <v>838</v>
      </c>
      <c r="D50" s="3" t="s">
        <v>1</v>
      </c>
      <c r="E50" s="3">
        <v>838</v>
      </c>
      <c r="F50" s="3" t="s">
        <v>1</v>
      </c>
      <c r="G50" s="3">
        <v>662</v>
      </c>
      <c r="H50" s="3" t="s">
        <v>1</v>
      </c>
      <c r="I50" s="3">
        <v>662</v>
      </c>
      <c r="J50" s="3" t="s">
        <v>1</v>
      </c>
      <c r="K50" s="3">
        <f t="shared" si="0"/>
        <v>-176</v>
      </c>
    </row>
    <row r="51" spans="2:11" x14ac:dyDescent="0.35">
      <c r="B51" s="7" t="s">
        <v>112</v>
      </c>
      <c r="C51" s="3">
        <v>5351</v>
      </c>
      <c r="D51" s="3" t="s">
        <v>1</v>
      </c>
      <c r="E51" s="3">
        <v>5351</v>
      </c>
      <c r="F51" s="3" t="s">
        <v>1</v>
      </c>
      <c r="G51" s="3">
        <v>4371</v>
      </c>
      <c r="H51" s="3" t="s">
        <v>1</v>
      </c>
      <c r="I51" s="3">
        <v>4371</v>
      </c>
      <c r="J51" s="3" t="s">
        <v>1</v>
      </c>
      <c r="K51" s="3">
        <f t="shared" si="0"/>
        <v>-980</v>
      </c>
    </row>
    <row r="52" spans="2:11" outlineLevel="1" x14ac:dyDescent="0.35">
      <c r="B52" s="7" t="s">
        <v>111</v>
      </c>
      <c r="C52" s="3">
        <v>5351</v>
      </c>
      <c r="D52" s="3" t="s">
        <v>1</v>
      </c>
      <c r="E52" s="3">
        <v>5351</v>
      </c>
      <c r="F52" s="3" t="s">
        <v>1</v>
      </c>
      <c r="G52" s="3">
        <v>4371</v>
      </c>
      <c r="H52" s="3" t="s">
        <v>1</v>
      </c>
      <c r="I52" s="3">
        <v>4371</v>
      </c>
      <c r="J52" s="3" t="s">
        <v>1</v>
      </c>
      <c r="K52" s="3">
        <f t="shared" si="0"/>
        <v>-980</v>
      </c>
    </row>
    <row r="53" spans="2:11" x14ac:dyDescent="0.35">
      <c r="B53" s="7" t="s">
        <v>110</v>
      </c>
      <c r="C53" s="3">
        <v>9684</v>
      </c>
      <c r="D53" s="3" t="s">
        <v>1</v>
      </c>
      <c r="E53" s="3">
        <v>9684</v>
      </c>
      <c r="F53" s="3" t="s">
        <v>1</v>
      </c>
      <c r="G53" s="3">
        <v>7664</v>
      </c>
      <c r="H53" s="3" t="s">
        <v>1</v>
      </c>
      <c r="I53" s="3">
        <v>7664</v>
      </c>
      <c r="J53" s="3" t="s">
        <v>1</v>
      </c>
      <c r="K53" s="3">
        <f t="shared" si="0"/>
        <v>-2020</v>
      </c>
    </row>
    <row r="54" spans="2:11" x14ac:dyDescent="0.35">
      <c r="B54" s="7" t="s">
        <v>109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  <c r="I54" s="3" t="s">
        <v>1</v>
      </c>
      <c r="J54" s="3" t="s">
        <v>1</v>
      </c>
      <c r="K54" s="3"/>
    </row>
    <row r="55" spans="2:11" x14ac:dyDescent="0.35">
      <c r="B55" s="7" t="s">
        <v>108</v>
      </c>
      <c r="C55" s="3" t="s">
        <v>1</v>
      </c>
      <c r="D55" s="3" t="s">
        <v>1</v>
      </c>
      <c r="E55" s="3" t="s">
        <v>1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  <c r="K55" s="3"/>
    </row>
    <row r="56" spans="2:11" outlineLevel="1" x14ac:dyDescent="0.35">
      <c r="B56" s="7" t="s">
        <v>107</v>
      </c>
      <c r="C56" s="3" t="s">
        <v>1</v>
      </c>
      <c r="D56" s="3" t="s">
        <v>1</v>
      </c>
      <c r="E56" s="3" t="s">
        <v>1</v>
      </c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K56" s="3"/>
    </row>
    <row r="57" spans="2:11" outlineLevel="1" x14ac:dyDescent="0.35">
      <c r="B57" s="7" t="s">
        <v>106</v>
      </c>
      <c r="C57" s="3">
        <v>1304</v>
      </c>
      <c r="D57" s="3" t="s">
        <v>1</v>
      </c>
      <c r="E57" s="3">
        <v>1304</v>
      </c>
      <c r="F57" s="3" t="s">
        <v>1</v>
      </c>
      <c r="G57" s="3">
        <v>360</v>
      </c>
      <c r="H57" s="3" t="s">
        <v>1</v>
      </c>
      <c r="I57" s="3">
        <v>360</v>
      </c>
      <c r="J57" s="3" t="s">
        <v>1</v>
      </c>
      <c r="K57" s="3"/>
    </row>
    <row r="58" spans="2:11" outlineLevel="1" x14ac:dyDescent="0.35">
      <c r="B58" s="7" t="s">
        <v>105</v>
      </c>
      <c r="C58" s="3" t="s">
        <v>1</v>
      </c>
      <c r="D58" s="3" t="s">
        <v>1</v>
      </c>
      <c r="E58" s="3" t="s">
        <v>1</v>
      </c>
      <c r="F58" s="3" t="s">
        <v>1</v>
      </c>
      <c r="G58" s="3" t="s">
        <v>1</v>
      </c>
      <c r="H58" s="3" t="s">
        <v>1</v>
      </c>
      <c r="I58" s="3" t="s">
        <v>1</v>
      </c>
      <c r="J58" s="3" t="s">
        <v>1</v>
      </c>
      <c r="K58" s="3"/>
    </row>
    <row r="59" spans="2:11" outlineLevel="1" x14ac:dyDescent="0.35">
      <c r="B59" s="7" t="s">
        <v>104</v>
      </c>
      <c r="C59" s="3" t="s">
        <v>1</v>
      </c>
      <c r="D59" s="3" t="s">
        <v>1</v>
      </c>
      <c r="E59" s="3" t="s">
        <v>1</v>
      </c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  <c r="K59" s="3"/>
    </row>
    <row r="60" spans="2:11" outlineLevel="1" x14ac:dyDescent="0.35">
      <c r="B60" s="7" t="s">
        <v>103</v>
      </c>
      <c r="C60" s="3">
        <v>3892</v>
      </c>
      <c r="D60" s="3" t="s">
        <v>1</v>
      </c>
      <c r="E60" s="3">
        <v>3892</v>
      </c>
      <c r="F60" s="3" t="s">
        <v>1</v>
      </c>
      <c r="G60" s="3">
        <v>3655</v>
      </c>
      <c r="H60" s="3" t="s">
        <v>1</v>
      </c>
      <c r="I60" s="3">
        <v>3655</v>
      </c>
      <c r="J60" s="3" t="s">
        <v>1</v>
      </c>
      <c r="K60" s="3"/>
    </row>
    <row r="61" spans="2:11" outlineLevel="1" x14ac:dyDescent="0.35">
      <c r="B61" s="7" t="s">
        <v>9</v>
      </c>
      <c r="C61" s="3">
        <v>1417</v>
      </c>
      <c r="D61" s="3" t="s">
        <v>1</v>
      </c>
      <c r="E61" s="3">
        <v>1417</v>
      </c>
      <c r="F61" s="3" t="s">
        <v>1</v>
      </c>
      <c r="G61" s="3">
        <v>746</v>
      </c>
      <c r="H61" s="3" t="s">
        <v>1</v>
      </c>
      <c r="I61" s="3">
        <v>746</v>
      </c>
      <c r="J61" s="3" t="s">
        <v>1</v>
      </c>
      <c r="K61" s="3"/>
    </row>
    <row r="62" spans="2:11" outlineLevel="1" x14ac:dyDescent="0.35">
      <c r="B62" s="7" t="s">
        <v>102</v>
      </c>
      <c r="C62" s="3" t="s">
        <v>1</v>
      </c>
      <c r="D62" s="3" t="s">
        <v>1</v>
      </c>
      <c r="E62" s="3" t="s">
        <v>1</v>
      </c>
      <c r="F62" s="3" t="s">
        <v>1</v>
      </c>
      <c r="G62" s="3" t="s">
        <v>1</v>
      </c>
      <c r="H62" s="3" t="s">
        <v>1</v>
      </c>
      <c r="I62" s="3" t="s">
        <v>1</v>
      </c>
      <c r="J62" s="3" t="s">
        <v>1</v>
      </c>
      <c r="K62" s="3"/>
    </row>
    <row r="63" spans="2:11" outlineLevel="1" x14ac:dyDescent="0.35">
      <c r="B63" s="7" t="s">
        <v>101</v>
      </c>
      <c r="C63" s="3" t="s">
        <v>1</v>
      </c>
      <c r="D63" s="3" t="s">
        <v>1</v>
      </c>
      <c r="E63" s="3" t="s">
        <v>1</v>
      </c>
      <c r="F63" s="3" t="s">
        <v>1</v>
      </c>
      <c r="G63" s="3" t="s">
        <v>1</v>
      </c>
      <c r="H63" s="3" t="s">
        <v>1</v>
      </c>
      <c r="I63" s="3" t="s">
        <v>1</v>
      </c>
      <c r="J63" s="3" t="s">
        <v>1</v>
      </c>
      <c r="K63" s="3"/>
    </row>
    <row r="64" spans="2:11" outlineLevel="1" x14ac:dyDescent="0.35">
      <c r="B64" s="7" t="s">
        <v>100</v>
      </c>
      <c r="C64" s="3">
        <v>3070</v>
      </c>
      <c r="D64" s="3" t="s">
        <v>1</v>
      </c>
      <c r="E64" s="3">
        <v>3070</v>
      </c>
      <c r="F64" s="3" t="s">
        <v>1</v>
      </c>
      <c r="G64" s="3">
        <v>2902</v>
      </c>
      <c r="H64" s="3" t="s">
        <v>1</v>
      </c>
      <c r="I64" s="3">
        <v>2902</v>
      </c>
      <c r="J64" s="3" t="s">
        <v>1</v>
      </c>
      <c r="K64" s="3"/>
    </row>
    <row r="65" spans="1:11" outlineLevel="1" x14ac:dyDescent="0.35">
      <c r="B65" s="7" t="s">
        <v>186</v>
      </c>
      <c r="C65" s="3" t="s">
        <v>1</v>
      </c>
      <c r="D65" s="3" t="s">
        <v>1</v>
      </c>
      <c r="E65" s="3" t="s">
        <v>1</v>
      </c>
      <c r="F65" s="3" t="s">
        <v>1</v>
      </c>
      <c r="G65" s="3" t="s">
        <v>1</v>
      </c>
      <c r="H65" s="3" t="s">
        <v>1</v>
      </c>
      <c r="I65" s="3" t="s">
        <v>1</v>
      </c>
      <c r="J65" s="3" t="s">
        <v>1</v>
      </c>
      <c r="K65" s="3"/>
    </row>
    <row r="66" spans="1:11" x14ac:dyDescent="0.35">
      <c r="B66" s="5" t="s">
        <v>98</v>
      </c>
      <c r="C66" s="4">
        <v>155448</v>
      </c>
      <c r="D66" s="4">
        <v>157300</v>
      </c>
      <c r="E66" s="4">
        <v>189430</v>
      </c>
      <c r="F66" s="4">
        <v>-123319</v>
      </c>
      <c r="G66" s="3">
        <v>142214</v>
      </c>
      <c r="H66" s="3">
        <v>208935</v>
      </c>
      <c r="I66" s="3">
        <v>166233</v>
      </c>
      <c r="J66" s="3">
        <v>-184916</v>
      </c>
      <c r="K66" s="3">
        <f>I66-E66</f>
        <v>-23197</v>
      </c>
    </row>
    <row r="67" spans="1:11" x14ac:dyDescent="0.35">
      <c r="A67" s="6" t="s">
        <v>1</v>
      </c>
      <c r="B67" s="5" t="s">
        <v>97</v>
      </c>
      <c r="C67" s="4">
        <v>-32129</v>
      </c>
      <c r="D67" s="4">
        <v>63915</v>
      </c>
      <c r="E67" s="4">
        <v>31785</v>
      </c>
      <c r="F67" s="4">
        <v>0</v>
      </c>
      <c r="G67" s="4">
        <v>42702</v>
      </c>
      <c r="H67" s="4">
        <v>18836</v>
      </c>
      <c r="I67" s="4">
        <v>61538</v>
      </c>
      <c r="J67" s="4">
        <v>0</v>
      </c>
      <c r="K67" s="4"/>
    </row>
    <row r="68" spans="1:11" x14ac:dyDescent="0.35">
      <c r="A68" s="6" t="s">
        <v>1</v>
      </c>
      <c r="B68" s="5" t="s">
        <v>96</v>
      </c>
      <c r="C68" s="4" t="s">
        <v>185</v>
      </c>
      <c r="D68" s="4" t="s">
        <v>184</v>
      </c>
      <c r="E68" s="4" t="s">
        <v>177</v>
      </c>
      <c r="F68" s="4">
        <v>0</v>
      </c>
      <c r="G68" s="4" t="s">
        <v>183</v>
      </c>
      <c r="H68" s="4" t="s">
        <v>182</v>
      </c>
      <c r="I68" s="4" t="s">
        <v>181</v>
      </c>
      <c r="J68" s="4">
        <v>0</v>
      </c>
      <c r="K68" s="4"/>
    </row>
    <row r="69" spans="1:11" x14ac:dyDescent="0.35">
      <c r="A69" s="6" t="s">
        <v>1</v>
      </c>
      <c r="B69" s="5" t="s">
        <v>89</v>
      </c>
      <c r="C69" s="4" t="s">
        <v>1</v>
      </c>
      <c r="D69" s="4" t="s">
        <v>1</v>
      </c>
      <c r="E69" s="4" t="s">
        <v>1</v>
      </c>
      <c r="F69" s="4" t="s">
        <v>1</v>
      </c>
      <c r="G69" s="4" t="s">
        <v>1</v>
      </c>
      <c r="H69" s="4" t="s">
        <v>1</v>
      </c>
      <c r="I69" s="4" t="s">
        <v>1</v>
      </c>
      <c r="J69" s="4" t="s">
        <v>1</v>
      </c>
      <c r="K69" s="4"/>
    </row>
    <row r="70" spans="1:11" x14ac:dyDescent="0.35">
      <c r="B70" s="7" t="s">
        <v>88</v>
      </c>
      <c r="C70" s="3">
        <v>1538</v>
      </c>
      <c r="D70" s="3">
        <v>1301</v>
      </c>
      <c r="E70" s="3">
        <v>2839</v>
      </c>
      <c r="F70" s="3" t="s">
        <v>1</v>
      </c>
      <c r="G70" s="3">
        <v>1368</v>
      </c>
      <c r="H70" s="3">
        <v>1905</v>
      </c>
      <c r="I70" s="3">
        <v>3273</v>
      </c>
      <c r="J70" s="3" t="s">
        <v>1</v>
      </c>
      <c r="K70" s="3">
        <f>I70-E70</f>
        <v>434</v>
      </c>
    </row>
    <row r="71" spans="1:11" outlineLevel="1" x14ac:dyDescent="0.35">
      <c r="B71" s="7" t="s">
        <v>87</v>
      </c>
      <c r="C71" s="3" t="s">
        <v>1</v>
      </c>
      <c r="D71" s="3" t="s">
        <v>1</v>
      </c>
      <c r="E71" s="3" t="s">
        <v>1</v>
      </c>
      <c r="F71" s="3" t="s">
        <v>1</v>
      </c>
      <c r="G71" s="3" t="s">
        <v>1</v>
      </c>
      <c r="H71" s="3" t="s">
        <v>1</v>
      </c>
      <c r="I71" s="3" t="s">
        <v>1</v>
      </c>
      <c r="J71" s="3" t="s">
        <v>1</v>
      </c>
      <c r="K71" s="3"/>
    </row>
    <row r="72" spans="1:11" outlineLevel="1" x14ac:dyDescent="0.35">
      <c r="B72" s="7" t="s">
        <v>86</v>
      </c>
      <c r="C72" s="3" t="s">
        <v>1</v>
      </c>
      <c r="D72" s="3" t="s">
        <v>1</v>
      </c>
      <c r="E72" s="3" t="s">
        <v>1</v>
      </c>
      <c r="F72" s="3" t="s">
        <v>1</v>
      </c>
      <c r="G72" s="3" t="s">
        <v>1</v>
      </c>
      <c r="H72" s="3" t="s">
        <v>1</v>
      </c>
      <c r="I72" s="3" t="s">
        <v>1</v>
      </c>
      <c r="J72" s="3" t="s">
        <v>1</v>
      </c>
      <c r="K72" s="3"/>
    </row>
    <row r="73" spans="1:11" outlineLevel="1" x14ac:dyDescent="0.35">
      <c r="B73" s="7" t="s">
        <v>85</v>
      </c>
      <c r="C73" s="3" t="s">
        <v>1</v>
      </c>
      <c r="D73" s="3" t="s">
        <v>1</v>
      </c>
      <c r="E73" s="3" t="s">
        <v>1</v>
      </c>
      <c r="F73" s="3" t="s">
        <v>1</v>
      </c>
      <c r="G73" s="3" t="s">
        <v>1</v>
      </c>
      <c r="H73" s="3" t="s">
        <v>1</v>
      </c>
      <c r="I73" s="3" t="s">
        <v>1</v>
      </c>
      <c r="J73" s="3" t="s">
        <v>1</v>
      </c>
      <c r="K73" s="3"/>
    </row>
    <row r="74" spans="1:11" outlineLevel="1" x14ac:dyDescent="0.35">
      <c r="B74" s="7" t="s">
        <v>84</v>
      </c>
      <c r="C74" s="3">
        <v>62</v>
      </c>
      <c r="D74" s="3">
        <v>90</v>
      </c>
      <c r="E74" s="3">
        <v>152</v>
      </c>
      <c r="F74" s="3" t="s">
        <v>1</v>
      </c>
      <c r="G74" s="3">
        <v>353</v>
      </c>
      <c r="H74" s="3">
        <v>717</v>
      </c>
      <c r="I74" s="3">
        <v>1070</v>
      </c>
      <c r="J74" s="3" t="s">
        <v>1</v>
      </c>
      <c r="K74" s="3"/>
    </row>
    <row r="75" spans="1:11" outlineLevel="1" x14ac:dyDescent="0.35">
      <c r="B75" s="7" t="s">
        <v>83</v>
      </c>
      <c r="C75" s="3" t="s">
        <v>1</v>
      </c>
      <c r="D75" s="3" t="s">
        <v>1</v>
      </c>
      <c r="E75" s="3" t="s">
        <v>1</v>
      </c>
      <c r="F75" s="3" t="s">
        <v>1</v>
      </c>
      <c r="G75" s="3" t="s">
        <v>1</v>
      </c>
      <c r="H75" s="3" t="s">
        <v>1</v>
      </c>
      <c r="I75" s="3" t="s">
        <v>1</v>
      </c>
      <c r="J75" s="3" t="s">
        <v>1</v>
      </c>
      <c r="K75" s="3"/>
    </row>
    <row r="76" spans="1:11" outlineLevel="1" x14ac:dyDescent="0.35">
      <c r="B76" s="7" t="s">
        <v>82</v>
      </c>
      <c r="C76" s="3" t="s">
        <v>1</v>
      </c>
      <c r="D76" s="3" t="s">
        <v>1</v>
      </c>
      <c r="E76" s="3" t="s">
        <v>1</v>
      </c>
      <c r="F76" s="3" t="s">
        <v>1</v>
      </c>
      <c r="G76" s="3" t="s">
        <v>1</v>
      </c>
      <c r="H76" s="3" t="s">
        <v>1</v>
      </c>
      <c r="I76" s="3" t="s">
        <v>1</v>
      </c>
      <c r="J76" s="3" t="s">
        <v>1</v>
      </c>
      <c r="K76" s="3"/>
    </row>
    <row r="77" spans="1:11" outlineLevel="1" x14ac:dyDescent="0.35">
      <c r="B77" s="7" t="s">
        <v>81</v>
      </c>
      <c r="C77" s="3" t="s">
        <v>1</v>
      </c>
      <c r="D77" s="3" t="s">
        <v>1</v>
      </c>
      <c r="E77" s="3" t="s">
        <v>1</v>
      </c>
      <c r="F77" s="3" t="s">
        <v>1</v>
      </c>
      <c r="G77" s="3" t="s">
        <v>1</v>
      </c>
      <c r="H77" s="3" t="s">
        <v>1</v>
      </c>
      <c r="I77" s="3" t="s">
        <v>1</v>
      </c>
      <c r="J77" s="3" t="s">
        <v>1</v>
      </c>
      <c r="K77" s="3"/>
    </row>
    <row r="78" spans="1:11" outlineLevel="1" x14ac:dyDescent="0.35">
      <c r="B78" s="7" t="s">
        <v>80</v>
      </c>
      <c r="C78" s="3" t="s">
        <v>1</v>
      </c>
      <c r="D78" s="3">
        <v>1211</v>
      </c>
      <c r="E78" s="3">
        <v>1211</v>
      </c>
      <c r="F78" s="3" t="s">
        <v>1</v>
      </c>
      <c r="G78" s="3" t="s">
        <v>1</v>
      </c>
      <c r="H78" s="3">
        <v>1188</v>
      </c>
      <c r="I78" s="3">
        <v>1188</v>
      </c>
      <c r="J78" s="3" t="s">
        <v>1</v>
      </c>
      <c r="K78" s="3"/>
    </row>
    <row r="79" spans="1:11" outlineLevel="1" x14ac:dyDescent="0.35">
      <c r="B79" s="7" t="s">
        <v>79</v>
      </c>
      <c r="C79" s="3" t="s">
        <v>1</v>
      </c>
      <c r="D79" s="3" t="s">
        <v>1</v>
      </c>
      <c r="E79" s="3" t="s">
        <v>1</v>
      </c>
      <c r="F79" s="3" t="s">
        <v>1</v>
      </c>
      <c r="G79" s="3" t="s">
        <v>1</v>
      </c>
      <c r="H79" s="3" t="s">
        <v>1</v>
      </c>
      <c r="I79" s="3" t="s">
        <v>1</v>
      </c>
      <c r="J79" s="3" t="s">
        <v>1</v>
      </c>
      <c r="K79" s="3"/>
    </row>
    <row r="80" spans="1:11" outlineLevel="1" x14ac:dyDescent="0.35">
      <c r="B80" s="7" t="s">
        <v>78</v>
      </c>
      <c r="C80" s="3">
        <v>1476</v>
      </c>
      <c r="D80" s="3" t="s">
        <v>1</v>
      </c>
      <c r="E80" s="3">
        <v>1476</v>
      </c>
      <c r="F80" s="3" t="s">
        <v>1</v>
      </c>
      <c r="G80" s="3">
        <v>1015</v>
      </c>
      <c r="H80" s="3" t="s">
        <v>1</v>
      </c>
      <c r="I80" s="3">
        <v>1015</v>
      </c>
      <c r="J80" s="3" t="s">
        <v>1</v>
      </c>
      <c r="K80" s="3"/>
    </row>
    <row r="81" spans="1:11" outlineLevel="1" x14ac:dyDescent="0.35">
      <c r="B81" s="7" t="s">
        <v>77</v>
      </c>
      <c r="C81" s="3">
        <v>0</v>
      </c>
      <c r="D81" s="3" t="s">
        <v>1</v>
      </c>
      <c r="E81" s="3">
        <v>0</v>
      </c>
      <c r="F81" s="3" t="s">
        <v>1</v>
      </c>
      <c r="G81" s="3">
        <v>0</v>
      </c>
      <c r="H81" s="3" t="s">
        <v>1</v>
      </c>
      <c r="I81" s="3">
        <v>0</v>
      </c>
      <c r="J81" s="3" t="s">
        <v>1</v>
      </c>
      <c r="K81" s="3"/>
    </row>
    <row r="82" spans="1:11" outlineLevel="1" x14ac:dyDescent="0.35">
      <c r="B82" s="7" t="s">
        <v>76</v>
      </c>
      <c r="C82" s="3" t="s">
        <v>1</v>
      </c>
      <c r="D82" s="3" t="s">
        <v>1</v>
      </c>
      <c r="E82" s="3" t="s">
        <v>1</v>
      </c>
      <c r="F82" s="3" t="s">
        <v>1</v>
      </c>
      <c r="G82" s="3" t="s">
        <v>1</v>
      </c>
      <c r="H82" s="3" t="s">
        <v>1</v>
      </c>
      <c r="I82" s="3" t="s">
        <v>1</v>
      </c>
      <c r="J82" s="3" t="s">
        <v>1</v>
      </c>
      <c r="K82" s="3"/>
    </row>
    <row r="83" spans="1:11" outlineLevel="1" x14ac:dyDescent="0.35">
      <c r="B83" s="7" t="s">
        <v>75</v>
      </c>
      <c r="C83" s="3" t="s">
        <v>1</v>
      </c>
      <c r="D83" s="3" t="s">
        <v>1</v>
      </c>
      <c r="E83" s="3" t="s">
        <v>1</v>
      </c>
      <c r="F83" s="3" t="s">
        <v>1</v>
      </c>
      <c r="G83" s="3" t="s">
        <v>1</v>
      </c>
      <c r="H83" s="3" t="s">
        <v>1</v>
      </c>
      <c r="I83" s="3" t="s">
        <v>1</v>
      </c>
      <c r="J83" s="3" t="s">
        <v>1</v>
      </c>
      <c r="K83" s="3"/>
    </row>
    <row r="84" spans="1:11" x14ac:dyDescent="0.35">
      <c r="A84" s="6" t="s">
        <v>1</v>
      </c>
      <c r="B84" s="5" t="s">
        <v>74</v>
      </c>
      <c r="C84" s="4" t="s">
        <v>1</v>
      </c>
      <c r="D84" s="4" t="s">
        <v>1</v>
      </c>
      <c r="E84" s="4" t="s">
        <v>1</v>
      </c>
      <c r="F84" s="4" t="s">
        <v>1</v>
      </c>
      <c r="G84" s="4" t="s">
        <v>1</v>
      </c>
      <c r="H84" s="4" t="s">
        <v>1</v>
      </c>
      <c r="I84" s="4" t="s">
        <v>1</v>
      </c>
      <c r="J84" s="4" t="s">
        <v>1</v>
      </c>
      <c r="K84" s="4"/>
    </row>
    <row r="85" spans="1:11" x14ac:dyDescent="0.35">
      <c r="B85" s="7" t="s">
        <v>73</v>
      </c>
      <c r="C85" s="3">
        <v>9729</v>
      </c>
      <c r="D85" s="3">
        <v>17422</v>
      </c>
      <c r="E85" s="3">
        <v>27151</v>
      </c>
      <c r="F85" s="3" t="s">
        <v>1</v>
      </c>
      <c r="G85" s="3">
        <v>9729</v>
      </c>
      <c r="H85" s="3">
        <v>28132</v>
      </c>
      <c r="I85" s="3">
        <v>37861</v>
      </c>
      <c r="J85" s="3" t="s">
        <v>1</v>
      </c>
      <c r="K85" s="3">
        <f t="shared" ref="K85:K129" si="1">I85-E85</f>
        <v>10710</v>
      </c>
    </row>
    <row r="86" spans="1:11" hidden="1" outlineLevel="1" x14ac:dyDescent="0.35">
      <c r="B86" s="7" t="s">
        <v>72</v>
      </c>
      <c r="C86" s="3">
        <v>0</v>
      </c>
      <c r="D86" s="3" t="s">
        <v>1</v>
      </c>
      <c r="E86" s="3">
        <v>0</v>
      </c>
      <c r="F86" s="3" t="s">
        <v>1</v>
      </c>
      <c r="G86" s="3">
        <v>0</v>
      </c>
      <c r="H86" s="3" t="s">
        <v>1</v>
      </c>
      <c r="I86" s="3">
        <v>0</v>
      </c>
      <c r="J86" s="3" t="s">
        <v>1</v>
      </c>
      <c r="K86" s="3">
        <f t="shared" si="1"/>
        <v>0</v>
      </c>
    </row>
    <row r="87" spans="1:11" hidden="1" outlineLevel="1" x14ac:dyDescent="0.35">
      <c r="B87" s="7" t="s">
        <v>71</v>
      </c>
      <c r="C87" s="3">
        <v>9729</v>
      </c>
      <c r="D87" s="3">
        <v>17422</v>
      </c>
      <c r="E87" s="3">
        <v>27151</v>
      </c>
      <c r="F87" s="3" t="s">
        <v>1</v>
      </c>
      <c r="G87" s="3">
        <v>9729</v>
      </c>
      <c r="H87" s="3">
        <v>28132</v>
      </c>
      <c r="I87" s="3">
        <v>37861</v>
      </c>
      <c r="J87" s="3" t="s">
        <v>1</v>
      </c>
      <c r="K87" s="3">
        <f t="shared" si="1"/>
        <v>10710</v>
      </c>
    </row>
    <row r="88" spans="1:11" collapsed="1" x14ac:dyDescent="0.35">
      <c r="B88" s="7" t="s">
        <v>70</v>
      </c>
      <c r="C88" s="3">
        <v>2011</v>
      </c>
      <c r="D88" s="3">
        <v>3976</v>
      </c>
      <c r="E88" s="3">
        <v>5987</v>
      </c>
      <c r="F88" s="3" t="s">
        <v>1</v>
      </c>
      <c r="G88" s="3">
        <v>1359</v>
      </c>
      <c r="H88" s="3">
        <v>4519</v>
      </c>
      <c r="I88" s="3">
        <v>5878</v>
      </c>
      <c r="J88" s="3" t="s">
        <v>1</v>
      </c>
      <c r="K88" s="3">
        <f t="shared" si="1"/>
        <v>-109</v>
      </c>
    </row>
    <row r="89" spans="1:11" outlineLevel="1" x14ac:dyDescent="0.35">
      <c r="B89" s="7" t="s">
        <v>69</v>
      </c>
      <c r="C89" s="3" t="s">
        <v>1</v>
      </c>
      <c r="D89" s="3" t="s">
        <v>1</v>
      </c>
      <c r="E89" s="3" t="s">
        <v>1</v>
      </c>
      <c r="F89" s="3" t="s">
        <v>1</v>
      </c>
      <c r="G89" s="3" t="s">
        <v>1</v>
      </c>
      <c r="H89" s="3" t="s">
        <v>1</v>
      </c>
      <c r="I89" s="3" t="s">
        <v>1</v>
      </c>
      <c r="J89" s="3" t="s">
        <v>1</v>
      </c>
      <c r="K89" s="3" t="e">
        <f t="shared" si="1"/>
        <v>#VALUE!</v>
      </c>
    </row>
    <row r="90" spans="1:11" outlineLevel="1" x14ac:dyDescent="0.35">
      <c r="B90" s="7" t="s">
        <v>68</v>
      </c>
      <c r="C90" s="3">
        <v>2011</v>
      </c>
      <c r="D90" s="3" t="s">
        <v>1</v>
      </c>
      <c r="E90" s="3">
        <v>2011</v>
      </c>
      <c r="F90" s="3" t="s">
        <v>1</v>
      </c>
      <c r="G90" s="3">
        <v>1359</v>
      </c>
      <c r="H90" s="3" t="s">
        <v>1</v>
      </c>
      <c r="I90" s="3">
        <v>1359</v>
      </c>
      <c r="J90" s="3" t="s">
        <v>1</v>
      </c>
      <c r="K90" s="3">
        <f t="shared" si="1"/>
        <v>-652</v>
      </c>
    </row>
    <row r="91" spans="1:11" outlineLevel="1" x14ac:dyDescent="0.35">
      <c r="B91" s="7" t="s">
        <v>67</v>
      </c>
      <c r="C91" s="3" t="s">
        <v>1</v>
      </c>
      <c r="D91" s="3">
        <v>3976</v>
      </c>
      <c r="E91" s="3">
        <v>3976</v>
      </c>
      <c r="F91" s="3" t="s">
        <v>1</v>
      </c>
      <c r="G91" s="3" t="s">
        <v>1</v>
      </c>
      <c r="H91" s="3">
        <v>4519</v>
      </c>
      <c r="I91" s="3">
        <v>4519</v>
      </c>
      <c r="J91" s="3" t="s">
        <v>1</v>
      </c>
      <c r="K91" s="3">
        <f t="shared" si="1"/>
        <v>543</v>
      </c>
    </row>
    <row r="92" spans="1:11" outlineLevel="1" x14ac:dyDescent="0.35">
      <c r="B92" s="7" t="s">
        <v>66</v>
      </c>
      <c r="C92" s="3">
        <v>0</v>
      </c>
      <c r="D92" s="3" t="s">
        <v>1</v>
      </c>
      <c r="E92" s="3">
        <v>0</v>
      </c>
      <c r="F92" s="3" t="s">
        <v>1</v>
      </c>
      <c r="G92" s="3">
        <v>0</v>
      </c>
      <c r="H92" s="3" t="s">
        <v>1</v>
      </c>
      <c r="I92" s="3">
        <v>0</v>
      </c>
      <c r="J92" s="3" t="s">
        <v>1</v>
      </c>
      <c r="K92" s="3">
        <f t="shared" si="1"/>
        <v>0</v>
      </c>
    </row>
    <row r="93" spans="1:11" x14ac:dyDescent="0.35">
      <c r="B93" s="7" t="s">
        <v>65</v>
      </c>
      <c r="C93" s="3">
        <v>2768</v>
      </c>
      <c r="D93" s="3">
        <v>3764</v>
      </c>
      <c r="E93" s="3">
        <v>6533</v>
      </c>
      <c r="F93" s="3" t="s">
        <v>1</v>
      </c>
      <c r="G93" s="3">
        <v>2366</v>
      </c>
      <c r="H93" s="3">
        <v>7357</v>
      </c>
      <c r="I93" s="3">
        <v>9723</v>
      </c>
      <c r="J93" s="3" t="s">
        <v>1</v>
      </c>
      <c r="K93" s="3">
        <f t="shared" si="1"/>
        <v>3190</v>
      </c>
    </row>
    <row r="94" spans="1:11" outlineLevel="1" x14ac:dyDescent="0.35">
      <c r="B94" s="7" t="s">
        <v>64</v>
      </c>
      <c r="C94" s="3" t="s">
        <v>1</v>
      </c>
      <c r="D94" s="3">
        <v>3764</v>
      </c>
      <c r="E94" s="3">
        <v>3764</v>
      </c>
      <c r="F94" s="3" t="s">
        <v>1</v>
      </c>
      <c r="G94" s="3" t="s">
        <v>1</v>
      </c>
      <c r="H94" s="3">
        <v>7357</v>
      </c>
      <c r="I94" s="3">
        <v>7357</v>
      </c>
      <c r="J94" s="3" t="s">
        <v>1</v>
      </c>
      <c r="K94" s="3">
        <f t="shared" si="1"/>
        <v>3593</v>
      </c>
    </row>
    <row r="95" spans="1:11" outlineLevel="1" x14ac:dyDescent="0.35">
      <c r="B95" s="7" t="s">
        <v>63</v>
      </c>
      <c r="C95" s="3">
        <v>951</v>
      </c>
      <c r="D95" s="3" t="s">
        <v>1</v>
      </c>
      <c r="E95" s="3">
        <v>951</v>
      </c>
      <c r="F95" s="3" t="s">
        <v>1</v>
      </c>
      <c r="G95" s="3">
        <v>750</v>
      </c>
      <c r="H95" s="3" t="s">
        <v>1</v>
      </c>
      <c r="I95" s="3">
        <v>750</v>
      </c>
      <c r="J95" s="3" t="s">
        <v>1</v>
      </c>
      <c r="K95" s="3">
        <f t="shared" si="1"/>
        <v>-201</v>
      </c>
    </row>
    <row r="96" spans="1:11" outlineLevel="1" x14ac:dyDescent="0.35">
      <c r="B96" s="7" t="s">
        <v>62</v>
      </c>
      <c r="C96" s="3">
        <v>860</v>
      </c>
      <c r="D96" s="3" t="s">
        <v>1</v>
      </c>
      <c r="E96" s="3">
        <v>860</v>
      </c>
      <c r="F96" s="3" t="s">
        <v>1</v>
      </c>
      <c r="G96" s="3">
        <v>943</v>
      </c>
      <c r="H96" s="3" t="s">
        <v>1</v>
      </c>
      <c r="I96" s="3">
        <v>943</v>
      </c>
      <c r="J96" s="3" t="s">
        <v>1</v>
      </c>
      <c r="K96" s="3">
        <f t="shared" si="1"/>
        <v>83</v>
      </c>
    </row>
    <row r="97" spans="2:11" outlineLevel="1" x14ac:dyDescent="0.35">
      <c r="B97" s="7" t="s">
        <v>61</v>
      </c>
      <c r="C97" s="3">
        <v>958</v>
      </c>
      <c r="D97" s="3" t="s">
        <v>1</v>
      </c>
      <c r="E97" s="3">
        <v>958</v>
      </c>
      <c r="F97" s="3" t="s">
        <v>1</v>
      </c>
      <c r="G97" s="3">
        <v>673</v>
      </c>
      <c r="H97" s="3" t="s">
        <v>1</v>
      </c>
      <c r="I97" s="3">
        <v>673</v>
      </c>
      <c r="J97" s="3" t="s">
        <v>1</v>
      </c>
      <c r="K97" s="3">
        <f t="shared" si="1"/>
        <v>-285</v>
      </c>
    </row>
    <row r="98" spans="2:11" outlineLevel="1" x14ac:dyDescent="0.35">
      <c r="B98" s="7" t="s">
        <v>60</v>
      </c>
      <c r="C98" s="3" t="s">
        <v>1</v>
      </c>
      <c r="D98" s="3" t="s">
        <v>1</v>
      </c>
      <c r="E98" s="3" t="s">
        <v>1</v>
      </c>
      <c r="F98" s="3" t="s">
        <v>1</v>
      </c>
      <c r="G98" s="3" t="s">
        <v>1</v>
      </c>
      <c r="H98" s="3" t="s">
        <v>1</v>
      </c>
      <c r="I98" s="3" t="s">
        <v>1</v>
      </c>
      <c r="J98" s="3" t="s">
        <v>1</v>
      </c>
      <c r="K98" s="3" t="e">
        <f t="shared" si="1"/>
        <v>#VALUE!</v>
      </c>
    </row>
    <row r="99" spans="2:11" x14ac:dyDescent="0.35">
      <c r="B99" s="7" t="s">
        <v>59</v>
      </c>
      <c r="C99" s="3">
        <v>3126</v>
      </c>
      <c r="D99" s="3">
        <v>12864</v>
      </c>
      <c r="E99" s="3">
        <v>15990</v>
      </c>
      <c r="F99" s="3" t="s">
        <v>1</v>
      </c>
      <c r="G99" s="3">
        <v>2690</v>
      </c>
      <c r="H99" s="3">
        <v>6744</v>
      </c>
      <c r="I99" s="3">
        <v>9435</v>
      </c>
      <c r="J99" s="3" t="s">
        <v>1</v>
      </c>
      <c r="K99" s="3">
        <f t="shared" si="1"/>
        <v>-6555</v>
      </c>
    </row>
    <row r="100" spans="2:11" outlineLevel="1" x14ac:dyDescent="0.35">
      <c r="B100" s="7" t="s">
        <v>58</v>
      </c>
      <c r="C100" s="3" t="s">
        <v>1</v>
      </c>
      <c r="D100" s="3" t="s">
        <v>1</v>
      </c>
      <c r="E100" s="3" t="s">
        <v>1</v>
      </c>
      <c r="F100" s="3" t="s">
        <v>1</v>
      </c>
      <c r="G100" s="3" t="s">
        <v>1</v>
      </c>
      <c r="H100" s="3" t="s">
        <v>1</v>
      </c>
      <c r="I100" s="3" t="s">
        <v>1</v>
      </c>
      <c r="J100" s="3" t="s">
        <v>1</v>
      </c>
      <c r="K100" s="3" t="e">
        <f t="shared" si="1"/>
        <v>#VALUE!</v>
      </c>
    </row>
    <row r="101" spans="2:11" outlineLevel="1" x14ac:dyDescent="0.35">
      <c r="B101" s="7" t="s">
        <v>57</v>
      </c>
      <c r="C101" s="3" t="s">
        <v>1</v>
      </c>
      <c r="D101" s="3" t="s">
        <v>1</v>
      </c>
      <c r="E101" s="3" t="s">
        <v>1</v>
      </c>
      <c r="F101" s="3" t="s">
        <v>1</v>
      </c>
      <c r="G101" s="3" t="s">
        <v>1</v>
      </c>
      <c r="H101" s="3" t="s">
        <v>1</v>
      </c>
      <c r="I101" s="3" t="s">
        <v>1</v>
      </c>
      <c r="J101" s="3" t="s">
        <v>1</v>
      </c>
      <c r="K101" s="3" t="e">
        <f t="shared" si="1"/>
        <v>#VALUE!</v>
      </c>
    </row>
    <row r="102" spans="2:11" outlineLevel="1" x14ac:dyDescent="0.35">
      <c r="B102" s="7" t="s">
        <v>56</v>
      </c>
      <c r="C102" s="3" t="s">
        <v>1</v>
      </c>
      <c r="D102" s="3" t="s">
        <v>1</v>
      </c>
      <c r="E102" s="3" t="s">
        <v>1</v>
      </c>
      <c r="F102" s="3" t="s">
        <v>1</v>
      </c>
      <c r="G102" s="3" t="s">
        <v>1</v>
      </c>
      <c r="H102" s="3" t="s">
        <v>1</v>
      </c>
      <c r="I102" s="3" t="s">
        <v>1</v>
      </c>
      <c r="J102" s="3" t="s">
        <v>1</v>
      </c>
      <c r="K102" s="3" t="e">
        <f t="shared" si="1"/>
        <v>#VALUE!</v>
      </c>
    </row>
    <row r="103" spans="2:11" outlineLevel="1" x14ac:dyDescent="0.35">
      <c r="B103" s="7" t="s">
        <v>55</v>
      </c>
      <c r="C103" s="3" t="s">
        <v>1</v>
      </c>
      <c r="D103" s="3" t="s">
        <v>1</v>
      </c>
      <c r="E103" s="3" t="s">
        <v>1</v>
      </c>
      <c r="F103" s="3" t="s">
        <v>1</v>
      </c>
      <c r="G103" s="3" t="s">
        <v>1</v>
      </c>
      <c r="H103" s="3" t="s">
        <v>1</v>
      </c>
      <c r="I103" s="3" t="s">
        <v>1</v>
      </c>
      <c r="J103" s="3" t="s">
        <v>1</v>
      </c>
      <c r="K103" s="3" t="e">
        <f t="shared" si="1"/>
        <v>#VALUE!</v>
      </c>
    </row>
    <row r="104" spans="2:11" outlineLevel="1" x14ac:dyDescent="0.35">
      <c r="B104" s="7" t="s">
        <v>54</v>
      </c>
      <c r="C104" s="3" t="s">
        <v>1</v>
      </c>
      <c r="D104" s="3">
        <v>97</v>
      </c>
      <c r="E104" s="3">
        <v>97</v>
      </c>
      <c r="F104" s="3" t="s">
        <v>1</v>
      </c>
      <c r="G104" s="3" t="s">
        <v>1</v>
      </c>
      <c r="H104" s="3">
        <v>125</v>
      </c>
      <c r="I104" s="3">
        <v>125</v>
      </c>
      <c r="J104" s="3" t="s">
        <v>1</v>
      </c>
      <c r="K104" s="3">
        <f t="shared" si="1"/>
        <v>28</v>
      </c>
    </row>
    <row r="105" spans="2:11" outlineLevel="1" x14ac:dyDescent="0.35">
      <c r="B105" s="7" t="s">
        <v>53</v>
      </c>
      <c r="C105" s="3" t="s">
        <v>1</v>
      </c>
      <c r="D105" s="3">
        <v>608</v>
      </c>
      <c r="E105" s="3">
        <v>608</v>
      </c>
      <c r="F105" s="3" t="s">
        <v>1</v>
      </c>
      <c r="G105" s="3" t="s">
        <v>1</v>
      </c>
      <c r="H105" s="3">
        <v>468</v>
      </c>
      <c r="I105" s="3">
        <v>468</v>
      </c>
      <c r="J105" s="3" t="s">
        <v>1</v>
      </c>
      <c r="K105" s="3">
        <f t="shared" si="1"/>
        <v>-140</v>
      </c>
    </row>
    <row r="106" spans="2:11" outlineLevel="1" x14ac:dyDescent="0.35">
      <c r="B106" s="7" t="s">
        <v>52</v>
      </c>
      <c r="C106" s="3" t="s">
        <v>1</v>
      </c>
      <c r="D106" s="3" t="s">
        <v>1</v>
      </c>
      <c r="E106" s="3" t="s">
        <v>1</v>
      </c>
      <c r="F106" s="3" t="s">
        <v>1</v>
      </c>
      <c r="G106" s="3" t="s">
        <v>1</v>
      </c>
      <c r="H106" s="3" t="s">
        <v>1</v>
      </c>
      <c r="I106" s="3" t="s">
        <v>1</v>
      </c>
      <c r="J106" s="3" t="s">
        <v>1</v>
      </c>
      <c r="K106" s="3" t="e">
        <f t="shared" si="1"/>
        <v>#VALUE!</v>
      </c>
    </row>
    <row r="107" spans="2:11" outlineLevel="1" x14ac:dyDescent="0.35">
      <c r="B107" s="7" t="s">
        <v>51</v>
      </c>
      <c r="C107" s="3" t="s">
        <v>1</v>
      </c>
      <c r="D107" s="3">
        <v>0</v>
      </c>
      <c r="E107" s="3">
        <v>0</v>
      </c>
      <c r="F107" s="3" t="s">
        <v>1</v>
      </c>
      <c r="G107" s="3" t="s">
        <v>1</v>
      </c>
      <c r="H107" s="3">
        <v>25</v>
      </c>
      <c r="I107" s="3">
        <v>25</v>
      </c>
      <c r="J107" s="3" t="s">
        <v>1</v>
      </c>
      <c r="K107" s="3">
        <f t="shared" si="1"/>
        <v>25</v>
      </c>
    </row>
    <row r="108" spans="2:11" outlineLevel="1" x14ac:dyDescent="0.35">
      <c r="B108" s="7" t="s">
        <v>50</v>
      </c>
      <c r="C108" s="3">
        <v>120</v>
      </c>
      <c r="D108" s="3">
        <v>2451</v>
      </c>
      <c r="E108" s="3">
        <v>2571</v>
      </c>
      <c r="F108" s="3" t="s">
        <v>1</v>
      </c>
      <c r="G108" s="3">
        <v>194</v>
      </c>
      <c r="H108" s="3">
        <v>2464</v>
      </c>
      <c r="I108" s="3">
        <v>2658</v>
      </c>
      <c r="J108" s="3" t="s">
        <v>1</v>
      </c>
      <c r="K108" s="3">
        <f t="shared" si="1"/>
        <v>87</v>
      </c>
    </row>
    <row r="109" spans="2:11" outlineLevel="1" x14ac:dyDescent="0.35">
      <c r="B109" s="7" t="s">
        <v>49</v>
      </c>
      <c r="C109" s="3">
        <v>756</v>
      </c>
      <c r="D109" s="3">
        <v>9653</v>
      </c>
      <c r="E109" s="3">
        <v>10409</v>
      </c>
      <c r="F109" s="3" t="s">
        <v>1</v>
      </c>
      <c r="G109" s="3">
        <v>756</v>
      </c>
      <c r="H109" s="3">
        <v>3582</v>
      </c>
      <c r="I109" s="3">
        <v>4338</v>
      </c>
      <c r="J109" s="3" t="s">
        <v>1</v>
      </c>
      <c r="K109" s="3">
        <f t="shared" si="1"/>
        <v>-6071</v>
      </c>
    </row>
    <row r="110" spans="2:11" outlineLevel="1" x14ac:dyDescent="0.35">
      <c r="B110" s="7" t="s">
        <v>48</v>
      </c>
      <c r="C110" s="3" t="s">
        <v>1</v>
      </c>
      <c r="D110" s="3">
        <v>15</v>
      </c>
      <c r="E110" s="3">
        <v>15</v>
      </c>
      <c r="F110" s="3" t="s">
        <v>1</v>
      </c>
      <c r="G110" s="3" t="s">
        <v>1</v>
      </c>
      <c r="H110" s="3">
        <v>15</v>
      </c>
      <c r="I110" s="3">
        <v>15</v>
      </c>
      <c r="J110" s="3" t="s">
        <v>1</v>
      </c>
      <c r="K110" s="3">
        <f t="shared" si="1"/>
        <v>0</v>
      </c>
    </row>
    <row r="111" spans="2:11" outlineLevel="1" x14ac:dyDescent="0.35">
      <c r="B111" s="7" t="s">
        <v>47</v>
      </c>
      <c r="C111" s="3">
        <v>0</v>
      </c>
      <c r="D111" s="3" t="s">
        <v>1</v>
      </c>
      <c r="E111" s="3">
        <v>0</v>
      </c>
      <c r="F111" s="3" t="s">
        <v>1</v>
      </c>
      <c r="G111" s="3">
        <v>12</v>
      </c>
      <c r="H111" s="3" t="s">
        <v>1</v>
      </c>
      <c r="I111" s="3">
        <v>12</v>
      </c>
      <c r="J111" s="3" t="s">
        <v>1</v>
      </c>
      <c r="K111" s="3">
        <f t="shared" si="1"/>
        <v>12</v>
      </c>
    </row>
    <row r="112" spans="2:11" outlineLevel="1" x14ac:dyDescent="0.35">
      <c r="B112" s="7" t="s">
        <v>46</v>
      </c>
      <c r="C112" s="3" t="s">
        <v>1</v>
      </c>
      <c r="D112" s="3" t="s">
        <v>1</v>
      </c>
      <c r="E112" s="3" t="s">
        <v>1</v>
      </c>
      <c r="F112" s="3" t="s">
        <v>1</v>
      </c>
      <c r="G112" s="3" t="s">
        <v>1</v>
      </c>
      <c r="H112" s="3" t="s">
        <v>1</v>
      </c>
      <c r="I112" s="3" t="s">
        <v>1</v>
      </c>
      <c r="J112" s="3" t="s">
        <v>1</v>
      </c>
      <c r="K112" s="3" t="e">
        <f t="shared" si="1"/>
        <v>#VALUE!</v>
      </c>
    </row>
    <row r="113" spans="2:11" outlineLevel="1" x14ac:dyDescent="0.35">
      <c r="B113" s="7" t="s">
        <v>45</v>
      </c>
      <c r="C113" s="3">
        <v>0</v>
      </c>
      <c r="D113" s="3" t="s">
        <v>1</v>
      </c>
      <c r="E113" s="3">
        <v>0</v>
      </c>
      <c r="F113" s="3" t="s">
        <v>1</v>
      </c>
      <c r="G113" s="3">
        <v>370</v>
      </c>
      <c r="H113" s="3" t="s">
        <v>1</v>
      </c>
      <c r="I113" s="3">
        <v>370</v>
      </c>
      <c r="J113" s="3" t="s">
        <v>1</v>
      </c>
      <c r="K113" s="3">
        <f t="shared" si="1"/>
        <v>370</v>
      </c>
    </row>
    <row r="114" spans="2:11" outlineLevel="1" x14ac:dyDescent="0.35">
      <c r="B114" s="7" t="s">
        <v>44</v>
      </c>
      <c r="C114" s="3">
        <v>295</v>
      </c>
      <c r="D114" s="3" t="s">
        <v>1</v>
      </c>
      <c r="E114" s="3">
        <v>295</v>
      </c>
      <c r="F114" s="3" t="s">
        <v>1</v>
      </c>
      <c r="G114" s="3">
        <v>306</v>
      </c>
      <c r="H114" s="3" t="s">
        <v>1</v>
      </c>
      <c r="I114" s="3">
        <v>306</v>
      </c>
      <c r="J114" s="3" t="s">
        <v>1</v>
      </c>
      <c r="K114" s="3">
        <f t="shared" si="1"/>
        <v>11</v>
      </c>
    </row>
    <row r="115" spans="2:11" outlineLevel="1" x14ac:dyDescent="0.35">
      <c r="B115" s="7" t="s">
        <v>43</v>
      </c>
      <c r="C115" s="3" t="s">
        <v>1</v>
      </c>
      <c r="D115" s="3" t="s">
        <v>1</v>
      </c>
      <c r="E115" s="3" t="s">
        <v>1</v>
      </c>
      <c r="F115" s="3" t="s">
        <v>1</v>
      </c>
      <c r="G115" s="3" t="s">
        <v>1</v>
      </c>
      <c r="H115" s="3" t="s">
        <v>1</v>
      </c>
      <c r="I115" s="3" t="s">
        <v>1</v>
      </c>
      <c r="J115" s="3" t="s">
        <v>1</v>
      </c>
      <c r="K115" s="3" t="e">
        <f t="shared" si="1"/>
        <v>#VALUE!</v>
      </c>
    </row>
    <row r="116" spans="2:11" outlineLevel="1" x14ac:dyDescent="0.35">
      <c r="B116" s="7" t="s">
        <v>42</v>
      </c>
      <c r="C116" s="3" t="s">
        <v>1</v>
      </c>
      <c r="D116" s="3" t="s">
        <v>1</v>
      </c>
      <c r="E116" s="3" t="s">
        <v>1</v>
      </c>
      <c r="F116" s="3" t="s">
        <v>1</v>
      </c>
      <c r="G116" s="3" t="s">
        <v>1</v>
      </c>
      <c r="H116" s="3" t="s">
        <v>1</v>
      </c>
      <c r="I116" s="3" t="s">
        <v>1</v>
      </c>
      <c r="J116" s="3" t="s">
        <v>1</v>
      </c>
      <c r="K116" s="3" t="e">
        <f t="shared" si="1"/>
        <v>#VALUE!</v>
      </c>
    </row>
    <row r="117" spans="2:11" outlineLevel="1" x14ac:dyDescent="0.35">
      <c r="B117" s="7" t="s">
        <v>41</v>
      </c>
      <c r="C117" s="3">
        <v>313</v>
      </c>
      <c r="D117" s="3" t="s">
        <v>1</v>
      </c>
      <c r="E117" s="3">
        <v>313</v>
      </c>
      <c r="F117" s="3" t="s">
        <v>1</v>
      </c>
      <c r="G117" s="3">
        <v>244</v>
      </c>
      <c r="H117" s="3" t="s">
        <v>1</v>
      </c>
      <c r="I117" s="3">
        <v>244</v>
      </c>
      <c r="J117" s="3" t="s">
        <v>1</v>
      </c>
      <c r="K117" s="3">
        <f t="shared" si="1"/>
        <v>-69</v>
      </c>
    </row>
    <row r="118" spans="2:11" outlineLevel="1" x14ac:dyDescent="0.35">
      <c r="B118" s="7" t="s">
        <v>40</v>
      </c>
      <c r="C118" s="3">
        <v>500</v>
      </c>
      <c r="D118" s="3" t="s">
        <v>1</v>
      </c>
      <c r="E118" s="3">
        <v>500</v>
      </c>
      <c r="F118" s="3" t="s">
        <v>1</v>
      </c>
      <c r="G118" s="3">
        <v>500</v>
      </c>
      <c r="H118" s="3" t="s">
        <v>1</v>
      </c>
      <c r="I118" s="3">
        <v>500</v>
      </c>
      <c r="J118" s="3" t="s">
        <v>1</v>
      </c>
      <c r="K118" s="3">
        <f t="shared" si="1"/>
        <v>0</v>
      </c>
    </row>
    <row r="119" spans="2:11" outlineLevel="1" x14ac:dyDescent="0.35">
      <c r="B119" s="7" t="s">
        <v>39</v>
      </c>
      <c r="C119" s="3" t="s">
        <v>1</v>
      </c>
      <c r="D119" s="3" t="s">
        <v>1</v>
      </c>
      <c r="E119" s="3" t="s">
        <v>1</v>
      </c>
      <c r="F119" s="3" t="s">
        <v>1</v>
      </c>
      <c r="G119" s="3" t="s">
        <v>1</v>
      </c>
      <c r="H119" s="3" t="s">
        <v>1</v>
      </c>
      <c r="I119" s="3" t="s">
        <v>1</v>
      </c>
      <c r="J119" s="3" t="s">
        <v>1</v>
      </c>
      <c r="K119" s="3" t="e">
        <f t="shared" si="1"/>
        <v>#VALUE!</v>
      </c>
    </row>
    <row r="120" spans="2:11" outlineLevel="1" x14ac:dyDescent="0.35">
      <c r="B120" s="7" t="s">
        <v>38</v>
      </c>
      <c r="C120" s="3" t="s">
        <v>1</v>
      </c>
      <c r="D120" s="3" t="s">
        <v>1</v>
      </c>
      <c r="E120" s="3" t="s">
        <v>1</v>
      </c>
      <c r="F120" s="3" t="s">
        <v>1</v>
      </c>
      <c r="G120" s="3" t="s">
        <v>1</v>
      </c>
      <c r="H120" s="3" t="s">
        <v>1</v>
      </c>
      <c r="I120" s="3" t="s">
        <v>1</v>
      </c>
      <c r="J120" s="3" t="s">
        <v>1</v>
      </c>
      <c r="K120" s="3" t="e">
        <f t="shared" si="1"/>
        <v>#VALUE!</v>
      </c>
    </row>
    <row r="121" spans="2:11" outlineLevel="1" x14ac:dyDescent="0.35">
      <c r="B121" s="7" t="s">
        <v>37</v>
      </c>
      <c r="C121" s="3" t="s">
        <v>1</v>
      </c>
      <c r="D121" s="3" t="s">
        <v>1</v>
      </c>
      <c r="E121" s="3" t="s">
        <v>1</v>
      </c>
      <c r="F121" s="3" t="s">
        <v>1</v>
      </c>
      <c r="G121" s="3" t="s">
        <v>1</v>
      </c>
      <c r="H121" s="3" t="s">
        <v>1</v>
      </c>
      <c r="I121" s="3" t="s">
        <v>1</v>
      </c>
      <c r="J121" s="3" t="s">
        <v>1</v>
      </c>
      <c r="K121" s="3" t="e">
        <f t="shared" si="1"/>
        <v>#VALUE!</v>
      </c>
    </row>
    <row r="122" spans="2:11" outlineLevel="1" x14ac:dyDescent="0.35">
      <c r="B122" s="7" t="s">
        <v>36</v>
      </c>
      <c r="C122" s="3" t="s">
        <v>1</v>
      </c>
      <c r="D122" s="3" t="s">
        <v>1</v>
      </c>
      <c r="E122" s="3" t="s">
        <v>1</v>
      </c>
      <c r="F122" s="3" t="s">
        <v>1</v>
      </c>
      <c r="G122" s="3" t="s">
        <v>1</v>
      </c>
      <c r="H122" s="3" t="s">
        <v>1</v>
      </c>
      <c r="I122" s="3" t="s">
        <v>1</v>
      </c>
      <c r="J122" s="3" t="s">
        <v>1</v>
      </c>
      <c r="K122" s="3" t="e">
        <f t="shared" si="1"/>
        <v>#VALUE!</v>
      </c>
    </row>
    <row r="123" spans="2:11" outlineLevel="1" x14ac:dyDescent="0.35">
      <c r="B123" s="7" t="s">
        <v>35</v>
      </c>
      <c r="C123" s="3">
        <v>272</v>
      </c>
      <c r="D123" s="3" t="s">
        <v>1</v>
      </c>
      <c r="E123" s="3">
        <v>272</v>
      </c>
      <c r="F123" s="3" t="s">
        <v>1</v>
      </c>
      <c r="G123" s="3" t="s">
        <v>1</v>
      </c>
      <c r="H123" s="3" t="s">
        <v>1</v>
      </c>
      <c r="I123" s="3" t="s">
        <v>1</v>
      </c>
      <c r="J123" s="3" t="s">
        <v>1</v>
      </c>
      <c r="K123" s="3" t="e">
        <f t="shared" si="1"/>
        <v>#VALUE!</v>
      </c>
    </row>
    <row r="124" spans="2:11" outlineLevel="1" x14ac:dyDescent="0.35">
      <c r="B124" s="7" t="s">
        <v>34</v>
      </c>
      <c r="C124" s="3" t="s">
        <v>1</v>
      </c>
      <c r="D124" s="3" t="s">
        <v>1</v>
      </c>
      <c r="E124" s="3" t="s">
        <v>1</v>
      </c>
      <c r="F124" s="3" t="s">
        <v>1</v>
      </c>
      <c r="G124" s="3" t="s">
        <v>1</v>
      </c>
      <c r="H124" s="3" t="s">
        <v>1</v>
      </c>
      <c r="I124" s="3" t="s">
        <v>1</v>
      </c>
      <c r="J124" s="3" t="s">
        <v>1</v>
      </c>
      <c r="K124" s="3" t="e">
        <f t="shared" si="1"/>
        <v>#VALUE!</v>
      </c>
    </row>
    <row r="125" spans="2:11" outlineLevel="1" x14ac:dyDescent="0.35">
      <c r="B125" s="7" t="s">
        <v>33</v>
      </c>
      <c r="C125" s="3">
        <v>816</v>
      </c>
      <c r="D125" s="3">
        <v>40</v>
      </c>
      <c r="E125" s="3">
        <v>857</v>
      </c>
      <c r="F125" s="3" t="s">
        <v>1</v>
      </c>
      <c r="G125" s="3">
        <v>309</v>
      </c>
      <c r="H125" s="3">
        <v>65</v>
      </c>
      <c r="I125" s="3">
        <v>374</v>
      </c>
      <c r="J125" s="3" t="s">
        <v>1</v>
      </c>
      <c r="K125" s="3">
        <f t="shared" si="1"/>
        <v>-483</v>
      </c>
    </row>
    <row r="126" spans="2:11" outlineLevel="1" x14ac:dyDescent="0.35">
      <c r="B126" s="7" t="s">
        <v>32</v>
      </c>
      <c r="C126" s="3" t="s">
        <v>1</v>
      </c>
      <c r="D126" s="3" t="s">
        <v>1</v>
      </c>
      <c r="E126" s="3" t="s">
        <v>1</v>
      </c>
      <c r="F126" s="3" t="s">
        <v>1</v>
      </c>
      <c r="G126" s="3" t="s">
        <v>1</v>
      </c>
      <c r="H126" s="3" t="s">
        <v>1</v>
      </c>
      <c r="I126" s="3" t="s">
        <v>1</v>
      </c>
      <c r="J126" s="3" t="s">
        <v>1</v>
      </c>
      <c r="K126" s="3" t="e">
        <f t="shared" si="1"/>
        <v>#VALUE!</v>
      </c>
    </row>
    <row r="127" spans="2:11" outlineLevel="1" x14ac:dyDescent="0.35">
      <c r="B127" s="7" t="s">
        <v>31</v>
      </c>
      <c r="C127" s="3" t="s">
        <v>1</v>
      </c>
      <c r="D127" s="3" t="s">
        <v>1</v>
      </c>
      <c r="E127" s="3" t="s">
        <v>1</v>
      </c>
      <c r="F127" s="3" t="s">
        <v>1</v>
      </c>
      <c r="G127" s="3" t="s">
        <v>1</v>
      </c>
      <c r="H127" s="3" t="s">
        <v>1</v>
      </c>
      <c r="I127" s="3" t="s">
        <v>1</v>
      </c>
      <c r="J127" s="3" t="s">
        <v>1</v>
      </c>
      <c r="K127" s="3" t="e">
        <f t="shared" si="1"/>
        <v>#VALUE!</v>
      </c>
    </row>
    <row r="128" spans="2:11" outlineLevel="1" x14ac:dyDescent="0.35">
      <c r="B128" s="7" t="s">
        <v>30</v>
      </c>
      <c r="C128" s="3">
        <v>54</v>
      </c>
      <c r="D128" s="3" t="s">
        <v>1</v>
      </c>
      <c r="E128" s="3">
        <v>54</v>
      </c>
      <c r="F128" s="3" t="s">
        <v>1</v>
      </c>
      <c r="G128" s="3" t="s">
        <v>1</v>
      </c>
      <c r="H128" s="3" t="s">
        <v>1</v>
      </c>
      <c r="I128" s="3" t="s">
        <v>1</v>
      </c>
      <c r="J128" s="3" t="s">
        <v>1</v>
      </c>
      <c r="K128" s="3" t="e">
        <f t="shared" si="1"/>
        <v>#VALUE!</v>
      </c>
    </row>
    <row r="129" spans="1:11" x14ac:dyDescent="0.35">
      <c r="B129" s="7" t="s">
        <v>26</v>
      </c>
      <c r="C129" s="3">
        <v>17635</v>
      </c>
      <c r="D129" s="3">
        <v>38026</v>
      </c>
      <c r="E129" s="3">
        <v>55661</v>
      </c>
      <c r="F129" s="3" t="s">
        <v>1</v>
      </c>
      <c r="G129" s="3">
        <v>16145</v>
      </c>
      <c r="H129" s="3">
        <v>46752</v>
      </c>
      <c r="I129" s="3">
        <v>62896</v>
      </c>
      <c r="J129" s="3" t="s">
        <v>1</v>
      </c>
      <c r="K129" s="3">
        <f t="shared" si="1"/>
        <v>7235</v>
      </c>
    </row>
    <row r="130" spans="1:11" x14ac:dyDescent="0.35">
      <c r="A130" s="6" t="s">
        <v>1</v>
      </c>
      <c r="B130" s="5" t="s">
        <v>25</v>
      </c>
      <c r="C130" s="4">
        <v>19172</v>
      </c>
      <c r="D130" s="4">
        <v>39327</v>
      </c>
      <c r="E130" s="4">
        <v>58499</v>
      </c>
      <c r="F130" s="4">
        <v>0</v>
      </c>
      <c r="G130" s="4">
        <v>17512</v>
      </c>
      <c r="H130" s="4">
        <v>48657</v>
      </c>
      <c r="I130" s="4">
        <v>66170</v>
      </c>
      <c r="J130" s="4">
        <v>0</v>
      </c>
      <c r="K130" s="4"/>
    </row>
    <row r="131" spans="1:11" x14ac:dyDescent="0.35">
      <c r="A131" s="6" t="s">
        <v>1</v>
      </c>
      <c r="B131" s="5" t="s">
        <v>24</v>
      </c>
      <c r="C131" s="4">
        <v>-51302</v>
      </c>
      <c r="D131" s="4">
        <v>24588</v>
      </c>
      <c r="E131" s="4">
        <v>-26714</v>
      </c>
      <c r="F131" s="4">
        <v>0</v>
      </c>
      <c r="G131" s="4">
        <v>25190</v>
      </c>
      <c r="H131" s="4">
        <v>-29821</v>
      </c>
      <c r="I131" s="4">
        <v>-4632</v>
      </c>
      <c r="J131" s="4">
        <v>0</v>
      </c>
      <c r="K131" s="4"/>
    </row>
    <row r="132" spans="1:11" x14ac:dyDescent="0.35">
      <c r="A132" s="6" t="s">
        <v>1</v>
      </c>
      <c r="B132" s="5" t="s">
        <v>23</v>
      </c>
      <c r="C132" s="4" t="s">
        <v>180</v>
      </c>
      <c r="D132" s="4" t="s">
        <v>179</v>
      </c>
      <c r="E132" s="4" t="s">
        <v>178</v>
      </c>
      <c r="F132" s="4">
        <v>0</v>
      </c>
      <c r="G132" s="4" t="s">
        <v>177</v>
      </c>
      <c r="H132" s="4" t="s">
        <v>176</v>
      </c>
      <c r="I132" s="4" t="s">
        <v>166</v>
      </c>
      <c r="J132" s="4">
        <v>0</v>
      </c>
      <c r="K132" s="4"/>
    </row>
    <row r="133" spans="1:11" x14ac:dyDescent="0.35">
      <c r="A133" s="6" t="s">
        <v>1</v>
      </c>
      <c r="B133" s="5" t="s">
        <v>1</v>
      </c>
      <c r="C133" s="4" t="s">
        <v>1</v>
      </c>
      <c r="D133" s="4" t="s">
        <v>1</v>
      </c>
      <c r="E133" s="4" t="s">
        <v>1</v>
      </c>
      <c r="F133" s="4" t="s">
        <v>1</v>
      </c>
      <c r="G133" s="4" t="s">
        <v>1</v>
      </c>
      <c r="H133" s="4" t="s">
        <v>1</v>
      </c>
      <c r="I133" s="4" t="s">
        <v>1</v>
      </c>
      <c r="J133" s="4" t="s">
        <v>1</v>
      </c>
      <c r="K133" s="4"/>
    </row>
    <row r="134" spans="1:11" x14ac:dyDescent="0.35">
      <c r="B134" s="7" t="s">
        <v>17</v>
      </c>
      <c r="C134" s="3">
        <v>-8480</v>
      </c>
      <c r="D134" s="3">
        <v>2507</v>
      </c>
      <c r="E134" s="3">
        <v>-5973</v>
      </c>
      <c r="F134" s="3" t="s">
        <v>1</v>
      </c>
      <c r="G134" s="3">
        <v>-4642</v>
      </c>
      <c r="H134" s="3">
        <v>3614</v>
      </c>
      <c r="I134" s="3">
        <v>-1027</v>
      </c>
      <c r="J134" s="3" t="s">
        <v>1</v>
      </c>
      <c r="K134" s="3">
        <f t="shared" ref="K134:K147" si="2">I134-E134</f>
        <v>4946</v>
      </c>
    </row>
    <row r="135" spans="1:11" hidden="1" outlineLevel="1" x14ac:dyDescent="0.35">
      <c r="B135" s="7" t="s">
        <v>16</v>
      </c>
      <c r="C135" s="3" t="s">
        <v>1</v>
      </c>
      <c r="D135" s="3" t="s">
        <v>1</v>
      </c>
      <c r="E135" s="3" t="s">
        <v>1</v>
      </c>
      <c r="F135" s="3" t="s">
        <v>1</v>
      </c>
      <c r="G135" s="3" t="s">
        <v>1</v>
      </c>
      <c r="H135" s="3" t="s">
        <v>1</v>
      </c>
      <c r="I135" s="3" t="s">
        <v>1</v>
      </c>
      <c r="J135" s="3" t="s">
        <v>1</v>
      </c>
      <c r="K135" s="3" t="e">
        <f t="shared" si="2"/>
        <v>#VALUE!</v>
      </c>
    </row>
    <row r="136" spans="1:11" hidden="1" outlineLevel="1" x14ac:dyDescent="0.35">
      <c r="B136" s="7" t="s">
        <v>15</v>
      </c>
      <c r="C136" s="3">
        <v>2</v>
      </c>
      <c r="D136" s="3">
        <v>6</v>
      </c>
      <c r="E136" s="3">
        <v>8</v>
      </c>
      <c r="F136" s="3" t="s">
        <v>1</v>
      </c>
      <c r="G136" s="3">
        <v>1</v>
      </c>
      <c r="H136" s="3">
        <v>1095</v>
      </c>
      <c r="I136" s="3">
        <v>1096</v>
      </c>
      <c r="J136" s="3" t="s">
        <v>1</v>
      </c>
      <c r="K136" s="3">
        <f t="shared" si="2"/>
        <v>1088</v>
      </c>
    </row>
    <row r="137" spans="1:11" hidden="1" outlineLevel="1" x14ac:dyDescent="0.35">
      <c r="B137" s="7" t="s">
        <v>14</v>
      </c>
      <c r="C137" s="3">
        <v>-8482</v>
      </c>
      <c r="D137" s="3" t="s">
        <v>1</v>
      </c>
      <c r="E137" s="3">
        <v>-8482</v>
      </c>
      <c r="F137" s="3" t="s">
        <v>1</v>
      </c>
      <c r="G137" s="3">
        <v>-4642</v>
      </c>
      <c r="H137" s="3" t="s">
        <v>1</v>
      </c>
      <c r="I137" s="3">
        <v>-4642</v>
      </c>
      <c r="J137" s="3" t="s">
        <v>1</v>
      </c>
      <c r="K137" s="3">
        <f t="shared" si="2"/>
        <v>3840</v>
      </c>
    </row>
    <row r="138" spans="1:11" hidden="1" outlineLevel="1" x14ac:dyDescent="0.35">
      <c r="B138" s="7" t="s">
        <v>13</v>
      </c>
      <c r="C138" s="3" t="s">
        <v>1</v>
      </c>
      <c r="D138" s="3" t="s">
        <v>1</v>
      </c>
      <c r="E138" s="3" t="s">
        <v>1</v>
      </c>
      <c r="F138" s="3" t="s">
        <v>1</v>
      </c>
      <c r="G138" s="3" t="s">
        <v>1</v>
      </c>
      <c r="H138" s="3" t="s">
        <v>1</v>
      </c>
      <c r="I138" s="3" t="s">
        <v>1</v>
      </c>
      <c r="J138" s="3" t="s">
        <v>1</v>
      </c>
      <c r="K138" s="3" t="e">
        <f t="shared" si="2"/>
        <v>#VALUE!</v>
      </c>
    </row>
    <row r="139" spans="1:11" hidden="1" outlineLevel="1" x14ac:dyDescent="0.35">
      <c r="B139" s="7" t="s">
        <v>12</v>
      </c>
      <c r="C139" s="3" t="s">
        <v>1</v>
      </c>
      <c r="D139" s="3">
        <v>140</v>
      </c>
      <c r="E139" s="3">
        <v>140</v>
      </c>
      <c r="F139" s="3" t="s">
        <v>1</v>
      </c>
      <c r="G139" s="3" t="s">
        <v>1</v>
      </c>
      <c r="H139" s="3">
        <v>159</v>
      </c>
      <c r="I139" s="3">
        <v>159</v>
      </c>
      <c r="J139" s="3" t="s">
        <v>1</v>
      </c>
      <c r="K139" s="3">
        <f t="shared" si="2"/>
        <v>19</v>
      </c>
    </row>
    <row r="140" spans="1:11" hidden="1" outlineLevel="1" x14ac:dyDescent="0.35">
      <c r="B140" s="7" t="s">
        <v>11</v>
      </c>
      <c r="C140" s="3" t="s">
        <v>1</v>
      </c>
      <c r="D140" s="3" t="s">
        <v>1</v>
      </c>
      <c r="E140" s="3" t="s">
        <v>1</v>
      </c>
      <c r="F140" s="3" t="s">
        <v>1</v>
      </c>
      <c r="G140" s="3" t="s">
        <v>1</v>
      </c>
      <c r="H140" s="3" t="s">
        <v>1</v>
      </c>
      <c r="I140" s="3" t="s">
        <v>1</v>
      </c>
      <c r="J140" s="3" t="s">
        <v>1</v>
      </c>
      <c r="K140" s="3" t="e">
        <f t="shared" si="2"/>
        <v>#VALUE!</v>
      </c>
    </row>
    <row r="141" spans="1:11" hidden="1" outlineLevel="1" x14ac:dyDescent="0.35">
      <c r="B141" s="7" t="s">
        <v>10</v>
      </c>
      <c r="C141" s="3" t="s">
        <v>1</v>
      </c>
      <c r="D141" s="3">
        <v>2360</v>
      </c>
      <c r="E141" s="3">
        <v>2360</v>
      </c>
      <c r="F141" s="3" t="s">
        <v>1</v>
      </c>
      <c r="G141" s="3" t="s">
        <v>1</v>
      </c>
      <c r="H141" s="3">
        <v>2360</v>
      </c>
      <c r="I141" s="3">
        <v>2360</v>
      </c>
      <c r="J141" s="3" t="s">
        <v>1</v>
      </c>
      <c r="K141" s="3">
        <f t="shared" si="2"/>
        <v>0</v>
      </c>
    </row>
    <row r="142" spans="1:11" collapsed="1" x14ac:dyDescent="0.35">
      <c r="B142" s="7" t="s">
        <v>8</v>
      </c>
      <c r="C142" s="3" t="s">
        <v>1</v>
      </c>
      <c r="D142" s="3">
        <v>517</v>
      </c>
      <c r="E142" s="3">
        <v>517</v>
      </c>
      <c r="F142" s="3" t="s">
        <v>1</v>
      </c>
      <c r="G142" s="3" t="s">
        <v>1</v>
      </c>
      <c r="H142" s="3" t="s">
        <v>1</v>
      </c>
      <c r="I142" s="3">
        <v>0</v>
      </c>
      <c r="J142" s="3" t="s">
        <v>1</v>
      </c>
      <c r="K142" s="3">
        <f t="shared" si="2"/>
        <v>-517</v>
      </c>
    </row>
    <row r="143" spans="1:11" hidden="1" outlineLevel="1" x14ac:dyDescent="0.35">
      <c r="B143" s="7" t="s">
        <v>7</v>
      </c>
      <c r="C143" s="3" t="s">
        <v>1</v>
      </c>
      <c r="D143" s="3">
        <v>517</v>
      </c>
      <c r="E143" s="3">
        <v>517</v>
      </c>
      <c r="F143" s="3" t="s">
        <v>1</v>
      </c>
      <c r="G143" s="3" t="s">
        <v>1</v>
      </c>
      <c r="H143" s="3" t="s">
        <v>1</v>
      </c>
      <c r="I143" s="3" t="s">
        <v>1</v>
      </c>
      <c r="J143" s="3" t="s">
        <v>1</v>
      </c>
      <c r="K143" s="3" t="e">
        <f t="shared" si="2"/>
        <v>#VALUE!</v>
      </c>
    </row>
    <row r="144" spans="1:11" collapsed="1" x14ac:dyDescent="0.35">
      <c r="B144" s="7" t="s">
        <v>4</v>
      </c>
      <c r="C144" s="3" t="s">
        <v>1</v>
      </c>
      <c r="D144" s="3" t="s">
        <v>1</v>
      </c>
      <c r="E144" s="3">
        <v>0</v>
      </c>
      <c r="F144" s="3" t="s">
        <v>1</v>
      </c>
      <c r="G144" s="3" t="s">
        <v>1</v>
      </c>
      <c r="H144" s="3" t="s">
        <v>1</v>
      </c>
      <c r="I144" s="3">
        <v>0</v>
      </c>
      <c r="J144" s="3" t="s">
        <v>1</v>
      </c>
      <c r="K144" s="3">
        <f t="shared" si="2"/>
        <v>0</v>
      </c>
    </row>
    <row r="145" spans="1:11" hidden="1" outlineLevel="1" x14ac:dyDescent="0.35">
      <c r="B145" s="7" t="s">
        <v>3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1</v>
      </c>
      <c r="H145" s="3" t="s">
        <v>1</v>
      </c>
      <c r="I145" s="3" t="s">
        <v>1</v>
      </c>
      <c r="J145" s="3" t="s">
        <v>1</v>
      </c>
      <c r="K145" s="3" t="e">
        <f t="shared" si="2"/>
        <v>#VALUE!</v>
      </c>
    </row>
    <row r="146" spans="1:11" collapsed="1" x14ac:dyDescent="0.35">
      <c r="B146" s="7" t="s">
        <v>2</v>
      </c>
      <c r="C146" s="3">
        <v>-8480</v>
      </c>
      <c r="D146" s="3">
        <v>3023</v>
      </c>
      <c r="E146" s="3">
        <v>-5457</v>
      </c>
      <c r="F146" s="3" t="s">
        <v>1</v>
      </c>
      <c r="G146" s="3">
        <v>-4642</v>
      </c>
      <c r="H146" s="3">
        <v>3614</v>
      </c>
      <c r="I146" s="3">
        <v>-1027</v>
      </c>
      <c r="J146" s="3" t="s">
        <v>1</v>
      </c>
      <c r="K146" s="3">
        <f t="shared" si="2"/>
        <v>4430</v>
      </c>
    </row>
    <row r="147" spans="1:11" x14ac:dyDescent="0.35">
      <c r="A147" s="6" t="s">
        <v>1</v>
      </c>
      <c r="B147" s="5" t="s">
        <v>0</v>
      </c>
      <c r="C147" s="4">
        <v>-42822</v>
      </c>
      <c r="D147" s="4">
        <v>21564</v>
      </c>
      <c r="E147" s="4">
        <v>-21258</v>
      </c>
      <c r="F147" s="4">
        <v>0</v>
      </c>
      <c r="G147" s="4">
        <v>29831</v>
      </c>
      <c r="H147" s="4">
        <v>-33436</v>
      </c>
      <c r="I147" s="4">
        <v>-3604</v>
      </c>
      <c r="J147" s="4">
        <v>0</v>
      </c>
      <c r="K147" s="4">
        <f t="shared" si="2"/>
        <v>17654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7C52-6D69-4AE7-839C-C00D279DA140}">
  <dimension ref="A1:K151"/>
  <sheetViews>
    <sheetView showGridLines="0" topLeftCell="A2" workbookViewId="0">
      <selection activeCell="I8" sqref="I8"/>
    </sheetView>
  </sheetViews>
  <sheetFormatPr defaultRowHeight="14.5" outlineLevelRow="1" x14ac:dyDescent="0.35"/>
  <cols>
    <col min="1" max="1" width="5" style="1" customWidth="1"/>
    <col min="2" max="2" width="35.1796875" style="1" bestFit="1" customWidth="1"/>
    <col min="3" max="3" width="16.54296875" style="2" bestFit="1" customWidth="1"/>
    <col min="4" max="4" width="13.26953125" style="2" bestFit="1" customWidth="1"/>
    <col min="5" max="5" width="19.453125" style="2" customWidth="1"/>
    <col min="6" max="6" width="7.54296875" style="2" bestFit="1" customWidth="1"/>
    <col min="7" max="7" width="18" style="2" bestFit="1" customWidth="1"/>
    <col min="8" max="8" width="13.26953125" style="2" bestFit="1" customWidth="1"/>
    <col min="9" max="9" width="15.81640625" style="2" customWidth="1"/>
    <col min="10" max="10" width="6.81640625" style="2" bestFit="1" customWidth="1"/>
    <col min="11" max="16384" width="8.7265625" style="1"/>
  </cols>
  <sheetData>
    <row r="1" spans="1:11" ht="15" hidden="1" customHeight="1" x14ac:dyDescent="0.35"/>
    <row r="2" spans="1:11" ht="18.5" x14ac:dyDescent="0.45">
      <c r="B2" s="13" t="s">
        <v>159</v>
      </c>
      <c r="C2" s="12" t="s">
        <v>164</v>
      </c>
      <c r="D2" s="12"/>
      <c r="E2" s="12"/>
      <c r="F2" s="13"/>
      <c r="G2" s="12" t="s">
        <v>175</v>
      </c>
      <c r="H2" s="12"/>
      <c r="I2" s="12"/>
      <c r="J2" s="13"/>
      <c r="K2" s="11"/>
    </row>
    <row r="3" spans="1:11" ht="18.5" x14ac:dyDescent="0.45">
      <c r="B3" s="12" t="s">
        <v>163</v>
      </c>
      <c r="C3" s="12"/>
      <c r="D3" s="12"/>
      <c r="E3" s="12" t="s">
        <v>162</v>
      </c>
      <c r="F3" s="12"/>
      <c r="G3" s="12"/>
      <c r="H3" s="12"/>
      <c r="I3" s="12" t="s">
        <v>162</v>
      </c>
      <c r="J3" s="12"/>
      <c r="K3" s="11"/>
    </row>
    <row r="4" spans="1:11" ht="15" hidden="1" customHeight="1" x14ac:dyDescent="0.35">
      <c r="B4" s="11"/>
      <c r="C4" s="12"/>
      <c r="D4" s="12"/>
      <c r="E4" s="12"/>
      <c r="F4" s="12"/>
      <c r="G4" s="12"/>
      <c r="H4" s="12"/>
      <c r="I4" s="12"/>
      <c r="J4" s="12"/>
    </row>
    <row r="5" spans="1:11" ht="15" hidden="1" customHeight="1" x14ac:dyDescent="0.35">
      <c r="B5" s="11" t="s">
        <v>1</v>
      </c>
      <c r="C5" s="12"/>
      <c r="D5" s="12"/>
      <c r="E5" s="12"/>
      <c r="F5" s="12"/>
      <c r="G5" s="12"/>
      <c r="H5" s="12"/>
      <c r="I5" s="12"/>
      <c r="J5" s="12"/>
    </row>
    <row r="6" spans="1:11" ht="25" customHeight="1" x14ac:dyDescent="0.35">
      <c r="A6" s="1" t="s">
        <v>1</v>
      </c>
      <c r="B6" s="10" t="s">
        <v>161</v>
      </c>
      <c r="C6" s="8" t="s">
        <v>160</v>
      </c>
      <c r="D6" s="8" t="s">
        <v>159</v>
      </c>
      <c r="E6" s="9" t="s">
        <v>158</v>
      </c>
      <c r="F6" s="8" t="s">
        <v>26</v>
      </c>
      <c r="G6" s="8" t="s">
        <v>160</v>
      </c>
      <c r="H6" s="8" t="s">
        <v>159</v>
      </c>
      <c r="I6" s="9" t="s">
        <v>158</v>
      </c>
      <c r="J6" s="8" t="s">
        <v>26</v>
      </c>
      <c r="K6" s="8" t="s">
        <v>157</v>
      </c>
    </row>
    <row r="7" spans="1:11" x14ac:dyDescent="0.35">
      <c r="A7" s="6" t="s">
        <v>1</v>
      </c>
      <c r="B7" s="5" t="s">
        <v>156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/>
    </row>
    <row r="8" spans="1:11" x14ac:dyDescent="0.35">
      <c r="B8" s="7" t="s">
        <v>155</v>
      </c>
      <c r="C8" s="3">
        <v>176206</v>
      </c>
      <c r="D8" s="3">
        <v>194902</v>
      </c>
      <c r="E8" s="3">
        <v>-175901</v>
      </c>
      <c r="F8" s="3">
        <v>195207</v>
      </c>
      <c r="G8" s="3">
        <v>75319</v>
      </c>
      <c r="H8" s="3">
        <v>237839</v>
      </c>
      <c r="I8" s="3">
        <v>-75319</v>
      </c>
      <c r="J8" s="3">
        <v>237839</v>
      </c>
      <c r="K8" s="3">
        <f>F8-J8</f>
        <v>-42632</v>
      </c>
    </row>
    <row r="9" spans="1:11" hidden="1" outlineLevel="1" x14ac:dyDescent="0.35">
      <c r="B9" s="7" t="s">
        <v>154</v>
      </c>
      <c r="C9" s="3">
        <v>175901</v>
      </c>
      <c r="D9" s="3">
        <v>194902</v>
      </c>
      <c r="E9" s="3">
        <v>-175901</v>
      </c>
      <c r="F9" s="3">
        <v>194902</v>
      </c>
      <c r="G9" s="3">
        <v>75319</v>
      </c>
      <c r="H9" s="3">
        <v>237839</v>
      </c>
      <c r="I9" s="3">
        <v>-75319</v>
      </c>
      <c r="J9" s="3">
        <v>237839</v>
      </c>
      <c r="K9" s="3">
        <f>F9-J9</f>
        <v>-42937</v>
      </c>
    </row>
    <row r="10" spans="1:11" hidden="1" outlineLevel="1" x14ac:dyDescent="0.35">
      <c r="B10" s="7" t="s">
        <v>153</v>
      </c>
      <c r="C10" s="3">
        <v>0</v>
      </c>
      <c r="D10" s="3">
        <v>0</v>
      </c>
      <c r="E10" s="3" t="s">
        <v>1</v>
      </c>
      <c r="F10" s="3">
        <v>0</v>
      </c>
      <c r="G10" s="3">
        <v>0</v>
      </c>
      <c r="H10" s="3">
        <v>0</v>
      </c>
      <c r="I10" s="3" t="s">
        <v>1</v>
      </c>
      <c r="J10" s="3">
        <v>0</v>
      </c>
      <c r="K10" s="3">
        <f>F10-J10</f>
        <v>0</v>
      </c>
    </row>
    <row r="11" spans="1:11" hidden="1" outlineLevel="1" x14ac:dyDescent="0.35">
      <c r="B11" s="7" t="s">
        <v>152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/>
    </row>
    <row r="12" spans="1:11" hidden="1" outlineLevel="1" x14ac:dyDescent="0.35">
      <c r="B12" s="7" t="s">
        <v>151</v>
      </c>
      <c r="C12" s="3">
        <v>16</v>
      </c>
      <c r="D12" s="3">
        <v>0</v>
      </c>
      <c r="E12" s="3" t="s">
        <v>1</v>
      </c>
      <c r="F12" s="3">
        <v>16</v>
      </c>
      <c r="G12" s="3" t="s">
        <v>1</v>
      </c>
      <c r="H12" s="3">
        <v>0</v>
      </c>
      <c r="I12" s="3" t="s">
        <v>1</v>
      </c>
      <c r="J12" s="3">
        <v>0</v>
      </c>
      <c r="K12" s="3">
        <f>F12-J12</f>
        <v>16</v>
      </c>
    </row>
    <row r="13" spans="1:11" hidden="1" outlineLevel="1" x14ac:dyDescent="0.35">
      <c r="B13" s="7" t="s">
        <v>150</v>
      </c>
      <c r="C13" s="3">
        <v>289</v>
      </c>
      <c r="D13" s="3" t="s">
        <v>1</v>
      </c>
      <c r="E13" s="3" t="s">
        <v>1</v>
      </c>
      <c r="F13" s="3">
        <v>289</v>
      </c>
      <c r="G13" s="3" t="s">
        <v>1</v>
      </c>
      <c r="H13" s="3" t="s">
        <v>1</v>
      </c>
      <c r="I13" s="3" t="s">
        <v>1</v>
      </c>
      <c r="J13" s="3" t="s">
        <v>1</v>
      </c>
      <c r="K13" s="3"/>
    </row>
    <row r="14" spans="1:11" hidden="1" outlineLevel="1" x14ac:dyDescent="0.35">
      <c r="B14" s="7" t="s">
        <v>149</v>
      </c>
      <c r="C14" s="3">
        <v>176206</v>
      </c>
      <c r="D14" s="3">
        <v>194902</v>
      </c>
      <c r="E14" s="3">
        <v>-175901</v>
      </c>
      <c r="F14" s="3">
        <v>195207</v>
      </c>
      <c r="G14" s="3">
        <v>75319</v>
      </c>
      <c r="H14" s="3">
        <v>237839</v>
      </c>
      <c r="I14" s="3">
        <v>-75319</v>
      </c>
      <c r="J14" s="3">
        <v>237839</v>
      </c>
      <c r="K14" s="3">
        <f>F14-J14</f>
        <v>-42632</v>
      </c>
    </row>
    <row r="15" spans="1:11" collapsed="1" x14ac:dyDescent="0.35">
      <c r="A15" s="6" t="s">
        <v>1</v>
      </c>
      <c r="B15" s="5" t="s">
        <v>148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/>
    </row>
    <row r="16" spans="1:11" x14ac:dyDescent="0.35">
      <c r="B16" s="7" t="s">
        <v>147</v>
      </c>
      <c r="C16" s="3">
        <v>100793</v>
      </c>
      <c r="D16" s="3">
        <v>175901</v>
      </c>
      <c r="E16" s="3">
        <v>-175901</v>
      </c>
      <c r="F16" s="3">
        <v>100793</v>
      </c>
      <c r="G16" s="3">
        <v>104521</v>
      </c>
      <c r="H16" s="3">
        <v>75394</v>
      </c>
      <c r="I16" s="3">
        <v>-75319</v>
      </c>
      <c r="J16" s="3">
        <v>104596</v>
      </c>
      <c r="K16" s="3">
        <f>F16-J16</f>
        <v>-3803</v>
      </c>
    </row>
    <row r="17" spans="2:11" hidden="1" outlineLevel="1" x14ac:dyDescent="0.35">
      <c r="B17" s="7" t="s">
        <v>146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/>
    </row>
    <row r="18" spans="2:11" hidden="1" outlineLevel="1" x14ac:dyDescent="0.35">
      <c r="B18" s="7" t="s">
        <v>145</v>
      </c>
      <c r="C18" s="3" t="s">
        <v>1</v>
      </c>
      <c r="D18" s="3">
        <v>0</v>
      </c>
      <c r="E18" s="3" t="s">
        <v>1</v>
      </c>
      <c r="F18" s="3">
        <v>0</v>
      </c>
      <c r="G18" s="3" t="s">
        <v>1</v>
      </c>
      <c r="H18" s="3">
        <v>75</v>
      </c>
      <c r="I18" s="3" t="s">
        <v>1</v>
      </c>
      <c r="J18" s="3">
        <v>75</v>
      </c>
      <c r="K18" s="3">
        <f t="shared" ref="K18:K23" si="0">F18-J18</f>
        <v>-75</v>
      </c>
    </row>
    <row r="19" spans="2:11" hidden="1" outlineLevel="1" x14ac:dyDescent="0.35">
      <c r="B19" s="7" t="s">
        <v>144</v>
      </c>
      <c r="C19" s="3">
        <v>62706</v>
      </c>
      <c r="D19" s="3" t="s">
        <v>1</v>
      </c>
      <c r="E19" s="3" t="s">
        <v>1</v>
      </c>
      <c r="F19" s="3">
        <v>62706</v>
      </c>
      <c r="G19" s="3">
        <v>65666</v>
      </c>
      <c r="H19" s="3" t="s">
        <v>1</v>
      </c>
      <c r="I19" s="3" t="s">
        <v>1</v>
      </c>
      <c r="J19" s="3">
        <v>65666</v>
      </c>
      <c r="K19" s="3">
        <f t="shared" si="0"/>
        <v>-2960</v>
      </c>
    </row>
    <row r="20" spans="2:11" hidden="1" outlineLevel="1" x14ac:dyDescent="0.35">
      <c r="B20" s="7" t="s">
        <v>143</v>
      </c>
      <c r="C20" s="3">
        <v>38087</v>
      </c>
      <c r="D20" s="3" t="s">
        <v>1</v>
      </c>
      <c r="E20" s="3" t="s">
        <v>1</v>
      </c>
      <c r="F20" s="3">
        <v>38087</v>
      </c>
      <c r="G20" s="3">
        <v>38517</v>
      </c>
      <c r="H20" s="3" t="s">
        <v>1</v>
      </c>
      <c r="I20" s="3" t="s">
        <v>1</v>
      </c>
      <c r="J20" s="3">
        <v>38517</v>
      </c>
      <c r="K20" s="3">
        <f t="shared" si="0"/>
        <v>-430</v>
      </c>
    </row>
    <row r="21" spans="2:11" hidden="1" outlineLevel="1" x14ac:dyDescent="0.35">
      <c r="B21" s="7" t="s">
        <v>142</v>
      </c>
      <c r="C21" s="3">
        <v>0</v>
      </c>
      <c r="D21" s="3">
        <v>175901</v>
      </c>
      <c r="E21" s="3">
        <v>-175901</v>
      </c>
      <c r="F21" s="3">
        <v>0</v>
      </c>
      <c r="G21" s="3">
        <v>217</v>
      </c>
      <c r="H21" s="3">
        <v>75319</v>
      </c>
      <c r="I21" s="3">
        <v>-75319</v>
      </c>
      <c r="J21" s="3">
        <v>217</v>
      </c>
      <c r="K21" s="3">
        <f t="shared" si="0"/>
        <v>-217</v>
      </c>
    </row>
    <row r="22" spans="2:11" hidden="1" outlineLevel="1" x14ac:dyDescent="0.35">
      <c r="B22" s="7" t="s">
        <v>141</v>
      </c>
      <c r="C22" s="3">
        <v>0</v>
      </c>
      <c r="D22" s="3" t="s">
        <v>1</v>
      </c>
      <c r="E22" s="3" t="s">
        <v>1</v>
      </c>
      <c r="F22" s="3">
        <v>0</v>
      </c>
      <c r="G22" s="3">
        <v>121</v>
      </c>
      <c r="H22" s="3" t="s">
        <v>1</v>
      </c>
      <c r="I22" s="3" t="s">
        <v>1</v>
      </c>
      <c r="J22" s="3">
        <v>121</v>
      </c>
      <c r="K22" s="3">
        <f t="shared" si="0"/>
        <v>-121</v>
      </c>
    </row>
    <row r="23" spans="2:11" collapsed="1" x14ac:dyDescent="0.35">
      <c r="B23" s="5" t="s">
        <v>140</v>
      </c>
      <c r="C23" s="3">
        <v>11371</v>
      </c>
      <c r="D23" s="3" t="s">
        <v>1</v>
      </c>
      <c r="E23" s="3" t="s">
        <v>1</v>
      </c>
      <c r="F23" s="3">
        <v>11371</v>
      </c>
      <c r="G23" s="3">
        <v>10999</v>
      </c>
      <c r="H23" s="3" t="s">
        <v>1</v>
      </c>
      <c r="I23" s="3" t="s">
        <v>1</v>
      </c>
      <c r="J23" s="3">
        <v>10999</v>
      </c>
      <c r="K23" s="3">
        <f t="shared" si="0"/>
        <v>372</v>
      </c>
    </row>
    <row r="24" spans="2:11" outlineLevel="1" x14ac:dyDescent="0.35">
      <c r="B24" s="7" t="s">
        <v>139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/>
    </row>
    <row r="25" spans="2:11" outlineLevel="1" x14ac:dyDescent="0.35">
      <c r="B25" s="7" t="s">
        <v>138</v>
      </c>
      <c r="C25" s="3">
        <v>411</v>
      </c>
      <c r="D25" s="3" t="s">
        <v>1</v>
      </c>
      <c r="E25" s="3" t="s">
        <v>1</v>
      </c>
      <c r="F25" s="3">
        <v>411</v>
      </c>
      <c r="G25" s="3">
        <v>383</v>
      </c>
      <c r="H25" s="3" t="s">
        <v>1</v>
      </c>
      <c r="I25" s="3" t="s">
        <v>1</v>
      </c>
      <c r="J25" s="3">
        <v>383</v>
      </c>
      <c r="K25" s="3">
        <f>F25-J25</f>
        <v>28</v>
      </c>
    </row>
    <row r="26" spans="2:11" outlineLevel="1" x14ac:dyDescent="0.35">
      <c r="B26" s="7" t="s">
        <v>137</v>
      </c>
      <c r="C26" s="3">
        <v>9958</v>
      </c>
      <c r="D26" s="3" t="s">
        <v>1</v>
      </c>
      <c r="E26" s="3" t="s">
        <v>1</v>
      </c>
      <c r="F26" s="3">
        <v>9958</v>
      </c>
      <c r="G26" s="3">
        <v>9573</v>
      </c>
      <c r="H26" s="3" t="s">
        <v>1</v>
      </c>
      <c r="I26" s="3" t="s">
        <v>1</v>
      </c>
      <c r="J26" s="3">
        <v>9573</v>
      </c>
      <c r="K26" s="3">
        <f>F26-J26</f>
        <v>385</v>
      </c>
    </row>
    <row r="27" spans="2:11" outlineLevel="1" x14ac:dyDescent="0.35">
      <c r="B27" s="7" t="s">
        <v>136</v>
      </c>
      <c r="C27" s="3">
        <v>391</v>
      </c>
      <c r="D27" s="3" t="s">
        <v>1</v>
      </c>
      <c r="E27" s="3" t="s">
        <v>1</v>
      </c>
      <c r="F27" s="3">
        <v>391</v>
      </c>
      <c r="G27" s="3">
        <v>404</v>
      </c>
      <c r="H27" s="3" t="s">
        <v>1</v>
      </c>
      <c r="I27" s="3" t="s">
        <v>1</v>
      </c>
      <c r="J27" s="3">
        <v>404</v>
      </c>
      <c r="K27" s="3">
        <f>F27-J27</f>
        <v>-13</v>
      </c>
    </row>
    <row r="28" spans="2:11" outlineLevel="1" x14ac:dyDescent="0.35">
      <c r="B28" s="7" t="s">
        <v>135</v>
      </c>
      <c r="C28" s="3" t="s">
        <v>1</v>
      </c>
      <c r="D28" s="3" t="s">
        <v>1</v>
      </c>
      <c r="E28" s="3" t="s">
        <v>1</v>
      </c>
      <c r="F28" s="3" t="s">
        <v>1</v>
      </c>
      <c r="G28" s="3" t="s">
        <v>1</v>
      </c>
      <c r="H28" s="3" t="s">
        <v>1</v>
      </c>
      <c r="I28" s="3" t="s">
        <v>1</v>
      </c>
      <c r="J28" s="3" t="s">
        <v>1</v>
      </c>
      <c r="K28" s="3"/>
    </row>
    <row r="29" spans="2:11" outlineLevel="1" x14ac:dyDescent="0.35">
      <c r="B29" s="7" t="s">
        <v>134</v>
      </c>
      <c r="C29" s="3">
        <v>610</v>
      </c>
      <c r="D29" s="3" t="s">
        <v>1</v>
      </c>
      <c r="E29" s="3" t="s">
        <v>1</v>
      </c>
      <c r="F29" s="3">
        <v>610</v>
      </c>
      <c r="G29" s="3">
        <v>639</v>
      </c>
      <c r="H29" s="3" t="s">
        <v>1</v>
      </c>
      <c r="I29" s="3" t="s">
        <v>1</v>
      </c>
      <c r="J29" s="3">
        <v>639</v>
      </c>
      <c r="K29" s="3">
        <f>F29-J29</f>
        <v>-29</v>
      </c>
    </row>
    <row r="30" spans="2:11" outlineLevel="1" x14ac:dyDescent="0.35">
      <c r="B30" s="7" t="s">
        <v>133</v>
      </c>
      <c r="C30" s="3" t="s">
        <v>1</v>
      </c>
      <c r="D30" s="3" t="s">
        <v>1</v>
      </c>
      <c r="E30" s="3" t="s">
        <v>1</v>
      </c>
      <c r="F30" s="3" t="s">
        <v>1</v>
      </c>
      <c r="G30" s="3" t="s">
        <v>1</v>
      </c>
      <c r="H30" s="3" t="s">
        <v>1</v>
      </c>
      <c r="I30" s="3" t="s">
        <v>1</v>
      </c>
      <c r="J30" s="3" t="s">
        <v>1</v>
      </c>
      <c r="K30" s="3"/>
    </row>
    <row r="31" spans="2:11" outlineLevel="1" x14ac:dyDescent="0.35">
      <c r="B31" s="7" t="s">
        <v>132</v>
      </c>
      <c r="C31" s="3" t="s">
        <v>1</v>
      </c>
      <c r="D31" s="3" t="s">
        <v>1</v>
      </c>
      <c r="E31" s="3" t="s">
        <v>1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  <c r="K31" s="3"/>
    </row>
    <row r="32" spans="2:11" x14ac:dyDescent="0.35">
      <c r="B32" s="5" t="s">
        <v>130</v>
      </c>
      <c r="C32" s="3">
        <v>14894</v>
      </c>
      <c r="D32" s="3">
        <v>0</v>
      </c>
      <c r="E32" s="3" t="s">
        <v>1</v>
      </c>
      <c r="F32" s="3">
        <v>14894</v>
      </c>
      <c r="G32" s="3">
        <v>14533</v>
      </c>
      <c r="H32" s="3">
        <v>1000</v>
      </c>
      <c r="I32" s="3" t="s">
        <v>1</v>
      </c>
      <c r="J32" s="3">
        <v>15533</v>
      </c>
      <c r="K32" s="3">
        <f>F32-J32</f>
        <v>-639</v>
      </c>
    </row>
    <row r="33" spans="2:11" outlineLevel="1" x14ac:dyDescent="0.35">
      <c r="B33" s="7" t="s">
        <v>129</v>
      </c>
      <c r="C33" s="3" t="s">
        <v>1</v>
      </c>
      <c r="D33" s="3" t="s">
        <v>1</v>
      </c>
      <c r="E33" s="3" t="s">
        <v>1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  <c r="K33" s="3"/>
    </row>
    <row r="34" spans="2:11" outlineLevel="1" x14ac:dyDescent="0.35">
      <c r="B34" s="7" t="s">
        <v>128</v>
      </c>
      <c r="C34" s="3">
        <v>2980</v>
      </c>
      <c r="D34" s="3" t="s">
        <v>1</v>
      </c>
      <c r="E34" s="3" t="s">
        <v>1</v>
      </c>
      <c r="F34" s="3">
        <v>2980</v>
      </c>
      <c r="G34" s="3">
        <v>2676</v>
      </c>
      <c r="H34" s="3" t="s">
        <v>1</v>
      </c>
      <c r="I34" s="3" t="s">
        <v>1</v>
      </c>
      <c r="J34" s="3">
        <v>2676</v>
      </c>
      <c r="K34" s="3">
        <f>F34-J34</f>
        <v>304</v>
      </c>
    </row>
    <row r="35" spans="2:11" outlineLevel="1" x14ac:dyDescent="0.35">
      <c r="B35" s="7" t="s">
        <v>127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 t="s">
        <v>1</v>
      </c>
      <c r="I35" s="3" t="s">
        <v>1</v>
      </c>
      <c r="J35" s="3" t="s">
        <v>1</v>
      </c>
      <c r="K35" s="3"/>
    </row>
    <row r="36" spans="2:11" outlineLevel="1" x14ac:dyDescent="0.35">
      <c r="B36" s="7" t="s">
        <v>126</v>
      </c>
      <c r="C36" s="3">
        <v>743</v>
      </c>
      <c r="D36" s="3" t="s">
        <v>1</v>
      </c>
      <c r="E36" s="3" t="s">
        <v>1</v>
      </c>
      <c r="F36" s="3">
        <v>743</v>
      </c>
      <c r="G36" s="3">
        <v>743</v>
      </c>
      <c r="H36" s="3" t="s">
        <v>1</v>
      </c>
      <c r="I36" s="3" t="s">
        <v>1</v>
      </c>
      <c r="J36" s="3">
        <v>743</v>
      </c>
      <c r="K36" s="3">
        <f t="shared" ref="K36:K41" si="1">F36-J36</f>
        <v>0</v>
      </c>
    </row>
    <row r="37" spans="2:11" outlineLevel="1" x14ac:dyDescent="0.35">
      <c r="B37" s="7" t="s">
        <v>125</v>
      </c>
      <c r="C37" s="3">
        <v>4302</v>
      </c>
      <c r="D37" s="3" t="s">
        <v>1</v>
      </c>
      <c r="E37" s="3" t="s">
        <v>1</v>
      </c>
      <c r="F37" s="3">
        <v>4302</v>
      </c>
      <c r="G37" s="3">
        <v>4302</v>
      </c>
      <c r="H37" s="3" t="s">
        <v>1</v>
      </c>
      <c r="I37" s="3" t="s">
        <v>1</v>
      </c>
      <c r="J37" s="3">
        <v>4302</v>
      </c>
      <c r="K37" s="3">
        <f t="shared" si="1"/>
        <v>0</v>
      </c>
    </row>
    <row r="38" spans="2:11" outlineLevel="1" x14ac:dyDescent="0.35">
      <c r="B38" s="7" t="s">
        <v>124</v>
      </c>
      <c r="C38" s="3">
        <v>1964</v>
      </c>
      <c r="D38" s="3" t="s">
        <v>1</v>
      </c>
      <c r="E38" s="3" t="s">
        <v>1</v>
      </c>
      <c r="F38" s="3">
        <v>1964</v>
      </c>
      <c r="G38" s="3">
        <v>1907</v>
      </c>
      <c r="H38" s="3" t="s">
        <v>1</v>
      </c>
      <c r="I38" s="3" t="s">
        <v>1</v>
      </c>
      <c r="J38" s="3">
        <v>1907</v>
      </c>
      <c r="K38" s="3">
        <f t="shared" si="1"/>
        <v>57</v>
      </c>
    </row>
    <row r="39" spans="2:11" outlineLevel="1" x14ac:dyDescent="0.35">
      <c r="B39" s="7" t="s">
        <v>123</v>
      </c>
      <c r="C39" s="3">
        <v>285</v>
      </c>
      <c r="D39" s="3" t="s">
        <v>1</v>
      </c>
      <c r="E39" s="3" t="s">
        <v>1</v>
      </c>
      <c r="F39" s="3">
        <v>285</v>
      </c>
      <c r="G39" s="3">
        <v>285</v>
      </c>
      <c r="H39" s="3" t="s">
        <v>1</v>
      </c>
      <c r="I39" s="3" t="s">
        <v>1</v>
      </c>
      <c r="J39" s="3">
        <v>285</v>
      </c>
      <c r="K39" s="3">
        <f t="shared" si="1"/>
        <v>0</v>
      </c>
    </row>
    <row r="40" spans="2:11" outlineLevel="1" x14ac:dyDescent="0.35">
      <c r="B40" s="7" t="s">
        <v>122</v>
      </c>
      <c r="C40" s="3">
        <v>4348</v>
      </c>
      <c r="D40" s="3" t="s">
        <v>1</v>
      </c>
      <c r="E40" s="3" t="s">
        <v>1</v>
      </c>
      <c r="F40" s="3">
        <v>4348</v>
      </c>
      <c r="G40" s="3">
        <v>4348</v>
      </c>
      <c r="H40" s="3" t="s">
        <v>1</v>
      </c>
      <c r="I40" s="3" t="s">
        <v>1</v>
      </c>
      <c r="J40" s="3">
        <v>4348</v>
      </c>
      <c r="K40" s="3">
        <f t="shared" si="1"/>
        <v>0</v>
      </c>
    </row>
    <row r="41" spans="2:11" outlineLevel="1" x14ac:dyDescent="0.35">
      <c r="B41" s="7" t="s">
        <v>121</v>
      </c>
      <c r="C41" s="3">
        <v>272</v>
      </c>
      <c r="D41" s="3">
        <v>0</v>
      </c>
      <c r="E41" s="3" t="s">
        <v>1</v>
      </c>
      <c r="F41" s="3">
        <v>272</v>
      </c>
      <c r="G41" s="3">
        <v>272</v>
      </c>
      <c r="H41" s="3">
        <v>1000</v>
      </c>
      <c r="I41" s="3" t="s">
        <v>1</v>
      </c>
      <c r="J41" s="3">
        <v>1272</v>
      </c>
      <c r="K41" s="3">
        <f t="shared" si="1"/>
        <v>-1000</v>
      </c>
    </row>
    <row r="42" spans="2:11" outlineLevel="1" x14ac:dyDescent="0.35">
      <c r="B42" s="7" t="s">
        <v>120</v>
      </c>
      <c r="C42" s="3" t="s">
        <v>1</v>
      </c>
      <c r="D42" s="3" t="s">
        <v>1</v>
      </c>
      <c r="E42" s="3" t="s">
        <v>1</v>
      </c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K42" s="3"/>
    </row>
    <row r="43" spans="2:11" x14ac:dyDescent="0.35">
      <c r="B43" s="5" t="s">
        <v>119</v>
      </c>
      <c r="C43" s="3">
        <v>1475</v>
      </c>
      <c r="D43" s="3">
        <v>506</v>
      </c>
      <c r="E43" s="3" t="s">
        <v>1</v>
      </c>
      <c r="F43" s="3">
        <v>1981</v>
      </c>
      <c r="G43" s="3">
        <v>1603</v>
      </c>
      <c r="H43" s="3">
        <v>1255</v>
      </c>
      <c r="I43" s="3" t="s">
        <v>1</v>
      </c>
      <c r="J43" s="3">
        <v>2858</v>
      </c>
      <c r="K43" s="3">
        <f t="shared" ref="K43:K52" si="2">F43-J43</f>
        <v>-877</v>
      </c>
    </row>
    <row r="44" spans="2:11" outlineLevel="1" x14ac:dyDescent="0.35">
      <c r="B44" s="7" t="s">
        <v>118</v>
      </c>
      <c r="C44" s="3" t="s">
        <v>1</v>
      </c>
      <c r="D44" s="3">
        <v>285</v>
      </c>
      <c r="E44" s="3" t="s">
        <v>1</v>
      </c>
      <c r="F44" s="3">
        <v>285</v>
      </c>
      <c r="G44" s="3" t="s">
        <v>1</v>
      </c>
      <c r="H44" s="3">
        <v>295</v>
      </c>
      <c r="I44" s="3" t="s">
        <v>1</v>
      </c>
      <c r="J44" s="3">
        <v>295</v>
      </c>
      <c r="K44" s="3">
        <f t="shared" si="2"/>
        <v>-10</v>
      </c>
    </row>
    <row r="45" spans="2:11" outlineLevel="1" x14ac:dyDescent="0.35">
      <c r="B45" s="7" t="s">
        <v>117</v>
      </c>
      <c r="C45" s="3" t="s">
        <v>1</v>
      </c>
      <c r="D45" s="3">
        <v>220</v>
      </c>
      <c r="E45" s="3" t="s">
        <v>1</v>
      </c>
      <c r="F45" s="3">
        <v>220</v>
      </c>
      <c r="G45" s="3" t="s">
        <v>1</v>
      </c>
      <c r="H45" s="3">
        <v>459</v>
      </c>
      <c r="I45" s="3" t="s">
        <v>1</v>
      </c>
      <c r="J45" s="3">
        <v>459</v>
      </c>
      <c r="K45" s="3">
        <f t="shared" si="2"/>
        <v>-239</v>
      </c>
    </row>
    <row r="46" spans="2:11" outlineLevel="1" x14ac:dyDescent="0.35">
      <c r="B46" s="7" t="s">
        <v>116</v>
      </c>
      <c r="C46" s="3">
        <v>479</v>
      </c>
      <c r="D46" s="3">
        <v>0</v>
      </c>
      <c r="E46" s="3" t="s">
        <v>1</v>
      </c>
      <c r="F46" s="3">
        <v>479</v>
      </c>
      <c r="G46" s="3">
        <v>485</v>
      </c>
      <c r="H46" s="3">
        <v>501</v>
      </c>
      <c r="I46" s="3" t="s">
        <v>1</v>
      </c>
      <c r="J46" s="3">
        <v>985</v>
      </c>
      <c r="K46" s="3">
        <f t="shared" si="2"/>
        <v>-506</v>
      </c>
    </row>
    <row r="47" spans="2:11" outlineLevel="1" x14ac:dyDescent="0.35">
      <c r="B47" s="7" t="s">
        <v>115</v>
      </c>
      <c r="C47" s="3">
        <v>29</v>
      </c>
      <c r="D47" s="3" t="s">
        <v>1</v>
      </c>
      <c r="E47" s="3" t="s">
        <v>1</v>
      </c>
      <c r="F47" s="3">
        <v>29</v>
      </c>
      <c r="G47" s="3">
        <v>41</v>
      </c>
      <c r="H47" s="3" t="s">
        <v>1</v>
      </c>
      <c r="I47" s="3" t="s">
        <v>1</v>
      </c>
      <c r="J47" s="3">
        <v>41</v>
      </c>
      <c r="K47" s="3">
        <f t="shared" si="2"/>
        <v>-12</v>
      </c>
    </row>
    <row r="48" spans="2:11" outlineLevel="1" x14ac:dyDescent="0.35">
      <c r="B48" s="7" t="s">
        <v>114</v>
      </c>
      <c r="C48" s="3">
        <v>213</v>
      </c>
      <c r="D48" s="3" t="s">
        <v>1</v>
      </c>
      <c r="E48" s="3" t="s">
        <v>1</v>
      </c>
      <c r="F48" s="3">
        <v>213</v>
      </c>
      <c r="G48" s="3">
        <v>189</v>
      </c>
      <c r="H48" s="3" t="s">
        <v>1</v>
      </c>
      <c r="I48" s="3" t="s">
        <v>1</v>
      </c>
      <c r="J48" s="3">
        <v>189</v>
      </c>
      <c r="K48" s="3">
        <f t="shared" si="2"/>
        <v>24</v>
      </c>
    </row>
    <row r="49" spans="2:11" outlineLevel="1" x14ac:dyDescent="0.35">
      <c r="B49" s="7" t="s">
        <v>113</v>
      </c>
      <c r="C49" s="3">
        <v>754</v>
      </c>
      <c r="D49" s="3" t="s">
        <v>1</v>
      </c>
      <c r="E49" s="3" t="s">
        <v>1</v>
      </c>
      <c r="F49" s="3">
        <v>754</v>
      </c>
      <c r="G49" s="3">
        <v>889</v>
      </c>
      <c r="H49" s="3" t="s">
        <v>1</v>
      </c>
      <c r="I49" s="3" t="s">
        <v>1</v>
      </c>
      <c r="J49" s="3">
        <v>889</v>
      </c>
      <c r="K49" s="3">
        <f t="shared" si="2"/>
        <v>-135</v>
      </c>
    </row>
    <row r="50" spans="2:11" x14ac:dyDescent="0.35">
      <c r="B50" s="7" t="s">
        <v>112</v>
      </c>
      <c r="C50" s="3">
        <v>4084</v>
      </c>
      <c r="D50" s="3" t="s">
        <v>1</v>
      </c>
      <c r="E50" s="3" t="s">
        <v>1</v>
      </c>
      <c r="F50" s="3">
        <v>4084</v>
      </c>
      <c r="G50" s="3">
        <v>4376</v>
      </c>
      <c r="H50" s="3" t="s">
        <v>1</v>
      </c>
      <c r="I50" s="3" t="s">
        <v>1</v>
      </c>
      <c r="J50" s="3">
        <v>4376</v>
      </c>
      <c r="K50" s="3">
        <f t="shared" si="2"/>
        <v>-292</v>
      </c>
    </row>
    <row r="51" spans="2:11" outlineLevel="1" x14ac:dyDescent="0.35">
      <c r="B51" s="7" t="s">
        <v>111</v>
      </c>
      <c r="C51" s="3">
        <v>4084</v>
      </c>
      <c r="D51" s="3" t="s">
        <v>1</v>
      </c>
      <c r="E51" s="3" t="s">
        <v>1</v>
      </c>
      <c r="F51" s="3">
        <v>4084</v>
      </c>
      <c r="G51" s="3">
        <v>4376</v>
      </c>
      <c r="H51" s="3" t="s">
        <v>1</v>
      </c>
      <c r="I51" s="3" t="s">
        <v>1</v>
      </c>
      <c r="J51" s="3">
        <v>4376</v>
      </c>
      <c r="K51" s="3">
        <f t="shared" si="2"/>
        <v>-292</v>
      </c>
    </row>
    <row r="52" spans="2:11" x14ac:dyDescent="0.35">
      <c r="B52" s="5" t="s">
        <v>110</v>
      </c>
      <c r="C52" s="3">
        <v>4841</v>
      </c>
      <c r="D52" s="3">
        <v>16686</v>
      </c>
      <c r="E52" s="3" t="s">
        <v>1</v>
      </c>
      <c r="F52" s="3">
        <v>21527</v>
      </c>
      <c r="G52" s="3">
        <v>7740</v>
      </c>
      <c r="H52" s="3">
        <v>29152</v>
      </c>
      <c r="I52" s="3" t="s">
        <v>1</v>
      </c>
      <c r="J52" s="3">
        <v>36892</v>
      </c>
      <c r="K52" s="3">
        <f t="shared" si="2"/>
        <v>-15365</v>
      </c>
    </row>
    <row r="53" spans="2:11" outlineLevel="1" x14ac:dyDescent="0.35">
      <c r="B53" s="7" t="s">
        <v>109</v>
      </c>
      <c r="C53" s="3" t="s">
        <v>1</v>
      </c>
      <c r="D53" s="3" t="s">
        <v>1</v>
      </c>
      <c r="E53" s="3" t="s">
        <v>1</v>
      </c>
      <c r="F53" s="3" t="s">
        <v>1</v>
      </c>
      <c r="G53" s="3" t="s">
        <v>1</v>
      </c>
      <c r="H53" s="3" t="s">
        <v>1</v>
      </c>
      <c r="I53" s="3" t="s">
        <v>1</v>
      </c>
      <c r="J53" s="3" t="s">
        <v>1</v>
      </c>
      <c r="K53" s="3"/>
    </row>
    <row r="54" spans="2:11" outlineLevel="1" x14ac:dyDescent="0.35">
      <c r="B54" s="7" t="s">
        <v>108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  <c r="I54" s="3" t="s">
        <v>1</v>
      </c>
      <c r="J54" s="3" t="s">
        <v>1</v>
      </c>
      <c r="K54" s="3"/>
    </row>
    <row r="55" spans="2:11" outlineLevel="1" x14ac:dyDescent="0.35">
      <c r="B55" s="7" t="s">
        <v>107</v>
      </c>
      <c r="C55" s="3" t="s">
        <v>1</v>
      </c>
      <c r="D55" s="3" t="s">
        <v>1</v>
      </c>
      <c r="E55" s="3" t="s">
        <v>1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  <c r="K55" s="3"/>
    </row>
    <row r="56" spans="2:11" outlineLevel="1" x14ac:dyDescent="0.35">
      <c r="B56" s="7" t="s">
        <v>106</v>
      </c>
      <c r="C56" s="3">
        <v>163</v>
      </c>
      <c r="D56" s="3" t="s">
        <v>1</v>
      </c>
      <c r="E56" s="3" t="s">
        <v>1</v>
      </c>
      <c r="F56" s="3">
        <v>163</v>
      </c>
      <c r="G56" s="3">
        <v>515</v>
      </c>
      <c r="H56" s="3" t="s">
        <v>1</v>
      </c>
      <c r="I56" s="3" t="s">
        <v>1</v>
      </c>
      <c r="J56" s="3">
        <v>515</v>
      </c>
      <c r="K56" s="3">
        <f>F56-J56</f>
        <v>-352</v>
      </c>
    </row>
    <row r="57" spans="2:11" outlineLevel="1" x14ac:dyDescent="0.35">
      <c r="B57" s="7" t="s">
        <v>105</v>
      </c>
      <c r="C57" s="3" t="s">
        <v>1</v>
      </c>
      <c r="D57" s="3" t="s">
        <v>1</v>
      </c>
      <c r="E57" s="3" t="s">
        <v>1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K57" s="3"/>
    </row>
    <row r="58" spans="2:11" outlineLevel="1" x14ac:dyDescent="0.35">
      <c r="B58" s="7" t="s">
        <v>104</v>
      </c>
      <c r="C58" s="3" t="s">
        <v>1</v>
      </c>
      <c r="D58" s="3" t="s">
        <v>1</v>
      </c>
      <c r="E58" s="3" t="s">
        <v>1</v>
      </c>
      <c r="F58" s="3" t="s">
        <v>1</v>
      </c>
      <c r="G58" s="3" t="s">
        <v>1</v>
      </c>
      <c r="H58" s="3" t="s">
        <v>1</v>
      </c>
      <c r="I58" s="3" t="s">
        <v>1</v>
      </c>
      <c r="J58" s="3" t="s">
        <v>1</v>
      </c>
      <c r="K58" s="3"/>
    </row>
    <row r="59" spans="2:11" outlineLevel="1" x14ac:dyDescent="0.35">
      <c r="B59" s="7" t="s">
        <v>103</v>
      </c>
      <c r="C59" s="3">
        <v>1727</v>
      </c>
      <c r="D59" s="3" t="s">
        <v>1</v>
      </c>
      <c r="E59" s="3" t="s">
        <v>1</v>
      </c>
      <c r="F59" s="3">
        <v>1727</v>
      </c>
      <c r="G59" s="3">
        <v>4155</v>
      </c>
      <c r="H59" s="3" t="s">
        <v>1</v>
      </c>
      <c r="I59" s="3" t="s">
        <v>1</v>
      </c>
      <c r="J59" s="3">
        <v>4155</v>
      </c>
      <c r="K59" s="3">
        <f>F59-J59</f>
        <v>-2428</v>
      </c>
    </row>
    <row r="60" spans="2:11" outlineLevel="1" x14ac:dyDescent="0.35">
      <c r="B60" s="7" t="s">
        <v>102</v>
      </c>
      <c r="C60" s="3" t="s">
        <v>1</v>
      </c>
      <c r="D60" s="3" t="s">
        <v>1</v>
      </c>
      <c r="E60" s="3" t="s">
        <v>1</v>
      </c>
      <c r="F60" s="3" t="s">
        <v>1</v>
      </c>
      <c r="G60" s="3" t="s">
        <v>1</v>
      </c>
      <c r="H60" s="3" t="s">
        <v>1</v>
      </c>
      <c r="I60" s="3" t="s">
        <v>1</v>
      </c>
      <c r="J60" s="3" t="s">
        <v>1</v>
      </c>
      <c r="K60" s="3"/>
    </row>
    <row r="61" spans="2:11" outlineLevel="1" x14ac:dyDescent="0.35">
      <c r="B61" s="7" t="s">
        <v>101</v>
      </c>
      <c r="C61" s="3" t="s">
        <v>1</v>
      </c>
      <c r="D61" s="3" t="s">
        <v>1</v>
      </c>
      <c r="E61" s="3" t="s">
        <v>1</v>
      </c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  <c r="K61" s="3"/>
    </row>
    <row r="62" spans="2:11" outlineLevel="1" x14ac:dyDescent="0.35">
      <c r="B62" s="7" t="s">
        <v>100</v>
      </c>
      <c r="C62" s="3">
        <v>2951</v>
      </c>
      <c r="D62" s="3" t="s">
        <v>1</v>
      </c>
      <c r="E62" s="3" t="s">
        <v>1</v>
      </c>
      <c r="F62" s="3">
        <v>2951</v>
      </c>
      <c r="G62" s="3">
        <v>3070</v>
      </c>
      <c r="H62" s="3" t="s">
        <v>1</v>
      </c>
      <c r="I62" s="3" t="s">
        <v>1</v>
      </c>
      <c r="J62" s="3">
        <v>3070</v>
      </c>
      <c r="K62" s="3">
        <f>F62-J62</f>
        <v>-119</v>
      </c>
    </row>
    <row r="63" spans="2:11" outlineLevel="1" x14ac:dyDescent="0.35">
      <c r="B63" s="7" t="s">
        <v>99</v>
      </c>
      <c r="C63" s="3" t="s">
        <v>1</v>
      </c>
      <c r="D63" s="3">
        <v>16686</v>
      </c>
      <c r="E63" s="3" t="s">
        <v>1</v>
      </c>
      <c r="F63" s="3">
        <v>16686</v>
      </c>
      <c r="G63" s="3" t="s">
        <v>1</v>
      </c>
      <c r="H63" s="3">
        <v>29152</v>
      </c>
      <c r="I63" s="3" t="s">
        <v>1</v>
      </c>
      <c r="J63" s="3">
        <v>29152</v>
      </c>
      <c r="K63" s="3">
        <f>F63-J63</f>
        <v>-12466</v>
      </c>
    </row>
    <row r="64" spans="2:11" x14ac:dyDescent="0.35">
      <c r="B64" s="7" t="s">
        <v>98</v>
      </c>
      <c r="C64" s="3">
        <v>137458</v>
      </c>
      <c r="D64" s="3">
        <v>193093</v>
      </c>
      <c r="E64" s="3">
        <v>-175901</v>
      </c>
      <c r="F64" s="3">
        <v>154650</v>
      </c>
      <c r="G64" s="3">
        <v>143772</v>
      </c>
      <c r="H64" s="3">
        <v>106800</v>
      </c>
      <c r="I64" s="3">
        <v>-75319</v>
      </c>
      <c r="J64" s="3">
        <v>175254</v>
      </c>
      <c r="K64" s="3">
        <f>F64-J64</f>
        <v>-20604</v>
      </c>
    </row>
    <row r="65" spans="1:11" x14ac:dyDescent="0.35">
      <c r="A65" s="6" t="s">
        <v>1</v>
      </c>
      <c r="B65" s="5" t="s">
        <v>97</v>
      </c>
      <c r="C65" s="4">
        <v>38748</v>
      </c>
      <c r="D65" s="4">
        <v>1809</v>
      </c>
      <c r="E65" s="4">
        <v>0</v>
      </c>
      <c r="F65" s="4">
        <v>40557</v>
      </c>
      <c r="G65" s="4">
        <v>-68453</v>
      </c>
      <c r="H65" s="4">
        <v>131039</v>
      </c>
      <c r="I65" s="4">
        <v>0</v>
      </c>
      <c r="J65" s="4">
        <v>62585</v>
      </c>
      <c r="K65" s="4">
        <f>F65-J65</f>
        <v>-22028</v>
      </c>
    </row>
    <row r="66" spans="1:11" x14ac:dyDescent="0.35">
      <c r="A66" s="6" t="s">
        <v>1</v>
      </c>
      <c r="B66" s="5" t="s">
        <v>96</v>
      </c>
      <c r="C66" s="4" t="s">
        <v>92</v>
      </c>
      <c r="D66" s="4" t="s">
        <v>91</v>
      </c>
      <c r="E66" s="4">
        <v>0</v>
      </c>
      <c r="F66" s="4" t="s">
        <v>174</v>
      </c>
      <c r="G66" s="4" t="s">
        <v>173</v>
      </c>
      <c r="H66" s="4" t="s">
        <v>172</v>
      </c>
      <c r="I66" s="4">
        <v>0</v>
      </c>
      <c r="J66" s="4" t="s">
        <v>171</v>
      </c>
      <c r="K66" s="4">
        <f>F66-J66</f>
        <v>-5.0000000000000017E-2</v>
      </c>
    </row>
    <row r="67" spans="1:11" x14ac:dyDescent="0.35">
      <c r="A67" s="6" t="s">
        <v>1</v>
      </c>
      <c r="B67" s="5" t="s">
        <v>89</v>
      </c>
      <c r="C67" s="4" t="s">
        <v>1</v>
      </c>
      <c r="D67" s="4" t="s">
        <v>1</v>
      </c>
      <c r="E67" s="4" t="s">
        <v>1</v>
      </c>
      <c r="F67" s="4" t="s">
        <v>1</v>
      </c>
      <c r="G67" s="4" t="s">
        <v>1</v>
      </c>
      <c r="H67" s="4" t="s">
        <v>1</v>
      </c>
      <c r="I67" s="4" t="s">
        <v>1</v>
      </c>
      <c r="J67" s="4" t="s">
        <v>1</v>
      </c>
      <c r="K67" s="4"/>
    </row>
    <row r="68" spans="1:11" x14ac:dyDescent="0.35">
      <c r="B68" s="7" t="s">
        <v>88</v>
      </c>
      <c r="C68" s="3">
        <v>1354</v>
      </c>
      <c r="D68" s="3">
        <v>755</v>
      </c>
      <c r="E68" s="3" t="s">
        <v>1</v>
      </c>
      <c r="F68" s="3">
        <v>2109</v>
      </c>
      <c r="G68" s="3">
        <v>1427</v>
      </c>
      <c r="H68" s="3">
        <v>1361</v>
      </c>
      <c r="I68" s="3" t="s">
        <v>1</v>
      </c>
      <c r="J68" s="3">
        <v>2788</v>
      </c>
      <c r="K68" s="3">
        <f>F68-J68</f>
        <v>-679</v>
      </c>
    </row>
    <row r="69" spans="1:11" outlineLevel="1" x14ac:dyDescent="0.35">
      <c r="B69" s="7" t="s">
        <v>87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  <c r="I69" s="3" t="s">
        <v>1</v>
      </c>
      <c r="J69" s="3" t="s">
        <v>1</v>
      </c>
      <c r="K69" s="3"/>
    </row>
    <row r="70" spans="1:11" outlineLevel="1" x14ac:dyDescent="0.35">
      <c r="B70" s="7" t="s">
        <v>86</v>
      </c>
      <c r="C70" s="3" t="s">
        <v>1</v>
      </c>
      <c r="D70" s="3" t="s">
        <v>1</v>
      </c>
      <c r="E70" s="3" t="s">
        <v>1</v>
      </c>
      <c r="F70" s="3" t="s">
        <v>1</v>
      </c>
      <c r="G70" s="3" t="s">
        <v>1</v>
      </c>
      <c r="H70" s="3" t="s">
        <v>1</v>
      </c>
      <c r="I70" s="3" t="s">
        <v>1</v>
      </c>
      <c r="J70" s="3" t="s">
        <v>1</v>
      </c>
      <c r="K70" s="3"/>
    </row>
    <row r="71" spans="1:11" outlineLevel="1" x14ac:dyDescent="0.35">
      <c r="B71" s="7" t="s">
        <v>85</v>
      </c>
      <c r="C71" s="3" t="s">
        <v>1</v>
      </c>
      <c r="D71" s="3" t="s">
        <v>1</v>
      </c>
      <c r="E71" s="3" t="s">
        <v>1</v>
      </c>
      <c r="F71" s="3" t="s">
        <v>1</v>
      </c>
      <c r="G71" s="3" t="s">
        <v>1</v>
      </c>
      <c r="H71" s="3" t="s">
        <v>1</v>
      </c>
      <c r="I71" s="3" t="s">
        <v>1</v>
      </c>
      <c r="J71" s="3" t="s">
        <v>1</v>
      </c>
      <c r="K71" s="3"/>
    </row>
    <row r="72" spans="1:11" outlineLevel="1" x14ac:dyDescent="0.35">
      <c r="B72" s="7" t="s">
        <v>84</v>
      </c>
      <c r="C72" s="3">
        <v>107</v>
      </c>
      <c r="D72" s="3">
        <v>627</v>
      </c>
      <c r="E72" s="3" t="s">
        <v>1</v>
      </c>
      <c r="F72" s="3">
        <v>734</v>
      </c>
      <c r="G72" s="3">
        <v>160</v>
      </c>
      <c r="H72" s="3">
        <v>150</v>
      </c>
      <c r="I72" s="3" t="s">
        <v>1</v>
      </c>
      <c r="J72" s="3">
        <v>310</v>
      </c>
      <c r="K72" s="3">
        <f>F72-J72</f>
        <v>424</v>
      </c>
    </row>
    <row r="73" spans="1:11" outlineLevel="1" x14ac:dyDescent="0.35">
      <c r="B73" s="7" t="s">
        <v>83</v>
      </c>
      <c r="C73" s="3" t="s">
        <v>1</v>
      </c>
      <c r="D73" s="3" t="s">
        <v>1</v>
      </c>
      <c r="E73" s="3" t="s">
        <v>1</v>
      </c>
      <c r="F73" s="3" t="s">
        <v>1</v>
      </c>
      <c r="G73" s="3" t="s">
        <v>1</v>
      </c>
      <c r="H73" s="3" t="s">
        <v>1</v>
      </c>
      <c r="I73" s="3" t="s">
        <v>1</v>
      </c>
      <c r="J73" s="3" t="s">
        <v>1</v>
      </c>
      <c r="K73" s="3"/>
    </row>
    <row r="74" spans="1:11" outlineLevel="1" x14ac:dyDescent="0.35">
      <c r="B74" s="7" t="s">
        <v>82</v>
      </c>
      <c r="C74" s="3" t="s">
        <v>1</v>
      </c>
      <c r="D74" s="3" t="s">
        <v>1</v>
      </c>
      <c r="E74" s="3" t="s">
        <v>1</v>
      </c>
      <c r="F74" s="3" t="s">
        <v>1</v>
      </c>
      <c r="G74" s="3" t="s">
        <v>1</v>
      </c>
      <c r="H74" s="3" t="s">
        <v>1</v>
      </c>
      <c r="I74" s="3" t="s">
        <v>1</v>
      </c>
      <c r="J74" s="3" t="s">
        <v>1</v>
      </c>
      <c r="K74" s="3"/>
    </row>
    <row r="75" spans="1:11" outlineLevel="1" x14ac:dyDescent="0.35">
      <c r="B75" s="7" t="s">
        <v>81</v>
      </c>
      <c r="C75" s="3" t="s">
        <v>1</v>
      </c>
      <c r="D75" s="3" t="s">
        <v>1</v>
      </c>
      <c r="E75" s="3" t="s">
        <v>1</v>
      </c>
      <c r="F75" s="3" t="s">
        <v>1</v>
      </c>
      <c r="G75" s="3" t="s">
        <v>1</v>
      </c>
      <c r="H75" s="3" t="s">
        <v>1</v>
      </c>
      <c r="I75" s="3" t="s">
        <v>1</v>
      </c>
      <c r="J75" s="3" t="s">
        <v>1</v>
      </c>
      <c r="K75" s="3"/>
    </row>
    <row r="76" spans="1:11" outlineLevel="1" x14ac:dyDescent="0.35">
      <c r="B76" s="7" t="s">
        <v>80</v>
      </c>
      <c r="C76" s="3" t="s">
        <v>1</v>
      </c>
      <c r="D76" s="3">
        <v>128</v>
      </c>
      <c r="E76" s="3" t="s">
        <v>1</v>
      </c>
      <c r="F76" s="3">
        <v>128</v>
      </c>
      <c r="G76" s="3" t="s">
        <v>1</v>
      </c>
      <c r="H76" s="3">
        <v>1211</v>
      </c>
      <c r="I76" s="3" t="s">
        <v>1</v>
      </c>
      <c r="J76" s="3">
        <v>1211</v>
      </c>
      <c r="K76" s="3">
        <f>F76-J76</f>
        <v>-1083</v>
      </c>
    </row>
    <row r="77" spans="1:11" outlineLevel="1" x14ac:dyDescent="0.35">
      <c r="B77" s="7" t="s">
        <v>79</v>
      </c>
      <c r="C77" s="3" t="s">
        <v>1</v>
      </c>
      <c r="D77" s="3" t="s">
        <v>1</v>
      </c>
      <c r="E77" s="3" t="s">
        <v>1</v>
      </c>
      <c r="F77" s="3" t="s">
        <v>1</v>
      </c>
      <c r="G77" s="3" t="s">
        <v>1</v>
      </c>
      <c r="H77" s="3" t="s">
        <v>1</v>
      </c>
      <c r="I77" s="3" t="s">
        <v>1</v>
      </c>
      <c r="J77" s="3" t="s">
        <v>1</v>
      </c>
      <c r="K77" s="3"/>
    </row>
    <row r="78" spans="1:11" outlineLevel="1" x14ac:dyDescent="0.35">
      <c r="B78" s="7" t="s">
        <v>78</v>
      </c>
      <c r="C78" s="3">
        <v>1247</v>
      </c>
      <c r="D78" s="3" t="s">
        <v>1</v>
      </c>
      <c r="E78" s="3" t="s">
        <v>1</v>
      </c>
      <c r="F78" s="3">
        <v>1247</v>
      </c>
      <c r="G78" s="3">
        <v>1267</v>
      </c>
      <c r="H78" s="3" t="s">
        <v>1</v>
      </c>
      <c r="I78" s="3" t="s">
        <v>1</v>
      </c>
      <c r="J78" s="3">
        <v>1267</v>
      </c>
      <c r="K78" s="3">
        <f>F78-J78</f>
        <v>-20</v>
      </c>
    </row>
    <row r="79" spans="1:11" outlineLevel="1" x14ac:dyDescent="0.35">
      <c r="B79" s="7" t="s">
        <v>77</v>
      </c>
      <c r="C79" s="3">
        <v>0</v>
      </c>
      <c r="D79" s="3" t="s">
        <v>1</v>
      </c>
      <c r="E79" s="3" t="s">
        <v>1</v>
      </c>
      <c r="F79" s="3">
        <v>0</v>
      </c>
      <c r="G79" s="3">
        <v>0</v>
      </c>
      <c r="H79" s="3" t="s">
        <v>1</v>
      </c>
      <c r="I79" s="3" t="s">
        <v>1</v>
      </c>
      <c r="J79" s="3">
        <v>0</v>
      </c>
      <c r="K79" s="3">
        <f>F79-J79</f>
        <v>0</v>
      </c>
    </row>
    <row r="80" spans="1:11" outlineLevel="1" x14ac:dyDescent="0.35">
      <c r="B80" s="7" t="s">
        <v>76</v>
      </c>
      <c r="C80" s="3" t="s">
        <v>1</v>
      </c>
      <c r="D80" s="3" t="s">
        <v>1</v>
      </c>
      <c r="E80" s="3" t="s">
        <v>1</v>
      </c>
      <c r="F80" s="3" t="s">
        <v>1</v>
      </c>
      <c r="G80" s="3" t="s">
        <v>1</v>
      </c>
      <c r="H80" s="3" t="s">
        <v>1</v>
      </c>
      <c r="I80" s="3" t="s">
        <v>1</v>
      </c>
      <c r="J80" s="3" t="s">
        <v>1</v>
      </c>
      <c r="K80" s="3"/>
    </row>
    <row r="81" spans="1:11" outlineLevel="1" x14ac:dyDescent="0.35">
      <c r="B81" s="7" t="s">
        <v>75</v>
      </c>
      <c r="C81" s="3" t="s">
        <v>1</v>
      </c>
      <c r="D81" s="3" t="s">
        <v>1</v>
      </c>
      <c r="E81" s="3" t="s">
        <v>1</v>
      </c>
      <c r="F81" s="3" t="s">
        <v>1</v>
      </c>
      <c r="G81" s="3" t="s">
        <v>1</v>
      </c>
      <c r="H81" s="3" t="s">
        <v>1</v>
      </c>
      <c r="I81" s="3" t="s">
        <v>1</v>
      </c>
      <c r="J81" s="3" t="s">
        <v>1</v>
      </c>
      <c r="K81" s="3"/>
    </row>
    <row r="82" spans="1:11" x14ac:dyDescent="0.35">
      <c r="A82" s="6" t="s">
        <v>1</v>
      </c>
      <c r="B82" s="5" t="s">
        <v>74</v>
      </c>
      <c r="C82" s="4" t="s">
        <v>1</v>
      </c>
      <c r="D82" s="4" t="s">
        <v>1</v>
      </c>
      <c r="E82" s="4" t="s">
        <v>1</v>
      </c>
      <c r="F82" s="4" t="s">
        <v>1</v>
      </c>
      <c r="G82" s="4" t="s">
        <v>1</v>
      </c>
      <c r="H82" s="4" t="s">
        <v>1</v>
      </c>
      <c r="I82" s="4" t="s">
        <v>1</v>
      </c>
      <c r="J82" s="4" t="s">
        <v>1</v>
      </c>
      <c r="K82" s="4"/>
    </row>
    <row r="83" spans="1:11" x14ac:dyDescent="0.35">
      <c r="B83" s="7" t="s">
        <v>73</v>
      </c>
      <c r="C83" s="3">
        <v>9641</v>
      </c>
      <c r="D83" s="3">
        <v>23165</v>
      </c>
      <c r="E83" s="3" t="s">
        <v>1</v>
      </c>
      <c r="F83" s="3">
        <v>32806</v>
      </c>
      <c r="G83" s="3">
        <v>9729</v>
      </c>
      <c r="H83" s="3">
        <v>17422</v>
      </c>
      <c r="I83" s="3" t="s">
        <v>1</v>
      </c>
      <c r="J83" s="3">
        <v>27151</v>
      </c>
      <c r="K83" s="3">
        <f>F83-J83</f>
        <v>5655</v>
      </c>
    </row>
    <row r="84" spans="1:11" outlineLevel="1" x14ac:dyDescent="0.35">
      <c r="B84" s="7" t="s">
        <v>72</v>
      </c>
      <c r="C84" s="3">
        <v>0</v>
      </c>
      <c r="D84" s="3" t="s">
        <v>1</v>
      </c>
      <c r="E84" s="3" t="s">
        <v>1</v>
      </c>
      <c r="F84" s="3">
        <v>0</v>
      </c>
      <c r="G84" s="3">
        <v>0</v>
      </c>
      <c r="H84" s="3" t="s">
        <v>1</v>
      </c>
      <c r="I84" s="3" t="s">
        <v>1</v>
      </c>
      <c r="J84" s="3">
        <v>0</v>
      </c>
      <c r="K84" s="3">
        <f>F84-J84</f>
        <v>0</v>
      </c>
    </row>
    <row r="85" spans="1:11" outlineLevel="1" x14ac:dyDescent="0.35">
      <c r="B85" s="7" t="s">
        <v>71</v>
      </c>
      <c r="C85" s="3">
        <v>9641</v>
      </c>
      <c r="D85" s="3">
        <v>23165</v>
      </c>
      <c r="E85" s="3" t="s">
        <v>1</v>
      </c>
      <c r="F85" s="3">
        <v>32806</v>
      </c>
      <c r="G85" s="3">
        <v>9729</v>
      </c>
      <c r="H85" s="3">
        <v>17422</v>
      </c>
      <c r="I85" s="3" t="s">
        <v>1</v>
      </c>
      <c r="J85" s="3">
        <v>27151</v>
      </c>
      <c r="K85" s="3">
        <f>F85-J85</f>
        <v>5655</v>
      </c>
    </row>
    <row r="86" spans="1:11" x14ac:dyDescent="0.35">
      <c r="B86" s="7" t="s">
        <v>70</v>
      </c>
      <c r="C86" s="3">
        <v>1359</v>
      </c>
      <c r="D86" s="3">
        <v>2326</v>
      </c>
      <c r="E86" s="3" t="s">
        <v>1</v>
      </c>
      <c r="F86" s="3">
        <v>3685</v>
      </c>
      <c r="G86" s="3">
        <v>2011</v>
      </c>
      <c r="H86" s="3">
        <v>3976</v>
      </c>
      <c r="I86" s="3" t="s">
        <v>1</v>
      </c>
      <c r="J86" s="3">
        <v>5987</v>
      </c>
      <c r="K86" s="3">
        <f>F86-J86</f>
        <v>-2302</v>
      </c>
    </row>
    <row r="87" spans="1:11" outlineLevel="1" x14ac:dyDescent="0.35">
      <c r="B87" s="7" t="s">
        <v>69</v>
      </c>
      <c r="C87" s="3" t="s">
        <v>1</v>
      </c>
      <c r="D87" s="3" t="s">
        <v>1</v>
      </c>
      <c r="E87" s="3" t="s">
        <v>1</v>
      </c>
      <c r="F87" s="3" t="s">
        <v>1</v>
      </c>
      <c r="G87" s="3" t="s">
        <v>1</v>
      </c>
      <c r="H87" s="3" t="s">
        <v>1</v>
      </c>
      <c r="I87" s="3" t="s">
        <v>1</v>
      </c>
      <c r="J87" s="3" t="s">
        <v>1</v>
      </c>
      <c r="K87" s="3"/>
    </row>
    <row r="88" spans="1:11" outlineLevel="1" x14ac:dyDescent="0.35">
      <c r="B88" s="7" t="s">
        <v>68</v>
      </c>
      <c r="C88" s="3">
        <v>1359</v>
      </c>
      <c r="D88" s="3" t="s">
        <v>1</v>
      </c>
      <c r="E88" s="3" t="s">
        <v>1</v>
      </c>
      <c r="F88" s="3">
        <v>1359</v>
      </c>
      <c r="G88" s="3">
        <v>2011</v>
      </c>
      <c r="H88" s="3" t="s">
        <v>1</v>
      </c>
      <c r="I88" s="3" t="s">
        <v>1</v>
      </c>
      <c r="J88" s="3">
        <v>2011</v>
      </c>
      <c r="K88" s="3">
        <f>F88-J88</f>
        <v>-652</v>
      </c>
    </row>
    <row r="89" spans="1:11" outlineLevel="1" x14ac:dyDescent="0.35">
      <c r="B89" s="7" t="s">
        <v>67</v>
      </c>
      <c r="C89" s="3" t="s">
        <v>1</v>
      </c>
      <c r="D89" s="3">
        <v>2326</v>
      </c>
      <c r="E89" s="3" t="s">
        <v>1</v>
      </c>
      <c r="F89" s="3">
        <v>2326</v>
      </c>
      <c r="G89" s="3" t="s">
        <v>1</v>
      </c>
      <c r="H89" s="3">
        <v>3976</v>
      </c>
      <c r="I89" s="3" t="s">
        <v>1</v>
      </c>
      <c r="J89" s="3">
        <v>3976</v>
      </c>
      <c r="K89" s="3">
        <f>F89-J89</f>
        <v>-1650</v>
      </c>
    </row>
    <row r="90" spans="1:11" outlineLevel="1" x14ac:dyDescent="0.35">
      <c r="B90" s="7" t="s">
        <v>66</v>
      </c>
      <c r="C90" s="3" t="s">
        <v>1</v>
      </c>
      <c r="D90" s="3" t="s">
        <v>1</v>
      </c>
      <c r="E90" s="3" t="s">
        <v>1</v>
      </c>
      <c r="F90" s="3" t="s">
        <v>1</v>
      </c>
      <c r="G90" s="3" t="s">
        <v>1</v>
      </c>
      <c r="H90" s="3" t="s">
        <v>1</v>
      </c>
      <c r="I90" s="3" t="s">
        <v>1</v>
      </c>
      <c r="J90" s="3" t="s">
        <v>1</v>
      </c>
      <c r="K90" s="3"/>
    </row>
    <row r="91" spans="1:11" x14ac:dyDescent="0.35">
      <c r="B91" s="7" t="s">
        <v>65</v>
      </c>
      <c r="C91" s="3">
        <v>2242</v>
      </c>
      <c r="D91" s="3">
        <v>3675</v>
      </c>
      <c r="E91" s="3" t="s">
        <v>1</v>
      </c>
      <c r="F91" s="3">
        <v>5917</v>
      </c>
      <c r="G91" s="3">
        <v>2500</v>
      </c>
      <c r="H91" s="3">
        <v>3764</v>
      </c>
      <c r="I91" s="3" t="s">
        <v>1</v>
      </c>
      <c r="J91" s="3">
        <v>6265</v>
      </c>
      <c r="K91" s="3">
        <f>F91-J91</f>
        <v>-348</v>
      </c>
    </row>
    <row r="92" spans="1:11" outlineLevel="1" x14ac:dyDescent="0.35">
      <c r="B92" s="7" t="s">
        <v>64</v>
      </c>
      <c r="C92" s="3" t="s">
        <v>1</v>
      </c>
      <c r="D92" s="3">
        <v>3675</v>
      </c>
      <c r="E92" s="3" t="s">
        <v>1</v>
      </c>
      <c r="F92" s="3">
        <v>3675</v>
      </c>
      <c r="G92" s="3" t="s">
        <v>1</v>
      </c>
      <c r="H92" s="3">
        <v>3764</v>
      </c>
      <c r="I92" s="3" t="s">
        <v>1</v>
      </c>
      <c r="J92" s="3">
        <v>3764</v>
      </c>
      <c r="K92" s="3">
        <f>F92-J92</f>
        <v>-89</v>
      </c>
    </row>
    <row r="93" spans="1:11" outlineLevel="1" x14ac:dyDescent="0.35">
      <c r="B93" s="7" t="s">
        <v>63</v>
      </c>
      <c r="C93" s="3">
        <v>632</v>
      </c>
      <c r="D93" s="3" t="s">
        <v>1</v>
      </c>
      <c r="E93" s="3" t="s">
        <v>1</v>
      </c>
      <c r="F93" s="3">
        <v>632</v>
      </c>
      <c r="G93" s="3">
        <v>840</v>
      </c>
      <c r="H93" s="3" t="s">
        <v>1</v>
      </c>
      <c r="I93" s="3" t="s">
        <v>1</v>
      </c>
      <c r="J93" s="3">
        <v>840</v>
      </c>
      <c r="K93" s="3">
        <f>F93-J93</f>
        <v>-208</v>
      </c>
    </row>
    <row r="94" spans="1:11" outlineLevel="1" x14ac:dyDescent="0.35">
      <c r="B94" s="7" t="s">
        <v>62</v>
      </c>
      <c r="C94" s="3">
        <v>774</v>
      </c>
      <c r="D94" s="3" t="s">
        <v>1</v>
      </c>
      <c r="E94" s="3" t="s">
        <v>1</v>
      </c>
      <c r="F94" s="3">
        <v>774</v>
      </c>
      <c r="G94" s="3">
        <v>779</v>
      </c>
      <c r="H94" s="3" t="s">
        <v>1</v>
      </c>
      <c r="I94" s="3" t="s">
        <v>1</v>
      </c>
      <c r="J94" s="3">
        <v>779</v>
      </c>
      <c r="K94" s="3">
        <f>F94-J94</f>
        <v>-5</v>
      </c>
    </row>
    <row r="95" spans="1:11" outlineLevel="1" x14ac:dyDescent="0.35">
      <c r="B95" s="7" t="s">
        <v>61</v>
      </c>
      <c r="C95" s="3">
        <v>836</v>
      </c>
      <c r="D95" s="3" t="s">
        <v>1</v>
      </c>
      <c r="E95" s="3" t="s">
        <v>1</v>
      </c>
      <c r="F95" s="3">
        <v>836</v>
      </c>
      <c r="G95" s="3">
        <v>881</v>
      </c>
      <c r="H95" s="3" t="s">
        <v>1</v>
      </c>
      <c r="I95" s="3" t="s">
        <v>1</v>
      </c>
      <c r="J95" s="3">
        <v>881</v>
      </c>
      <c r="K95" s="3">
        <f>F95-J95</f>
        <v>-45</v>
      </c>
    </row>
    <row r="96" spans="1:11" outlineLevel="1" x14ac:dyDescent="0.35">
      <c r="B96" s="7" t="s">
        <v>60</v>
      </c>
      <c r="C96" s="3" t="s">
        <v>1</v>
      </c>
      <c r="D96" s="3" t="s">
        <v>1</v>
      </c>
      <c r="E96" s="3" t="s">
        <v>1</v>
      </c>
      <c r="F96" s="3" t="s">
        <v>1</v>
      </c>
      <c r="G96" s="3" t="s">
        <v>1</v>
      </c>
      <c r="H96" s="3" t="s">
        <v>1</v>
      </c>
      <c r="I96" s="3" t="s">
        <v>1</v>
      </c>
      <c r="J96" s="3" t="s">
        <v>1</v>
      </c>
      <c r="K96" s="3"/>
    </row>
    <row r="97" spans="2:11" x14ac:dyDescent="0.35">
      <c r="B97" s="7" t="s">
        <v>59</v>
      </c>
      <c r="C97" s="3">
        <v>2741</v>
      </c>
      <c r="D97" s="3">
        <v>6434</v>
      </c>
      <c r="E97" s="3" t="s">
        <v>1</v>
      </c>
      <c r="F97" s="3">
        <v>9176</v>
      </c>
      <c r="G97" s="3">
        <v>4915</v>
      </c>
      <c r="H97" s="3">
        <v>19734</v>
      </c>
      <c r="I97" s="3" t="s">
        <v>1</v>
      </c>
      <c r="J97" s="3">
        <v>24649</v>
      </c>
      <c r="K97" s="3">
        <f>F97-J97</f>
        <v>-15473</v>
      </c>
    </row>
    <row r="98" spans="2:11" outlineLevel="1" x14ac:dyDescent="0.35">
      <c r="B98" s="7" t="s">
        <v>58</v>
      </c>
      <c r="C98" s="3" t="s">
        <v>1</v>
      </c>
      <c r="D98" s="3" t="s">
        <v>1</v>
      </c>
      <c r="E98" s="3" t="s">
        <v>1</v>
      </c>
      <c r="F98" s="3" t="s">
        <v>1</v>
      </c>
      <c r="G98" s="3" t="s">
        <v>1</v>
      </c>
      <c r="H98" s="3" t="s">
        <v>1</v>
      </c>
      <c r="I98" s="3" t="s">
        <v>1</v>
      </c>
      <c r="J98" s="3" t="s">
        <v>1</v>
      </c>
      <c r="K98" s="3"/>
    </row>
    <row r="99" spans="2:11" outlineLevel="1" x14ac:dyDescent="0.35">
      <c r="B99" s="7" t="s">
        <v>57</v>
      </c>
      <c r="C99" s="3" t="s">
        <v>1</v>
      </c>
      <c r="D99" s="3" t="s">
        <v>1</v>
      </c>
      <c r="E99" s="3" t="s">
        <v>1</v>
      </c>
      <c r="F99" s="3" t="s">
        <v>1</v>
      </c>
      <c r="G99" s="3" t="s">
        <v>1</v>
      </c>
      <c r="H99" s="3" t="s">
        <v>1</v>
      </c>
      <c r="I99" s="3" t="s">
        <v>1</v>
      </c>
      <c r="J99" s="3" t="s">
        <v>1</v>
      </c>
      <c r="K99" s="3"/>
    </row>
    <row r="100" spans="2:11" outlineLevel="1" x14ac:dyDescent="0.35">
      <c r="B100" s="7" t="s">
        <v>56</v>
      </c>
      <c r="C100" s="3" t="s">
        <v>1</v>
      </c>
      <c r="D100" s="3" t="s">
        <v>1</v>
      </c>
      <c r="E100" s="3" t="s">
        <v>1</v>
      </c>
      <c r="F100" s="3" t="s">
        <v>1</v>
      </c>
      <c r="G100" s="3" t="s">
        <v>1</v>
      </c>
      <c r="H100" s="3" t="s">
        <v>1</v>
      </c>
      <c r="I100" s="3" t="s">
        <v>1</v>
      </c>
      <c r="J100" s="3" t="s">
        <v>1</v>
      </c>
      <c r="K100" s="3"/>
    </row>
    <row r="101" spans="2:11" outlineLevel="1" x14ac:dyDescent="0.35">
      <c r="B101" s="7" t="s">
        <v>55</v>
      </c>
      <c r="C101" s="3" t="s">
        <v>1</v>
      </c>
      <c r="D101" s="3" t="s">
        <v>1</v>
      </c>
      <c r="E101" s="3" t="s">
        <v>1</v>
      </c>
      <c r="F101" s="3" t="s">
        <v>1</v>
      </c>
      <c r="G101" s="3" t="s">
        <v>1</v>
      </c>
      <c r="H101" s="3" t="s">
        <v>1</v>
      </c>
      <c r="I101" s="3" t="s">
        <v>1</v>
      </c>
      <c r="J101" s="3" t="s">
        <v>1</v>
      </c>
      <c r="K101" s="3"/>
    </row>
    <row r="102" spans="2:11" outlineLevel="1" x14ac:dyDescent="0.35">
      <c r="B102" s="7" t="s">
        <v>54</v>
      </c>
      <c r="C102" s="3" t="s">
        <v>1</v>
      </c>
      <c r="D102" s="3">
        <v>89</v>
      </c>
      <c r="E102" s="3" t="s">
        <v>1</v>
      </c>
      <c r="F102" s="3">
        <v>89</v>
      </c>
      <c r="G102" s="3" t="s">
        <v>1</v>
      </c>
      <c r="H102" s="3">
        <v>148</v>
      </c>
      <c r="I102" s="3" t="s">
        <v>1</v>
      </c>
      <c r="J102" s="3">
        <v>148</v>
      </c>
      <c r="K102" s="3">
        <f>F102-J102</f>
        <v>-59</v>
      </c>
    </row>
    <row r="103" spans="2:11" outlineLevel="1" x14ac:dyDescent="0.35">
      <c r="B103" s="7" t="s">
        <v>53</v>
      </c>
      <c r="C103" s="3" t="s">
        <v>1</v>
      </c>
      <c r="D103" s="3">
        <v>523</v>
      </c>
      <c r="E103" s="3" t="s">
        <v>1</v>
      </c>
      <c r="F103" s="3">
        <v>523</v>
      </c>
      <c r="G103" s="3" t="s">
        <v>1</v>
      </c>
      <c r="H103" s="3">
        <v>608</v>
      </c>
      <c r="I103" s="3" t="s">
        <v>1</v>
      </c>
      <c r="J103" s="3">
        <v>608</v>
      </c>
      <c r="K103" s="3">
        <f>F103-J103</f>
        <v>-85</v>
      </c>
    </row>
    <row r="104" spans="2:11" outlineLevel="1" x14ac:dyDescent="0.35">
      <c r="B104" s="7" t="s">
        <v>52</v>
      </c>
      <c r="C104" s="3" t="s">
        <v>1</v>
      </c>
      <c r="D104" s="3" t="s">
        <v>1</v>
      </c>
      <c r="E104" s="3" t="s">
        <v>1</v>
      </c>
      <c r="F104" s="3" t="s">
        <v>1</v>
      </c>
      <c r="G104" s="3" t="s">
        <v>1</v>
      </c>
      <c r="H104" s="3" t="s">
        <v>1</v>
      </c>
      <c r="I104" s="3" t="s">
        <v>1</v>
      </c>
      <c r="J104" s="3" t="s">
        <v>1</v>
      </c>
      <c r="K104" s="3"/>
    </row>
    <row r="105" spans="2:11" outlineLevel="1" x14ac:dyDescent="0.35">
      <c r="B105" s="7" t="s">
        <v>51</v>
      </c>
      <c r="C105" s="3" t="s">
        <v>1</v>
      </c>
      <c r="D105" s="3">
        <v>25</v>
      </c>
      <c r="E105" s="3" t="s">
        <v>1</v>
      </c>
      <c r="F105" s="3">
        <v>25</v>
      </c>
      <c r="G105" s="3" t="s">
        <v>1</v>
      </c>
      <c r="H105" s="3">
        <v>0</v>
      </c>
      <c r="I105" s="3" t="s">
        <v>1</v>
      </c>
      <c r="J105" s="3">
        <v>0</v>
      </c>
      <c r="K105" s="3">
        <f>F105-J105</f>
        <v>25</v>
      </c>
    </row>
    <row r="106" spans="2:11" outlineLevel="1" x14ac:dyDescent="0.35">
      <c r="B106" s="7" t="s">
        <v>50</v>
      </c>
      <c r="C106" s="3">
        <v>175</v>
      </c>
      <c r="D106" s="3">
        <v>272</v>
      </c>
      <c r="E106" s="3" t="s">
        <v>1</v>
      </c>
      <c r="F106" s="3">
        <v>447</v>
      </c>
      <c r="G106" s="3">
        <v>196</v>
      </c>
      <c r="H106" s="3">
        <v>6770</v>
      </c>
      <c r="I106" s="3" t="s">
        <v>1</v>
      </c>
      <c r="J106" s="3">
        <v>6966</v>
      </c>
      <c r="K106" s="3">
        <f>F106-J106</f>
        <v>-6519</v>
      </c>
    </row>
    <row r="107" spans="2:11" outlineLevel="1" x14ac:dyDescent="0.35">
      <c r="B107" s="7" t="s">
        <v>49</v>
      </c>
      <c r="C107" s="3">
        <v>756</v>
      </c>
      <c r="D107" s="3">
        <v>3025</v>
      </c>
      <c r="E107" s="3" t="s">
        <v>1</v>
      </c>
      <c r="F107" s="3">
        <v>3781</v>
      </c>
      <c r="G107" s="3">
        <v>756</v>
      </c>
      <c r="H107" s="3">
        <v>9653</v>
      </c>
      <c r="I107" s="3" t="s">
        <v>1</v>
      </c>
      <c r="J107" s="3">
        <v>10409</v>
      </c>
      <c r="K107" s="3">
        <f>F107-J107</f>
        <v>-6628</v>
      </c>
    </row>
    <row r="108" spans="2:11" outlineLevel="1" x14ac:dyDescent="0.35">
      <c r="B108" s="7" t="s">
        <v>48</v>
      </c>
      <c r="C108" s="3" t="s">
        <v>1</v>
      </c>
      <c r="D108" s="3">
        <v>0</v>
      </c>
      <c r="E108" s="3" t="s">
        <v>1</v>
      </c>
      <c r="F108" s="3">
        <v>0</v>
      </c>
      <c r="G108" s="3" t="s">
        <v>1</v>
      </c>
      <c r="H108" s="3">
        <v>15</v>
      </c>
      <c r="I108" s="3" t="s">
        <v>1</v>
      </c>
      <c r="J108" s="3">
        <v>15</v>
      </c>
      <c r="K108" s="3">
        <f>F108-J108</f>
        <v>-15</v>
      </c>
    </row>
    <row r="109" spans="2:11" outlineLevel="1" x14ac:dyDescent="0.35">
      <c r="B109" s="7" t="s">
        <v>47</v>
      </c>
      <c r="C109" s="3">
        <v>0</v>
      </c>
      <c r="D109" s="3" t="s">
        <v>1</v>
      </c>
      <c r="E109" s="3" t="s">
        <v>1</v>
      </c>
      <c r="F109" s="3">
        <v>0</v>
      </c>
      <c r="G109" s="3">
        <v>0</v>
      </c>
      <c r="H109" s="3" t="s">
        <v>1</v>
      </c>
      <c r="I109" s="3" t="s">
        <v>1</v>
      </c>
      <c r="J109" s="3">
        <v>0</v>
      </c>
      <c r="K109" s="3">
        <f>F109-J109</f>
        <v>0</v>
      </c>
    </row>
    <row r="110" spans="2:11" outlineLevel="1" x14ac:dyDescent="0.35">
      <c r="B110" s="7" t="s">
        <v>46</v>
      </c>
      <c r="C110" s="3" t="s">
        <v>1</v>
      </c>
      <c r="D110" s="3" t="s">
        <v>1</v>
      </c>
      <c r="E110" s="3" t="s">
        <v>1</v>
      </c>
      <c r="F110" s="3" t="s">
        <v>1</v>
      </c>
      <c r="G110" s="3" t="s">
        <v>1</v>
      </c>
      <c r="H110" s="3" t="s">
        <v>1</v>
      </c>
      <c r="I110" s="3" t="s">
        <v>1</v>
      </c>
      <c r="J110" s="3" t="s">
        <v>1</v>
      </c>
      <c r="K110" s="3"/>
    </row>
    <row r="111" spans="2:11" outlineLevel="1" x14ac:dyDescent="0.35">
      <c r="B111" s="7" t="s">
        <v>45</v>
      </c>
      <c r="C111" s="3">
        <v>0</v>
      </c>
      <c r="D111" s="3" t="s">
        <v>1</v>
      </c>
      <c r="E111" s="3" t="s">
        <v>1</v>
      </c>
      <c r="F111" s="3">
        <v>0</v>
      </c>
      <c r="G111" s="3">
        <v>0</v>
      </c>
      <c r="H111" s="3" t="s">
        <v>1</v>
      </c>
      <c r="I111" s="3" t="s">
        <v>1</v>
      </c>
      <c r="J111" s="3">
        <v>0</v>
      </c>
      <c r="K111" s="3">
        <f>F111-J111</f>
        <v>0</v>
      </c>
    </row>
    <row r="112" spans="2:11" outlineLevel="1" x14ac:dyDescent="0.35">
      <c r="B112" s="7" t="s">
        <v>44</v>
      </c>
      <c r="C112" s="3">
        <v>294</v>
      </c>
      <c r="D112" s="3" t="s">
        <v>1</v>
      </c>
      <c r="E112" s="3" t="s">
        <v>1</v>
      </c>
      <c r="F112" s="3">
        <v>294</v>
      </c>
      <c r="G112" s="3">
        <v>295</v>
      </c>
      <c r="H112" s="3" t="s">
        <v>1</v>
      </c>
      <c r="I112" s="3" t="s">
        <v>1</v>
      </c>
      <c r="J112" s="3">
        <v>295</v>
      </c>
      <c r="K112" s="3">
        <f>F112-J112</f>
        <v>-1</v>
      </c>
    </row>
    <row r="113" spans="2:11" outlineLevel="1" x14ac:dyDescent="0.35">
      <c r="B113" s="7" t="s">
        <v>43</v>
      </c>
      <c r="C113" s="3" t="s">
        <v>1</v>
      </c>
      <c r="D113" s="3" t="s">
        <v>1</v>
      </c>
      <c r="E113" s="3" t="s">
        <v>1</v>
      </c>
      <c r="F113" s="3" t="s">
        <v>1</v>
      </c>
      <c r="G113" s="3" t="s">
        <v>1</v>
      </c>
      <c r="H113" s="3" t="s">
        <v>1</v>
      </c>
      <c r="I113" s="3" t="s">
        <v>1</v>
      </c>
      <c r="J113" s="3" t="s">
        <v>1</v>
      </c>
      <c r="K113" s="3"/>
    </row>
    <row r="114" spans="2:11" outlineLevel="1" x14ac:dyDescent="0.35">
      <c r="B114" s="7" t="s">
        <v>42</v>
      </c>
      <c r="C114" s="3" t="s">
        <v>1</v>
      </c>
      <c r="D114" s="3" t="s">
        <v>1</v>
      </c>
      <c r="E114" s="3" t="s">
        <v>1</v>
      </c>
      <c r="F114" s="3" t="s">
        <v>1</v>
      </c>
      <c r="G114" s="3" t="s">
        <v>1</v>
      </c>
      <c r="H114" s="3" t="s">
        <v>1</v>
      </c>
      <c r="I114" s="3" t="s">
        <v>1</v>
      </c>
      <c r="J114" s="3" t="s">
        <v>1</v>
      </c>
      <c r="K114" s="3"/>
    </row>
    <row r="115" spans="2:11" outlineLevel="1" x14ac:dyDescent="0.35">
      <c r="B115" s="7" t="s">
        <v>41</v>
      </c>
      <c r="C115" s="3">
        <v>236</v>
      </c>
      <c r="D115" s="3" t="s">
        <v>1</v>
      </c>
      <c r="E115" s="3" t="s">
        <v>1</v>
      </c>
      <c r="F115" s="3">
        <v>236</v>
      </c>
      <c r="G115" s="3">
        <v>265</v>
      </c>
      <c r="H115" s="3" t="s">
        <v>1</v>
      </c>
      <c r="I115" s="3" t="s">
        <v>1</v>
      </c>
      <c r="J115" s="3">
        <v>265</v>
      </c>
      <c r="K115" s="3">
        <f>F115-J115</f>
        <v>-29</v>
      </c>
    </row>
    <row r="116" spans="2:11" outlineLevel="1" x14ac:dyDescent="0.35">
      <c r="B116" s="7" t="s">
        <v>40</v>
      </c>
      <c r="C116" s="3">
        <v>495</v>
      </c>
      <c r="D116" s="3" t="s">
        <v>1</v>
      </c>
      <c r="E116" s="3" t="s">
        <v>1</v>
      </c>
      <c r="F116" s="3">
        <v>495</v>
      </c>
      <c r="G116" s="3">
        <v>500</v>
      </c>
      <c r="H116" s="3" t="s">
        <v>1</v>
      </c>
      <c r="I116" s="3" t="s">
        <v>1</v>
      </c>
      <c r="J116" s="3">
        <v>500</v>
      </c>
      <c r="K116" s="3">
        <f>F116-J116</f>
        <v>-5</v>
      </c>
    </row>
    <row r="117" spans="2:11" outlineLevel="1" x14ac:dyDescent="0.35">
      <c r="B117" s="7" t="s">
        <v>39</v>
      </c>
      <c r="C117" s="3" t="s">
        <v>1</v>
      </c>
      <c r="D117" s="3" t="s">
        <v>1</v>
      </c>
      <c r="E117" s="3" t="s">
        <v>1</v>
      </c>
      <c r="F117" s="3" t="s">
        <v>1</v>
      </c>
      <c r="G117" s="3" t="s">
        <v>1</v>
      </c>
      <c r="H117" s="3" t="s">
        <v>1</v>
      </c>
      <c r="I117" s="3" t="s">
        <v>1</v>
      </c>
      <c r="J117" s="3" t="s">
        <v>1</v>
      </c>
      <c r="K117" s="3"/>
    </row>
    <row r="118" spans="2:11" outlineLevel="1" x14ac:dyDescent="0.35">
      <c r="B118" s="7" t="s">
        <v>38</v>
      </c>
      <c r="C118" s="3" t="s">
        <v>1</v>
      </c>
      <c r="D118" s="3" t="s">
        <v>1</v>
      </c>
      <c r="E118" s="3" t="s">
        <v>1</v>
      </c>
      <c r="F118" s="3" t="s">
        <v>1</v>
      </c>
      <c r="G118" s="3" t="s">
        <v>1</v>
      </c>
      <c r="H118" s="3" t="s">
        <v>1</v>
      </c>
      <c r="I118" s="3" t="s">
        <v>1</v>
      </c>
      <c r="J118" s="3" t="s">
        <v>1</v>
      </c>
      <c r="K118" s="3"/>
    </row>
    <row r="119" spans="2:11" outlineLevel="1" x14ac:dyDescent="0.35">
      <c r="B119" s="7" t="s">
        <v>37</v>
      </c>
      <c r="C119" s="3">
        <v>0</v>
      </c>
      <c r="D119" s="3" t="s">
        <v>1</v>
      </c>
      <c r="E119" s="3" t="s">
        <v>1</v>
      </c>
      <c r="F119" s="3">
        <v>0</v>
      </c>
      <c r="G119" s="3">
        <v>1761</v>
      </c>
      <c r="H119" s="3" t="s">
        <v>1</v>
      </c>
      <c r="I119" s="3" t="s">
        <v>1</v>
      </c>
      <c r="J119" s="3">
        <v>1761</v>
      </c>
      <c r="K119" s="3">
        <f>F119-J119</f>
        <v>-1761</v>
      </c>
    </row>
    <row r="120" spans="2:11" outlineLevel="1" x14ac:dyDescent="0.35">
      <c r="B120" s="7" t="s">
        <v>36</v>
      </c>
      <c r="C120" s="3" t="s">
        <v>1</v>
      </c>
      <c r="D120" s="3" t="s">
        <v>1</v>
      </c>
      <c r="E120" s="3" t="s">
        <v>1</v>
      </c>
      <c r="F120" s="3" t="s">
        <v>1</v>
      </c>
      <c r="G120" s="3" t="s">
        <v>1</v>
      </c>
      <c r="H120" s="3" t="s">
        <v>1</v>
      </c>
      <c r="I120" s="3" t="s">
        <v>1</v>
      </c>
      <c r="J120" s="3" t="s">
        <v>1</v>
      </c>
      <c r="K120" s="3"/>
    </row>
    <row r="121" spans="2:11" outlineLevel="1" x14ac:dyDescent="0.35">
      <c r="B121" s="7" t="s">
        <v>35</v>
      </c>
      <c r="C121" s="3">
        <v>0</v>
      </c>
      <c r="D121" s="3" t="s">
        <v>1</v>
      </c>
      <c r="E121" s="3" t="s">
        <v>1</v>
      </c>
      <c r="F121" s="3">
        <v>0</v>
      </c>
      <c r="G121" s="3">
        <v>272</v>
      </c>
      <c r="H121" s="3" t="s">
        <v>1</v>
      </c>
      <c r="I121" s="3" t="s">
        <v>1</v>
      </c>
      <c r="J121" s="3">
        <v>272</v>
      </c>
      <c r="K121" s="3">
        <f>F121-J121</f>
        <v>-272</v>
      </c>
    </row>
    <row r="122" spans="2:11" outlineLevel="1" x14ac:dyDescent="0.35">
      <c r="B122" s="7" t="s">
        <v>34</v>
      </c>
      <c r="C122" s="3" t="s">
        <v>1</v>
      </c>
      <c r="D122" s="3" t="s">
        <v>1</v>
      </c>
      <c r="E122" s="3" t="s">
        <v>1</v>
      </c>
      <c r="F122" s="3" t="s">
        <v>1</v>
      </c>
      <c r="G122" s="3" t="s">
        <v>1</v>
      </c>
      <c r="H122" s="3" t="s">
        <v>1</v>
      </c>
      <c r="I122" s="3" t="s">
        <v>1</v>
      </c>
      <c r="J122" s="3" t="s">
        <v>1</v>
      </c>
      <c r="K122" s="3"/>
    </row>
    <row r="123" spans="2:11" outlineLevel="1" x14ac:dyDescent="0.35">
      <c r="B123" s="7" t="s">
        <v>33</v>
      </c>
      <c r="C123" s="3">
        <v>742</v>
      </c>
      <c r="D123" s="3">
        <v>0</v>
      </c>
      <c r="E123" s="3" t="s">
        <v>1</v>
      </c>
      <c r="F123" s="3">
        <v>742</v>
      </c>
      <c r="G123" s="3">
        <v>816</v>
      </c>
      <c r="H123" s="3">
        <v>40</v>
      </c>
      <c r="I123" s="3" t="s">
        <v>1</v>
      </c>
      <c r="J123" s="3">
        <v>857</v>
      </c>
      <c r="K123" s="3">
        <f>F123-J123</f>
        <v>-115</v>
      </c>
    </row>
    <row r="124" spans="2:11" outlineLevel="1" x14ac:dyDescent="0.35">
      <c r="B124" s="7" t="s">
        <v>32</v>
      </c>
      <c r="C124" s="3" t="s">
        <v>1</v>
      </c>
      <c r="D124" s="3" t="s">
        <v>1</v>
      </c>
      <c r="E124" s="3" t="s">
        <v>1</v>
      </c>
      <c r="F124" s="3" t="s">
        <v>1</v>
      </c>
      <c r="G124" s="3" t="s">
        <v>1</v>
      </c>
      <c r="H124" s="3" t="s">
        <v>1</v>
      </c>
      <c r="I124" s="3" t="s">
        <v>1</v>
      </c>
      <c r="J124" s="3" t="s">
        <v>1</v>
      </c>
      <c r="K124" s="3"/>
    </row>
    <row r="125" spans="2:11" outlineLevel="1" x14ac:dyDescent="0.35">
      <c r="B125" s="7" t="s">
        <v>31</v>
      </c>
      <c r="C125" s="3" t="s">
        <v>1</v>
      </c>
      <c r="D125" s="3" t="s">
        <v>1</v>
      </c>
      <c r="E125" s="3" t="s">
        <v>1</v>
      </c>
      <c r="F125" s="3" t="s">
        <v>1</v>
      </c>
      <c r="G125" s="3" t="s">
        <v>1</v>
      </c>
      <c r="H125" s="3" t="s">
        <v>1</v>
      </c>
      <c r="I125" s="3" t="s">
        <v>1</v>
      </c>
      <c r="J125" s="3" t="s">
        <v>1</v>
      </c>
      <c r="K125" s="3"/>
    </row>
    <row r="126" spans="2:11" outlineLevel="1" x14ac:dyDescent="0.35">
      <c r="B126" s="7" t="s">
        <v>30</v>
      </c>
      <c r="C126" s="3">
        <v>0</v>
      </c>
      <c r="D126" s="3" t="s">
        <v>1</v>
      </c>
      <c r="E126" s="3" t="s">
        <v>1</v>
      </c>
      <c r="F126" s="3">
        <v>0</v>
      </c>
      <c r="G126" s="3">
        <v>54</v>
      </c>
      <c r="H126" s="3" t="s">
        <v>1</v>
      </c>
      <c r="I126" s="3" t="s">
        <v>1</v>
      </c>
      <c r="J126" s="3">
        <v>54</v>
      </c>
      <c r="K126" s="3">
        <f>F126-J126</f>
        <v>-54</v>
      </c>
    </row>
    <row r="127" spans="2:11" outlineLevel="1" x14ac:dyDescent="0.35">
      <c r="B127" s="7" t="s">
        <v>29</v>
      </c>
      <c r="C127" s="3" t="s">
        <v>1</v>
      </c>
      <c r="D127" s="3" t="s">
        <v>1</v>
      </c>
      <c r="E127" s="3" t="s">
        <v>1</v>
      </c>
      <c r="F127" s="3" t="s">
        <v>1</v>
      </c>
      <c r="G127" s="3" t="s">
        <v>1</v>
      </c>
      <c r="H127" s="3" t="s">
        <v>1</v>
      </c>
      <c r="I127" s="3" t="s">
        <v>1</v>
      </c>
      <c r="J127" s="3" t="s">
        <v>1</v>
      </c>
      <c r="K127" s="3"/>
    </row>
    <row r="128" spans="2:11" outlineLevel="1" x14ac:dyDescent="0.35">
      <c r="B128" s="7" t="s">
        <v>28</v>
      </c>
      <c r="C128" s="3">
        <v>44</v>
      </c>
      <c r="D128" s="3" t="s">
        <v>1</v>
      </c>
      <c r="E128" s="3" t="s">
        <v>1</v>
      </c>
      <c r="F128" s="3">
        <v>44</v>
      </c>
      <c r="G128" s="3" t="s">
        <v>1</v>
      </c>
      <c r="H128" s="3" t="s">
        <v>1</v>
      </c>
      <c r="I128" s="3" t="s">
        <v>1</v>
      </c>
      <c r="J128" s="3" t="s">
        <v>1</v>
      </c>
      <c r="K128" s="3"/>
    </row>
    <row r="129" spans="1:11" outlineLevel="1" x14ac:dyDescent="0.35">
      <c r="B129" s="7" t="s">
        <v>27</v>
      </c>
      <c r="C129" s="3" t="s">
        <v>1</v>
      </c>
      <c r="D129" s="3">
        <v>2500</v>
      </c>
      <c r="E129" s="3" t="s">
        <v>1</v>
      </c>
      <c r="F129" s="3">
        <v>2500</v>
      </c>
      <c r="G129" s="3" t="s">
        <v>1</v>
      </c>
      <c r="H129" s="3">
        <v>2500</v>
      </c>
      <c r="I129" s="3" t="s">
        <v>1</v>
      </c>
      <c r="J129" s="3">
        <v>2500</v>
      </c>
      <c r="K129" s="3">
        <f>F129-J129</f>
        <v>0</v>
      </c>
    </row>
    <row r="130" spans="1:11" x14ac:dyDescent="0.35">
      <c r="B130" s="7" t="s">
        <v>26</v>
      </c>
      <c r="C130" s="3">
        <v>15982</v>
      </c>
      <c r="D130" s="3">
        <v>35601</v>
      </c>
      <c r="E130" s="3" t="s">
        <v>1</v>
      </c>
      <c r="F130" s="3">
        <v>51583</v>
      </c>
      <c r="G130" s="3">
        <v>19155</v>
      </c>
      <c r="H130" s="3">
        <v>44896</v>
      </c>
      <c r="I130" s="3" t="s">
        <v>1</v>
      </c>
      <c r="J130" s="3">
        <v>64051</v>
      </c>
      <c r="K130" s="3">
        <f>F130-J130</f>
        <v>-12468</v>
      </c>
    </row>
    <row r="131" spans="1:11" x14ac:dyDescent="0.35">
      <c r="A131" s="6" t="s">
        <v>1</v>
      </c>
      <c r="B131" s="5" t="s">
        <v>25</v>
      </c>
      <c r="C131" s="4">
        <v>17336</v>
      </c>
      <c r="D131" s="4">
        <v>36357</v>
      </c>
      <c r="E131" s="4">
        <v>0</v>
      </c>
      <c r="F131" s="4">
        <v>53692</v>
      </c>
      <c r="G131" s="4">
        <v>20582</v>
      </c>
      <c r="H131" s="4">
        <v>46257</v>
      </c>
      <c r="I131" s="4">
        <v>0</v>
      </c>
      <c r="J131" s="4">
        <v>66839</v>
      </c>
      <c r="K131" s="4">
        <f>F131-J131</f>
        <v>-13147</v>
      </c>
    </row>
    <row r="132" spans="1:11" x14ac:dyDescent="0.35">
      <c r="A132" s="6" t="s">
        <v>1</v>
      </c>
      <c r="B132" s="5" t="s">
        <v>24</v>
      </c>
      <c r="C132" s="4">
        <v>21412</v>
      </c>
      <c r="D132" s="4">
        <v>-34547</v>
      </c>
      <c r="E132" s="4">
        <v>0</v>
      </c>
      <c r="F132" s="4">
        <v>-13135</v>
      </c>
      <c r="G132" s="4">
        <v>-89035</v>
      </c>
      <c r="H132" s="4">
        <v>84781</v>
      </c>
      <c r="I132" s="4">
        <v>0</v>
      </c>
      <c r="J132" s="4">
        <v>-4254</v>
      </c>
      <c r="K132" s="4">
        <f>F132-J132</f>
        <v>-8881</v>
      </c>
    </row>
    <row r="133" spans="1:11" x14ac:dyDescent="0.35">
      <c r="A133" s="6" t="s">
        <v>1</v>
      </c>
      <c r="B133" s="5" t="s">
        <v>23</v>
      </c>
      <c r="C133" s="4" t="s">
        <v>20</v>
      </c>
      <c r="D133" s="4" t="s">
        <v>170</v>
      </c>
      <c r="E133" s="4">
        <v>0</v>
      </c>
      <c r="F133" s="4" t="s">
        <v>169</v>
      </c>
      <c r="G133" s="4" t="s">
        <v>168</v>
      </c>
      <c r="H133" s="4" t="s">
        <v>167</v>
      </c>
      <c r="I133" s="4">
        <v>0</v>
      </c>
      <c r="J133" s="4" t="s">
        <v>166</v>
      </c>
      <c r="K133" s="4">
        <f>F133-J133</f>
        <v>-0.05</v>
      </c>
    </row>
    <row r="134" spans="1:11" x14ac:dyDescent="0.35">
      <c r="A134" s="6" t="s">
        <v>1</v>
      </c>
      <c r="B134" s="5" t="s">
        <v>1</v>
      </c>
      <c r="C134" s="4" t="s">
        <v>1</v>
      </c>
      <c r="D134" s="4" t="s">
        <v>1</v>
      </c>
      <c r="E134" s="4" t="s">
        <v>1</v>
      </c>
      <c r="F134" s="4" t="s">
        <v>1</v>
      </c>
      <c r="G134" s="4" t="s">
        <v>1</v>
      </c>
      <c r="H134" s="4" t="s">
        <v>1</v>
      </c>
      <c r="I134" s="4" t="s">
        <v>1</v>
      </c>
      <c r="J134" s="4" t="s">
        <v>1</v>
      </c>
      <c r="K134" s="4"/>
    </row>
    <row r="135" spans="1:11" x14ac:dyDescent="0.35">
      <c r="B135" s="7" t="s">
        <v>17</v>
      </c>
      <c r="C135" s="3">
        <v>-3227</v>
      </c>
      <c r="D135" s="3">
        <v>2605</v>
      </c>
      <c r="E135" s="3" t="s">
        <v>1</v>
      </c>
      <c r="F135" s="3">
        <v>-622</v>
      </c>
      <c r="G135" s="3">
        <v>-19765</v>
      </c>
      <c r="H135" s="3">
        <v>2507</v>
      </c>
      <c r="I135" s="3" t="s">
        <v>1</v>
      </c>
      <c r="J135" s="3">
        <v>-17258</v>
      </c>
      <c r="K135" s="3">
        <f>F135-J135</f>
        <v>16636</v>
      </c>
    </row>
    <row r="136" spans="1:11" hidden="1" outlineLevel="1" x14ac:dyDescent="0.35">
      <c r="B136" s="7" t="s">
        <v>16</v>
      </c>
      <c r="C136" s="3" t="s">
        <v>1</v>
      </c>
      <c r="D136" s="3" t="s">
        <v>1</v>
      </c>
      <c r="E136" s="3" t="s">
        <v>1</v>
      </c>
      <c r="F136" s="3" t="s">
        <v>1</v>
      </c>
      <c r="G136" s="3" t="s">
        <v>1</v>
      </c>
      <c r="H136" s="3" t="s">
        <v>1</v>
      </c>
      <c r="I136" s="3" t="s">
        <v>1</v>
      </c>
      <c r="J136" s="3" t="s">
        <v>1</v>
      </c>
      <c r="K136" s="3"/>
    </row>
    <row r="137" spans="1:11" hidden="1" outlineLevel="1" x14ac:dyDescent="0.35">
      <c r="B137" s="7" t="s">
        <v>15</v>
      </c>
      <c r="C137" s="3">
        <v>1</v>
      </c>
      <c r="D137" s="3">
        <v>106</v>
      </c>
      <c r="E137" s="3" t="s">
        <v>1</v>
      </c>
      <c r="F137" s="3">
        <v>107</v>
      </c>
      <c r="G137" s="3">
        <v>2</v>
      </c>
      <c r="H137" s="3">
        <v>6</v>
      </c>
      <c r="I137" s="3" t="s">
        <v>1</v>
      </c>
      <c r="J137" s="3">
        <v>8</v>
      </c>
      <c r="K137" s="3">
        <f>F137-J137</f>
        <v>99</v>
      </c>
    </row>
    <row r="138" spans="1:11" hidden="1" outlineLevel="1" x14ac:dyDescent="0.35">
      <c r="B138" s="7" t="s">
        <v>14</v>
      </c>
      <c r="C138" s="3">
        <v>-4176</v>
      </c>
      <c r="D138" s="3" t="s">
        <v>1</v>
      </c>
      <c r="E138" s="3" t="s">
        <v>1</v>
      </c>
      <c r="F138" s="3">
        <v>-4176</v>
      </c>
      <c r="G138" s="3">
        <v>-21184</v>
      </c>
      <c r="H138" s="3" t="s">
        <v>1</v>
      </c>
      <c r="I138" s="3" t="s">
        <v>1</v>
      </c>
      <c r="J138" s="3">
        <v>-21184</v>
      </c>
      <c r="K138" s="3">
        <f>F138-J138</f>
        <v>17008</v>
      </c>
    </row>
    <row r="139" spans="1:11" hidden="1" outlineLevel="1" x14ac:dyDescent="0.35">
      <c r="B139" s="7" t="s">
        <v>13</v>
      </c>
      <c r="C139" s="3" t="s">
        <v>1</v>
      </c>
      <c r="D139" s="3" t="s">
        <v>1</v>
      </c>
      <c r="E139" s="3" t="s">
        <v>1</v>
      </c>
      <c r="F139" s="3" t="s">
        <v>1</v>
      </c>
      <c r="G139" s="3" t="s">
        <v>1</v>
      </c>
      <c r="H139" s="3" t="s">
        <v>1</v>
      </c>
      <c r="I139" s="3" t="s">
        <v>1</v>
      </c>
      <c r="J139" s="3" t="s">
        <v>1</v>
      </c>
      <c r="K139" s="3"/>
    </row>
    <row r="140" spans="1:11" hidden="1" outlineLevel="1" x14ac:dyDescent="0.35">
      <c r="B140" s="7" t="s">
        <v>12</v>
      </c>
      <c r="C140" s="3" t="s">
        <v>1</v>
      </c>
      <c r="D140" s="3">
        <v>139</v>
      </c>
      <c r="E140" s="3" t="s">
        <v>1</v>
      </c>
      <c r="F140" s="3">
        <v>139</v>
      </c>
      <c r="G140" s="3" t="s">
        <v>1</v>
      </c>
      <c r="H140" s="3">
        <v>140</v>
      </c>
      <c r="I140" s="3" t="s">
        <v>1</v>
      </c>
      <c r="J140" s="3">
        <v>140</v>
      </c>
      <c r="K140" s="3">
        <f>F140-J140</f>
        <v>-1</v>
      </c>
    </row>
    <row r="141" spans="1:11" hidden="1" outlineLevel="1" x14ac:dyDescent="0.35">
      <c r="B141" s="7" t="s">
        <v>11</v>
      </c>
      <c r="C141" s="3" t="s">
        <v>1</v>
      </c>
      <c r="D141" s="3" t="s">
        <v>1</v>
      </c>
      <c r="E141" s="3" t="s">
        <v>1</v>
      </c>
      <c r="F141" s="3" t="s">
        <v>1</v>
      </c>
      <c r="G141" s="3" t="s">
        <v>1</v>
      </c>
      <c r="H141" s="3" t="s">
        <v>1</v>
      </c>
      <c r="I141" s="3" t="s">
        <v>1</v>
      </c>
      <c r="J141" s="3" t="s">
        <v>1</v>
      </c>
      <c r="K141" s="3"/>
    </row>
    <row r="142" spans="1:11" hidden="1" outlineLevel="1" x14ac:dyDescent="0.35">
      <c r="B142" s="7" t="s">
        <v>10</v>
      </c>
      <c r="C142" s="3" t="s">
        <v>1</v>
      </c>
      <c r="D142" s="3">
        <v>2360</v>
      </c>
      <c r="E142" s="3" t="s">
        <v>1</v>
      </c>
      <c r="F142" s="3">
        <v>2360</v>
      </c>
      <c r="G142" s="3" t="s">
        <v>1</v>
      </c>
      <c r="H142" s="3">
        <v>2360</v>
      </c>
      <c r="I142" s="3" t="s">
        <v>1</v>
      </c>
      <c r="J142" s="3">
        <v>2360</v>
      </c>
      <c r="K142" s="3">
        <f>F142-J142</f>
        <v>0</v>
      </c>
    </row>
    <row r="143" spans="1:11" hidden="1" outlineLevel="1" x14ac:dyDescent="0.35">
      <c r="B143" s="7" t="s">
        <v>9</v>
      </c>
      <c r="C143" s="3">
        <v>949</v>
      </c>
      <c r="D143" s="3" t="s">
        <v>1</v>
      </c>
      <c r="E143" s="3" t="s">
        <v>1</v>
      </c>
      <c r="F143" s="3">
        <v>949</v>
      </c>
      <c r="G143" s="3">
        <v>1417</v>
      </c>
      <c r="H143" s="3" t="s">
        <v>1</v>
      </c>
      <c r="I143" s="3" t="s">
        <v>1</v>
      </c>
      <c r="J143" s="3">
        <v>1417</v>
      </c>
      <c r="K143" s="3">
        <f>F143-J143</f>
        <v>-468</v>
      </c>
    </row>
    <row r="144" spans="1:11" collapsed="1" x14ac:dyDescent="0.35">
      <c r="B144" s="7" t="s">
        <v>8</v>
      </c>
      <c r="C144" s="3" t="s">
        <v>1</v>
      </c>
      <c r="D144" s="3">
        <v>709</v>
      </c>
      <c r="E144" s="3" t="s">
        <v>1</v>
      </c>
      <c r="F144" s="3">
        <v>709</v>
      </c>
      <c r="G144" s="3" t="s">
        <v>1</v>
      </c>
      <c r="H144" s="3">
        <v>517</v>
      </c>
      <c r="I144" s="3" t="s">
        <v>1</v>
      </c>
      <c r="J144" s="3">
        <v>517</v>
      </c>
      <c r="K144" s="3">
        <f>F144-J144</f>
        <v>192</v>
      </c>
    </row>
    <row r="145" spans="1:11" hidden="1" outlineLevel="1" x14ac:dyDescent="0.35">
      <c r="B145" s="7" t="s">
        <v>7</v>
      </c>
      <c r="C145" s="3" t="s">
        <v>1</v>
      </c>
      <c r="D145" s="3">
        <v>709</v>
      </c>
      <c r="E145" s="3" t="s">
        <v>1</v>
      </c>
      <c r="F145" s="3">
        <v>709</v>
      </c>
      <c r="G145" s="3" t="s">
        <v>1</v>
      </c>
      <c r="H145" s="3">
        <v>517</v>
      </c>
      <c r="I145" s="3" t="s">
        <v>1</v>
      </c>
      <c r="J145" s="3">
        <v>517</v>
      </c>
      <c r="K145" s="3">
        <f>F145-J145</f>
        <v>192</v>
      </c>
    </row>
    <row r="146" spans="1:11" hidden="1" outlineLevel="1" x14ac:dyDescent="0.35">
      <c r="B146" s="7" t="s">
        <v>6</v>
      </c>
      <c r="C146" s="3" t="s">
        <v>1</v>
      </c>
      <c r="D146" s="3" t="s">
        <v>1</v>
      </c>
      <c r="E146" s="3" t="s">
        <v>1</v>
      </c>
      <c r="F146" s="3" t="s">
        <v>1</v>
      </c>
      <c r="G146" s="3" t="s">
        <v>1</v>
      </c>
      <c r="H146" s="3" t="s">
        <v>1</v>
      </c>
      <c r="I146" s="3" t="s">
        <v>1</v>
      </c>
      <c r="J146" s="3" t="s">
        <v>1</v>
      </c>
      <c r="K146" s="3"/>
    </row>
    <row r="147" spans="1:11" hidden="1" outlineLevel="1" x14ac:dyDescent="0.35">
      <c r="B147" s="7" t="s">
        <v>5</v>
      </c>
      <c r="C147" s="3" t="s">
        <v>1</v>
      </c>
      <c r="D147" s="3" t="s">
        <v>1</v>
      </c>
      <c r="E147" s="3" t="s">
        <v>1</v>
      </c>
      <c r="F147" s="3" t="s">
        <v>1</v>
      </c>
      <c r="G147" s="3" t="s">
        <v>1</v>
      </c>
      <c r="H147" s="3" t="s">
        <v>1</v>
      </c>
      <c r="I147" s="3" t="s">
        <v>1</v>
      </c>
      <c r="J147" s="3" t="s">
        <v>1</v>
      </c>
      <c r="K147" s="3"/>
    </row>
    <row r="148" spans="1:11" collapsed="1" x14ac:dyDescent="0.35">
      <c r="B148" s="7" t="s">
        <v>4</v>
      </c>
      <c r="C148" s="3" t="s">
        <v>1</v>
      </c>
      <c r="D148" s="3" t="s">
        <v>1</v>
      </c>
      <c r="E148" s="3" t="s">
        <v>1</v>
      </c>
      <c r="F148" s="3">
        <v>0</v>
      </c>
      <c r="G148" s="3" t="s">
        <v>1</v>
      </c>
      <c r="H148" s="3" t="s">
        <v>1</v>
      </c>
      <c r="I148" s="3" t="s">
        <v>1</v>
      </c>
      <c r="J148" s="3">
        <v>0</v>
      </c>
      <c r="K148" s="3">
        <f>F148-J148</f>
        <v>0</v>
      </c>
    </row>
    <row r="149" spans="1:11" hidden="1" outlineLevel="1" x14ac:dyDescent="0.35">
      <c r="B149" s="7" t="s">
        <v>3</v>
      </c>
      <c r="C149" s="3" t="s">
        <v>1</v>
      </c>
      <c r="D149" s="3" t="s">
        <v>1</v>
      </c>
      <c r="E149" s="3" t="s">
        <v>1</v>
      </c>
      <c r="F149" s="3" t="s">
        <v>1</v>
      </c>
      <c r="G149" s="3" t="s">
        <v>1</v>
      </c>
      <c r="H149" s="3" t="s">
        <v>1</v>
      </c>
      <c r="I149" s="3" t="s">
        <v>1</v>
      </c>
      <c r="J149" s="3" t="s">
        <v>1</v>
      </c>
      <c r="K149" s="3"/>
    </row>
    <row r="150" spans="1:11" collapsed="1" x14ac:dyDescent="0.35">
      <c r="B150" s="7" t="s">
        <v>2</v>
      </c>
      <c r="C150" s="3">
        <v>-3227</v>
      </c>
      <c r="D150" s="3">
        <v>3314</v>
      </c>
      <c r="E150" s="3" t="s">
        <v>1</v>
      </c>
      <c r="F150" s="3">
        <v>87</v>
      </c>
      <c r="G150" s="3">
        <v>-19765</v>
      </c>
      <c r="H150" s="3">
        <v>3023</v>
      </c>
      <c r="I150" s="3" t="s">
        <v>1</v>
      </c>
      <c r="J150" s="3">
        <v>-16741</v>
      </c>
      <c r="K150" s="3">
        <f>F150-J150</f>
        <v>16828</v>
      </c>
    </row>
    <row r="151" spans="1:11" x14ac:dyDescent="0.35">
      <c r="A151" s="6" t="s">
        <v>1</v>
      </c>
      <c r="B151" s="5" t="s">
        <v>0</v>
      </c>
      <c r="C151" s="4">
        <v>24639</v>
      </c>
      <c r="D151" s="4">
        <v>-37861</v>
      </c>
      <c r="E151" s="4">
        <v>0</v>
      </c>
      <c r="F151" s="4">
        <v>-13222</v>
      </c>
      <c r="G151" s="4">
        <v>-69271</v>
      </c>
      <c r="H151" s="4">
        <v>81758</v>
      </c>
      <c r="I151" s="4">
        <v>0</v>
      </c>
      <c r="J151" s="4">
        <v>12487</v>
      </c>
      <c r="K151" s="4">
        <f>F151-J151</f>
        <v>-25709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BFBD-89D6-4854-861F-18F88AA9C5F2}">
  <dimension ref="A1:L152"/>
  <sheetViews>
    <sheetView showGridLines="0" topLeftCell="A2" workbookViewId="0">
      <selection activeCell="L11" sqref="L11"/>
    </sheetView>
  </sheetViews>
  <sheetFormatPr defaultRowHeight="14.5" outlineLevelRow="1" x14ac:dyDescent="0.35"/>
  <cols>
    <col min="1" max="1" width="5" style="1" customWidth="1"/>
    <col min="2" max="2" width="29.1796875" style="1" customWidth="1"/>
    <col min="3" max="3" width="16.1796875" style="2" bestFit="1" customWidth="1"/>
    <col min="4" max="4" width="13.26953125" style="2" bestFit="1" customWidth="1"/>
    <col min="5" max="5" width="12.81640625" style="2" customWidth="1"/>
    <col min="6" max="6" width="6.7265625" style="2" bestFit="1" customWidth="1"/>
    <col min="7" max="7" width="16.54296875" style="2" bestFit="1" customWidth="1"/>
    <col min="8" max="8" width="13.26953125" style="2" bestFit="1" customWidth="1"/>
    <col min="9" max="9" width="15.54296875" style="2" customWidth="1"/>
    <col min="10" max="10" width="7.54296875" style="2" bestFit="1" customWidth="1"/>
    <col min="11" max="16384" width="8.7265625" style="1"/>
  </cols>
  <sheetData>
    <row r="1" spans="1:12" ht="15" hidden="1" customHeight="1" x14ac:dyDescent="0.35"/>
    <row r="2" spans="1:12" ht="18.5" x14ac:dyDescent="0.45">
      <c r="B2" s="13" t="s">
        <v>159</v>
      </c>
      <c r="C2" s="12" t="s">
        <v>165</v>
      </c>
      <c r="D2" s="12"/>
      <c r="E2" s="12"/>
      <c r="F2" s="13"/>
      <c r="G2" s="12" t="s">
        <v>164</v>
      </c>
      <c r="H2" s="12"/>
      <c r="I2" s="12"/>
      <c r="J2" s="13"/>
      <c r="K2" s="11"/>
    </row>
    <row r="3" spans="1:12" ht="18.5" x14ac:dyDescent="0.45">
      <c r="B3" s="12" t="s">
        <v>163</v>
      </c>
      <c r="C3" s="12"/>
      <c r="D3" s="12"/>
      <c r="E3" s="12" t="s">
        <v>162</v>
      </c>
      <c r="F3" s="12"/>
      <c r="G3" s="12"/>
      <c r="H3" s="12"/>
      <c r="I3" s="12" t="s">
        <v>162</v>
      </c>
      <c r="J3" s="12"/>
      <c r="K3" s="11"/>
    </row>
    <row r="4" spans="1:12" ht="15" hidden="1" customHeight="1" x14ac:dyDescent="0.35">
      <c r="B4" s="11"/>
      <c r="C4" s="12"/>
      <c r="D4" s="12"/>
      <c r="E4" s="12"/>
      <c r="F4" s="12"/>
      <c r="G4" s="12"/>
      <c r="H4" s="12"/>
      <c r="I4" s="12"/>
      <c r="J4" s="12"/>
      <c r="K4" s="11"/>
    </row>
    <row r="5" spans="1:12" ht="15" hidden="1" customHeight="1" x14ac:dyDescent="0.35">
      <c r="B5" s="11" t="s">
        <v>1</v>
      </c>
      <c r="C5" s="12"/>
      <c r="D5" s="12"/>
      <c r="E5" s="12"/>
      <c r="F5" s="12"/>
      <c r="G5" s="12"/>
      <c r="H5" s="12"/>
      <c r="I5" s="12"/>
      <c r="J5" s="12"/>
      <c r="K5" s="11"/>
    </row>
    <row r="6" spans="1:12" ht="25" customHeight="1" x14ac:dyDescent="0.35">
      <c r="A6" s="1" t="s">
        <v>1</v>
      </c>
      <c r="B6" s="10" t="s">
        <v>161</v>
      </c>
      <c r="C6" s="8" t="s">
        <v>160</v>
      </c>
      <c r="D6" s="8" t="s">
        <v>159</v>
      </c>
      <c r="E6" s="9" t="s">
        <v>158</v>
      </c>
      <c r="F6" s="8" t="s">
        <v>26</v>
      </c>
      <c r="G6" s="8" t="s">
        <v>160</v>
      </c>
      <c r="H6" s="8" t="s">
        <v>159</v>
      </c>
      <c r="I6" s="9" t="s">
        <v>158</v>
      </c>
      <c r="J6" s="8" t="s">
        <v>26</v>
      </c>
      <c r="K6" s="8" t="s">
        <v>157</v>
      </c>
    </row>
    <row r="7" spans="1:12" x14ac:dyDescent="0.35">
      <c r="A7" s="6" t="s">
        <v>1</v>
      </c>
      <c r="B7" s="5" t="s">
        <v>156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</row>
    <row r="8" spans="1:12" x14ac:dyDescent="0.35">
      <c r="B8" s="7" t="s">
        <v>155</v>
      </c>
      <c r="C8" s="3">
        <v>158437</v>
      </c>
      <c r="D8" s="3">
        <v>209920</v>
      </c>
      <c r="E8" s="3">
        <v>-158439</v>
      </c>
      <c r="F8" s="3">
        <v>209918</v>
      </c>
      <c r="G8" s="3">
        <v>176206</v>
      </c>
      <c r="H8" s="3">
        <v>194902</v>
      </c>
      <c r="I8" s="3">
        <v>-175901</v>
      </c>
      <c r="J8" s="3">
        <v>195207</v>
      </c>
      <c r="K8" s="3">
        <f>F8-J8</f>
        <v>14711</v>
      </c>
    </row>
    <row r="9" spans="1:12" outlineLevel="1" x14ac:dyDescent="0.35">
      <c r="B9" s="7" t="s">
        <v>154</v>
      </c>
      <c r="C9" s="3">
        <v>158439</v>
      </c>
      <c r="D9" s="3">
        <v>209920</v>
      </c>
      <c r="E9" s="3">
        <v>-158439</v>
      </c>
      <c r="F9" s="3">
        <v>209920</v>
      </c>
      <c r="G9" s="3">
        <v>175901</v>
      </c>
      <c r="H9" s="3">
        <v>194902</v>
      </c>
      <c r="I9" s="3">
        <v>-175901</v>
      </c>
      <c r="J9" s="3">
        <v>194902</v>
      </c>
      <c r="K9" s="3">
        <f>F9-J9</f>
        <v>15018</v>
      </c>
    </row>
    <row r="10" spans="1:12" outlineLevel="1" x14ac:dyDescent="0.35">
      <c r="B10" s="7" t="s">
        <v>153</v>
      </c>
      <c r="C10" s="3">
        <v>0</v>
      </c>
      <c r="D10" s="3">
        <v>0</v>
      </c>
      <c r="E10" s="3" t="s">
        <v>1</v>
      </c>
      <c r="F10" s="3">
        <v>0</v>
      </c>
      <c r="G10" s="3">
        <v>0</v>
      </c>
      <c r="H10" s="3">
        <v>0</v>
      </c>
      <c r="I10" s="3" t="s">
        <v>1</v>
      </c>
      <c r="J10" s="3">
        <v>0</v>
      </c>
      <c r="K10" s="3">
        <f>F10-J10</f>
        <v>0</v>
      </c>
    </row>
    <row r="11" spans="1:12" outlineLevel="1" x14ac:dyDescent="0.35">
      <c r="B11" s="7" t="s">
        <v>152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/>
      <c r="L11" s="1" t="s">
        <v>244</v>
      </c>
    </row>
    <row r="12" spans="1:12" outlineLevel="1" x14ac:dyDescent="0.35">
      <c r="B12" s="7" t="s">
        <v>151</v>
      </c>
      <c r="C12" s="3">
        <v>0</v>
      </c>
      <c r="D12" s="3">
        <v>0</v>
      </c>
      <c r="E12" s="3" t="s">
        <v>1</v>
      </c>
      <c r="F12" s="3">
        <v>0</v>
      </c>
      <c r="G12" s="3">
        <v>16</v>
      </c>
      <c r="H12" s="3">
        <v>0</v>
      </c>
      <c r="I12" s="3" t="s">
        <v>1</v>
      </c>
      <c r="J12" s="3">
        <v>16</v>
      </c>
      <c r="K12" s="3">
        <f>F12-J12</f>
        <v>-16</v>
      </c>
    </row>
    <row r="13" spans="1:12" outlineLevel="1" x14ac:dyDescent="0.35">
      <c r="B13" s="7" t="s">
        <v>150</v>
      </c>
      <c r="C13" s="3">
        <v>-2</v>
      </c>
      <c r="D13" s="3" t="s">
        <v>1</v>
      </c>
      <c r="E13" s="3" t="s">
        <v>1</v>
      </c>
      <c r="F13" s="3">
        <v>-2</v>
      </c>
      <c r="G13" s="3">
        <v>289</v>
      </c>
      <c r="H13" s="3" t="s">
        <v>1</v>
      </c>
      <c r="I13" s="3" t="s">
        <v>1</v>
      </c>
      <c r="J13" s="3">
        <v>289</v>
      </c>
      <c r="K13" s="3">
        <f>F13-J13</f>
        <v>-291</v>
      </c>
    </row>
    <row r="14" spans="1:12" outlineLevel="1" x14ac:dyDescent="0.35">
      <c r="B14" s="7" t="s">
        <v>149</v>
      </c>
      <c r="C14" s="3">
        <v>158437</v>
      </c>
      <c r="D14" s="3">
        <v>209920</v>
      </c>
      <c r="E14" s="3">
        <v>-158439</v>
      </c>
      <c r="F14" s="3">
        <v>209918</v>
      </c>
      <c r="G14" s="3">
        <v>176206</v>
      </c>
      <c r="H14" s="3">
        <v>194902</v>
      </c>
      <c r="I14" s="3">
        <v>-175901</v>
      </c>
      <c r="J14" s="3">
        <v>195207</v>
      </c>
      <c r="K14" s="3">
        <f>F14-J14</f>
        <v>14711</v>
      </c>
    </row>
    <row r="15" spans="1:12" x14ac:dyDescent="0.35">
      <c r="A15" s="6" t="s">
        <v>1</v>
      </c>
      <c r="B15" s="5" t="s">
        <v>148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3"/>
    </row>
    <row r="16" spans="1:12" x14ac:dyDescent="0.35">
      <c r="B16" s="7" t="s">
        <v>147</v>
      </c>
      <c r="C16" s="3">
        <v>92642</v>
      </c>
      <c r="D16" s="3">
        <v>158280</v>
      </c>
      <c r="E16" s="3">
        <v>-158439</v>
      </c>
      <c r="F16" s="3">
        <v>92483</v>
      </c>
      <c r="G16" s="3">
        <v>101010</v>
      </c>
      <c r="H16" s="3">
        <v>175901</v>
      </c>
      <c r="I16" s="3">
        <v>-175901</v>
      </c>
      <c r="J16" s="3">
        <v>101010</v>
      </c>
      <c r="K16" s="3">
        <f>F16-J16</f>
        <v>-8527</v>
      </c>
    </row>
    <row r="17" spans="2:11" outlineLevel="1" x14ac:dyDescent="0.35">
      <c r="B17" s="7" t="s">
        <v>146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/>
    </row>
    <row r="18" spans="2:11" outlineLevel="1" x14ac:dyDescent="0.35">
      <c r="B18" s="7" t="s">
        <v>145</v>
      </c>
      <c r="C18" s="3" t="s">
        <v>1</v>
      </c>
      <c r="D18" s="3">
        <v>0</v>
      </c>
      <c r="E18" s="3" t="s">
        <v>1</v>
      </c>
      <c r="F18" s="3">
        <v>0</v>
      </c>
      <c r="G18" s="3" t="s">
        <v>1</v>
      </c>
      <c r="H18" s="3">
        <v>0</v>
      </c>
      <c r="I18" s="3" t="s">
        <v>1</v>
      </c>
      <c r="J18" s="3">
        <v>0</v>
      </c>
      <c r="K18" s="3">
        <f t="shared" ref="K18:K23" si="0">F18-J18</f>
        <v>0</v>
      </c>
    </row>
    <row r="19" spans="2:11" outlineLevel="1" x14ac:dyDescent="0.35">
      <c r="B19" s="7" t="s">
        <v>144</v>
      </c>
      <c r="C19" s="3">
        <v>57391</v>
      </c>
      <c r="D19" s="3" t="s">
        <v>1</v>
      </c>
      <c r="E19" s="3" t="s">
        <v>1</v>
      </c>
      <c r="F19" s="3">
        <v>57391</v>
      </c>
      <c r="G19" s="3">
        <v>62706</v>
      </c>
      <c r="H19" s="3" t="s">
        <v>1</v>
      </c>
      <c r="I19" s="3" t="s">
        <v>1</v>
      </c>
      <c r="J19" s="3">
        <v>62706</v>
      </c>
      <c r="K19" s="3">
        <f t="shared" si="0"/>
        <v>-5315</v>
      </c>
    </row>
    <row r="20" spans="2:11" outlineLevel="1" x14ac:dyDescent="0.35">
      <c r="B20" s="7" t="s">
        <v>143</v>
      </c>
      <c r="C20" s="3">
        <v>35040</v>
      </c>
      <c r="D20" s="3" t="s">
        <v>1</v>
      </c>
      <c r="E20" s="3" t="s">
        <v>1</v>
      </c>
      <c r="F20" s="3">
        <v>35040</v>
      </c>
      <c r="G20" s="3">
        <v>38087</v>
      </c>
      <c r="H20" s="3" t="s">
        <v>1</v>
      </c>
      <c r="I20" s="3" t="s">
        <v>1</v>
      </c>
      <c r="J20" s="3">
        <v>38087</v>
      </c>
      <c r="K20" s="3">
        <f t="shared" si="0"/>
        <v>-3047</v>
      </c>
    </row>
    <row r="21" spans="2:11" outlineLevel="1" x14ac:dyDescent="0.35">
      <c r="B21" s="7" t="s">
        <v>142</v>
      </c>
      <c r="C21" s="3">
        <v>212</v>
      </c>
      <c r="D21" s="3">
        <v>158280</v>
      </c>
      <c r="E21" s="3">
        <v>-158439</v>
      </c>
      <c r="F21" s="3">
        <v>53</v>
      </c>
      <c r="G21" s="3">
        <v>217</v>
      </c>
      <c r="H21" s="3">
        <v>175901</v>
      </c>
      <c r="I21" s="3">
        <v>-175901</v>
      </c>
      <c r="J21" s="3">
        <v>217</v>
      </c>
      <c r="K21" s="3">
        <f t="shared" si="0"/>
        <v>-164</v>
      </c>
    </row>
    <row r="22" spans="2:11" outlineLevel="1" x14ac:dyDescent="0.35">
      <c r="B22" s="7" t="s">
        <v>141</v>
      </c>
      <c r="C22" s="3">
        <v>-1</v>
      </c>
      <c r="D22" s="3" t="s">
        <v>1</v>
      </c>
      <c r="E22" s="3" t="s">
        <v>1</v>
      </c>
      <c r="F22" s="3">
        <v>-1</v>
      </c>
      <c r="G22" s="3">
        <v>0</v>
      </c>
      <c r="H22" s="3" t="s">
        <v>1</v>
      </c>
      <c r="I22" s="3" t="s">
        <v>1</v>
      </c>
      <c r="J22" s="3">
        <v>0</v>
      </c>
      <c r="K22" s="3">
        <f t="shared" si="0"/>
        <v>-1</v>
      </c>
    </row>
    <row r="23" spans="2:11" x14ac:dyDescent="0.35">
      <c r="B23" s="7" t="s">
        <v>140</v>
      </c>
      <c r="C23" s="3">
        <v>10965</v>
      </c>
      <c r="D23" s="3" t="s">
        <v>1</v>
      </c>
      <c r="E23" s="3" t="s">
        <v>1</v>
      </c>
      <c r="F23" s="3">
        <v>10965</v>
      </c>
      <c r="G23" s="3">
        <v>11375</v>
      </c>
      <c r="H23" s="3" t="s">
        <v>1</v>
      </c>
      <c r="I23" s="3" t="s">
        <v>1</v>
      </c>
      <c r="J23" s="3">
        <v>11375</v>
      </c>
      <c r="K23" s="3">
        <f t="shared" si="0"/>
        <v>-410</v>
      </c>
    </row>
    <row r="24" spans="2:11" outlineLevel="1" x14ac:dyDescent="0.35">
      <c r="B24" s="7" t="s">
        <v>139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/>
    </row>
    <row r="25" spans="2:11" outlineLevel="1" x14ac:dyDescent="0.35">
      <c r="B25" s="7" t="s">
        <v>138</v>
      </c>
      <c r="C25" s="3">
        <v>381</v>
      </c>
      <c r="D25" s="3" t="s">
        <v>1</v>
      </c>
      <c r="E25" s="3" t="s">
        <v>1</v>
      </c>
      <c r="F25" s="3">
        <v>381</v>
      </c>
      <c r="G25" s="3">
        <v>415</v>
      </c>
      <c r="H25" s="3" t="s">
        <v>1</v>
      </c>
      <c r="I25" s="3" t="s">
        <v>1</v>
      </c>
      <c r="J25" s="3">
        <v>415</v>
      </c>
      <c r="K25" s="3">
        <f>F25-J25</f>
        <v>-34</v>
      </c>
    </row>
    <row r="26" spans="2:11" outlineLevel="1" x14ac:dyDescent="0.35">
      <c r="B26" s="7" t="s">
        <v>137</v>
      </c>
      <c r="C26" s="3">
        <v>9488</v>
      </c>
      <c r="D26" s="3" t="s">
        <v>1</v>
      </c>
      <c r="E26" s="3" t="s">
        <v>1</v>
      </c>
      <c r="F26" s="3">
        <v>9488</v>
      </c>
      <c r="G26" s="3">
        <v>9958</v>
      </c>
      <c r="H26" s="3" t="s">
        <v>1</v>
      </c>
      <c r="I26" s="3" t="s">
        <v>1</v>
      </c>
      <c r="J26" s="3">
        <v>9958</v>
      </c>
      <c r="K26" s="3">
        <f>F26-J26</f>
        <v>-470</v>
      </c>
    </row>
    <row r="27" spans="2:11" outlineLevel="1" x14ac:dyDescent="0.35">
      <c r="B27" s="7" t="s">
        <v>136</v>
      </c>
      <c r="C27" s="3">
        <v>365</v>
      </c>
      <c r="D27" s="3" t="s">
        <v>1</v>
      </c>
      <c r="E27" s="3" t="s">
        <v>1</v>
      </c>
      <c r="F27" s="3">
        <v>365</v>
      </c>
      <c r="G27" s="3">
        <v>391</v>
      </c>
      <c r="H27" s="3" t="s">
        <v>1</v>
      </c>
      <c r="I27" s="3" t="s">
        <v>1</v>
      </c>
      <c r="J27" s="3">
        <v>391</v>
      </c>
      <c r="K27" s="3">
        <f>F27-J27</f>
        <v>-26</v>
      </c>
    </row>
    <row r="28" spans="2:11" outlineLevel="1" x14ac:dyDescent="0.35">
      <c r="B28" s="7" t="s">
        <v>135</v>
      </c>
      <c r="C28" s="3" t="s">
        <v>1</v>
      </c>
      <c r="D28" s="3" t="s">
        <v>1</v>
      </c>
      <c r="E28" s="3" t="s">
        <v>1</v>
      </c>
      <c r="F28" s="3" t="s">
        <v>1</v>
      </c>
      <c r="G28" s="3" t="s">
        <v>1</v>
      </c>
      <c r="H28" s="3" t="s">
        <v>1</v>
      </c>
      <c r="I28" s="3" t="s">
        <v>1</v>
      </c>
      <c r="J28" s="3" t="s">
        <v>1</v>
      </c>
      <c r="K28" s="3"/>
    </row>
    <row r="29" spans="2:11" outlineLevel="1" x14ac:dyDescent="0.35">
      <c r="B29" s="7" t="s">
        <v>134</v>
      </c>
      <c r="C29" s="3">
        <v>597</v>
      </c>
      <c r="D29" s="3" t="s">
        <v>1</v>
      </c>
      <c r="E29" s="3" t="s">
        <v>1</v>
      </c>
      <c r="F29" s="3">
        <v>597</v>
      </c>
      <c r="G29" s="3">
        <v>610</v>
      </c>
      <c r="H29" s="3" t="s">
        <v>1</v>
      </c>
      <c r="I29" s="3" t="s">
        <v>1</v>
      </c>
      <c r="J29" s="3">
        <v>610</v>
      </c>
      <c r="K29" s="3">
        <f>F29-J29</f>
        <v>-13</v>
      </c>
    </row>
    <row r="30" spans="2:11" outlineLevel="1" x14ac:dyDescent="0.35">
      <c r="B30" s="7" t="s">
        <v>133</v>
      </c>
      <c r="C30" s="3">
        <v>8</v>
      </c>
      <c r="D30" s="3" t="s">
        <v>1</v>
      </c>
      <c r="E30" s="3" t="s">
        <v>1</v>
      </c>
      <c r="F30" s="3">
        <v>8</v>
      </c>
      <c r="G30" s="3" t="s">
        <v>1</v>
      </c>
      <c r="H30" s="3" t="s">
        <v>1</v>
      </c>
      <c r="I30" s="3" t="s">
        <v>1</v>
      </c>
      <c r="J30" s="3" t="s">
        <v>1</v>
      </c>
      <c r="K30" s="3"/>
    </row>
    <row r="31" spans="2:11" outlineLevel="1" x14ac:dyDescent="0.35">
      <c r="B31" s="7" t="s">
        <v>132</v>
      </c>
      <c r="C31" s="3" t="s">
        <v>1</v>
      </c>
      <c r="D31" s="3" t="s">
        <v>1</v>
      </c>
      <c r="E31" s="3" t="s">
        <v>1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  <c r="K31" s="3"/>
    </row>
    <row r="32" spans="2:11" outlineLevel="1" x14ac:dyDescent="0.35">
      <c r="B32" s="7" t="s">
        <v>131</v>
      </c>
      <c r="C32" s="3">
        <v>127</v>
      </c>
      <c r="D32" s="3" t="s">
        <v>1</v>
      </c>
      <c r="E32" s="3" t="s">
        <v>1</v>
      </c>
      <c r="F32" s="3">
        <v>127</v>
      </c>
      <c r="G32" s="3" t="s">
        <v>1</v>
      </c>
      <c r="H32" s="3" t="s">
        <v>1</v>
      </c>
      <c r="I32" s="3" t="s">
        <v>1</v>
      </c>
      <c r="J32" s="3" t="s">
        <v>1</v>
      </c>
      <c r="K32" s="3"/>
    </row>
    <row r="33" spans="2:11" x14ac:dyDescent="0.35">
      <c r="B33" s="5" t="s">
        <v>130</v>
      </c>
      <c r="C33" s="3">
        <v>14229</v>
      </c>
      <c r="D33" s="3">
        <v>3000</v>
      </c>
      <c r="E33" s="3" t="s">
        <v>1</v>
      </c>
      <c r="F33" s="3">
        <v>17229</v>
      </c>
      <c r="G33" s="3">
        <v>14894</v>
      </c>
      <c r="H33" s="3">
        <v>0</v>
      </c>
      <c r="I33" s="3" t="s">
        <v>1</v>
      </c>
      <c r="J33" s="3">
        <v>14894</v>
      </c>
      <c r="K33" s="3">
        <f>F33-J33</f>
        <v>2335</v>
      </c>
    </row>
    <row r="34" spans="2:11" outlineLevel="1" x14ac:dyDescent="0.35">
      <c r="B34" s="7" t="s">
        <v>129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1</v>
      </c>
      <c r="H34" s="3" t="s">
        <v>1</v>
      </c>
      <c r="I34" s="3" t="s">
        <v>1</v>
      </c>
      <c r="J34" s="3" t="s">
        <v>1</v>
      </c>
      <c r="K34" s="3"/>
    </row>
    <row r="35" spans="2:11" outlineLevel="1" x14ac:dyDescent="0.35">
      <c r="B35" s="7" t="s">
        <v>128</v>
      </c>
      <c r="C35" s="3">
        <v>2663</v>
      </c>
      <c r="D35" s="3" t="s">
        <v>1</v>
      </c>
      <c r="E35" s="3" t="s">
        <v>1</v>
      </c>
      <c r="F35" s="3">
        <v>2663</v>
      </c>
      <c r="G35" s="3">
        <v>2980</v>
      </c>
      <c r="H35" s="3" t="s">
        <v>1</v>
      </c>
      <c r="I35" s="3" t="s">
        <v>1</v>
      </c>
      <c r="J35" s="3">
        <v>2980</v>
      </c>
      <c r="K35" s="3">
        <f>F35-J35</f>
        <v>-317</v>
      </c>
    </row>
    <row r="36" spans="2:11" outlineLevel="1" x14ac:dyDescent="0.35">
      <c r="B36" s="7" t="s">
        <v>127</v>
      </c>
      <c r="C36" s="3" t="s">
        <v>1</v>
      </c>
      <c r="D36" s="3" t="s">
        <v>1</v>
      </c>
      <c r="E36" s="3" t="s">
        <v>1</v>
      </c>
      <c r="F36" s="3" t="s">
        <v>1</v>
      </c>
      <c r="G36" s="3" t="s">
        <v>1</v>
      </c>
      <c r="H36" s="3" t="s">
        <v>1</v>
      </c>
      <c r="I36" s="3" t="s">
        <v>1</v>
      </c>
      <c r="J36" s="3" t="s">
        <v>1</v>
      </c>
      <c r="K36" s="3"/>
    </row>
    <row r="37" spans="2:11" outlineLevel="1" x14ac:dyDescent="0.35">
      <c r="B37" s="7" t="s">
        <v>126</v>
      </c>
      <c r="C37" s="3">
        <v>719</v>
      </c>
      <c r="D37" s="3" t="s">
        <v>1</v>
      </c>
      <c r="E37" s="3" t="s">
        <v>1</v>
      </c>
      <c r="F37" s="3">
        <v>719</v>
      </c>
      <c r="G37" s="3">
        <v>743</v>
      </c>
      <c r="H37" s="3" t="s">
        <v>1</v>
      </c>
      <c r="I37" s="3" t="s">
        <v>1</v>
      </c>
      <c r="J37" s="3">
        <v>743</v>
      </c>
      <c r="K37" s="3">
        <f t="shared" ref="K37:K42" si="1">F37-J37</f>
        <v>-24</v>
      </c>
    </row>
    <row r="38" spans="2:11" outlineLevel="1" x14ac:dyDescent="0.35">
      <c r="B38" s="7" t="s">
        <v>125</v>
      </c>
      <c r="C38" s="3">
        <v>4162</v>
      </c>
      <c r="D38" s="3" t="s">
        <v>1</v>
      </c>
      <c r="E38" s="3" t="s">
        <v>1</v>
      </c>
      <c r="F38" s="3">
        <v>4162</v>
      </c>
      <c r="G38" s="3">
        <v>4302</v>
      </c>
      <c r="H38" s="3" t="s">
        <v>1</v>
      </c>
      <c r="I38" s="3" t="s">
        <v>1</v>
      </c>
      <c r="J38" s="3">
        <v>4302</v>
      </c>
      <c r="K38" s="3">
        <f t="shared" si="1"/>
        <v>-140</v>
      </c>
    </row>
    <row r="39" spans="2:11" outlineLevel="1" x14ac:dyDescent="0.35">
      <c r="B39" s="7" t="s">
        <v>124</v>
      </c>
      <c r="C39" s="3">
        <v>1924</v>
      </c>
      <c r="D39" s="3" t="s">
        <v>1</v>
      </c>
      <c r="E39" s="3" t="s">
        <v>1</v>
      </c>
      <c r="F39" s="3">
        <v>1924</v>
      </c>
      <c r="G39" s="3">
        <v>1964</v>
      </c>
      <c r="H39" s="3" t="s">
        <v>1</v>
      </c>
      <c r="I39" s="3" t="s">
        <v>1</v>
      </c>
      <c r="J39" s="3">
        <v>1964</v>
      </c>
      <c r="K39" s="3">
        <f t="shared" si="1"/>
        <v>-40</v>
      </c>
    </row>
    <row r="40" spans="2:11" outlineLevel="1" x14ac:dyDescent="0.35">
      <c r="B40" s="7" t="s">
        <v>123</v>
      </c>
      <c r="C40" s="3">
        <v>290</v>
      </c>
      <c r="D40" s="3" t="s">
        <v>1</v>
      </c>
      <c r="E40" s="3" t="s">
        <v>1</v>
      </c>
      <c r="F40" s="3">
        <v>290</v>
      </c>
      <c r="G40" s="3">
        <v>285</v>
      </c>
      <c r="H40" s="3" t="s">
        <v>1</v>
      </c>
      <c r="I40" s="3" t="s">
        <v>1</v>
      </c>
      <c r="J40" s="3">
        <v>285</v>
      </c>
      <c r="K40" s="3">
        <f t="shared" si="1"/>
        <v>5</v>
      </c>
    </row>
    <row r="41" spans="2:11" outlineLevel="1" x14ac:dyDescent="0.35">
      <c r="B41" s="7" t="s">
        <v>122</v>
      </c>
      <c r="C41" s="3">
        <v>4207</v>
      </c>
      <c r="D41" s="3" t="s">
        <v>1</v>
      </c>
      <c r="E41" s="3" t="s">
        <v>1</v>
      </c>
      <c r="F41" s="3">
        <v>4207</v>
      </c>
      <c r="G41" s="3">
        <v>4348</v>
      </c>
      <c r="H41" s="3" t="s">
        <v>1</v>
      </c>
      <c r="I41" s="3" t="s">
        <v>1</v>
      </c>
      <c r="J41" s="3">
        <v>4348</v>
      </c>
      <c r="K41" s="3">
        <f t="shared" si="1"/>
        <v>-141</v>
      </c>
    </row>
    <row r="42" spans="2:11" outlineLevel="1" x14ac:dyDescent="0.35">
      <c r="B42" s="7" t="s">
        <v>121</v>
      </c>
      <c r="C42" s="3">
        <v>263</v>
      </c>
      <c r="D42" s="3">
        <v>3000</v>
      </c>
      <c r="E42" s="3" t="s">
        <v>1</v>
      </c>
      <c r="F42" s="3">
        <v>3263</v>
      </c>
      <c r="G42" s="3">
        <v>272</v>
      </c>
      <c r="H42" s="3">
        <v>0</v>
      </c>
      <c r="I42" s="3" t="s">
        <v>1</v>
      </c>
      <c r="J42" s="3">
        <v>272</v>
      </c>
      <c r="K42" s="3">
        <f t="shared" si="1"/>
        <v>2991</v>
      </c>
    </row>
    <row r="43" spans="2:11" outlineLevel="1" x14ac:dyDescent="0.35">
      <c r="B43" s="7" t="s">
        <v>120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  <c r="I43" s="3" t="s">
        <v>1</v>
      </c>
      <c r="J43" s="3" t="s">
        <v>1</v>
      </c>
      <c r="K43" s="3"/>
    </row>
    <row r="44" spans="2:11" x14ac:dyDescent="0.35">
      <c r="B44" s="5" t="s">
        <v>119</v>
      </c>
      <c r="C44" s="3">
        <v>1464</v>
      </c>
      <c r="D44" s="3">
        <v>505</v>
      </c>
      <c r="E44" s="3" t="s">
        <v>1</v>
      </c>
      <c r="F44" s="3">
        <v>1969</v>
      </c>
      <c r="G44" s="3">
        <v>1496</v>
      </c>
      <c r="H44" s="3">
        <v>638</v>
      </c>
      <c r="I44" s="3" t="s">
        <v>1</v>
      </c>
      <c r="J44" s="3">
        <v>2134</v>
      </c>
      <c r="K44" s="3">
        <f t="shared" ref="K44:K53" si="2">F44-J44</f>
        <v>-165</v>
      </c>
    </row>
    <row r="45" spans="2:11" outlineLevel="1" x14ac:dyDescent="0.35">
      <c r="B45" s="7" t="s">
        <v>118</v>
      </c>
      <c r="C45" s="3" t="s">
        <v>1</v>
      </c>
      <c r="D45" s="3">
        <v>285</v>
      </c>
      <c r="E45" s="3" t="s">
        <v>1</v>
      </c>
      <c r="F45" s="3">
        <v>285</v>
      </c>
      <c r="G45" s="3" t="s">
        <v>1</v>
      </c>
      <c r="H45" s="3">
        <v>285</v>
      </c>
      <c r="I45" s="3" t="s">
        <v>1</v>
      </c>
      <c r="J45" s="3">
        <v>285</v>
      </c>
      <c r="K45" s="3">
        <f t="shared" si="2"/>
        <v>0</v>
      </c>
    </row>
    <row r="46" spans="2:11" outlineLevel="1" x14ac:dyDescent="0.35">
      <c r="B46" s="7" t="s">
        <v>117</v>
      </c>
      <c r="C46" s="3" t="s">
        <v>1</v>
      </c>
      <c r="D46" s="3">
        <v>220</v>
      </c>
      <c r="E46" s="3" t="s">
        <v>1</v>
      </c>
      <c r="F46" s="3">
        <v>220</v>
      </c>
      <c r="G46" s="3" t="s">
        <v>1</v>
      </c>
      <c r="H46" s="3">
        <v>352</v>
      </c>
      <c r="I46" s="3" t="s">
        <v>1</v>
      </c>
      <c r="J46" s="3">
        <v>352</v>
      </c>
      <c r="K46" s="3">
        <f t="shared" si="2"/>
        <v>-132</v>
      </c>
    </row>
    <row r="47" spans="2:11" outlineLevel="1" x14ac:dyDescent="0.35">
      <c r="B47" s="7" t="s">
        <v>116</v>
      </c>
      <c r="C47" s="3">
        <v>688</v>
      </c>
      <c r="D47" s="3">
        <v>0</v>
      </c>
      <c r="E47" s="3" t="s">
        <v>1</v>
      </c>
      <c r="F47" s="3">
        <v>688</v>
      </c>
      <c r="G47" s="3">
        <v>479</v>
      </c>
      <c r="H47" s="3">
        <v>0</v>
      </c>
      <c r="I47" s="3" t="s">
        <v>1</v>
      </c>
      <c r="J47" s="3">
        <v>479</v>
      </c>
      <c r="K47" s="3">
        <f t="shared" si="2"/>
        <v>209</v>
      </c>
    </row>
    <row r="48" spans="2:11" outlineLevel="1" x14ac:dyDescent="0.35">
      <c r="B48" s="7" t="s">
        <v>115</v>
      </c>
      <c r="C48" s="3">
        <v>27</v>
      </c>
      <c r="D48" s="3" t="s">
        <v>1</v>
      </c>
      <c r="E48" s="3" t="s">
        <v>1</v>
      </c>
      <c r="F48" s="3">
        <v>27</v>
      </c>
      <c r="G48" s="3">
        <v>29</v>
      </c>
      <c r="H48" s="3" t="s">
        <v>1</v>
      </c>
      <c r="I48" s="3" t="s">
        <v>1</v>
      </c>
      <c r="J48" s="3">
        <v>29</v>
      </c>
      <c r="K48" s="3">
        <f t="shared" si="2"/>
        <v>-2</v>
      </c>
    </row>
    <row r="49" spans="2:11" outlineLevel="1" x14ac:dyDescent="0.35">
      <c r="B49" s="7" t="s">
        <v>114</v>
      </c>
      <c r="C49" s="3">
        <v>210</v>
      </c>
      <c r="D49" s="3" t="s">
        <v>1</v>
      </c>
      <c r="E49" s="3" t="s">
        <v>1</v>
      </c>
      <c r="F49" s="3">
        <v>210</v>
      </c>
      <c r="G49" s="3">
        <v>213</v>
      </c>
      <c r="H49" s="3" t="s">
        <v>1</v>
      </c>
      <c r="I49" s="3" t="s">
        <v>1</v>
      </c>
      <c r="J49" s="3">
        <v>213</v>
      </c>
      <c r="K49" s="3">
        <f t="shared" si="2"/>
        <v>-3</v>
      </c>
    </row>
    <row r="50" spans="2:11" outlineLevel="1" x14ac:dyDescent="0.35">
      <c r="B50" s="7" t="s">
        <v>113</v>
      </c>
      <c r="C50" s="3">
        <v>539</v>
      </c>
      <c r="D50" s="3" t="s">
        <v>1</v>
      </c>
      <c r="E50" s="3" t="s">
        <v>1</v>
      </c>
      <c r="F50" s="3">
        <v>539</v>
      </c>
      <c r="G50" s="3">
        <v>775</v>
      </c>
      <c r="H50" s="3" t="s">
        <v>1</v>
      </c>
      <c r="I50" s="3" t="s">
        <v>1</v>
      </c>
      <c r="J50" s="3">
        <v>775</v>
      </c>
      <c r="K50" s="3">
        <f t="shared" si="2"/>
        <v>-236</v>
      </c>
    </row>
    <row r="51" spans="2:11" x14ac:dyDescent="0.35">
      <c r="B51" s="5" t="s">
        <v>112</v>
      </c>
      <c r="C51" s="3">
        <v>4254</v>
      </c>
      <c r="D51" s="3" t="s">
        <v>1</v>
      </c>
      <c r="E51" s="3" t="s">
        <v>1</v>
      </c>
      <c r="F51" s="3">
        <v>4254</v>
      </c>
      <c r="G51" s="3">
        <v>4084</v>
      </c>
      <c r="H51" s="3" t="s">
        <v>1</v>
      </c>
      <c r="I51" s="3" t="s">
        <v>1</v>
      </c>
      <c r="J51" s="3">
        <v>4084</v>
      </c>
      <c r="K51" s="3">
        <f t="shared" si="2"/>
        <v>170</v>
      </c>
    </row>
    <row r="52" spans="2:11" outlineLevel="1" x14ac:dyDescent="0.35">
      <c r="B52" s="7" t="s">
        <v>111</v>
      </c>
      <c r="C52" s="3">
        <v>4254</v>
      </c>
      <c r="D52" s="3" t="s">
        <v>1</v>
      </c>
      <c r="E52" s="3" t="s">
        <v>1</v>
      </c>
      <c r="F52" s="3">
        <v>4254</v>
      </c>
      <c r="G52" s="3">
        <v>4084</v>
      </c>
      <c r="H52" s="3" t="s">
        <v>1</v>
      </c>
      <c r="I52" s="3" t="s">
        <v>1</v>
      </c>
      <c r="J52" s="3">
        <v>4084</v>
      </c>
      <c r="K52" s="3">
        <f t="shared" si="2"/>
        <v>170</v>
      </c>
    </row>
    <row r="53" spans="2:11" x14ac:dyDescent="0.35">
      <c r="B53" s="5" t="s">
        <v>110</v>
      </c>
      <c r="C53" s="3">
        <v>5117</v>
      </c>
      <c r="D53" s="3">
        <v>12533</v>
      </c>
      <c r="E53" s="3" t="s">
        <v>1</v>
      </c>
      <c r="F53" s="3">
        <v>17650</v>
      </c>
      <c r="G53" s="3">
        <v>5091</v>
      </c>
      <c r="H53" s="3">
        <v>16922</v>
      </c>
      <c r="I53" s="3" t="s">
        <v>1</v>
      </c>
      <c r="J53" s="3">
        <v>22012</v>
      </c>
      <c r="K53" s="3">
        <f t="shared" si="2"/>
        <v>-4362</v>
      </c>
    </row>
    <row r="54" spans="2:11" outlineLevel="1" x14ac:dyDescent="0.35">
      <c r="B54" s="7" t="s">
        <v>109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  <c r="I54" s="3" t="s">
        <v>1</v>
      </c>
      <c r="J54" s="3" t="s">
        <v>1</v>
      </c>
      <c r="K54" s="3"/>
    </row>
    <row r="55" spans="2:11" outlineLevel="1" x14ac:dyDescent="0.35">
      <c r="B55" s="7" t="s">
        <v>108</v>
      </c>
      <c r="C55" s="3" t="s">
        <v>1</v>
      </c>
      <c r="D55" s="3" t="s">
        <v>1</v>
      </c>
      <c r="E55" s="3" t="s">
        <v>1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  <c r="K55" s="3"/>
    </row>
    <row r="56" spans="2:11" outlineLevel="1" x14ac:dyDescent="0.35">
      <c r="B56" s="7" t="s">
        <v>107</v>
      </c>
      <c r="C56" s="3" t="s">
        <v>1</v>
      </c>
      <c r="D56" s="3" t="s">
        <v>1</v>
      </c>
      <c r="E56" s="3" t="s">
        <v>1</v>
      </c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K56" s="3"/>
    </row>
    <row r="57" spans="2:11" outlineLevel="1" x14ac:dyDescent="0.35">
      <c r="B57" s="7" t="s">
        <v>106</v>
      </c>
      <c r="C57" s="3">
        <v>427</v>
      </c>
      <c r="D57" s="3" t="s">
        <v>1</v>
      </c>
      <c r="E57" s="3" t="s">
        <v>1</v>
      </c>
      <c r="F57" s="3">
        <v>427</v>
      </c>
      <c r="G57" s="3">
        <v>163</v>
      </c>
      <c r="H57" s="3" t="s">
        <v>1</v>
      </c>
      <c r="I57" s="3" t="s">
        <v>1</v>
      </c>
      <c r="J57" s="3">
        <v>163</v>
      </c>
      <c r="K57" s="3">
        <f>F57-J57</f>
        <v>264</v>
      </c>
    </row>
    <row r="58" spans="2:11" outlineLevel="1" x14ac:dyDescent="0.35">
      <c r="B58" s="7" t="s">
        <v>105</v>
      </c>
      <c r="C58" s="3" t="s">
        <v>1</v>
      </c>
      <c r="D58" s="3" t="s">
        <v>1</v>
      </c>
      <c r="E58" s="3" t="s">
        <v>1</v>
      </c>
      <c r="F58" s="3" t="s">
        <v>1</v>
      </c>
      <c r="G58" s="3" t="s">
        <v>1</v>
      </c>
      <c r="H58" s="3" t="s">
        <v>1</v>
      </c>
      <c r="I58" s="3" t="s">
        <v>1</v>
      </c>
      <c r="J58" s="3" t="s">
        <v>1</v>
      </c>
      <c r="K58" s="3"/>
    </row>
    <row r="59" spans="2:11" outlineLevel="1" x14ac:dyDescent="0.35">
      <c r="B59" s="7" t="s">
        <v>104</v>
      </c>
      <c r="C59" s="3" t="s">
        <v>1</v>
      </c>
      <c r="D59" s="3" t="s">
        <v>1</v>
      </c>
      <c r="E59" s="3" t="s">
        <v>1</v>
      </c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  <c r="K59" s="3"/>
    </row>
    <row r="60" spans="2:11" outlineLevel="1" x14ac:dyDescent="0.35">
      <c r="B60" s="7" t="s">
        <v>103</v>
      </c>
      <c r="C60" s="3">
        <v>1873</v>
      </c>
      <c r="D60" s="3" t="s">
        <v>1</v>
      </c>
      <c r="E60" s="3" t="s">
        <v>1</v>
      </c>
      <c r="F60" s="3">
        <v>1873</v>
      </c>
      <c r="G60" s="3">
        <v>1977</v>
      </c>
      <c r="H60" s="3" t="s">
        <v>1</v>
      </c>
      <c r="I60" s="3" t="s">
        <v>1</v>
      </c>
      <c r="J60" s="3">
        <v>1977</v>
      </c>
      <c r="K60" s="3">
        <f>F60-J60</f>
        <v>-104</v>
      </c>
    </row>
    <row r="61" spans="2:11" outlineLevel="1" x14ac:dyDescent="0.35">
      <c r="B61" s="7" t="s">
        <v>102</v>
      </c>
      <c r="C61" s="3" t="s">
        <v>1</v>
      </c>
      <c r="D61" s="3" t="s">
        <v>1</v>
      </c>
      <c r="E61" s="3" t="s">
        <v>1</v>
      </c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  <c r="K61" s="3"/>
    </row>
    <row r="62" spans="2:11" outlineLevel="1" x14ac:dyDescent="0.35">
      <c r="B62" s="7" t="s">
        <v>101</v>
      </c>
      <c r="C62" s="3" t="s">
        <v>1</v>
      </c>
      <c r="D62" s="3" t="s">
        <v>1</v>
      </c>
      <c r="E62" s="3" t="s">
        <v>1</v>
      </c>
      <c r="F62" s="3" t="s">
        <v>1</v>
      </c>
      <c r="G62" s="3" t="s">
        <v>1</v>
      </c>
      <c r="H62" s="3" t="s">
        <v>1</v>
      </c>
      <c r="I62" s="3" t="s">
        <v>1</v>
      </c>
      <c r="J62" s="3" t="s">
        <v>1</v>
      </c>
      <c r="K62" s="3"/>
    </row>
    <row r="63" spans="2:11" outlineLevel="1" x14ac:dyDescent="0.35">
      <c r="B63" s="7" t="s">
        <v>100</v>
      </c>
      <c r="C63" s="3">
        <v>2818</v>
      </c>
      <c r="D63" s="3" t="s">
        <v>1</v>
      </c>
      <c r="E63" s="3" t="s">
        <v>1</v>
      </c>
      <c r="F63" s="3">
        <v>2818</v>
      </c>
      <c r="G63" s="3">
        <v>2951</v>
      </c>
      <c r="H63" s="3" t="s">
        <v>1</v>
      </c>
      <c r="I63" s="3" t="s">
        <v>1</v>
      </c>
      <c r="J63" s="3">
        <v>2951</v>
      </c>
      <c r="K63" s="3">
        <f>F63-J63</f>
        <v>-133</v>
      </c>
    </row>
    <row r="64" spans="2:11" outlineLevel="1" x14ac:dyDescent="0.35">
      <c r="B64" s="7" t="s">
        <v>99</v>
      </c>
      <c r="C64" s="3" t="s">
        <v>1</v>
      </c>
      <c r="D64" s="3">
        <v>12533</v>
      </c>
      <c r="E64" s="3"/>
      <c r="F64" s="3">
        <v>12533</v>
      </c>
      <c r="G64" s="3" t="s">
        <v>1</v>
      </c>
      <c r="H64" s="3">
        <v>16922</v>
      </c>
      <c r="I64" s="3" t="s">
        <v>1</v>
      </c>
      <c r="J64" s="3">
        <v>16922</v>
      </c>
      <c r="K64" s="3">
        <f>F64-J64</f>
        <v>-4389</v>
      </c>
    </row>
    <row r="65" spans="1:11" x14ac:dyDescent="0.35">
      <c r="B65" s="7" t="s">
        <v>98</v>
      </c>
      <c r="C65" s="3">
        <v>128671</v>
      </c>
      <c r="D65" s="3">
        <v>174318</v>
      </c>
      <c r="E65" s="3">
        <v>-158439</v>
      </c>
      <c r="F65" s="3">
        <f>F53+F44+F33+F23+F16+F51</f>
        <v>144550</v>
      </c>
      <c r="G65" s="3">
        <v>137951</v>
      </c>
      <c r="H65" s="3">
        <v>193460</v>
      </c>
      <c r="I65" s="3">
        <v>-175901</v>
      </c>
      <c r="J65" s="3">
        <v>155510</v>
      </c>
      <c r="K65" s="3">
        <f>F65-J65</f>
        <v>-10960</v>
      </c>
    </row>
    <row r="66" spans="1:11" x14ac:dyDescent="0.35">
      <c r="A66" s="6" t="s">
        <v>1</v>
      </c>
      <c r="B66" s="5" t="s">
        <v>97</v>
      </c>
      <c r="C66" s="4">
        <v>29766</v>
      </c>
      <c r="D66" s="4">
        <v>35602</v>
      </c>
      <c r="E66" s="4"/>
      <c r="F66" s="4">
        <v>65368</v>
      </c>
      <c r="G66" s="4">
        <v>38256</v>
      </c>
      <c r="H66" s="4">
        <v>1442</v>
      </c>
      <c r="I66" s="4">
        <v>0</v>
      </c>
      <c r="J66" s="4">
        <v>39697</v>
      </c>
      <c r="K66" s="3">
        <f>F66-J66</f>
        <v>25671</v>
      </c>
    </row>
    <row r="67" spans="1:11" x14ac:dyDescent="0.35">
      <c r="A67" s="6" t="s">
        <v>1</v>
      </c>
      <c r="B67" s="5" t="s">
        <v>96</v>
      </c>
      <c r="C67" s="4" t="s">
        <v>95</v>
      </c>
      <c r="D67" s="4" t="s">
        <v>94</v>
      </c>
      <c r="E67" s="4">
        <v>0</v>
      </c>
      <c r="F67" s="4" t="s">
        <v>93</v>
      </c>
      <c r="G67" s="4" t="s">
        <v>92</v>
      </c>
      <c r="H67" s="4" t="s">
        <v>91</v>
      </c>
      <c r="I67" s="4">
        <v>0</v>
      </c>
      <c r="J67" s="4" t="s">
        <v>90</v>
      </c>
      <c r="K67" s="3">
        <f>F67-J67</f>
        <v>0.10999999999999999</v>
      </c>
    </row>
    <row r="68" spans="1:11" x14ac:dyDescent="0.35">
      <c r="A68" s="6" t="s">
        <v>1</v>
      </c>
      <c r="B68" s="5" t="s">
        <v>89</v>
      </c>
      <c r="C68" s="4" t="s">
        <v>1</v>
      </c>
      <c r="D68" s="4" t="s">
        <v>1</v>
      </c>
      <c r="E68" s="4" t="s">
        <v>1</v>
      </c>
      <c r="F68" s="4" t="s">
        <v>1</v>
      </c>
      <c r="G68" s="4" t="s">
        <v>1</v>
      </c>
      <c r="H68" s="4" t="s">
        <v>1</v>
      </c>
      <c r="I68" s="4" t="s">
        <v>1</v>
      </c>
      <c r="J68" s="4" t="s">
        <v>1</v>
      </c>
      <c r="K68" s="3"/>
    </row>
    <row r="69" spans="1:11" x14ac:dyDescent="0.35">
      <c r="B69" s="7" t="s">
        <v>88</v>
      </c>
      <c r="C69" s="3">
        <v>1358</v>
      </c>
      <c r="D69" s="3">
        <v>49</v>
      </c>
      <c r="E69" s="3" t="s">
        <v>1</v>
      </c>
      <c r="F69" s="3">
        <v>1407</v>
      </c>
      <c r="G69" s="3">
        <v>1354</v>
      </c>
      <c r="H69" s="3">
        <v>2076</v>
      </c>
      <c r="I69" s="3" t="s">
        <v>1</v>
      </c>
      <c r="J69" s="3">
        <v>3430</v>
      </c>
      <c r="K69" s="3">
        <f>F69-J69</f>
        <v>-2023</v>
      </c>
    </row>
    <row r="70" spans="1:11" outlineLevel="1" x14ac:dyDescent="0.35">
      <c r="B70" s="7" t="s">
        <v>87</v>
      </c>
      <c r="C70" s="3" t="s">
        <v>1</v>
      </c>
      <c r="D70" s="3" t="s">
        <v>1</v>
      </c>
      <c r="E70" s="3" t="s">
        <v>1</v>
      </c>
      <c r="F70" s="3" t="s">
        <v>1</v>
      </c>
      <c r="G70" s="3" t="s">
        <v>1</v>
      </c>
      <c r="H70" s="3" t="s">
        <v>1</v>
      </c>
      <c r="I70" s="3" t="s">
        <v>1</v>
      </c>
      <c r="J70" s="3" t="s">
        <v>1</v>
      </c>
      <c r="K70" s="3"/>
    </row>
    <row r="71" spans="1:11" outlineLevel="1" x14ac:dyDescent="0.35">
      <c r="B71" s="7" t="s">
        <v>86</v>
      </c>
      <c r="C71" s="3" t="s">
        <v>1</v>
      </c>
      <c r="D71" s="3" t="s">
        <v>1</v>
      </c>
      <c r="E71" s="3" t="s">
        <v>1</v>
      </c>
      <c r="F71" s="3" t="s">
        <v>1</v>
      </c>
      <c r="G71" s="3" t="s">
        <v>1</v>
      </c>
      <c r="H71" s="3" t="s">
        <v>1</v>
      </c>
      <c r="I71" s="3" t="s">
        <v>1</v>
      </c>
      <c r="J71" s="3" t="s">
        <v>1</v>
      </c>
      <c r="K71" s="3"/>
    </row>
    <row r="72" spans="1:11" outlineLevel="1" x14ac:dyDescent="0.35">
      <c r="B72" s="7" t="s">
        <v>85</v>
      </c>
      <c r="C72" s="3" t="s">
        <v>1</v>
      </c>
      <c r="D72" s="3" t="s">
        <v>1</v>
      </c>
      <c r="E72" s="3" t="s">
        <v>1</v>
      </c>
      <c r="F72" s="3" t="s">
        <v>1</v>
      </c>
      <c r="G72" s="3" t="s">
        <v>1</v>
      </c>
      <c r="H72" s="3" t="s">
        <v>1</v>
      </c>
      <c r="I72" s="3" t="s">
        <v>1</v>
      </c>
      <c r="J72" s="3" t="s">
        <v>1</v>
      </c>
      <c r="K72" s="3"/>
    </row>
    <row r="73" spans="1:11" outlineLevel="1" x14ac:dyDescent="0.35">
      <c r="B73" s="7" t="s">
        <v>84</v>
      </c>
      <c r="C73" s="3">
        <v>269</v>
      </c>
      <c r="D73" s="3">
        <v>49</v>
      </c>
      <c r="E73" s="3" t="s">
        <v>1</v>
      </c>
      <c r="F73" s="3">
        <v>318</v>
      </c>
      <c r="G73" s="3">
        <v>107</v>
      </c>
      <c r="H73" s="3">
        <v>888</v>
      </c>
      <c r="I73" s="3" t="s">
        <v>1</v>
      </c>
      <c r="J73" s="3">
        <v>994</v>
      </c>
      <c r="K73" s="3">
        <f>F73-J73</f>
        <v>-676</v>
      </c>
    </row>
    <row r="74" spans="1:11" outlineLevel="1" x14ac:dyDescent="0.35">
      <c r="B74" s="7" t="s">
        <v>83</v>
      </c>
      <c r="C74" s="3" t="s">
        <v>1</v>
      </c>
      <c r="D74" s="3" t="s">
        <v>1</v>
      </c>
      <c r="E74" s="3" t="s">
        <v>1</v>
      </c>
      <c r="F74" s="3" t="s">
        <v>1</v>
      </c>
      <c r="G74" s="3" t="s">
        <v>1</v>
      </c>
      <c r="H74" s="3" t="s">
        <v>1</v>
      </c>
      <c r="I74" s="3" t="s">
        <v>1</v>
      </c>
      <c r="J74" s="3" t="s">
        <v>1</v>
      </c>
      <c r="K74" s="3"/>
    </row>
    <row r="75" spans="1:11" outlineLevel="1" x14ac:dyDescent="0.35">
      <c r="B75" s="7" t="s">
        <v>82</v>
      </c>
      <c r="C75" s="3" t="s">
        <v>1</v>
      </c>
      <c r="D75" s="3" t="s">
        <v>1</v>
      </c>
      <c r="E75" s="3" t="s">
        <v>1</v>
      </c>
      <c r="F75" s="3" t="s">
        <v>1</v>
      </c>
      <c r="G75" s="3" t="s">
        <v>1</v>
      </c>
      <c r="H75" s="3" t="s">
        <v>1</v>
      </c>
      <c r="I75" s="3" t="s">
        <v>1</v>
      </c>
      <c r="J75" s="3" t="s">
        <v>1</v>
      </c>
      <c r="K75" s="3"/>
    </row>
    <row r="76" spans="1:11" outlineLevel="1" x14ac:dyDescent="0.35">
      <c r="B76" s="7" t="s">
        <v>81</v>
      </c>
      <c r="C76" s="3" t="s">
        <v>1</v>
      </c>
      <c r="D76" s="3" t="s">
        <v>1</v>
      </c>
      <c r="E76" s="3" t="s">
        <v>1</v>
      </c>
      <c r="F76" s="3" t="s">
        <v>1</v>
      </c>
      <c r="G76" s="3" t="s">
        <v>1</v>
      </c>
      <c r="H76" s="3" t="s">
        <v>1</v>
      </c>
      <c r="I76" s="3" t="s">
        <v>1</v>
      </c>
      <c r="J76" s="3" t="s">
        <v>1</v>
      </c>
      <c r="K76" s="3"/>
    </row>
    <row r="77" spans="1:11" outlineLevel="1" x14ac:dyDescent="0.35">
      <c r="B77" s="7" t="s">
        <v>80</v>
      </c>
      <c r="C77" s="3" t="s">
        <v>1</v>
      </c>
      <c r="D77" s="3">
        <v>0</v>
      </c>
      <c r="E77" s="3" t="s">
        <v>1</v>
      </c>
      <c r="F77" s="3">
        <v>0</v>
      </c>
      <c r="G77" s="3" t="s">
        <v>1</v>
      </c>
      <c r="H77" s="3">
        <v>1188</v>
      </c>
      <c r="I77" s="3" t="s">
        <v>1</v>
      </c>
      <c r="J77" s="3">
        <v>1188</v>
      </c>
      <c r="K77" s="3">
        <f>F77-J77</f>
        <v>-1188</v>
      </c>
    </row>
    <row r="78" spans="1:11" outlineLevel="1" x14ac:dyDescent="0.35">
      <c r="B78" s="7" t="s">
        <v>79</v>
      </c>
      <c r="C78" s="3" t="s">
        <v>1</v>
      </c>
      <c r="D78" s="3" t="s">
        <v>1</v>
      </c>
      <c r="E78" s="3" t="s">
        <v>1</v>
      </c>
      <c r="F78" s="3" t="s">
        <v>1</v>
      </c>
      <c r="G78" s="3" t="s">
        <v>1</v>
      </c>
      <c r="H78" s="3" t="s">
        <v>1</v>
      </c>
      <c r="I78" s="3" t="s">
        <v>1</v>
      </c>
      <c r="J78" s="3" t="s">
        <v>1</v>
      </c>
      <c r="K78" s="3"/>
    </row>
    <row r="79" spans="1:11" outlineLevel="1" x14ac:dyDescent="0.35">
      <c r="B79" s="7" t="s">
        <v>78</v>
      </c>
      <c r="C79" s="3">
        <v>1093</v>
      </c>
      <c r="D79" s="3" t="s">
        <v>1</v>
      </c>
      <c r="E79" s="3" t="s">
        <v>1</v>
      </c>
      <c r="F79" s="3">
        <v>1093</v>
      </c>
      <c r="G79" s="3">
        <v>1247</v>
      </c>
      <c r="H79" s="3" t="s">
        <v>1</v>
      </c>
      <c r="I79" s="3" t="s">
        <v>1</v>
      </c>
      <c r="J79" s="3">
        <v>1247</v>
      </c>
      <c r="K79" s="3">
        <f>F79-J79</f>
        <v>-154</v>
      </c>
    </row>
    <row r="80" spans="1:11" outlineLevel="1" x14ac:dyDescent="0.35">
      <c r="B80" s="7" t="s">
        <v>77</v>
      </c>
      <c r="C80" s="3">
        <v>-4</v>
      </c>
      <c r="D80" s="3" t="s">
        <v>1</v>
      </c>
      <c r="E80" s="3" t="s">
        <v>1</v>
      </c>
      <c r="F80" s="3">
        <v>-4</v>
      </c>
      <c r="G80" s="3">
        <v>0</v>
      </c>
      <c r="H80" s="3" t="s">
        <v>1</v>
      </c>
      <c r="I80" s="3" t="s">
        <v>1</v>
      </c>
      <c r="J80" s="3">
        <v>0</v>
      </c>
      <c r="K80" s="3">
        <f>F80-J80</f>
        <v>-4</v>
      </c>
    </row>
    <row r="81" spans="1:11" outlineLevel="1" x14ac:dyDescent="0.35">
      <c r="B81" s="7" t="s">
        <v>76</v>
      </c>
      <c r="C81" s="3" t="s">
        <v>1</v>
      </c>
      <c r="D81" s="3" t="s">
        <v>1</v>
      </c>
      <c r="E81" s="3" t="s">
        <v>1</v>
      </c>
      <c r="F81" s="3" t="s">
        <v>1</v>
      </c>
      <c r="G81" s="3" t="s">
        <v>1</v>
      </c>
      <c r="H81" s="3" t="s">
        <v>1</v>
      </c>
      <c r="I81" s="3" t="s">
        <v>1</v>
      </c>
      <c r="J81" s="3" t="s">
        <v>1</v>
      </c>
      <c r="K81" s="3"/>
    </row>
    <row r="82" spans="1:11" outlineLevel="1" x14ac:dyDescent="0.35">
      <c r="B82" s="7" t="s">
        <v>75</v>
      </c>
      <c r="C82" s="3" t="s">
        <v>1</v>
      </c>
      <c r="D82" s="3" t="s">
        <v>1</v>
      </c>
      <c r="E82" s="3" t="s">
        <v>1</v>
      </c>
      <c r="F82" s="3" t="s">
        <v>1</v>
      </c>
      <c r="G82" s="3" t="s">
        <v>1</v>
      </c>
      <c r="H82" s="3" t="s">
        <v>1</v>
      </c>
      <c r="I82" s="3" t="s">
        <v>1</v>
      </c>
      <c r="J82" s="3" t="s">
        <v>1</v>
      </c>
      <c r="K82" s="3"/>
    </row>
    <row r="83" spans="1:11" x14ac:dyDescent="0.35">
      <c r="A83" s="6" t="s">
        <v>1</v>
      </c>
      <c r="B83" s="5" t="s">
        <v>74</v>
      </c>
      <c r="C83" s="4" t="s">
        <v>1</v>
      </c>
      <c r="D83" s="4" t="s">
        <v>1</v>
      </c>
      <c r="E83" s="4" t="s">
        <v>1</v>
      </c>
      <c r="F83" s="4" t="s">
        <v>1</v>
      </c>
      <c r="G83" s="4" t="s">
        <v>1</v>
      </c>
      <c r="H83" s="4" t="s">
        <v>1</v>
      </c>
      <c r="I83" s="4" t="s">
        <v>1</v>
      </c>
      <c r="J83" s="4" t="s">
        <v>1</v>
      </c>
      <c r="K83" s="3"/>
    </row>
    <row r="84" spans="1:11" x14ac:dyDescent="0.35">
      <c r="B84" s="7" t="s">
        <v>73</v>
      </c>
      <c r="C84" s="3">
        <v>9326</v>
      </c>
      <c r="D84" s="3">
        <v>16293</v>
      </c>
      <c r="E84" s="3" t="s">
        <v>1</v>
      </c>
      <c r="F84" s="3">
        <v>25618</v>
      </c>
      <c r="G84" s="3">
        <v>9641</v>
      </c>
      <c r="H84" s="3">
        <v>23165</v>
      </c>
      <c r="I84" s="3" t="s">
        <v>1</v>
      </c>
      <c r="J84" s="3">
        <v>32806</v>
      </c>
      <c r="K84" s="3">
        <f>F84-J84</f>
        <v>-7188</v>
      </c>
    </row>
    <row r="85" spans="1:11" outlineLevel="1" x14ac:dyDescent="0.35">
      <c r="B85" s="7" t="s">
        <v>72</v>
      </c>
      <c r="C85" s="3">
        <v>-1</v>
      </c>
      <c r="D85" s="3" t="s">
        <v>1</v>
      </c>
      <c r="E85" s="3" t="s">
        <v>1</v>
      </c>
      <c r="F85" s="3">
        <v>-1</v>
      </c>
      <c r="G85" s="3">
        <v>0</v>
      </c>
      <c r="H85" s="3" t="s">
        <v>1</v>
      </c>
      <c r="I85" s="3" t="s">
        <v>1</v>
      </c>
      <c r="J85" s="3">
        <v>0</v>
      </c>
      <c r="K85" s="3">
        <f>F85-J85</f>
        <v>-1</v>
      </c>
    </row>
    <row r="86" spans="1:11" outlineLevel="1" x14ac:dyDescent="0.35">
      <c r="B86" s="7" t="s">
        <v>71</v>
      </c>
      <c r="C86" s="3">
        <v>9327</v>
      </c>
      <c r="D86" s="3">
        <v>16293</v>
      </c>
      <c r="E86" s="3" t="s">
        <v>1</v>
      </c>
      <c r="F86" s="3">
        <v>25619</v>
      </c>
      <c r="G86" s="3">
        <v>9641</v>
      </c>
      <c r="H86" s="3">
        <v>23165</v>
      </c>
      <c r="I86" s="3" t="s">
        <v>1</v>
      </c>
      <c r="J86" s="3">
        <v>32806</v>
      </c>
      <c r="K86" s="3">
        <f>F86-J86</f>
        <v>-7187</v>
      </c>
    </row>
    <row r="87" spans="1:11" x14ac:dyDescent="0.35">
      <c r="B87" s="7" t="s">
        <v>70</v>
      </c>
      <c r="C87" s="3">
        <v>1315</v>
      </c>
      <c r="D87" s="3">
        <v>1025</v>
      </c>
      <c r="E87" s="3" t="s">
        <v>1</v>
      </c>
      <c r="F87" s="3">
        <v>2340</v>
      </c>
      <c r="G87" s="3">
        <v>1359</v>
      </c>
      <c r="H87" s="3">
        <v>2326</v>
      </c>
      <c r="I87" s="3" t="s">
        <v>1</v>
      </c>
      <c r="J87" s="3">
        <v>3685</v>
      </c>
      <c r="K87" s="3">
        <f>F87-J87</f>
        <v>-1345</v>
      </c>
    </row>
    <row r="88" spans="1:11" outlineLevel="1" x14ac:dyDescent="0.35">
      <c r="B88" s="7" t="s">
        <v>69</v>
      </c>
      <c r="C88" s="3" t="s">
        <v>1</v>
      </c>
      <c r="D88" s="3" t="s">
        <v>1</v>
      </c>
      <c r="E88" s="3" t="s">
        <v>1</v>
      </c>
      <c r="F88" s="3" t="s">
        <v>1</v>
      </c>
      <c r="G88" s="3" t="s">
        <v>1</v>
      </c>
      <c r="H88" s="3" t="s">
        <v>1</v>
      </c>
      <c r="I88" s="3" t="s">
        <v>1</v>
      </c>
      <c r="J88" s="3" t="s">
        <v>1</v>
      </c>
      <c r="K88" s="3"/>
    </row>
    <row r="89" spans="1:11" outlineLevel="1" x14ac:dyDescent="0.35">
      <c r="B89" s="7" t="s">
        <v>68</v>
      </c>
      <c r="C89" s="3">
        <v>1315</v>
      </c>
      <c r="D89" s="3" t="s">
        <v>1</v>
      </c>
      <c r="E89" s="3" t="s">
        <v>1</v>
      </c>
      <c r="F89" s="3">
        <v>1315</v>
      </c>
      <c r="G89" s="3">
        <v>1359</v>
      </c>
      <c r="H89" s="3" t="s">
        <v>1</v>
      </c>
      <c r="I89" s="3" t="s">
        <v>1</v>
      </c>
      <c r="J89" s="3">
        <v>1359</v>
      </c>
      <c r="K89" s="3">
        <f>F89-J89</f>
        <v>-44</v>
      </c>
    </row>
    <row r="90" spans="1:11" outlineLevel="1" x14ac:dyDescent="0.35">
      <c r="B90" s="7" t="s">
        <v>67</v>
      </c>
      <c r="C90" s="3" t="s">
        <v>1</v>
      </c>
      <c r="D90" s="3">
        <v>1025</v>
      </c>
      <c r="E90" s="3" t="s">
        <v>1</v>
      </c>
      <c r="F90" s="3">
        <v>1025</v>
      </c>
      <c r="G90" s="3" t="s">
        <v>1</v>
      </c>
      <c r="H90" s="3">
        <v>2326</v>
      </c>
      <c r="I90" s="3" t="s">
        <v>1</v>
      </c>
      <c r="J90" s="3">
        <v>2326</v>
      </c>
      <c r="K90" s="3">
        <f>F90-J90</f>
        <v>-1301</v>
      </c>
    </row>
    <row r="91" spans="1:11" outlineLevel="1" x14ac:dyDescent="0.35">
      <c r="B91" s="7" t="s">
        <v>66</v>
      </c>
      <c r="C91" s="3" t="s">
        <v>1</v>
      </c>
      <c r="D91" s="3" t="s">
        <v>1</v>
      </c>
      <c r="E91" s="3" t="s">
        <v>1</v>
      </c>
      <c r="F91" s="3" t="s">
        <v>1</v>
      </c>
      <c r="G91" s="3" t="s">
        <v>1</v>
      </c>
      <c r="H91" s="3" t="s">
        <v>1</v>
      </c>
      <c r="I91" s="3" t="s">
        <v>1</v>
      </c>
      <c r="J91" s="3" t="s">
        <v>1</v>
      </c>
      <c r="K91" s="3"/>
    </row>
    <row r="92" spans="1:11" x14ac:dyDescent="0.35">
      <c r="B92" s="7" t="s">
        <v>65</v>
      </c>
      <c r="C92" s="3">
        <v>2028</v>
      </c>
      <c r="D92" s="3">
        <v>5513</v>
      </c>
      <c r="E92" s="3" t="s">
        <v>1</v>
      </c>
      <c r="F92" s="3">
        <v>7541</v>
      </c>
      <c r="G92" s="3">
        <v>2242</v>
      </c>
      <c r="H92" s="3">
        <v>3675</v>
      </c>
      <c r="I92" s="3" t="s">
        <v>1</v>
      </c>
      <c r="J92" s="3">
        <v>5917</v>
      </c>
      <c r="K92" s="3">
        <f>F92-J92</f>
        <v>1624</v>
      </c>
    </row>
    <row r="93" spans="1:11" outlineLevel="1" x14ac:dyDescent="0.35">
      <c r="B93" s="7" t="s">
        <v>64</v>
      </c>
      <c r="C93" s="3" t="s">
        <v>1</v>
      </c>
      <c r="D93" s="3">
        <v>5513</v>
      </c>
      <c r="E93" s="3" t="s">
        <v>1</v>
      </c>
      <c r="F93" s="3">
        <v>5513</v>
      </c>
      <c r="G93" s="3" t="s">
        <v>1</v>
      </c>
      <c r="H93" s="3">
        <v>3675</v>
      </c>
      <c r="I93" s="3" t="s">
        <v>1</v>
      </c>
      <c r="J93" s="3">
        <v>3675</v>
      </c>
      <c r="K93" s="3">
        <f>F93-J93</f>
        <v>1838</v>
      </c>
    </row>
    <row r="94" spans="1:11" outlineLevel="1" x14ac:dyDescent="0.35">
      <c r="B94" s="7" t="s">
        <v>63</v>
      </c>
      <c r="C94" s="3">
        <v>557</v>
      </c>
      <c r="D94" s="3" t="s">
        <v>1</v>
      </c>
      <c r="E94" s="3" t="s">
        <v>1</v>
      </c>
      <c r="F94" s="3">
        <v>557</v>
      </c>
      <c r="G94" s="3">
        <v>632</v>
      </c>
      <c r="H94" s="3" t="s">
        <v>1</v>
      </c>
      <c r="I94" s="3" t="s">
        <v>1</v>
      </c>
      <c r="J94" s="3">
        <v>632</v>
      </c>
      <c r="K94" s="3">
        <f>F94-J94</f>
        <v>-75</v>
      </c>
    </row>
    <row r="95" spans="1:11" outlineLevel="1" x14ac:dyDescent="0.35">
      <c r="B95" s="7" t="s">
        <v>62</v>
      </c>
      <c r="C95" s="3">
        <v>693</v>
      </c>
      <c r="D95" s="3" t="s">
        <v>1</v>
      </c>
      <c r="E95" s="3" t="s">
        <v>1</v>
      </c>
      <c r="F95" s="3">
        <v>693</v>
      </c>
      <c r="G95" s="3">
        <v>774</v>
      </c>
      <c r="H95" s="3" t="s">
        <v>1</v>
      </c>
      <c r="I95" s="3" t="s">
        <v>1</v>
      </c>
      <c r="J95" s="3">
        <v>774</v>
      </c>
      <c r="K95" s="3">
        <f>F95-J95</f>
        <v>-81</v>
      </c>
    </row>
    <row r="96" spans="1:11" outlineLevel="1" x14ac:dyDescent="0.35">
      <c r="B96" s="7" t="s">
        <v>61</v>
      </c>
      <c r="C96" s="3">
        <v>777</v>
      </c>
      <c r="D96" s="3" t="s">
        <v>1</v>
      </c>
      <c r="E96" s="3" t="s">
        <v>1</v>
      </c>
      <c r="F96" s="3">
        <v>777</v>
      </c>
      <c r="G96" s="3">
        <v>836</v>
      </c>
      <c r="H96" s="3" t="s">
        <v>1</v>
      </c>
      <c r="I96" s="3" t="s">
        <v>1</v>
      </c>
      <c r="J96" s="3">
        <v>836</v>
      </c>
      <c r="K96" s="3">
        <f>F96-J96</f>
        <v>-59</v>
      </c>
    </row>
    <row r="97" spans="2:11" outlineLevel="1" x14ac:dyDescent="0.35">
      <c r="B97" s="7" t="s">
        <v>60</v>
      </c>
      <c r="C97" s="3" t="s">
        <v>1</v>
      </c>
      <c r="D97" s="3" t="s">
        <v>1</v>
      </c>
      <c r="E97" s="3" t="s">
        <v>1</v>
      </c>
      <c r="F97" s="3" t="s">
        <v>1</v>
      </c>
      <c r="G97" s="3" t="s">
        <v>1</v>
      </c>
      <c r="H97" s="3" t="s">
        <v>1</v>
      </c>
      <c r="I97" s="3" t="s">
        <v>1</v>
      </c>
      <c r="J97" s="3" t="s">
        <v>1</v>
      </c>
      <c r="K97" s="3"/>
    </row>
    <row r="98" spans="2:11" x14ac:dyDescent="0.35">
      <c r="B98" s="7" t="s">
        <v>59</v>
      </c>
      <c r="C98" s="3">
        <v>2255</v>
      </c>
      <c r="D98" s="3">
        <v>7785</v>
      </c>
      <c r="E98" s="3" t="s">
        <v>1</v>
      </c>
      <c r="F98" s="3">
        <v>10040</v>
      </c>
      <c r="G98" s="3">
        <v>2776</v>
      </c>
      <c r="H98" s="3">
        <v>6780</v>
      </c>
      <c r="I98" s="3" t="s">
        <v>1</v>
      </c>
      <c r="J98" s="3">
        <v>9556</v>
      </c>
      <c r="K98" s="3">
        <f>F98-J98</f>
        <v>484</v>
      </c>
    </row>
    <row r="99" spans="2:11" outlineLevel="1" x14ac:dyDescent="0.35">
      <c r="B99" s="7" t="s">
        <v>58</v>
      </c>
      <c r="C99" s="3" t="s">
        <v>1</v>
      </c>
      <c r="D99" s="3" t="s">
        <v>1</v>
      </c>
      <c r="E99" s="3" t="s">
        <v>1</v>
      </c>
      <c r="F99" s="3" t="s">
        <v>1</v>
      </c>
      <c r="G99" s="3" t="s">
        <v>1</v>
      </c>
      <c r="H99" s="3" t="s">
        <v>1</v>
      </c>
      <c r="I99" s="3" t="s">
        <v>1</v>
      </c>
      <c r="J99" s="3" t="s">
        <v>1</v>
      </c>
      <c r="K99" s="3"/>
    </row>
    <row r="100" spans="2:11" outlineLevel="1" x14ac:dyDescent="0.35">
      <c r="B100" s="7" t="s">
        <v>57</v>
      </c>
      <c r="C100" s="3" t="s">
        <v>1</v>
      </c>
      <c r="D100" s="3" t="s">
        <v>1</v>
      </c>
      <c r="E100" s="3" t="s">
        <v>1</v>
      </c>
      <c r="F100" s="3" t="s">
        <v>1</v>
      </c>
      <c r="G100" s="3" t="s">
        <v>1</v>
      </c>
      <c r="H100" s="3" t="s">
        <v>1</v>
      </c>
      <c r="I100" s="3" t="s">
        <v>1</v>
      </c>
      <c r="J100" s="3" t="s">
        <v>1</v>
      </c>
      <c r="K100" s="3"/>
    </row>
    <row r="101" spans="2:11" outlineLevel="1" x14ac:dyDescent="0.35">
      <c r="B101" s="7" t="s">
        <v>56</v>
      </c>
      <c r="C101" s="3" t="s">
        <v>1</v>
      </c>
      <c r="D101" s="3" t="s">
        <v>1</v>
      </c>
      <c r="E101" s="3" t="s">
        <v>1</v>
      </c>
      <c r="F101" s="3" t="s">
        <v>1</v>
      </c>
      <c r="G101" s="3" t="s">
        <v>1</v>
      </c>
      <c r="H101" s="3" t="s">
        <v>1</v>
      </c>
      <c r="I101" s="3" t="s">
        <v>1</v>
      </c>
      <c r="J101" s="3" t="s">
        <v>1</v>
      </c>
      <c r="K101" s="3"/>
    </row>
    <row r="102" spans="2:11" outlineLevel="1" x14ac:dyDescent="0.35">
      <c r="B102" s="7" t="s">
        <v>55</v>
      </c>
      <c r="C102" s="3" t="s">
        <v>1</v>
      </c>
      <c r="D102" s="3" t="s">
        <v>1</v>
      </c>
      <c r="E102" s="3" t="s">
        <v>1</v>
      </c>
      <c r="F102" s="3" t="s">
        <v>1</v>
      </c>
      <c r="G102" s="3" t="s">
        <v>1</v>
      </c>
      <c r="H102" s="3" t="s">
        <v>1</v>
      </c>
      <c r="I102" s="3" t="s">
        <v>1</v>
      </c>
      <c r="J102" s="3" t="s">
        <v>1</v>
      </c>
      <c r="K102" s="3"/>
    </row>
    <row r="103" spans="2:11" outlineLevel="1" x14ac:dyDescent="0.35">
      <c r="B103" s="7" t="s">
        <v>54</v>
      </c>
      <c r="C103" s="3" t="s">
        <v>1</v>
      </c>
      <c r="D103" s="3">
        <v>0</v>
      </c>
      <c r="E103" s="3" t="s">
        <v>1</v>
      </c>
      <c r="F103" s="3">
        <v>0</v>
      </c>
      <c r="G103" s="3" t="s">
        <v>1</v>
      </c>
      <c r="H103" s="3">
        <v>212</v>
      </c>
      <c r="I103" s="3" t="s">
        <v>1</v>
      </c>
      <c r="J103" s="3">
        <v>212</v>
      </c>
      <c r="K103" s="3">
        <f>F103-J103</f>
        <v>-212</v>
      </c>
    </row>
    <row r="104" spans="2:11" outlineLevel="1" x14ac:dyDescent="0.35">
      <c r="B104" s="7" t="s">
        <v>53</v>
      </c>
      <c r="C104" s="3" t="s">
        <v>1</v>
      </c>
      <c r="D104" s="3">
        <v>537</v>
      </c>
      <c r="E104" s="3" t="s">
        <v>1</v>
      </c>
      <c r="F104" s="3">
        <v>537</v>
      </c>
      <c r="G104" s="3" t="s">
        <v>1</v>
      </c>
      <c r="H104" s="3">
        <v>523</v>
      </c>
      <c r="I104" s="3" t="s">
        <v>1</v>
      </c>
      <c r="J104" s="3">
        <v>523</v>
      </c>
      <c r="K104" s="3">
        <f>F104-J104</f>
        <v>14</v>
      </c>
    </row>
    <row r="105" spans="2:11" outlineLevel="1" x14ac:dyDescent="0.35">
      <c r="B105" s="7" t="s">
        <v>52</v>
      </c>
      <c r="C105" s="3" t="s">
        <v>1</v>
      </c>
      <c r="D105" s="3" t="s">
        <v>1</v>
      </c>
      <c r="E105" s="3" t="s">
        <v>1</v>
      </c>
      <c r="F105" s="3" t="s">
        <v>1</v>
      </c>
      <c r="G105" s="3" t="s">
        <v>1</v>
      </c>
      <c r="H105" s="3" t="s">
        <v>1</v>
      </c>
      <c r="I105" s="3" t="s">
        <v>1</v>
      </c>
      <c r="J105" s="3" t="s">
        <v>1</v>
      </c>
      <c r="K105" s="3"/>
    </row>
    <row r="106" spans="2:11" outlineLevel="1" x14ac:dyDescent="0.35">
      <c r="B106" s="7" t="s">
        <v>51</v>
      </c>
      <c r="C106" s="3" t="s">
        <v>1</v>
      </c>
      <c r="D106" s="3">
        <v>0</v>
      </c>
      <c r="E106" s="3" t="s">
        <v>1</v>
      </c>
      <c r="F106" s="3">
        <v>0</v>
      </c>
      <c r="G106" s="3" t="s">
        <v>1</v>
      </c>
      <c r="H106" s="3">
        <v>25</v>
      </c>
      <c r="I106" s="3" t="s">
        <v>1</v>
      </c>
      <c r="J106" s="3">
        <v>25</v>
      </c>
      <c r="K106" s="3">
        <f>F106-J106</f>
        <v>-25</v>
      </c>
    </row>
    <row r="107" spans="2:11" outlineLevel="1" x14ac:dyDescent="0.35">
      <c r="B107" s="7" t="s">
        <v>50</v>
      </c>
      <c r="C107" s="3">
        <v>241</v>
      </c>
      <c r="D107" s="3">
        <v>-79</v>
      </c>
      <c r="E107" s="3" t="s">
        <v>1</v>
      </c>
      <c r="F107" s="3">
        <v>162</v>
      </c>
      <c r="G107" s="3">
        <v>175</v>
      </c>
      <c r="H107" s="3">
        <v>480</v>
      </c>
      <c r="I107" s="3" t="s">
        <v>1</v>
      </c>
      <c r="J107" s="3">
        <v>655</v>
      </c>
      <c r="K107" s="3">
        <f>F107-J107</f>
        <v>-493</v>
      </c>
    </row>
    <row r="108" spans="2:11" outlineLevel="1" x14ac:dyDescent="0.35">
      <c r="B108" s="7" t="s">
        <v>49</v>
      </c>
      <c r="C108" s="3">
        <v>731</v>
      </c>
      <c r="D108" s="3">
        <v>5450</v>
      </c>
      <c r="E108" s="3" t="s">
        <v>1</v>
      </c>
      <c r="F108" s="3">
        <v>6181</v>
      </c>
      <c r="G108" s="3">
        <v>756</v>
      </c>
      <c r="H108" s="3">
        <v>3025</v>
      </c>
      <c r="I108" s="3" t="s">
        <v>1</v>
      </c>
      <c r="J108" s="3">
        <v>3781</v>
      </c>
      <c r="K108" s="3">
        <f>F108-J108</f>
        <v>2400</v>
      </c>
    </row>
    <row r="109" spans="2:11" outlineLevel="1" x14ac:dyDescent="0.35">
      <c r="B109" s="7" t="s">
        <v>48</v>
      </c>
      <c r="C109" s="3" t="s">
        <v>1</v>
      </c>
      <c r="D109" s="3">
        <v>0</v>
      </c>
      <c r="E109" s="3" t="s">
        <v>1</v>
      </c>
      <c r="F109" s="3">
        <v>0</v>
      </c>
      <c r="G109" s="3" t="s">
        <v>1</v>
      </c>
      <c r="H109" s="3">
        <v>15</v>
      </c>
      <c r="I109" s="3" t="s">
        <v>1</v>
      </c>
      <c r="J109" s="3">
        <v>15</v>
      </c>
      <c r="K109" s="3">
        <f>F109-J109</f>
        <v>-15</v>
      </c>
    </row>
    <row r="110" spans="2:11" outlineLevel="1" x14ac:dyDescent="0.35">
      <c r="B110" s="7" t="s">
        <v>47</v>
      </c>
      <c r="C110" s="3">
        <v>0</v>
      </c>
      <c r="D110" s="3" t="s">
        <v>1</v>
      </c>
      <c r="E110" s="3" t="s">
        <v>1</v>
      </c>
      <c r="F110" s="3">
        <v>0</v>
      </c>
      <c r="G110" s="3">
        <v>0</v>
      </c>
      <c r="H110" s="3" t="s">
        <v>1</v>
      </c>
      <c r="I110" s="3" t="s">
        <v>1</v>
      </c>
      <c r="J110" s="3">
        <v>0</v>
      </c>
      <c r="K110" s="3">
        <f>F110-J110</f>
        <v>0</v>
      </c>
    </row>
    <row r="111" spans="2:11" outlineLevel="1" x14ac:dyDescent="0.35">
      <c r="B111" s="7" t="s">
        <v>46</v>
      </c>
      <c r="C111" s="3" t="s">
        <v>1</v>
      </c>
      <c r="D111" s="3" t="s">
        <v>1</v>
      </c>
      <c r="E111" s="3" t="s">
        <v>1</v>
      </c>
      <c r="F111" s="3" t="s">
        <v>1</v>
      </c>
      <c r="G111" s="3" t="s">
        <v>1</v>
      </c>
      <c r="H111" s="3" t="s">
        <v>1</v>
      </c>
      <c r="I111" s="3" t="s">
        <v>1</v>
      </c>
      <c r="J111" s="3" t="s">
        <v>1</v>
      </c>
      <c r="K111" s="3"/>
    </row>
    <row r="112" spans="2:11" outlineLevel="1" x14ac:dyDescent="0.35">
      <c r="B112" s="7" t="s">
        <v>45</v>
      </c>
      <c r="C112" s="3">
        <v>-2</v>
      </c>
      <c r="D112" s="3" t="s">
        <v>1</v>
      </c>
      <c r="E112" s="3" t="s">
        <v>1</v>
      </c>
      <c r="F112" s="3">
        <v>-2</v>
      </c>
      <c r="G112" s="3">
        <v>0</v>
      </c>
      <c r="H112" s="3" t="s">
        <v>1</v>
      </c>
      <c r="I112" s="3" t="s">
        <v>1</v>
      </c>
      <c r="J112" s="3">
        <v>0</v>
      </c>
      <c r="K112" s="3">
        <f>F112-J112</f>
        <v>-2</v>
      </c>
    </row>
    <row r="113" spans="2:11" outlineLevel="1" x14ac:dyDescent="0.35">
      <c r="B113" s="7" t="s">
        <v>44</v>
      </c>
      <c r="C113" s="3">
        <v>281</v>
      </c>
      <c r="D113" s="3" t="s">
        <v>1</v>
      </c>
      <c r="E113" s="3" t="s">
        <v>1</v>
      </c>
      <c r="F113" s="3">
        <v>281</v>
      </c>
      <c r="G113" s="3">
        <v>294</v>
      </c>
      <c r="H113" s="3" t="s">
        <v>1</v>
      </c>
      <c r="I113" s="3" t="s">
        <v>1</v>
      </c>
      <c r="J113" s="3">
        <v>294</v>
      </c>
      <c r="K113" s="3">
        <f>F113-J113</f>
        <v>-13</v>
      </c>
    </row>
    <row r="114" spans="2:11" outlineLevel="1" x14ac:dyDescent="0.35">
      <c r="B114" s="7" t="s">
        <v>43</v>
      </c>
      <c r="C114" s="3" t="s">
        <v>1</v>
      </c>
      <c r="D114" s="3" t="s">
        <v>1</v>
      </c>
      <c r="E114" s="3" t="s">
        <v>1</v>
      </c>
      <c r="F114" s="3" t="s">
        <v>1</v>
      </c>
      <c r="G114" s="3" t="s">
        <v>1</v>
      </c>
      <c r="H114" s="3" t="s">
        <v>1</v>
      </c>
      <c r="I114" s="3" t="s">
        <v>1</v>
      </c>
      <c r="J114" s="3" t="s">
        <v>1</v>
      </c>
      <c r="K114" s="3"/>
    </row>
    <row r="115" spans="2:11" outlineLevel="1" x14ac:dyDescent="0.35">
      <c r="B115" s="7" t="s">
        <v>42</v>
      </c>
      <c r="C115" s="3" t="s">
        <v>1</v>
      </c>
      <c r="D115" s="3" t="s">
        <v>1</v>
      </c>
      <c r="E115" s="3" t="s">
        <v>1</v>
      </c>
      <c r="F115" s="3" t="s">
        <v>1</v>
      </c>
      <c r="G115" s="3" t="s">
        <v>1</v>
      </c>
      <c r="H115" s="3" t="s">
        <v>1</v>
      </c>
      <c r="I115" s="3" t="s">
        <v>1</v>
      </c>
      <c r="J115" s="3" t="s">
        <v>1</v>
      </c>
      <c r="K115" s="3"/>
    </row>
    <row r="116" spans="2:11" outlineLevel="1" x14ac:dyDescent="0.35">
      <c r="B116" s="7" t="s">
        <v>41</v>
      </c>
      <c r="C116" s="3">
        <v>250</v>
      </c>
      <c r="D116" s="3" t="s">
        <v>1</v>
      </c>
      <c r="E116" s="3" t="s">
        <v>1</v>
      </c>
      <c r="F116" s="3">
        <v>250</v>
      </c>
      <c r="G116" s="3">
        <v>236</v>
      </c>
      <c r="H116" s="3" t="s">
        <v>1</v>
      </c>
      <c r="I116" s="3" t="s">
        <v>1</v>
      </c>
      <c r="J116" s="3">
        <v>236</v>
      </c>
      <c r="K116" s="3">
        <f>F116-J116</f>
        <v>14</v>
      </c>
    </row>
    <row r="117" spans="2:11" outlineLevel="1" x14ac:dyDescent="0.35">
      <c r="B117" s="7" t="s">
        <v>40</v>
      </c>
      <c r="C117" s="3">
        <v>484</v>
      </c>
      <c r="D117" s="3" t="s">
        <v>1</v>
      </c>
      <c r="E117" s="3" t="s">
        <v>1</v>
      </c>
      <c r="F117" s="3">
        <v>484</v>
      </c>
      <c r="G117" s="3">
        <v>495</v>
      </c>
      <c r="H117" s="3" t="s">
        <v>1</v>
      </c>
      <c r="I117" s="3" t="s">
        <v>1</v>
      </c>
      <c r="J117" s="3">
        <v>495</v>
      </c>
      <c r="K117" s="3">
        <f>F117-J117</f>
        <v>-11</v>
      </c>
    </row>
    <row r="118" spans="2:11" outlineLevel="1" x14ac:dyDescent="0.35">
      <c r="B118" s="7" t="s">
        <v>39</v>
      </c>
      <c r="C118" s="3" t="s">
        <v>1</v>
      </c>
      <c r="D118" s="3" t="s">
        <v>1</v>
      </c>
      <c r="E118" s="3" t="s">
        <v>1</v>
      </c>
      <c r="F118" s="3" t="s">
        <v>1</v>
      </c>
      <c r="G118" s="3" t="s">
        <v>1</v>
      </c>
      <c r="H118" s="3" t="s">
        <v>1</v>
      </c>
      <c r="I118" s="3" t="s">
        <v>1</v>
      </c>
      <c r="J118" s="3" t="s">
        <v>1</v>
      </c>
      <c r="K118" s="3"/>
    </row>
    <row r="119" spans="2:11" outlineLevel="1" x14ac:dyDescent="0.35">
      <c r="B119" s="7" t="s">
        <v>38</v>
      </c>
      <c r="C119" s="3" t="s">
        <v>1</v>
      </c>
      <c r="D119" s="3" t="s">
        <v>1</v>
      </c>
      <c r="E119" s="3" t="s">
        <v>1</v>
      </c>
      <c r="F119" s="3" t="s">
        <v>1</v>
      </c>
      <c r="G119" s="3" t="s">
        <v>1</v>
      </c>
      <c r="H119" s="3" t="s">
        <v>1</v>
      </c>
      <c r="I119" s="3" t="s">
        <v>1</v>
      </c>
      <c r="J119" s="3" t="s">
        <v>1</v>
      </c>
      <c r="K119" s="3"/>
    </row>
    <row r="120" spans="2:11" outlineLevel="1" x14ac:dyDescent="0.35">
      <c r="B120" s="7" t="s">
        <v>37</v>
      </c>
      <c r="C120" s="3">
        <v>-16</v>
      </c>
      <c r="D120" s="3" t="s">
        <v>1</v>
      </c>
      <c r="E120" s="3" t="s">
        <v>1</v>
      </c>
      <c r="F120" s="3">
        <v>-16</v>
      </c>
      <c r="G120" s="3">
        <v>0</v>
      </c>
      <c r="H120" s="3" t="s">
        <v>1</v>
      </c>
      <c r="I120" s="3" t="s">
        <v>1</v>
      </c>
      <c r="J120" s="3">
        <v>0</v>
      </c>
      <c r="K120" s="3">
        <f>F120-J120</f>
        <v>-16</v>
      </c>
    </row>
    <row r="121" spans="2:11" outlineLevel="1" x14ac:dyDescent="0.35">
      <c r="B121" s="7" t="s">
        <v>36</v>
      </c>
      <c r="C121" s="3" t="s">
        <v>1</v>
      </c>
      <c r="D121" s="3" t="s">
        <v>1</v>
      </c>
      <c r="E121" s="3" t="s">
        <v>1</v>
      </c>
      <c r="F121" s="3" t="s">
        <v>1</v>
      </c>
      <c r="G121" s="3" t="s">
        <v>1</v>
      </c>
      <c r="H121" s="3" t="s">
        <v>1</v>
      </c>
      <c r="I121" s="3" t="s">
        <v>1</v>
      </c>
      <c r="J121" s="3" t="s">
        <v>1</v>
      </c>
      <c r="K121" s="3"/>
    </row>
    <row r="122" spans="2:11" outlineLevel="1" x14ac:dyDescent="0.35">
      <c r="B122" s="7" t="s">
        <v>35</v>
      </c>
      <c r="C122" s="3">
        <v>-2</v>
      </c>
      <c r="D122" s="3" t="s">
        <v>1</v>
      </c>
      <c r="E122" s="3" t="s">
        <v>1</v>
      </c>
      <c r="F122" s="3">
        <v>-2</v>
      </c>
      <c r="G122" s="3">
        <v>0</v>
      </c>
      <c r="H122" s="3" t="s">
        <v>1</v>
      </c>
      <c r="I122" s="3" t="s">
        <v>1</v>
      </c>
      <c r="J122" s="3">
        <v>0</v>
      </c>
      <c r="K122" s="3">
        <f>F122-J122</f>
        <v>-2</v>
      </c>
    </row>
    <row r="123" spans="2:11" outlineLevel="1" x14ac:dyDescent="0.35">
      <c r="B123" s="7" t="s">
        <v>34</v>
      </c>
      <c r="C123" s="3" t="s">
        <v>1</v>
      </c>
      <c r="D123" s="3" t="s">
        <v>1</v>
      </c>
      <c r="E123" s="3" t="s">
        <v>1</v>
      </c>
      <c r="F123" s="3" t="s">
        <v>1</v>
      </c>
      <c r="G123" s="3" t="s">
        <v>1</v>
      </c>
      <c r="H123" s="3" t="s">
        <v>1</v>
      </c>
      <c r="I123" s="3" t="s">
        <v>1</v>
      </c>
      <c r="J123" s="3" t="s">
        <v>1</v>
      </c>
      <c r="K123" s="3"/>
    </row>
    <row r="124" spans="2:11" outlineLevel="1" x14ac:dyDescent="0.35">
      <c r="B124" s="7" t="s">
        <v>33</v>
      </c>
      <c r="C124" s="3">
        <v>298</v>
      </c>
      <c r="D124" s="3">
        <v>0</v>
      </c>
      <c r="E124" s="3" t="s">
        <v>1</v>
      </c>
      <c r="F124" s="3">
        <v>298</v>
      </c>
      <c r="G124" s="3">
        <v>777</v>
      </c>
      <c r="H124" s="3">
        <v>0</v>
      </c>
      <c r="I124" s="3" t="s">
        <v>1</v>
      </c>
      <c r="J124" s="3">
        <v>777</v>
      </c>
      <c r="K124" s="3">
        <f>F124-J124</f>
        <v>-479</v>
      </c>
    </row>
    <row r="125" spans="2:11" outlineLevel="1" x14ac:dyDescent="0.35">
      <c r="B125" s="7" t="s">
        <v>32</v>
      </c>
      <c r="C125" s="3" t="s">
        <v>1</v>
      </c>
      <c r="D125" s="3" t="s">
        <v>1</v>
      </c>
      <c r="E125" s="3" t="s">
        <v>1</v>
      </c>
      <c r="F125" s="3" t="s">
        <v>1</v>
      </c>
      <c r="G125" s="3" t="s">
        <v>1</v>
      </c>
      <c r="H125" s="3" t="s">
        <v>1</v>
      </c>
      <c r="I125" s="3" t="s">
        <v>1</v>
      </c>
      <c r="J125" s="3" t="s">
        <v>1</v>
      </c>
      <c r="K125" s="3"/>
    </row>
    <row r="126" spans="2:11" outlineLevel="1" x14ac:dyDescent="0.35">
      <c r="B126" s="7" t="s">
        <v>31</v>
      </c>
      <c r="C126" s="3" t="s">
        <v>1</v>
      </c>
      <c r="D126" s="3" t="s">
        <v>1</v>
      </c>
      <c r="E126" s="3" t="s">
        <v>1</v>
      </c>
      <c r="F126" s="3" t="s">
        <v>1</v>
      </c>
      <c r="G126" s="3" t="s">
        <v>1</v>
      </c>
      <c r="H126" s="3" t="s">
        <v>1</v>
      </c>
      <c r="I126" s="3" t="s">
        <v>1</v>
      </c>
      <c r="J126" s="3" t="s">
        <v>1</v>
      </c>
      <c r="K126" s="3"/>
    </row>
    <row r="127" spans="2:11" outlineLevel="1" x14ac:dyDescent="0.35">
      <c r="B127" s="7" t="s">
        <v>30</v>
      </c>
      <c r="C127" s="3">
        <v>0</v>
      </c>
      <c r="D127" s="3" t="s">
        <v>1</v>
      </c>
      <c r="E127" s="3" t="s">
        <v>1</v>
      </c>
      <c r="F127" s="3">
        <v>0</v>
      </c>
      <c r="G127" s="3">
        <v>0</v>
      </c>
      <c r="H127" s="3" t="s">
        <v>1</v>
      </c>
      <c r="I127" s="3" t="s">
        <v>1</v>
      </c>
      <c r="J127" s="3">
        <v>0</v>
      </c>
      <c r="K127" s="3">
        <f t="shared" ref="K127:K134" si="3">F127-J127</f>
        <v>0</v>
      </c>
    </row>
    <row r="128" spans="2:11" outlineLevel="1" x14ac:dyDescent="0.35">
      <c r="B128" s="7" t="s">
        <v>29</v>
      </c>
      <c r="C128" s="3">
        <v>-11</v>
      </c>
      <c r="D128" s="3" t="s">
        <v>1</v>
      </c>
      <c r="E128" s="3" t="s">
        <v>1</v>
      </c>
      <c r="F128" s="3">
        <v>-11</v>
      </c>
      <c r="G128" s="3">
        <v>0</v>
      </c>
      <c r="H128" s="3" t="s">
        <v>1</v>
      </c>
      <c r="I128" s="3" t="s">
        <v>1</v>
      </c>
      <c r="J128" s="3">
        <v>0</v>
      </c>
      <c r="K128" s="3">
        <f t="shared" si="3"/>
        <v>-11</v>
      </c>
    </row>
    <row r="129" spans="1:11" outlineLevel="1" x14ac:dyDescent="0.35">
      <c r="B129" s="7" t="s">
        <v>28</v>
      </c>
      <c r="C129" s="3">
        <v>0</v>
      </c>
      <c r="D129" s="3" t="s">
        <v>1</v>
      </c>
      <c r="E129" s="3" t="s">
        <v>1</v>
      </c>
      <c r="F129" s="3">
        <v>0</v>
      </c>
      <c r="G129" s="3">
        <v>44</v>
      </c>
      <c r="H129" s="3" t="s">
        <v>1</v>
      </c>
      <c r="I129" s="3" t="s">
        <v>1</v>
      </c>
      <c r="J129" s="3">
        <v>44</v>
      </c>
      <c r="K129" s="3">
        <f t="shared" si="3"/>
        <v>-44</v>
      </c>
    </row>
    <row r="130" spans="1:11" outlineLevel="1" x14ac:dyDescent="0.35">
      <c r="B130" s="7" t="s">
        <v>27</v>
      </c>
      <c r="C130" s="3" t="s">
        <v>1</v>
      </c>
      <c r="D130" s="3">
        <v>1877</v>
      </c>
      <c r="E130" s="3" t="s">
        <v>1</v>
      </c>
      <c r="F130" s="3">
        <v>1877</v>
      </c>
      <c r="G130" s="3" t="s">
        <v>1</v>
      </c>
      <c r="H130" s="3">
        <v>2500</v>
      </c>
      <c r="I130" s="3" t="s">
        <v>1</v>
      </c>
      <c r="J130" s="3">
        <v>2500</v>
      </c>
      <c r="K130" s="3">
        <f t="shared" si="3"/>
        <v>-623</v>
      </c>
    </row>
    <row r="131" spans="1:11" x14ac:dyDescent="0.35">
      <c r="B131" s="7" t="s">
        <v>26</v>
      </c>
      <c r="C131" s="3">
        <v>14922</v>
      </c>
      <c r="D131" s="3">
        <v>30615</v>
      </c>
      <c r="E131" s="3" t="s">
        <v>1</v>
      </c>
      <c r="F131" s="3">
        <v>45538</v>
      </c>
      <c r="G131" s="3">
        <v>16017</v>
      </c>
      <c r="H131" s="3">
        <v>35947</v>
      </c>
      <c r="I131" s="3" t="s">
        <v>1</v>
      </c>
      <c r="J131" s="3">
        <v>51964</v>
      </c>
      <c r="K131" s="3">
        <f t="shared" si="3"/>
        <v>-6426</v>
      </c>
    </row>
    <row r="132" spans="1:11" x14ac:dyDescent="0.35">
      <c r="A132" s="6" t="s">
        <v>1</v>
      </c>
      <c r="B132" s="5" t="s">
        <v>25</v>
      </c>
      <c r="C132" s="4">
        <v>16281</v>
      </c>
      <c r="D132" s="4">
        <v>30664</v>
      </c>
      <c r="E132" s="4">
        <v>0</v>
      </c>
      <c r="F132" s="4">
        <v>46945</v>
      </c>
      <c r="G132" s="4">
        <v>17370</v>
      </c>
      <c r="H132" s="4">
        <v>38023</v>
      </c>
      <c r="I132" s="4">
        <v>0</v>
      </c>
      <c r="J132" s="4">
        <v>55394</v>
      </c>
      <c r="K132" s="3">
        <f t="shared" si="3"/>
        <v>-8449</v>
      </c>
    </row>
    <row r="133" spans="1:11" x14ac:dyDescent="0.35">
      <c r="A133" s="6" t="s">
        <v>1</v>
      </c>
      <c r="B133" s="5" t="s">
        <v>24</v>
      </c>
      <c r="C133" s="4">
        <v>13485</v>
      </c>
      <c r="D133" s="4">
        <v>4938</v>
      </c>
      <c r="E133" s="4">
        <v>0</v>
      </c>
      <c r="F133" s="4">
        <v>18423</v>
      </c>
      <c r="G133" s="4">
        <v>20885</v>
      </c>
      <c r="H133" s="4">
        <v>-36582</v>
      </c>
      <c r="I133" s="4">
        <v>0</v>
      </c>
      <c r="J133" s="4">
        <v>-15696</v>
      </c>
      <c r="K133" s="3">
        <f t="shared" si="3"/>
        <v>34119</v>
      </c>
    </row>
    <row r="134" spans="1:11" x14ac:dyDescent="0.35">
      <c r="A134" s="6" t="s">
        <v>1</v>
      </c>
      <c r="B134" s="5" t="s">
        <v>23</v>
      </c>
      <c r="C134" s="4" t="s">
        <v>21</v>
      </c>
      <c r="D134" s="4" t="s">
        <v>22</v>
      </c>
      <c r="E134" s="4">
        <v>0</v>
      </c>
      <c r="F134" s="4" t="s">
        <v>21</v>
      </c>
      <c r="G134" s="4" t="s">
        <v>20</v>
      </c>
      <c r="H134" s="4" t="s">
        <v>19</v>
      </c>
      <c r="I134" s="4">
        <v>0</v>
      </c>
      <c r="J134" s="4" t="s">
        <v>18</v>
      </c>
      <c r="K134" s="3">
        <f t="shared" si="3"/>
        <v>0.16999999999999998</v>
      </c>
    </row>
    <row r="135" spans="1:11" x14ac:dyDescent="0.35">
      <c r="A135" s="6" t="s">
        <v>1</v>
      </c>
      <c r="B135" s="5" t="s">
        <v>1</v>
      </c>
      <c r="C135" s="4" t="s">
        <v>1</v>
      </c>
      <c r="D135" s="4" t="s">
        <v>1</v>
      </c>
      <c r="E135" s="4" t="s">
        <v>1</v>
      </c>
      <c r="F135" s="4" t="s">
        <v>1</v>
      </c>
      <c r="G135" s="4" t="s">
        <v>1</v>
      </c>
      <c r="H135" s="4" t="s">
        <v>1</v>
      </c>
      <c r="I135" s="4" t="s">
        <v>1</v>
      </c>
      <c r="J135" s="4" t="s">
        <v>1</v>
      </c>
      <c r="K135" s="3"/>
    </row>
    <row r="136" spans="1:11" x14ac:dyDescent="0.35">
      <c r="B136" s="7" t="s">
        <v>17</v>
      </c>
      <c r="C136" s="3">
        <v>-6193</v>
      </c>
      <c r="D136" s="3">
        <v>2522</v>
      </c>
      <c r="E136" s="3" t="s">
        <v>1</v>
      </c>
      <c r="F136" s="3">
        <v>-3671</v>
      </c>
      <c r="G136" s="3">
        <v>-3227</v>
      </c>
      <c r="H136" s="3">
        <v>2607</v>
      </c>
      <c r="I136" s="3" t="s">
        <v>1</v>
      </c>
      <c r="J136" s="3">
        <v>-620</v>
      </c>
      <c r="K136" s="3">
        <f>F136-J136</f>
        <v>-3051</v>
      </c>
    </row>
    <row r="137" spans="1:11" outlineLevel="1" x14ac:dyDescent="0.35">
      <c r="B137" s="7" t="s">
        <v>16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1</v>
      </c>
      <c r="J137" s="3" t="s">
        <v>1</v>
      </c>
      <c r="K137" s="3"/>
    </row>
    <row r="138" spans="1:11" outlineLevel="1" x14ac:dyDescent="0.35">
      <c r="B138" s="7" t="s">
        <v>15</v>
      </c>
      <c r="C138" s="3">
        <v>8</v>
      </c>
      <c r="D138" s="3">
        <v>15</v>
      </c>
      <c r="E138" s="3" t="s">
        <v>1</v>
      </c>
      <c r="F138" s="3">
        <v>23</v>
      </c>
      <c r="G138" s="3">
        <v>1</v>
      </c>
      <c r="H138" s="3">
        <v>108</v>
      </c>
      <c r="I138" s="3" t="s">
        <v>1</v>
      </c>
      <c r="J138" s="3">
        <v>109</v>
      </c>
      <c r="K138" s="3">
        <f>F138-J138</f>
        <v>-86</v>
      </c>
    </row>
    <row r="139" spans="1:11" outlineLevel="1" x14ac:dyDescent="0.35">
      <c r="B139" s="7" t="s">
        <v>14</v>
      </c>
      <c r="C139" s="3">
        <v>-7054</v>
      </c>
      <c r="D139" s="3" t="s">
        <v>1</v>
      </c>
      <c r="E139" s="3" t="s">
        <v>1</v>
      </c>
      <c r="F139" s="3">
        <v>-7054</v>
      </c>
      <c r="G139" s="3">
        <v>-4176</v>
      </c>
      <c r="H139" s="3" t="s">
        <v>1</v>
      </c>
      <c r="I139" s="3" t="s">
        <v>1</v>
      </c>
      <c r="J139" s="3">
        <v>-4176</v>
      </c>
      <c r="K139" s="3">
        <f>F139-J139</f>
        <v>-2878</v>
      </c>
    </row>
    <row r="140" spans="1:11" outlineLevel="1" x14ac:dyDescent="0.35">
      <c r="B140" s="7" t="s">
        <v>13</v>
      </c>
      <c r="C140" s="3" t="s">
        <v>1</v>
      </c>
      <c r="D140" s="3" t="s">
        <v>1</v>
      </c>
      <c r="E140" s="3" t="s">
        <v>1</v>
      </c>
      <c r="F140" s="3" t="s">
        <v>1</v>
      </c>
      <c r="G140" s="3" t="s">
        <v>1</v>
      </c>
      <c r="H140" s="3" t="s">
        <v>1</v>
      </c>
      <c r="I140" s="3" t="s">
        <v>1</v>
      </c>
      <c r="J140" s="3" t="s">
        <v>1</v>
      </c>
      <c r="K140" s="3"/>
    </row>
    <row r="141" spans="1:11" outlineLevel="1" x14ac:dyDescent="0.35">
      <c r="B141" s="7" t="s">
        <v>12</v>
      </c>
      <c r="C141" s="3" t="s">
        <v>1</v>
      </c>
      <c r="D141" s="3">
        <v>147</v>
      </c>
      <c r="E141" s="3" t="s">
        <v>1</v>
      </c>
      <c r="F141" s="3">
        <v>147</v>
      </c>
      <c r="G141" s="3" t="s">
        <v>1</v>
      </c>
      <c r="H141" s="3">
        <v>139</v>
      </c>
      <c r="I141" s="3" t="s">
        <v>1</v>
      </c>
      <c r="J141" s="3">
        <v>139</v>
      </c>
      <c r="K141" s="3">
        <f>F141-J141</f>
        <v>8</v>
      </c>
    </row>
    <row r="142" spans="1:11" outlineLevel="1" x14ac:dyDescent="0.35">
      <c r="B142" s="7" t="s">
        <v>11</v>
      </c>
      <c r="C142" s="3" t="s">
        <v>1</v>
      </c>
      <c r="D142" s="3" t="s">
        <v>1</v>
      </c>
      <c r="E142" s="3" t="s">
        <v>1</v>
      </c>
      <c r="F142" s="3" t="s">
        <v>1</v>
      </c>
      <c r="G142" s="3" t="s">
        <v>1</v>
      </c>
      <c r="H142" s="3" t="s">
        <v>1</v>
      </c>
      <c r="I142" s="3" t="s">
        <v>1</v>
      </c>
      <c r="J142" s="3" t="s">
        <v>1</v>
      </c>
      <c r="K142" s="3"/>
    </row>
    <row r="143" spans="1:11" outlineLevel="1" x14ac:dyDescent="0.35">
      <c r="B143" s="7" t="s">
        <v>10</v>
      </c>
      <c r="C143" s="3" t="s">
        <v>1</v>
      </c>
      <c r="D143" s="3">
        <v>2360</v>
      </c>
      <c r="E143" s="3" t="s">
        <v>1</v>
      </c>
      <c r="F143" s="3">
        <v>2360</v>
      </c>
      <c r="G143" s="3" t="s">
        <v>1</v>
      </c>
      <c r="H143" s="3">
        <v>2360</v>
      </c>
      <c r="I143" s="3" t="s">
        <v>1</v>
      </c>
      <c r="J143" s="3">
        <v>2360</v>
      </c>
      <c r="K143" s="3">
        <f>F143-J143</f>
        <v>0</v>
      </c>
    </row>
    <row r="144" spans="1:11" outlineLevel="1" x14ac:dyDescent="0.35">
      <c r="B144" s="7" t="s">
        <v>9</v>
      </c>
      <c r="C144" s="3">
        <v>853</v>
      </c>
      <c r="D144" s="3" t="s">
        <v>1</v>
      </c>
      <c r="E144" s="3" t="s">
        <v>1</v>
      </c>
      <c r="F144" s="3">
        <v>853</v>
      </c>
      <c r="G144" s="3">
        <v>949</v>
      </c>
      <c r="H144" s="3" t="s">
        <v>1</v>
      </c>
      <c r="I144" s="3" t="s">
        <v>1</v>
      </c>
      <c r="J144" s="3">
        <v>949</v>
      </c>
      <c r="K144" s="3">
        <f>F144-J144</f>
        <v>-96</v>
      </c>
    </row>
    <row r="145" spans="1:11" x14ac:dyDescent="0.35">
      <c r="B145" s="7" t="s">
        <v>8</v>
      </c>
      <c r="C145" s="3" t="s">
        <v>1</v>
      </c>
      <c r="D145" s="3">
        <v>0</v>
      </c>
      <c r="E145" s="3" t="s">
        <v>1</v>
      </c>
      <c r="F145" s="3">
        <v>0</v>
      </c>
      <c r="G145" s="3" t="s">
        <v>1</v>
      </c>
      <c r="H145" s="3">
        <v>709</v>
      </c>
      <c r="I145" s="3" t="s">
        <v>1</v>
      </c>
      <c r="J145" s="3">
        <v>709</v>
      </c>
      <c r="K145" s="3">
        <f>F145-J145</f>
        <v>-709</v>
      </c>
    </row>
    <row r="146" spans="1:11" outlineLevel="1" x14ac:dyDescent="0.35">
      <c r="B146" s="7" t="s">
        <v>7</v>
      </c>
      <c r="C146" s="3" t="s">
        <v>1</v>
      </c>
      <c r="D146" s="3">
        <v>0</v>
      </c>
      <c r="E146" s="3" t="s">
        <v>1</v>
      </c>
      <c r="F146" s="3">
        <v>0</v>
      </c>
      <c r="G146" s="3" t="s">
        <v>1</v>
      </c>
      <c r="H146" s="3">
        <v>709</v>
      </c>
      <c r="I146" s="3" t="s">
        <v>1</v>
      </c>
      <c r="J146" s="3">
        <v>709</v>
      </c>
      <c r="K146" s="3">
        <f>F146-J146</f>
        <v>-709</v>
      </c>
    </row>
    <row r="147" spans="1:11" outlineLevel="1" x14ac:dyDescent="0.35">
      <c r="B147" s="7" t="s">
        <v>6</v>
      </c>
      <c r="C147" s="3" t="s">
        <v>1</v>
      </c>
      <c r="D147" s="3" t="s">
        <v>1</v>
      </c>
      <c r="E147" s="3" t="s">
        <v>1</v>
      </c>
      <c r="F147" s="3" t="s">
        <v>1</v>
      </c>
      <c r="G147" s="3" t="s">
        <v>1</v>
      </c>
      <c r="H147" s="3" t="s">
        <v>1</v>
      </c>
      <c r="I147" s="3" t="s">
        <v>1</v>
      </c>
      <c r="J147" s="3" t="s">
        <v>1</v>
      </c>
      <c r="K147" s="3"/>
    </row>
    <row r="148" spans="1:11" outlineLevel="1" x14ac:dyDescent="0.35">
      <c r="B148" s="7" t="s">
        <v>5</v>
      </c>
      <c r="C148" s="3" t="s">
        <v>1</v>
      </c>
      <c r="D148" s="3" t="s">
        <v>1</v>
      </c>
      <c r="E148" s="3" t="s">
        <v>1</v>
      </c>
      <c r="F148" s="3" t="s">
        <v>1</v>
      </c>
      <c r="G148" s="3" t="s">
        <v>1</v>
      </c>
      <c r="H148" s="3" t="s">
        <v>1</v>
      </c>
      <c r="I148" s="3" t="s">
        <v>1</v>
      </c>
      <c r="J148" s="3" t="s">
        <v>1</v>
      </c>
      <c r="K148" s="3"/>
    </row>
    <row r="149" spans="1:11" x14ac:dyDescent="0.35">
      <c r="B149" s="7" t="s">
        <v>4</v>
      </c>
      <c r="C149" s="3">
        <v>-61</v>
      </c>
      <c r="D149" s="3" t="s">
        <v>1</v>
      </c>
      <c r="E149" s="3" t="s">
        <v>1</v>
      </c>
      <c r="F149" s="3">
        <v>-61</v>
      </c>
      <c r="G149" s="3">
        <v>0</v>
      </c>
      <c r="H149" s="3" t="s">
        <v>1</v>
      </c>
      <c r="I149" s="3" t="s">
        <v>1</v>
      </c>
      <c r="J149" s="3">
        <v>0</v>
      </c>
      <c r="K149" s="3">
        <f>F149-J149</f>
        <v>-61</v>
      </c>
    </row>
    <row r="150" spans="1:11" outlineLevel="1" x14ac:dyDescent="0.35">
      <c r="B150" s="7" t="s">
        <v>3</v>
      </c>
      <c r="C150" s="3">
        <v>-61</v>
      </c>
      <c r="D150" s="3" t="s">
        <v>1</v>
      </c>
      <c r="E150" s="3" t="s">
        <v>1</v>
      </c>
      <c r="F150" s="3">
        <v>-61</v>
      </c>
      <c r="G150" s="3">
        <v>0</v>
      </c>
      <c r="H150" s="3" t="s">
        <v>1</v>
      </c>
      <c r="I150" s="3" t="s">
        <v>1</v>
      </c>
      <c r="J150" s="3">
        <v>0</v>
      </c>
      <c r="K150" s="3">
        <f>F150-J150</f>
        <v>-61</v>
      </c>
    </row>
    <row r="151" spans="1:11" x14ac:dyDescent="0.35">
      <c r="B151" s="7" t="s">
        <v>2</v>
      </c>
      <c r="C151" s="3">
        <v>-6254</v>
      </c>
      <c r="D151" s="3">
        <v>2522</v>
      </c>
      <c r="E151" s="3" t="s">
        <v>1</v>
      </c>
      <c r="F151" s="3">
        <v>-3732</v>
      </c>
      <c r="G151" s="3">
        <v>-3227</v>
      </c>
      <c r="H151" s="3">
        <v>3316</v>
      </c>
      <c r="I151" s="3" t="s">
        <v>1</v>
      </c>
      <c r="J151" s="3">
        <v>89</v>
      </c>
      <c r="K151" s="3">
        <f>F151-J151</f>
        <v>-3821</v>
      </c>
    </row>
    <row r="152" spans="1:11" x14ac:dyDescent="0.35">
      <c r="A152" s="6" t="s">
        <v>1</v>
      </c>
      <c r="B152" s="5" t="s">
        <v>0</v>
      </c>
      <c r="C152" s="4">
        <v>19739</v>
      </c>
      <c r="D152" s="4">
        <v>2415</v>
      </c>
      <c r="E152" s="4">
        <v>0</v>
      </c>
      <c r="F152" s="4">
        <v>22155</v>
      </c>
      <c r="G152" s="4">
        <v>24112</v>
      </c>
      <c r="H152" s="4">
        <v>-39898</v>
      </c>
      <c r="I152" s="4">
        <v>0</v>
      </c>
      <c r="J152" s="4">
        <v>-15785</v>
      </c>
      <c r="K152" s="3">
        <f>F152-J152</f>
        <v>37940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AE41-711E-4838-BFD7-0AAEB805D8EB}">
  <dimension ref="A1:U321"/>
  <sheetViews>
    <sheetView showGridLines="0" zoomScale="80" zoomScaleNormal="80" workbookViewId="0">
      <pane xSplit="2" ySplit="4" topLeftCell="H5" activePane="bottomRight" state="frozen"/>
      <selection pane="topRight" activeCell="C1" sqref="C1"/>
      <selection pane="bottomLeft" activeCell="A4" sqref="A4"/>
      <selection pane="bottomRight" activeCell="R146" sqref="R146"/>
    </sheetView>
  </sheetViews>
  <sheetFormatPr defaultColWidth="9.1796875" defaultRowHeight="14.5" x14ac:dyDescent="0.35"/>
  <cols>
    <col min="1" max="1" width="3.81640625" style="125" customWidth="1"/>
    <col min="2" max="2" width="45.1796875" style="123" bestFit="1" customWidth="1"/>
    <col min="3" max="3" width="17.81640625" style="124" bestFit="1" customWidth="1"/>
    <col min="4" max="18" width="10.26953125" style="124" bestFit="1" customWidth="1"/>
    <col min="19" max="19" width="10.26953125" style="124" customWidth="1"/>
    <col min="20" max="20" width="10.81640625" style="123" bestFit="1" customWidth="1"/>
    <col min="21" max="16384" width="9.1796875" style="123"/>
  </cols>
  <sheetData>
    <row r="1" spans="1:20" x14ac:dyDescent="0.35">
      <c r="L1" s="147"/>
      <c r="M1" s="147"/>
      <c r="N1" s="147"/>
      <c r="O1" s="147"/>
      <c r="P1" s="147"/>
      <c r="Q1" s="147"/>
      <c r="R1" s="147"/>
      <c r="S1" s="147"/>
    </row>
    <row r="2" spans="1:20" x14ac:dyDescent="0.35">
      <c r="A2" s="146" t="s">
        <v>235</v>
      </c>
    </row>
    <row r="3" spans="1:20" x14ac:dyDescent="0.35">
      <c r="A3" s="123"/>
      <c r="B3" s="144" t="s">
        <v>508</v>
      </c>
      <c r="C3" s="127" t="s">
        <v>507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45"/>
    </row>
    <row r="4" spans="1:20" x14ac:dyDescent="0.35">
      <c r="A4" s="123"/>
      <c r="B4" s="144" t="s">
        <v>506</v>
      </c>
      <c r="C4" s="143">
        <v>45688</v>
      </c>
      <c r="D4" s="143">
        <v>45716</v>
      </c>
      <c r="E4" s="143">
        <v>45747</v>
      </c>
      <c r="F4" s="142">
        <v>45777</v>
      </c>
      <c r="G4" s="142">
        <v>45808</v>
      </c>
      <c r="H4" s="142">
        <v>45838</v>
      </c>
      <c r="I4" s="142">
        <v>45869</v>
      </c>
      <c r="J4" s="142">
        <v>45900</v>
      </c>
      <c r="K4" s="142">
        <v>45930</v>
      </c>
      <c r="L4" s="142">
        <v>45961</v>
      </c>
      <c r="M4" s="142">
        <v>45991</v>
      </c>
      <c r="N4" s="142">
        <v>46022</v>
      </c>
      <c r="O4" s="142">
        <v>46053</v>
      </c>
      <c r="P4" s="142">
        <v>46081</v>
      </c>
      <c r="Q4" s="142">
        <v>46112</v>
      </c>
      <c r="R4" s="142">
        <v>46142</v>
      </c>
      <c r="S4" s="142">
        <v>46173</v>
      </c>
      <c r="T4" s="141" t="s">
        <v>505</v>
      </c>
    </row>
    <row r="5" spans="1:20" x14ac:dyDescent="0.35">
      <c r="A5" s="123"/>
      <c r="B5" s="128" t="s">
        <v>504</v>
      </c>
      <c r="C5" s="127">
        <v>140372.38000000003</v>
      </c>
      <c r="D5" s="127">
        <v>156066.25</v>
      </c>
      <c r="E5" s="127">
        <v>163126.01</v>
      </c>
      <c r="F5" s="127">
        <v>182521.70999999996</v>
      </c>
      <c r="G5" s="127">
        <v>172967.16999999993</v>
      </c>
      <c r="H5" s="127">
        <v>217751.88999999993</v>
      </c>
      <c r="I5" s="127">
        <v>187196.35</v>
      </c>
      <c r="J5" s="127">
        <v>211746.72999999998</v>
      </c>
      <c r="K5" s="127">
        <v>209436.87000000002</v>
      </c>
      <c r="L5" s="127">
        <v>208717.44999999998</v>
      </c>
      <c r="M5" s="127">
        <v>216280.72</v>
      </c>
      <c r="N5" s="127">
        <v>209450.29999999996</v>
      </c>
      <c r="O5" s="127">
        <v>211311.47</v>
      </c>
      <c r="P5" s="127">
        <v>203313.12</v>
      </c>
      <c r="Q5" s="127">
        <v>106950.86000000002</v>
      </c>
      <c r="R5" s="127">
        <v>193588.30999999997</v>
      </c>
      <c r="S5" s="127">
        <v>174317.96</v>
      </c>
      <c r="T5" s="133">
        <f t="shared" ref="T5:T68" si="0">R5-S5</f>
        <v>19270.349999999977</v>
      </c>
    </row>
    <row r="6" spans="1:20" x14ac:dyDescent="0.35">
      <c r="A6" s="123"/>
      <c r="B6" s="132" t="s">
        <v>146</v>
      </c>
      <c r="C6" s="127">
        <v>137139</v>
      </c>
      <c r="D6" s="127">
        <v>141484</v>
      </c>
      <c r="E6" s="127">
        <v>140018</v>
      </c>
      <c r="F6" s="127">
        <v>164649</v>
      </c>
      <c r="G6" s="127">
        <v>151760</v>
      </c>
      <c r="H6" s="127">
        <v>200674</v>
      </c>
      <c r="I6" s="127">
        <v>158956</v>
      </c>
      <c r="J6" s="127">
        <v>173054</v>
      </c>
      <c r="K6" s="127">
        <v>187101</v>
      </c>
      <c r="L6" s="127">
        <v>183412</v>
      </c>
      <c r="M6" s="127">
        <v>190966</v>
      </c>
      <c r="N6" s="127">
        <v>187035</v>
      </c>
      <c r="O6" s="127">
        <v>184697</v>
      </c>
      <c r="P6" s="127">
        <v>184916</v>
      </c>
      <c r="Q6" s="127">
        <v>75319</v>
      </c>
      <c r="R6" s="127">
        <v>175901</v>
      </c>
      <c r="S6" s="127">
        <v>158280</v>
      </c>
      <c r="T6" s="131">
        <f t="shared" si="0"/>
        <v>17621</v>
      </c>
    </row>
    <row r="7" spans="1:20" x14ac:dyDescent="0.35">
      <c r="A7" s="123"/>
      <c r="B7" s="130" t="s">
        <v>503</v>
      </c>
      <c r="C7" s="127">
        <v>137139</v>
      </c>
      <c r="D7" s="127">
        <v>141484</v>
      </c>
      <c r="E7" s="127">
        <v>140018</v>
      </c>
      <c r="F7" s="127">
        <v>164649</v>
      </c>
      <c r="G7" s="127">
        <v>151760</v>
      </c>
      <c r="H7" s="127">
        <v>200674</v>
      </c>
      <c r="I7" s="127">
        <v>158956</v>
      </c>
      <c r="J7" s="127">
        <v>173054</v>
      </c>
      <c r="K7" s="127">
        <v>187101</v>
      </c>
      <c r="L7" s="127">
        <v>183412</v>
      </c>
      <c r="M7" s="127">
        <v>190966</v>
      </c>
      <c r="N7" s="127">
        <v>187035</v>
      </c>
      <c r="O7" s="127">
        <v>184697</v>
      </c>
      <c r="P7" s="127">
        <v>184916</v>
      </c>
      <c r="Q7" s="127">
        <v>75319</v>
      </c>
      <c r="R7" s="127">
        <v>175901</v>
      </c>
      <c r="S7" s="127">
        <v>158280</v>
      </c>
      <c r="T7" s="127">
        <f t="shared" si="0"/>
        <v>17621</v>
      </c>
    </row>
    <row r="8" spans="1:20" s="125" customFormat="1" x14ac:dyDescent="0.35">
      <c r="B8" s="129" t="s">
        <v>437</v>
      </c>
      <c r="C8" s="127">
        <v>137139</v>
      </c>
      <c r="D8" s="127">
        <v>141484</v>
      </c>
      <c r="E8" s="127">
        <v>140018</v>
      </c>
      <c r="F8" s="127">
        <v>164649</v>
      </c>
      <c r="G8" s="127">
        <v>151760</v>
      </c>
      <c r="H8" s="127">
        <v>200674</v>
      </c>
      <c r="I8" s="127">
        <v>158956</v>
      </c>
      <c r="J8" s="127">
        <v>173054</v>
      </c>
      <c r="K8" s="127">
        <v>187101</v>
      </c>
      <c r="L8" s="127">
        <v>183412</v>
      </c>
      <c r="M8" s="127">
        <v>190966</v>
      </c>
      <c r="N8" s="127">
        <v>187035</v>
      </c>
      <c r="O8" s="127">
        <v>184697</v>
      </c>
      <c r="P8" s="127">
        <v>184916</v>
      </c>
      <c r="Q8" s="127">
        <v>75319</v>
      </c>
      <c r="R8" s="127">
        <v>175901</v>
      </c>
      <c r="S8" s="127">
        <v>158280</v>
      </c>
      <c r="T8" s="127">
        <f t="shared" si="0"/>
        <v>17621</v>
      </c>
    </row>
    <row r="9" spans="1:20" s="125" customFormat="1" x14ac:dyDescent="0.35">
      <c r="B9" s="132" t="s">
        <v>199</v>
      </c>
      <c r="C9" s="127"/>
      <c r="D9" s="127"/>
      <c r="E9" s="127"/>
      <c r="F9" s="127">
        <v>1050</v>
      </c>
      <c r="G9" s="127"/>
      <c r="H9" s="127">
        <v>2000</v>
      </c>
      <c r="I9" s="127"/>
      <c r="J9" s="127"/>
      <c r="K9" s="127">
        <v>2000</v>
      </c>
      <c r="L9" s="127"/>
      <c r="M9" s="127">
        <v>2000</v>
      </c>
      <c r="N9" s="127"/>
      <c r="O9" s="127">
        <v>2000</v>
      </c>
      <c r="P9" s="127"/>
      <c r="Q9" s="127">
        <v>1000</v>
      </c>
      <c r="R9" s="127"/>
      <c r="S9" s="127">
        <v>3000</v>
      </c>
      <c r="T9" s="131">
        <f t="shared" si="0"/>
        <v>-3000</v>
      </c>
    </row>
    <row r="10" spans="1:20" s="125" customFormat="1" x14ac:dyDescent="0.35">
      <c r="B10" s="130" t="s">
        <v>121</v>
      </c>
      <c r="C10" s="127"/>
      <c r="D10" s="127"/>
      <c r="E10" s="127"/>
      <c r="F10" s="127">
        <v>1050</v>
      </c>
      <c r="G10" s="127"/>
      <c r="H10" s="127">
        <v>2000</v>
      </c>
      <c r="I10" s="127"/>
      <c r="J10" s="127"/>
      <c r="K10" s="127">
        <v>2000</v>
      </c>
      <c r="L10" s="127"/>
      <c r="M10" s="127">
        <v>2000</v>
      </c>
      <c r="N10" s="127"/>
      <c r="O10" s="127">
        <v>2000</v>
      </c>
      <c r="P10" s="127"/>
      <c r="Q10" s="127">
        <v>1000</v>
      </c>
      <c r="R10" s="127"/>
      <c r="S10" s="127">
        <v>3000</v>
      </c>
      <c r="T10" s="127">
        <f t="shared" si="0"/>
        <v>-3000</v>
      </c>
    </row>
    <row r="11" spans="1:20" x14ac:dyDescent="0.35">
      <c r="A11" s="123"/>
      <c r="B11" s="129" t="s">
        <v>461</v>
      </c>
      <c r="C11" s="127"/>
      <c r="D11" s="127"/>
      <c r="E11" s="127"/>
      <c r="F11" s="127">
        <v>1050</v>
      </c>
      <c r="G11" s="127"/>
      <c r="H11" s="127">
        <v>2000</v>
      </c>
      <c r="I11" s="127"/>
      <c r="J11" s="127"/>
      <c r="K11" s="127">
        <v>2000</v>
      </c>
      <c r="L11" s="127"/>
      <c r="M11" s="127">
        <v>2000</v>
      </c>
      <c r="N11" s="127"/>
      <c r="O11" s="127">
        <v>2000</v>
      </c>
      <c r="P11" s="127"/>
      <c r="Q11" s="127">
        <v>1000</v>
      </c>
      <c r="R11" s="127"/>
      <c r="S11" s="127">
        <v>3000</v>
      </c>
      <c r="T11" s="127">
        <f t="shared" si="0"/>
        <v>-3000</v>
      </c>
    </row>
    <row r="12" spans="1:20" x14ac:dyDescent="0.35">
      <c r="A12" s="123"/>
      <c r="B12" s="132" t="s">
        <v>502</v>
      </c>
      <c r="C12" s="127">
        <v>1990.87</v>
      </c>
      <c r="D12" s="127">
        <v>613.96</v>
      </c>
      <c r="E12" s="127">
        <v>673.09</v>
      </c>
      <c r="F12" s="127">
        <v>924.82</v>
      </c>
      <c r="G12" s="127">
        <v>1687.9</v>
      </c>
      <c r="H12" s="127">
        <v>1193.9199999999998</v>
      </c>
      <c r="I12" s="127">
        <v>2480.7600000000002</v>
      </c>
      <c r="J12" s="127">
        <v>1380.4899999999998</v>
      </c>
      <c r="K12" s="127">
        <v>1568.8400000000001</v>
      </c>
      <c r="L12" s="127">
        <v>1388.64</v>
      </c>
      <c r="M12" s="127">
        <v>1260.19</v>
      </c>
      <c r="N12" s="127">
        <v>967.90000000000009</v>
      </c>
      <c r="O12" s="127">
        <v>3270.23</v>
      </c>
      <c r="P12" s="127">
        <v>1439.74</v>
      </c>
      <c r="Q12" s="127">
        <v>1254.75</v>
      </c>
      <c r="R12" s="127">
        <v>637.73</v>
      </c>
      <c r="S12" s="127">
        <v>505.1</v>
      </c>
      <c r="T12" s="131">
        <f t="shared" si="0"/>
        <v>132.63</v>
      </c>
    </row>
    <row r="13" spans="1:20" x14ac:dyDescent="0.35">
      <c r="A13" s="123"/>
      <c r="B13" s="130" t="s">
        <v>117</v>
      </c>
      <c r="C13" s="127">
        <v>314.83999999999997</v>
      </c>
      <c r="D13" s="127">
        <v>321.81</v>
      </c>
      <c r="E13" s="127">
        <v>431.18</v>
      </c>
      <c r="F13" s="127">
        <v>309.74</v>
      </c>
      <c r="G13" s="127">
        <v>1155.5899999999999</v>
      </c>
      <c r="H13" s="127">
        <v>447.55999999999995</v>
      </c>
      <c r="I13" s="127">
        <v>375.96999999999997</v>
      </c>
      <c r="J13" s="127">
        <v>492.03999999999996</v>
      </c>
      <c r="K13" s="127">
        <v>610.89</v>
      </c>
      <c r="L13" s="127">
        <v>494.47</v>
      </c>
      <c r="M13" s="127">
        <v>426.89000000000004</v>
      </c>
      <c r="N13" s="127">
        <v>403.23</v>
      </c>
      <c r="O13" s="127">
        <v>435.09000000000003</v>
      </c>
      <c r="P13" s="127">
        <v>392.63</v>
      </c>
      <c r="Q13" s="127">
        <v>459.20000000000005</v>
      </c>
      <c r="R13" s="127">
        <v>352.46000000000004</v>
      </c>
      <c r="S13" s="127">
        <v>220.25</v>
      </c>
      <c r="T13" s="127">
        <f t="shared" si="0"/>
        <v>132.21000000000004</v>
      </c>
    </row>
    <row r="14" spans="1:20" x14ac:dyDescent="0.35">
      <c r="A14" s="123"/>
      <c r="B14" s="129" t="s">
        <v>501</v>
      </c>
      <c r="C14" s="127"/>
      <c r="D14" s="127"/>
      <c r="E14" s="127"/>
      <c r="F14" s="127"/>
      <c r="G14" s="127"/>
      <c r="H14" s="127"/>
      <c r="I14" s="127"/>
      <c r="J14" s="127"/>
      <c r="K14" s="127">
        <v>212.26</v>
      </c>
      <c r="L14" s="127"/>
      <c r="M14" s="127"/>
      <c r="N14" s="127"/>
      <c r="O14" s="127"/>
      <c r="P14" s="127"/>
      <c r="Q14" s="127"/>
      <c r="R14" s="127"/>
      <c r="S14" s="127"/>
      <c r="T14" s="127">
        <f t="shared" si="0"/>
        <v>0</v>
      </c>
    </row>
    <row r="15" spans="1:20" x14ac:dyDescent="0.35">
      <c r="A15" s="123"/>
      <c r="B15" s="129" t="s">
        <v>500</v>
      </c>
      <c r="C15" s="127">
        <v>13.8</v>
      </c>
      <c r="D15" s="127">
        <v>13.8</v>
      </c>
      <c r="E15" s="127">
        <v>13.8</v>
      </c>
      <c r="F15" s="127">
        <v>13.8</v>
      </c>
      <c r="G15" s="127">
        <v>13.8</v>
      </c>
      <c r="H15" s="127">
        <v>13.8</v>
      </c>
      <c r="I15" s="127">
        <v>13.8</v>
      </c>
      <c r="J15" s="127">
        <v>13.8</v>
      </c>
      <c r="K15" s="127">
        <v>13.8</v>
      </c>
      <c r="L15" s="127">
        <v>13.8</v>
      </c>
      <c r="M15" s="127">
        <v>13.8</v>
      </c>
      <c r="N15" s="127">
        <v>13.8</v>
      </c>
      <c r="O15" s="127">
        <v>45.66</v>
      </c>
      <c r="P15" s="127">
        <v>13.8</v>
      </c>
      <c r="Q15" s="127">
        <v>13.8</v>
      </c>
      <c r="R15" s="127">
        <v>13.8</v>
      </c>
      <c r="S15" s="127">
        <v>13.8</v>
      </c>
      <c r="T15" s="127">
        <f t="shared" si="0"/>
        <v>0</v>
      </c>
    </row>
    <row r="16" spans="1:20" x14ac:dyDescent="0.35">
      <c r="A16" s="123"/>
      <c r="B16" s="129" t="s">
        <v>483</v>
      </c>
      <c r="C16" s="127"/>
      <c r="D16" s="127"/>
      <c r="E16" s="127"/>
      <c r="F16" s="127"/>
      <c r="G16" s="127">
        <v>26.65</v>
      </c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>
        <f t="shared" si="0"/>
        <v>0</v>
      </c>
    </row>
    <row r="17" spans="1:20" x14ac:dyDescent="0.35">
      <c r="A17" s="123"/>
      <c r="B17" s="129" t="s">
        <v>499</v>
      </c>
      <c r="C17" s="127">
        <v>25.299999999999997</v>
      </c>
      <c r="D17" s="127">
        <v>25.299999999999997</v>
      </c>
      <c r="E17" s="127">
        <v>25.299999999999997</v>
      </c>
      <c r="F17" s="127">
        <v>25.299999999999997</v>
      </c>
      <c r="G17" s="127">
        <v>25.299999999999997</v>
      </c>
      <c r="H17" s="127">
        <v>25.299999999999997</v>
      </c>
      <c r="I17" s="127">
        <v>25.299999999999997</v>
      </c>
      <c r="J17" s="127">
        <v>25.54</v>
      </c>
      <c r="K17" s="127">
        <v>25.54</v>
      </c>
      <c r="L17" s="127">
        <v>25.54</v>
      </c>
      <c r="M17" s="127">
        <v>25.54</v>
      </c>
      <c r="N17" s="127">
        <v>25.54</v>
      </c>
      <c r="O17" s="127">
        <v>25.54</v>
      </c>
      <c r="P17" s="127">
        <v>25.54</v>
      </c>
      <c r="Q17" s="127">
        <v>25.54</v>
      </c>
      <c r="R17" s="127">
        <v>25.54</v>
      </c>
      <c r="S17" s="127">
        <v>25.54</v>
      </c>
      <c r="T17" s="127">
        <f t="shared" si="0"/>
        <v>0</v>
      </c>
    </row>
    <row r="18" spans="1:20" x14ac:dyDescent="0.35">
      <c r="A18" s="123"/>
      <c r="B18" s="129" t="s">
        <v>498</v>
      </c>
      <c r="C18" s="127">
        <v>180.88</v>
      </c>
      <c r="D18" s="127">
        <v>180.88</v>
      </c>
      <c r="E18" s="127">
        <v>180.88</v>
      </c>
      <c r="F18" s="127">
        <v>180.88</v>
      </c>
      <c r="G18" s="127">
        <v>180.88</v>
      </c>
      <c r="H18" s="127">
        <v>180.88</v>
      </c>
      <c r="I18" s="127">
        <v>186.2</v>
      </c>
      <c r="J18" s="127">
        <v>159.6</v>
      </c>
      <c r="K18" s="127">
        <v>159.6</v>
      </c>
      <c r="L18" s="127">
        <v>203.77</v>
      </c>
      <c r="M18" s="127">
        <v>191.52</v>
      </c>
      <c r="N18" s="127">
        <v>191.52</v>
      </c>
      <c r="O18" s="127">
        <v>191.52</v>
      </c>
      <c r="P18" s="127">
        <v>159.6</v>
      </c>
      <c r="Q18" s="127">
        <v>159.6</v>
      </c>
      <c r="R18" s="127">
        <v>119.43</v>
      </c>
      <c r="S18" s="127"/>
      <c r="T18" s="127">
        <f t="shared" si="0"/>
        <v>119.43</v>
      </c>
    </row>
    <row r="19" spans="1:20" x14ac:dyDescent="0.35">
      <c r="A19" s="123"/>
      <c r="B19" s="129" t="s">
        <v>497</v>
      </c>
      <c r="C19" s="127">
        <v>12.78</v>
      </c>
      <c r="D19" s="127"/>
      <c r="E19" s="127">
        <v>25.56</v>
      </c>
      <c r="F19" s="127">
        <v>12.78</v>
      </c>
      <c r="G19" s="127">
        <v>12.78</v>
      </c>
      <c r="H19" s="127">
        <v>12.78</v>
      </c>
      <c r="I19" s="127">
        <v>12.78</v>
      </c>
      <c r="J19" s="127">
        <v>12.78</v>
      </c>
      <c r="K19" s="127">
        <v>12.78</v>
      </c>
      <c r="L19" s="127">
        <v>12.78</v>
      </c>
      <c r="M19" s="127">
        <v>12.78</v>
      </c>
      <c r="N19" s="127">
        <v>12.78</v>
      </c>
      <c r="O19" s="127">
        <v>12.78</v>
      </c>
      <c r="P19" s="127">
        <v>12.78</v>
      </c>
      <c r="Q19" s="127">
        <v>12.78</v>
      </c>
      <c r="R19" s="127">
        <v>12.78</v>
      </c>
      <c r="S19" s="127"/>
      <c r="T19" s="127">
        <f t="shared" si="0"/>
        <v>12.78</v>
      </c>
    </row>
    <row r="20" spans="1:20" x14ac:dyDescent="0.35">
      <c r="A20" s="123"/>
      <c r="B20" s="129" t="s">
        <v>496</v>
      </c>
      <c r="C20" s="127"/>
      <c r="D20" s="127"/>
      <c r="E20" s="127"/>
      <c r="F20" s="127"/>
      <c r="G20" s="127"/>
      <c r="H20" s="127"/>
      <c r="I20" s="127"/>
      <c r="J20" s="127">
        <v>137.79</v>
      </c>
      <c r="K20" s="127"/>
      <c r="L20" s="127"/>
      <c r="M20" s="127"/>
      <c r="N20" s="127"/>
      <c r="O20" s="127"/>
      <c r="P20" s="127"/>
      <c r="Q20" s="127"/>
      <c r="R20" s="127"/>
      <c r="S20" s="127"/>
      <c r="T20" s="127">
        <f t="shared" si="0"/>
        <v>0</v>
      </c>
    </row>
    <row r="21" spans="1:20" x14ac:dyDescent="0.35">
      <c r="A21" s="123"/>
      <c r="B21" s="129" t="s">
        <v>477</v>
      </c>
      <c r="C21" s="127"/>
      <c r="D21" s="127"/>
      <c r="E21" s="127"/>
      <c r="F21" s="127"/>
      <c r="G21" s="127">
        <v>814.40000000000009</v>
      </c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>
        <f t="shared" si="0"/>
        <v>0</v>
      </c>
    </row>
    <row r="22" spans="1:20" x14ac:dyDescent="0.35">
      <c r="A22" s="123"/>
      <c r="B22" s="129" t="s">
        <v>495</v>
      </c>
      <c r="C22" s="127">
        <v>82.08</v>
      </c>
      <c r="D22" s="127">
        <v>82.08</v>
      </c>
      <c r="E22" s="127">
        <v>82.08</v>
      </c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>
        <v>21.32</v>
      </c>
      <c r="Q22" s="127">
        <v>21.32</v>
      </c>
      <c r="R22" s="127">
        <v>21.32</v>
      </c>
      <c r="S22" s="127">
        <v>21.32</v>
      </c>
      <c r="T22" s="127">
        <f t="shared" si="0"/>
        <v>0</v>
      </c>
    </row>
    <row r="23" spans="1:20" x14ac:dyDescent="0.35">
      <c r="A23" s="123"/>
      <c r="B23" s="129" t="s">
        <v>494</v>
      </c>
      <c r="C23" s="127"/>
      <c r="D23" s="127">
        <v>19.75</v>
      </c>
      <c r="E23" s="127">
        <v>21.01</v>
      </c>
      <c r="F23" s="127">
        <v>21.01</v>
      </c>
      <c r="G23" s="127">
        <v>21.01</v>
      </c>
      <c r="H23" s="127">
        <v>21.01</v>
      </c>
      <c r="I23" s="127">
        <v>21.01</v>
      </c>
      <c r="J23" s="127">
        <v>21.01</v>
      </c>
      <c r="K23" s="127">
        <v>21.01</v>
      </c>
      <c r="L23" s="127">
        <v>21.01</v>
      </c>
      <c r="M23" s="127">
        <v>21.01</v>
      </c>
      <c r="N23" s="127">
        <v>21.01</v>
      </c>
      <c r="O23" s="127">
        <v>21.01</v>
      </c>
      <c r="P23" s="127">
        <v>21.01</v>
      </c>
      <c r="Q23" s="127">
        <v>21.01</v>
      </c>
      <c r="R23" s="127">
        <v>21.01</v>
      </c>
      <c r="S23" s="127">
        <v>21.01</v>
      </c>
      <c r="T23" s="127">
        <f t="shared" si="0"/>
        <v>0</v>
      </c>
    </row>
    <row r="24" spans="1:20" x14ac:dyDescent="0.35">
      <c r="A24" s="123"/>
      <c r="B24" s="129" t="s">
        <v>420</v>
      </c>
      <c r="C24" s="127"/>
      <c r="D24" s="127"/>
      <c r="E24" s="127">
        <v>56.57</v>
      </c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>
        <f t="shared" si="0"/>
        <v>0</v>
      </c>
    </row>
    <row r="25" spans="1:20" x14ac:dyDescent="0.35">
      <c r="A25" s="123"/>
      <c r="B25" s="129" t="s">
        <v>493</v>
      </c>
      <c r="C25" s="127"/>
      <c r="D25" s="127"/>
      <c r="E25" s="127">
        <v>25.98</v>
      </c>
      <c r="F25" s="127"/>
      <c r="G25" s="127"/>
      <c r="H25" s="127">
        <v>133.02000000000001</v>
      </c>
      <c r="I25" s="127"/>
      <c r="J25" s="127"/>
      <c r="K25" s="127">
        <v>44.38</v>
      </c>
      <c r="L25" s="127"/>
      <c r="M25" s="127"/>
      <c r="N25" s="127"/>
      <c r="O25" s="127"/>
      <c r="P25" s="127"/>
      <c r="Q25" s="127">
        <v>66.569999999999993</v>
      </c>
      <c r="R25" s="127"/>
      <c r="S25" s="127"/>
      <c r="T25" s="127">
        <f t="shared" si="0"/>
        <v>0</v>
      </c>
    </row>
    <row r="26" spans="1:20" x14ac:dyDescent="0.35">
      <c r="A26" s="123"/>
      <c r="B26" s="129" t="s">
        <v>250</v>
      </c>
      <c r="C26" s="127"/>
      <c r="D26" s="127"/>
      <c r="E26" s="127"/>
      <c r="F26" s="127">
        <v>55.970000000000006</v>
      </c>
      <c r="G26" s="127">
        <v>60.77</v>
      </c>
      <c r="H26" s="127">
        <v>60.77</v>
      </c>
      <c r="I26" s="127">
        <v>116.88</v>
      </c>
      <c r="J26" s="127">
        <v>121.52</v>
      </c>
      <c r="K26" s="127">
        <v>121.52</v>
      </c>
      <c r="L26" s="127">
        <v>138.58000000000001</v>
      </c>
      <c r="M26" s="127">
        <v>138.58000000000001</v>
      </c>
      <c r="N26" s="127">
        <v>138.58000000000001</v>
      </c>
      <c r="O26" s="127">
        <v>138.58000000000001</v>
      </c>
      <c r="P26" s="127">
        <v>138.58000000000001</v>
      </c>
      <c r="Q26" s="127">
        <v>138.58000000000001</v>
      </c>
      <c r="R26" s="127">
        <v>138.58000000000001</v>
      </c>
      <c r="S26" s="127">
        <v>138.58000000000001</v>
      </c>
      <c r="T26" s="127">
        <f t="shared" si="0"/>
        <v>0</v>
      </c>
    </row>
    <row r="27" spans="1:20" x14ac:dyDescent="0.35">
      <c r="A27" s="123"/>
      <c r="B27" s="129" t="s">
        <v>492</v>
      </c>
      <c r="C27" s="127"/>
      <c r="D27" s="127"/>
      <c r="E27" s="127"/>
      <c r="F27" s="127"/>
      <c r="G27" s="127"/>
      <c r="H27" s="127"/>
      <c r="I27" s="127"/>
      <c r="J27" s="127"/>
      <c r="K27" s="127"/>
      <c r="L27" s="127">
        <v>49.99</v>
      </c>
      <c r="M27" s="127"/>
      <c r="N27" s="127"/>
      <c r="O27" s="127"/>
      <c r="P27" s="127"/>
      <c r="Q27" s="127"/>
      <c r="R27" s="127"/>
      <c r="S27" s="127"/>
      <c r="T27" s="127">
        <f t="shared" si="0"/>
        <v>0</v>
      </c>
    </row>
    <row r="28" spans="1:20" x14ac:dyDescent="0.35">
      <c r="A28" s="123"/>
      <c r="B28" s="129" t="s">
        <v>491</v>
      </c>
      <c r="C28" s="127"/>
      <c r="D28" s="127"/>
      <c r="E28" s="127"/>
      <c r="F28" s="127"/>
      <c r="G28" s="127"/>
      <c r="H28" s="127"/>
      <c r="I28" s="127"/>
      <c r="J28" s="127"/>
      <c r="K28" s="127"/>
      <c r="L28" s="127">
        <v>29</v>
      </c>
      <c r="M28" s="127"/>
      <c r="N28" s="127"/>
      <c r="O28" s="127"/>
      <c r="P28" s="127"/>
      <c r="Q28" s="127"/>
      <c r="R28" s="127"/>
      <c r="S28" s="127"/>
      <c r="T28" s="127">
        <f t="shared" si="0"/>
        <v>0</v>
      </c>
    </row>
    <row r="29" spans="1:20" x14ac:dyDescent="0.35">
      <c r="A29" s="123"/>
      <c r="B29" s="129" t="s">
        <v>490</v>
      </c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>
        <v>23.66</v>
      </c>
      <c r="N29" s="127"/>
      <c r="O29" s="127"/>
      <c r="P29" s="127"/>
      <c r="Q29" s="127"/>
      <c r="R29" s="127"/>
      <c r="S29" s="127"/>
      <c r="T29" s="127">
        <f t="shared" si="0"/>
        <v>0</v>
      </c>
    </row>
    <row r="30" spans="1:20" x14ac:dyDescent="0.35">
      <c r="A30" s="123"/>
      <c r="B30" s="130" t="s">
        <v>116</v>
      </c>
      <c r="C30" s="127">
        <v>31.92</v>
      </c>
      <c r="D30" s="127">
        <v>31.92</v>
      </c>
      <c r="E30" s="127"/>
      <c r="F30" s="127">
        <v>227.68</v>
      </c>
      <c r="G30" s="127">
        <v>274.94</v>
      </c>
      <c r="H30" s="127">
        <v>509.84</v>
      </c>
      <c r="I30" s="127">
        <v>1726.01</v>
      </c>
      <c r="J30" s="127">
        <v>511.61</v>
      </c>
      <c r="K30" s="127">
        <v>586.55000000000007</v>
      </c>
      <c r="L30" s="127">
        <v>582.65</v>
      </c>
      <c r="M30" s="127">
        <v>540.68000000000006</v>
      </c>
      <c r="N30" s="127">
        <v>255.71</v>
      </c>
      <c r="O30" s="127">
        <v>499.29999999999995</v>
      </c>
      <c r="P30" s="127">
        <v>506.14</v>
      </c>
      <c r="Q30" s="127">
        <v>500.65</v>
      </c>
      <c r="R30" s="127"/>
      <c r="S30" s="127"/>
      <c r="T30" s="127">
        <f t="shared" si="0"/>
        <v>0</v>
      </c>
    </row>
    <row r="31" spans="1:20" x14ac:dyDescent="0.35">
      <c r="A31" s="123"/>
      <c r="B31" s="129" t="s">
        <v>489</v>
      </c>
      <c r="C31" s="127"/>
      <c r="D31" s="127"/>
      <c r="E31" s="127"/>
      <c r="F31" s="127">
        <v>227.68</v>
      </c>
      <c r="G31" s="127">
        <v>274.94</v>
      </c>
      <c r="H31" s="127">
        <v>275.52999999999997</v>
      </c>
      <c r="I31" s="127">
        <v>303.7</v>
      </c>
      <c r="J31" s="127">
        <v>277.3</v>
      </c>
      <c r="K31" s="127">
        <v>283.79000000000002</v>
      </c>
      <c r="L31" s="127">
        <v>284.38</v>
      </c>
      <c r="M31" s="127">
        <v>284.97000000000003</v>
      </c>
      <c r="N31" s="127"/>
      <c r="O31" s="127">
        <v>286.14999999999998</v>
      </c>
      <c r="P31" s="127">
        <v>292.99</v>
      </c>
      <c r="Q31" s="127">
        <v>287.5</v>
      </c>
      <c r="R31" s="127"/>
      <c r="S31" s="127"/>
      <c r="T31" s="127">
        <f t="shared" si="0"/>
        <v>0</v>
      </c>
    </row>
    <row r="32" spans="1:20" x14ac:dyDescent="0.35">
      <c r="A32" s="123"/>
      <c r="B32" s="129" t="s">
        <v>488</v>
      </c>
      <c r="C32" s="127">
        <v>31.92</v>
      </c>
      <c r="D32" s="127">
        <v>31.92</v>
      </c>
      <c r="E32" s="127"/>
      <c r="F32" s="127"/>
      <c r="G32" s="127"/>
      <c r="H32" s="127">
        <v>85.12</v>
      </c>
      <c r="I32" s="127">
        <v>85.12</v>
      </c>
      <c r="J32" s="127">
        <v>85.12</v>
      </c>
      <c r="K32" s="127">
        <v>85.12</v>
      </c>
      <c r="L32" s="127">
        <v>85.12</v>
      </c>
      <c r="M32" s="127">
        <v>42.56</v>
      </c>
      <c r="N32" s="127">
        <v>42.56</v>
      </c>
      <c r="O32" s="127"/>
      <c r="P32" s="127"/>
      <c r="Q32" s="127"/>
      <c r="R32" s="127"/>
      <c r="S32" s="127"/>
      <c r="T32" s="127">
        <f t="shared" si="0"/>
        <v>0</v>
      </c>
    </row>
    <row r="33" spans="1:20" x14ac:dyDescent="0.35">
      <c r="A33" s="123"/>
      <c r="B33" s="129" t="s">
        <v>487</v>
      </c>
      <c r="C33" s="127"/>
      <c r="D33" s="127"/>
      <c r="E33" s="127"/>
      <c r="F33" s="127"/>
      <c r="G33" s="127"/>
      <c r="H33" s="127"/>
      <c r="I33" s="127">
        <v>1188</v>
      </c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>
        <f t="shared" si="0"/>
        <v>0</v>
      </c>
    </row>
    <row r="34" spans="1:20" x14ac:dyDescent="0.35">
      <c r="A34" s="123"/>
      <c r="B34" s="129" t="s">
        <v>474</v>
      </c>
      <c r="C34" s="127"/>
      <c r="D34" s="127"/>
      <c r="E34" s="127"/>
      <c r="F34" s="127"/>
      <c r="G34" s="127"/>
      <c r="H34" s="127">
        <v>149.19</v>
      </c>
      <c r="I34" s="127">
        <v>149.19</v>
      </c>
      <c r="J34" s="127">
        <v>149.19</v>
      </c>
      <c r="K34" s="127">
        <v>217.64000000000001</v>
      </c>
      <c r="L34" s="127">
        <v>213.15</v>
      </c>
      <c r="M34" s="127">
        <v>213.15</v>
      </c>
      <c r="N34" s="127">
        <v>213.15</v>
      </c>
      <c r="O34" s="127">
        <v>213.15</v>
      </c>
      <c r="P34" s="127">
        <v>213.15</v>
      </c>
      <c r="Q34" s="127">
        <v>213.15</v>
      </c>
      <c r="R34" s="127"/>
      <c r="S34" s="127"/>
      <c r="T34" s="127">
        <f t="shared" si="0"/>
        <v>0</v>
      </c>
    </row>
    <row r="35" spans="1:20" x14ac:dyDescent="0.35">
      <c r="A35" s="123"/>
      <c r="B35" s="130" t="s">
        <v>118</v>
      </c>
      <c r="C35" s="127">
        <v>1644.1100000000001</v>
      </c>
      <c r="D35" s="127">
        <v>260.23</v>
      </c>
      <c r="E35" s="127">
        <v>241.91</v>
      </c>
      <c r="F35" s="127">
        <v>387.4</v>
      </c>
      <c r="G35" s="127">
        <v>257.37</v>
      </c>
      <c r="H35" s="127">
        <v>236.52</v>
      </c>
      <c r="I35" s="127">
        <v>378.78</v>
      </c>
      <c r="J35" s="127">
        <v>376.84</v>
      </c>
      <c r="K35" s="127">
        <v>371.4</v>
      </c>
      <c r="L35" s="127">
        <v>311.52</v>
      </c>
      <c r="M35" s="127">
        <v>292.62</v>
      </c>
      <c r="N35" s="127">
        <v>308.95999999999998</v>
      </c>
      <c r="O35" s="127">
        <v>2335.84</v>
      </c>
      <c r="P35" s="127">
        <v>540.97</v>
      </c>
      <c r="Q35" s="127">
        <v>294.89999999999998</v>
      </c>
      <c r="R35" s="127">
        <v>285.27</v>
      </c>
      <c r="S35" s="127">
        <v>284.85000000000002</v>
      </c>
      <c r="T35" s="127">
        <f t="shared" si="0"/>
        <v>0.41999999999995907</v>
      </c>
    </row>
    <row r="36" spans="1:20" x14ac:dyDescent="0.35">
      <c r="A36" s="123"/>
      <c r="B36" s="129" t="s">
        <v>486</v>
      </c>
      <c r="C36" s="127">
        <v>1427.47</v>
      </c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>
        <v>32.25</v>
      </c>
      <c r="O36" s="127">
        <v>2036.8</v>
      </c>
      <c r="P36" s="127"/>
      <c r="Q36" s="127"/>
      <c r="R36" s="127"/>
      <c r="S36" s="127"/>
      <c r="T36" s="127">
        <f t="shared" si="0"/>
        <v>0</v>
      </c>
    </row>
    <row r="37" spans="1:20" x14ac:dyDescent="0.35">
      <c r="A37" s="123"/>
      <c r="B37" s="129" t="s">
        <v>485</v>
      </c>
      <c r="C37" s="127">
        <v>216.64</v>
      </c>
      <c r="D37" s="127">
        <v>260.23</v>
      </c>
      <c r="E37" s="127">
        <v>241.91</v>
      </c>
      <c r="F37" s="127">
        <v>387.4</v>
      </c>
      <c r="G37" s="127">
        <v>257.37</v>
      </c>
      <c r="H37" s="127">
        <v>236.52</v>
      </c>
      <c r="I37" s="127">
        <v>378.78</v>
      </c>
      <c r="J37" s="127">
        <v>376.84</v>
      </c>
      <c r="K37" s="127">
        <v>371.4</v>
      </c>
      <c r="L37" s="127">
        <v>311.52</v>
      </c>
      <c r="M37" s="127">
        <v>292.62</v>
      </c>
      <c r="N37" s="127">
        <v>276.70999999999998</v>
      </c>
      <c r="O37" s="127">
        <v>299.04000000000002</v>
      </c>
      <c r="P37" s="127">
        <v>540.97</v>
      </c>
      <c r="Q37" s="127">
        <v>294.89999999999998</v>
      </c>
      <c r="R37" s="127">
        <v>285.27</v>
      </c>
      <c r="S37" s="127">
        <v>284.85000000000002</v>
      </c>
      <c r="T37" s="127">
        <f t="shared" si="0"/>
        <v>0.41999999999995907</v>
      </c>
    </row>
    <row r="38" spans="1:20" s="125" customFormat="1" x14ac:dyDescent="0.35">
      <c r="B38" s="132" t="s">
        <v>225</v>
      </c>
      <c r="C38" s="127">
        <v>1007.5600000000001</v>
      </c>
      <c r="D38" s="127">
        <v>13069.289999999999</v>
      </c>
      <c r="E38" s="127">
        <v>14339.92</v>
      </c>
      <c r="F38" s="127">
        <v>15297.89</v>
      </c>
      <c r="G38" s="127">
        <v>17266.72</v>
      </c>
      <c r="H38" s="127">
        <v>13768.539999999999</v>
      </c>
      <c r="I38" s="127">
        <v>18080.939999999999</v>
      </c>
      <c r="J38" s="127">
        <v>37312.239999999998</v>
      </c>
      <c r="K38" s="127">
        <v>15322.03</v>
      </c>
      <c r="L38" s="127">
        <v>20416.809999999998</v>
      </c>
      <c r="M38" s="127">
        <v>20804.530000000002</v>
      </c>
      <c r="N38" s="127">
        <v>17697.400000000001</v>
      </c>
      <c r="O38" s="127">
        <v>14960.82</v>
      </c>
      <c r="P38" s="127">
        <v>16793.61</v>
      </c>
      <c r="Q38" s="127">
        <v>29302.109999999997</v>
      </c>
      <c r="R38" s="127">
        <v>17049.580000000002</v>
      </c>
      <c r="S38" s="127">
        <v>12532.86</v>
      </c>
      <c r="T38" s="131">
        <f t="shared" si="0"/>
        <v>4516.7200000000012</v>
      </c>
    </row>
    <row r="39" spans="1:20" x14ac:dyDescent="0.35">
      <c r="A39" s="123"/>
      <c r="B39" s="130" t="s">
        <v>99</v>
      </c>
      <c r="C39" s="127">
        <v>1007.5600000000001</v>
      </c>
      <c r="D39" s="127">
        <v>13069.289999999999</v>
      </c>
      <c r="E39" s="127">
        <v>14339.92</v>
      </c>
      <c r="F39" s="127">
        <v>15297.89</v>
      </c>
      <c r="G39" s="127">
        <v>17266.72</v>
      </c>
      <c r="H39" s="127">
        <v>13768.539999999999</v>
      </c>
      <c r="I39" s="127">
        <v>18080.939999999999</v>
      </c>
      <c r="J39" s="127">
        <v>37312.239999999998</v>
      </c>
      <c r="K39" s="127">
        <v>15322.03</v>
      </c>
      <c r="L39" s="127">
        <v>20416.809999999998</v>
      </c>
      <c r="M39" s="127">
        <v>20804.530000000002</v>
      </c>
      <c r="N39" s="127">
        <v>17697.400000000001</v>
      </c>
      <c r="O39" s="127">
        <v>14960.82</v>
      </c>
      <c r="P39" s="127">
        <v>16793.61</v>
      </c>
      <c r="Q39" s="127">
        <v>29302.109999999997</v>
      </c>
      <c r="R39" s="127">
        <v>17049.580000000002</v>
      </c>
      <c r="S39" s="127">
        <v>12532.86</v>
      </c>
      <c r="T39" s="127">
        <f t="shared" si="0"/>
        <v>4516.7200000000012</v>
      </c>
    </row>
    <row r="40" spans="1:20" x14ac:dyDescent="0.35">
      <c r="A40" s="123"/>
      <c r="B40" s="129" t="s">
        <v>484</v>
      </c>
      <c r="C40" s="127">
        <v>310.67</v>
      </c>
      <c r="D40" s="127">
        <v>7171.4</v>
      </c>
      <c r="E40" s="127">
        <v>6399.9</v>
      </c>
      <c r="F40" s="127">
        <v>9071.33</v>
      </c>
      <c r="G40" s="127">
        <v>9087.09</v>
      </c>
      <c r="H40" s="127">
        <v>9063.5300000000007</v>
      </c>
      <c r="I40" s="127">
        <v>9078.5</v>
      </c>
      <c r="J40" s="127">
        <v>21415.87</v>
      </c>
      <c r="K40" s="127">
        <v>9163.02</v>
      </c>
      <c r="L40" s="127">
        <v>17541.849999999999</v>
      </c>
      <c r="M40" s="127">
        <v>13980.76</v>
      </c>
      <c r="N40" s="127">
        <v>13265.710000000001</v>
      </c>
      <c r="O40" s="127">
        <v>9421.8000000000011</v>
      </c>
      <c r="P40" s="127">
        <v>13419.37</v>
      </c>
      <c r="Q40" s="127">
        <v>18963.629999999997</v>
      </c>
      <c r="R40" s="127">
        <v>7046.68</v>
      </c>
      <c r="S40" s="127">
        <v>7046.68</v>
      </c>
      <c r="T40" s="127">
        <f t="shared" si="0"/>
        <v>0</v>
      </c>
    </row>
    <row r="41" spans="1:20" x14ac:dyDescent="0.35">
      <c r="A41" s="123"/>
      <c r="B41" s="129" t="s">
        <v>483</v>
      </c>
      <c r="C41" s="127">
        <v>31.64</v>
      </c>
      <c r="D41" s="127">
        <v>26.65</v>
      </c>
      <c r="E41" s="127">
        <v>26.65</v>
      </c>
      <c r="F41" s="127">
        <v>26.65</v>
      </c>
      <c r="G41" s="127"/>
      <c r="H41" s="127">
        <v>26.65</v>
      </c>
      <c r="I41" s="127">
        <v>26.65</v>
      </c>
      <c r="J41" s="127">
        <v>26.65</v>
      </c>
      <c r="K41" s="127">
        <v>28.09</v>
      </c>
      <c r="L41" s="127">
        <v>41.05</v>
      </c>
      <c r="M41" s="127">
        <v>70.69</v>
      </c>
      <c r="N41" s="127">
        <v>2734.34</v>
      </c>
      <c r="O41" s="127">
        <v>2215.06</v>
      </c>
      <c r="P41" s="127">
        <v>62.63</v>
      </c>
      <c r="Q41" s="127">
        <v>2196.77</v>
      </c>
      <c r="R41" s="127">
        <v>1398.06</v>
      </c>
      <c r="S41" s="127">
        <v>1066</v>
      </c>
      <c r="T41" s="127">
        <f t="shared" si="0"/>
        <v>332.05999999999995</v>
      </c>
    </row>
    <row r="42" spans="1:20" x14ac:dyDescent="0.35">
      <c r="A42" s="123"/>
      <c r="B42" s="129" t="s">
        <v>482</v>
      </c>
      <c r="C42" s="127">
        <v>105.8</v>
      </c>
      <c r="D42" s="127">
        <v>106.6</v>
      </c>
      <c r="E42" s="127">
        <v>106.6</v>
      </c>
      <c r="F42" s="127">
        <v>106.6</v>
      </c>
      <c r="G42" s="127">
        <v>111.33</v>
      </c>
      <c r="H42" s="127">
        <v>106.6</v>
      </c>
      <c r="I42" s="127">
        <v>107.67</v>
      </c>
      <c r="J42" s="127">
        <v>106.6</v>
      </c>
      <c r="K42" s="127">
        <v>106.6</v>
      </c>
      <c r="L42" s="127">
        <v>127.92</v>
      </c>
      <c r="M42" s="127">
        <v>128.56</v>
      </c>
      <c r="N42" s="127">
        <v>127.92</v>
      </c>
      <c r="O42" s="127">
        <v>127.92</v>
      </c>
      <c r="P42" s="127">
        <v>127.92</v>
      </c>
      <c r="Q42" s="127">
        <v>127.92</v>
      </c>
      <c r="R42" s="127">
        <v>127.92</v>
      </c>
      <c r="S42" s="127"/>
      <c r="T42" s="127">
        <f t="shared" si="0"/>
        <v>127.92</v>
      </c>
    </row>
    <row r="43" spans="1:20" x14ac:dyDescent="0.35">
      <c r="A43" s="123"/>
      <c r="B43" s="129" t="s">
        <v>481</v>
      </c>
      <c r="C43" s="127">
        <v>103.84</v>
      </c>
      <c r="D43" s="127">
        <v>115.73</v>
      </c>
      <c r="E43" s="127">
        <v>151.38</v>
      </c>
      <c r="F43" s="127"/>
      <c r="G43" s="127"/>
      <c r="H43" s="127"/>
      <c r="I43" s="127"/>
      <c r="J43" s="127"/>
      <c r="K43" s="127"/>
      <c r="L43" s="127"/>
      <c r="M43" s="127"/>
      <c r="N43" s="127">
        <v>286.14999999999998</v>
      </c>
      <c r="O43" s="127"/>
      <c r="P43" s="127"/>
      <c r="Q43" s="127"/>
      <c r="R43" s="127">
        <v>333.94</v>
      </c>
      <c r="S43" s="127">
        <v>334.53</v>
      </c>
      <c r="T43" s="127">
        <f t="shared" si="0"/>
        <v>-0.58999999999997499</v>
      </c>
    </row>
    <row r="44" spans="1:20" x14ac:dyDescent="0.35">
      <c r="A44" s="123"/>
      <c r="B44" s="129" t="s">
        <v>480</v>
      </c>
      <c r="C44" s="127">
        <v>16.89</v>
      </c>
      <c r="D44" s="127">
        <v>16.89</v>
      </c>
      <c r="E44" s="127">
        <v>19.899999999999999</v>
      </c>
      <c r="F44" s="127">
        <v>19.899999999999999</v>
      </c>
      <c r="G44" s="127">
        <v>19.899999999999999</v>
      </c>
      <c r="H44" s="127">
        <v>19.899999999999999</v>
      </c>
      <c r="I44" s="127"/>
      <c r="J44" s="127">
        <v>19.899999999999999</v>
      </c>
      <c r="K44" s="127">
        <v>19.899999999999999</v>
      </c>
      <c r="L44" s="127">
        <v>19.899999999999999</v>
      </c>
      <c r="M44" s="127">
        <v>19.899999999999999</v>
      </c>
      <c r="N44" s="127">
        <v>19.899999999999999</v>
      </c>
      <c r="O44" s="127"/>
      <c r="P44" s="127"/>
      <c r="Q44" s="127">
        <v>22.45</v>
      </c>
      <c r="R44" s="127">
        <v>22.45</v>
      </c>
      <c r="S44" s="127"/>
      <c r="T44" s="127">
        <f t="shared" si="0"/>
        <v>22.45</v>
      </c>
    </row>
    <row r="45" spans="1:20" x14ac:dyDescent="0.35">
      <c r="B45" s="129" t="s">
        <v>479</v>
      </c>
      <c r="C45" s="127"/>
      <c r="D45" s="127"/>
      <c r="E45" s="127"/>
      <c r="F45" s="127"/>
      <c r="G45" s="127"/>
      <c r="H45" s="127"/>
      <c r="I45" s="127"/>
      <c r="J45" s="127"/>
      <c r="K45" s="127"/>
      <c r="L45" s="127">
        <v>161.78</v>
      </c>
      <c r="M45" s="127"/>
      <c r="N45" s="127"/>
      <c r="O45" s="127">
        <v>89.88</v>
      </c>
      <c r="P45" s="127"/>
      <c r="Q45" s="127"/>
      <c r="R45" s="127"/>
      <c r="S45" s="127"/>
      <c r="T45" s="127">
        <f t="shared" si="0"/>
        <v>0</v>
      </c>
    </row>
    <row r="46" spans="1:20" x14ac:dyDescent="0.35">
      <c r="B46" s="129" t="s">
        <v>478</v>
      </c>
      <c r="C46" s="127"/>
      <c r="D46" s="127"/>
      <c r="E46" s="127"/>
      <c r="F46" s="127"/>
      <c r="G46" s="127"/>
      <c r="H46" s="127"/>
      <c r="I46" s="127"/>
      <c r="J46" s="127">
        <v>3856.63</v>
      </c>
      <c r="K46" s="127"/>
      <c r="L46" s="127"/>
      <c r="M46" s="127"/>
      <c r="N46" s="127"/>
      <c r="O46" s="127"/>
      <c r="P46" s="127"/>
      <c r="Q46" s="127"/>
      <c r="R46" s="127"/>
      <c r="S46" s="127"/>
      <c r="T46" s="127">
        <f t="shared" si="0"/>
        <v>0</v>
      </c>
    </row>
    <row r="47" spans="1:20" x14ac:dyDescent="0.35">
      <c r="B47" s="129" t="s">
        <v>477</v>
      </c>
      <c r="C47" s="127">
        <v>438.72</v>
      </c>
      <c r="D47" s="127">
        <v>487.29999999999995</v>
      </c>
      <c r="E47" s="127">
        <v>491.72999999999996</v>
      </c>
      <c r="F47" s="127">
        <v>650.58999999999992</v>
      </c>
      <c r="G47" s="127"/>
      <c r="H47" s="127">
        <v>895.13</v>
      </c>
      <c r="I47" s="127">
        <v>899.65000000000009</v>
      </c>
      <c r="J47" s="127">
        <v>938.52</v>
      </c>
      <c r="K47" s="127">
        <v>905.42</v>
      </c>
      <c r="L47" s="127">
        <v>882.67000000000007</v>
      </c>
      <c r="M47" s="127">
        <v>930.84999999999991</v>
      </c>
      <c r="N47" s="127">
        <v>913.62</v>
      </c>
      <c r="O47" s="127">
        <v>937.77</v>
      </c>
      <c r="P47" s="127">
        <v>1015.3</v>
      </c>
      <c r="Q47" s="127">
        <v>656.99</v>
      </c>
      <c r="R47" s="127">
        <v>549.36</v>
      </c>
      <c r="S47" s="127">
        <v>570.63</v>
      </c>
      <c r="T47" s="127">
        <f t="shared" si="0"/>
        <v>-21.269999999999982</v>
      </c>
    </row>
    <row r="48" spans="1:20" x14ac:dyDescent="0.35">
      <c r="B48" s="129" t="s">
        <v>101</v>
      </c>
      <c r="C48" s="127"/>
      <c r="D48" s="127">
        <v>5000</v>
      </c>
      <c r="E48" s="127">
        <v>7000</v>
      </c>
      <c r="F48" s="127">
        <v>5000</v>
      </c>
      <c r="G48" s="127">
        <v>8000</v>
      </c>
      <c r="H48" s="127">
        <v>3500</v>
      </c>
      <c r="I48" s="127">
        <v>5000</v>
      </c>
      <c r="J48" s="127">
        <v>8000</v>
      </c>
      <c r="K48" s="127">
        <v>3500</v>
      </c>
      <c r="L48" s="127"/>
      <c r="M48" s="127">
        <v>3500</v>
      </c>
      <c r="N48" s="127"/>
      <c r="O48" s="127"/>
      <c r="P48" s="127"/>
      <c r="Q48" s="127"/>
      <c r="R48" s="127"/>
      <c r="S48" s="127"/>
      <c r="T48" s="127">
        <f t="shared" si="0"/>
        <v>0</v>
      </c>
    </row>
    <row r="49" spans="1:21" x14ac:dyDescent="0.35">
      <c r="B49" s="129" t="s">
        <v>476</v>
      </c>
      <c r="C49" s="127"/>
      <c r="D49" s="127">
        <v>144.72</v>
      </c>
      <c r="E49" s="127">
        <v>143.76</v>
      </c>
      <c r="F49" s="127">
        <v>48.9</v>
      </c>
      <c r="G49" s="127">
        <v>48.4</v>
      </c>
      <c r="H49" s="127">
        <v>48.4</v>
      </c>
      <c r="I49" s="127">
        <v>48.4</v>
      </c>
      <c r="J49" s="127"/>
      <c r="K49" s="127"/>
      <c r="L49" s="127"/>
      <c r="M49" s="127"/>
      <c r="N49" s="127"/>
      <c r="O49" s="127"/>
      <c r="P49" s="127"/>
      <c r="Q49" s="127"/>
      <c r="R49" s="127"/>
      <c r="S49" s="127">
        <v>134.85</v>
      </c>
      <c r="T49" s="127">
        <f t="shared" si="0"/>
        <v>-134.85</v>
      </c>
    </row>
    <row r="50" spans="1:21" x14ac:dyDescent="0.35">
      <c r="B50" s="129" t="s">
        <v>475</v>
      </c>
      <c r="C50" s="127"/>
      <c r="D50" s="127"/>
      <c r="E50" s="127"/>
      <c r="F50" s="127">
        <v>373.92</v>
      </c>
      <c r="G50" s="127"/>
      <c r="H50" s="127">
        <v>108.33</v>
      </c>
      <c r="I50" s="127">
        <v>2920.07</v>
      </c>
      <c r="J50" s="127">
        <v>2920.07</v>
      </c>
      <c r="K50" s="127"/>
      <c r="L50" s="127"/>
      <c r="M50" s="127"/>
      <c r="N50" s="127"/>
      <c r="O50" s="127"/>
      <c r="P50" s="127"/>
      <c r="Q50" s="127"/>
      <c r="R50" s="127"/>
      <c r="S50" s="127"/>
      <c r="T50" s="127">
        <f t="shared" si="0"/>
        <v>0</v>
      </c>
    </row>
    <row r="51" spans="1:21" x14ac:dyDescent="0.35">
      <c r="A51" s="139"/>
      <c r="B51" s="129" t="s">
        <v>474</v>
      </c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>
        <v>213.15</v>
      </c>
      <c r="S51" s="127"/>
      <c r="T51" s="127">
        <f t="shared" si="0"/>
        <v>213.15</v>
      </c>
    </row>
    <row r="52" spans="1:21" x14ac:dyDescent="0.35">
      <c r="B52" s="129" t="s">
        <v>473</v>
      </c>
      <c r="C52" s="127"/>
      <c r="D52" s="127"/>
      <c r="E52" s="127"/>
      <c r="F52" s="127"/>
      <c r="G52" s="127"/>
      <c r="H52" s="127"/>
      <c r="I52" s="127"/>
      <c r="J52" s="127">
        <v>28</v>
      </c>
      <c r="K52" s="127"/>
      <c r="L52" s="127"/>
      <c r="M52" s="127"/>
      <c r="N52" s="127"/>
      <c r="O52" s="127"/>
      <c r="P52" s="127"/>
      <c r="Q52" s="127"/>
      <c r="R52" s="127"/>
      <c r="S52" s="127"/>
      <c r="T52" s="127">
        <f t="shared" si="0"/>
        <v>0</v>
      </c>
    </row>
    <row r="53" spans="1:21" x14ac:dyDescent="0.35">
      <c r="B53" s="129" t="s">
        <v>472</v>
      </c>
      <c r="C53" s="127"/>
      <c r="D53" s="127"/>
      <c r="E53" s="127"/>
      <c r="F53" s="127"/>
      <c r="G53" s="127"/>
      <c r="H53" s="127"/>
      <c r="I53" s="127"/>
      <c r="J53" s="127"/>
      <c r="K53" s="127">
        <v>1599</v>
      </c>
      <c r="L53" s="127">
        <v>1599</v>
      </c>
      <c r="M53" s="127"/>
      <c r="N53" s="127"/>
      <c r="O53" s="127"/>
      <c r="P53" s="127"/>
      <c r="Q53" s="127"/>
      <c r="R53" s="127"/>
      <c r="S53" s="127"/>
      <c r="T53" s="127">
        <f t="shared" si="0"/>
        <v>0</v>
      </c>
    </row>
    <row r="54" spans="1:21" x14ac:dyDescent="0.35">
      <c r="B54" s="129" t="s">
        <v>471</v>
      </c>
      <c r="C54" s="127"/>
      <c r="D54" s="127"/>
      <c r="E54" s="127"/>
      <c r="F54" s="127"/>
      <c r="G54" s="127"/>
      <c r="H54" s="127"/>
      <c r="I54" s="127"/>
      <c r="J54" s="127"/>
      <c r="K54" s="127"/>
      <c r="L54" s="127">
        <v>42.64</v>
      </c>
      <c r="M54" s="127">
        <v>5.38</v>
      </c>
      <c r="N54" s="127"/>
      <c r="O54" s="127"/>
      <c r="P54" s="127"/>
      <c r="Q54" s="127"/>
      <c r="R54" s="127"/>
      <c r="S54" s="127"/>
      <c r="T54" s="127">
        <f t="shared" si="0"/>
        <v>0</v>
      </c>
    </row>
    <row r="55" spans="1:21" x14ac:dyDescent="0.35">
      <c r="B55" s="129" t="s">
        <v>470</v>
      </c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>
        <v>2168.39</v>
      </c>
      <c r="N55" s="127">
        <v>349.76</v>
      </c>
      <c r="O55" s="127">
        <v>2168.39</v>
      </c>
      <c r="P55" s="127">
        <v>2168.39</v>
      </c>
      <c r="Q55" s="127">
        <v>2296.85</v>
      </c>
      <c r="R55" s="127">
        <v>2358.02</v>
      </c>
      <c r="S55" s="127">
        <v>2358.02</v>
      </c>
      <c r="T55" s="127">
        <f t="shared" si="0"/>
        <v>0</v>
      </c>
    </row>
    <row r="56" spans="1:21" x14ac:dyDescent="0.35">
      <c r="B56" s="129" t="s">
        <v>469</v>
      </c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>
        <v>5000</v>
      </c>
      <c r="R56" s="127">
        <v>5000</v>
      </c>
      <c r="S56" s="127"/>
      <c r="T56" s="127">
        <f t="shared" si="0"/>
        <v>5000</v>
      </c>
      <c r="U56" s="123" t="s">
        <v>468</v>
      </c>
    </row>
    <row r="57" spans="1:21" x14ac:dyDescent="0.35">
      <c r="B57" s="129" t="s">
        <v>344</v>
      </c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>
        <v>37.5</v>
      </c>
      <c r="R57" s="127"/>
      <c r="S57" s="127"/>
      <c r="T57" s="127">
        <f t="shared" si="0"/>
        <v>0</v>
      </c>
    </row>
    <row r="58" spans="1:21" x14ac:dyDescent="0.35">
      <c r="A58" s="139"/>
      <c r="B58" s="140" t="s">
        <v>467</v>
      </c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>
        <v>674.15</v>
      </c>
      <c r="T58" s="127">
        <f t="shared" si="0"/>
        <v>-674.15</v>
      </c>
    </row>
    <row r="59" spans="1:21" x14ac:dyDescent="0.35">
      <c r="B59" s="140" t="s">
        <v>466</v>
      </c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>
        <v>348</v>
      </c>
      <c r="T59" s="127">
        <f t="shared" si="0"/>
        <v>-348</v>
      </c>
    </row>
    <row r="60" spans="1:21" x14ac:dyDescent="0.35">
      <c r="B60" s="132" t="s">
        <v>204</v>
      </c>
      <c r="C60" s="127">
        <v>234.95</v>
      </c>
      <c r="D60" s="127">
        <v>899</v>
      </c>
      <c r="E60" s="127">
        <v>8095</v>
      </c>
      <c r="F60" s="127">
        <v>600</v>
      </c>
      <c r="G60" s="127">
        <v>2252.5500000000002</v>
      </c>
      <c r="H60" s="127">
        <v>115.43</v>
      </c>
      <c r="I60" s="127">
        <v>7678.65</v>
      </c>
      <c r="J60" s="127"/>
      <c r="K60" s="127">
        <v>3445</v>
      </c>
      <c r="L60" s="127">
        <v>3500</v>
      </c>
      <c r="M60" s="127">
        <v>1250</v>
      </c>
      <c r="N60" s="127">
        <v>3750</v>
      </c>
      <c r="O60" s="127">
        <v>6383.42</v>
      </c>
      <c r="P60" s="127">
        <v>163.77000000000001</v>
      </c>
      <c r="Q60" s="127">
        <v>75</v>
      </c>
      <c r="R60" s="127"/>
      <c r="S60" s="127"/>
      <c r="T60" s="131">
        <f t="shared" si="0"/>
        <v>0</v>
      </c>
    </row>
    <row r="61" spans="1:21" x14ac:dyDescent="0.35">
      <c r="A61" s="139"/>
      <c r="B61" s="130" t="s">
        <v>58</v>
      </c>
      <c r="C61" s="127">
        <v>234.95</v>
      </c>
      <c r="D61" s="127">
        <v>899</v>
      </c>
      <c r="E61" s="127">
        <v>8095</v>
      </c>
      <c r="F61" s="127">
        <v>600</v>
      </c>
      <c r="G61" s="127">
        <v>2252.5500000000002</v>
      </c>
      <c r="H61" s="127">
        <v>115.43</v>
      </c>
      <c r="I61" s="127">
        <v>7678.65</v>
      </c>
      <c r="J61" s="127"/>
      <c r="K61" s="127">
        <v>3445</v>
      </c>
      <c r="L61" s="127">
        <v>3500</v>
      </c>
      <c r="M61" s="127">
        <v>1250</v>
      </c>
      <c r="N61" s="127">
        <v>3750</v>
      </c>
      <c r="O61" s="127">
        <v>6383.42</v>
      </c>
      <c r="P61" s="127">
        <v>163.77000000000001</v>
      </c>
      <c r="Q61" s="127">
        <v>75</v>
      </c>
      <c r="R61" s="127"/>
      <c r="S61" s="127"/>
      <c r="T61" s="127">
        <f t="shared" si="0"/>
        <v>0</v>
      </c>
    </row>
    <row r="62" spans="1:21" s="138" customFormat="1" x14ac:dyDescent="0.35">
      <c r="A62" s="139"/>
      <c r="B62" s="129" t="s">
        <v>465</v>
      </c>
      <c r="C62" s="127"/>
      <c r="D62" s="127"/>
      <c r="E62" s="127">
        <v>8095</v>
      </c>
      <c r="F62" s="127">
        <v>600</v>
      </c>
      <c r="G62" s="127"/>
      <c r="H62" s="127">
        <v>115.43</v>
      </c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>
        <f t="shared" si="0"/>
        <v>0</v>
      </c>
      <c r="U62" s="123"/>
    </row>
    <row r="63" spans="1:21" s="138" customFormat="1" x14ac:dyDescent="0.35">
      <c r="A63" s="139"/>
      <c r="B63" s="129" t="s">
        <v>464</v>
      </c>
      <c r="C63" s="127"/>
      <c r="D63" s="127">
        <v>899</v>
      </c>
      <c r="E63" s="127"/>
      <c r="F63" s="127"/>
      <c r="G63" s="127"/>
      <c r="H63" s="127"/>
      <c r="I63" s="127">
        <v>2750</v>
      </c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>
        <f t="shared" si="0"/>
        <v>0</v>
      </c>
    </row>
    <row r="64" spans="1:21" s="138" customFormat="1" x14ac:dyDescent="0.35">
      <c r="A64" s="139"/>
      <c r="B64" s="129" t="s">
        <v>463</v>
      </c>
      <c r="C64" s="127">
        <v>234.95</v>
      </c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>
        <f t="shared" si="0"/>
        <v>0</v>
      </c>
    </row>
    <row r="65" spans="1:20" s="138" customFormat="1" x14ac:dyDescent="0.35">
      <c r="B65" s="129" t="s">
        <v>462</v>
      </c>
      <c r="C65" s="127"/>
      <c r="D65" s="127"/>
      <c r="E65" s="127"/>
      <c r="F65" s="127"/>
      <c r="G65" s="127">
        <v>2252.5500000000002</v>
      </c>
      <c r="H65" s="127"/>
      <c r="I65" s="127">
        <v>661.65</v>
      </c>
      <c r="J65" s="127"/>
      <c r="K65" s="127"/>
      <c r="L65" s="127"/>
      <c r="M65" s="127"/>
      <c r="N65" s="127"/>
      <c r="O65" s="127">
        <v>1688.42</v>
      </c>
      <c r="P65" s="127"/>
      <c r="Q65" s="127"/>
      <c r="R65" s="127"/>
      <c r="S65" s="127"/>
      <c r="T65" s="127">
        <f t="shared" si="0"/>
        <v>0</v>
      </c>
    </row>
    <row r="66" spans="1:20" s="138" customFormat="1" x14ac:dyDescent="0.35">
      <c r="B66" s="129" t="s">
        <v>461</v>
      </c>
      <c r="C66" s="127"/>
      <c r="D66" s="127"/>
      <c r="E66" s="127"/>
      <c r="F66" s="127"/>
      <c r="G66" s="127"/>
      <c r="H66" s="127"/>
      <c r="I66" s="127">
        <v>2000</v>
      </c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>
        <f t="shared" si="0"/>
        <v>0</v>
      </c>
    </row>
    <row r="67" spans="1:20" s="138" customFormat="1" x14ac:dyDescent="0.35">
      <c r="B67" s="129" t="s">
        <v>460</v>
      </c>
      <c r="C67" s="127"/>
      <c r="D67" s="127"/>
      <c r="E67" s="127"/>
      <c r="F67" s="127"/>
      <c r="G67" s="127"/>
      <c r="H67" s="127"/>
      <c r="I67" s="127">
        <v>2267</v>
      </c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>
        <f t="shared" si="0"/>
        <v>0</v>
      </c>
    </row>
    <row r="68" spans="1:20" s="138" customFormat="1" x14ac:dyDescent="0.35">
      <c r="B68" s="129" t="s">
        <v>459</v>
      </c>
      <c r="C68" s="127"/>
      <c r="D68" s="127"/>
      <c r="E68" s="127"/>
      <c r="F68" s="127"/>
      <c r="G68" s="127"/>
      <c r="H68" s="127"/>
      <c r="I68" s="127"/>
      <c r="J68" s="127"/>
      <c r="K68" s="127">
        <v>895</v>
      </c>
      <c r="L68" s="127"/>
      <c r="M68" s="127"/>
      <c r="N68" s="127"/>
      <c r="O68" s="127">
        <v>2195</v>
      </c>
      <c r="P68" s="127"/>
      <c r="Q68" s="127"/>
      <c r="R68" s="127"/>
      <c r="S68" s="127"/>
      <c r="T68" s="127">
        <f t="shared" si="0"/>
        <v>0</v>
      </c>
    </row>
    <row r="69" spans="1:20" s="138" customFormat="1" x14ac:dyDescent="0.35">
      <c r="B69" s="129" t="s">
        <v>458</v>
      </c>
      <c r="C69" s="127"/>
      <c r="D69" s="127"/>
      <c r="E69" s="127"/>
      <c r="F69" s="127"/>
      <c r="G69" s="127"/>
      <c r="H69" s="127"/>
      <c r="I69" s="127"/>
      <c r="J69" s="127"/>
      <c r="K69" s="127">
        <v>2550</v>
      </c>
      <c r="L69" s="127"/>
      <c r="M69" s="127"/>
      <c r="N69" s="127"/>
      <c r="O69" s="127"/>
      <c r="P69" s="127"/>
      <c r="Q69" s="127"/>
      <c r="R69" s="127"/>
      <c r="S69" s="127"/>
      <c r="T69" s="127">
        <f t="shared" ref="T69:T132" si="1">R69-S69</f>
        <v>0</v>
      </c>
    </row>
    <row r="70" spans="1:20" s="138" customFormat="1" x14ac:dyDescent="0.35">
      <c r="B70" s="129" t="s">
        <v>457</v>
      </c>
      <c r="C70" s="127"/>
      <c r="D70" s="127"/>
      <c r="E70" s="127"/>
      <c r="F70" s="127"/>
      <c r="G70" s="127"/>
      <c r="H70" s="127"/>
      <c r="I70" s="127"/>
      <c r="J70" s="127"/>
      <c r="K70" s="127"/>
      <c r="L70" s="127">
        <v>500</v>
      </c>
      <c r="M70" s="127"/>
      <c r="N70" s="127"/>
      <c r="O70" s="127"/>
      <c r="P70" s="127"/>
      <c r="Q70" s="127"/>
      <c r="R70" s="127"/>
      <c r="S70" s="127"/>
      <c r="T70" s="127">
        <f t="shared" si="1"/>
        <v>0</v>
      </c>
    </row>
    <row r="71" spans="1:20" s="138" customFormat="1" x14ac:dyDescent="0.35">
      <c r="B71" s="129" t="s">
        <v>456</v>
      </c>
      <c r="C71" s="127"/>
      <c r="D71" s="127"/>
      <c r="E71" s="127"/>
      <c r="F71" s="127"/>
      <c r="G71" s="127"/>
      <c r="H71" s="127"/>
      <c r="I71" s="127"/>
      <c r="J71" s="127"/>
      <c r="K71" s="127"/>
      <c r="L71" s="127">
        <v>3000</v>
      </c>
      <c r="M71" s="127"/>
      <c r="N71" s="127"/>
      <c r="O71" s="127"/>
      <c r="P71" s="127"/>
      <c r="Q71" s="127"/>
      <c r="R71" s="127"/>
      <c r="S71" s="127"/>
      <c r="T71" s="127">
        <f t="shared" si="1"/>
        <v>0</v>
      </c>
    </row>
    <row r="72" spans="1:20" s="138" customFormat="1" x14ac:dyDescent="0.35">
      <c r="B72" s="129" t="s">
        <v>455</v>
      </c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>
        <v>1250</v>
      </c>
      <c r="N72" s="127">
        <v>3750</v>
      </c>
      <c r="O72" s="127">
        <v>2500</v>
      </c>
      <c r="P72" s="127"/>
      <c r="Q72" s="127"/>
      <c r="R72" s="127"/>
      <c r="S72" s="127"/>
      <c r="T72" s="127">
        <f t="shared" si="1"/>
        <v>0</v>
      </c>
    </row>
    <row r="73" spans="1:20" s="138" customFormat="1" x14ac:dyDescent="0.35">
      <c r="B73" s="129" t="s">
        <v>454</v>
      </c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>
        <v>163.77000000000001</v>
      </c>
      <c r="Q73" s="127"/>
      <c r="R73" s="127"/>
      <c r="S73" s="127"/>
      <c r="T73" s="127">
        <f t="shared" si="1"/>
        <v>0</v>
      </c>
    </row>
    <row r="74" spans="1:20" s="138" customFormat="1" x14ac:dyDescent="0.35">
      <c r="A74" s="137"/>
      <c r="B74" s="129" t="s">
        <v>453</v>
      </c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>
        <v>75</v>
      </c>
      <c r="R74" s="127"/>
      <c r="S74" s="127"/>
      <c r="T74" s="127">
        <f t="shared" si="1"/>
        <v>0</v>
      </c>
    </row>
    <row r="75" spans="1:20" x14ac:dyDescent="0.35">
      <c r="A75" s="137"/>
      <c r="B75" s="128" t="s">
        <v>89</v>
      </c>
      <c r="C75" s="127">
        <v>32725.650000000005</v>
      </c>
      <c r="D75" s="127">
        <v>51292.530000000006</v>
      </c>
      <c r="E75" s="127">
        <v>58047.989999999991</v>
      </c>
      <c r="F75" s="127">
        <v>37674.75</v>
      </c>
      <c r="G75" s="127">
        <v>51041.81</v>
      </c>
      <c r="H75" s="127">
        <v>72849.560000000012</v>
      </c>
      <c r="I75" s="127">
        <v>61825.75</v>
      </c>
      <c r="J75" s="127">
        <v>70957.790000000008</v>
      </c>
      <c r="K75" s="127">
        <v>85172.249999999985</v>
      </c>
      <c r="L75" s="127">
        <v>91962.23000000004</v>
      </c>
      <c r="M75" s="127">
        <v>86109.180000000037</v>
      </c>
      <c r="N75" s="127">
        <v>90520.920000000056</v>
      </c>
      <c r="O75" s="127">
        <v>68881.780000000013</v>
      </c>
      <c r="P75" s="127">
        <v>54279.27</v>
      </c>
      <c r="Q75" s="127">
        <v>46623.35</v>
      </c>
      <c r="R75" s="127">
        <v>38604.19000000001</v>
      </c>
      <c r="S75" s="127">
        <v>30664.48</v>
      </c>
      <c r="T75" s="133">
        <f t="shared" si="1"/>
        <v>7939.71000000001</v>
      </c>
    </row>
    <row r="76" spans="1:20" x14ac:dyDescent="0.35">
      <c r="A76" s="137"/>
      <c r="B76" s="132" t="s">
        <v>71</v>
      </c>
      <c r="C76" s="136">
        <v>29384.959999999999</v>
      </c>
      <c r="D76" s="136">
        <v>37861.26</v>
      </c>
      <c r="E76" s="136">
        <v>30292.260000000002</v>
      </c>
      <c r="F76" s="136">
        <v>30243.660000000003</v>
      </c>
      <c r="G76" s="136">
        <v>30243.660000000003</v>
      </c>
      <c r="H76" s="136">
        <v>54717.490000000005</v>
      </c>
      <c r="I76" s="136">
        <v>44891.08</v>
      </c>
      <c r="J76" s="136">
        <v>49084.66</v>
      </c>
      <c r="K76" s="136">
        <v>48930.97</v>
      </c>
      <c r="L76" s="136">
        <v>68580.960000000006</v>
      </c>
      <c r="M76" s="136">
        <v>51084.810000000005</v>
      </c>
      <c r="N76" s="136">
        <v>59175.58</v>
      </c>
      <c r="O76" s="136">
        <v>48991.58</v>
      </c>
      <c r="P76" s="136">
        <v>35488.449999999997</v>
      </c>
      <c r="Q76" s="136">
        <v>21186.16</v>
      </c>
      <c r="R76" s="136">
        <v>26840.43</v>
      </c>
      <c r="S76" s="136">
        <v>21805.57</v>
      </c>
      <c r="T76" s="135">
        <f t="shared" si="1"/>
        <v>5034.8600000000006</v>
      </c>
    </row>
    <row r="77" spans="1:20" x14ac:dyDescent="0.35">
      <c r="A77" s="134"/>
      <c r="B77" s="130" t="s">
        <v>452</v>
      </c>
      <c r="C77" s="127">
        <v>8472.869999999999</v>
      </c>
      <c r="D77" s="127">
        <v>7948.53</v>
      </c>
      <c r="E77" s="127">
        <v>7879.5300000000007</v>
      </c>
      <c r="F77" s="127">
        <v>7830.93</v>
      </c>
      <c r="G77" s="127">
        <v>7830.93</v>
      </c>
      <c r="H77" s="127">
        <v>11746.4</v>
      </c>
      <c r="I77" s="127">
        <v>10227.619999999999</v>
      </c>
      <c r="J77" s="127">
        <v>11271.33</v>
      </c>
      <c r="K77" s="127">
        <v>11100.490000000002</v>
      </c>
      <c r="L77" s="127">
        <v>11395.19</v>
      </c>
      <c r="M77" s="127">
        <v>11129.150000000001</v>
      </c>
      <c r="N77" s="127">
        <v>17255.34</v>
      </c>
      <c r="O77" s="127">
        <v>11722.56</v>
      </c>
      <c r="P77" s="127">
        <v>7356.5599999999995</v>
      </c>
      <c r="Q77" s="127">
        <v>3764.4</v>
      </c>
      <c r="R77" s="127">
        <v>3675.33</v>
      </c>
      <c r="S77" s="127">
        <v>5513</v>
      </c>
      <c r="T77" s="127">
        <f t="shared" si="1"/>
        <v>-1837.67</v>
      </c>
    </row>
    <row r="78" spans="1:20" x14ac:dyDescent="0.35">
      <c r="A78" s="134"/>
      <c r="B78" s="129" t="s">
        <v>339</v>
      </c>
      <c r="C78" s="127">
        <v>8472.869999999999</v>
      </c>
      <c r="D78" s="127">
        <v>7948.53</v>
      </c>
      <c r="E78" s="127">
        <v>7879.5300000000007</v>
      </c>
      <c r="F78" s="127">
        <v>7830.93</v>
      </c>
      <c r="G78" s="127">
        <v>7830.93</v>
      </c>
      <c r="H78" s="127">
        <v>11746.4</v>
      </c>
      <c r="I78" s="127">
        <v>10227.619999999999</v>
      </c>
      <c r="J78" s="127">
        <v>11271.33</v>
      </c>
      <c r="K78" s="127">
        <v>11100.490000000002</v>
      </c>
      <c r="L78" s="127">
        <v>11395.19</v>
      </c>
      <c r="M78" s="127">
        <v>11129.150000000001</v>
      </c>
      <c r="N78" s="127">
        <v>17255.34</v>
      </c>
      <c r="O78" s="127">
        <v>11722.56</v>
      </c>
      <c r="P78" s="127">
        <v>7356.5599999999995</v>
      </c>
      <c r="Q78" s="127">
        <v>3764.4</v>
      </c>
      <c r="R78" s="127">
        <v>3675.33</v>
      </c>
      <c r="S78" s="127">
        <v>5513</v>
      </c>
      <c r="T78" s="127">
        <f t="shared" si="1"/>
        <v>-1837.67</v>
      </c>
    </row>
    <row r="79" spans="1:20" x14ac:dyDescent="0.35">
      <c r="B79" s="130" t="s">
        <v>451</v>
      </c>
      <c r="C79" s="127">
        <v>20912.09</v>
      </c>
      <c r="D79" s="127">
        <v>29912.730000000003</v>
      </c>
      <c r="E79" s="127">
        <v>22412.730000000003</v>
      </c>
      <c r="F79" s="127">
        <v>22412.730000000003</v>
      </c>
      <c r="G79" s="127">
        <v>22412.730000000003</v>
      </c>
      <c r="H79" s="127">
        <v>42971.090000000004</v>
      </c>
      <c r="I79" s="127">
        <v>34663.46</v>
      </c>
      <c r="J79" s="127">
        <v>37813.33</v>
      </c>
      <c r="K79" s="127">
        <v>37830.480000000003</v>
      </c>
      <c r="L79" s="127">
        <v>57185.770000000004</v>
      </c>
      <c r="M79" s="127">
        <v>39955.660000000003</v>
      </c>
      <c r="N79" s="127">
        <v>41920.239999999998</v>
      </c>
      <c r="O79" s="127">
        <v>37269.020000000004</v>
      </c>
      <c r="P79" s="127">
        <v>28131.89</v>
      </c>
      <c r="Q79" s="127">
        <v>17421.759999999998</v>
      </c>
      <c r="R79" s="127">
        <v>23165.1</v>
      </c>
      <c r="S79" s="127">
        <v>16292.57</v>
      </c>
      <c r="T79" s="127">
        <f t="shared" si="1"/>
        <v>6872.5299999999988</v>
      </c>
    </row>
    <row r="80" spans="1:20" x14ac:dyDescent="0.35">
      <c r="B80" s="129" t="s">
        <v>339</v>
      </c>
      <c r="C80" s="127">
        <v>20912.09</v>
      </c>
      <c r="D80" s="127">
        <v>29912.730000000003</v>
      </c>
      <c r="E80" s="127">
        <v>22412.730000000003</v>
      </c>
      <c r="F80" s="127">
        <v>22412.730000000003</v>
      </c>
      <c r="G80" s="127">
        <v>22412.730000000003</v>
      </c>
      <c r="H80" s="127">
        <v>42971.090000000004</v>
      </c>
      <c r="I80" s="127">
        <v>34663.46</v>
      </c>
      <c r="J80" s="127">
        <v>37813.33</v>
      </c>
      <c r="K80" s="127">
        <v>37830.480000000003</v>
      </c>
      <c r="L80" s="127">
        <v>57185.770000000004</v>
      </c>
      <c r="M80" s="127">
        <v>39955.660000000003</v>
      </c>
      <c r="N80" s="127">
        <v>41920.239999999998</v>
      </c>
      <c r="O80" s="127">
        <v>37269.020000000004</v>
      </c>
      <c r="P80" s="127">
        <v>28131.89</v>
      </c>
      <c r="Q80" s="127">
        <v>17421.759999999998</v>
      </c>
      <c r="R80" s="127">
        <v>23165.1</v>
      </c>
      <c r="S80" s="127">
        <v>16292.57</v>
      </c>
      <c r="T80" s="127">
        <f t="shared" si="1"/>
        <v>6872.5299999999988</v>
      </c>
    </row>
    <row r="81" spans="2:20" x14ac:dyDescent="0.35">
      <c r="B81" s="132" t="s">
        <v>450</v>
      </c>
      <c r="C81" s="127">
        <v>3081.1699999999996</v>
      </c>
      <c r="D81" s="127">
        <v>2739.0600000000004</v>
      </c>
      <c r="E81" s="127">
        <v>13631.970000000003</v>
      </c>
      <c r="F81" s="127">
        <v>2879.35</v>
      </c>
      <c r="G81" s="127">
        <v>17739.28</v>
      </c>
      <c r="H81" s="127">
        <v>15256.63</v>
      </c>
      <c r="I81" s="127">
        <v>12498.98</v>
      </c>
      <c r="J81" s="127">
        <v>18151.03</v>
      </c>
      <c r="K81" s="127">
        <v>30611.879999999997</v>
      </c>
      <c r="L81" s="127">
        <v>18714</v>
      </c>
      <c r="M81" s="127">
        <v>18187.009999999995</v>
      </c>
      <c r="N81" s="127">
        <v>29676.12</v>
      </c>
      <c r="O81" s="127">
        <v>17157.32</v>
      </c>
      <c r="P81" s="127">
        <v>15266.509999999998</v>
      </c>
      <c r="Q81" s="127">
        <v>17606.539999999997</v>
      </c>
      <c r="R81" s="127">
        <v>10223.35</v>
      </c>
      <c r="S81" s="127">
        <v>8937.91</v>
      </c>
      <c r="T81" s="131">
        <f t="shared" si="1"/>
        <v>1285.4400000000005</v>
      </c>
    </row>
    <row r="82" spans="2:20" x14ac:dyDescent="0.35">
      <c r="B82" s="130" t="s">
        <v>54</v>
      </c>
      <c r="C82" s="127">
        <v>36.61</v>
      </c>
      <c r="D82" s="127">
        <v>66.570000000000007</v>
      </c>
      <c r="E82" s="127">
        <v>274.09000000000003</v>
      </c>
      <c r="F82" s="127">
        <v>163.81</v>
      </c>
      <c r="G82" s="127">
        <v>21.71</v>
      </c>
      <c r="H82" s="127"/>
      <c r="I82" s="127">
        <v>53.98</v>
      </c>
      <c r="J82" s="127">
        <v>179.88</v>
      </c>
      <c r="K82" s="127">
        <v>226.48</v>
      </c>
      <c r="L82" s="127">
        <v>149.44</v>
      </c>
      <c r="M82" s="127">
        <v>199.15</v>
      </c>
      <c r="N82" s="127">
        <v>35.409999999999997</v>
      </c>
      <c r="O82" s="127">
        <v>132.06</v>
      </c>
      <c r="P82" s="127">
        <v>125.17</v>
      </c>
      <c r="Q82" s="127">
        <v>147.71</v>
      </c>
      <c r="R82" s="127">
        <v>212.1</v>
      </c>
      <c r="S82" s="127"/>
      <c r="T82" s="127">
        <f t="shared" si="1"/>
        <v>212.1</v>
      </c>
    </row>
    <row r="83" spans="2:20" x14ac:dyDescent="0.35">
      <c r="B83" s="129" t="s">
        <v>449</v>
      </c>
      <c r="C83" s="127"/>
      <c r="D83" s="127"/>
      <c r="E83" s="127"/>
      <c r="F83" s="127">
        <v>115.27</v>
      </c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>
        <f t="shared" si="1"/>
        <v>0</v>
      </c>
    </row>
    <row r="84" spans="2:20" x14ac:dyDescent="0.35">
      <c r="B84" s="129" t="s">
        <v>448</v>
      </c>
      <c r="C84" s="127"/>
      <c r="D84" s="127"/>
      <c r="E84" s="127">
        <v>18.36</v>
      </c>
      <c r="F84" s="127"/>
      <c r="G84" s="127"/>
      <c r="H84" s="127"/>
      <c r="I84" s="127"/>
      <c r="J84" s="127">
        <v>40</v>
      </c>
      <c r="K84" s="127"/>
      <c r="L84" s="127"/>
      <c r="M84" s="127"/>
      <c r="N84" s="127"/>
      <c r="O84" s="127">
        <v>37.46</v>
      </c>
      <c r="P84" s="127"/>
      <c r="Q84" s="127"/>
      <c r="R84" s="127"/>
      <c r="S84" s="127"/>
      <c r="T84" s="127">
        <f t="shared" si="1"/>
        <v>0</v>
      </c>
    </row>
    <row r="85" spans="2:20" x14ac:dyDescent="0.35">
      <c r="B85" s="129" t="s">
        <v>447</v>
      </c>
      <c r="C85" s="127"/>
      <c r="D85" s="127">
        <v>28.87</v>
      </c>
      <c r="E85" s="127">
        <v>64.77000000000001</v>
      </c>
      <c r="F85" s="127"/>
      <c r="G85" s="127"/>
      <c r="H85" s="127"/>
      <c r="I85" s="127"/>
      <c r="J85" s="127">
        <v>90.18</v>
      </c>
      <c r="K85" s="127"/>
      <c r="L85" s="127">
        <v>149.44</v>
      </c>
      <c r="M85" s="127"/>
      <c r="N85" s="127">
        <v>35.409999999999997</v>
      </c>
      <c r="O85" s="127">
        <v>94.6</v>
      </c>
      <c r="P85" s="127"/>
      <c r="Q85" s="127">
        <v>147.71</v>
      </c>
      <c r="R85" s="127">
        <v>185.82999999999998</v>
      </c>
      <c r="S85" s="127"/>
      <c r="T85" s="127">
        <f t="shared" si="1"/>
        <v>185.82999999999998</v>
      </c>
    </row>
    <row r="86" spans="2:20" x14ac:dyDescent="0.35">
      <c r="B86" s="129" t="s">
        <v>298</v>
      </c>
      <c r="C86" s="127">
        <v>36.61</v>
      </c>
      <c r="D86" s="127">
        <v>37.700000000000003</v>
      </c>
      <c r="E86" s="127">
        <v>111.04999999999998</v>
      </c>
      <c r="F86" s="127">
        <v>48.54</v>
      </c>
      <c r="G86" s="127">
        <v>21.71</v>
      </c>
      <c r="H86" s="127"/>
      <c r="I86" s="127">
        <v>53.98</v>
      </c>
      <c r="J86" s="127"/>
      <c r="K86" s="127">
        <v>183.20999999999998</v>
      </c>
      <c r="L86" s="127"/>
      <c r="M86" s="127">
        <v>199.15</v>
      </c>
      <c r="N86" s="127"/>
      <c r="O86" s="127"/>
      <c r="P86" s="127">
        <v>49.41</v>
      </c>
      <c r="Q86" s="127"/>
      <c r="R86" s="127">
        <v>26.27</v>
      </c>
      <c r="S86" s="127"/>
      <c r="T86" s="127">
        <f t="shared" si="1"/>
        <v>26.27</v>
      </c>
    </row>
    <row r="87" spans="2:20" x14ac:dyDescent="0.35">
      <c r="B87" s="129" t="s">
        <v>446</v>
      </c>
      <c r="C87" s="127"/>
      <c r="D87" s="127"/>
      <c r="E87" s="127">
        <v>10.119999999999999</v>
      </c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>
        <f t="shared" si="1"/>
        <v>0</v>
      </c>
    </row>
    <row r="88" spans="2:20" x14ac:dyDescent="0.35">
      <c r="B88" s="129" t="s">
        <v>445</v>
      </c>
      <c r="C88" s="127"/>
      <c r="D88" s="127"/>
      <c r="E88" s="127">
        <v>40.82</v>
      </c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>
        <v>75.760000000000005</v>
      </c>
      <c r="Q88" s="127"/>
      <c r="R88" s="127"/>
      <c r="S88" s="127"/>
      <c r="T88" s="127">
        <f t="shared" si="1"/>
        <v>0</v>
      </c>
    </row>
    <row r="89" spans="2:20" x14ac:dyDescent="0.35">
      <c r="B89" s="129" t="s">
        <v>444</v>
      </c>
      <c r="C89" s="127"/>
      <c r="D89" s="127"/>
      <c r="E89" s="127">
        <v>28.97</v>
      </c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>
        <f t="shared" si="1"/>
        <v>0</v>
      </c>
    </row>
    <row r="90" spans="2:20" x14ac:dyDescent="0.35">
      <c r="B90" s="129" t="s">
        <v>312</v>
      </c>
      <c r="C90" s="127"/>
      <c r="D90" s="127"/>
      <c r="E90" s="127"/>
      <c r="F90" s="127"/>
      <c r="G90" s="127"/>
      <c r="H90" s="127"/>
      <c r="I90" s="127"/>
      <c r="J90" s="127"/>
      <c r="K90" s="127">
        <v>43.27</v>
      </c>
      <c r="L90" s="127"/>
      <c r="M90" s="127"/>
      <c r="N90" s="127"/>
      <c r="O90" s="127"/>
      <c r="P90" s="127"/>
      <c r="Q90" s="127"/>
      <c r="R90" s="127"/>
      <c r="S90" s="127"/>
      <c r="T90" s="127">
        <f t="shared" si="1"/>
        <v>0</v>
      </c>
    </row>
    <row r="91" spans="2:20" x14ac:dyDescent="0.35">
      <c r="B91" s="129" t="s">
        <v>443</v>
      </c>
      <c r="C91" s="127"/>
      <c r="D91" s="127"/>
      <c r="E91" s="127"/>
      <c r="F91" s="127"/>
      <c r="G91" s="127"/>
      <c r="H91" s="127"/>
      <c r="I91" s="127"/>
      <c r="J91" s="127">
        <v>49.7</v>
      </c>
      <c r="K91" s="127"/>
      <c r="L91" s="127"/>
      <c r="M91" s="127"/>
      <c r="N91" s="127"/>
      <c r="O91" s="127"/>
      <c r="P91" s="127"/>
      <c r="Q91" s="127"/>
      <c r="R91" s="127"/>
      <c r="S91" s="127"/>
      <c r="T91" s="127">
        <f t="shared" si="1"/>
        <v>0</v>
      </c>
    </row>
    <row r="92" spans="2:20" x14ac:dyDescent="0.35">
      <c r="B92" s="130" t="s">
        <v>49</v>
      </c>
      <c r="C92" s="127">
        <v>1811.88</v>
      </c>
      <c r="D92" s="127">
        <v>1322.48</v>
      </c>
      <c r="E92" s="127">
        <v>8253.68</v>
      </c>
      <c r="F92" s="127">
        <v>1322.48</v>
      </c>
      <c r="G92" s="127">
        <v>6785.7199999999993</v>
      </c>
      <c r="H92" s="127">
        <v>3980.16</v>
      </c>
      <c r="I92" s="127">
        <v>3768.26</v>
      </c>
      <c r="J92" s="127">
        <v>5843.5300000000007</v>
      </c>
      <c r="K92" s="127">
        <v>6509.57</v>
      </c>
      <c r="L92" s="127">
        <v>6814.58</v>
      </c>
      <c r="M92" s="127">
        <v>6487.08</v>
      </c>
      <c r="N92" s="127">
        <v>6487.08</v>
      </c>
      <c r="O92" s="127">
        <v>6727.7999999999993</v>
      </c>
      <c r="P92" s="127">
        <v>3582.42</v>
      </c>
      <c r="Q92" s="127">
        <v>9653.09</v>
      </c>
      <c r="R92" s="127">
        <v>3024.96</v>
      </c>
      <c r="S92" s="127">
        <v>5449.75</v>
      </c>
      <c r="T92" s="127">
        <f t="shared" si="1"/>
        <v>-2424.79</v>
      </c>
    </row>
    <row r="93" spans="2:20" x14ac:dyDescent="0.35">
      <c r="B93" s="129" t="s">
        <v>442</v>
      </c>
      <c r="C93" s="127">
        <v>454.40000000000009</v>
      </c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>
        <f t="shared" si="1"/>
        <v>0</v>
      </c>
    </row>
    <row r="94" spans="2:20" x14ac:dyDescent="0.35">
      <c r="B94" s="129" t="s">
        <v>441</v>
      </c>
      <c r="C94" s="127">
        <v>804.01</v>
      </c>
      <c r="D94" s="127">
        <v>804.01</v>
      </c>
      <c r="E94" s="127">
        <v>804.01</v>
      </c>
      <c r="F94" s="127">
        <v>804.01</v>
      </c>
      <c r="G94" s="127">
        <v>804.01</v>
      </c>
      <c r="H94" s="127">
        <v>804.01</v>
      </c>
      <c r="I94" s="127">
        <v>804.01</v>
      </c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>
        <f t="shared" si="1"/>
        <v>0</v>
      </c>
    </row>
    <row r="95" spans="2:20" x14ac:dyDescent="0.35">
      <c r="B95" s="129" t="s">
        <v>440</v>
      </c>
      <c r="C95" s="127">
        <v>553.47</v>
      </c>
      <c r="D95" s="127">
        <v>518.47</v>
      </c>
      <c r="E95" s="127">
        <v>518.47</v>
      </c>
      <c r="F95" s="127">
        <v>518.47</v>
      </c>
      <c r="G95" s="127">
        <v>518.47</v>
      </c>
      <c r="H95" s="127">
        <v>518.47</v>
      </c>
      <c r="I95" s="127">
        <v>518.47</v>
      </c>
      <c r="J95" s="127">
        <v>-234.15</v>
      </c>
      <c r="K95" s="127"/>
      <c r="L95" s="127"/>
      <c r="M95" s="127"/>
      <c r="N95" s="127"/>
      <c r="O95" s="127"/>
      <c r="P95" s="127"/>
      <c r="Q95" s="127"/>
      <c r="R95" s="127"/>
      <c r="S95" s="127"/>
      <c r="T95" s="127">
        <f t="shared" si="1"/>
        <v>0</v>
      </c>
    </row>
    <row r="96" spans="2:20" x14ac:dyDescent="0.35">
      <c r="B96" s="129" t="s">
        <v>439</v>
      </c>
      <c r="C96" s="127"/>
      <c r="D96" s="127"/>
      <c r="E96" s="127">
        <v>6931.2</v>
      </c>
      <c r="F96" s="127"/>
      <c r="G96" s="127">
        <v>5463.24</v>
      </c>
      <c r="H96" s="127">
        <v>2657.68</v>
      </c>
      <c r="I96" s="127">
        <v>2445.7800000000002</v>
      </c>
      <c r="J96" s="127">
        <v>2445.7800000000002</v>
      </c>
      <c r="K96" s="127">
        <v>3102.67</v>
      </c>
      <c r="L96" s="127">
        <v>2657.68</v>
      </c>
      <c r="M96" s="127">
        <v>2657.68</v>
      </c>
      <c r="N96" s="127">
        <v>2657.68</v>
      </c>
      <c r="O96" s="127">
        <v>2657.68</v>
      </c>
      <c r="P96" s="127"/>
      <c r="Q96" s="127">
        <v>6628.13</v>
      </c>
      <c r="R96" s="127"/>
      <c r="S96" s="127">
        <v>2089.79</v>
      </c>
      <c r="T96" s="127">
        <f t="shared" si="1"/>
        <v>-2089.79</v>
      </c>
    </row>
    <row r="97" spans="2:20" s="125" customFormat="1" x14ac:dyDescent="0.35">
      <c r="B97" s="129" t="s">
        <v>438</v>
      </c>
      <c r="C97" s="127"/>
      <c r="D97" s="127"/>
      <c r="E97" s="127"/>
      <c r="F97" s="127"/>
      <c r="G97" s="127"/>
      <c r="H97" s="127"/>
      <c r="I97" s="127"/>
      <c r="J97" s="127">
        <v>600</v>
      </c>
      <c r="K97" s="127"/>
      <c r="L97" s="127"/>
      <c r="M97" s="127"/>
      <c r="N97" s="127"/>
      <c r="O97" s="127"/>
      <c r="P97" s="127"/>
      <c r="Q97" s="127"/>
      <c r="R97" s="127"/>
      <c r="S97" s="127"/>
      <c r="T97" s="127">
        <f t="shared" si="1"/>
        <v>0</v>
      </c>
    </row>
    <row r="98" spans="2:20" x14ac:dyDescent="0.35">
      <c r="B98" s="129" t="s">
        <v>407</v>
      </c>
      <c r="C98" s="127"/>
      <c r="D98" s="127"/>
      <c r="E98" s="127"/>
      <c r="F98" s="127"/>
      <c r="G98" s="127"/>
      <c r="H98" s="127"/>
      <c r="I98" s="127"/>
      <c r="J98" s="127"/>
      <c r="K98" s="127">
        <v>375</v>
      </c>
      <c r="L98" s="127">
        <v>1125</v>
      </c>
      <c r="M98" s="127">
        <v>797.5</v>
      </c>
      <c r="N98" s="127">
        <v>797.5</v>
      </c>
      <c r="O98" s="127">
        <v>797.5</v>
      </c>
      <c r="P98" s="127">
        <v>717.5</v>
      </c>
      <c r="Q98" s="127">
        <v>717.5</v>
      </c>
      <c r="R98" s="127">
        <v>717.5</v>
      </c>
      <c r="S98" s="127">
        <v>1052.5</v>
      </c>
      <c r="T98" s="127">
        <f t="shared" si="1"/>
        <v>-335</v>
      </c>
    </row>
    <row r="99" spans="2:20" x14ac:dyDescent="0.35">
      <c r="B99" s="129" t="s">
        <v>437</v>
      </c>
      <c r="C99" s="127"/>
      <c r="D99" s="127"/>
      <c r="E99" s="127"/>
      <c r="F99" s="127"/>
      <c r="G99" s="127"/>
      <c r="H99" s="127"/>
      <c r="I99" s="127"/>
      <c r="J99" s="127">
        <v>3031.9</v>
      </c>
      <c r="K99" s="127">
        <v>3031.9</v>
      </c>
      <c r="L99" s="127">
        <v>3031.9</v>
      </c>
      <c r="M99" s="127">
        <v>3031.9</v>
      </c>
      <c r="N99" s="127">
        <v>3031.9</v>
      </c>
      <c r="O99" s="127">
        <v>3272.62</v>
      </c>
      <c r="P99" s="127">
        <v>2864.92</v>
      </c>
      <c r="Q99" s="127">
        <v>2307.46</v>
      </c>
      <c r="R99" s="127">
        <v>2307.46</v>
      </c>
      <c r="S99" s="127">
        <v>2307.46</v>
      </c>
      <c r="T99" s="127">
        <f t="shared" si="1"/>
        <v>0</v>
      </c>
    </row>
    <row r="100" spans="2:20" x14ac:dyDescent="0.35">
      <c r="B100" s="130" t="s">
        <v>84</v>
      </c>
      <c r="C100" s="127">
        <v>145.84</v>
      </c>
      <c r="D100" s="127">
        <v>1109.45</v>
      </c>
      <c r="E100" s="127">
        <v>3461.1500000000005</v>
      </c>
      <c r="F100" s="127">
        <v>362.91999999999996</v>
      </c>
      <c r="G100" s="127">
        <v>520.75</v>
      </c>
      <c r="H100" s="127"/>
      <c r="I100" s="127">
        <v>114.49000000000001</v>
      </c>
      <c r="J100" s="127">
        <v>1373.65</v>
      </c>
      <c r="K100" s="127">
        <v>548.37</v>
      </c>
      <c r="L100" s="127">
        <v>311.05</v>
      </c>
      <c r="M100" s="127">
        <v>687.38</v>
      </c>
      <c r="N100" s="127">
        <v>354.63</v>
      </c>
      <c r="O100" s="127">
        <v>579.89</v>
      </c>
      <c r="P100" s="127">
        <v>716.83</v>
      </c>
      <c r="Q100" s="127">
        <v>150.07999999999998</v>
      </c>
      <c r="R100" s="127">
        <v>887.7399999999999</v>
      </c>
      <c r="S100" s="127">
        <v>49</v>
      </c>
      <c r="T100" s="127">
        <f t="shared" si="1"/>
        <v>838.7399999999999</v>
      </c>
    </row>
    <row r="101" spans="2:20" x14ac:dyDescent="0.35">
      <c r="B101" s="129" t="s">
        <v>436</v>
      </c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>
        <v>143.37</v>
      </c>
      <c r="P101" s="127"/>
      <c r="Q101" s="127"/>
      <c r="R101" s="127"/>
      <c r="S101" s="127"/>
      <c r="T101" s="127">
        <f t="shared" si="1"/>
        <v>0</v>
      </c>
    </row>
    <row r="102" spans="2:20" x14ac:dyDescent="0.35">
      <c r="B102" s="129" t="s">
        <v>435</v>
      </c>
      <c r="C102" s="127"/>
      <c r="D102" s="127">
        <v>456.61</v>
      </c>
      <c r="E102" s="127">
        <v>593.85</v>
      </c>
      <c r="F102" s="127"/>
      <c r="G102" s="127">
        <v>520.75</v>
      </c>
      <c r="H102" s="127"/>
      <c r="I102" s="127"/>
      <c r="J102" s="127"/>
      <c r="K102" s="127"/>
      <c r="L102" s="127"/>
      <c r="M102" s="127"/>
      <c r="N102" s="127"/>
      <c r="O102" s="127"/>
      <c r="P102" s="127">
        <v>221.32</v>
      </c>
      <c r="Q102" s="127"/>
      <c r="R102" s="127"/>
      <c r="S102" s="127"/>
      <c r="T102" s="127">
        <f t="shared" si="1"/>
        <v>0</v>
      </c>
    </row>
    <row r="103" spans="2:20" x14ac:dyDescent="0.35">
      <c r="B103" s="129" t="s">
        <v>434</v>
      </c>
      <c r="C103" s="127"/>
      <c r="D103" s="127"/>
      <c r="E103" s="127"/>
      <c r="F103" s="127"/>
      <c r="G103" s="127"/>
      <c r="H103" s="127"/>
      <c r="I103" s="127"/>
      <c r="J103" s="127">
        <v>96.47</v>
      </c>
      <c r="K103" s="127"/>
      <c r="L103" s="127"/>
      <c r="M103" s="127"/>
      <c r="N103" s="127"/>
      <c r="O103" s="127"/>
      <c r="P103" s="127"/>
      <c r="Q103" s="127"/>
      <c r="R103" s="127"/>
      <c r="S103" s="127"/>
      <c r="T103" s="127">
        <f t="shared" si="1"/>
        <v>0</v>
      </c>
    </row>
    <row r="104" spans="2:20" x14ac:dyDescent="0.35">
      <c r="B104" s="129" t="s">
        <v>433</v>
      </c>
      <c r="C104" s="127"/>
      <c r="D104" s="127"/>
      <c r="E104" s="127"/>
      <c r="F104" s="127"/>
      <c r="G104" s="127"/>
      <c r="H104" s="127"/>
      <c r="I104" s="127"/>
      <c r="J104" s="127">
        <v>37.79</v>
      </c>
      <c r="K104" s="127"/>
      <c r="L104" s="127"/>
      <c r="M104" s="127"/>
      <c r="N104" s="127">
        <v>169.44</v>
      </c>
      <c r="O104" s="127"/>
      <c r="P104" s="127"/>
      <c r="Q104" s="127"/>
      <c r="R104" s="127"/>
      <c r="S104" s="127"/>
      <c r="T104" s="127">
        <f t="shared" si="1"/>
        <v>0</v>
      </c>
    </row>
    <row r="105" spans="2:20" x14ac:dyDescent="0.35">
      <c r="B105" s="129" t="s">
        <v>432</v>
      </c>
      <c r="C105" s="127"/>
      <c r="D105" s="127"/>
      <c r="E105" s="127">
        <v>15.64</v>
      </c>
      <c r="F105" s="127"/>
      <c r="G105" s="127"/>
      <c r="H105" s="127"/>
      <c r="I105" s="127"/>
      <c r="J105" s="127">
        <v>10.17</v>
      </c>
      <c r="K105" s="127"/>
      <c r="L105" s="127">
        <v>8.17</v>
      </c>
      <c r="M105" s="127">
        <v>15.34</v>
      </c>
      <c r="N105" s="127">
        <v>17.11</v>
      </c>
      <c r="O105" s="127">
        <v>6.36</v>
      </c>
      <c r="P105" s="127">
        <v>7.42</v>
      </c>
      <c r="Q105" s="127"/>
      <c r="R105" s="127"/>
      <c r="S105" s="127"/>
      <c r="T105" s="127">
        <f t="shared" si="1"/>
        <v>0</v>
      </c>
    </row>
    <row r="106" spans="2:20" x14ac:dyDescent="0.35">
      <c r="B106" s="129" t="s">
        <v>431</v>
      </c>
      <c r="C106" s="127"/>
      <c r="D106" s="127"/>
      <c r="E106" s="127">
        <v>28.51</v>
      </c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>
        <f t="shared" si="1"/>
        <v>0</v>
      </c>
    </row>
    <row r="107" spans="2:20" x14ac:dyDescent="0.35">
      <c r="B107" s="129" t="s">
        <v>430</v>
      </c>
      <c r="C107" s="127"/>
      <c r="D107" s="127"/>
      <c r="E107" s="127"/>
      <c r="F107" s="127"/>
      <c r="G107" s="127"/>
      <c r="H107" s="127"/>
      <c r="I107" s="127"/>
      <c r="J107" s="127"/>
      <c r="K107" s="127"/>
      <c r="L107" s="127">
        <v>61.63</v>
      </c>
      <c r="M107" s="127"/>
      <c r="N107" s="127"/>
      <c r="O107" s="127"/>
      <c r="P107" s="127"/>
      <c r="Q107" s="127"/>
      <c r="R107" s="127"/>
      <c r="S107" s="127"/>
      <c r="T107" s="127">
        <f t="shared" si="1"/>
        <v>0</v>
      </c>
    </row>
    <row r="108" spans="2:20" x14ac:dyDescent="0.35">
      <c r="B108" s="129" t="s">
        <v>429</v>
      </c>
      <c r="C108" s="127"/>
      <c r="D108" s="127"/>
      <c r="E108" s="127">
        <v>154.82</v>
      </c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>
        <v>19.260000000000002</v>
      </c>
      <c r="Q108" s="127">
        <v>44.44</v>
      </c>
      <c r="R108" s="127"/>
      <c r="S108" s="127"/>
      <c r="T108" s="127">
        <f t="shared" si="1"/>
        <v>0</v>
      </c>
    </row>
    <row r="109" spans="2:20" x14ac:dyDescent="0.35">
      <c r="B109" s="129" t="s">
        <v>428</v>
      </c>
      <c r="C109" s="127">
        <v>34.520000000000003</v>
      </c>
      <c r="D109" s="127"/>
      <c r="E109" s="127">
        <v>19.45</v>
      </c>
      <c r="F109" s="127"/>
      <c r="G109" s="127"/>
      <c r="H109" s="127"/>
      <c r="I109" s="127"/>
      <c r="J109" s="127"/>
      <c r="K109" s="127">
        <v>25.94</v>
      </c>
      <c r="L109" s="127"/>
      <c r="M109" s="127">
        <v>45.42</v>
      </c>
      <c r="N109" s="127"/>
      <c r="O109" s="127"/>
      <c r="P109" s="127"/>
      <c r="Q109" s="127"/>
      <c r="R109" s="127"/>
      <c r="S109" s="127"/>
      <c r="T109" s="127">
        <f t="shared" si="1"/>
        <v>0</v>
      </c>
    </row>
    <row r="110" spans="2:20" x14ac:dyDescent="0.35">
      <c r="B110" s="129" t="s">
        <v>427</v>
      </c>
      <c r="C110" s="127"/>
      <c r="D110" s="127">
        <v>90.21</v>
      </c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>
        <f t="shared" si="1"/>
        <v>0</v>
      </c>
    </row>
    <row r="111" spans="2:20" x14ac:dyDescent="0.35">
      <c r="B111" s="129" t="s">
        <v>426</v>
      </c>
      <c r="C111" s="127"/>
      <c r="D111" s="127">
        <v>26.6</v>
      </c>
      <c r="E111" s="127">
        <v>69.489999999999995</v>
      </c>
      <c r="F111" s="127"/>
      <c r="G111" s="127"/>
      <c r="H111" s="127"/>
      <c r="I111" s="127"/>
      <c r="J111" s="127"/>
      <c r="K111" s="127"/>
      <c r="L111" s="127"/>
      <c r="M111" s="127">
        <v>49.25</v>
      </c>
      <c r="N111" s="127">
        <v>28.2</v>
      </c>
      <c r="O111" s="127"/>
      <c r="P111" s="127"/>
      <c r="Q111" s="127"/>
      <c r="R111" s="127"/>
      <c r="S111" s="127"/>
      <c r="T111" s="127">
        <f t="shared" si="1"/>
        <v>0</v>
      </c>
    </row>
    <row r="112" spans="2:20" x14ac:dyDescent="0.35">
      <c r="B112" s="129" t="s">
        <v>425</v>
      </c>
      <c r="C112" s="127"/>
      <c r="D112" s="127">
        <v>16.78</v>
      </c>
      <c r="E112" s="127"/>
      <c r="F112" s="127">
        <v>36.72</v>
      </c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>
        <f t="shared" si="1"/>
        <v>0</v>
      </c>
    </row>
    <row r="113" spans="2:20" x14ac:dyDescent="0.35">
      <c r="B113" s="129" t="s">
        <v>84</v>
      </c>
      <c r="C113" s="127">
        <v>30</v>
      </c>
      <c r="D113" s="127">
        <v>116.67999999999999</v>
      </c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>
        <f t="shared" si="1"/>
        <v>0</v>
      </c>
    </row>
    <row r="114" spans="2:20" x14ac:dyDescent="0.35">
      <c r="B114" s="129" t="s">
        <v>324</v>
      </c>
      <c r="C114" s="127"/>
      <c r="D114" s="127"/>
      <c r="E114" s="127">
        <v>104.78</v>
      </c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>
        <v>45.72</v>
      </c>
      <c r="R114" s="127"/>
      <c r="S114" s="127"/>
      <c r="T114" s="127">
        <f t="shared" si="1"/>
        <v>0</v>
      </c>
    </row>
    <row r="115" spans="2:20" x14ac:dyDescent="0.35">
      <c r="B115" s="129" t="s">
        <v>424</v>
      </c>
      <c r="C115" s="127"/>
      <c r="D115" s="127"/>
      <c r="E115" s="127">
        <v>96.199999999999989</v>
      </c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>
        <f t="shared" si="1"/>
        <v>0</v>
      </c>
    </row>
    <row r="116" spans="2:20" x14ac:dyDescent="0.35">
      <c r="B116" s="129" t="s">
        <v>423</v>
      </c>
      <c r="C116" s="127"/>
      <c r="D116" s="127"/>
      <c r="E116" s="127">
        <v>111.64</v>
      </c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>
        <f t="shared" si="1"/>
        <v>0</v>
      </c>
    </row>
    <row r="117" spans="2:20" x14ac:dyDescent="0.35">
      <c r="B117" s="129" t="s">
        <v>422</v>
      </c>
      <c r="C117" s="127"/>
      <c r="D117" s="127"/>
      <c r="E117" s="127">
        <v>151.75</v>
      </c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>
        <f t="shared" si="1"/>
        <v>0</v>
      </c>
    </row>
    <row r="118" spans="2:20" x14ac:dyDescent="0.35">
      <c r="B118" s="129" t="s">
        <v>421</v>
      </c>
      <c r="C118" s="127"/>
      <c r="D118" s="127"/>
      <c r="E118" s="127">
        <v>63.77</v>
      </c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>
        <f t="shared" si="1"/>
        <v>0</v>
      </c>
    </row>
    <row r="119" spans="2:20" x14ac:dyDescent="0.35">
      <c r="B119" s="129" t="s">
        <v>420</v>
      </c>
      <c r="C119" s="127"/>
      <c r="D119" s="127"/>
      <c r="E119" s="127">
        <v>56.44</v>
      </c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>
        <f t="shared" si="1"/>
        <v>0</v>
      </c>
    </row>
    <row r="120" spans="2:20" x14ac:dyDescent="0.35">
      <c r="B120" s="129" t="s">
        <v>419</v>
      </c>
      <c r="C120" s="127"/>
      <c r="D120" s="127"/>
      <c r="E120" s="127">
        <v>120</v>
      </c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>
        <f t="shared" si="1"/>
        <v>0</v>
      </c>
    </row>
    <row r="121" spans="2:20" x14ac:dyDescent="0.35">
      <c r="B121" s="129" t="s">
        <v>418</v>
      </c>
      <c r="C121" s="127"/>
      <c r="D121" s="127"/>
      <c r="E121" s="127">
        <v>11.84</v>
      </c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>
        <f t="shared" si="1"/>
        <v>0</v>
      </c>
    </row>
    <row r="122" spans="2:20" x14ac:dyDescent="0.35">
      <c r="B122" s="129" t="s">
        <v>417</v>
      </c>
      <c r="C122" s="127"/>
      <c r="D122" s="127"/>
      <c r="E122" s="127">
        <v>724.36</v>
      </c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>
        <f t="shared" si="1"/>
        <v>0</v>
      </c>
    </row>
    <row r="123" spans="2:20" x14ac:dyDescent="0.35">
      <c r="B123" s="129" t="s">
        <v>416</v>
      </c>
      <c r="C123" s="127"/>
      <c r="D123" s="127"/>
      <c r="E123" s="127">
        <v>109.6</v>
      </c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>
        <f t="shared" si="1"/>
        <v>0</v>
      </c>
    </row>
    <row r="124" spans="2:20" x14ac:dyDescent="0.35">
      <c r="B124" s="129" t="s">
        <v>415</v>
      </c>
      <c r="C124" s="127"/>
      <c r="D124" s="127"/>
      <c r="E124" s="127">
        <v>35.58</v>
      </c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>
        <f t="shared" si="1"/>
        <v>0</v>
      </c>
    </row>
    <row r="125" spans="2:20" x14ac:dyDescent="0.35">
      <c r="B125" s="129" t="s">
        <v>414</v>
      </c>
      <c r="C125" s="127"/>
      <c r="D125" s="127"/>
      <c r="E125" s="127">
        <v>78.42</v>
      </c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>
        <f t="shared" si="1"/>
        <v>0</v>
      </c>
    </row>
    <row r="126" spans="2:20" x14ac:dyDescent="0.35">
      <c r="B126" s="129" t="s">
        <v>413</v>
      </c>
      <c r="C126" s="127"/>
      <c r="D126" s="127"/>
      <c r="E126" s="127">
        <v>521.24</v>
      </c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>
        <f t="shared" si="1"/>
        <v>0</v>
      </c>
    </row>
    <row r="127" spans="2:20" x14ac:dyDescent="0.35">
      <c r="B127" s="129" t="s">
        <v>412</v>
      </c>
      <c r="C127" s="127"/>
      <c r="D127" s="127"/>
      <c r="E127" s="127">
        <v>79.88000000000001</v>
      </c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>
        <v>18.13</v>
      </c>
      <c r="Q127" s="127"/>
      <c r="R127" s="127">
        <v>36.81</v>
      </c>
      <c r="S127" s="127"/>
      <c r="T127" s="127">
        <f t="shared" si="1"/>
        <v>36.81</v>
      </c>
    </row>
    <row r="128" spans="2:20" x14ac:dyDescent="0.35">
      <c r="B128" s="129" t="s">
        <v>411</v>
      </c>
      <c r="C128" s="127"/>
      <c r="D128" s="127"/>
      <c r="E128" s="127">
        <v>27.43</v>
      </c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>
        <f t="shared" si="1"/>
        <v>0</v>
      </c>
    </row>
    <row r="129" spans="2:20" x14ac:dyDescent="0.35">
      <c r="B129" s="129" t="s">
        <v>410</v>
      </c>
      <c r="C129" s="127"/>
      <c r="D129" s="127"/>
      <c r="E129" s="127"/>
      <c r="F129" s="127">
        <v>110</v>
      </c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>
        <f t="shared" si="1"/>
        <v>0</v>
      </c>
    </row>
    <row r="130" spans="2:20" x14ac:dyDescent="0.35">
      <c r="B130" s="129" t="s">
        <v>409</v>
      </c>
      <c r="C130" s="127"/>
      <c r="D130" s="127"/>
      <c r="E130" s="127"/>
      <c r="F130" s="127"/>
      <c r="G130" s="127"/>
      <c r="H130" s="127"/>
      <c r="I130" s="127">
        <v>34.04</v>
      </c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>
        <f t="shared" si="1"/>
        <v>0</v>
      </c>
    </row>
    <row r="131" spans="2:20" x14ac:dyDescent="0.35">
      <c r="B131" s="129" t="s">
        <v>408</v>
      </c>
      <c r="C131" s="127"/>
      <c r="D131" s="127"/>
      <c r="E131" s="127"/>
      <c r="F131" s="127"/>
      <c r="G131" s="127"/>
      <c r="H131" s="127"/>
      <c r="I131" s="127">
        <v>44.02</v>
      </c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>
        <f t="shared" si="1"/>
        <v>0</v>
      </c>
    </row>
    <row r="132" spans="2:20" x14ac:dyDescent="0.35">
      <c r="B132" s="129" t="s">
        <v>407</v>
      </c>
      <c r="C132" s="127"/>
      <c r="D132" s="127"/>
      <c r="E132" s="127"/>
      <c r="F132" s="127"/>
      <c r="G132" s="127"/>
      <c r="H132" s="127"/>
      <c r="I132" s="127"/>
      <c r="J132" s="127"/>
      <c r="K132" s="127">
        <v>180</v>
      </c>
      <c r="L132" s="127">
        <v>45</v>
      </c>
      <c r="M132" s="127"/>
      <c r="N132" s="127"/>
      <c r="O132" s="127"/>
      <c r="P132" s="127"/>
      <c r="Q132" s="127"/>
      <c r="R132" s="127"/>
      <c r="S132" s="127"/>
      <c r="T132" s="127">
        <f t="shared" si="1"/>
        <v>0</v>
      </c>
    </row>
    <row r="133" spans="2:20" x14ac:dyDescent="0.35">
      <c r="B133" s="129" t="s">
        <v>321</v>
      </c>
      <c r="C133" s="127">
        <v>23.02</v>
      </c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>
        <f t="shared" ref="T133:T196" si="2">R133-S133</f>
        <v>0</v>
      </c>
    </row>
    <row r="134" spans="2:20" x14ac:dyDescent="0.35">
      <c r="B134" s="129" t="s">
        <v>406</v>
      </c>
      <c r="C134" s="127"/>
      <c r="D134" s="127"/>
      <c r="E134" s="127"/>
      <c r="F134" s="127"/>
      <c r="G134" s="127"/>
      <c r="H134" s="127"/>
      <c r="I134" s="127"/>
      <c r="J134" s="127">
        <v>14.99</v>
      </c>
      <c r="K134" s="127"/>
      <c r="L134" s="127"/>
      <c r="M134" s="127"/>
      <c r="N134" s="127"/>
      <c r="O134" s="127"/>
      <c r="P134" s="127"/>
      <c r="Q134" s="127"/>
      <c r="R134" s="127"/>
      <c r="S134" s="127"/>
      <c r="T134" s="127">
        <f t="shared" si="2"/>
        <v>0</v>
      </c>
    </row>
    <row r="135" spans="2:20" x14ac:dyDescent="0.35">
      <c r="B135" s="129" t="s">
        <v>405</v>
      </c>
      <c r="C135" s="127"/>
      <c r="D135" s="127"/>
      <c r="E135" s="127"/>
      <c r="F135" s="127"/>
      <c r="G135" s="127"/>
      <c r="H135" s="127"/>
      <c r="I135" s="127"/>
      <c r="J135" s="127">
        <v>61.05</v>
      </c>
      <c r="K135" s="127"/>
      <c r="L135" s="127"/>
      <c r="M135" s="127"/>
      <c r="N135" s="127"/>
      <c r="O135" s="127"/>
      <c r="P135" s="127"/>
      <c r="Q135" s="127"/>
      <c r="R135" s="127"/>
      <c r="S135" s="127"/>
      <c r="T135" s="127">
        <f t="shared" si="2"/>
        <v>0</v>
      </c>
    </row>
    <row r="136" spans="2:20" x14ac:dyDescent="0.35">
      <c r="B136" s="129" t="s">
        <v>404</v>
      </c>
      <c r="C136" s="127"/>
      <c r="D136" s="127"/>
      <c r="E136" s="127"/>
      <c r="F136" s="127"/>
      <c r="G136" s="127"/>
      <c r="H136" s="127"/>
      <c r="I136" s="127"/>
      <c r="J136" s="127">
        <v>35</v>
      </c>
      <c r="K136" s="127"/>
      <c r="L136" s="127"/>
      <c r="M136" s="127"/>
      <c r="N136" s="127"/>
      <c r="O136" s="127"/>
      <c r="P136" s="127"/>
      <c r="Q136" s="127"/>
      <c r="R136" s="127"/>
      <c r="S136" s="127"/>
      <c r="T136" s="127">
        <f t="shared" si="2"/>
        <v>0</v>
      </c>
    </row>
    <row r="137" spans="2:20" x14ac:dyDescent="0.35">
      <c r="B137" s="129" t="s">
        <v>312</v>
      </c>
      <c r="C137" s="127"/>
      <c r="D137" s="127"/>
      <c r="E137" s="127"/>
      <c r="F137" s="127"/>
      <c r="G137" s="127"/>
      <c r="H137" s="127"/>
      <c r="I137" s="127"/>
      <c r="J137" s="127">
        <v>12.32</v>
      </c>
      <c r="K137" s="127"/>
      <c r="L137" s="127"/>
      <c r="M137" s="127"/>
      <c r="N137" s="127"/>
      <c r="O137" s="127"/>
      <c r="P137" s="127"/>
      <c r="Q137" s="127"/>
      <c r="R137" s="127"/>
      <c r="S137" s="127"/>
      <c r="T137" s="127">
        <f t="shared" si="2"/>
        <v>0</v>
      </c>
    </row>
    <row r="138" spans="2:20" x14ac:dyDescent="0.35">
      <c r="B138" s="129" t="s">
        <v>403</v>
      </c>
      <c r="C138" s="127"/>
      <c r="D138" s="127"/>
      <c r="E138" s="127"/>
      <c r="F138" s="127"/>
      <c r="G138" s="127"/>
      <c r="H138" s="127"/>
      <c r="I138" s="127"/>
      <c r="J138" s="127">
        <v>26.14</v>
      </c>
      <c r="K138" s="127"/>
      <c r="L138" s="127"/>
      <c r="M138" s="127"/>
      <c r="N138" s="127"/>
      <c r="O138" s="127"/>
      <c r="P138" s="127"/>
      <c r="Q138" s="127"/>
      <c r="R138" s="127"/>
      <c r="S138" s="127"/>
      <c r="T138" s="127">
        <f t="shared" si="2"/>
        <v>0</v>
      </c>
    </row>
    <row r="139" spans="2:20" x14ac:dyDescent="0.35">
      <c r="B139" s="129" t="s">
        <v>402</v>
      </c>
      <c r="C139" s="127"/>
      <c r="D139" s="127"/>
      <c r="E139" s="127"/>
      <c r="F139" s="127"/>
      <c r="G139" s="127"/>
      <c r="H139" s="127"/>
      <c r="I139" s="127"/>
      <c r="J139" s="127">
        <v>9.5</v>
      </c>
      <c r="K139" s="127"/>
      <c r="L139" s="127"/>
      <c r="M139" s="127"/>
      <c r="N139" s="127"/>
      <c r="O139" s="127"/>
      <c r="P139" s="127"/>
      <c r="Q139" s="127"/>
      <c r="R139" s="127"/>
      <c r="S139" s="127"/>
      <c r="T139" s="127">
        <f t="shared" si="2"/>
        <v>0</v>
      </c>
    </row>
    <row r="140" spans="2:20" x14ac:dyDescent="0.35">
      <c r="B140" s="129" t="s">
        <v>401</v>
      </c>
      <c r="C140" s="127"/>
      <c r="D140" s="127"/>
      <c r="E140" s="127"/>
      <c r="F140" s="127"/>
      <c r="G140" s="127"/>
      <c r="H140" s="127"/>
      <c r="I140" s="127"/>
      <c r="J140" s="127">
        <v>259.8</v>
      </c>
      <c r="K140" s="127"/>
      <c r="L140" s="127"/>
      <c r="M140" s="127"/>
      <c r="N140" s="127"/>
      <c r="O140" s="127"/>
      <c r="P140" s="127"/>
      <c r="Q140" s="127"/>
      <c r="R140" s="127"/>
      <c r="S140" s="127"/>
      <c r="T140" s="127">
        <f t="shared" si="2"/>
        <v>0</v>
      </c>
    </row>
    <row r="141" spans="2:20" x14ac:dyDescent="0.35">
      <c r="B141" s="129" t="s">
        <v>400</v>
      </c>
      <c r="C141" s="127"/>
      <c r="D141" s="127"/>
      <c r="E141" s="127"/>
      <c r="F141" s="127"/>
      <c r="G141" s="127"/>
      <c r="H141" s="127"/>
      <c r="I141" s="127"/>
      <c r="J141" s="127">
        <v>146.34</v>
      </c>
      <c r="K141" s="127"/>
      <c r="L141" s="127"/>
      <c r="M141" s="127"/>
      <c r="N141" s="127"/>
      <c r="O141" s="127"/>
      <c r="P141" s="127"/>
      <c r="Q141" s="127"/>
      <c r="R141" s="127"/>
      <c r="S141" s="127"/>
      <c r="T141" s="127">
        <f t="shared" si="2"/>
        <v>0</v>
      </c>
    </row>
    <row r="142" spans="2:20" x14ac:dyDescent="0.35">
      <c r="B142" s="129" t="s">
        <v>399</v>
      </c>
      <c r="C142" s="127"/>
      <c r="D142" s="127"/>
      <c r="E142" s="127"/>
      <c r="F142" s="127"/>
      <c r="G142" s="127"/>
      <c r="H142" s="127"/>
      <c r="I142" s="127"/>
      <c r="J142" s="127">
        <v>179.42</v>
      </c>
      <c r="K142" s="127"/>
      <c r="L142" s="127"/>
      <c r="M142" s="127"/>
      <c r="N142" s="127"/>
      <c r="O142" s="127"/>
      <c r="P142" s="127"/>
      <c r="Q142" s="127"/>
      <c r="R142" s="127"/>
      <c r="S142" s="127"/>
      <c r="T142" s="127">
        <f t="shared" si="2"/>
        <v>0</v>
      </c>
    </row>
    <row r="143" spans="2:20" x14ac:dyDescent="0.35">
      <c r="B143" s="129" t="s">
        <v>398</v>
      </c>
      <c r="C143" s="127"/>
      <c r="D143" s="127"/>
      <c r="E143" s="127"/>
      <c r="F143" s="127"/>
      <c r="G143" s="127"/>
      <c r="H143" s="127"/>
      <c r="I143" s="127"/>
      <c r="J143" s="127">
        <v>9.44</v>
      </c>
      <c r="K143" s="127"/>
      <c r="L143" s="127"/>
      <c r="M143" s="127"/>
      <c r="N143" s="127"/>
      <c r="O143" s="127"/>
      <c r="P143" s="127"/>
      <c r="Q143" s="127"/>
      <c r="R143" s="127"/>
      <c r="S143" s="127"/>
      <c r="T143" s="127">
        <f t="shared" si="2"/>
        <v>0</v>
      </c>
    </row>
    <row r="144" spans="2:20" x14ac:dyDescent="0.35">
      <c r="B144" s="129" t="s">
        <v>397</v>
      </c>
      <c r="C144" s="127"/>
      <c r="D144" s="127"/>
      <c r="E144" s="127"/>
      <c r="F144" s="127"/>
      <c r="G144" s="127"/>
      <c r="H144" s="127"/>
      <c r="I144" s="127"/>
      <c r="J144" s="127">
        <v>40.76</v>
      </c>
      <c r="K144" s="127"/>
      <c r="L144" s="127"/>
      <c r="M144" s="127"/>
      <c r="N144" s="127"/>
      <c r="O144" s="127"/>
      <c r="P144" s="127"/>
      <c r="Q144" s="127"/>
      <c r="R144" s="127"/>
      <c r="S144" s="127"/>
      <c r="T144" s="127">
        <f t="shared" si="2"/>
        <v>0</v>
      </c>
    </row>
    <row r="145" spans="2:20" x14ac:dyDescent="0.35">
      <c r="B145" s="129" t="s">
        <v>396</v>
      </c>
      <c r="C145" s="127"/>
      <c r="D145" s="127"/>
      <c r="E145" s="127"/>
      <c r="F145" s="127"/>
      <c r="G145" s="127"/>
      <c r="H145" s="127"/>
      <c r="I145" s="127"/>
      <c r="J145" s="127"/>
      <c r="K145" s="127">
        <v>14.7</v>
      </c>
      <c r="L145" s="127"/>
      <c r="M145" s="127"/>
      <c r="N145" s="127"/>
      <c r="O145" s="127"/>
      <c r="P145" s="127"/>
      <c r="Q145" s="127"/>
      <c r="R145" s="127"/>
      <c r="S145" s="127"/>
      <c r="T145" s="127">
        <f t="shared" si="2"/>
        <v>0</v>
      </c>
    </row>
    <row r="146" spans="2:20" x14ac:dyDescent="0.35">
      <c r="B146" s="129" t="s">
        <v>395</v>
      </c>
      <c r="C146" s="127"/>
      <c r="D146" s="127"/>
      <c r="E146" s="127"/>
      <c r="F146" s="127"/>
      <c r="G146" s="127"/>
      <c r="H146" s="127"/>
      <c r="I146" s="127"/>
      <c r="J146" s="127"/>
      <c r="K146" s="127">
        <v>4.49</v>
      </c>
      <c r="L146" s="127"/>
      <c r="M146" s="127"/>
      <c r="N146" s="127"/>
      <c r="O146" s="127"/>
      <c r="P146" s="127"/>
      <c r="Q146" s="127"/>
      <c r="R146" s="127"/>
      <c r="S146" s="127"/>
      <c r="T146" s="127">
        <f t="shared" si="2"/>
        <v>0</v>
      </c>
    </row>
    <row r="147" spans="2:20" x14ac:dyDescent="0.35">
      <c r="B147" s="129" t="s">
        <v>394</v>
      </c>
      <c r="C147" s="127"/>
      <c r="D147" s="127"/>
      <c r="E147" s="127"/>
      <c r="F147" s="127"/>
      <c r="G147" s="127"/>
      <c r="H147" s="127"/>
      <c r="I147" s="127"/>
      <c r="J147" s="127"/>
      <c r="K147" s="127">
        <v>16.170000000000002</v>
      </c>
      <c r="L147" s="127"/>
      <c r="M147" s="127"/>
      <c r="N147" s="127"/>
      <c r="O147" s="127"/>
      <c r="P147" s="127"/>
      <c r="Q147" s="127"/>
      <c r="R147" s="127"/>
      <c r="S147" s="127"/>
      <c r="T147" s="127">
        <f t="shared" si="2"/>
        <v>0</v>
      </c>
    </row>
    <row r="148" spans="2:20" x14ac:dyDescent="0.35">
      <c r="B148" s="129" t="s">
        <v>393</v>
      </c>
      <c r="C148" s="127"/>
      <c r="D148" s="127"/>
      <c r="E148" s="127"/>
      <c r="F148" s="127"/>
      <c r="G148" s="127"/>
      <c r="H148" s="127"/>
      <c r="I148" s="127">
        <v>36.43</v>
      </c>
      <c r="J148" s="127"/>
      <c r="K148" s="127">
        <v>95.1</v>
      </c>
      <c r="L148" s="127"/>
      <c r="M148" s="127"/>
      <c r="N148" s="127"/>
      <c r="O148" s="127"/>
      <c r="P148" s="127"/>
      <c r="Q148" s="127"/>
      <c r="R148" s="127"/>
      <c r="S148" s="127"/>
      <c r="T148" s="127">
        <f t="shared" si="2"/>
        <v>0</v>
      </c>
    </row>
    <row r="149" spans="2:20" x14ac:dyDescent="0.35">
      <c r="B149" s="129" t="s">
        <v>392</v>
      </c>
      <c r="C149" s="127"/>
      <c r="D149" s="127"/>
      <c r="E149" s="127"/>
      <c r="F149" s="127"/>
      <c r="G149" s="127"/>
      <c r="H149" s="127"/>
      <c r="I149" s="127"/>
      <c r="J149" s="127"/>
      <c r="K149" s="127"/>
      <c r="L149" s="127">
        <v>40.25</v>
      </c>
      <c r="M149" s="127"/>
      <c r="N149" s="127"/>
      <c r="O149" s="127"/>
      <c r="P149" s="127"/>
      <c r="Q149" s="127"/>
      <c r="R149" s="127"/>
      <c r="S149" s="127"/>
      <c r="T149" s="127">
        <f t="shared" si="2"/>
        <v>0</v>
      </c>
    </row>
    <row r="150" spans="2:20" x14ac:dyDescent="0.35">
      <c r="B150" s="129" t="s">
        <v>391</v>
      </c>
      <c r="C150" s="127"/>
      <c r="D150" s="127"/>
      <c r="E150" s="127"/>
      <c r="F150" s="127"/>
      <c r="G150" s="127"/>
      <c r="H150" s="127"/>
      <c r="I150" s="127"/>
      <c r="J150" s="127"/>
      <c r="K150" s="127"/>
      <c r="L150" s="127">
        <v>54</v>
      </c>
      <c r="M150" s="127"/>
      <c r="N150" s="127"/>
      <c r="O150" s="127"/>
      <c r="P150" s="127"/>
      <c r="Q150" s="127"/>
      <c r="R150" s="127"/>
      <c r="S150" s="127"/>
      <c r="T150" s="127">
        <f t="shared" si="2"/>
        <v>0</v>
      </c>
    </row>
    <row r="151" spans="2:20" x14ac:dyDescent="0.35">
      <c r="B151" s="129" t="s">
        <v>390</v>
      </c>
      <c r="C151" s="127"/>
      <c r="D151" s="127"/>
      <c r="E151" s="127"/>
      <c r="F151" s="127"/>
      <c r="G151" s="127"/>
      <c r="H151" s="127"/>
      <c r="I151" s="127"/>
      <c r="J151" s="127"/>
      <c r="K151" s="127"/>
      <c r="L151" s="127">
        <v>33.14</v>
      </c>
      <c r="M151" s="127"/>
      <c r="N151" s="127"/>
      <c r="O151" s="127"/>
      <c r="P151" s="127"/>
      <c r="Q151" s="127"/>
      <c r="R151" s="127"/>
      <c r="S151" s="127"/>
      <c r="T151" s="127">
        <f t="shared" si="2"/>
        <v>0</v>
      </c>
    </row>
    <row r="152" spans="2:20" x14ac:dyDescent="0.35">
      <c r="B152" s="129" t="s">
        <v>389</v>
      </c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>
        <v>65</v>
      </c>
      <c r="N152" s="127"/>
      <c r="O152" s="127"/>
      <c r="P152" s="127"/>
      <c r="Q152" s="127"/>
      <c r="R152" s="127"/>
      <c r="S152" s="127"/>
      <c r="T152" s="127">
        <f t="shared" si="2"/>
        <v>0</v>
      </c>
    </row>
    <row r="153" spans="2:20" x14ac:dyDescent="0.35">
      <c r="B153" s="129" t="s">
        <v>388</v>
      </c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>
        <v>5.23</v>
      </c>
      <c r="N153" s="127"/>
      <c r="O153" s="127"/>
      <c r="P153" s="127"/>
      <c r="Q153" s="127"/>
      <c r="R153" s="127"/>
      <c r="S153" s="127"/>
      <c r="T153" s="127">
        <f t="shared" si="2"/>
        <v>0</v>
      </c>
    </row>
    <row r="154" spans="2:20" x14ac:dyDescent="0.35">
      <c r="B154" s="129" t="s">
        <v>387</v>
      </c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>
        <v>19.63</v>
      </c>
      <c r="N154" s="127"/>
      <c r="O154" s="127"/>
      <c r="P154" s="127"/>
      <c r="Q154" s="127"/>
      <c r="R154" s="127"/>
      <c r="S154" s="127"/>
      <c r="T154" s="127">
        <f t="shared" si="2"/>
        <v>0</v>
      </c>
    </row>
    <row r="155" spans="2:20" x14ac:dyDescent="0.35">
      <c r="B155" s="129" t="s">
        <v>386</v>
      </c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>
        <v>9.65</v>
      </c>
      <c r="N155" s="127"/>
      <c r="O155" s="127"/>
      <c r="P155" s="127"/>
      <c r="Q155" s="127"/>
      <c r="R155" s="127"/>
      <c r="S155" s="127"/>
      <c r="T155" s="127">
        <f t="shared" si="2"/>
        <v>0</v>
      </c>
    </row>
    <row r="156" spans="2:20" x14ac:dyDescent="0.35">
      <c r="B156" s="129" t="s">
        <v>385</v>
      </c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>
        <v>21.11</v>
      </c>
      <c r="N156" s="127"/>
      <c r="O156" s="127"/>
      <c r="P156" s="127"/>
      <c r="Q156" s="127"/>
      <c r="R156" s="127"/>
      <c r="S156" s="127"/>
      <c r="T156" s="127">
        <f t="shared" si="2"/>
        <v>0</v>
      </c>
    </row>
    <row r="157" spans="2:20" x14ac:dyDescent="0.35">
      <c r="B157" s="129" t="s">
        <v>384</v>
      </c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>
        <v>31.23</v>
      </c>
      <c r="N157" s="127"/>
      <c r="O157" s="127"/>
      <c r="P157" s="127"/>
      <c r="Q157" s="127"/>
      <c r="R157" s="127"/>
      <c r="S157" s="127"/>
      <c r="T157" s="127">
        <f t="shared" si="2"/>
        <v>0</v>
      </c>
    </row>
    <row r="158" spans="2:20" x14ac:dyDescent="0.35">
      <c r="B158" s="129" t="s">
        <v>383</v>
      </c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>
        <v>79.2</v>
      </c>
      <c r="O158" s="127"/>
      <c r="P158" s="127"/>
      <c r="Q158" s="127"/>
      <c r="R158" s="127"/>
      <c r="S158" s="127"/>
      <c r="T158" s="127">
        <f t="shared" si="2"/>
        <v>0</v>
      </c>
    </row>
    <row r="159" spans="2:20" x14ac:dyDescent="0.35">
      <c r="B159" s="129" t="s">
        <v>382</v>
      </c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>
        <v>11.66</v>
      </c>
      <c r="O159" s="127"/>
      <c r="P159" s="127"/>
      <c r="Q159" s="127"/>
      <c r="R159" s="127"/>
      <c r="S159" s="127"/>
      <c r="T159" s="127">
        <f t="shared" si="2"/>
        <v>0</v>
      </c>
    </row>
    <row r="160" spans="2:20" x14ac:dyDescent="0.35">
      <c r="B160" s="129" t="s">
        <v>381</v>
      </c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>
        <v>49.02</v>
      </c>
      <c r="O160" s="127"/>
      <c r="P160" s="127"/>
      <c r="Q160" s="127"/>
      <c r="R160" s="127"/>
      <c r="S160" s="127"/>
      <c r="T160" s="127">
        <f t="shared" si="2"/>
        <v>0</v>
      </c>
    </row>
    <row r="161" spans="2:20" x14ac:dyDescent="0.35">
      <c r="B161" s="129" t="s">
        <v>380</v>
      </c>
      <c r="C161" s="127">
        <v>58.3</v>
      </c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>
        <f t="shared" si="2"/>
        <v>0</v>
      </c>
    </row>
    <row r="162" spans="2:20" x14ac:dyDescent="0.35">
      <c r="B162" s="129" t="s">
        <v>379</v>
      </c>
      <c r="C162" s="127"/>
      <c r="D162" s="127">
        <v>52.3</v>
      </c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>
        <f t="shared" si="2"/>
        <v>0</v>
      </c>
    </row>
    <row r="163" spans="2:20" x14ac:dyDescent="0.35">
      <c r="B163" s="129" t="s">
        <v>378</v>
      </c>
      <c r="C163" s="127"/>
      <c r="D163" s="127">
        <v>110.36</v>
      </c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>
        <f t="shared" si="2"/>
        <v>0</v>
      </c>
    </row>
    <row r="164" spans="2:20" x14ac:dyDescent="0.35">
      <c r="B164" s="129" t="s">
        <v>377</v>
      </c>
      <c r="C164" s="127"/>
      <c r="D164" s="127">
        <v>51.85</v>
      </c>
      <c r="E164" s="127"/>
      <c r="F164" s="127"/>
      <c r="G164" s="127"/>
      <c r="H164" s="127"/>
      <c r="I164" s="127"/>
      <c r="J164" s="127">
        <v>48.74</v>
      </c>
      <c r="K164" s="127"/>
      <c r="L164" s="127">
        <v>36.85</v>
      </c>
      <c r="M164" s="127"/>
      <c r="N164" s="127"/>
      <c r="O164" s="127"/>
      <c r="P164" s="127"/>
      <c r="Q164" s="127"/>
      <c r="R164" s="127">
        <v>51.11</v>
      </c>
      <c r="S164" s="127"/>
      <c r="T164" s="127">
        <f t="shared" si="2"/>
        <v>51.11</v>
      </c>
    </row>
    <row r="165" spans="2:20" x14ac:dyDescent="0.35">
      <c r="B165" s="129" t="s">
        <v>376</v>
      </c>
      <c r="C165" s="127"/>
      <c r="D165" s="127">
        <v>33.56</v>
      </c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>
        <f t="shared" si="2"/>
        <v>0</v>
      </c>
    </row>
    <row r="166" spans="2:20" x14ac:dyDescent="0.35">
      <c r="B166" s="129" t="s">
        <v>375</v>
      </c>
      <c r="C166" s="127"/>
      <c r="D166" s="127">
        <v>52.86</v>
      </c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>
        <f t="shared" si="2"/>
        <v>0</v>
      </c>
    </row>
    <row r="167" spans="2:20" x14ac:dyDescent="0.35">
      <c r="B167" s="129" t="s">
        <v>374</v>
      </c>
      <c r="C167" s="127"/>
      <c r="D167" s="127">
        <v>101.64</v>
      </c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>
        <f t="shared" si="2"/>
        <v>0</v>
      </c>
    </row>
    <row r="168" spans="2:20" x14ac:dyDescent="0.35">
      <c r="B168" s="129" t="s">
        <v>373</v>
      </c>
      <c r="C168" s="127"/>
      <c r="D168" s="127"/>
      <c r="E168" s="127">
        <v>56.76</v>
      </c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>
        <f t="shared" si="2"/>
        <v>0</v>
      </c>
    </row>
    <row r="169" spans="2:20" x14ac:dyDescent="0.35">
      <c r="B169" s="129" t="s">
        <v>315</v>
      </c>
      <c r="C169" s="127"/>
      <c r="D169" s="127"/>
      <c r="E169" s="127">
        <v>59.39</v>
      </c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>
        <f t="shared" si="2"/>
        <v>0</v>
      </c>
    </row>
    <row r="170" spans="2:20" x14ac:dyDescent="0.35">
      <c r="B170" s="129" t="s">
        <v>372</v>
      </c>
      <c r="C170" s="127"/>
      <c r="D170" s="127"/>
      <c r="E170" s="127">
        <v>4.05</v>
      </c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>
        <f t="shared" si="2"/>
        <v>0</v>
      </c>
    </row>
    <row r="171" spans="2:20" x14ac:dyDescent="0.35">
      <c r="B171" s="129" t="s">
        <v>371</v>
      </c>
      <c r="C171" s="127"/>
      <c r="D171" s="127"/>
      <c r="E171" s="127">
        <v>101.92</v>
      </c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>
        <f t="shared" si="2"/>
        <v>0</v>
      </c>
    </row>
    <row r="172" spans="2:20" x14ac:dyDescent="0.35">
      <c r="B172" s="129" t="s">
        <v>370</v>
      </c>
      <c r="C172" s="127"/>
      <c r="D172" s="127"/>
      <c r="E172" s="127">
        <v>64.34</v>
      </c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>
        <v>19.47</v>
      </c>
      <c r="S172" s="127"/>
      <c r="T172" s="127">
        <f t="shared" si="2"/>
        <v>19.47</v>
      </c>
    </row>
    <row r="173" spans="2:20" x14ac:dyDescent="0.35">
      <c r="B173" s="129" t="s">
        <v>369</v>
      </c>
      <c r="C173" s="127"/>
      <c r="D173" s="127"/>
      <c r="E173" s="127"/>
      <c r="F173" s="127">
        <v>39.26</v>
      </c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>
        <f t="shared" si="2"/>
        <v>0</v>
      </c>
    </row>
    <row r="174" spans="2:20" x14ac:dyDescent="0.35">
      <c r="B174" s="129" t="s">
        <v>368</v>
      </c>
      <c r="C174" s="127"/>
      <c r="D174" s="127"/>
      <c r="E174" s="127"/>
      <c r="F174" s="127">
        <v>83.91</v>
      </c>
      <c r="G174" s="127"/>
      <c r="H174" s="127"/>
      <c r="I174" s="127"/>
      <c r="J174" s="127"/>
      <c r="K174" s="127"/>
      <c r="L174" s="127"/>
      <c r="M174" s="127"/>
      <c r="N174" s="127"/>
      <c r="O174" s="127"/>
      <c r="P174" s="127">
        <v>105.01</v>
      </c>
      <c r="Q174" s="127"/>
      <c r="R174" s="127">
        <v>74</v>
      </c>
      <c r="S174" s="127"/>
      <c r="T174" s="127">
        <f t="shared" si="2"/>
        <v>74</v>
      </c>
    </row>
    <row r="175" spans="2:20" x14ac:dyDescent="0.35">
      <c r="B175" s="129" t="s">
        <v>367</v>
      </c>
      <c r="C175" s="127"/>
      <c r="D175" s="127"/>
      <c r="E175" s="127"/>
      <c r="F175" s="127">
        <v>70.7</v>
      </c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>
        <f t="shared" si="2"/>
        <v>0</v>
      </c>
    </row>
    <row r="176" spans="2:20" x14ac:dyDescent="0.35">
      <c r="B176" s="129" t="s">
        <v>366</v>
      </c>
      <c r="C176" s="127"/>
      <c r="D176" s="127"/>
      <c r="E176" s="127"/>
      <c r="F176" s="127">
        <v>22.33</v>
      </c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>
        <f t="shared" si="2"/>
        <v>0</v>
      </c>
    </row>
    <row r="177" spans="2:20" x14ac:dyDescent="0.35">
      <c r="B177" s="129" t="s">
        <v>365</v>
      </c>
      <c r="C177" s="127"/>
      <c r="D177" s="127"/>
      <c r="E177" s="127"/>
      <c r="F177" s="127"/>
      <c r="G177" s="127"/>
      <c r="H177" s="127"/>
      <c r="I177" s="127"/>
      <c r="J177" s="127">
        <v>71.42</v>
      </c>
      <c r="K177" s="127"/>
      <c r="L177" s="127"/>
      <c r="M177" s="127">
        <v>30.79</v>
      </c>
      <c r="N177" s="127"/>
      <c r="O177" s="127"/>
      <c r="P177" s="127"/>
      <c r="Q177" s="127"/>
      <c r="R177" s="127"/>
      <c r="S177" s="127"/>
      <c r="T177" s="127">
        <f t="shared" si="2"/>
        <v>0</v>
      </c>
    </row>
    <row r="178" spans="2:20" x14ac:dyDescent="0.35">
      <c r="B178" s="129" t="s">
        <v>364</v>
      </c>
      <c r="C178" s="127"/>
      <c r="D178" s="127"/>
      <c r="E178" s="127"/>
      <c r="F178" s="127"/>
      <c r="G178" s="127"/>
      <c r="H178" s="127"/>
      <c r="I178" s="127"/>
      <c r="J178" s="127">
        <v>106.52000000000001</v>
      </c>
      <c r="K178" s="127"/>
      <c r="L178" s="127"/>
      <c r="M178" s="127"/>
      <c r="N178" s="127"/>
      <c r="O178" s="127"/>
      <c r="P178" s="127"/>
      <c r="Q178" s="127"/>
      <c r="R178" s="127">
        <v>67.510000000000005</v>
      </c>
      <c r="S178" s="127"/>
      <c r="T178" s="127">
        <f t="shared" si="2"/>
        <v>67.510000000000005</v>
      </c>
    </row>
    <row r="179" spans="2:20" x14ac:dyDescent="0.35">
      <c r="B179" s="129" t="s">
        <v>363</v>
      </c>
      <c r="C179" s="127"/>
      <c r="D179" s="127"/>
      <c r="E179" s="127"/>
      <c r="F179" s="127"/>
      <c r="G179" s="127"/>
      <c r="H179" s="127"/>
      <c r="I179" s="127"/>
      <c r="J179" s="127">
        <v>43.3</v>
      </c>
      <c r="K179" s="127"/>
      <c r="L179" s="127"/>
      <c r="M179" s="127"/>
      <c r="N179" s="127"/>
      <c r="O179" s="127"/>
      <c r="P179" s="127"/>
      <c r="Q179" s="127"/>
      <c r="R179" s="127"/>
      <c r="S179" s="127"/>
      <c r="T179" s="127">
        <f t="shared" si="2"/>
        <v>0</v>
      </c>
    </row>
    <row r="180" spans="2:20" x14ac:dyDescent="0.35">
      <c r="B180" s="129" t="s">
        <v>362</v>
      </c>
      <c r="C180" s="127"/>
      <c r="D180" s="127"/>
      <c r="E180" s="127"/>
      <c r="F180" s="127"/>
      <c r="G180" s="127"/>
      <c r="H180" s="127"/>
      <c r="I180" s="127"/>
      <c r="J180" s="127">
        <v>60</v>
      </c>
      <c r="K180" s="127"/>
      <c r="L180" s="127"/>
      <c r="M180" s="127"/>
      <c r="N180" s="127"/>
      <c r="O180" s="127"/>
      <c r="P180" s="127"/>
      <c r="Q180" s="127"/>
      <c r="R180" s="127"/>
      <c r="S180" s="127"/>
      <c r="T180" s="127">
        <f t="shared" si="2"/>
        <v>0</v>
      </c>
    </row>
    <row r="181" spans="2:20" x14ac:dyDescent="0.35">
      <c r="B181" s="129" t="s">
        <v>361</v>
      </c>
      <c r="C181" s="127"/>
      <c r="D181" s="127"/>
      <c r="E181" s="127"/>
      <c r="F181" s="127"/>
      <c r="G181" s="127"/>
      <c r="H181" s="127"/>
      <c r="I181" s="127"/>
      <c r="J181" s="127">
        <v>79.58</v>
      </c>
      <c r="K181" s="127"/>
      <c r="L181" s="127"/>
      <c r="M181" s="127"/>
      <c r="N181" s="127"/>
      <c r="O181" s="127"/>
      <c r="P181" s="127"/>
      <c r="Q181" s="127"/>
      <c r="R181" s="127"/>
      <c r="S181" s="127"/>
      <c r="T181" s="127">
        <f t="shared" si="2"/>
        <v>0</v>
      </c>
    </row>
    <row r="182" spans="2:20" x14ac:dyDescent="0.35">
      <c r="B182" s="129" t="s">
        <v>360</v>
      </c>
      <c r="C182" s="127"/>
      <c r="D182" s="127"/>
      <c r="E182" s="127"/>
      <c r="F182" s="127"/>
      <c r="G182" s="127"/>
      <c r="H182" s="127"/>
      <c r="I182" s="127"/>
      <c r="J182" s="127">
        <v>24.9</v>
      </c>
      <c r="K182" s="127"/>
      <c r="L182" s="127"/>
      <c r="M182" s="127">
        <v>32.229999999999997</v>
      </c>
      <c r="N182" s="127"/>
      <c r="O182" s="127"/>
      <c r="P182" s="127"/>
      <c r="Q182" s="127"/>
      <c r="R182" s="127"/>
      <c r="S182" s="127"/>
      <c r="T182" s="127">
        <f t="shared" si="2"/>
        <v>0</v>
      </c>
    </row>
    <row r="183" spans="2:20" x14ac:dyDescent="0.35">
      <c r="B183" s="129" t="s">
        <v>359</v>
      </c>
      <c r="C183" s="127"/>
      <c r="D183" s="127"/>
      <c r="E183" s="127"/>
      <c r="F183" s="127"/>
      <c r="G183" s="127"/>
      <c r="H183" s="127"/>
      <c r="I183" s="127"/>
      <c r="J183" s="127"/>
      <c r="K183" s="127">
        <v>49.27</v>
      </c>
      <c r="L183" s="127"/>
      <c r="M183" s="127"/>
      <c r="N183" s="127"/>
      <c r="O183" s="127"/>
      <c r="P183" s="127"/>
      <c r="Q183" s="127"/>
      <c r="R183" s="127"/>
      <c r="S183" s="127"/>
      <c r="T183" s="127">
        <f t="shared" si="2"/>
        <v>0</v>
      </c>
    </row>
    <row r="184" spans="2:20" x14ac:dyDescent="0.35">
      <c r="B184" s="129" t="s">
        <v>358</v>
      </c>
      <c r="C184" s="127"/>
      <c r="D184" s="127"/>
      <c r="E184" s="127"/>
      <c r="F184" s="127"/>
      <c r="G184" s="127"/>
      <c r="H184" s="127"/>
      <c r="I184" s="127"/>
      <c r="J184" s="127"/>
      <c r="K184" s="127">
        <v>60.73</v>
      </c>
      <c r="L184" s="127"/>
      <c r="M184" s="127"/>
      <c r="N184" s="127"/>
      <c r="O184" s="127"/>
      <c r="P184" s="127"/>
      <c r="Q184" s="127"/>
      <c r="R184" s="127"/>
      <c r="S184" s="127"/>
      <c r="T184" s="127">
        <f t="shared" si="2"/>
        <v>0</v>
      </c>
    </row>
    <row r="185" spans="2:20" x14ac:dyDescent="0.35">
      <c r="B185" s="129" t="s">
        <v>357</v>
      </c>
      <c r="C185" s="127"/>
      <c r="D185" s="127"/>
      <c r="E185" s="127"/>
      <c r="F185" s="127"/>
      <c r="G185" s="127"/>
      <c r="H185" s="127"/>
      <c r="I185" s="127"/>
      <c r="J185" s="127"/>
      <c r="K185" s="127">
        <v>62.72</v>
      </c>
      <c r="L185" s="127"/>
      <c r="M185" s="127"/>
      <c r="N185" s="127"/>
      <c r="O185" s="127"/>
      <c r="P185" s="127"/>
      <c r="Q185" s="127"/>
      <c r="R185" s="127"/>
      <c r="S185" s="127"/>
      <c r="T185" s="127">
        <f t="shared" si="2"/>
        <v>0</v>
      </c>
    </row>
    <row r="186" spans="2:20" x14ac:dyDescent="0.35">
      <c r="B186" s="129" t="s">
        <v>356</v>
      </c>
      <c r="C186" s="127"/>
      <c r="D186" s="127"/>
      <c r="E186" s="127"/>
      <c r="F186" s="127"/>
      <c r="G186" s="127"/>
      <c r="H186" s="127"/>
      <c r="I186" s="127"/>
      <c r="J186" s="127"/>
      <c r="K186" s="127">
        <v>39.25</v>
      </c>
      <c r="L186" s="127"/>
      <c r="M186" s="127"/>
      <c r="N186" s="127"/>
      <c r="O186" s="127"/>
      <c r="P186" s="127"/>
      <c r="Q186" s="127"/>
      <c r="R186" s="127"/>
      <c r="S186" s="127"/>
      <c r="T186" s="127">
        <f t="shared" si="2"/>
        <v>0</v>
      </c>
    </row>
    <row r="187" spans="2:20" x14ac:dyDescent="0.35">
      <c r="B187" s="129" t="s">
        <v>355</v>
      </c>
      <c r="C187" s="127"/>
      <c r="D187" s="127"/>
      <c r="E187" s="127"/>
      <c r="F187" s="127"/>
      <c r="G187" s="127"/>
      <c r="H187" s="127"/>
      <c r="I187" s="127"/>
      <c r="J187" s="127"/>
      <c r="K187" s="127"/>
      <c r="L187" s="127">
        <v>32.01</v>
      </c>
      <c r="M187" s="127"/>
      <c r="N187" s="127"/>
      <c r="O187" s="127"/>
      <c r="P187" s="127"/>
      <c r="Q187" s="127"/>
      <c r="R187" s="127"/>
      <c r="S187" s="127"/>
      <c r="T187" s="127">
        <f t="shared" si="2"/>
        <v>0</v>
      </c>
    </row>
    <row r="188" spans="2:20" x14ac:dyDescent="0.35">
      <c r="B188" s="129" t="s">
        <v>354</v>
      </c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>
        <v>12.02</v>
      </c>
      <c r="N188" s="127"/>
      <c r="O188" s="127"/>
      <c r="P188" s="127"/>
      <c r="Q188" s="127"/>
      <c r="R188" s="127"/>
      <c r="S188" s="127"/>
      <c r="T188" s="127">
        <f t="shared" si="2"/>
        <v>0</v>
      </c>
    </row>
    <row r="189" spans="2:20" x14ac:dyDescent="0.35">
      <c r="B189" s="129" t="s">
        <v>353</v>
      </c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>
        <v>10</v>
      </c>
      <c r="N189" s="127"/>
      <c r="O189" s="127"/>
      <c r="P189" s="127">
        <v>10.29</v>
      </c>
      <c r="Q189" s="127"/>
      <c r="R189" s="127">
        <v>30.9</v>
      </c>
      <c r="S189" s="127">
        <v>49</v>
      </c>
      <c r="T189" s="127">
        <f t="shared" si="2"/>
        <v>-18.100000000000001</v>
      </c>
    </row>
    <row r="190" spans="2:20" x14ac:dyDescent="0.35">
      <c r="B190" s="129" t="s">
        <v>352</v>
      </c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>
        <v>82.36</v>
      </c>
      <c r="N190" s="127"/>
      <c r="O190" s="127"/>
      <c r="P190" s="127"/>
      <c r="Q190" s="127"/>
      <c r="R190" s="127"/>
      <c r="S190" s="127"/>
      <c r="T190" s="127">
        <f t="shared" si="2"/>
        <v>0</v>
      </c>
    </row>
    <row r="191" spans="2:20" x14ac:dyDescent="0.35">
      <c r="B191" s="129" t="s">
        <v>351</v>
      </c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>
        <v>82.79</v>
      </c>
      <c r="N191" s="127"/>
      <c r="O191" s="127"/>
      <c r="P191" s="127"/>
      <c r="Q191" s="127"/>
      <c r="R191" s="127"/>
      <c r="S191" s="127"/>
      <c r="T191" s="127">
        <f t="shared" si="2"/>
        <v>0</v>
      </c>
    </row>
    <row r="192" spans="2:20" x14ac:dyDescent="0.35">
      <c r="B192" s="129" t="s">
        <v>350</v>
      </c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>
        <v>92.41</v>
      </c>
      <c r="N192" s="127"/>
      <c r="O192" s="127"/>
      <c r="P192" s="127"/>
      <c r="Q192" s="127"/>
      <c r="R192" s="127"/>
      <c r="S192" s="127"/>
      <c r="T192" s="127">
        <f t="shared" si="2"/>
        <v>0</v>
      </c>
    </row>
    <row r="193" spans="2:20" x14ac:dyDescent="0.35">
      <c r="B193" s="129" t="s">
        <v>349</v>
      </c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>
        <v>82.92</v>
      </c>
      <c r="N193" s="127"/>
      <c r="O193" s="127"/>
      <c r="P193" s="127"/>
      <c r="Q193" s="127"/>
      <c r="R193" s="127"/>
      <c r="S193" s="127"/>
      <c r="T193" s="127">
        <f t="shared" si="2"/>
        <v>0</v>
      </c>
    </row>
    <row r="194" spans="2:20" x14ac:dyDescent="0.35">
      <c r="B194" s="129" t="s">
        <v>348</v>
      </c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>
        <v>392.29</v>
      </c>
      <c r="P194" s="127"/>
      <c r="Q194" s="127"/>
      <c r="R194" s="127"/>
      <c r="S194" s="127"/>
      <c r="T194" s="127">
        <f t="shared" si="2"/>
        <v>0</v>
      </c>
    </row>
    <row r="195" spans="2:20" x14ac:dyDescent="0.35">
      <c r="B195" s="129" t="s">
        <v>347</v>
      </c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>
        <v>8.8699999999999992</v>
      </c>
      <c r="P195" s="127"/>
      <c r="Q195" s="127"/>
      <c r="R195" s="127"/>
      <c r="S195" s="127"/>
      <c r="T195" s="127">
        <f t="shared" si="2"/>
        <v>0</v>
      </c>
    </row>
    <row r="196" spans="2:20" x14ac:dyDescent="0.35">
      <c r="B196" s="129" t="s">
        <v>346</v>
      </c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>
        <v>29</v>
      </c>
      <c r="P196" s="127"/>
      <c r="Q196" s="127"/>
      <c r="R196" s="127"/>
      <c r="S196" s="127"/>
      <c r="T196" s="127">
        <f t="shared" si="2"/>
        <v>0</v>
      </c>
    </row>
    <row r="197" spans="2:20" x14ac:dyDescent="0.35">
      <c r="B197" s="129" t="s">
        <v>268</v>
      </c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>
        <v>23.51</v>
      </c>
      <c r="Q197" s="127"/>
      <c r="R197" s="127"/>
      <c r="S197" s="127"/>
      <c r="T197" s="127">
        <f t="shared" ref="T197:T260" si="3">R197-S197</f>
        <v>0</v>
      </c>
    </row>
    <row r="198" spans="2:20" x14ac:dyDescent="0.35">
      <c r="B198" s="129" t="s">
        <v>345</v>
      </c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>
        <v>231.9</v>
      </c>
      <c r="Q198" s="127"/>
      <c r="R198" s="127"/>
      <c r="S198" s="127"/>
      <c r="T198" s="127">
        <f t="shared" si="3"/>
        <v>0</v>
      </c>
    </row>
    <row r="199" spans="2:20" x14ac:dyDescent="0.35">
      <c r="B199" s="129" t="s">
        <v>344</v>
      </c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>
        <v>321.77</v>
      </c>
      <c r="S199" s="127"/>
      <c r="T199" s="127">
        <f t="shared" si="3"/>
        <v>321.77</v>
      </c>
    </row>
    <row r="200" spans="2:20" x14ac:dyDescent="0.35">
      <c r="B200" s="129" t="s">
        <v>343</v>
      </c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>
        <v>14.04</v>
      </c>
      <c r="Q200" s="127"/>
      <c r="R200" s="127"/>
      <c r="S200" s="127"/>
      <c r="T200" s="127">
        <f t="shared" si="3"/>
        <v>0</v>
      </c>
    </row>
    <row r="201" spans="2:20" x14ac:dyDescent="0.35">
      <c r="B201" s="129" t="s">
        <v>342</v>
      </c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>
        <v>65.95</v>
      </c>
      <c r="Q201" s="127"/>
      <c r="R201" s="127"/>
      <c r="S201" s="127"/>
      <c r="T201" s="127">
        <f t="shared" si="3"/>
        <v>0</v>
      </c>
    </row>
    <row r="202" spans="2:20" x14ac:dyDescent="0.35">
      <c r="B202" s="129" t="s">
        <v>341</v>
      </c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>
        <v>59.92</v>
      </c>
      <c r="R202" s="127"/>
      <c r="S202" s="127"/>
      <c r="T202" s="127">
        <f t="shared" si="3"/>
        <v>0</v>
      </c>
    </row>
    <row r="203" spans="2:20" x14ac:dyDescent="0.35">
      <c r="B203" s="129" t="s">
        <v>340</v>
      </c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>
        <v>286.16999999999996</v>
      </c>
      <c r="S203" s="127"/>
      <c r="T203" s="127">
        <f t="shared" si="3"/>
        <v>286.16999999999996</v>
      </c>
    </row>
    <row r="204" spans="2:20" x14ac:dyDescent="0.35">
      <c r="B204" s="130" t="s">
        <v>53</v>
      </c>
      <c r="C204" s="127">
        <v>693.65</v>
      </c>
      <c r="D204" s="127">
        <v>198.15</v>
      </c>
      <c r="E204" s="127">
        <v>493.15000000000003</v>
      </c>
      <c r="F204" s="127">
        <v>493.15000000000003</v>
      </c>
      <c r="G204" s="127">
        <v>493.15000000000003</v>
      </c>
      <c r="H204" s="127">
        <v>520.81999999999994</v>
      </c>
      <c r="I204" s="127">
        <v>512.03</v>
      </c>
      <c r="J204" s="127">
        <v>611.18999999999994</v>
      </c>
      <c r="K204" s="127">
        <v>635.51</v>
      </c>
      <c r="L204" s="127">
        <v>1202.55</v>
      </c>
      <c r="M204" s="127">
        <v>262.16999999999996</v>
      </c>
      <c r="N204" s="127">
        <v>723.31999999999994</v>
      </c>
      <c r="O204" s="127">
        <v>962.65000000000009</v>
      </c>
      <c r="P204" s="127">
        <v>468.02000000000004</v>
      </c>
      <c r="Q204" s="127">
        <v>607.85</v>
      </c>
      <c r="R204" s="127">
        <v>523.31000000000006</v>
      </c>
      <c r="S204" s="127">
        <v>537.16000000000008</v>
      </c>
      <c r="T204" s="127">
        <f t="shared" si="3"/>
        <v>-13.850000000000023</v>
      </c>
    </row>
    <row r="205" spans="2:20" x14ac:dyDescent="0.35">
      <c r="B205" s="129" t="s">
        <v>339</v>
      </c>
      <c r="C205" s="127">
        <v>693.65</v>
      </c>
      <c r="D205" s="127">
        <v>198.15</v>
      </c>
      <c r="E205" s="127">
        <v>493.15000000000003</v>
      </c>
      <c r="F205" s="127">
        <v>493.15000000000003</v>
      </c>
      <c r="G205" s="127">
        <v>493.15000000000003</v>
      </c>
      <c r="H205" s="127">
        <v>520.81999999999994</v>
      </c>
      <c r="I205" s="127">
        <v>512.03</v>
      </c>
      <c r="J205" s="127">
        <v>611.18999999999994</v>
      </c>
      <c r="K205" s="127">
        <v>635.51</v>
      </c>
      <c r="L205" s="127">
        <v>1202.55</v>
      </c>
      <c r="M205" s="127">
        <v>262.16999999999996</v>
      </c>
      <c r="N205" s="127">
        <v>723.31999999999994</v>
      </c>
      <c r="O205" s="127">
        <v>962.65000000000009</v>
      </c>
      <c r="P205" s="127">
        <v>468.02000000000004</v>
      </c>
      <c r="Q205" s="127">
        <v>607.85</v>
      </c>
      <c r="R205" s="127">
        <v>523.31000000000006</v>
      </c>
      <c r="S205" s="127">
        <v>537.16000000000008</v>
      </c>
      <c r="T205" s="127">
        <f t="shared" si="3"/>
        <v>-13.850000000000023</v>
      </c>
    </row>
    <row r="206" spans="2:20" x14ac:dyDescent="0.35">
      <c r="B206" s="130" t="s">
        <v>48</v>
      </c>
      <c r="C206" s="127">
        <v>14.99</v>
      </c>
      <c r="D206" s="127">
        <v>16.41</v>
      </c>
      <c r="E206" s="127">
        <v>31.86</v>
      </c>
      <c r="F206" s="127">
        <v>14.99</v>
      </c>
      <c r="G206" s="127">
        <v>21.37</v>
      </c>
      <c r="H206" s="127">
        <v>14.99</v>
      </c>
      <c r="I206" s="127">
        <v>14.99</v>
      </c>
      <c r="J206" s="127">
        <v>14.99</v>
      </c>
      <c r="K206" s="127">
        <v>19.490000000000002</v>
      </c>
      <c r="L206" s="127">
        <v>14.99</v>
      </c>
      <c r="M206" s="127">
        <v>200.42000000000002</v>
      </c>
      <c r="N206" s="127">
        <v>14.99</v>
      </c>
      <c r="O206" s="127">
        <v>14.99</v>
      </c>
      <c r="P206" s="127">
        <v>14.99</v>
      </c>
      <c r="Q206" s="127">
        <v>14.99</v>
      </c>
      <c r="R206" s="127">
        <v>14.99</v>
      </c>
      <c r="S206" s="127"/>
      <c r="T206" s="127">
        <f t="shared" si="3"/>
        <v>14.99</v>
      </c>
    </row>
    <row r="207" spans="2:20" x14ac:dyDescent="0.35">
      <c r="B207" s="129" t="s">
        <v>338</v>
      </c>
      <c r="C207" s="127">
        <v>14.99</v>
      </c>
      <c r="D207" s="127">
        <v>16.41</v>
      </c>
      <c r="E207" s="127">
        <v>31.86</v>
      </c>
      <c r="F207" s="127">
        <v>14.99</v>
      </c>
      <c r="G207" s="127">
        <v>21.37</v>
      </c>
      <c r="H207" s="127">
        <v>14.99</v>
      </c>
      <c r="I207" s="127">
        <v>14.99</v>
      </c>
      <c r="J207" s="127">
        <v>14.99</v>
      </c>
      <c r="K207" s="127">
        <v>19.490000000000002</v>
      </c>
      <c r="L207" s="127">
        <v>14.99</v>
      </c>
      <c r="M207" s="127">
        <v>14.99</v>
      </c>
      <c r="N207" s="127">
        <v>14.99</v>
      </c>
      <c r="O207" s="127">
        <v>14.99</v>
      </c>
      <c r="P207" s="127">
        <v>14.99</v>
      </c>
      <c r="Q207" s="127">
        <v>14.99</v>
      </c>
      <c r="R207" s="127">
        <v>14.99</v>
      </c>
      <c r="S207" s="127"/>
      <c r="T207" s="127">
        <f t="shared" si="3"/>
        <v>14.99</v>
      </c>
    </row>
    <row r="208" spans="2:20" x14ac:dyDescent="0.35">
      <c r="B208" s="129" t="s">
        <v>337</v>
      </c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>
        <v>185.43</v>
      </c>
      <c r="N208" s="127"/>
      <c r="O208" s="127"/>
      <c r="P208" s="127"/>
      <c r="Q208" s="127"/>
      <c r="R208" s="127"/>
      <c r="S208" s="127"/>
      <c r="T208" s="127">
        <f t="shared" si="3"/>
        <v>0</v>
      </c>
    </row>
    <row r="209" spans="2:20" x14ac:dyDescent="0.35">
      <c r="B209" s="130" t="s">
        <v>7</v>
      </c>
      <c r="C209" s="127">
        <v>225</v>
      </c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>
        <v>7865</v>
      </c>
      <c r="O209" s="127"/>
      <c r="P209" s="127"/>
      <c r="Q209" s="127">
        <v>516.63</v>
      </c>
      <c r="R209" s="127">
        <v>709</v>
      </c>
      <c r="S209" s="127"/>
      <c r="T209" s="127">
        <f t="shared" si="3"/>
        <v>709</v>
      </c>
    </row>
    <row r="210" spans="2:20" x14ac:dyDescent="0.35">
      <c r="B210" s="129" t="s">
        <v>246</v>
      </c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>
        <v>709</v>
      </c>
      <c r="S210" s="127"/>
      <c r="T210" s="127">
        <f t="shared" si="3"/>
        <v>709</v>
      </c>
    </row>
    <row r="211" spans="2:20" x14ac:dyDescent="0.35">
      <c r="B211" s="129" t="s">
        <v>336</v>
      </c>
      <c r="C211" s="127">
        <v>225</v>
      </c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>
        <v>7865</v>
      </c>
      <c r="O211" s="127"/>
      <c r="P211" s="127"/>
      <c r="Q211" s="127"/>
      <c r="R211" s="127"/>
      <c r="S211" s="127"/>
      <c r="T211" s="127">
        <f t="shared" si="3"/>
        <v>0</v>
      </c>
    </row>
    <row r="212" spans="2:20" x14ac:dyDescent="0.35">
      <c r="B212" s="129" t="s">
        <v>335</v>
      </c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>
        <v>516.63</v>
      </c>
      <c r="R212" s="127"/>
      <c r="S212" s="127"/>
      <c r="T212" s="127">
        <f t="shared" si="3"/>
        <v>0</v>
      </c>
    </row>
    <row r="213" spans="2:20" x14ac:dyDescent="0.35">
      <c r="B213" s="130" t="s">
        <v>51</v>
      </c>
      <c r="C213" s="127">
        <v>53.2</v>
      </c>
      <c r="D213" s="127">
        <v>26</v>
      </c>
      <c r="E213" s="127"/>
      <c r="F213" s="127">
        <v>75</v>
      </c>
      <c r="G213" s="127"/>
      <c r="H213" s="127"/>
      <c r="I213" s="127"/>
      <c r="J213" s="127"/>
      <c r="K213" s="127">
        <v>25</v>
      </c>
      <c r="L213" s="127">
        <v>25</v>
      </c>
      <c r="M213" s="127">
        <v>25</v>
      </c>
      <c r="N213" s="127"/>
      <c r="O213" s="127">
        <v>25</v>
      </c>
      <c r="P213" s="127">
        <v>25</v>
      </c>
      <c r="Q213" s="127"/>
      <c r="R213" s="127">
        <v>25</v>
      </c>
      <c r="S213" s="127"/>
      <c r="T213" s="127">
        <f t="shared" si="3"/>
        <v>25</v>
      </c>
    </row>
    <row r="214" spans="2:20" x14ac:dyDescent="0.35">
      <c r="B214" s="129" t="s">
        <v>334</v>
      </c>
      <c r="C214" s="127"/>
      <c r="D214" s="127">
        <v>26</v>
      </c>
      <c r="E214" s="127"/>
      <c r="F214" s="127">
        <v>75</v>
      </c>
      <c r="G214" s="127"/>
      <c r="H214" s="127"/>
      <c r="I214" s="127"/>
      <c r="J214" s="127"/>
      <c r="K214" s="127">
        <v>25</v>
      </c>
      <c r="L214" s="127">
        <v>25</v>
      </c>
      <c r="M214" s="127">
        <v>25</v>
      </c>
      <c r="N214" s="127"/>
      <c r="O214" s="127">
        <v>25</v>
      </c>
      <c r="P214" s="127">
        <v>25</v>
      </c>
      <c r="Q214" s="127"/>
      <c r="R214" s="127">
        <v>25</v>
      </c>
      <c r="S214" s="127"/>
      <c r="T214" s="127">
        <f t="shared" si="3"/>
        <v>25</v>
      </c>
    </row>
    <row r="215" spans="2:20" x14ac:dyDescent="0.35">
      <c r="B215" s="129" t="s">
        <v>333</v>
      </c>
      <c r="C215" s="127">
        <v>40</v>
      </c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>
        <f t="shared" si="3"/>
        <v>0</v>
      </c>
    </row>
    <row r="216" spans="2:20" x14ac:dyDescent="0.35">
      <c r="B216" s="129" t="s">
        <v>332</v>
      </c>
      <c r="C216" s="127">
        <v>13.2</v>
      </c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>
        <f t="shared" si="3"/>
        <v>0</v>
      </c>
    </row>
    <row r="217" spans="2:20" x14ac:dyDescent="0.35">
      <c r="B217" s="130" t="s">
        <v>67</v>
      </c>
      <c r="C217" s="127">
        <v>100</v>
      </c>
      <c r="D217" s="127"/>
      <c r="E217" s="127">
        <v>1000</v>
      </c>
      <c r="F217" s="127">
        <v>447</v>
      </c>
      <c r="G217" s="127"/>
      <c r="H217" s="127">
        <v>7590.66</v>
      </c>
      <c r="I217" s="127">
        <v>4658.28</v>
      </c>
      <c r="J217" s="127">
        <v>7511.43</v>
      </c>
      <c r="K217" s="127">
        <v>15262</v>
      </c>
      <c r="L217" s="127">
        <v>7026.75</v>
      </c>
      <c r="M217" s="127">
        <v>7765.68</v>
      </c>
      <c r="N217" s="127">
        <v>9094.08</v>
      </c>
      <c r="O217" s="127">
        <v>7940.38</v>
      </c>
      <c r="P217" s="127">
        <v>4519.21</v>
      </c>
      <c r="Q217" s="127">
        <v>3975.8</v>
      </c>
      <c r="R217" s="127">
        <v>2326.25</v>
      </c>
      <c r="S217" s="127">
        <v>1025</v>
      </c>
      <c r="T217" s="127">
        <f t="shared" si="3"/>
        <v>1301.25</v>
      </c>
    </row>
    <row r="218" spans="2:20" x14ac:dyDescent="0.35">
      <c r="B218" s="129" t="s">
        <v>331</v>
      </c>
      <c r="C218" s="127">
        <v>100</v>
      </c>
      <c r="D218" s="127"/>
      <c r="E218" s="127">
        <v>1000</v>
      </c>
      <c r="F218" s="127">
        <v>225</v>
      </c>
      <c r="G218" s="127"/>
      <c r="H218" s="127">
        <v>4000</v>
      </c>
      <c r="I218" s="127"/>
      <c r="J218" s="127"/>
      <c r="K218" s="127"/>
      <c r="L218" s="127"/>
      <c r="M218" s="127"/>
      <c r="N218" s="127"/>
      <c r="O218" s="127"/>
      <c r="P218" s="127"/>
      <c r="Q218" s="127">
        <v>100</v>
      </c>
      <c r="R218" s="127"/>
      <c r="S218" s="127">
        <v>1025</v>
      </c>
      <c r="T218" s="127">
        <f t="shared" si="3"/>
        <v>-1025</v>
      </c>
    </row>
    <row r="219" spans="2:20" x14ac:dyDescent="0.35">
      <c r="B219" s="129" t="s">
        <v>330</v>
      </c>
      <c r="C219" s="127"/>
      <c r="D219" s="127"/>
      <c r="E219" s="127"/>
      <c r="F219" s="127">
        <v>222</v>
      </c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>
        <f t="shared" si="3"/>
        <v>0</v>
      </c>
    </row>
    <row r="220" spans="2:20" x14ac:dyDescent="0.35">
      <c r="B220" s="129" t="s">
        <v>329</v>
      </c>
      <c r="C220" s="127"/>
      <c r="D220" s="127"/>
      <c r="E220" s="127"/>
      <c r="F220" s="127"/>
      <c r="G220" s="127"/>
      <c r="H220" s="127">
        <v>3590.66</v>
      </c>
      <c r="I220" s="127">
        <v>3588.69</v>
      </c>
      <c r="J220" s="127">
        <v>7036.47</v>
      </c>
      <c r="K220" s="127">
        <v>7009.26</v>
      </c>
      <c r="L220" s="127">
        <v>7026.75</v>
      </c>
      <c r="M220" s="127">
        <v>7765.68</v>
      </c>
      <c r="N220" s="127">
        <v>8032.22</v>
      </c>
      <c r="O220" s="127">
        <v>7940.38</v>
      </c>
      <c r="P220" s="127">
        <v>4519.21</v>
      </c>
      <c r="Q220" s="127">
        <v>3875.8</v>
      </c>
      <c r="R220" s="127"/>
      <c r="S220" s="127"/>
      <c r="T220" s="127">
        <f t="shared" si="3"/>
        <v>0</v>
      </c>
    </row>
    <row r="221" spans="2:20" x14ac:dyDescent="0.35">
      <c r="B221" s="129" t="s">
        <v>328</v>
      </c>
      <c r="C221" s="127"/>
      <c r="D221" s="127"/>
      <c r="E221" s="127"/>
      <c r="F221" s="127"/>
      <c r="G221" s="127"/>
      <c r="H221" s="127"/>
      <c r="I221" s="127">
        <v>1069.5899999999999</v>
      </c>
      <c r="J221" s="127">
        <v>474.96</v>
      </c>
      <c r="K221" s="127">
        <v>752.74</v>
      </c>
      <c r="L221" s="127"/>
      <c r="M221" s="127"/>
      <c r="N221" s="127">
        <v>1061.8599999999999</v>
      </c>
      <c r="O221" s="127"/>
      <c r="P221" s="127"/>
      <c r="Q221" s="127"/>
      <c r="R221" s="127"/>
      <c r="S221" s="127"/>
      <c r="T221" s="127">
        <f t="shared" si="3"/>
        <v>0</v>
      </c>
    </row>
    <row r="222" spans="2:20" x14ac:dyDescent="0.35">
      <c r="B222" s="129" t="s">
        <v>327</v>
      </c>
      <c r="C222" s="127"/>
      <c r="D222" s="127"/>
      <c r="E222" s="127"/>
      <c r="F222" s="127"/>
      <c r="G222" s="127"/>
      <c r="H222" s="127"/>
      <c r="I222" s="127"/>
      <c r="J222" s="127"/>
      <c r="K222" s="127">
        <v>7500</v>
      </c>
      <c r="L222" s="127"/>
      <c r="M222" s="127"/>
      <c r="N222" s="127"/>
      <c r="O222" s="127"/>
      <c r="P222" s="127"/>
      <c r="Q222" s="127"/>
      <c r="R222" s="127"/>
      <c r="S222" s="127"/>
      <c r="T222" s="127">
        <f t="shared" si="3"/>
        <v>0</v>
      </c>
    </row>
    <row r="223" spans="2:20" x14ac:dyDescent="0.35">
      <c r="B223" s="129" t="s">
        <v>326</v>
      </c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>
        <v>1575.25</v>
      </c>
      <c r="S223" s="127"/>
      <c r="T223" s="127">
        <f t="shared" si="3"/>
        <v>1575.25</v>
      </c>
    </row>
    <row r="224" spans="2:20" x14ac:dyDescent="0.35">
      <c r="B224" s="129" t="s">
        <v>325</v>
      </c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>
        <v>751</v>
      </c>
      <c r="S224" s="127"/>
      <c r="T224" s="127">
        <f t="shared" si="3"/>
        <v>751</v>
      </c>
    </row>
    <row r="225" spans="2:20" x14ac:dyDescent="0.35">
      <c r="B225" s="130" t="s">
        <v>55</v>
      </c>
      <c r="C225" s="127"/>
      <c r="D225" s="127"/>
      <c r="E225" s="127"/>
      <c r="F225" s="127"/>
      <c r="G225" s="127">
        <v>8000</v>
      </c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>
        <f t="shared" si="3"/>
        <v>0</v>
      </c>
    </row>
    <row r="226" spans="2:20" x14ac:dyDescent="0.35">
      <c r="B226" s="129" t="s">
        <v>246</v>
      </c>
      <c r="C226" s="127"/>
      <c r="D226" s="127"/>
      <c r="E226" s="127"/>
      <c r="F226" s="127"/>
      <c r="G226" s="127">
        <v>8000</v>
      </c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>
        <f t="shared" si="3"/>
        <v>0</v>
      </c>
    </row>
    <row r="227" spans="2:20" x14ac:dyDescent="0.35">
      <c r="B227" s="130" t="s">
        <v>33</v>
      </c>
      <c r="C227" s="127"/>
      <c r="D227" s="127"/>
      <c r="E227" s="127"/>
      <c r="F227" s="127"/>
      <c r="G227" s="127"/>
      <c r="H227" s="127"/>
      <c r="I227" s="127">
        <v>1342.95</v>
      </c>
      <c r="J227" s="127">
        <v>2467.17</v>
      </c>
      <c r="K227" s="127">
        <v>335.46999999999997</v>
      </c>
      <c r="L227" s="127">
        <v>381.51000000000005</v>
      </c>
      <c r="M227" s="127">
        <v>60.13</v>
      </c>
      <c r="N227" s="127">
        <v>71.819999999999993</v>
      </c>
      <c r="O227" s="127">
        <v>774.55</v>
      </c>
      <c r="P227" s="127">
        <v>64.87</v>
      </c>
      <c r="Q227" s="127">
        <v>40.39</v>
      </c>
      <c r="R227" s="127"/>
      <c r="S227" s="127"/>
      <c r="T227" s="127">
        <f t="shared" si="3"/>
        <v>0</v>
      </c>
    </row>
    <row r="228" spans="2:20" x14ac:dyDescent="0.35">
      <c r="B228" s="129" t="s">
        <v>324</v>
      </c>
      <c r="C228" s="127"/>
      <c r="D228" s="127"/>
      <c r="E228" s="127"/>
      <c r="F228" s="127"/>
      <c r="G228" s="127"/>
      <c r="H228" s="127"/>
      <c r="I228" s="127"/>
      <c r="J228" s="127"/>
      <c r="K228" s="127">
        <v>150.69</v>
      </c>
      <c r="L228" s="127"/>
      <c r="M228" s="127"/>
      <c r="N228" s="127"/>
      <c r="O228" s="127"/>
      <c r="P228" s="127"/>
      <c r="Q228" s="127"/>
      <c r="R228" s="127"/>
      <c r="S228" s="127"/>
      <c r="T228" s="127">
        <f t="shared" si="3"/>
        <v>0</v>
      </c>
    </row>
    <row r="229" spans="2:20" x14ac:dyDescent="0.35">
      <c r="B229" s="129" t="s">
        <v>323</v>
      </c>
      <c r="C229" s="127"/>
      <c r="D229" s="127"/>
      <c r="E229" s="127"/>
      <c r="F229" s="127"/>
      <c r="G229" s="127"/>
      <c r="H229" s="127"/>
      <c r="I229" s="127">
        <v>1326.79</v>
      </c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>
        <f t="shared" si="3"/>
        <v>0</v>
      </c>
    </row>
    <row r="230" spans="2:20" x14ac:dyDescent="0.35">
      <c r="B230" s="129" t="s">
        <v>322</v>
      </c>
      <c r="C230" s="127"/>
      <c r="D230" s="127"/>
      <c r="E230" s="127"/>
      <c r="F230" s="127"/>
      <c r="G230" s="127"/>
      <c r="H230" s="127"/>
      <c r="I230" s="127">
        <v>16.16</v>
      </c>
      <c r="J230" s="127">
        <v>20.079999999999998</v>
      </c>
      <c r="K230" s="127"/>
      <c r="L230" s="127">
        <v>27.16</v>
      </c>
      <c r="M230" s="127"/>
      <c r="N230" s="127"/>
      <c r="O230" s="127"/>
      <c r="P230" s="127">
        <v>11.21</v>
      </c>
      <c r="Q230" s="127"/>
      <c r="R230" s="127"/>
      <c r="S230" s="127"/>
      <c r="T230" s="127">
        <f t="shared" si="3"/>
        <v>0</v>
      </c>
    </row>
    <row r="231" spans="2:20" x14ac:dyDescent="0.35">
      <c r="B231" s="129" t="s">
        <v>321</v>
      </c>
      <c r="C231" s="127"/>
      <c r="D231" s="127"/>
      <c r="E231" s="127"/>
      <c r="F231" s="127"/>
      <c r="G231" s="127"/>
      <c r="H231" s="127"/>
      <c r="I231" s="127"/>
      <c r="J231" s="127">
        <v>20.09</v>
      </c>
      <c r="K231" s="127"/>
      <c r="L231" s="127">
        <v>354.35</v>
      </c>
      <c r="M231" s="127"/>
      <c r="N231" s="127"/>
      <c r="O231" s="127">
        <v>272.05</v>
      </c>
      <c r="P231" s="127">
        <v>53.66</v>
      </c>
      <c r="Q231" s="127"/>
      <c r="R231" s="127"/>
      <c r="S231" s="127"/>
      <c r="T231" s="127">
        <f t="shared" si="3"/>
        <v>0</v>
      </c>
    </row>
    <row r="232" spans="2:20" x14ac:dyDescent="0.35">
      <c r="B232" s="129" t="s">
        <v>320</v>
      </c>
      <c r="C232" s="127"/>
      <c r="D232" s="127"/>
      <c r="E232" s="127"/>
      <c r="F232" s="127"/>
      <c r="G232" s="127"/>
      <c r="H232" s="127"/>
      <c r="I232" s="127"/>
      <c r="J232" s="127">
        <v>50</v>
      </c>
      <c r="K232" s="127"/>
      <c r="L232" s="127"/>
      <c r="M232" s="127"/>
      <c r="N232" s="127"/>
      <c r="O232" s="127"/>
      <c r="P232" s="127"/>
      <c r="Q232" s="127"/>
      <c r="R232" s="127"/>
      <c r="S232" s="127"/>
      <c r="T232" s="127">
        <f t="shared" si="3"/>
        <v>0</v>
      </c>
    </row>
    <row r="233" spans="2:20" x14ac:dyDescent="0.35">
      <c r="B233" s="129" t="s">
        <v>319</v>
      </c>
      <c r="C233" s="127"/>
      <c r="D233" s="127"/>
      <c r="E233" s="127"/>
      <c r="F233" s="127"/>
      <c r="G233" s="127"/>
      <c r="H233" s="127"/>
      <c r="I233" s="127"/>
      <c r="J233" s="127">
        <v>2327</v>
      </c>
      <c r="K233" s="127"/>
      <c r="L233" s="127"/>
      <c r="M233" s="127"/>
      <c r="N233" s="127"/>
      <c r="O233" s="127"/>
      <c r="P233" s="127"/>
      <c r="Q233" s="127"/>
      <c r="R233" s="127"/>
      <c r="S233" s="127"/>
      <c r="T233" s="127">
        <f t="shared" si="3"/>
        <v>0</v>
      </c>
    </row>
    <row r="234" spans="2:20" x14ac:dyDescent="0.35">
      <c r="B234" s="129" t="s">
        <v>318</v>
      </c>
      <c r="C234" s="127"/>
      <c r="D234" s="127"/>
      <c r="E234" s="127"/>
      <c r="F234" s="127"/>
      <c r="G234" s="127"/>
      <c r="H234" s="127"/>
      <c r="I234" s="127"/>
      <c r="J234" s="127">
        <v>50</v>
      </c>
      <c r="K234" s="127"/>
      <c r="L234" s="127"/>
      <c r="M234" s="127"/>
      <c r="N234" s="127"/>
      <c r="O234" s="127"/>
      <c r="P234" s="127"/>
      <c r="Q234" s="127"/>
      <c r="R234" s="127"/>
      <c r="S234" s="127"/>
      <c r="T234" s="127">
        <f t="shared" si="3"/>
        <v>0</v>
      </c>
    </row>
    <row r="235" spans="2:20" x14ac:dyDescent="0.35">
      <c r="B235" s="129" t="s">
        <v>317</v>
      </c>
      <c r="C235" s="127"/>
      <c r="D235" s="127"/>
      <c r="E235" s="127"/>
      <c r="F235" s="127"/>
      <c r="G235" s="127"/>
      <c r="H235" s="127"/>
      <c r="I235" s="127"/>
      <c r="J235" s="127"/>
      <c r="K235" s="127">
        <v>89.76</v>
      </c>
      <c r="L235" s="127"/>
      <c r="M235" s="127">
        <v>60.13</v>
      </c>
      <c r="N235" s="127">
        <v>71.819999999999993</v>
      </c>
      <c r="O235" s="127"/>
      <c r="P235" s="127"/>
      <c r="Q235" s="127"/>
      <c r="R235" s="127"/>
      <c r="S235" s="127"/>
      <c r="T235" s="127">
        <f t="shared" si="3"/>
        <v>0</v>
      </c>
    </row>
    <row r="236" spans="2:20" x14ac:dyDescent="0.35">
      <c r="B236" s="129" t="s">
        <v>316</v>
      </c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>
        <v>0</v>
      </c>
      <c r="N236" s="127"/>
      <c r="O236" s="127"/>
      <c r="P236" s="127"/>
      <c r="Q236" s="127"/>
      <c r="R236" s="127"/>
      <c r="S236" s="127"/>
      <c r="T236" s="127">
        <f t="shared" si="3"/>
        <v>0</v>
      </c>
    </row>
    <row r="237" spans="2:20" x14ac:dyDescent="0.35">
      <c r="B237" s="129" t="s">
        <v>315</v>
      </c>
      <c r="C237" s="127"/>
      <c r="D237" s="127"/>
      <c r="E237" s="127"/>
      <c r="F237" s="127"/>
      <c r="G237" s="127"/>
      <c r="H237" s="127"/>
      <c r="I237" s="127"/>
      <c r="J237" s="127"/>
      <c r="K237" s="127">
        <v>95.02</v>
      </c>
      <c r="L237" s="127"/>
      <c r="M237" s="127"/>
      <c r="N237" s="127"/>
      <c r="O237" s="127"/>
      <c r="P237" s="127"/>
      <c r="Q237" s="127">
        <v>40.39</v>
      </c>
      <c r="R237" s="127"/>
      <c r="S237" s="127"/>
      <c r="T237" s="127">
        <f t="shared" si="3"/>
        <v>0</v>
      </c>
    </row>
    <row r="238" spans="2:20" x14ac:dyDescent="0.35">
      <c r="B238" s="129" t="s">
        <v>314</v>
      </c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>
        <v>2.5</v>
      </c>
      <c r="P238" s="127"/>
      <c r="Q238" s="127"/>
      <c r="R238" s="127"/>
      <c r="S238" s="127"/>
      <c r="T238" s="127">
        <f t="shared" si="3"/>
        <v>0</v>
      </c>
    </row>
    <row r="239" spans="2:20" x14ac:dyDescent="0.35">
      <c r="B239" s="129" t="s">
        <v>313</v>
      </c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>
        <v>500</v>
      </c>
      <c r="P239" s="127"/>
      <c r="Q239" s="127"/>
      <c r="R239" s="127"/>
      <c r="S239" s="127"/>
      <c r="T239" s="127">
        <f t="shared" si="3"/>
        <v>0</v>
      </c>
    </row>
    <row r="240" spans="2:20" x14ac:dyDescent="0.35">
      <c r="B240" s="130" t="s">
        <v>52</v>
      </c>
      <c r="C240" s="127"/>
      <c r="D240" s="127"/>
      <c r="E240" s="127">
        <v>118.03999999999999</v>
      </c>
      <c r="F240" s="127"/>
      <c r="G240" s="127"/>
      <c r="H240" s="127"/>
      <c r="I240" s="127"/>
      <c r="J240" s="127">
        <v>149.19</v>
      </c>
      <c r="K240" s="127">
        <v>49.99</v>
      </c>
      <c r="L240" s="127">
        <v>79.13</v>
      </c>
      <c r="M240" s="127"/>
      <c r="N240" s="127">
        <v>29.79</v>
      </c>
      <c r="O240" s="127"/>
      <c r="P240" s="127"/>
      <c r="Q240" s="127"/>
      <c r="R240" s="127"/>
      <c r="S240" s="127"/>
      <c r="T240" s="127">
        <f t="shared" si="3"/>
        <v>0</v>
      </c>
    </row>
    <row r="241" spans="2:20" x14ac:dyDescent="0.35">
      <c r="B241" s="129" t="s">
        <v>287</v>
      </c>
      <c r="C241" s="127"/>
      <c r="D241" s="127"/>
      <c r="E241" s="127">
        <v>118.03999999999999</v>
      </c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>
        <f t="shared" si="3"/>
        <v>0</v>
      </c>
    </row>
    <row r="242" spans="2:20" x14ac:dyDescent="0.35">
      <c r="B242" s="129" t="s">
        <v>312</v>
      </c>
      <c r="C242" s="127"/>
      <c r="D242" s="127"/>
      <c r="E242" s="127"/>
      <c r="F242" s="127"/>
      <c r="G242" s="127"/>
      <c r="H242" s="127"/>
      <c r="I242" s="127"/>
      <c r="J242" s="127">
        <v>53.88</v>
      </c>
      <c r="K242" s="127">
        <v>49.99</v>
      </c>
      <c r="L242" s="127"/>
      <c r="M242" s="127"/>
      <c r="N242" s="127"/>
      <c r="O242" s="127"/>
      <c r="P242" s="127"/>
      <c r="Q242" s="127"/>
      <c r="R242" s="127"/>
      <c r="S242" s="127"/>
      <c r="T242" s="127">
        <f t="shared" si="3"/>
        <v>0</v>
      </c>
    </row>
    <row r="243" spans="2:20" x14ac:dyDescent="0.35">
      <c r="B243" s="129" t="s">
        <v>311</v>
      </c>
      <c r="C243" s="127"/>
      <c r="D243" s="127"/>
      <c r="E243" s="127"/>
      <c r="F243" s="127"/>
      <c r="G243" s="127"/>
      <c r="H243" s="127"/>
      <c r="I243" s="127"/>
      <c r="J243" s="127">
        <v>86.360000000000014</v>
      </c>
      <c r="K243" s="127"/>
      <c r="L243" s="127">
        <v>33.979999999999997</v>
      </c>
      <c r="M243" s="127"/>
      <c r="N243" s="127">
        <v>29.79</v>
      </c>
      <c r="O243" s="127"/>
      <c r="P243" s="127"/>
      <c r="Q243" s="127"/>
      <c r="R243" s="127"/>
      <c r="S243" s="127"/>
      <c r="T243" s="127">
        <f t="shared" si="3"/>
        <v>0</v>
      </c>
    </row>
    <row r="244" spans="2:20" x14ac:dyDescent="0.35">
      <c r="B244" s="129" t="s">
        <v>310</v>
      </c>
      <c r="C244" s="127"/>
      <c r="D244" s="127"/>
      <c r="E244" s="127"/>
      <c r="F244" s="127"/>
      <c r="G244" s="127"/>
      <c r="H244" s="127"/>
      <c r="I244" s="127"/>
      <c r="J244" s="127">
        <v>8.9499999999999993</v>
      </c>
      <c r="K244" s="127"/>
      <c r="L244" s="127"/>
      <c r="M244" s="127"/>
      <c r="N244" s="127"/>
      <c r="O244" s="127"/>
      <c r="P244" s="127"/>
      <c r="Q244" s="127"/>
      <c r="R244" s="127"/>
      <c r="S244" s="127"/>
      <c r="T244" s="127">
        <f t="shared" si="3"/>
        <v>0</v>
      </c>
    </row>
    <row r="245" spans="2:20" x14ac:dyDescent="0.35">
      <c r="B245" s="129" t="s">
        <v>309</v>
      </c>
      <c r="C245" s="127"/>
      <c r="D245" s="127"/>
      <c r="E245" s="127"/>
      <c r="F245" s="127"/>
      <c r="G245" s="127"/>
      <c r="H245" s="127"/>
      <c r="I245" s="127"/>
      <c r="J245" s="127"/>
      <c r="K245" s="127"/>
      <c r="L245" s="127">
        <v>45.15</v>
      </c>
      <c r="M245" s="127"/>
      <c r="N245" s="127"/>
      <c r="O245" s="127"/>
      <c r="P245" s="127"/>
      <c r="Q245" s="127"/>
      <c r="R245" s="127"/>
      <c r="S245" s="127"/>
      <c r="T245" s="127">
        <f t="shared" si="3"/>
        <v>0</v>
      </c>
    </row>
    <row r="246" spans="2:20" x14ac:dyDescent="0.35">
      <c r="B246" s="130" t="s">
        <v>27</v>
      </c>
      <c r="C246" s="127"/>
      <c r="D246" s="127"/>
      <c r="E246" s="127"/>
      <c r="F246" s="127"/>
      <c r="G246" s="127">
        <v>1896.58</v>
      </c>
      <c r="H246" s="127">
        <v>3150</v>
      </c>
      <c r="I246" s="127">
        <v>2034</v>
      </c>
      <c r="J246" s="127"/>
      <c r="K246" s="127">
        <v>7000</v>
      </c>
      <c r="L246" s="127">
        <v>2709</v>
      </c>
      <c r="M246" s="127">
        <v>2500</v>
      </c>
      <c r="N246" s="127">
        <v>5000</v>
      </c>
      <c r="O246" s="127"/>
      <c r="P246" s="127">
        <v>5750</v>
      </c>
      <c r="Q246" s="127">
        <v>2500</v>
      </c>
      <c r="R246" s="127">
        <v>2500</v>
      </c>
      <c r="S246" s="127">
        <v>1877</v>
      </c>
      <c r="T246" s="127">
        <f t="shared" si="3"/>
        <v>623</v>
      </c>
    </row>
    <row r="247" spans="2:20" x14ac:dyDescent="0.35">
      <c r="B247" s="129" t="s">
        <v>308</v>
      </c>
      <c r="C247" s="127"/>
      <c r="D247" s="127"/>
      <c r="E247" s="127"/>
      <c r="F247" s="127"/>
      <c r="G247" s="127"/>
      <c r="H247" s="127"/>
      <c r="I247" s="127">
        <v>209</v>
      </c>
      <c r="J247" s="127"/>
      <c r="K247" s="127"/>
      <c r="L247" s="127">
        <v>209</v>
      </c>
      <c r="M247" s="127"/>
      <c r="N247" s="127"/>
      <c r="O247" s="127"/>
      <c r="P247" s="127"/>
      <c r="Q247" s="127"/>
      <c r="R247" s="127"/>
      <c r="S247" s="127"/>
      <c r="T247" s="127">
        <f t="shared" si="3"/>
        <v>0</v>
      </c>
    </row>
    <row r="248" spans="2:20" x14ac:dyDescent="0.35">
      <c r="B248" s="129" t="s">
        <v>307</v>
      </c>
      <c r="C248" s="127"/>
      <c r="D248" s="127"/>
      <c r="E248" s="127"/>
      <c r="F248" s="127"/>
      <c r="G248" s="127">
        <v>1896.58</v>
      </c>
      <c r="H248" s="127">
        <v>1150</v>
      </c>
      <c r="I248" s="127">
        <v>1825</v>
      </c>
      <c r="J248" s="127"/>
      <c r="K248" s="127">
        <v>5000</v>
      </c>
      <c r="L248" s="127">
        <v>2500</v>
      </c>
      <c r="M248" s="127">
        <v>2500</v>
      </c>
      <c r="N248" s="127">
        <v>5000</v>
      </c>
      <c r="O248" s="127"/>
      <c r="P248" s="127">
        <v>2500</v>
      </c>
      <c r="Q248" s="127">
        <v>2500</v>
      </c>
      <c r="R248" s="127">
        <v>2500</v>
      </c>
      <c r="S248" s="127">
        <v>1877</v>
      </c>
      <c r="T248" s="127">
        <f t="shared" si="3"/>
        <v>623</v>
      </c>
    </row>
    <row r="249" spans="2:20" x14ac:dyDescent="0.35">
      <c r="B249" s="129" t="s">
        <v>306</v>
      </c>
      <c r="C249" s="127"/>
      <c r="D249" s="127"/>
      <c r="E249" s="127"/>
      <c r="F249" s="127"/>
      <c r="G249" s="127"/>
      <c r="H249" s="127">
        <v>2000</v>
      </c>
      <c r="I249" s="127"/>
      <c r="J249" s="127"/>
      <c r="K249" s="127">
        <v>2000</v>
      </c>
      <c r="L249" s="127"/>
      <c r="M249" s="127"/>
      <c r="N249" s="127"/>
      <c r="O249" s="127"/>
      <c r="P249" s="127">
        <v>3250</v>
      </c>
      <c r="Q249" s="127"/>
      <c r="R249" s="127"/>
      <c r="S249" s="127"/>
      <c r="T249" s="127">
        <f t="shared" si="3"/>
        <v>0</v>
      </c>
    </row>
    <row r="250" spans="2:20" x14ac:dyDescent="0.35">
      <c r="B250" s="132" t="s">
        <v>305</v>
      </c>
      <c r="C250" s="127">
        <v>259.52</v>
      </c>
      <c r="D250" s="127">
        <v>10692.210000000001</v>
      </c>
      <c r="E250" s="127">
        <v>14123.759999999998</v>
      </c>
      <c r="F250" s="127">
        <v>4551.74</v>
      </c>
      <c r="G250" s="127">
        <v>3058.87</v>
      </c>
      <c r="H250" s="127">
        <v>2875.44</v>
      </c>
      <c r="I250" s="127">
        <v>4435.6899999999996</v>
      </c>
      <c r="J250" s="127">
        <v>3722.1000000000004</v>
      </c>
      <c r="K250" s="127">
        <v>5629.4</v>
      </c>
      <c r="L250" s="127">
        <v>4667.2700000000004</v>
      </c>
      <c r="M250" s="127">
        <v>16837.36</v>
      </c>
      <c r="N250" s="127">
        <v>1669.22</v>
      </c>
      <c r="O250" s="127">
        <v>2732.88</v>
      </c>
      <c r="P250" s="127">
        <v>3524.3100000000004</v>
      </c>
      <c r="Q250" s="127">
        <v>7830.65</v>
      </c>
      <c r="R250" s="127">
        <v>1540.4099999999999</v>
      </c>
      <c r="S250" s="127">
        <v>-79</v>
      </c>
      <c r="T250" s="131">
        <f t="shared" si="3"/>
        <v>1619.4099999999999</v>
      </c>
    </row>
    <row r="251" spans="2:20" x14ac:dyDescent="0.35">
      <c r="B251" s="130" t="s">
        <v>87</v>
      </c>
      <c r="C251" s="127">
        <v>153.99</v>
      </c>
      <c r="D251" s="127">
        <v>10586.68</v>
      </c>
      <c r="E251" s="127">
        <v>6003.0899999999992</v>
      </c>
      <c r="F251" s="127">
        <v>3392.69</v>
      </c>
      <c r="G251" s="127">
        <v>1899.82</v>
      </c>
      <c r="H251" s="127">
        <v>1716.39</v>
      </c>
      <c r="I251" s="127">
        <v>117.02</v>
      </c>
      <c r="J251" s="127">
        <v>2563.0500000000002</v>
      </c>
      <c r="K251" s="127">
        <v>3281.54</v>
      </c>
      <c r="L251" s="127">
        <v>2676.22</v>
      </c>
      <c r="M251" s="127">
        <v>15588.8</v>
      </c>
      <c r="N251" s="127">
        <v>435.17</v>
      </c>
      <c r="O251" s="127">
        <v>1498.83</v>
      </c>
      <c r="P251" s="127">
        <v>2463.7800000000002</v>
      </c>
      <c r="Q251" s="127">
        <v>6770.12</v>
      </c>
      <c r="R251" s="127">
        <v>479.88</v>
      </c>
      <c r="S251" s="127">
        <v>-79</v>
      </c>
      <c r="T251" s="127">
        <f t="shared" si="3"/>
        <v>558.88</v>
      </c>
    </row>
    <row r="252" spans="2:20" x14ac:dyDescent="0.35">
      <c r="B252" s="129" t="s">
        <v>246</v>
      </c>
      <c r="C252" s="127"/>
      <c r="D252" s="127"/>
      <c r="E252" s="127"/>
      <c r="F252" s="127"/>
      <c r="G252" s="127"/>
      <c r="H252" s="127"/>
      <c r="I252" s="127"/>
      <c r="J252" s="127"/>
      <c r="K252" s="127"/>
      <c r="L252" s="127">
        <v>60</v>
      </c>
      <c r="M252" s="127"/>
      <c r="N252" s="127"/>
      <c r="O252" s="127"/>
      <c r="P252" s="127"/>
      <c r="Q252" s="127"/>
      <c r="R252" s="127"/>
      <c r="S252" s="127"/>
      <c r="T252" s="127">
        <f t="shared" si="3"/>
        <v>0</v>
      </c>
    </row>
    <row r="253" spans="2:20" x14ac:dyDescent="0.35">
      <c r="B253" s="129" t="s">
        <v>304</v>
      </c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>
        <v>296.45999999999998</v>
      </c>
      <c r="N253" s="127"/>
      <c r="O253" s="127"/>
      <c r="P253" s="127"/>
      <c r="Q253" s="127"/>
      <c r="R253" s="127"/>
      <c r="S253" s="127"/>
      <c r="T253" s="127">
        <f t="shared" si="3"/>
        <v>0</v>
      </c>
    </row>
    <row r="254" spans="2:20" x14ac:dyDescent="0.35">
      <c r="B254" s="129" t="s">
        <v>303</v>
      </c>
      <c r="C254" s="127"/>
      <c r="D254" s="127"/>
      <c r="E254" s="127">
        <v>1113.21</v>
      </c>
      <c r="F254" s="127"/>
      <c r="G254" s="127">
        <v>361.11</v>
      </c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>
        <f t="shared" si="3"/>
        <v>0</v>
      </c>
    </row>
    <row r="255" spans="2:20" x14ac:dyDescent="0.35">
      <c r="B255" s="129" t="s">
        <v>302</v>
      </c>
      <c r="C255" s="127"/>
      <c r="D255" s="127"/>
      <c r="E255" s="127"/>
      <c r="F255" s="127"/>
      <c r="G255" s="127"/>
      <c r="H255" s="127"/>
      <c r="I255" s="127"/>
      <c r="J255" s="127"/>
      <c r="K255" s="127"/>
      <c r="L255" s="127">
        <v>30.99</v>
      </c>
      <c r="M255" s="127">
        <v>62</v>
      </c>
      <c r="N255" s="127">
        <v>52</v>
      </c>
      <c r="O255" s="127">
        <v>30</v>
      </c>
      <c r="P255" s="127"/>
      <c r="Q255" s="127"/>
      <c r="R255" s="127"/>
      <c r="S255" s="127"/>
      <c r="T255" s="127">
        <f t="shared" si="3"/>
        <v>0</v>
      </c>
    </row>
    <row r="256" spans="2:20" x14ac:dyDescent="0.35">
      <c r="B256" s="129" t="s">
        <v>301</v>
      </c>
      <c r="C256" s="127">
        <v>24.99</v>
      </c>
      <c r="D256" s="127">
        <v>24.99</v>
      </c>
      <c r="E256" s="127">
        <v>24.99</v>
      </c>
      <c r="F256" s="127">
        <v>24.99</v>
      </c>
      <c r="G256" s="127">
        <v>24.99</v>
      </c>
      <c r="H256" s="127">
        <v>24.99</v>
      </c>
      <c r="I256" s="127">
        <v>24.99</v>
      </c>
      <c r="J256" s="127">
        <v>24.99</v>
      </c>
      <c r="K256" s="127">
        <v>24.99</v>
      </c>
      <c r="L256" s="127">
        <v>24.99</v>
      </c>
      <c r="M256" s="127">
        <v>24.99</v>
      </c>
      <c r="N256" s="127">
        <v>24.99</v>
      </c>
      <c r="O256" s="127">
        <v>24.99</v>
      </c>
      <c r="P256" s="127">
        <v>24.99</v>
      </c>
      <c r="Q256" s="127">
        <v>24.99</v>
      </c>
      <c r="R256" s="127">
        <v>24.99</v>
      </c>
      <c r="S256" s="127"/>
      <c r="T256" s="127">
        <f t="shared" si="3"/>
        <v>24.99</v>
      </c>
    </row>
    <row r="257" spans="2:20" x14ac:dyDescent="0.35">
      <c r="B257" s="129" t="s">
        <v>300</v>
      </c>
      <c r="C257" s="127"/>
      <c r="D257" s="127"/>
      <c r="E257" s="127"/>
      <c r="F257" s="127"/>
      <c r="G257" s="127"/>
      <c r="H257" s="127"/>
      <c r="I257" s="127"/>
      <c r="J257" s="127"/>
      <c r="K257" s="127"/>
      <c r="L257" s="127">
        <v>21.86</v>
      </c>
      <c r="M257" s="127">
        <v>116.71000000000001</v>
      </c>
      <c r="N257" s="127">
        <v>216.10000000000002</v>
      </c>
      <c r="O257" s="127">
        <v>155.97999999999999</v>
      </c>
      <c r="P257" s="127">
        <v>9.57</v>
      </c>
      <c r="Q257" s="127">
        <v>86.95</v>
      </c>
      <c r="R257" s="127"/>
      <c r="S257" s="127"/>
      <c r="T257" s="127">
        <f t="shared" si="3"/>
        <v>0</v>
      </c>
    </row>
    <row r="258" spans="2:20" x14ac:dyDescent="0.35">
      <c r="B258" s="129" t="s">
        <v>299</v>
      </c>
      <c r="C258" s="127">
        <v>129</v>
      </c>
      <c r="D258" s="127">
        <v>129</v>
      </c>
      <c r="E258" s="127">
        <v>129</v>
      </c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>
        <f t="shared" si="3"/>
        <v>0</v>
      </c>
    </row>
    <row r="259" spans="2:20" x14ac:dyDescent="0.35">
      <c r="B259" s="129" t="s">
        <v>298</v>
      </c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>
        <v>20.5</v>
      </c>
      <c r="N259" s="127"/>
      <c r="O259" s="127"/>
      <c r="P259" s="127"/>
      <c r="Q259" s="127"/>
      <c r="R259" s="127"/>
      <c r="S259" s="127"/>
      <c r="T259" s="127">
        <f t="shared" si="3"/>
        <v>0</v>
      </c>
    </row>
    <row r="260" spans="2:20" x14ac:dyDescent="0.35">
      <c r="B260" s="129" t="s">
        <v>297</v>
      </c>
      <c r="C260" s="127"/>
      <c r="D260" s="127"/>
      <c r="E260" s="127">
        <v>1862.41</v>
      </c>
      <c r="F260" s="127">
        <v>362.97</v>
      </c>
      <c r="G260" s="127"/>
      <c r="H260" s="127"/>
      <c r="I260" s="127"/>
      <c r="J260" s="127">
        <v>1776.6999999999998</v>
      </c>
      <c r="K260" s="127">
        <v>426.95</v>
      </c>
      <c r="L260" s="127">
        <v>230.96</v>
      </c>
      <c r="M260" s="127">
        <v>1778.81</v>
      </c>
      <c r="N260" s="127"/>
      <c r="O260" s="127"/>
      <c r="P260" s="127">
        <v>208.39</v>
      </c>
      <c r="Q260" s="127"/>
      <c r="R260" s="127"/>
      <c r="S260" s="127"/>
      <c r="T260" s="127">
        <f t="shared" si="3"/>
        <v>0</v>
      </c>
    </row>
    <row r="261" spans="2:20" x14ac:dyDescent="0.35">
      <c r="B261" s="129" t="s">
        <v>296</v>
      </c>
      <c r="C261" s="127"/>
      <c r="D261" s="127"/>
      <c r="E261" s="127">
        <v>956.3900000000001</v>
      </c>
      <c r="F261" s="127">
        <v>330.02</v>
      </c>
      <c r="G261" s="127">
        <v>496.35</v>
      </c>
      <c r="H261" s="127"/>
      <c r="I261" s="127">
        <v>92.03</v>
      </c>
      <c r="J261" s="127">
        <v>48.99</v>
      </c>
      <c r="K261" s="127">
        <v>518.23</v>
      </c>
      <c r="L261" s="127">
        <v>438.09999999999997</v>
      </c>
      <c r="M261" s="127">
        <v>110.24</v>
      </c>
      <c r="N261" s="127">
        <v>39.96</v>
      </c>
      <c r="O261" s="127">
        <v>119.84</v>
      </c>
      <c r="P261" s="127">
        <v>279.49</v>
      </c>
      <c r="Q261" s="127">
        <v>93.33</v>
      </c>
      <c r="R261" s="127">
        <v>89.94</v>
      </c>
      <c r="S261" s="127"/>
      <c r="T261" s="127">
        <f t="shared" ref="T261:T321" si="4">R261-S261</f>
        <v>89.94</v>
      </c>
    </row>
    <row r="262" spans="2:20" x14ac:dyDescent="0.35">
      <c r="B262" s="129" t="s">
        <v>295</v>
      </c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>
        <v>946.48</v>
      </c>
      <c r="P262" s="127">
        <v>391.8</v>
      </c>
      <c r="Q262" s="127"/>
      <c r="R262" s="127"/>
      <c r="S262" s="127"/>
      <c r="T262" s="127">
        <f t="shared" si="4"/>
        <v>0</v>
      </c>
    </row>
    <row r="263" spans="2:20" x14ac:dyDescent="0.35">
      <c r="B263" s="129" t="s">
        <v>294</v>
      </c>
      <c r="C263" s="127"/>
      <c r="D263" s="127"/>
      <c r="E263" s="127"/>
      <c r="F263" s="127"/>
      <c r="G263" s="127"/>
      <c r="H263" s="127"/>
      <c r="I263" s="127"/>
      <c r="J263" s="127">
        <v>357.97</v>
      </c>
      <c r="K263" s="127">
        <v>29.93</v>
      </c>
      <c r="L263" s="127"/>
      <c r="M263" s="127">
        <v>271.19</v>
      </c>
      <c r="N263" s="127"/>
      <c r="O263" s="127"/>
      <c r="P263" s="127"/>
      <c r="Q263" s="127"/>
      <c r="R263" s="127"/>
      <c r="S263" s="127"/>
      <c r="T263" s="127">
        <f t="shared" si="4"/>
        <v>0</v>
      </c>
    </row>
    <row r="264" spans="2:20" x14ac:dyDescent="0.35">
      <c r="B264" s="129" t="s">
        <v>293</v>
      </c>
      <c r="C264" s="127"/>
      <c r="D264" s="127">
        <v>2608.2199999999998</v>
      </c>
      <c r="E264" s="127"/>
      <c r="F264" s="127"/>
      <c r="G264" s="127"/>
      <c r="H264" s="127"/>
      <c r="I264" s="127"/>
      <c r="J264" s="127"/>
      <c r="K264" s="127">
        <v>1663.27</v>
      </c>
      <c r="L264" s="127"/>
      <c r="M264" s="127"/>
      <c r="N264" s="127"/>
      <c r="O264" s="127"/>
      <c r="P264" s="127"/>
      <c r="Q264" s="127"/>
      <c r="R264" s="127"/>
      <c r="S264" s="127"/>
      <c r="T264" s="127">
        <f t="shared" si="4"/>
        <v>0</v>
      </c>
    </row>
    <row r="265" spans="2:20" x14ac:dyDescent="0.35">
      <c r="B265" s="129" t="s">
        <v>292</v>
      </c>
      <c r="C265" s="127"/>
      <c r="D265" s="127">
        <v>786.92</v>
      </c>
      <c r="E265" s="127"/>
      <c r="F265" s="127"/>
      <c r="G265" s="127"/>
      <c r="H265" s="127"/>
      <c r="I265" s="127"/>
      <c r="J265" s="127">
        <v>215.98</v>
      </c>
      <c r="K265" s="127"/>
      <c r="L265" s="127"/>
      <c r="M265" s="127"/>
      <c r="N265" s="127"/>
      <c r="O265" s="127"/>
      <c r="P265" s="127">
        <v>1284.3200000000002</v>
      </c>
      <c r="Q265" s="127">
        <v>79</v>
      </c>
      <c r="R265" s="127">
        <v>272.19</v>
      </c>
      <c r="S265" s="127">
        <v>-79</v>
      </c>
      <c r="T265" s="127">
        <f t="shared" si="4"/>
        <v>351.19</v>
      </c>
    </row>
    <row r="266" spans="2:20" x14ac:dyDescent="0.35">
      <c r="B266" s="129" t="s">
        <v>291</v>
      </c>
      <c r="C266" s="127"/>
      <c r="D266" s="127">
        <v>65</v>
      </c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>
        <f t="shared" si="4"/>
        <v>0</v>
      </c>
    </row>
    <row r="267" spans="2:20" x14ac:dyDescent="0.35">
      <c r="B267" s="129" t="s">
        <v>290</v>
      </c>
      <c r="C267" s="127"/>
      <c r="D267" s="127">
        <v>6972.55</v>
      </c>
      <c r="E267" s="127"/>
      <c r="F267" s="127">
        <v>2615.67</v>
      </c>
      <c r="G267" s="127"/>
      <c r="H267" s="127">
        <v>1691.4</v>
      </c>
      <c r="I267" s="127"/>
      <c r="J267" s="127"/>
      <c r="K267" s="127"/>
      <c r="L267" s="127">
        <v>999</v>
      </c>
      <c r="M267" s="127">
        <v>11612.36</v>
      </c>
      <c r="N267" s="127"/>
      <c r="O267" s="127"/>
      <c r="P267" s="127"/>
      <c r="Q267" s="127"/>
      <c r="R267" s="127"/>
      <c r="S267" s="127"/>
      <c r="T267" s="127">
        <f t="shared" si="4"/>
        <v>0</v>
      </c>
    </row>
    <row r="268" spans="2:20" x14ac:dyDescent="0.35">
      <c r="B268" s="129" t="s">
        <v>87</v>
      </c>
      <c r="C268" s="127"/>
      <c r="D268" s="127"/>
      <c r="E268" s="127"/>
      <c r="F268" s="127"/>
      <c r="G268" s="127"/>
      <c r="H268" s="127"/>
      <c r="I268" s="127"/>
      <c r="J268" s="127"/>
      <c r="K268" s="127"/>
      <c r="L268" s="127">
        <v>870.31999999999994</v>
      </c>
      <c r="M268" s="127"/>
      <c r="N268" s="127"/>
      <c r="O268" s="127"/>
      <c r="P268" s="127"/>
      <c r="Q268" s="127"/>
      <c r="R268" s="127"/>
      <c r="S268" s="127"/>
      <c r="T268" s="127">
        <f t="shared" si="4"/>
        <v>0</v>
      </c>
    </row>
    <row r="269" spans="2:20" x14ac:dyDescent="0.35">
      <c r="B269" s="129" t="s">
        <v>289</v>
      </c>
      <c r="C269" s="127"/>
      <c r="D269" s="127"/>
      <c r="E269" s="127">
        <v>219.36</v>
      </c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>
        <f t="shared" si="4"/>
        <v>0</v>
      </c>
    </row>
    <row r="270" spans="2:20" x14ac:dyDescent="0.35">
      <c r="B270" s="129" t="s">
        <v>288</v>
      </c>
      <c r="C270" s="127"/>
      <c r="D270" s="127"/>
      <c r="E270" s="127">
        <v>517.62</v>
      </c>
      <c r="F270" s="127"/>
      <c r="G270" s="127">
        <v>882.77</v>
      </c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>
        <f t="shared" si="4"/>
        <v>0</v>
      </c>
    </row>
    <row r="271" spans="2:20" x14ac:dyDescent="0.35">
      <c r="B271" s="129" t="s">
        <v>287</v>
      </c>
      <c r="C271" s="127"/>
      <c r="D271" s="127"/>
      <c r="E271" s="127"/>
      <c r="F271" s="127"/>
      <c r="G271" s="127"/>
      <c r="H271" s="127"/>
      <c r="I271" s="127"/>
      <c r="J271" s="127">
        <v>55.03</v>
      </c>
      <c r="K271" s="127"/>
      <c r="L271" s="127"/>
      <c r="M271" s="127">
        <v>81.069999999999993</v>
      </c>
      <c r="N271" s="127"/>
      <c r="O271" s="127"/>
      <c r="P271" s="127"/>
      <c r="Q271" s="127"/>
      <c r="R271" s="127"/>
      <c r="S271" s="127"/>
      <c r="T271" s="127">
        <f t="shared" si="4"/>
        <v>0</v>
      </c>
    </row>
    <row r="272" spans="2:20" x14ac:dyDescent="0.35">
      <c r="B272" s="129" t="s">
        <v>286</v>
      </c>
      <c r="C272" s="127"/>
      <c r="D272" s="127"/>
      <c r="E272" s="127">
        <v>30.94</v>
      </c>
      <c r="F272" s="127">
        <v>31.98</v>
      </c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>
        <f t="shared" si="4"/>
        <v>0</v>
      </c>
    </row>
    <row r="273" spans="2:20" x14ac:dyDescent="0.35">
      <c r="B273" s="129" t="s">
        <v>285</v>
      </c>
      <c r="C273" s="127"/>
      <c r="D273" s="127"/>
      <c r="E273" s="127">
        <v>617.16</v>
      </c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>
        <f t="shared" si="4"/>
        <v>0</v>
      </c>
    </row>
    <row r="274" spans="2:20" x14ac:dyDescent="0.35">
      <c r="B274" s="129" t="s">
        <v>284</v>
      </c>
      <c r="C274" s="127"/>
      <c r="D274" s="127"/>
      <c r="E274" s="127"/>
      <c r="F274" s="127">
        <v>27.06</v>
      </c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>
        <f t="shared" si="4"/>
        <v>0</v>
      </c>
    </row>
    <row r="275" spans="2:20" x14ac:dyDescent="0.35">
      <c r="B275" s="129" t="s">
        <v>283</v>
      </c>
      <c r="C275" s="127"/>
      <c r="D275" s="127"/>
      <c r="E275" s="127"/>
      <c r="F275" s="127"/>
      <c r="G275" s="127">
        <v>134.6</v>
      </c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>
        <f t="shared" si="4"/>
        <v>0</v>
      </c>
    </row>
    <row r="276" spans="2:20" x14ac:dyDescent="0.35">
      <c r="B276" s="129" t="s">
        <v>282</v>
      </c>
      <c r="C276" s="127"/>
      <c r="D276" s="127"/>
      <c r="E276" s="127"/>
      <c r="F276" s="127"/>
      <c r="G276" s="127"/>
      <c r="H276" s="127"/>
      <c r="I276" s="127"/>
      <c r="J276" s="127">
        <v>45.13</v>
      </c>
      <c r="K276" s="127"/>
      <c r="L276" s="127"/>
      <c r="M276" s="127"/>
      <c r="N276" s="127"/>
      <c r="O276" s="127"/>
      <c r="P276" s="127"/>
      <c r="Q276" s="127"/>
      <c r="R276" s="127"/>
      <c r="S276" s="127"/>
      <c r="T276" s="127">
        <f t="shared" si="4"/>
        <v>0</v>
      </c>
    </row>
    <row r="277" spans="2:20" x14ac:dyDescent="0.35">
      <c r="B277" s="129" t="s">
        <v>281</v>
      </c>
      <c r="C277" s="127"/>
      <c r="D277" s="127"/>
      <c r="E277" s="127"/>
      <c r="F277" s="127"/>
      <c r="G277" s="127"/>
      <c r="H277" s="127"/>
      <c r="I277" s="127"/>
      <c r="J277" s="127">
        <v>38.26</v>
      </c>
      <c r="K277" s="127"/>
      <c r="L277" s="127"/>
      <c r="M277" s="127"/>
      <c r="N277" s="127"/>
      <c r="O277" s="127"/>
      <c r="P277" s="127"/>
      <c r="Q277" s="127"/>
      <c r="R277" s="127"/>
      <c r="S277" s="127"/>
      <c r="T277" s="127">
        <f t="shared" si="4"/>
        <v>0</v>
      </c>
    </row>
    <row r="278" spans="2:20" x14ac:dyDescent="0.35">
      <c r="B278" s="129" t="s">
        <v>280</v>
      </c>
      <c r="C278" s="127"/>
      <c r="D278" s="127"/>
      <c r="E278" s="127"/>
      <c r="F278" s="127"/>
      <c r="G278" s="127"/>
      <c r="H278" s="127"/>
      <c r="I278" s="127"/>
      <c r="J278" s="127"/>
      <c r="K278" s="127">
        <v>86.45</v>
      </c>
      <c r="L278" s="127"/>
      <c r="M278" s="127"/>
      <c r="N278" s="127"/>
      <c r="O278" s="127"/>
      <c r="P278" s="127"/>
      <c r="Q278" s="127"/>
      <c r="R278" s="127"/>
      <c r="S278" s="127"/>
      <c r="T278" s="127">
        <f t="shared" si="4"/>
        <v>0</v>
      </c>
    </row>
    <row r="279" spans="2:20" x14ac:dyDescent="0.35">
      <c r="B279" s="129" t="s">
        <v>279</v>
      </c>
      <c r="C279" s="127"/>
      <c r="D279" s="127"/>
      <c r="E279" s="127"/>
      <c r="F279" s="127"/>
      <c r="G279" s="127"/>
      <c r="H279" s="127"/>
      <c r="I279" s="127"/>
      <c r="J279" s="127"/>
      <c r="K279" s="127">
        <v>10</v>
      </c>
      <c r="L279" s="127"/>
      <c r="M279" s="127"/>
      <c r="N279" s="127"/>
      <c r="O279" s="127"/>
      <c r="P279" s="127"/>
      <c r="Q279" s="127"/>
      <c r="R279" s="127"/>
      <c r="S279" s="127"/>
      <c r="T279" s="127">
        <f t="shared" si="4"/>
        <v>0</v>
      </c>
    </row>
    <row r="280" spans="2:20" x14ac:dyDescent="0.35">
      <c r="B280" s="129" t="s">
        <v>278</v>
      </c>
      <c r="C280" s="127"/>
      <c r="D280" s="127"/>
      <c r="E280" s="127"/>
      <c r="F280" s="127"/>
      <c r="G280" s="127"/>
      <c r="H280" s="127"/>
      <c r="I280" s="127"/>
      <c r="J280" s="127"/>
      <c r="K280" s="127">
        <v>68.36</v>
      </c>
      <c r="L280" s="127"/>
      <c r="M280" s="127"/>
      <c r="N280" s="127"/>
      <c r="O280" s="127"/>
      <c r="P280" s="127"/>
      <c r="Q280" s="127"/>
      <c r="R280" s="127"/>
      <c r="S280" s="127"/>
      <c r="T280" s="127">
        <f t="shared" si="4"/>
        <v>0</v>
      </c>
    </row>
    <row r="281" spans="2:20" x14ac:dyDescent="0.35">
      <c r="B281" s="129" t="s">
        <v>277</v>
      </c>
      <c r="C281" s="127"/>
      <c r="D281" s="127"/>
      <c r="E281" s="127"/>
      <c r="F281" s="127"/>
      <c r="G281" s="127"/>
      <c r="H281" s="127"/>
      <c r="I281" s="127"/>
      <c r="J281" s="127"/>
      <c r="K281" s="127">
        <v>453.36</v>
      </c>
      <c r="L281" s="127"/>
      <c r="M281" s="127"/>
      <c r="N281" s="127"/>
      <c r="O281" s="127"/>
      <c r="P281" s="127"/>
      <c r="Q281" s="127"/>
      <c r="R281" s="127"/>
      <c r="S281" s="127"/>
      <c r="T281" s="127">
        <f t="shared" si="4"/>
        <v>0</v>
      </c>
    </row>
    <row r="282" spans="2:20" x14ac:dyDescent="0.35">
      <c r="B282" s="129" t="s">
        <v>276</v>
      </c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>
        <v>13.52</v>
      </c>
      <c r="N282" s="127"/>
      <c r="O282" s="127"/>
      <c r="P282" s="127"/>
      <c r="Q282" s="127"/>
      <c r="R282" s="127"/>
      <c r="S282" s="127"/>
      <c r="T282" s="127">
        <f t="shared" si="4"/>
        <v>0</v>
      </c>
    </row>
    <row r="283" spans="2:20" x14ac:dyDescent="0.35">
      <c r="B283" s="129" t="s">
        <v>275</v>
      </c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>
        <v>474.65</v>
      </c>
      <c r="N283" s="127"/>
      <c r="O283" s="127"/>
      <c r="P283" s="127"/>
      <c r="Q283" s="127"/>
      <c r="R283" s="127"/>
      <c r="S283" s="127"/>
      <c r="T283" s="127">
        <f t="shared" si="4"/>
        <v>0</v>
      </c>
    </row>
    <row r="284" spans="2:20" x14ac:dyDescent="0.35">
      <c r="B284" s="129" t="s">
        <v>274</v>
      </c>
      <c r="C284" s="127"/>
      <c r="D284" s="127"/>
      <c r="E284" s="127">
        <v>532.01</v>
      </c>
      <c r="F284" s="127"/>
      <c r="G284" s="127"/>
      <c r="H284" s="127"/>
      <c r="I284" s="127"/>
      <c r="J284" s="127"/>
      <c r="K284" s="127"/>
      <c r="L284" s="127"/>
      <c r="M284" s="127">
        <v>701.57</v>
      </c>
      <c r="N284" s="127"/>
      <c r="O284" s="127"/>
      <c r="P284" s="127"/>
      <c r="Q284" s="127"/>
      <c r="R284" s="127"/>
      <c r="S284" s="127"/>
      <c r="T284" s="127">
        <f t="shared" si="4"/>
        <v>0</v>
      </c>
    </row>
    <row r="285" spans="2:20" x14ac:dyDescent="0.35">
      <c r="B285" s="129" t="s">
        <v>273</v>
      </c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>
        <v>24.73</v>
      </c>
      <c r="N285" s="127"/>
      <c r="O285" s="127"/>
      <c r="P285" s="127"/>
      <c r="Q285" s="127"/>
      <c r="R285" s="127"/>
      <c r="S285" s="127"/>
      <c r="T285" s="127">
        <f t="shared" si="4"/>
        <v>0</v>
      </c>
    </row>
    <row r="286" spans="2:20" x14ac:dyDescent="0.35">
      <c r="B286" s="129" t="s">
        <v>272</v>
      </c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>
        <v>99.63</v>
      </c>
      <c r="O286" s="127"/>
      <c r="P286" s="127"/>
      <c r="Q286" s="127"/>
      <c r="R286" s="127"/>
      <c r="S286" s="127"/>
      <c r="T286" s="127">
        <f t="shared" si="4"/>
        <v>0</v>
      </c>
    </row>
    <row r="287" spans="2:20" x14ac:dyDescent="0.35">
      <c r="B287" s="129" t="s">
        <v>271</v>
      </c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>
        <v>2.4900000000000002</v>
      </c>
      <c r="O287" s="127"/>
      <c r="P287" s="127"/>
      <c r="Q287" s="127"/>
      <c r="R287" s="127"/>
      <c r="S287" s="127"/>
      <c r="T287" s="127">
        <f t="shared" si="4"/>
        <v>0</v>
      </c>
    </row>
    <row r="288" spans="2:20" x14ac:dyDescent="0.35">
      <c r="B288" s="129" t="s">
        <v>270</v>
      </c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>
        <v>18.71</v>
      </c>
      <c r="P288" s="127"/>
      <c r="Q288" s="127"/>
      <c r="R288" s="127"/>
      <c r="S288" s="127"/>
      <c r="T288" s="127">
        <f t="shared" si="4"/>
        <v>0</v>
      </c>
    </row>
    <row r="289" spans="2:20" x14ac:dyDescent="0.35">
      <c r="B289" s="129" t="s">
        <v>269</v>
      </c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>
        <v>202.83</v>
      </c>
      <c r="P289" s="127"/>
      <c r="Q289" s="127"/>
      <c r="R289" s="127"/>
      <c r="S289" s="127"/>
      <c r="T289" s="127">
        <f t="shared" si="4"/>
        <v>0</v>
      </c>
    </row>
    <row r="290" spans="2:20" x14ac:dyDescent="0.35">
      <c r="B290" s="129" t="s">
        <v>268</v>
      </c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>
        <v>113</v>
      </c>
      <c r="Q290" s="127"/>
      <c r="R290" s="127"/>
      <c r="S290" s="127"/>
      <c r="T290" s="127">
        <f t="shared" si="4"/>
        <v>0</v>
      </c>
    </row>
    <row r="291" spans="2:20" x14ac:dyDescent="0.35">
      <c r="B291" s="129" t="s">
        <v>267</v>
      </c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>
        <v>152.22</v>
      </c>
      <c r="Q291" s="127"/>
      <c r="R291" s="127"/>
      <c r="S291" s="127"/>
      <c r="T291" s="127">
        <f t="shared" si="4"/>
        <v>0</v>
      </c>
    </row>
    <row r="292" spans="2:20" x14ac:dyDescent="0.35">
      <c r="B292" s="129" t="s">
        <v>266</v>
      </c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>
        <v>3414.98</v>
      </c>
      <c r="R292" s="127"/>
      <c r="S292" s="127"/>
      <c r="T292" s="127">
        <f t="shared" si="4"/>
        <v>0</v>
      </c>
    </row>
    <row r="293" spans="2:20" x14ac:dyDescent="0.35">
      <c r="B293" s="129" t="s">
        <v>265</v>
      </c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>
        <v>191.29</v>
      </c>
      <c r="R293" s="127"/>
      <c r="S293" s="127"/>
      <c r="T293" s="127">
        <f t="shared" si="4"/>
        <v>0</v>
      </c>
    </row>
    <row r="294" spans="2:20" x14ac:dyDescent="0.35">
      <c r="B294" s="129" t="s">
        <v>264</v>
      </c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>
        <v>2879.58</v>
      </c>
      <c r="R294" s="127"/>
      <c r="S294" s="127"/>
      <c r="T294" s="127">
        <f t="shared" si="4"/>
        <v>0</v>
      </c>
    </row>
    <row r="295" spans="2:20" x14ac:dyDescent="0.35">
      <c r="B295" s="129" t="s">
        <v>263</v>
      </c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>
        <v>76.25</v>
      </c>
      <c r="S295" s="127"/>
      <c r="T295" s="127">
        <f t="shared" si="4"/>
        <v>76.25</v>
      </c>
    </row>
    <row r="296" spans="2:20" x14ac:dyDescent="0.35">
      <c r="B296" s="129" t="s">
        <v>262</v>
      </c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>
        <v>16.510000000000002</v>
      </c>
      <c r="S296" s="127"/>
      <c r="T296" s="127">
        <f t="shared" si="4"/>
        <v>16.510000000000002</v>
      </c>
    </row>
    <row r="297" spans="2:20" x14ac:dyDescent="0.35">
      <c r="B297" s="130" t="s">
        <v>261</v>
      </c>
      <c r="C297" s="127">
        <v>105.53</v>
      </c>
      <c r="D297" s="127">
        <v>105.53</v>
      </c>
      <c r="E297" s="127">
        <v>8120.67</v>
      </c>
      <c r="F297" s="127">
        <v>1159.05</v>
      </c>
      <c r="G297" s="127">
        <v>1159.05</v>
      </c>
      <c r="H297" s="127">
        <v>1159.05</v>
      </c>
      <c r="I297" s="127">
        <v>4318.67</v>
      </c>
      <c r="J297" s="127">
        <v>1159.05</v>
      </c>
      <c r="K297" s="127">
        <v>2347.8599999999997</v>
      </c>
      <c r="L297" s="127">
        <v>1159.05</v>
      </c>
      <c r="M297" s="127">
        <v>1248.56</v>
      </c>
      <c r="N297" s="127">
        <v>1234.05</v>
      </c>
      <c r="O297" s="127">
        <v>1234.05</v>
      </c>
      <c r="P297" s="127">
        <v>1060.53</v>
      </c>
      <c r="Q297" s="127">
        <v>1060.53</v>
      </c>
      <c r="R297" s="127">
        <v>1060.53</v>
      </c>
      <c r="S297" s="127"/>
      <c r="T297" s="127">
        <f t="shared" si="4"/>
        <v>1060.53</v>
      </c>
    </row>
    <row r="298" spans="2:20" x14ac:dyDescent="0.35">
      <c r="B298" s="129" t="s">
        <v>260</v>
      </c>
      <c r="C298" s="127">
        <v>105.53</v>
      </c>
      <c r="D298" s="127">
        <v>105.53</v>
      </c>
      <c r="E298" s="127">
        <v>105.53</v>
      </c>
      <c r="F298" s="127">
        <v>105.53</v>
      </c>
      <c r="G298" s="127">
        <v>105.53</v>
      </c>
      <c r="H298" s="127">
        <v>105.53</v>
      </c>
      <c r="I298" s="127">
        <v>105.53</v>
      </c>
      <c r="J298" s="127">
        <v>105.53</v>
      </c>
      <c r="K298" s="127">
        <v>142.84</v>
      </c>
      <c r="L298" s="127">
        <v>105.53</v>
      </c>
      <c r="M298" s="127">
        <v>105.53</v>
      </c>
      <c r="N298" s="127">
        <v>105.53</v>
      </c>
      <c r="O298" s="127">
        <v>105.53</v>
      </c>
      <c r="P298" s="127">
        <v>105.53</v>
      </c>
      <c r="Q298" s="127">
        <v>105.53</v>
      </c>
      <c r="R298" s="127">
        <v>105.53</v>
      </c>
      <c r="S298" s="127"/>
      <c r="T298" s="127">
        <f t="shared" si="4"/>
        <v>105.53</v>
      </c>
    </row>
    <row r="299" spans="2:20" x14ac:dyDescent="0.35">
      <c r="B299" s="129" t="s">
        <v>259</v>
      </c>
      <c r="C299" s="127"/>
      <c r="D299" s="127"/>
      <c r="E299" s="127">
        <v>2995.14</v>
      </c>
      <c r="F299" s="127">
        <v>1053.52</v>
      </c>
      <c r="G299" s="127">
        <v>1053.52</v>
      </c>
      <c r="H299" s="127">
        <v>1053.52</v>
      </c>
      <c r="I299" s="127">
        <v>1053.52</v>
      </c>
      <c r="J299" s="127">
        <v>1053.52</v>
      </c>
      <c r="K299" s="127">
        <v>1053.52</v>
      </c>
      <c r="L299" s="127">
        <v>1053.52</v>
      </c>
      <c r="M299" s="127">
        <v>1143.03</v>
      </c>
      <c r="N299" s="127">
        <v>1128.52</v>
      </c>
      <c r="O299" s="127">
        <v>1128.52</v>
      </c>
      <c r="P299" s="127">
        <v>955</v>
      </c>
      <c r="Q299" s="127">
        <v>955</v>
      </c>
      <c r="R299" s="127">
        <v>955</v>
      </c>
      <c r="S299" s="127"/>
      <c r="T299" s="127">
        <f t="shared" si="4"/>
        <v>955</v>
      </c>
    </row>
    <row r="300" spans="2:20" x14ac:dyDescent="0.35">
      <c r="B300" s="129" t="s">
        <v>258</v>
      </c>
      <c r="C300" s="127"/>
      <c r="D300" s="127"/>
      <c r="E300" s="127">
        <v>20</v>
      </c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>
        <f t="shared" si="4"/>
        <v>0</v>
      </c>
    </row>
    <row r="301" spans="2:20" x14ac:dyDescent="0.35">
      <c r="B301" s="129" t="s">
        <v>257</v>
      </c>
      <c r="C301" s="127"/>
      <c r="D301" s="127"/>
      <c r="E301" s="127"/>
      <c r="F301" s="127"/>
      <c r="G301" s="127"/>
      <c r="H301" s="127"/>
      <c r="I301" s="127">
        <v>3159.62</v>
      </c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>
        <f t="shared" si="4"/>
        <v>0</v>
      </c>
    </row>
    <row r="302" spans="2:20" x14ac:dyDescent="0.35">
      <c r="B302" s="129" t="s">
        <v>256</v>
      </c>
      <c r="C302" s="127"/>
      <c r="D302" s="127"/>
      <c r="E302" s="127"/>
      <c r="F302" s="127"/>
      <c r="G302" s="127"/>
      <c r="H302" s="127"/>
      <c r="I302" s="127"/>
      <c r="J302" s="127"/>
      <c r="K302" s="127">
        <v>1151.5</v>
      </c>
      <c r="L302" s="127"/>
      <c r="M302" s="127"/>
      <c r="N302" s="127"/>
      <c r="O302" s="127"/>
      <c r="P302" s="127"/>
      <c r="Q302" s="127"/>
      <c r="R302" s="127"/>
      <c r="S302" s="127"/>
      <c r="T302" s="127">
        <f t="shared" si="4"/>
        <v>0</v>
      </c>
    </row>
    <row r="303" spans="2:20" x14ac:dyDescent="0.35">
      <c r="B303" s="129" t="s">
        <v>255</v>
      </c>
      <c r="C303" s="127"/>
      <c r="D303" s="127"/>
      <c r="E303" s="127">
        <v>5000</v>
      </c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>
        <f t="shared" si="4"/>
        <v>0</v>
      </c>
    </row>
    <row r="304" spans="2:20" x14ac:dyDescent="0.35">
      <c r="B304" s="130" t="s">
        <v>39</v>
      </c>
      <c r="C304" s="127"/>
      <c r="D304" s="127"/>
      <c r="E304" s="127"/>
      <c r="F304" s="127"/>
      <c r="G304" s="127"/>
      <c r="H304" s="127"/>
      <c r="I304" s="127"/>
      <c r="J304" s="127"/>
      <c r="K304" s="127"/>
      <c r="L304" s="127">
        <v>832</v>
      </c>
      <c r="M304" s="127"/>
      <c r="N304" s="127"/>
      <c r="O304" s="127"/>
      <c r="P304" s="127"/>
      <c r="Q304" s="127"/>
      <c r="R304" s="127"/>
      <c r="S304" s="127"/>
      <c r="T304" s="127">
        <f t="shared" si="4"/>
        <v>0</v>
      </c>
    </row>
    <row r="305" spans="2:20" x14ac:dyDescent="0.35">
      <c r="B305" s="129" t="s">
        <v>254</v>
      </c>
      <c r="C305" s="127"/>
      <c r="D305" s="127"/>
      <c r="E305" s="127"/>
      <c r="F305" s="127"/>
      <c r="G305" s="127"/>
      <c r="H305" s="127"/>
      <c r="I305" s="127"/>
      <c r="J305" s="127"/>
      <c r="K305" s="127"/>
      <c r="L305" s="127">
        <v>19.440000000000001</v>
      </c>
      <c r="M305" s="127"/>
      <c r="N305" s="127"/>
      <c r="O305" s="127"/>
      <c r="P305" s="127"/>
      <c r="Q305" s="127"/>
      <c r="R305" s="127"/>
      <c r="S305" s="127"/>
      <c r="T305" s="127">
        <f t="shared" si="4"/>
        <v>0</v>
      </c>
    </row>
    <row r="306" spans="2:20" x14ac:dyDescent="0.35">
      <c r="B306" s="129" t="s">
        <v>253</v>
      </c>
      <c r="C306" s="127"/>
      <c r="D306" s="127"/>
      <c r="E306" s="127"/>
      <c r="F306" s="127"/>
      <c r="G306" s="127"/>
      <c r="H306" s="127"/>
      <c r="I306" s="127"/>
      <c r="J306" s="127"/>
      <c r="K306" s="127"/>
      <c r="L306" s="127">
        <v>812.56</v>
      </c>
      <c r="M306" s="127"/>
      <c r="N306" s="127"/>
      <c r="O306" s="127"/>
      <c r="P306" s="127"/>
      <c r="Q306" s="127"/>
      <c r="R306" s="127"/>
      <c r="S306" s="127"/>
      <c r="T306" s="127">
        <f t="shared" si="4"/>
        <v>0</v>
      </c>
    </row>
    <row r="307" spans="2:20" x14ac:dyDescent="0.35">
      <c r="B307" s="128" t="s">
        <v>252</v>
      </c>
      <c r="C307" s="127">
        <v>210.7</v>
      </c>
      <c r="D307" s="127">
        <v>1476.51</v>
      </c>
      <c r="E307" s="127">
        <v>5</v>
      </c>
      <c r="F307" s="127">
        <v>5</v>
      </c>
      <c r="G307" s="127">
        <v>245.55</v>
      </c>
      <c r="H307" s="127">
        <v>367.31999999999994</v>
      </c>
      <c r="I307" s="127">
        <v>148.01</v>
      </c>
      <c r="J307" s="127">
        <v>509.9</v>
      </c>
      <c r="K307" s="127">
        <v>2450.4</v>
      </c>
      <c r="L307" s="127">
        <v>2724.6400000000003</v>
      </c>
      <c r="M307" s="127">
        <v>2648.86</v>
      </c>
      <c r="N307" s="127">
        <v>4845.0600000000004</v>
      </c>
      <c r="O307" s="127">
        <v>168.72</v>
      </c>
      <c r="P307" s="127">
        <v>3614.45</v>
      </c>
      <c r="Q307" s="127">
        <v>2506.71</v>
      </c>
      <c r="R307" s="127">
        <v>2607.0300000000002</v>
      </c>
      <c r="S307" s="127">
        <v>2522.3000000000002</v>
      </c>
      <c r="T307" s="133">
        <f t="shared" si="4"/>
        <v>84.730000000000018</v>
      </c>
    </row>
    <row r="308" spans="2:20" x14ac:dyDescent="0.35">
      <c r="B308" s="132" t="s">
        <v>220</v>
      </c>
      <c r="C308" s="127">
        <v>210.7</v>
      </c>
      <c r="D308" s="127">
        <v>1476.51</v>
      </c>
      <c r="E308" s="127">
        <v>5</v>
      </c>
      <c r="F308" s="127">
        <v>5</v>
      </c>
      <c r="G308" s="127">
        <v>245.55</v>
      </c>
      <c r="H308" s="127">
        <v>367.31999999999994</v>
      </c>
      <c r="I308" s="127">
        <v>148.01</v>
      </c>
      <c r="J308" s="127">
        <v>509.9</v>
      </c>
      <c r="K308" s="127">
        <v>2450.4</v>
      </c>
      <c r="L308" s="127">
        <v>2724.6400000000003</v>
      </c>
      <c r="M308" s="127">
        <v>2648.86</v>
      </c>
      <c r="N308" s="127">
        <v>4845.0600000000004</v>
      </c>
      <c r="O308" s="127">
        <v>168.72</v>
      </c>
      <c r="P308" s="127">
        <v>3614.45</v>
      </c>
      <c r="Q308" s="127">
        <v>2506.71</v>
      </c>
      <c r="R308" s="127">
        <v>2607.0300000000002</v>
      </c>
      <c r="S308" s="127">
        <v>2522.3000000000002</v>
      </c>
      <c r="T308" s="131">
        <f t="shared" si="4"/>
        <v>84.730000000000018</v>
      </c>
    </row>
    <row r="309" spans="2:20" x14ac:dyDescent="0.35">
      <c r="B309" s="130" t="s">
        <v>16</v>
      </c>
      <c r="C309" s="127"/>
      <c r="D309" s="127">
        <v>1278.78</v>
      </c>
      <c r="E309" s="127">
        <v>5</v>
      </c>
      <c r="F309" s="127">
        <v>5</v>
      </c>
      <c r="G309" s="127">
        <v>41.72</v>
      </c>
      <c r="H309" s="127">
        <v>155.02999999999997</v>
      </c>
      <c r="I309" s="127">
        <v>22.949999999999996</v>
      </c>
      <c r="J309" s="127">
        <v>335</v>
      </c>
      <c r="K309" s="127">
        <v>90</v>
      </c>
      <c r="L309" s="127">
        <v>10</v>
      </c>
      <c r="M309" s="127">
        <v>52.06</v>
      </c>
      <c r="N309" s="127">
        <v>6</v>
      </c>
      <c r="O309" s="127">
        <v>6</v>
      </c>
      <c r="P309" s="127">
        <v>1095</v>
      </c>
      <c r="Q309" s="127">
        <v>6</v>
      </c>
      <c r="R309" s="127">
        <v>107.83999999999999</v>
      </c>
      <c r="S309" s="127">
        <v>15</v>
      </c>
      <c r="T309" s="127">
        <f t="shared" si="4"/>
        <v>92.839999999999989</v>
      </c>
    </row>
    <row r="310" spans="2:20" x14ac:dyDescent="0.35">
      <c r="B310" s="129" t="s">
        <v>246</v>
      </c>
      <c r="C310" s="127"/>
      <c r="D310" s="127">
        <v>5</v>
      </c>
      <c r="E310" s="127">
        <v>5</v>
      </c>
      <c r="F310" s="127">
        <v>5</v>
      </c>
      <c r="G310" s="127">
        <v>10</v>
      </c>
      <c r="H310" s="127">
        <v>15</v>
      </c>
      <c r="I310" s="127">
        <v>91.85</v>
      </c>
      <c r="J310" s="127">
        <v>-15</v>
      </c>
      <c r="K310" s="127">
        <v>90</v>
      </c>
      <c r="L310" s="127">
        <v>10</v>
      </c>
      <c r="M310" s="127">
        <v>20</v>
      </c>
      <c r="N310" s="127">
        <v>6</v>
      </c>
      <c r="O310" s="127">
        <v>6</v>
      </c>
      <c r="P310" s="127">
        <v>15</v>
      </c>
      <c r="Q310" s="127">
        <v>16</v>
      </c>
      <c r="R310" s="127"/>
      <c r="S310" s="127"/>
      <c r="T310" s="127">
        <f t="shared" si="4"/>
        <v>0</v>
      </c>
    </row>
    <row r="311" spans="2:20" x14ac:dyDescent="0.35">
      <c r="B311" s="129" t="s">
        <v>251</v>
      </c>
      <c r="C311" s="127"/>
      <c r="D311" s="127">
        <v>195</v>
      </c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>
        <v>195</v>
      </c>
      <c r="Q311" s="127"/>
      <c r="R311" s="127"/>
      <c r="S311" s="127"/>
      <c r="T311" s="127">
        <f t="shared" si="4"/>
        <v>0</v>
      </c>
    </row>
    <row r="312" spans="2:20" x14ac:dyDescent="0.35">
      <c r="B312" s="129" t="s">
        <v>250</v>
      </c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>
        <v>99.99</v>
      </c>
      <c r="S312" s="127"/>
      <c r="T312" s="127">
        <f t="shared" si="4"/>
        <v>99.99</v>
      </c>
    </row>
    <row r="313" spans="2:20" x14ac:dyDescent="0.35">
      <c r="B313" s="129" t="s">
        <v>249</v>
      </c>
      <c r="C313" s="127"/>
      <c r="D313" s="127">
        <v>33.78</v>
      </c>
      <c r="E313" s="127"/>
      <c r="F313" s="127"/>
      <c r="G313" s="127">
        <v>31.72</v>
      </c>
      <c r="H313" s="127">
        <v>7.0000000000000007E-2</v>
      </c>
      <c r="I313" s="127"/>
      <c r="J313" s="127"/>
      <c r="K313" s="127"/>
      <c r="L313" s="127"/>
      <c r="M313" s="127">
        <v>32.06</v>
      </c>
      <c r="N313" s="127"/>
      <c r="O313" s="127"/>
      <c r="P313" s="127"/>
      <c r="Q313" s="127"/>
      <c r="R313" s="127">
        <v>0.85</v>
      </c>
      <c r="S313" s="127"/>
      <c r="T313" s="127">
        <f t="shared" si="4"/>
        <v>0.85</v>
      </c>
    </row>
    <row r="314" spans="2:20" x14ac:dyDescent="0.35">
      <c r="B314" s="129" t="s">
        <v>248</v>
      </c>
      <c r="C314" s="127"/>
      <c r="D314" s="127">
        <v>1045</v>
      </c>
      <c r="E314" s="127"/>
      <c r="F314" s="127"/>
      <c r="G314" s="127"/>
      <c r="H314" s="127">
        <v>139.95999999999998</v>
      </c>
      <c r="I314" s="127">
        <v>-99.58</v>
      </c>
      <c r="J314" s="127">
        <v>350</v>
      </c>
      <c r="K314" s="127"/>
      <c r="L314" s="127"/>
      <c r="M314" s="127"/>
      <c r="N314" s="127"/>
      <c r="O314" s="127"/>
      <c r="P314" s="127">
        <v>885</v>
      </c>
      <c r="Q314" s="127">
        <v>-10</v>
      </c>
      <c r="R314" s="127">
        <v>2</v>
      </c>
      <c r="S314" s="127"/>
      <c r="T314" s="127">
        <f t="shared" si="4"/>
        <v>2</v>
      </c>
    </row>
    <row r="315" spans="2:20" x14ac:dyDescent="0.35">
      <c r="B315" s="129"/>
      <c r="C315" s="127"/>
      <c r="D315" s="127"/>
      <c r="E315" s="127"/>
      <c r="F315" s="127"/>
      <c r="G315" s="127"/>
      <c r="H315" s="127"/>
      <c r="I315" s="127">
        <v>30.68</v>
      </c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>
        <f t="shared" si="4"/>
        <v>0</v>
      </c>
    </row>
    <row r="316" spans="2:20" x14ac:dyDescent="0.35">
      <c r="B316" s="129" t="s">
        <v>247</v>
      </c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>
        <v>5</v>
      </c>
      <c r="S316" s="127">
        <v>15</v>
      </c>
      <c r="T316" s="127">
        <f t="shared" si="4"/>
        <v>-10</v>
      </c>
    </row>
    <row r="317" spans="2:20" x14ac:dyDescent="0.35">
      <c r="B317" s="130" t="s">
        <v>12</v>
      </c>
      <c r="C317" s="127">
        <v>210.7</v>
      </c>
      <c r="D317" s="127">
        <v>197.73</v>
      </c>
      <c r="E317" s="127"/>
      <c r="F317" s="127"/>
      <c r="G317" s="127">
        <v>203.83</v>
      </c>
      <c r="H317" s="127">
        <v>212.29</v>
      </c>
      <c r="I317" s="127">
        <v>125.06</v>
      </c>
      <c r="J317" s="127">
        <v>174.9</v>
      </c>
      <c r="K317" s="127"/>
      <c r="L317" s="127">
        <v>354.24</v>
      </c>
      <c r="M317" s="127">
        <v>236.4</v>
      </c>
      <c r="N317" s="127">
        <v>118.26</v>
      </c>
      <c r="O317" s="127">
        <v>162.72</v>
      </c>
      <c r="P317" s="127">
        <v>159.05000000000001</v>
      </c>
      <c r="Q317" s="127">
        <v>140.31</v>
      </c>
      <c r="R317" s="127">
        <v>138.79</v>
      </c>
      <c r="S317" s="127">
        <v>146.9</v>
      </c>
      <c r="T317" s="127">
        <f t="shared" si="4"/>
        <v>-8.1100000000000136</v>
      </c>
    </row>
    <row r="318" spans="2:20" x14ac:dyDescent="0.35">
      <c r="B318" s="129" t="s">
        <v>246</v>
      </c>
      <c r="C318" s="127">
        <v>210.7</v>
      </c>
      <c r="D318" s="127">
        <v>197.73</v>
      </c>
      <c r="E318" s="127"/>
      <c r="F318" s="127"/>
      <c r="G318" s="127">
        <v>203.83</v>
      </c>
      <c r="H318" s="127">
        <v>212.29</v>
      </c>
      <c r="I318" s="127">
        <v>125.06</v>
      </c>
      <c r="J318" s="127">
        <v>174.9</v>
      </c>
      <c r="K318" s="127"/>
      <c r="L318" s="127">
        <v>354.24</v>
      </c>
      <c r="M318" s="127">
        <v>236.4</v>
      </c>
      <c r="N318" s="127">
        <v>118.26</v>
      </c>
      <c r="O318" s="127">
        <v>162.72</v>
      </c>
      <c r="P318" s="127">
        <v>159.05000000000001</v>
      </c>
      <c r="Q318" s="127">
        <v>140.31</v>
      </c>
      <c r="R318" s="127">
        <v>138.79</v>
      </c>
      <c r="S318" s="127">
        <v>146.9</v>
      </c>
      <c r="T318" s="127">
        <f t="shared" si="4"/>
        <v>-8.1100000000000136</v>
      </c>
    </row>
    <row r="319" spans="2:20" x14ac:dyDescent="0.35">
      <c r="B319" s="130" t="s">
        <v>10</v>
      </c>
      <c r="C319" s="127"/>
      <c r="D319" s="127"/>
      <c r="E319" s="127"/>
      <c r="F319" s="127"/>
      <c r="G319" s="127"/>
      <c r="H319" s="127"/>
      <c r="I319" s="127"/>
      <c r="J319" s="127"/>
      <c r="K319" s="127">
        <v>2360.4</v>
      </c>
      <c r="L319" s="127">
        <v>2360.4</v>
      </c>
      <c r="M319" s="127">
        <v>2360.4</v>
      </c>
      <c r="N319" s="127">
        <v>4720.8</v>
      </c>
      <c r="O319" s="127"/>
      <c r="P319" s="127">
        <v>2360.4</v>
      </c>
      <c r="Q319" s="127">
        <v>2360.4</v>
      </c>
      <c r="R319" s="127">
        <v>2360.4</v>
      </c>
      <c r="S319" s="127">
        <v>2360.4</v>
      </c>
      <c r="T319" s="127">
        <f t="shared" si="4"/>
        <v>0</v>
      </c>
    </row>
    <row r="320" spans="2:20" x14ac:dyDescent="0.35">
      <c r="B320" s="129" t="s">
        <v>246</v>
      </c>
      <c r="C320" s="127"/>
      <c r="D320" s="127"/>
      <c r="E320" s="127"/>
      <c r="F320" s="127"/>
      <c r="G320" s="127"/>
      <c r="H320" s="127"/>
      <c r="I320" s="127"/>
      <c r="J320" s="127"/>
      <c r="K320" s="127">
        <v>2360.4</v>
      </c>
      <c r="L320" s="127">
        <v>2360.4</v>
      </c>
      <c r="M320" s="127">
        <v>2360.4</v>
      </c>
      <c r="N320" s="127">
        <v>4720.8</v>
      </c>
      <c r="O320" s="127"/>
      <c r="P320" s="127">
        <v>2360.4</v>
      </c>
      <c r="Q320" s="127">
        <v>2360.4</v>
      </c>
      <c r="R320" s="127">
        <v>2360.4</v>
      </c>
      <c r="S320" s="127">
        <v>2360.4</v>
      </c>
      <c r="T320" s="127">
        <f t="shared" si="4"/>
        <v>0</v>
      </c>
    </row>
    <row r="321" spans="2:20" x14ac:dyDescent="0.35">
      <c r="B321" s="128" t="s">
        <v>245</v>
      </c>
      <c r="C321" s="127">
        <v>173308.72999999998</v>
      </c>
      <c r="D321" s="127">
        <v>208835.28999999998</v>
      </c>
      <c r="E321" s="127">
        <v>221179.00000000006</v>
      </c>
      <c r="F321" s="127">
        <v>220201.45999999996</v>
      </c>
      <c r="G321" s="127">
        <v>224254.52999999985</v>
      </c>
      <c r="H321" s="127">
        <v>290968.76999999996</v>
      </c>
      <c r="I321" s="127">
        <v>249170.11</v>
      </c>
      <c r="J321" s="127">
        <v>283214.42000000004</v>
      </c>
      <c r="K321" s="127">
        <v>297059.52</v>
      </c>
      <c r="L321" s="127">
        <v>303404.31999999995</v>
      </c>
      <c r="M321" s="127">
        <v>305038.76000000007</v>
      </c>
      <c r="N321" s="127">
        <v>304816.27999999991</v>
      </c>
      <c r="O321" s="127">
        <v>280361.96999999997</v>
      </c>
      <c r="P321" s="127">
        <v>261206.84000000005</v>
      </c>
      <c r="Q321" s="127">
        <v>156080.92000000001</v>
      </c>
      <c r="R321" s="127">
        <v>234799.52999999991</v>
      </c>
      <c r="S321" s="127">
        <v>207504.74</v>
      </c>
      <c r="T321" s="126">
        <f t="shared" si="4"/>
        <v>27294.789999999921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0C87-8F98-4D91-AD43-61A4FFEEE94F}">
  <dimension ref="A1:Z198"/>
  <sheetViews>
    <sheetView showGridLines="0" zoomScale="80" zoomScaleNormal="80" workbookViewId="0">
      <pane xSplit="4" ySplit="5" topLeftCell="O119" activePane="bottomRight" state="frozen"/>
      <selection pane="topRight" activeCell="E1" sqref="E1"/>
      <selection pane="bottomLeft" activeCell="A6" sqref="A6"/>
      <selection pane="bottomRight" activeCell="U126" sqref="U126"/>
    </sheetView>
  </sheetViews>
  <sheetFormatPr defaultColWidth="8.81640625" defaultRowHeight="16" x14ac:dyDescent="0.4"/>
  <cols>
    <col min="1" max="1" width="3.453125" style="148" customWidth="1"/>
    <col min="2" max="2" width="25" style="152" customWidth="1"/>
    <col min="3" max="3" width="34" style="151" customWidth="1"/>
    <col min="4" max="4" width="59.54296875" style="151" bestFit="1" customWidth="1"/>
    <col min="5" max="5" width="10.54296875" style="151" bestFit="1" customWidth="1"/>
    <col min="6" max="6" width="11.7265625" style="151" bestFit="1" customWidth="1"/>
    <col min="7" max="9" width="11.7265625" style="150" bestFit="1" customWidth="1"/>
    <col min="10" max="11" width="11.7265625" style="149" bestFit="1" customWidth="1"/>
    <col min="12" max="13" width="11.7265625" style="148" bestFit="1" customWidth="1"/>
    <col min="14" max="14" width="11.7265625" style="1" bestFit="1" customWidth="1"/>
    <col min="15" max="20" width="11.7265625" style="148" bestFit="1" customWidth="1"/>
    <col min="21" max="21" width="11.7265625" style="148" customWidth="1"/>
    <col min="22" max="22" width="11.453125" style="148" bestFit="1" customWidth="1"/>
    <col min="23" max="23" width="8.81640625" style="148" bestFit="1" customWidth="1"/>
    <col min="24" max="24" width="9.453125" style="148" bestFit="1" customWidth="1"/>
    <col min="25" max="25" width="12.26953125" style="148" bestFit="1" customWidth="1"/>
    <col min="26" max="26" width="11.26953125" style="148" bestFit="1" customWidth="1"/>
    <col min="27" max="16384" width="8.81640625" style="148"/>
  </cols>
  <sheetData>
    <row r="1" spans="1:25" x14ac:dyDescent="0.4">
      <c r="A1" s="171" t="s">
        <v>235</v>
      </c>
      <c r="C1" s="170"/>
      <c r="D1" s="170"/>
      <c r="E1" s="170"/>
      <c r="F1" s="170"/>
      <c r="G1" s="169"/>
      <c r="H1" s="169"/>
      <c r="I1" s="169"/>
      <c r="J1" s="168"/>
      <c r="K1" s="168"/>
    </row>
    <row r="2" spans="1:25" x14ac:dyDescent="0.4">
      <c r="A2" s="171"/>
      <c r="C2" s="170"/>
      <c r="D2" s="170"/>
      <c r="E2" s="170"/>
      <c r="F2" s="170"/>
      <c r="G2" s="169"/>
      <c r="H2" s="169"/>
      <c r="I2" s="169"/>
      <c r="J2" s="168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6"/>
    </row>
    <row r="3" spans="1:25" x14ac:dyDescent="0.4">
      <c r="C3" s="170"/>
      <c r="D3" s="170"/>
      <c r="E3" s="170"/>
      <c r="F3" s="170"/>
      <c r="G3" s="169"/>
      <c r="H3" s="169"/>
      <c r="I3" s="169"/>
      <c r="J3" s="168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6"/>
    </row>
    <row r="4" spans="1:25" x14ac:dyDescent="0.4">
      <c r="B4" s="156" t="s">
        <v>508</v>
      </c>
      <c r="C4" s="156"/>
      <c r="D4" s="156"/>
      <c r="E4" s="144" t="s">
        <v>650</v>
      </c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65"/>
      <c r="W4" s="165"/>
    </row>
    <row r="5" spans="1:25" x14ac:dyDescent="0.4">
      <c r="B5" s="156" t="s">
        <v>649</v>
      </c>
      <c r="C5" s="1" t="s">
        <v>648</v>
      </c>
      <c r="D5" s="1" t="s">
        <v>647</v>
      </c>
      <c r="E5" s="142">
        <v>45688</v>
      </c>
      <c r="F5" s="142">
        <v>45716</v>
      </c>
      <c r="G5" s="142">
        <v>45747</v>
      </c>
      <c r="H5" s="142">
        <v>45777</v>
      </c>
      <c r="I5" s="142">
        <v>45808</v>
      </c>
      <c r="J5" s="142">
        <v>45838</v>
      </c>
      <c r="K5" s="142">
        <v>45869</v>
      </c>
      <c r="L5" s="142">
        <v>45900</v>
      </c>
      <c r="M5" s="142">
        <v>45930</v>
      </c>
      <c r="N5" s="142">
        <v>45961</v>
      </c>
      <c r="O5" s="142">
        <v>45991</v>
      </c>
      <c r="P5" s="142">
        <v>46022</v>
      </c>
      <c r="Q5" s="142">
        <v>46053</v>
      </c>
      <c r="R5" s="142">
        <v>46081</v>
      </c>
      <c r="S5" s="142">
        <v>46112</v>
      </c>
      <c r="T5" s="142">
        <v>46142</v>
      </c>
      <c r="U5" s="142">
        <v>46173</v>
      </c>
      <c r="V5" s="141" t="s">
        <v>505</v>
      </c>
      <c r="W5" s="141" t="s">
        <v>646</v>
      </c>
      <c r="Y5" s="148">
        <v>95</v>
      </c>
    </row>
    <row r="6" spans="1:25" x14ac:dyDescent="0.4">
      <c r="B6" s="156" t="s">
        <v>645</v>
      </c>
      <c r="C6" s="1" t="s">
        <v>644</v>
      </c>
      <c r="D6" s="1" t="s">
        <v>644</v>
      </c>
      <c r="E6" s="155">
        <v>3762414</v>
      </c>
      <c r="F6" s="155">
        <v>4457855</v>
      </c>
      <c r="G6" s="155">
        <v>4579463</v>
      </c>
      <c r="H6" s="155">
        <v>4473906</v>
      </c>
      <c r="I6" s="155">
        <v>4728640</v>
      </c>
      <c r="J6" s="155">
        <v>5065520</v>
      </c>
      <c r="K6" s="155">
        <v>5158862</v>
      </c>
      <c r="L6" s="155">
        <v>5788065</v>
      </c>
      <c r="M6" s="155">
        <v>5991910</v>
      </c>
      <c r="N6" s="155">
        <v>6270781</v>
      </c>
      <c r="O6" s="155">
        <v>6229342</v>
      </c>
      <c r="P6" s="155">
        <v>6323574</v>
      </c>
      <c r="Q6" s="155">
        <v>6062679</v>
      </c>
      <c r="R6" s="155">
        <v>6115267</v>
      </c>
      <c r="S6" s="155">
        <v>6041252</v>
      </c>
      <c r="T6" s="155">
        <v>5768982</v>
      </c>
      <c r="U6" s="155">
        <v>5470829</v>
      </c>
      <c r="V6" s="155">
        <f t="shared" ref="V6:V37" si="0">T6-U6</f>
        <v>298153</v>
      </c>
      <c r="W6" s="155">
        <f t="shared" ref="W6:W37" si="1">V6/95</f>
        <v>3138.4526315789471</v>
      </c>
      <c r="Y6" s="164">
        <f t="shared" ref="Y6:Y37" si="2">U6/$Y$5</f>
        <v>57587.673684210524</v>
      </c>
    </row>
    <row r="7" spans="1:25" x14ac:dyDescent="0.4">
      <c r="B7" s="156"/>
      <c r="C7" s="1" t="s">
        <v>143</v>
      </c>
      <c r="D7" s="1" t="s">
        <v>143</v>
      </c>
      <c r="E7" s="155">
        <v>1911823</v>
      </c>
      <c r="F7" s="155">
        <v>2198354</v>
      </c>
      <c r="G7" s="155">
        <v>2043456</v>
      </c>
      <c r="H7" s="155">
        <v>2108487</v>
      </c>
      <c r="I7" s="155">
        <v>2151697</v>
      </c>
      <c r="J7" s="155">
        <v>2220435</v>
      </c>
      <c r="K7" s="155">
        <v>2498763</v>
      </c>
      <c r="L7" s="155">
        <v>2762127</v>
      </c>
      <c r="M7" s="155">
        <v>2796629</v>
      </c>
      <c r="N7" s="155">
        <v>3187170</v>
      </c>
      <c r="O7" s="155">
        <v>3255082</v>
      </c>
      <c r="P7" s="155">
        <v>3428387</v>
      </c>
      <c r="Q7" s="155">
        <v>3422489</v>
      </c>
      <c r="R7" s="155">
        <v>3333406</v>
      </c>
      <c r="S7" s="155">
        <v>3516012</v>
      </c>
      <c r="T7" s="155">
        <v>3503973</v>
      </c>
      <c r="U7" s="155">
        <v>3335558</v>
      </c>
      <c r="V7" s="155">
        <f t="shared" si="0"/>
        <v>168415</v>
      </c>
      <c r="W7" s="155">
        <f t="shared" si="1"/>
        <v>1772.7894736842106</v>
      </c>
      <c r="Y7" s="153">
        <f t="shared" si="2"/>
        <v>35111.136842105261</v>
      </c>
    </row>
    <row r="8" spans="1:25" x14ac:dyDescent="0.4">
      <c r="B8" s="156"/>
      <c r="C8" s="1" t="s">
        <v>72</v>
      </c>
      <c r="D8" s="1" t="s">
        <v>510</v>
      </c>
      <c r="E8" s="155">
        <v>758750</v>
      </c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>
        <v>15000</v>
      </c>
      <c r="R8" s="155"/>
      <c r="S8" s="155"/>
      <c r="T8" s="155"/>
      <c r="U8" s="155"/>
      <c r="V8" s="155">
        <f t="shared" si="0"/>
        <v>0</v>
      </c>
      <c r="W8" s="155">
        <f t="shared" si="1"/>
        <v>0</v>
      </c>
      <c r="X8" s="163"/>
      <c r="Y8" s="153">
        <f t="shared" si="2"/>
        <v>0</v>
      </c>
    </row>
    <row r="9" spans="1:25" x14ac:dyDescent="0.4">
      <c r="B9" s="156"/>
      <c r="C9" s="1" t="s">
        <v>643</v>
      </c>
      <c r="D9" s="1" t="s">
        <v>643</v>
      </c>
      <c r="E9" s="155">
        <v>47000</v>
      </c>
      <c r="F9" s="155">
        <v>47000</v>
      </c>
      <c r="G9" s="155">
        <v>47000</v>
      </c>
      <c r="H9" s="155">
        <v>47000</v>
      </c>
      <c r="I9" s="155">
        <v>28667</v>
      </c>
      <c r="J9" s="155">
        <v>12000</v>
      </c>
      <c r="K9" s="155">
        <v>12000</v>
      </c>
      <c r="L9" s="155">
        <v>12000</v>
      </c>
      <c r="M9" s="155">
        <v>12000</v>
      </c>
      <c r="N9" s="155">
        <v>12000</v>
      </c>
      <c r="O9" s="155">
        <v>12000</v>
      </c>
      <c r="P9" s="155">
        <v>12000</v>
      </c>
      <c r="Q9" s="155"/>
      <c r="R9" s="155">
        <v>20000</v>
      </c>
      <c r="S9" s="155">
        <v>20000</v>
      </c>
      <c r="T9" s="155"/>
      <c r="U9" s="155">
        <v>20000</v>
      </c>
      <c r="V9" s="155">
        <f t="shared" si="0"/>
        <v>-20000</v>
      </c>
      <c r="W9" s="155">
        <f t="shared" si="1"/>
        <v>-210.52631578947367</v>
      </c>
      <c r="X9" s="163"/>
      <c r="Y9" s="153">
        <f t="shared" si="2"/>
        <v>210.52631578947367</v>
      </c>
    </row>
    <row r="10" spans="1:25" x14ac:dyDescent="0.4">
      <c r="B10" s="156" t="s">
        <v>642</v>
      </c>
      <c r="C10" s="156"/>
      <c r="D10" s="156"/>
      <c r="E10" s="155">
        <v>6479987</v>
      </c>
      <c r="F10" s="155">
        <v>6703209</v>
      </c>
      <c r="G10" s="155">
        <v>6669919</v>
      </c>
      <c r="H10" s="155">
        <v>6629393</v>
      </c>
      <c r="I10" s="155">
        <v>6909004</v>
      </c>
      <c r="J10" s="155">
        <v>7297955</v>
      </c>
      <c r="K10" s="155">
        <v>7669625</v>
      </c>
      <c r="L10" s="155">
        <v>8562192</v>
      </c>
      <c r="M10" s="155">
        <v>8800539</v>
      </c>
      <c r="N10" s="155">
        <v>9469951</v>
      </c>
      <c r="O10" s="155">
        <v>9496424</v>
      </c>
      <c r="P10" s="155">
        <v>9763961</v>
      </c>
      <c r="Q10" s="155">
        <v>9500168</v>
      </c>
      <c r="R10" s="155">
        <v>9468673</v>
      </c>
      <c r="S10" s="155">
        <v>9577264</v>
      </c>
      <c r="T10" s="155">
        <v>9272955</v>
      </c>
      <c r="U10" s="155">
        <v>8826387</v>
      </c>
      <c r="V10" s="157">
        <f t="shared" si="0"/>
        <v>446568</v>
      </c>
      <c r="W10" s="157">
        <f t="shared" si="1"/>
        <v>4700.7157894736838</v>
      </c>
      <c r="Y10" s="153">
        <f t="shared" si="2"/>
        <v>92909.336842105258</v>
      </c>
    </row>
    <row r="11" spans="1:25" x14ac:dyDescent="0.4">
      <c r="B11" s="156" t="s">
        <v>641</v>
      </c>
      <c r="C11" s="1" t="s">
        <v>125</v>
      </c>
      <c r="D11" s="1" t="s">
        <v>578</v>
      </c>
      <c r="E11" s="155">
        <v>376923</v>
      </c>
      <c r="F11" s="155">
        <v>376923</v>
      </c>
      <c r="G11" s="155">
        <v>376923</v>
      </c>
      <c r="H11" s="155">
        <v>376923</v>
      </c>
      <c r="I11" s="155">
        <v>376923</v>
      </c>
      <c r="J11" s="155">
        <v>376923</v>
      </c>
      <c r="K11" s="155">
        <v>376923</v>
      </c>
      <c r="L11" s="155">
        <v>376923</v>
      </c>
      <c r="M11" s="155">
        <v>376923</v>
      </c>
      <c r="N11" s="155">
        <v>395769</v>
      </c>
      <c r="O11" s="155">
        <v>395769</v>
      </c>
      <c r="P11" s="155">
        <v>395769</v>
      </c>
      <c r="Q11" s="155">
        <v>395769</v>
      </c>
      <c r="R11" s="155">
        <v>395769</v>
      </c>
      <c r="S11" s="155">
        <v>395769</v>
      </c>
      <c r="T11" s="155">
        <v>395769</v>
      </c>
      <c r="U11" s="155">
        <v>395769</v>
      </c>
      <c r="V11" s="155">
        <f t="shared" si="0"/>
        <v>0</v>
      </c>
      <c r="W11" s="155">
        <f t="shared" si="1"/>
        <v>0</v>
      </c>
      <c r="Y11" s="153">
        <f t="shared" si="2"/>
        <v>4165.9894736842107</v>
      </c>
    </row>
    <row r="12" spans="1:25" x14ac:dyDescent="0.4">
      <c r="B12" s="156"/>
      <c r="C12" s="1" t="s">
        <v>122</v>
      </c>
      <c r="D12" s="1" t="s">
        <v>639</v>
      </c>
      <c r="E12" s="155"/>
      <c r="F12" s="155"/>
      <c r="G12" s="155"/>
      <c r="H12" s="155"/>
      <c r="I12" s="155"/>
      <c r="J12" s="155"/>
      <c r="K12" s="155">
        <v>400000</v>
      </c>
      <c r="L12" s="155">
        <v>400000</v>
      </c>
      <c r="M12" s="155">
        <v>400000</v>
      </c>
      <c r="N12" s="155">
        <v>400000</v>
      </c>
      <c r="O12" s="155">
        <v>400000</v>
      </c>
      <c r="P12" s="155">
        <v>400000</v>
      </c>
      <c r="Q12" s="155">
        <v>400000</v>
      </c>
      <c r="R12" s="155">
        <v>400000</v>
      </c>
      <c r="S12" s="155">
        <v>400000</v>
      </c>
      <c r="T12" s="155">
        <v>400000</v>
      </c>
      <c r="U12" s="155">
        <v>400000</v>
      </c>
      <c r="V12" s="155">
        <f t="shared" si="0"/>
        <v>0</v>
      </c>
      <c r="W12" s="155">
        <f t="shared" si="1"/>
        <v>0</v>
      </c>
      <c r="Y12" s="153">
        <f t="shared" si="2"/>
        <v>4210.5263157894733</v>
      </c>
    </row>
    <row r="13" spans="1:25" x14ac:dyDescent="0.4">
      <c r="B13" s="156"/>
      <c r="C13" s="1" t="s">
        <v>128</v>
      </c>
      <c r="D13" s="1" t="s">
        <v>510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>
        <v>373</v>
      </c>
      <c r="S13" s="155"/>
      <c r="T13" s="155"/>
      <c r="U13" s="155"/>
      <c r="V13" s="155">
        <f t="shared" si="0"/>
        <v>0</v>
      </c>
      <c r="W13" s="155">
        <f t="shared" si="1"/>
        <v>0</v>
      </c>
      <c r="Y13" s="153">
        <f t="shared" si="2"/>
        <v>0</v>
      </c>
    </row>
    <row r="14" spans="1:25" x14ac:dyDescent="0.4">
      <c r="B14" s="156"/>
      <c r="C14" s="1"/>
      <c r="D14" s="1" t="s">
        <v>640</v>
      </c>
      <c r="E14" s="155">
        <v>180904.38</v>
      </c>
      <c r="F14" s="155">
        <v>217106.47999999998</v>
      </c>
      <c r="G14" s="155">
        <v>182837.26</v>
      </c>
      <c r="H14" s="155">
        <v>237374.54</v>
      </c>
      <c r="I14" s="155">
        <v>205380.36</v>
      </c>
      <c r="J14" s="155">
        <v>275963.01999999996</v>
      </c>
      <c r="K14" s="155">
        <v>222710.11</v>
      </c>
      <c r="L14" s="155">
        <v>282109.82999999996</v>
      </c>
      <c r="M14" s="155">
        <v>219561</v>
      </c>
      <c r="N14" s="155">
        <v>278072</v>
      </c>
      <c r="O14" s="155">
        <v>200679</v>
      </c>
      <c r="P14" s="155">
        <v>246415</v>
      </c>
      <c r="Q14" s="155">
        <v>180086</v>
      </c>
      <c r="R14" s="155">
        <v>212225</v>
      </c>
      <c r="S14" s="155">
        <v>213905.73</v>
      </c>
      <c r="T14" s="155">
        <v>224144</v>
      </c>
      <c r="U14" s="155">
        <v>205772</v>
      </c>
      <c r="V14" s="155">
        <f t="shared" si="0"/>
        <v>18372</v>
      </c>
      <c r="W14" s="155">
        <f t="shared" si="1"/>
        <v>193.38947368421051</v>
      </c>
      <c r="Y14" s="153">
        <f t="shared" si="2"/>
        <v>2166.0210526315791</v>
      </c>
    </row>
    <row r="15" spans="1:25" x14ac:dyDescent="0.4">
      <c r="B15" s="156"/>
      <c r="C15" s="1"/>
      <c r="D15" s="1" t="s">
        <v>639</v>
      </c>
      <c r="E15" s="155"/>
      <c r="F15" s="155"/>
      <c r="G15" s="155"/>
      <c r="H15" s="155"/>
      <c r="I15" s="155"/>
      <c r="J15" s="155"/>
      <c r="K15" s="155"/>
      <c r="L15" s="155">
        <v>15396</v>
      </c>
      <c r="M15" s="155">
        <v>33468</v>
      </c>
      <c r="N15" s="155"/>
      <c r="O15" s="155">
        <v>47724</v>
      </c>
      <c r="P15" s="155">
        <v>19848</v>
      </c>
      <c r="Q15" s="155"/>
      <c r="R15" s="155">
        <v>69324</v>
      </c>
      <c r="S15" s="155">
        <v>32304</v>
      </c>
      <c r="T15" s="155">
        <v>50052</v>
      </c>
      <c r="U15" s="155">
        <v>42360</v>
      </c>
      <c r="V15" s="155">
        <f t="shared" si="0"/>
        <v>7692</v>
      </c>
      <c r="W15" s="155">
        <f t="shared" si="1"/>
        <v>80.968421052631584</v>
      </c>
      <c r="Y15" s="153">
        <f t="shared" si="2"/>
        <v>445.89473684210526</v>
      </c>
    </row>
    <row r="16" spans="1:25" x14ac:dyDescent="0.4">
      <c r="B16" s="156"/>
      <c r="C16" s="1"/>
      <c r="D16" s="1" t="s">
        <v>636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>
        <v>974</v>
      </c>
      <c r="R16" s="155"/>
      <c r="S16" s="155"/>
      <c r="T16" s="155"/>
      <c r="U16" s="155">
        <v>4907</v>
      </c>
      <c r="V16" s="155">
        <f t="shared" si="0"/>
        <v>-4907</v>
      </c>
      <c r="W16" s="155">
        <f t="shared" si="1"/>
        <v>-51.652631578947371</v>
      </c>
      <c r="Y16" s="153">
        <f t="shared" si="2"/>
        <v>51.652631578947371</v>
      </c>
    </row>
    <row r="17" spans="2:25" x14ac:dyDescent="0.4">
      <c r="B17" s="156"/>
      <c r="C17" s="1" t="s">
        <v>124</v>
      </c>
      <c r="D17" s="1" t="s">
        <v>638</v>
      </c>
      <c r="E17" s="155">
        <v>119245</v>
      </c>
      <c r="F17" s="155">
        <v>119485</v>
      </c>
      <c r="G17" s="155">
        <v>119470</v>
      </c>
      <c r="H17" s="155">
        <v>120435</v>
      </c>
      <c r="I17" s="155">
        <v>136370</v>
      </c>
      <c r="J17" s="155">
        <v>140575</v>
      </c>
      <c r="K17" s="155">
        <v>151460</v>
      </c>
      <c r="L17" s="155">
        <v>150740</v>
      </c>
      <c r="M17" s="155">
        <v>152855.09</v>
      </c>
      <c r="N17" s="155">
        <v>159250.09</v>
      </c>
      <c r="O17" s="155">
        <v>168956.09</v>
      </c>
      <c r="P17" s="155">
        <v>181117.09</v>
      </c>
      <c r="Q17" s="155">
        <v>189327.1</v>
      </c>
      <c r="R17" s="155">
        <v>190241.09</v>
      </c>
      <c r="S17" s="155">
        <v>175436.09000000003</v>
      </c>
      <c r="T17" s="155">
        <v>180696.09000000003</v>
      </c>
      <c r="U17" s="155">
        <v>182988.09</v>
      </c>
      <c r="V17" s="155">
        <f t="shared" si="0"/>
        <v>-2291.9999999999709</v>
      </c>
      <c r="W17" s="155">
        <f t="shared" si="1"/>
        <v>-24.126315789473377</v>
      </c>
      <c r="Y17" s="153">
        <f t="shared" si="2"/>
        <v>1926.1904210526316</v>
      </c>
    </row>
    <row r="18" spans="2:25" x14ac:dyDescent="0.4">
      <c r="B18" s="156"/>
      <c r="C18" s="1" t="s">
        <v>126</v>
      </c>
      <c r="D18" s="1" t="s">
        <v>578</v>
      </c>
      <c r="E18" s="155">
        <v>65105</v>
      </c>
      <c r="F18" s="155">
        <v>65105</v>
      </c>
      <c r="G18" s="155">
        <v>65105</v>
      </c>
      <c r="H18" s="155">
        <v>65105</v>
      </c>
      <c r="I18" s="155">
        <v>65105</v>
      </c>
      <c r="J18" s="155">
        <v>65105</v>
      </c>
      <c r="K18" s="155">
        <v>65105</v>
      </c>
      <c r="L18" s="155">
        <v>65105</v>
      </c>
      <c r="M18" s="155">
        <v>65105</v>
      </c>
      <c r="N18" s="155">
        <v>68360</v>
      </c>
      <c r="O18" s="155">
        <v>68360</v>
      </c>
      <c r="P18" s="155">
        <v>68360</v>
      </c>
      <c r="Q18" s="155">
        <v>68360</v>
      </c>
      <c r="R18" s="155">
        <v>68360</v>
      </c>
      <c r="S18" s="155">
        <v>68360</v>
      </c>
      <c r="T18" s="155">
        <v>68360</v>
      </c>
      <c r="U18" s="155">
        <v>68360</v>
      </c>
      <c r="V18" s="155">
        <f t="shared" si="0"/>
        <v>0</v>
      </c>
      <c r="W18" s="155">
        <f t="shared" si="1"/>
        <v>0</v>
      </c>
      <c r="Y18" s="153">
        <f t="shared" si="2"/>
        <v>719.57894736842104</v>
      </c>
    </row>
    <row r="19" spans="2:25" x14ac:dyDescent="0.4">
      <c r="B19" s="156"/>
      <c r="C19" s="1" t="s">
        <v>123</v>
      </c>
      <c r="D19" s="1" t="s">
        <v>637</v>
      </c>
      <c r="E19" s="155">
        <v>25000</v>
      </c>
      <c r="F19" s="155">
        <v>25000</v>
      </c>
      <c r="G19" s="155">
        <v>25000</v>
      </c>
      <c r="H19" s="155">
        <v>25000</v>
      </c>
      <c r="I19" s="155">
        <v>26250</v>
      </c>
      <c r="J19" s="155">
        <v>26250</v>
      </c>
      <c r="K19" s="155">
        <v>26250</v>
      </c>
      <c r="L19" s="155">
        <v>26250</v>
      </c>
      <c r="M19" s="155">
        <v>26250</v>
      </c>
      <c r="N19" s="155">
        <v>26250</v>
      </c>
      <c r="O19" s="155">
        <v>26250</v>
      </c>
      <c r="P19" s="155">
        <v>26250</v>
      </c>
      <c r="Q19" s="155">
        <v>26250</v>
      </c>
      <c r="R19" s="155">
        <v>26250</v>
      </c>
      <c r="S19" s="155">
        <v>26250</v>
      </c>
      <c r="T19" s="155">
        <v>26250</v>
      </c>
      <c r="U19" s="155">
        <v>27562</v>
      </c>
      <c r="V19" s="155">
        <f t="shared" si="0"/>
        <v>-1312</v>
      </c>
      <c r="W19" s="155">
        <f t="shared" si="1"/>
        <v>-13.810526315789474</v>
      </c>
      <c r="Y19" s="153">
        <f t="shared" si="2"/>
        <v>290.12631578947367</v>
      </c>
    </row>
    <row r="20" spans="2:25" x14ac:dyDescent="0.4">
      <c r="B20" s="156"/>
      <c r="C20" s="1" t="s">
        <v>120</v>
      </c>
      <c r="D20" s="1" t="s">
        <v>636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>
        <v>25000</v>
      </c>
      <c r="P20" s="155">
        <v>25000</v>
      </c>
      <c r="Q20" s="155">
        <v>25000</v>
      </c>
      <c r="R20" s="155">
        <v>25000</v>
      </c>
      <c r="S20" s="155">
        <v>25000</v>
      </c>
      <c r="T20" s="155">
        <v>25000</v>
      </c>
      <c r="U20" s="155">
        <v>25000</v>
      </c>
      <c r="V20" s="155">
        <f t="shared" si="0"/>
        <v>0</v>
      </c>
      <c r="W20" s="155">
        <f t="shared" si="1"/>
        <v>0</v>
      </c>
      <c r="Y20" s="153">
        <f t="shared" si="2"/>
        <v>263.15789473684208</v>
      </c>
    </row>
    <row r="21" spans="2:25" x14ac:dyDescent="0.4">
      <c r="B21" s="156"/>
      <c r="C21" s="1" t="s">
        <v>127</v>
      </c>
      <c r="D21" s="1" t="s">
        <v>574</v>
      </c>
      <c r="E21" s="155"/>
      <c r="F21" s="155"/>
      <c r="G21" s="155"/>
      <c r="H21" s="155"/>
      <c r="I21" s="155"/>
      <c r="J21" s="155">
        <v>7000</v>
      </c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>
        <f t="shared" si="0"/>
        <v>0</v>
      </c>
      <c r="W21" s="155">
        <f t="shared" si="1"/>
        <v>0</v>
      </c>
      <c r="Y21" s="153">
        <f t="shared" si="2"/>
        <v>0</v>
      </c>
    </row>
    <row r="22" spans="2:25" x14ac:dyDescent="0.4">
      <c r="B22" s="156" t="s">
        <v>635</v>
      </c>
      <c r="C22" s="156"/>
      <c r="D22" s="156"/>
      <c r="E22" s="155">
        <v>767177.38</v>
      </c>
      <c r="F22" s="155">
        <v>803619.48</v>
      </c>
      <c r="G22" s="155">
        <v>769335.26</v>
      </c>
      <c r="H22" s="155">
        <v>824837.54</v>
      </c>
      <c r="I22" s="155">
        <v>810028.36</v>
      </c>
      <c r="J22" s="155">
        <v>891816.02</v>
      </c>
      <c r="K22" s="155">
        <v>1242448.1099999999</v>
      </c>
      <c r="L22" s="155">
        <v>1316523.83</v>
      </c>
      <c r="M22" s="155">
        <v>1274162.0899999999</v>
      </c>
      <c r="N22" s="155">
        <v>1327701.0899999999</v>
      </c>
      <c r="O22" s="155">
        <v>1332738.0899999999</v>
      </c>
      <c r="P22" s="155">
        <v>1362759.0899999999</v>
      </c>
      <c r="Q22" s="155">
        <v>1285766.1000000001</v>
      </c>
      <c r="R22" s="155">
        <v>1387542.0899999999</v>
      </c>
      <c r="S22" s="155">
        <v>1337024.82</v>
      </c>
      <c r="T22" s="155">
        <v>1370271.09</v>
      </c>
      <c r="U22" s="155">
        <v>1352718.0899999999</v>
      </c>
      <c r="V22" s="157">
        <f t="shared" si="0"/>
        <v>17553.000000000233</v>
      </c>
      <c r="W22" s="157">
        <f t="shared" si="1"/>
        <v>184.76842105263404</v>
      </c>
      <c r="Y22" s="153">
        <f t="shared" si="2"/>
        <v>14239.137789473683</v>
      </c>
    </row>
    <row r="23" spans="2:25" x14ac:dyDescent="0.4">
      <c r="B23" s="156" t="s">
        <v>634</v>
      </c>
      <c r="C23" s="1" t="s">
        <v>198</v>
      </c>
      <c r="D23" s="1" t="s">
        <v>633</v>
      </c>
      <c r="E23" s="155">
        <v>5160.0599999999995</v>
      </c>
      <c r="F23" s="155">
        <v>5160.0599999999995</v>
      </c>
      <c r="G23" s="155">
        <v>6659.0599999999995</v>
      </c>
      <c r="H23" s="155">
        <v>6659.0599999999995</v>
      </c>
      <c r="I23" s="155">
        <v>6659.0599999999995</v>
      </c>
      <c r="J23" s="155">
        <v>6659.0599999999995</v>
      </c>
      <c r="K23" s="155">
        <v>6659.0599999999995</v>
      </c>
      <c r="L23" s="155">
        <v>10243.06</v>
      </c>
      <c r="M23" s="155">
        <v>10041.06</v>
      </c>
      <c r="N23" s="155">
        <v>10041.06</v>
      </c>
      <c r="O23" s="155">
        <v>10041.06</v>
      </c>
      <c r="P23" s="155">
        <v>10041.06</v>
      </c>
      <c r="Q23" s="155">
        <v>10041.06</v>
      </c>
      <c r="R23" s="155">
        <v>10041.06</v>
      </c>
      <c r="S23" s="155">
        <v>11256.06</v>
      </c>
      <c r="T23" s="155">
        <v>11256.06</v>
      </c>
      <c r="U23" s="155">
        <v>2367</v>
      </c>
      <c r="V23" s="155">
        <f t="shared" si="0"/>
        <v>8889.06</v>
      </c>
      <c r="W23" s="155">
        <f t="shared" si="1"/>
        <v>93.569052631578941</v>
      </c>
      <c r="Y23" s="153">
        <f t="shared" si="2"/>
        <v>24.91578947368421</v>
      </c>
    </row>
    <row r="24" spans="2:25" x14ac:dyDescent="0.4">
      <c r="B24" s="156"/>
      <c r="C24" s="1"/>
      <c r="D24" s="1" t="s">
        <v>632</v>
      </c>
      <c r="E24" s="155">
        <v>45000</v>
      </c>
      <c r="F24" s="155">
        <v>50000</v>
      </c>
      <c r="G24" s="155">
        <v>50000</v>
      </c>
      <c r="H24" s="155">
        <v>50000</v>
      </c>
      <c r="I24" s="155">
        <v>49999</v>
      </c>
      <c r="J24" s="155">
        <v>50000</v>
      </c>
      <c r="K24" s="155">
        <v>50000</v>
      </c>
      <c r="L24" s="155">
        <v>50000</v>
      </c>
      <c r="M24" s="155">
        <v>56153</v>
      </c>
      <c r="N24" s="155"/>
      <c r="O24" s="155">
        <v>50000</v>
      </c>
      <c r="P24" s="155">
        <v>50000</v>
      </c>
      <c r="Q24" s="155">
        <v>32000</v>
      </c>
      <c r="R24" s="155">
        <v>7950</v>
      </c>
      <c r="S24" s="155"/>
      <c r="T24" s="155"/>
      <c r="U24" s="155"/>
      <c r="V24" s="155">
        <f t="shared" si="0"/>
        <v>0</v>
      </c>
      <c r="W24" s="155">
        <f t="shared" si="1"/>
        <v>0</v>
      </c>
      <c r="Y24" s="153">
        <f t="shared" si="2"/>
        <v>0</v>
      </c>
    </row>
    <row r="25" spans="2:25" x14ac:dyDescent="0.4">
      <c r="B25" s="156"/>
      <c r="C25" s="1"/>
      <c r="D25" s="1" t="s">
        <v>631</v>
      </c>
      <c r="E25" s="155">
        <v>147510</v>
      </c>
      <c r="F25" s="155">
        <v>18378</v>
      </c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>
        <f t="shared" si="0"/>
        <v>0</v>
      </c>
      <c r="W25" s="155">
        <f t="shared" si="1"/>
        <v>0</v>
      </c>
      <c r="Y25" s="153">
        <f t="shared" si="2"/>
        <v>0</v>
      </c>
    </row>
    <row r="26" spans="2:25" x14ac:dyDescent="0.4">
      <c r="B26" s="156"/>
      <c r="C26" s="1"/>
      <c r="D26" s="1" t="s">
        <v>512</v>
      </c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>
        <v>5990</v>
      </c>
      <c r="P26" s="155"/>
      <c r="Q26" s="155"/>
      <c r="R26" s="155"/>
      <c r="S26" s="155"/>
      <c r="T26" s="155"/>
      <c r="U26" s="155"/>
      <c r="V26" s="155">
        <f t="shared" si="0"/>
        <v>0</v>
      </c>
      <c r="W26" s="155">
        <f t="shared" si="1"/>
        <v>0</v>
      </c>
      <c r="Y26" s="153">
        <f t="shared" si="2"/>
        <v>0</v>
      </c>
    </row>
    <row r="27" spans="2:25" x14ac:dyDescent="0.4">
      <c r="B27" s="156"/>
      <c r="C27" s="1"/>
      <c r="D27" s="1" t="s">
        <v>630</v>
      </c>
      <c r="E27" s="155">
        <v>6299.14</v>
      </c>
      <c r="F27" s="155">
        <v>6299.14</v>
      </c>
      <c r="G27" s="155">
        <v>9446.74</v>
      </c>
      <c r="H27" s="155">
        <v>6299.14</v>
      </c>
      <c r="I27" s="155">
        <v>6299.14</v>
      </c>
      <c r="J27" s="155">
        <v>6299.14</v>
      </c>
      <c r="K27" s="155">
        <v>6299.14</v>
      </c>
      <c r="L27" s="155">
        <v>6299.14</v>
      </c>
      <c r="M27" s="155">
        <v>6299.14</v>
      </c>
      <c r="N27" s="155">
        <v>6299.14</v>
      </c>
      <c r="O27" s="155">
        <v>6299.14</v>
      </c>
      <c r="P27" s="155">
        <v>6299.14</v>
      </c>
      <c r="Q27" s="155">
        <v>6299.14</v>
      </c>
      <c r="R27" s="155"/>
      <c r="S27" s="155">
        <v>21899.870000000003</v>
      </c>
      <c r="T27" s="155">
        <v>9536.2000000000007</v>
      </c>
      <c r="U27" s="155"/>
      <c r="V27" s="155">
        <f t="shared" si="0"/>
        <v>9536.2000000000007</v>
      </c>
      <c r="W27" s="155">
        <f t="shared" si="1"/>
        <v>100.38105263157895</v>
      </c>
      <c r="Y27" s="153">
        <f t="shared" si="2"/>
        <v>0</v>
      </c>
    </row>
    <row r="28" spans="2:25" x14ac:dyDescent="0.4">
      <c r="B28" s="156"/>
      <c r="C28" s="1"/>
      <c r="D28" s="1" t="s">
        <v>629</v>
      </c>
      <c r="E28" s="155"/>
      <c r="F28" s="155">
        <v>1068</v>
      </c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>
        <f t="shared" si="0"/>
        <v>0</v>
      </c>
      <c r="W28" s="155">
        <f t="shared" si="1"/>
        <v>0</v>
      </c>
      <c r="Y28" s="153">
        <f t="shared" si="2"/>
        <v>0</v>
      </c>
    </row>
    <row r="29" spans="2:25" x14ac:dyDescent="0.4">
      <c r="B29" s="156"/>
      <c r="C29" s="1"/>
      <c r="D29" s="1" t="s">
        <v>198</v>
      </c>
      <c r="E29" s="155">
        <v>18468</v>
      </c>
      <c r="F29" s="155">
        <v>18468</v>
      </c>
      <c r="G29" s="155">
        <v>18468</v>
      </c>
      <c r="H29" s="155">
        <v>18468</v>
      </c>
      <c r="I29" s="155">
        <v>18468</v>
      </c>
      <c r="J29" s="155">
        <v>21097</v>
      </c>
      <c r="K29" s="155">
        <v>24486</v>
      </c>
      <c r="L29" s="155">
        <v>28554</v>
      </c>
      <c r="M29" s="155">
        <v>37971</v>
      </c>
      <c r="N29" s="155">
        <v>38106</v>
      </c>
      <c r="O29" s="155">
        <v>41354</v>
      </c>
      <c r="P29" s="155">
        <v>41354</v>
      </c>
      <c r="Q29" s="155">
        <v>42647</v>
      </c>
      <c r="R29" s="155">
        <v>42870</v>
      </c>
      <c r="S29" s="155">
        <v>43953</v>
      </c>
      <c r="T29" s="155">
        <v>48603</v>
      </c>
      <c r="U29" s="155">
        <v>48603</v>
      </c>
      <c r="V29" s="155">
        <f t="shared" si="0"/>
        <v>0</v>
      </c>
      <c r="W29" s="155">
        <f t="shared" si="1"/>
        <v>0</v>
      </c>
      <c r="Y29" s="153">
        <f t="shared" si="2"/>
        <v>511.61052631578946</v>
      </c>
    </row>
    <row r="30" spans="2:25" x14ac:dyDescent="0.4">
      <c r="B30" s="156"/>
      <c r="C30" s="1"/>
      <c r="D30" s="1" t="s">
        <v>628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>
        <v>19820.54</v>
      </c>
      <c r="P30" s="155"/>
      <c r="Q30" s="155"/>
      <c r="R30" s="155"/>
      <c r="S30" s="155"/>
      <c r="T30" s="155"/>
      <c r="U30" s="155"/>
      <c r="V30" s="155">
        <f t="shared" si="0"/>
        <v>0</v>
      </c>
      <c r="W30" s="155">
        <f t="shared" si="1"/>
        <v>0</v>
      </c>
      <c r="Y30" s="153">
        <f t="shared" si="2"/>
        <v>0</v>
      </c>
    </row>
    <row r="31" spans="2:25" x14ac:dyDescent="0.4">
      <c r="B31" s="156"/>
      <c r="C31" s="1"/>
      <c r="D31" s="1" t="s">
        <v>627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>
        <v>1916.04</v>
      </c>
      <c r="V31" s="155">
        <f t="shared" si="0"/>
        <v>-1916.04</v>
      </c>
      <c r="W31" s="155">
        <f t="shared" si="1"/>
        <v>-20.168842105263156</v>
      </c>
      <c r="Y31" s="153">
        <f t="shared" si="2"/>
        <v>20.168842105263156</v>
      </c>
    </row>
    <row r="32" spans="2:25" x14ac:dyDescent="0.4">
      <c r="B32" s="156"/>
      <c r="C32" s="1" t="s">
        <v>116</v>
      </c>
      <c r="D32" s="1" t="s">
        <v>116</v>
      </c>
      <c r="E32" s="155">
        <v>20000</v>
      </c>
      <c r="F32" s="155">
        <v>27416</v>
      </c>
      <c r="G32" s="155">
        <v>27416</v>
      </c>
      <c r="H32" s="155">
        <v>33750</v>
      </c>
      <c r="I32" s="155">
        <v>33750</v>
      </c>
      <c r="J32" s="155">
        <v>33750</v>
      </c>
      <c r="K32" s="155">
        <v>33750</v>
      </c>
      <c r="L32" s="155">
        <v>42917</v>
      </c>
      <c r="M32" s="155">
        <v>42917</v>
      </c>
      <c r="N32" s="155">
        <v>52084</v>
      </c>
      <c r="O32" s="155">
        <v>42917</v>
      </c>
      <c r="P32" s="155">
        <v>42917</v>
      </c>
      <c r="Q32" s="155">
        <v>42917</v>
      </c>
      <c r="R32" s="155">
        <v>42917</v>
      </c>
      <c r="S32" s="155">
        <v>42917</v>
      </c>
      <c r="T32" s="155">
        <v>42917</v>
      </c>
      <c r="U32" s="155">
        <v>42917</v>
      </c>
      <c r="V32" s="155">
        <f t="shared" si="0"/>
        <v>0</v>
      </c>
      <c r="W32" s="155">
        <f t="shared" si="1"/>
        <v>0</v>
      </c>
      <c r="Y32" s="153">
        <f t="shared" si="2"/>
        <v>451.7578947368421</v>
      </c>
    </row>
    <row r="33" spans="2:25" x14ac:dyDescent="0.4">
      <c r="B33" s="156"/>
      <c r="C33" s="1"/>
      <c r="D33" s="1" t="s">
        <v>626</v>
      </c>
      <c r="E33" s="155"/>
      <c r="F33" s="155"/>
      <c r="G33" s="155"/>
      <c r="H33" s="155"/>
      <c r="I33" s="155">
        <v>3000</v>
      </c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>
        <f t="shared" si="0"/>
        <v>0</v>
      </c>
      <c r="W33" s="155">
        <f t="shared" si="1"/>
        <v>0</v>
      </c>
      <c r="Y33" s="153">
        <f t="shared" si="2"/>
        <v>0</v>
      </c>
    </row>
    <row r="34" spans="2:25" x14ac:dyDescent="0.4">
      <c r="B34" s="156"/>
      <c r="C34" s="1"/>
      <c r="D34" s="1" t="s">
        <v>625</v>
      </c>
      <c r="E34" s="155"/>
      <c r="F34" s="155"/>
      <c r="G34" s="155"/>
      <c r="H34" s="155"/>
      <c r="I34" s="155"/>
      <c r="J34" s="155"/>
      <c r="K34" s="155"/>
      <c r="L34" s="155">
        <v>5000</v>
      </c>
      <c r="M34" s="155"/>
      <c r="N34" s="155"/>
      <c r="O34" s="155"/>
      <c r="P34" s="155"/>
      <c r="Q34" s="155"/>
      <c r="R34" s="155"/>
      <c r="S34" s="155"/>
      <c r="T34" s="155"/>
      <c r="U34" s="155"/>
      <c r="V34" s="155">
        <f t="shared" si="0"/>
        <v>0</v>
      </c>
      <c r="W34" s="155">
        <f t="shared" si="1"/>
        <v>0</v>
      </c>
      <c r="Y34" s="153">
        <f t="shared" si="2"/>
        <v>0</v>
      </c>
    </row>
    <row r="35" spans="2:25" x14ac:dyDescent="0.4">
      <c r="B35" s="156"/>
      <c r="C35" s="1"/>
      <c r="D35" s="1" t="s">
        <v>624</v>
      </c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>
        <v>1673.76</v>
      </c>
      <c r="T35" s="155">
        <v>1179</v>
      </c>
      <c r="U35" s="155">
        <v>1149.52</v>
      </c>
      <c r="V35" s="155">
        <f t="shared" si="0"/>
        <v>29.480000000000018</v>
      </c>
      <c r="W35" s="155">
        <f t="shared" si="1"/>
        <v>0.31031578947368438</v>
      </c>
      <c r="Y35" s="153">
        <f t="shared" si="2"/>
        <v>12.10021052631579</v>
      </c>
    </row>
    <row r="36" spans="2:25" x14ac:dyDescent="0.4">
      <c r="B36" s="156"/>
      <c r="C36" s="1"/>
      <c r="D36" s="1" t="s">
        <v>623</v>
      </c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>
        <v>20750</v>
      </c>
      <c r="V36" s="155">
        <f t="shared" si="0"/>
        <v>-20750</v>
      </c>
      <c r="W36" s="155">
        <f t="shared" si="1"/>
        <v>-218.42105263157896</v>
      </c>
      <c r="Y36" s="153">
        <f t="shared" si="2"/>
        <v>218.42105263157896</v>
      </c>
    </row>
    <row r="37" spans="2:25" x14ac:dyDescent="0.4">
      <c r="B37" s="156"/>
      <c r="C37" s="1" t="s">
        <v>106</v>
      </c>
      <c r="D37" s="1" t="s">
        <v>622</v>
      </c>
      <c r="E37" s="155"/>
      <c r="F37" s="155"/>
      <c r="G37" s="155"/>
      <c r="H37" s="155"/>
      <c r="I37" s="155"/>
      <c r="J37" s="155"/>
      <c r="K37" s="155"/>
      <c r="L37" s="155">
        <v>1936</v>
      </c>
      <c r="M37" s="155">
        <v>15000</v>
      </c>
      <c r="N37" s="155">
        <v>15000</v>
      </c>
      <c r="O37" s="155">
        <v>15000</v>
      </c>
      <c r="P37" s="155">
        <v>23241.77</v>
      </c>
      <c r="Q37" s="155">
        <v>32542.65</v>
      </c>
      <c r="R37" s="155">
        <v>33095.869999999995</v>
      </c>
      <c r="S37" s="155">
        <v>64203.880000000005</v>
      </c>
      <c r="T37" s="155">
        <v>15000</v>
      </c>
      <c r="U37" s="155">
        <v>39529.520000000004</v>
      </c>
      <c r="V37" s="155">
        <f t="shared" si="0"/>
        <v>-24529.520000000004</v>
      </c>
      <c r="W37" s="155">
        <f t="shared" si="1"/>
        <v>-258.20547368421057</v>
      </c>
      <c r="Y37" s="153">
        <f t="shared" si="2"/>
        <v>416.10021052631583</v>
      </c>
    </row>
    <row r="38" spans="2:25" x14ac:dyDescent="0.4">
      <c r="B38" s="156"/>
      <c r="C38" s="1"/>
      <c r="D38" s="1" t="s">
        <v>510</v>
      </c>
      <c r="E38" s="155"/>
      <c r="F38" s="155"/>
      <c r="G38" s="155"/>
      <c r="H38" s="155"/>
      <c r="I38" s="155"/>
      <c r="J38" s="155"/>
      <c r="K38" s="155"/>
      <c r="L38" s="155"/>
      <c r="M38" s="155"/>
      <c r="N38" s="155">
        <v>20997</v>
      </c>
      <c r="O38" s="155"/>
      <c r="P38" s="155"/>
      <c r="Q38" s="155"/>
      <c r="R38" s="155"/>
      <c r="S38" s="155"/>
      <c r="T38" s="155"/>
      <c r="U38" s="155"/>
      <c r="V38" s="155">
        <f t="shared" ref="V38:V69" si="3">T38-U38</f>
        <v>0</v>
      </c>
      <c r="W38" s="155">
        <f t="shared" ref="W38:W69" si="4">V38/95</f>
        <v>0</v>
      </c>
      <c r="Y38" s="153">
        <f t="shared" ref="Y38:Y69" si="5">U38/$Y$5</f>
        <v>0</v>
      </c>
    </row>
    <row r="39" spans="2:25" x14ac:dyDescent="0.4">
      <c r="B39" s="156"/>
      <c r="C39" s="1"/>
      <c r="D39" s="1" t="s">
        <v>621</v>
      </c>
      <c r="E39" s="155"/>
      <c r="F39" s="155"/>
      <c r="G39" s="155">
        <v>55800</v>
      </c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>
        <v>55800</v>
      </c>
      <c r="T39" s="155"/>
      <c r="U39" s="155"/>
      <c r="V39" s="155">
        <f t="shared" si="3"/>
        <v>0</v>
      </c>
      <c r="W39" s="155">
        <f t="shared" si="4"/>
        <v>0</v>
      </c>
      <c r="Y39" s="153">
        <f t="shared" si="5"/>
        <v>0</v>
      </c>
    </row>
    <row r="40" spans="2:25" x14ac:dyDescent="0.4">
      <c r="B40" s="156"/>
      <c r="C40" s="1"/>
      <c r="D40" s="1" t="s">
        <v>620</v>
      </c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>
        <v>967.34</v>
      </c>
      <c r="R40" s="155"/>
      <c r="S40" s="155"/>
      <c r="T40" s="155"/>
      <c r="U40" s="155"/>
      <c r="V40" s="155">
        <f t="shared" si="3"/>
        <v>0</v>
      </c>
      <c r="W40" s="155">
        <f t="shared" si="4"/>
        <v>0</v>
      </c>
      <c r="Y40" s="153">
        <f t="shared" si="5"/>
        <v>0</v>
      </c>
    </row>
    <row r="41" spans="2:25" x14ac:dyDescent="0.4">
      <c r="B41" s="156"/>
      <c r="C41" s="1"/>
      <c r="D41" s="1" t="s">
        <v>106</v>
      </c>
      <c r="E41" s="155">
        <v>1000</v>
      </c>
      <c r="F41" s="155">
        <v>1000</v>
      </c>
      <c r="G41" s="155">
        <v>1000</v>
      </c>
      <c r="H41" s="155">
        <v>1000</v>
      </c>
      <c r="I41" s="155">
        <v>1000</v>
      </c>
      <c r="J41" s="155">
        <v>1000</v>
      </c>
      <c r="K41" s="155">
        <v>1000</v>
      </c>
      <c r="L41" s="155">
        <v>1000</v>
      </c>
      <c r="M41" s="155">
        <v>1000</v>
      </c>
      <c r="N41" s="155">
        <v>1000</v>
      </c>
      <c r="O41" s="155">
        <v>1000</v>
      </c>
      <c r="P41" s="155">
        <v>1000</v>
      </c>
      <c r="Q41" s="155"/>
      <c r="R41" s="155"/>
      <c r="S41" s="155"/>
      <c r="T41" s="155"/>
      <c r="U41" s="155"/>
      <c r="V41" s="155">
        <f t="shared" si="3"/>
        <v>0</v>
      </c>
      <c r="W41" s="155">
        <f t="shared" si="4"/>
        <v>0</v>
      </c>
      <c r="Y41" s="153">
        <f t="shared" si="5"/>
        <v>0</v>
      </c>
    </row>
    <row r="42" spans="2:25" x14ac:dyDescent="0.4">
      <c r="B42" s="156"/>
      <c r="C42" s="1"/>
      <c r="D42" s="1" t="s">
        <v>619</v>
      </c>
      <c r="E42" s="155"/>
      <c r="F42" s="155"/>
      <c r="G42" s="155"/>
      <c r="H42" s="155"/>
      <c r="I42" s="155"/>
      <c r="J42" s="155"/>
      <c r="K42" s="155"/>
      <c r="L42" s="155"/>
      <c r="M42" s="155"/>
      <c r="N42" s="155">
        <v>22787.23</v>
      </c>
      <c r="O42" s="155"/>
      <c r="P42" s="155"/>
      <c r="Q42" s="155"/>
      <c r="R42" s="155"/>
      <c r="S42" s="155"/>
      <c r="T42" s="155"/>
      <c r="U42" s="155"/>
      <c r="V42" s="155">
        <f t="shared" si="3"/>
        <v>0</v>
      </c>
      <c r="W42" s="155">
        <f t="shared" si="4"/>
        <v>0</v>
      </c>
      <c r="Y42" s="153">
        <f t="shared" si="5"/>
        <v>0</v>
      </c>
    </row>
    <row r="43" spans="2:25" x14ac:dyDescent="0.4">
      <c r="B43" s="156"/>
      <c r="C43" s="1"/>
      <c r="D43" s="1" t="s">
        <v>316</v>
      </c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>
        <v>847.46</v>
      </c>
      <c r="V43" s="155">
        <f t="shared" si="3"/>
        <v>-847.46</v>
      </c>
      <c r="W43" s="155">
        <f t="shared" si="4"/>
        <v>-8.9206315789473685</v>
      </c>
      <c r="Y43" s="153">
        <f t="shared" si="5"/>
        <v>8.9206315789473685</v>
      </c>
    </row>
    <row r="44" spans="2:25" x14ac:dyDescent="0.4">
      <c r="B44" s="156"/>
      <c r="C44" s="1" t="s">
        <v>114</v>
      </c>
      <c r="D44" s="1" t="s">
        <v>618</v>
      </c>
      <c r="E44" s="155">
        <v>15900</v>
      </c>
      <c r="F44" s="155">
        <v>15100</v>
      </c>
      <c r="G44" s="155">
        <v>15100</v>
      </c>
      <c r="H44" s="155">
        <v>15100</v>
      </c>
      <c r="I44" s="155">
        <v>15100</v>
      </c>
      <c r="J44" s="155">
        <v>15100</v>
      </c>
      <c r="K44" s="155">
        <v>15100</v>
      </c>
      <c r="L44" s="155">
        <v>16300</v>
      </c>
      <c r="M44" s="155">
        <v>15900</v>
      </c>
      <c r="N44" s="155">
        <v>15900</v>
      </c>
      <c r="O44" s="155">
        <v>18100</v>
      </c>
      <c r="P44" s="155">
        <v>17400</v>
      </c>
      <c r="Q44" s="155">
        <v>17400</v>
      </c>
      <c r="R44" s="155">
        <v>17400</v>
      </c>
      <c r="S44" s="155">
        <v>17400</v>
      </c>
      <c r="T44" s="155">
        <v>19560</v>
      </c>
      <c r="U44" s="155">
        <v>19886</v>
      </c>
      <c r="V44" s="155">
        <f t="shared" si="3"/>
        <v>-326</v>
      </c>
      <c r="W44" s="155">
        <f t="shared" si="4"/>
        <v>-3.4315789473684211</v>
      </c>
      <c r="Y44" s="153">
        <f t="shared" si="5"/>
        <v>209.32631578947368</v>
      </c>
    </row>
    <row r="45" spans="2:25" x14ac:dyDescent="0.4">
      <c r="B45" s="156"/>
      <c r="C45" s="1" t="s">
        <v>86</v>
      </c>
      <c r="D45" s="1" t="s">
        <v>86</v>
      </c>
      <c r="E45" s="155">
        <v>37500</v>
      </c>
      <c r="F45" s="155">
        <v>37500</v>
      </c>
      <c r="G45" s="155">
        <v>37500</v>
      </c>
      <c r="H45" s="155">
        <v>37500</v>
      </c>
      <c r="I45" s="155">
        <v>37500</v>
      </c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>
        <f t="shared" si="3"/>
        <v>0</v>
      </c>
      <c r="W45" s="155">
        <f t="shared" si="4"/>
        <v>0</v>
      </c>
      <c r="Y45" s="153">
        <f t="shared" si="5"/>
        <v>0</v>
      </c>
    </row>
    <row r="46" spans="2:25" x14ac:dyDescent="0.4">
      <c r="B46" s="156"/>
      <c r="C46" s="1" t="s">
        <v>115</v>
      </c>
      <c r="D46" s="1" t="s">
        <v>617</v>
      </c>
      <c r="E46" s="155">
        <v>2044.8200000000002</v>
      </c>
      <c r="F46" s="155">
        <v>2044.8200000000002</v>
      </c>
      <c r="G46" s="155">
        <v>2044.8200000000002</v>
      </c>
      <c r="H46" s="155">
        <v>2044.8200000000002</v>
      </c>
      <c r="I46" s="155">
        <v>6762.82</v>
      </c>
      <c r="J46" s="155">
        <v>2044.8200000000002</v>
      </c>
      <c r="K46" s="155">
        <v>2044.8200000000002</v>
      </c>
      <c r="L46" s="155">
        <v>2044.8200000000002</v>
      </c>
      <c r="M46" s="155">
        <v>2339.8199999999997</v>
      </c>
      <c r="N46" s="155">
        <v>2221.8200000000002</v>
      </c>
      <c r="O46" s="155">
        <v>3493</v>
      </c>
      <c r="P46" s="155">
        <v>2221.8200000000002</v>
      </c>
      <c r="Q46" s="155">
        <v>2221.8200000000002</v>
      </c>
      <c r="R46" s="155">
        <v>3021.36</v>
      </c>
      <c r="S46" s="155">
        <v>3156.71</v>
      </c>
      <c r="T46" s="155">
        <v>2679.9</v>
      </c>
      <c r="U46" s="155">
        <v>2679.9</v>
      </c>
      <c r="V46" s="155">
        <f t="shared" si="3"/>
        <v>0</v>
      </c>
      <c r="W46" s="155">
        <f t="shared" si="4"/>
        <v>0</v>
      </c>
      <c r="Y46" s="153">
        <f t="shared" si="5"/>
        <v>28.209473684210526</v>
      </c>
    </row>
    <row r="47" spans="2:25" x14ac:dyDescent="0.4">
      <c r="B47" s="156"/>
      <c r="C47" s="1"/>
      <c r="D47" s="1" t="s">
        <v>510</v>
      </c>
      <c r="E47" s="155">
        <v>3455</v>
      </c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>
        <v>10443</v>
      </c>
      <c r="S47" s="155"/>
      <c r="T47" s="155"/>
      <c r="U47" s="155"/>
      <c r="V47" s="155">
        <f t="shared" si="3"/>
        <v>0</v>
      </c>
      <c r="W47" s="155">
        <f t="shared" si="4"/>
        <v>0</v>
      </c>
      <c r="Y47" s="153">
        <f t="shared" si="5"/>
        <v>0</v>
      </c>
    </row>
    <row r="48" spans="2:25" x14ac:dyDescent="0.4">
      <c r="B48" s="156" t="s">
        <v>616</v>
      </c>
      <c r="C48" s="156"/>
      <c r="D48" s="156"/>
      <c r="E48" s="155">
        <v>302337.02</v>
      </c>
      <c r="F48" s="155">
        <v>182434.02000000002</v>
      </c>
      <c r="G48" s="155">
        <v>223434.62</v>
      </c>
      <c r="H48" s="155">
        <v>170821.02000000002</v>
      </c>
      <c r="I48" s="155">
        <v>178538.02000000002</v>
      </c>
      <c r="J48" s="155">
        <v>135950.02000000002</v>
      </c>
      <c r="K48" s="155">
        <v>139339.02000000002</v>
      </c>
      <c r="L48" s="155">
        <v>164294.02000000002</v>
      </c>
      <c r="M48" s="155">
        <v>187621.02000000002</v>
      </c>
      <c r="N48" s="155">
        <v>184436.25000000003</v>
      </c>
      <c r="O48" s="155">
        <v>214014.74000000002</v>
      </c>
      <c r="P48" s="155">
        <v>194474.79</v>
      </c>
      <c r="Q48" s="155">
        <v>187036.01</v>
      </c>
      <c r="R48" s="155">
        <v>167738.28999999998</v>
      </c>
      <c r="S48" s="155">
        <v>262260.28000000003</v>
      </c>
      <c r="T48" s="155">
        <v>150731.16</v>
      </c>
      <c r="U48" s="155">
        <v>180645.43999999997</v>
      </c>
      <c r="V48" s="157">
        <f t="shared" si="3"/>
        <v>-29914.27999999997</v>
      </c>
      <c r="W48" s="157">
        <f t="shared" si="4"/>
        <v>-314.8871578947365</v>
      </c>
      <c r="Y48" s="153">
        <f t="shared" si="5"/>
        <v>1901.5309473684208</v>
      </c>
    </row>
    <row r="49" spans="2:25" x14ac:dyDescent="0.4">
      <c r="B49" s="156" t="s">
        <v>615</v>
      </c>
      <c r="C49" s="1" t="s">
        <v>111</v>
      </c>
      <c r="D49" s="1" t="s">
        <v>510</v>
      </c>
      <c r="E49" s="155"/>
      <c r="F49" s="155"/>
      <c r="G49" s="155"/>
      <c r="H49" s="155"/>
      <c r="I49" s="155"/>
      <c r="J49" s="155"/>
      <c r="K49" s="155"/>
      <c r="L49" s="155"/>
      <c r="M49" s="155">
        <v>4</v>
      </c>
      <c r="N49" s="155"/>
      <c r="O49" s="155"/>
      <c r="P49" s="155"/>
      <c r="Q49" s="155"/>
      <c r="R49" s="155"/>
      <c r="S49" s="155"/>
      <c r="T49" s="155"/>
      <c r="U49" s="155"/>
      <c r="V49" s="155">
        <f t="shared" si="3"/>
        <v>0</v>
      </c>
      <c r="W49" s="155">
        <f t="shared" si="4"/>
        <v>0</v>
      </c>
      <c r="Y49" s="153">
        <f t="shared" si="5"/>
        <v>0</v>
      </c>
    </row>
    <row r="50" spans="2:25" x14ac:dyDescent="0.4">
      <c r="B50" s="156"/>
      <c r="C50" s="1"/>
      <c r="D50" s="1" t="s">
        <v>614</v>
      </c>
      <c r="E50" s="155">
        <v>256800</v>
      </c>
      <c r="F50" s="155">
        <v>267200</v>
      </c>
      <c r="G50" s="155">
        <v>248000</v>
      </c>
      <c r="H50" s="155">
        <v>252400</v>
      </c>
      <c r="I50" s="155">
        <v>237080</v>
      </c>
      <c r="J50" s="155">
        <v>189600</v>
      </c>
      <c r="K50" s="155">
        <v>228800</v>
      </c>
      <c r="L50" s="155">
        <v>250200</v>
      </c>
      <c r="M50" s="155">
        <v>262000</v>
      </c>
      <c r="N50" s="155">
        <v>302876</v>
      </c>
      <c r="O50" s="155">
        <v>303800</v>
      </c>
      <c r="P50" s="155">
        <v>278000</v>
      </c>
      <c r="Q50" s="155">
        <v>297200</v>
      </c>
      <c r="R50" s="155">
        <v>299400</v>
      </c>
      <c r="S50" s="155">
        <v>318700</v>
      </c>
      <c r="T50" s="155">
        <v>286700</v>
      </c>
      <c r="U50" s="155">
        <v>325500</v>
      </c>
      <c r="V50" s="155">
        <f t="shared" si="3"/>
        <v>-38800</v>
      </c>
      <c r="W50" s="155">
        <f t="shared" si="4"/>
        <v>-408.42105263157896</v>
      </c>
      <c r="Y50" s="153">
        <f t="shared" si="5"/>
        <v>3426.3157894736842</v>
      </c>
    </row>
    <row r="51" spans="2:25" x14ac:dyDescent="0.4">
      <c r="B51" s="156"/>
      <c r="C51" s="1"/>
      <c r="D51" s="1" t="s">
        <v>613</v>
      </c>
      <c r="E51" s="155"/>
      <c r="F51" s="155"/>
      <c r="G51" s="155"/>
      <c r="H51" s="155"/>
      <c r="I51" s="155"/>
      <c r="J51" s="155"/>
      <c r="K51" s="155"/>
      <c r="L51" s="155">
        <v>54600</v>
      </c>
      <c r="M51" s="155">
        <v>39000</v>
      </c>
      <c r="N51" s="155">
        <v>90350</v>
      </c>
      <c r="O51" s="155">
        <v>92300</v>
      </c>
      <c r="P51" s="155">
        <v>111150</v>
      </c>
      <c r="Q51" s="155">
        <v>102700</v>
      </c>
      <c r="R51" s="155">
        <v>89700</v>
      </c>
      <c r="S51" s="155">
        <v>83850</v>
      </c>
      <c r="T51" s="155">
        <v>89050</v>
      </c>
      <c r="U51" s="155">
        <v>78650</v>
      </c>
      <c r="V51" s="155">
        <f t="shared" si="3"/>
        <v>10400</v>
      </c>
      <c r="W51" s="155">
        <f t="shared" si="4"/>
        <v>109.47368421052632</v>
      </c>
      <c r="Y51" s="153">
        <f t="shared" si="5"/>
        <v>827.89473684210532</v>
      </c>
    </row>
    <row r="52" spans="2:25" x14ac:dyDescent="0.4">
      <c r="B52" s="156" t="s">
        <v>612</v>
      </c>
      <c r="C52" s="156"/>
      <c r="D52" s="156"/>
      <c r="E52" s="155">
        <v>256800</v>
      </c>
      <c r="F52" s="155">
        <v>267200</v>
      </c>
      <c r="G52" s="155">
        <v>248000</v>
      </c>
      <c r="H52" s="155">
        <v>252400</v>
      </c>
      <c r="I52" s="155">
        <v>237080</v>
      </c>
      <c r="J52" s="155">
        <v>189600</v>
      </c>
      <c r="K52" s="155">
        <v>228800</v>
      </c>
      <c r="L52" s="155">
        <v>304800</v>
      </c>
      <c r="M52" s="155">
        <v>301004</v>
      </c>
      <c r="N52" s="155">
        <v>393226</v>
      </c>
      <c r="O52" s="155">
        <v>396100</v>
      </c>
      <c r="P52" s="155">
        <v>389150</v>
      </c>
      <c r="Q52" s="155">
        <v>399900</v>
      </c>
      <c r="R52" s="155">
        <v>389100</v>
      </c>
      <c r="S52" s="155">
        <v>402550</v>
      </c>
      <c r="T52" s="155">
        <v>375750</v>
      </c>
      <c r="U52" s="155">
        <v>404150</v>
      </c>
      <c r="V52" s="157">
        <f t="shared" si="3"/>
        <v>-28400</v>
      </c>
      <c r="W52" s="157">
        <f t="shared" si="4"/>
        <v>-298.94736842105266</v>
      </c>
      <c r="Y52" s="153">
        <f t="shared" si="5"/>
        <v>4254.2105263157891</v>
      </c>
    </row>
    <row r="53" spans="2:25" x14ac:dyDescent="0.4">
      <c r="B53" s="156" t="s">
        <v>611</v>
      </c>
      <c r="C53" s="1" t="s">
        <v>103</v>
      </c>
      <c r="D53" s="1" t="s">
        <v>510</v>
      </c>
      <c r="E53" s="155">
        <v>4200</v>
      </c>
      <c r="F53" s="155"/>
      <c r="G53" s="155">
        <v>39096.449999999997</v>
      </c>
      <c r="H53" s="155">
        <v>42861.25</v>
      </c>
      <c r="I53" s="155">
        <v>44593</v>
      </c>
      <c r="J53" s="155">
        <v>13596</v>
      </c>
      <c r="K53" s="155">
        <v>100</v>
      </c>
      <c r="L53" s="155">
        <v>90000</v>
      </c>
      <c r="M53" s="155">
        <v>3750</v>
      </c>
      <c r="N53" s="155">
        <v>208593</v>
      </c>
      <c r="O53" s="155">
        <v>22062</v>
      </c>
      <c r="P53" s="155">
        <v>32011</v>
      </c>
      <c r="Q53" s="155">
        <v>29246</v>
      </c>
      <c r="R53" s="155">
        <v>45039</v>
      </c>
      <c r="S53" s="155">
        <v>45037</v>
      </c>
      <c r="T53" s="155">
        <v>10135</v>
      </c>
      <c r="U53" s="155">
        <v>31508.66</v>
      </c>
      <c r="V53" s="155">
        <f t="shared" si="3"/>
        <v>-21373.66</v>
      </c>
      <c r="W53" s="155">
        <f t="shared" si="4"/>
        <v>-224.98589473684211</v>
      </c>
      <c r="Y53" s="153">
        <f t="shared" si="5"/>
        <v>331.67010526315789</v>
      </c>
    </row>
    <row r="54" spans="2:25" x14ac:dyDescent="0.4">
      <c r="B54" s="156"/>
      <c r="C54" s="1"/>
      <c r="D54" s="1" t="s">
        <v>513</v>
      </c>
      <c r="E54" s="155">
        <v>2432.6</v>
      </c>
      <c r="F54" s="155"/>
      <c r="G54" s="155">
        <v>1579.91</v>
      </c>
      <c r="H54" s="155">
        <v>9110</v>
      </c>
      <c r="I54" s="155"/>
      <c r="J54" s="155"/>
      <c r="K54" s="155"/>
      <c r="L54" s="155"/>
      <c r="M54" s="155"/>
      <c r="N54" s="155">
        <v>1899.1100000000001</v>
      </c>
      <c r="O54" s="155"/>
      <c r="P54" s="155">
        <v>6871.2900000000009</v>
      </c>
      <c r="Q54" s="155">
        <v>9267.48</v>
      </c>
      <c r="R54" s="155">
        <v>8571.7999999999993</v>
      </c>
      <c r="S54" s="155"/>
      <c r="T54" s="155">
        <v>14947.89</v>
      </c>
      <c r="U54" s="155">
        <v>1083.72</v>
      </c>
      <c r="V54" s="155">
        <f t="shared" si="3"/>
        <v>13864.17</v>
      </c>
      <c r="W54" s="155">
        <f t="shared" si="4"/>
        <v>145.93863157894737</v>
      </c>
      <c r="Y54" s="153">
        <f t="shared" si="5"/>
        <v>11.407578947368421</v>
      </c>
    </row>
    <row r="55" spans="2:25" x14ac:dyDescent="0.4">
      <c r="B55" s="156"/>
      <c r="C55" s="1"/>
      <c r="D55" s="1" t="s">
        <v>512</v>
      </c>
      <c r="E55" s="155"/>
      <c r="F55" s="155"/>
      <c r="G55" s="155">
        <v>675</v>
      </c>
      <c r="H55" s="155"/>
      <c r="I55" s="155"/>
      <c r="J55" s="155">
        <v>1150</v>
      </c>
      <c r="K55" s="155"/>
      <c r="L55" s="155"/>
      <c r="M55" s="155"/>
      <c r="N55" s="155"/>
      <c r="O55" s="155">
        <v>1177.3399999999999</v>
      </c>
      <c r="P55" s="155"/>
      <c r="Q55" s="155"/>
      <c r="R55" s="155"/>
      <c r="S55" s="155"/>
      <c r="T55" s="155"/>
      <c r="U55" s="155">
        <v>3622</v>
      </c>
      <c r="V55" s="155">
        <f t="shared" si="3"/>
        <v>-3622</v>
      </c>
      <c r="W55" s="155">
        <f t="shared" si="4"/>
        <v>-38.126315789473686</v>
      </c>
      <c r="Y55" s="153">
        <f t="shared" si="5"/>
        <v>38.126315789473686</v>
      </c>
    </row>
    <row r="56" spans="2:25" x14ac:dyDescent="0.4">
      <c r="B56" s="156"/>
      <c r="C56" s="1"/>
      <c r="D56" s="1" t="s">
        <v>575</v>
      </c>
      <c r="E56" s="155"/>
      <c r="F56" s="155">
        <v>112960</v>
      </c>
      <c r="G56" s="155">
        <v>37160</v>
      </c>
      <c r="H56" s="155"/>
      <c r="I56" s="155">
        <v>2760</v>
      </c>
      <c r="J56" s="155"/>
      <c r="K56" s="155">
        <v>3160</v>
      </c>
      <c r="L56" s="155">
        <v>5750</v>
      </c>
      <c r="M56" s="155">
        <v>1325</v>
      </c>
      <c r="N56" s="155"/>
      <c r="O56" s="155"/>
      <c r="P56" s="155"/>
      <c r="Q56" s="155"/>
      <c r="R56" s="155"/>
      <c r="S56" s="155">
        <v>2570</v>
      </c>
      <c r="T56" s="155"/>
      <c r="U56" s="155"/>
      <c r="V56" s="155">
        <f t="shared" si="3"/>
        <v>0</v>
      </c>
      <c r="W56" s="155">
        <f t="shared" si="4"/>
        <v>0</v>
      </c>
      <c r="Y56" s="153">
        <f t="shared" si="5"/>
        <v>0</v>
      </c>
    </row>
    <row r="57" spans="2:25" x14ac:dyDescent="0.4">
      <c r="B57" s="156"/>
      <c r="C57" s="1"/>
      <c r="D57" s="1" t="s">
        <v>610</v>
      </c>
      <c r="E57" s="155">
        <v>8750</v>
      </c>
      <c r="F57" s="155"/>
      <c r="G57" s="155">
        <v>3750</v>
      </c>
      <c r="H57" s="155">
        <v>2589.29</v>
      </c>
      <c r="I57" s="155"/>
      <c r="J57" s="155"/>
      <c r="K57" s="155"/>
      <c r="L57" s="155"/>
      <c r="M57" s="155"/>
      <c r="N57" s="155">
        <v>1143</v>
      </c>
      <c r="O57" s="155"/>
      <c r="P57" s="155"/>
      <c r="Q57" s="155"/>
      <c r="R57" s="155"/>
      <c r="S57" s="155"/>
      <c r="T57" s="155"/>
      <c r="U57" s="155"/>
      <c r="V57" s="155">
        <f t="shared" si="3"/>
        <v>0</v>
      </c>
      <c r="W57" s="155">
        <f t="shared" si="4"/>
        <v>0</v>
      </c>
      <c r="Y57" s="153">
        <f t="shared" si="5"/>
        <v>0</v>
      </c>
    </row>
    <row r="58" spans="2:25" x14ac:dyDescent="0.4">
      <c r="B58" s="156"/>
      <c r="C58" s="1"/>
      <c r="D58" s="1" t="s">
        <v>103</v>
      </c>
      <c r="E58" s="155">
        <v>27922</v>
      </c>
      <c r="F58" s="155">
        <v>34975</v>
      </c>
      <c r="G58" s="155">
        <v>33338</v>
      </c>
      <c r="H58" s="155">
        <v>144422</v>
      </c>
      <c r="I58" s="155">
        <v>23000</v>
      </c>
      <c r="J58" s="155">
        <v>13000</v>
      </c>
      <c r="K58" s="155">
        <v>31833</v>
      </c>
      <c r="L58" s="155">
        <v>47348</v>
      </c>
      <c r="M58" s="155">
        <v>74731</v>
      </c>
      <c r="N58" s="155">
        <v>73750</v>
      </c>
      <c r="O58" s="155">
        <v>197389.2</v>
      </c>
      <c r="P58" s="155">
        <v>11017</v>
      </c>
      <c r="Q58" s="155"/>
      <c r="R58" s="155">
        <v>269358.45</v>
      </c>
      <c r="S58" s="155">
        <v>285358.45</v>
      </c>
      <c r="T58" s="155">
        <v>122969.25</v>
      </c>
      <c r="U58" s="155">
        <v>120969.25</v>
      </c>
      <c r="V58" s="155">
        <f t="shared" si="3"/>
        <v>2000</v>
      </c>
      <c r="W58" s="155">
        <f t="shared" si="4"/>
        <v>21.05263157894737</v>
      </c>
      <c r="Y58" s="153">
        <f t="shared" si="5"/>
        <v>1273.3605263157895</v>
      </c>
    </row>
    <row r="59" spans="2:25" x14ac:dyDescent="0.4">
      <c r="B59" s="156"/>
      <c r="C59" s="1"/>
      <c r="D59" s="1" t="s">
        <v>609</v>
      </c>
      <c r="E59" s="155"/>
      <c r="F59" s="155">
        <v>29023.29</v>
      </c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>
        <f t="shared" si="3"/>
        <v>0</v>
      </c>
      <c r="W59" s="155">
        <f t="shared" si="4"/>
        <v>0</v>
      </c>
      <c r="Y59" s="153">
        <f t="shared" si="5"/>
        <v>0</v>
      </c>
    </row>
    <row r="60" spans="2:25" x14ac:dyDescent="0.4">
      <c r="B60" s="156"/>
      <c r="C60" s="1"/>
      <c r="D60" s="1" t="s">
        <v>608</v>
      </c>
      <c r="E60" s="155"/>
      <c r="F60" s="155">
        <v>10950</v>
      </c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>
        <f t="shared" si="3"/>
        <v>0</v>
      </c>
      <c r="W60" s="155">
        <f t="shared" si="4"/>
        <v>0</v>
      </c>
      <c r="Y60" s="153">
        <f t="shared" si="5"/>
        <v>0</v>
      </c>
    </row>
    <row r="61" spans="2:25" x14ac:dyDescent="0.4">
      <c r="B61" s="156"/>
      <c r="C61" s="1"/>
      <c r="D61" s="1" t="s">
        <v>607</v>
      </c>
      <c r="E61" s="155"/>
      <c r="F61" s="155"/>
      <c r="G61" s="155">
        <v>15594</v>
      </c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>
        <f t="shared" si="3"/>
        <v>0</v>
      </c>
      <c r="W61" s="155">
        <f t="shared" si="4"/>
        <v>0</v>
      </c>
      <c r="Y61" s="153">
        <f t="shared" si="5"/>
        <v>0</v>
      </c>
    </row>
    <row r="62" spans="2:25" x14ac:dyDescent="0.4">
      <c r="B62" s="156"/>
      <c r="C62" s="1"/>
      <c r="D62" s="1" t="s">
        <v>606</v>
      </c>
      <c r="E62" s="155"/>
      <c r="F62" s="155"/>
      <c r="G62" s="155"/>
      <c r="H62" s="155"/>
      <c r="I62" s="155">
        <v>28125</v>
      </c>
      <c r="J62" s="155"/>
      <c r="K62" s="155">
        <v>10932.28</v>
      </c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>
        <f t="shared" si="3"/>
        <v>0</v>
      </c>
      <c r="W62" s="155">
        <f t="shared" si="4"/>
        <v>0</v>
      </c>
      <c r="Y62" s="153">
        <f t="shared" si="5"/>
        <v>0</v>
      </c>
    </row>
    <row r="63" spans="2:25" x14ac:dyDescent="0.4">
      <c r="B63" s="156"/>
      <c r="C63" s="1"/>
      <c r="D63" s="1" t="s">
        <v>605</v>
      </c>
      <c r="E63" s="155"/>
      <c r="F63" s="155"/>
      <c r="G63" s="155"/>
      <c r="H63" s="155"/>
      <c r="I63" s="155"/>
      <c r="J63" s="155"/>
      <c r="K63" s="155"/>
      <c r="L63" s="155">
        <v>8514.75</v>
      </c>
      <c r="M63" s="155">
        <v>7019</v>
      </c>
      <c r="N63" s="155"/>
      <c r="O63" s="155">
        <v>650</v>
      </c>
      <c r="P63" s="155"/>
      <c r="Q63" s="155"/>
      <c r="R63" s="155">
        <v>1727.1799999999998</v>
      </c>
      <c r="S63" s="155"/>
      <c r="T63" s="155"/>
      <c r="U63" s="155"/>
      <c r="V63" s="155">
        <f t="shared" si="3"/>
        <v>0</v>
      </c>
      <c r="W63" s="155">
        <f t="shared" si="4"/>
        <v>0</v>
      </c>
      <c r="X63" s="153"/>
      <c r="Y63" s="153">
        <f t="shared" si="5"/>
        <v>0</v>
      </c>
    </row>
    <row r="64" spans="2:25" x14ac:dyDescent="0.4">
      <c r="B64" s="156"/>
      <c r="C64" s="1"/>
      <c r="D64" s="1" t="s">
        <v>604</v>
      </c>
      <c r="E64" s="155"/>
      <c r="F64" s="155"/>
      <c r="G64" s="155"/>
      <c r="H64" s="155"/>
      <c r="I64" s="155"/>
      <c r="J64" s="155"/>
      <c r="K64" s="155"/>
      <c r="L64" s="155">
        <v>15000</v>
      </c>
      <c r="M64" s="155"/>
      <c r="N64" s="155"/>
      <c r="O64" s="155"/>
      <c r="P64" s="155"/>
      <c r="Q64" s="155"/>
      <c r="R64" s="155"/>
      <c r="S64" s="155"/>
      <c r="T64" s="155"/>
      <c r="U64" s="155"/>
      <c r="V64" s="155">
        <f t="shared" si="3"/>
        <v>0</v>
      </c>
      <c r="W64" s="155">
        <f t="shared" si="4"/>
        <v>0</v>
      </c>
      <c r="Y64" s="153">
        <f t="shared" si="5"/>
        <v>0</v>
      </c>
    </row>
    <row r="65" spans="2:25" x14ac:dyDescent="0.4">
      <c r="B65" s="156"/>
      <c r="C65" s="1"/>
      <c r="D65" s="1" t="s">
        <v>569</v>
      </c>
      <c r="E65" s="155"/>
      <c r="F65" s="155"/>
      <c r="G65" s="155"/>
      <c r="H65" s="155"/>
      <c r="I65" s="155"/>
      <c r="J65" s="155"/>
      <c r="K65" s="155"/>
      <c r="L65" s="155"/>
      <c r="M65" s="155">
        <v>400</v>
      </c>
      <c r="N65" s="155">
        <v>800</v>
      </c>
      <c r="O65" s="155"/>
      <c r="P65" s="155"/>
      <c r="Q65" s="155"/>
      <c r="R65" s="155"/>
      <c r="S65" s="155"/>
      <c r="T65" s="155"/>
      <c r="U65" s="155"/>
      <c r="V65" s="155">
        <f t="shared" si="3"/>
        <v>0</v>
      </c>
      <c r="W65" s="155">
        <f t="shared" si="4"/>
        <v>0</v>
      </c>
      <c r="Y65" s="153">
        <f t="shared" si="5"/>
        <v>0</v>
      </c>
    </row>
    <row r="66" spans="2:25" x14ac:dyDescent="0.4">
      <c r="B66" s="156"/>
      <c r="C66" s="1"/>
      <c r="D66" s="1" t="s">
        <v>517</v>
      </c>
      <c r="E66" s="155"/>
      <c r="F66" s="155"/>
      <c r="G66" s="155"/>
      <c r="H66" s="155"/>
      <c r="I66" s="155"/>
      <c r="J66" s="155"/>
      <c r="K66" s="155"/>
      <c r="L66" s="155"/>
      <c r="M66" s="155"/>
      <c r="N66" s="155">
        <v>160</v>
      </c>
      <c r="O66" s="155"/>
      <c r="P66" s="155"/>
      <c r="Q66" s="155"/>
      <c r="R66" s="155"/>
      <c r="S66" s="155"/>
      <c r="T66" s="155"/>
      <c r="U66" s="155"/>
      <c r="V66" s="155">
        <f t="shared" si="3"/>
        <v>0</v>
      </c>
      <c r="W66" s="155">
        <f t="shared" si="4"/>
        <v>0</v>
      </c>
      <c r="Y66" s="153">
        <f t="shared" si="5"/>
        <v>0</v>
      </c>
    </row>
    <row r="67" spans="2:25" x14ac:dyDescent="0.4">
      <c r="B67" s="156"/>
      <c r="C67" s="1"/>
      <c r="D67" s="1" t="s">
        <v>603</v>
      </c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>
        <v>1091</v>
      </c>
      <c r="Q67" s="155"/>
      <c r="R67" s="155"/>
      <c r="S67" s="155"/>
      <c r="T67" s="155"/>
      <c r="U67" s="155"/>
      <c r="V67" s="155">
        <f t="shared" si="3"/>
        <v>0</v>
      </c>
      <c r="W67" s="155">
        <f t="shared" si="4"/>
        <v>0</v>
      </c>
      <c r="Y67" s="153">
        <f t="shared" si="5"/>
        <v>0</v>
      </c>
    </row>
    <row r="68" spans="2:25" x14ac:dyDescent="0.4">
      <c r="B68" s="156"/>
      <c r="C68" s="1"/>
      <c r="D68" s="1" t="s">
        <v>602</v>
      </c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>
        <v>3600</v>
      </c>
      <c r="S68" s="155">
        <v>2800</v>
      </c>
      <c r="T68" s="155">
        <v>4800</v>
      </c>
      <c r="U68" s="155">
        <v>1200</v>
      </c>
      <c r="V68" s="155">
        <f t="shared" si="3"/>
        <v>3600</v>
      </c>
      <c r="W68" s="155">
        <f t="shared" si="4"/>
        <v>37.89473684210526</v>
      </c>
      <c r="Y68" s="153">
        <f t="shared" si="5"/>
        <v>12.631578947368421</v>
      </c>
    </row>
    <row r="69" spans="2:25" x14ac:dyDescent="0.4">
      <c r="B69" s="156"/>
      <c r="C69" s="1"/>
      <c r="D69" s="1" t="s">
        <v>601</v>
      </c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>
        <v>22339</v>
      </c>
      <c r="T69" s="155">
        <v>24040</v>
      </c>
      <c r="U69" s="155">
        <v>22340</v>
      </c>
      <c r="V69" s="155">
        <f t="shared" si="3"/>
        <v>1700</v>
      </c>
      <c r="W69" s="155">
        <f t="shared" si="4"/>
        <v>17.894736842105264</v>
      </c>
      <c r="Y69" s="153">
        <f t="shared" si="5"/>
        <v>235.15789473684211</v>
      </c>
    </row>
    <row r="70" spans="2:25" x14ac:dyDescent="0.4">
      <c r="B70" s="156"/>
      <c r="C70" s="1" t="s">
        <v>108</v>
      </c>
      <c r="D70" s="1" t="s">
        <v>108</v>
      </c>
      <c r="E70" s="155">
        <v>47089</v>
      </c>
      <c r="F70" s="155">
        <v>47089</v>
      </c>
      <c r="G70" s="155">
        <v>47612</v>
      </c>
      <c r="H70" s="155">
        <v>49045</v>
      </c>
      <c r="I70" s="155">
        <v>50235</v>
      </c>
      <c r="J70" s="155">
        <v>50235</v>
      </c>
      <c r="K70" s="155">
        <v>60835</v>
      </c>
      <c r="L70" s="155">
        <v>60835</v>
      </c>
      <c r="M70" s="155">
        <v>60135</v>
      </c>
      <c r="N70" s="155">
        <v>63932</v>
      </c>
      <c r="O70" s="155">
        <v>63932</v>
      </c>
      <c r="P70" s="155">
        <v>69537</v>
      </c>
      <c r="Q70" s="155">
        <v>69537</v>
      </c>
      <c r="R70" s="155">
        <v>69537</v>
      </c>
      <c r="S70" s="155">
        <v>69537</v>
      </c>
      <c r="T70" s="155">
        <v>69537</v>
      </c>
      <c r="U70" s="155">
        <v>69537</v>
      </c>
      <c r="V70" s="155">
        <f t="shared" ref="V70:V101" si="6">T70-U70</f>
        <v>0</v>
      </c>
      <c r="W70" s="155">
        <f t="shared" ref="W70:W101" si="7">V70/95</f>
        <v>0</v>
      </c>
      <c r="Y70" s="153">
        <f t="shared" ref="Y70:Y101" si="8">U70/$Y$5</f>
        <v>731.96842105263158</v>
      </c>
    </row>
    <row r="71" spans="2:25" x14ac:dyDescent="0.4">
      <c r="B71" s="156"/>
      <c r="C71" s="1"/>
      <c r="D71" s="1" t="s">
        <v>511</v>
      </c>
      <c r="E71" s="155"/>
      <c r="F71" s="155">
        <v>39839</v>
      </c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>
        <f t="shared" si="6"/>
        <v>0</v>
      </c>
      <c r="W71" s="155">
        <f t="shared" si="7"/>
        <v>0</v>
      </c>
      <c r="Y71" s="153">
        <f t="shared" si="8"/>
        <v>0</v>
      </c>
    </row>
    <row r="72" spans="2:25" x14ac:dyDescent="0.4">
      <c r="B72" s="156"/>
      <c r="C72" s="1"/>
      <c r="D72" s="1" t="s">
        <v>600</v>
      </c>
      <c r="E72" s="155"/>
      <c r="F72" s="155"/>
      <c r="G72" s="155"/>
      <c r="H72" s="155"/>
      <c r="I72" s="155"/>
      <c r="J72" s="155"/>
      <c r="K72" s="155"/>
      <c r="L72" s="155">
        <v>9326</v>
      </c>
      <c r="M72" s="155">
        <v>8273.5</v>
      </c>
      <c r="N72" s="155"/>
      <c r="O72" s="155"/>
      <c r="P72" s="155"/>
      <c r="Q72" s="155"/>
      <c r="R72" s="155"/>
      <c r="S72" s="155"/>
      <c r="T72" s="155"/>
      <c r="U72" s="155"/>
      <c r="V72" s="155">
        <f t="shared" si="6"/>
        <v>0</v>
      </c>
      <c r="W72" s="155">
        <f t="shared" si="7"/>
        <v>0</v>
      </c>
      <c r="Y72" s="153">
        <f t="shared" si="8"/>
        <v>0</v>
      </c>
    </row>
    <row r="73" spans="2:25" x14ac:dyDescent="0.4">
      <c r="B73" s="156"/>
      <c r="C73" s="1" t="s">
        <v>599</v>
      </c>
      <c r="D73" s="1" t="s">
        <v>510</v>
      </c>
      <c r="E73" s="155"/>
      <c r="F73" s="155"/>
      <c r="G73" s="155">
        <v>95500</v>
      </c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>
        <f t="shared" si="6"/>
        <v>0</v>
      </c>
      <c r="W73" s="155">
        <f t="shared" si="7"/>
        <v>0</v>
      </c>
      <c r="Y73" s="153">
        <f t="shared" si="8"/>
        <v>0</v>
      </c>
    </row>
    <row r="74" spans="2:25" x14ac:dyDescent="0.4">
      <c r="B74" s="156"/>
      <c r="C74" s="1" t="s">
        <v>104</v>
      </c>
      <c r="D74" s="1" t="s">
        <v>510</v>
      </c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>
        <v>5000</v>
      </c>
      <c r="Q74" s="155"/>
      <c r="R74" s="155"/>
      <c r="S74" s="155"/>
      <c r="T74" s="155"/>
      <c r="U74" s="155"/>
      <c r="V74" s="155">
        <f t="shared" si="6"/>
        <v>0</v>
      </c>
      <c r="W74" s="155">
        <f t="shared" si="7"/>
        <v>0</v>
      </c>
      <c r="Y74" s="153">
        <f t="shared" si="8"/>
        <v>0</v>
      </c>
    </row>
    <row r="75" spans="2:25" x14ac:dyDescent="0.4">
      <c r="B75" s="156" t="s">
        <v>598</v>
      </c>
      <c r="C75" s="156"/>
      <c r="D75" s="156"/>
      <c r="E75" s="155">
        <v>90393.600000000006</v>
      </c>
      <c r="F75" s="155">
        <v>274836.29000000004</v>
      </c>
      <c r="G75" s="155">
        <v>274305.36</v>
      </c>
      <c r="H75" s="155">
        <v>248027.54</v>
      </c>
      <c r="I75" s="155">
        <v>148713</v>
      </c>
      <c r="J75" s="155">
        <v>77981</v>
      </c>
      <c r="K75" s="155">
        <v>106860.28</v>
      </c>
      <c r="L75" s="155">
        <v>236773.75</v>
      </c>
      <c r="M75" s="155">
        <v>155633.5</v>
      </c>
      <c r="N75" s="155">
        <v>350277.11</v>
      </c>
      <c r="O75" s="155">
        <v>285210.54000000004</v>
      </c>
      <c r="P75" s="155">
        <v>125527.29000000001</v>
      </c>
      <c r="Q75" s="155">
        <v>108050.48</v>
      </c>
      <c r="R75" s="155">
        <v>397833.43</v>
      </c>
      <c r="S75" s="155">
        <v>427641.45</v>
      </c>
      <c r="T75" s="155">
        <v>246429.14</v>
      </c>
      <c r="U75" s="155">
        <v>250260.63</v>
      </c>
      <c r="V75" s="157">
        <f t="shared" si="6"/>
        <v>-3831.4899999999907</v>
      </c>
      <c r="W75" s="157">
        <f t="shared" si="7"/>
        <v>-40.33147368421043</v>
      </c>
      <c r="Y75" s="153">
        <f t="shared" si="8"/>
        <v>2634.3224210526319</v>
      </c>
    </row>
    <row r="76" spans="2:25" x14ac:dyDescent="0.4">
      <c r="B76" s="156" t="s">
        <v>597</v>
      </c>
      <c r="C76" s="1" t="s">
        <v>14</v>
      </c>
      <c r="D76" s="1" t="s">
        <v>596</v>
      </c>
      <c r="E76" s="155">
        <v>-167235.57</v>
      </c>
      <c r="F76" s="155">
        <v>-138326.94</v>
      </c>
      <c r="G76" s="155">
        <v>-28714.170000000002</v>
      </c>
      <c r="H76" s="155">
        <v>219266.34</v>
      </c>
      <c r="I76" s="155">
        <v>83110.83</v>
      </c>
      <c r="J76" s="155">
        <v>-55995.8</v>
      </c>
      <c r="K76" s="155">
        <v>-95145.17</v>
      </c>
      <c r="L76" s="155"/>
      <c r="M76" s="155">
        <v>-256064.22999999998</v>
      </c>
      <c r="N76" s="155">
        <v>-595788.35000000009</v>
      </c>
      <c r="O76" s="155">
        <v>-362545.16</v>
      </c>
      <c r="P76" s="155">
        <v>-476463.83</v>
      </c>
      <c r="Q76" s="155">
        <v>-574648.6</v>
      </c>
      <c r="R76" s="155">
        <v>-427104.2</v>
      </c>
      <c r="S76" s="155">
        <v>-780353.77</v>
      </c>
      <c r="T76" s="155">
        <v>-384237</v>
      </c>
      <c r="U76" s="155">
        <v>-674963.79999999993</v>
      </c>
      <c r="V76" s="155">
        <f t="shared" si="6"/>
        <v>290726.79999999993</v>
      </c>
      <c r="W76" s="155">
        <f t="shared" si="7"/>
        <v>3060.2821052631571</v>
      </c>
      <c r="Y76" s="153">
        <f t="shared" si="8"/>
        <v>-7104.8821052631574</v>
      </c>
    </row>
    <row r="77" spans="2:25" x14ac:dyDescent="0.4">
      <c r="B77" s="156" t="s">
        <v>595</v>
      </c>
      <c r="C77" s="156"/>
      <c r="D77" s="156"/>
      <c r="E77" s="155">
        <v>-167235.57</v>
      </c>
      <c r="F77" s="155">
        <v>-138326.94</v>
      </c>
      <c r="G77" s="155">
        <v>-28714.170000000002</v>
      </c>
      <c r="H77" s="155">
        <v>219266.34</v>
      </c>
      <c r="I77" s="155">
        <v>83110.83</v>
      </c>
      <c r="J77" s="155">
        <v>-55995.8</v>
      </c>
      <c r="K77" s="155">
        <v>-95145.17</v>
      </c>
      <c r="L77" s="155"/>
      <c r="M77" s="155">
        <v>-256064.22999999998</v>
      </c>
      <c r="N77" s="155">
        <v>-595788.35000000009</v>
      </c>
      <c r="O77" s="155">
        <v>-362545.16</v>
      </c>
      <c r="P77" s="155">
        <v>-476463.83</v>
      </c>
      <c r="Q77" s="155">
        <v>-574648.6</v>
      </c>
      <c r="R77" s="155">
        <v>-427104.2</v>
      </c>
      <c r="S77" s="155">
        <v>-780353.77</v>
      </c>
      <c r="T77" s="155">
        <v>-384237</v>
      </c>
      <c r="U77" s="155">
        <v>-674963.79999999993</v>
      </c>
      <c r="V77" s="157">
        <f t="shared" si="6"/>
        <v>290726.79999999993</v>
      </c>
      <c r="W77" s="157">
        <f t="shared" si="7"/>
        <v>3060.2821052631571</v>
      </c>
      <c r="Y77" s="153">
        <f t="shared" si="8"/>
        <v>-7104.8821052631574</v>
      </c>
    </row>
    <row r="78" spans="2:25" s="161" customFormat="1" x14ac:dyDescent="0.4">
      <c r="B78" s="156" t="s">
        <v>594</v>
      </c>
      <c r="C78" s="1" t="s">
        <v>71</v>
      </c>
      <c r="D78" s="1" t="s">
        <v>71</v>
      </c>
      <c r="E78" s="155">
        <v>838403</v>
      </c>
      <c r="F78" s="155">
        <v>817569</v>
      </c>
      <c r="G78" s="155">
        <v>796736</v>
      </c>
      <c r="H78" s="155">
        <v>1055712</v>
      </c>
      <c r="I78" s="155">
        <v>884317</v>
      </c>
      <c r="J78" s="155">
        <v>1209843</v>
      </c>
      <c r="K78" s="155">
        <v>895074</v>
      </c>
      <c r="L78" s="155">
        <v>895074</v>
      </c>
      <c r="M78" s="155">
        <v>895074</v>
      </c>
      <c r="N78" s="155">
        <v>895074</v>
      </c>
      <c r="O78" s="155">
        <v>895074</v>
      </c>
      <c r="P78" s="155">
        <v>160000</v>
      </c>
      <c r="Q78" s="155">
        <v>895074</v>
      </c>
      <c r="R78" s="155">
        <v>895074</v>
      </c>
      <c r="S78" s="155">
        <v>895074</v>
      </c>
      <c r="T78" s="155">
        <v>886938</v>
      </c>
      <c r="U78" s="155">
        <v>886938</v>
      </c>
      <c r="V78" s="155">
        <f t="shared" si="6"/>
        <v>0</v>
      </c>
      <c r="W78" s="155">
        <f t="shared" si="7"/>
        <v>0</v>
      </c>
      <c r="Y78" s="162">
        <f t="shared" si="8"/>
        <v>9336.1894736842114</v>
      </c>
    </row>
    <row r="79" spans="2:25" s="161" customFormat="1" x14ac:dyDescent="0.4">
      <c r="B79" s="156"/>
      <c r="C79" s="1" t="s">
        <v>62</v>
      </c>
      <c r="D79" s="1" t="s">
        <v>62</v>
      </c>
      <c r="E79" s="155">
        <v>54601</v>
      </c>
      <c r="F79" s="155">
        <v>77859</v>
      </c>
      <c r="G79" s="155">
        <v>74488</v>
      </c>
      <c r="H79" s="155">
        <v>74488</v>
      </c>
      <c r="I79" s="155">
        <v>74488</v>
      </c>
      <c r="J79" s="155">
        <v>74488</v>
      </c>
      <c r="K79" s="155">
        <v>74488</v>
      </c>
      <c r="L79" s="155">
        <v>89843</v>
      </c>
      <c r="M79" s="155">
        <v>92772</v>
      </c>
      <c r="N79" s="155">
        <v>91488</v>
      </c>
      <c r="O79" s="155">
        <v>91488</v>
      </c>
      <c r="P79" s="155">
        <v>91440</v>
      </c>
      <c r="Q79" s="155">
        <v>91470</v>
      </c>
      <c r="R79" s="155">
        <v>80185</v>
      </c>
      <c r="S79" s="155">
        <v>71674</v>
      </c>
      <c r="T79" s="155">
        <v>71219</v>
      </c>
      <c r="U79" s="155">
        <v>66261</v>
      </c>
      <c r="V79" s="155">
        <f t="shared" si="6"/>
        <v>4958</v>
      </c>
      <c r="W79" s="155">
        <f t="shared" si="7"/>
        <v>52.189473684210526</v>
      </c>
      <c r="Y79" s="162">
        <f t="shared" si="8"/>
        <v>697.48421052631579</v>
      </c>
    </row>
    <row r="80" spans="2:25" s="161" customFormat="1" x14ac:dyDescent="0.4">
      <c r="B80" s="156"/>
      <c r="C80" s="1" t="s">
        <v>61</v>
      </c>
      <c r="D80" s="1" t="s">
        <v>61</v>
      </c>
      <c r="E80" s="155">
        <v>52473</v>
      </c>
      <c r="F80" s="155">
        <v>71393</v>
      </c>
      <c r="G80" s="155">
        <v>65718</v>
      </c>
      <c r="H80" s="155">
        <v>63878</v>
      </c>
      <c r="I80" s="155">
        <v>71081</v>
      </c>
      <c r="J80" s="155">
        <v>63878</v>
      </c>
      <c r="K80" s="155">
        <v>63878</v>
      </c>
      <c r="L80" s="155">
        <v>63878</v>
      </c>
      <c r="M80" s="155">
        <v>66558</v>
      </c>
      <c r="N80" s="155">
        <v>63878</v>
      </c>
      <c r="O80" s="155">
        <v>76816</v>
      </c>
      <c r="P80" s="155">
        <v>78606</v>
      </c>
      <c r="Q80" s="155">
        <v>78584</v>
      </c>
      <c r="R80" s="155">
        <v>61960</v>
      </c>
      <c r="S80" s="155">
        <v>81042</v>
      </c>
      <c r="T80" s="155">
        <v>76922</v>
      </c>
      <c r="U80" s="155">
        <v>73941</v>
      </c>
      <c r="V80" s="155">
        <f t="shared" si="6"/>
        <v>2981</v>
      </c>
      <c r="W80" s="155">
        <f t="shared" si="7"/>
        <v>31.378947368421052</v>
      </c>
      <c r="Y80" s="162">
        <f t="shared" si="8"/>
        <v>778.32631578947371</v>
      </c>
    </row>
    <row r="81" spans="2:25" s="161" customFormat="1" x14ac:dyDescent="0.4">
      <c r="B81" s="156"/>
      <c r="C81" s="1" t="s">
        <v>63</v>
      </c>
      <c r="D81" s="1" t="s">
        <v>63</v>
      </c>
      <c r="E81" s="155">
        <v>43600</v>
      </c>
      <c r="F81" s="155">
        <v>43600</v>
      </c>
      <c r="G81" s="155">
        <v>42181</v>
      </c>
      <c r="H81" s="155">
        <v>43600</v>
      </c>
      <c r="I81" s="155">
        <v>36812</v>
      </c>
      <c r="J81" s="155">
        <v>28800</v>
      </c>
      <c r="K81" s="155">
        <v>44729</v>
      </c>
      <c r="L81" s="155">
        <v>48600</v>
      </c>
      <c r="M81" s="155">
        <v>49705</v>
      </c>
      <c r="N81" s="155">
        <v>48600</v>
      </c>
      <c r="O81" s="155">
        <v>56960</v>
      </c>
      <c r="P81" s="155">
        <v>69728</v>
      </c>
      <c r="Q81" s="155">
        <v>69706</v>
      </c>
      <c r="R81" s="155">
        <v>68994</v>
      </c>
      <c r="S81" s="155">
        <v>77295</v>
      </c>
      <c r="T81" s="155">
        <v>58100</v>
      </c>
      <c r="U81" s="155">
        <v>53341</v>
      </c>
      <c r="V81" s="155">
        <f t="shared" si="6"/>
        <v>4759</v>
      </c>
      <c r="W81" s="155">
        <f t="shared" si="7"/>
        <v>50.094736842105263</v>
      </c>
      <c r="Y81" s="162">
        <f t="shared" si="8"/>
        <v>561.48421052631579</v>
      </c>
    </row>
    <row r="82" spans="2:25" x14ac:dyDescent="0.4">
      <c r="B82" s="160" t="s">
        <v>593</v>
      </c>
      <c r="C82" s="160"/>
      <c r="D82" s="160"/>
      <c r="E82" s="159">
        <v>989077</v>
      </c>
      <c r="F82" s="159">
        <v>1010421</v>
      </c>
      <c r="G82" s="159">
        <v>979123</v>
      </c>
      <c r="H82" s="159">
        <v>1237678</v>
      </c>
      <c r="I82" s="159">
        <v>1066698</v>
      </c>
      <c r="J82" s="159">
        <v>1377009</v>
      </c>
      <c r="K82" s="159">
        <v>1078169</v>
      </c>
      <c r="L82" s="159">
        <v>1097395</v>
      </c>
      <c r="M82" s="159">
        <v>1104109</v>
      </c>
      <c r="N82" s="159">
        <v>1099040</v>
      </c>
      <c r="O82" s="159">
        <v>1120338</v>
      </c>
      <c r="P82" s="159">
        <v>399774</v>
      </c>
      <c r="Q82" s="159">
        <v>1134834</v>
      </c>
      <c r="R82" s="159">
        <v>1106213</v>
      </c>
      <c r="S82" s="159">
        <v>1125085</v>
      </c>
      <c r="T82" s="159">
        <v>1093179</v>
      </c>
      <c r="U82" s="159">
        <v>1080481</v>
      </c>
      <c r="V82" s="158">
        <f t="shared" si="6"/>
        <v>12698</v>
      </c>
      <c r="W82" s="158">
        <f t="shared" si="7"/>
        <v>133.66315789473686</v>
      </c>
      <c r="Y82" s="153">
        <f t="shared" si="8"/>
        <v>11373.484210526316</v>
      </c>
    </row>
    <row r="83" spans="2:25" x14ac:dyDescent="0.4">
      <c r="B83" s="156" t="s">
        <v>592</v>
      </c>
      <c r="C83" s="1" t="s">
        <v>68</v>
      </c>
      <c r="D83" s="1" t="s">
        <v>587</v>
      </c>
      <c r="E83" s="155">
        <v>125000</v>
      </c>
      <c r="F83" s="155">
        <v>125000</v>
      </c>
      <c r="G83" s="155">
        <v>125000</v>
      </c>
      <c r="H83" s="155">
        <v>125000</v>
      </c>
      <c r="I83" s="155">
        <v>125000</v>
      </c>
      <c r="J83" s="155">
        <v>125000</v>
      </c>
      <c r="K83" s="155">
        <v>125000</v>
      </c>
      <c r="L83" s="155">
        <v>125000</v>
      </c>
      <c r="M83" s="155">
        <v>125000</v>
      </c>
      <c r="N83" s="155">
        <v>125000</v>
      </c>
      <c r="O83" s="155">
        <v>125000</v>
      </c>
      <c r="P83" s="155">
        <v>125000</v>
      </c>
      <c r="Q83" s="155">
        <v>125000</v>
      </c>
      <c r="R83" s="155">
        <v>125000</v>
      </c>
      <c r="S83" s="155">
        <v>185000</v>
      </c>
      <c r="T83" s="155">
        <v>125000</v>
      </c>
      <c r="U83" s="155">
        <v>125000</v>
      </c>
      <c r="V83" s="155">
        <f t="shared" si="6"/>
        <v>0</v>
      </c>
      <c r="W83" s="155">
        <f t="shared" si="7"/>
        <v>0</v>
      </c>
      <c r="Y83" s="153">
        <f t="shared" si="8"/>
        <v>1315.7894736842106</v>
      </c>
    </row>
    <row r="84" spans="2:25" x14ac:dyDescent="0.4">
      <c r="B84" s="156"/>
      <c r="C84" s="1" t="s">
        <v>141</v>
      </c>
      <c r="D84" s="1" t="s">
        <v>591</v>
      </c>
      <c r="E84" s="155"/>
      <c r="F84" s="155">
        <v>12420</v>
      </c>
      <c r="G84" s="155">
        <v>53658</v>
      </c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>
        <f t="shared" si="6"/>
        <v>0</v>
      </c>
      <c r="W84" s="155">
        <f t="shared" si="7"/>
        <v>0</v>
      </c>
      <c r="Y84" s="153">
        <f t="shared" si="8"/>
        <v>0</v>
      </c>
    </row>
    <row r="85" spans="2:25" x14ac:dyDescent="0.4">
      <c r="B85" s="156"/>
      <c r="C85" s="1"/>
      <c r="D85" s="1" t="s">
        <v>510</v>
      </c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>
        <v>11172</v>
      </c>
      <c r="T85" s="155"/>
      <c r="U85" s="155"/>
      <c r="V85" s="155">
        <f t="shared" si="6"/>
        <v>0</v>
      </c>
      <c r="W85" s="155">
        <f t="shared" si="7"/>
        <v>0</v>
      </c>
      <c r="Y85" s="153">
        <f t="shared" si="8"/>
        <v>0</v>
      </c>
    </row>
    <row r="86" spans="2:25" x14ac:dyDescent="0.4">
      <c r="B86" s="156"/>
      <c r="C86" s="1"/>
      <c r="D86" s="1" t="s">
        <v>141</v>
      </c>
      <c r="E86" s="155">
        <v>210148</v>
      </c>
      <c r="F86" s="155">
        <v>414284</v>
      </c>
      <c r="G86" s="155">
        <v>1019968</v>
      </c>
      <c r="H86" s="155"/>
      <c r="I86" s="155"/>
      <c r="J86" s="155">
        <v>51954</v>
      </c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>
        <f t="shared" si="6"/>
        <v>0</v>
      </c>
      <c r="W86" s="155">
        <f t="shared" si="7"/>
        <v>0</v>
      </c>
      <c r="Y86" s="153">
        <f t="shared" si="8"/>
        <v>0</v>
      </c>
    </row>
    <row r="87" spans="2:25" x14ac:dyDescent="0.4">
      <c r="B87" s="156"/>
      <c r="C87" s="1" t="s">
        <v>590</v>
      </c>
      <c r="D87" s="1" t="s">
        <v>329</v>
      </c>
      <c r="E87" s="155"/>
      <c r="F87" s="155">
        <v>100000</v>
      </c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>
        <f t="shared" si="6"/>
        <v>0</v>
      </c>
      <c r="W87" s="155">
        <f t="shared" si="7"/>
        <v>0</v>
      </c>
      <c r="Y87" s="153">
        <f t="shared" si="8"/>
        <v>0</v>
      </c>
    </row>
    <row r="88" spans="2:25" x14ac:dyDescent="0.4">
      <c r="B88" s="156"/>
      <c r="C88" s="1"/>
      <c r="D88" s="1" t="s">
        <v>518</v>
      </c>
      <c r="E88" s="155"/>
      <c r="F88" s="155"/>
      <c r="G88" s="155"/>
      <c r="H88" s="155"/>
      <c r="I88" s="155">
        <v>60450</v>
      </c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>
        <f t="shared" si="6"/>
        <v>0</v>
      </c>
      <c r="W88" s="155">
        <f t="shared" si="7"/>
        <v>0</v>
      </c>
      <c r="Y88" s="153">
        <f t="shared" si="8"/>
        <v>0</v>
      </c>
    </row>
    <row r="89" spans="2:25" x14ac:dyDescent="0.4">
      <c r="B89" s="156"/>
      <c r="C89" s="1"/>
      <c r="D89" s="1" t="s">
        <v>589</v>
      </c>
      <c r="E89" s="155"/>
      <c r="F89" s="155"/>
      <c r="G89" s="155"/>
      <c r="H89" s="155"/>
      <c r="I89" s="155"/>
      <c r="J89" s="155">
        <v>131000</v>
      </c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>
        <f t="shared" si="6"/>
        <v>0</v>
      </c>
      <c r="W89" s="155">
        <f t="shared" si="7"/>
        <v>0</v>
      </c>
      <c r="Y89" s="153">
        <f t="shared" si="8"/>
        <v>0</v>
      </c>
    </row>
    <row r="90" spans="2:25" x14ac:dyDescent="0.4">
      <c r="B90" s="156"/>
      <c r="C90" s="1" t="s">
        <v>66</v>
      </c>
      <c r="D90" s="1" t="s">
        <v>526</v>
      </c>
      <c r="E90" s="155"/>
      <c r="F90" s="155"/>
      <c r="G90" s="155"/>
      <c r="H90" s="155"/>
      <c r="I90" s="155"/>
      <c r="J90" s="155">
        <v>165000</v>
      </c>
      <c r="K90" s="155">
        <v>30000</v>
      </c>
      <c r="L90" s="155"/>
      <c r="M90" s="155"/>
      <c r="N90" s="155"/>
      <c r="O90" s="155"/>
      <c r="P90" s="155">
        <v>6000</v>
      </c>
      <c r="Q90" s="155">
        <v>5000</v>
      </c>
      <c r="R90" s="155"/>
      <c r="S90" s="155"/>
      <c r="T90" s="155"/>
      <c r="U90" s="155"/>
      <c r="V90" s="155">
        <f t="shared" si="6"/>
        <v>0</v>
      </c>
      <c r="W90" s="155">
        <f t="shared" si="7"/>
        <v>0</v>
      </c>
      <c r="Y90" s="153">
        <f t="shared" si="8"/>
        <v>0</v>
      </c>
    </row>
    <row r="91" spans="2:25" x14ac:dyDescent="0.4">
      <c r="B91" s="156"/>
      <c r="C91" s="1" t="s">
        <v>588</v>
      </c>
      <c r="D91" s="1" t="s">
        <v>587</v>
      </c>
      <c r="E91" s="155"/>
      <c r="F91" s="155"/>
      <c r="G91" s="155"/>
      <c r="H91" s="155"/>
      <c r="I91" s="155"/>
      <c r="J91" s="155"/>
      <c r="K91" s="155">
        <v>300</v>
      </c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>
        <f t="shared" si="6"/>
        <v>0</v>
      </c>
      <c r="W91" s="155">
        <f t="shared" si="7"/>
        <v>0</v>
      </c>
      <c r="Y91" s="153">
        <f t="shared" si="8"/>
        <v>0</v>
      </c>
    </row>
    <row r="92" spans="2:25" x14ac:dyDescent="0.4">
      <c r="B92" s="156" t="s">
        <v>586</v>
      </c>
      <c r="C92" s="156"/>
      <c r="D92" s="156"/>
      <c r="E92" s="155">
        <v>335148</v>
      </c>
      <c r="F92" s="155">
        <v>651704</v>
      </c>
      <c r="G92" s="155">
        <v>1198626</v>
      </c>
      <c r="H92" s="155">
        <v>125000</v>
      </c>
      <c r="I92" s="155">
        <v>185450</v>
      </c>
      <c r="J92" s="155">
        <v>472954</v>
      </c>
      <c r="K92" s="155">
        <v>155300</v>
      </c>
      <c r="L92" s="155">
        <v>125000</v>
      </c>
      <c r="M92" s="155">
        <v>125000</v>
      </c>
      <c r="N92" s="155">
        <v>125000</v>
      </c>
      <c r="O92" s="155">
        <v>125000</v>
      </c>
      <c r="P92" s="155">
        <v>131000</v>
      </c>
      <c r="Q92" s="155">
        <v>130000</v>
      </c>
      <c r="R92" s="155">
        <v>125000</v>
      </c>
      <c r="S92" s="155">
        <v>196172</v>
      </c>
      <c r="T92" s="155">
        <v>125000</v>
      </c>
      <c r="U92" s="155">
        <v>125000</v>
      </c>
      <c r="V92" s="157">
        <f t="shared" si="6"/>
        <v>0</v>
      </c>
      <c r="W92" s="157">
        <f t="shared" si="7"/>
        <v>0</v>
      </c>
      <c r="Y92" s="153">
        <f t="shared" si="8"/>
        <v>1315.7894736842106</v>
      </c>
    </row>
    <row r="93" spans="2:25" x14ac:dyDescent="0.4">
      <c r="B93" s="156" t="s">
        <v>585</v>
      </c>
      <c r="C93" s="1" t="s">
        <v>78</v>
      </c>
      <c r="D93" s="1" t="s">
        <v>78</v>
      </c>
      <c r="E93" s="155">
        <v>106743</v>
      </c>
      <c r="F93" s="155">
        <v>143864</v>
      </c>
      <c r="G93" s="155">
        <v>123335</v>
      </c>
      <c r="H93" s="155">
        <v>135405</v>
      </c>
      <c r="I93" s="155">
        <v>131899</v>
      </c>
      <c r="J93" s="155">
        <v>19867</v>
      </c>
      <c r="K93" s="155">
        <v>19867</v>
      </c>
      <c r="L93" s="155">
        <v>125076</v>
      </c>
      <c r="M93" s="155">
        <v>112295</v>
      </c>
      <c r="N93" s="155">
        <v>130598</v>
      </c>
      <c r="O93" s="155">
        <v>118522</v>
      </c>
      <c r="P93" s="155">
        <v>106479</v>
      </c>
      <c r="Q93" s="155">
        <v>106145</v>
      </c>
      <c r="R93" s="155">
        <v>93372</v>
      </c>
      <c r="S93" s="155">
        <v>116553</v>
      </c>
      <c r="T93" s="155">
        <v>114721</v>
      </c>
      <c r="U93" s="155">
        <v>104048</v>
      </c>
      <c r="V93" s="155">
        <f t="shared" si="6"/>
        <v>10673</v>
      </c>
      <c r="W93" s="155">
        <f t="shared" si="7"/>
        <v>112.34736842105264</v>
      </c>
      <c r="Y93" s="153">
        <f t="shared" si="8"/>
        <v>1095.2421052631578</v>
      </c>
    </row>
    <row r="94" spans="2:25" x14ac:dyDescent="0.4">
      <c r="B94" s="156"/>
      <c r="C94" s="1" t="s">
        <v>584</v>
      </c>
      <c r="D94" s="1" t="s">
        <v>564</v>
      </c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>
        <v>10</v>
      </c>
      <c r="P94" s="155"/>
      <c r="Q94" s="155"/>
      <c r="R94" s="155"/>
      <c r="S94" s="155"/>
      <c r="T94" s="155"/>
      <c r="U94" s="155"/>
      <c r="V94" s="155">
        <f t="shared" si="6"/>
        <v>0</v>
      </c>
      <c r="W94" s="155">
        <f t="shared" si="7"/>
        <v>0</v>
      </c>
      <c r="Y94" s="153">
        <f t="shared" si="8"/>
        <v>0</v>
      </c>
    </row>
    <row r="95" spans="2:25" x14ac:dyDescent="0.4">
      <c r="B95" s="156" t="s">
        <v>583</v>
      </c>
      <c r="C95" s="156"/>
      <c r="D95" s="156"/>
      <c r="E95" s="155">
        <v>106743</v>
      </c>
      <c r="F95" s="155">
        <v>143864</v>
      </c>
      <c r="G95" s="155">
        <v>123335</v>
      </c>
      <c r="H95" s="155">
        <v>135405</v>
      </c>
      <c r="I95" s="155">
        <v>131899</v>
      </c>
      <c r="J95" s="155">
        <v>19867</v>
      </c>
      <c r="K95" s="155">
        <v>19867</v>
      </c>
      <c r="L95" s="155">
        <v>125076</v>
      </c>
      <c r="M95" s="155">
        <v>112295</v>
      </c>
      <c r="N95" s="155">
        <v>130598</v>
      </c>
      <c r="O95" s="155">
        <v>118532</v>
      </c>
      <c r="P95" s="155">
        <v>106479</v>
      </c>
      <c r="Q95" s="155">
        <v>106145</v>
      </c>
      <c r="R95" s="155">
        <v>93372</v>
      </c>
      <c r="S95" s="155">
        <v>116553</v>
      </c>
      <c r="T95" s="155">
        <v>114721</v>
      </c>
      <c r="U95" s="155">
        <v>104048</v>
      </c>
      <c r="V95" s="157">
        <f t="shared" si="6"/>
        <v>10673</v>
      </c>
      <c r="W95" s="157">
        <f t="shared" si="7"/>
        <v>112.34736842105264</v>
      </c>
      <c r="Y95" s="153">
        <f t="shared" si="8"/>
        <v>1095.2421052631578</v>
      </c>
    </row>
    <row r="96" spans="2:25" x14ac:dyDescent="0.4">
      <c r="B96" s="156" t="s">
        <v>582</v>
      </c>
      <c r="C96" s="1" t="s">
        <v>135</v>
      </c>
      <c r="D96" s="1" t="s">
        <v>135</v>
      </c>
      <c r="E96" s="155">
        <v>296342</v>
      </c>
      <c r="F96" s="155">
        <v>305791</v>
      </c>
      <c r="G96" s="155">
        <v>317357</v>
      </c>
      <c r="H96" s="155">
        <v>314981</v>
      </c>
      <c r="I96" s="155">
        <v>338119</v>
      </c>
      <c r="J96" s="155">
        <v>338763</v>
      </c>
      <c r="K96" s="155">
        <v>356938</v>
      </c>
      <c r="L96" s="155">
        <v>390653</v>
      </c>
      <c r="M96" s="155">
        <v>418465</v>
      </c>
      <c r="N96" s="155">
        <v>430132</v>
      </c>
      <c r="O96" s="155">
        <v>435979</v>
      </c>
      <c r="P96" s="155">
        <v>479345</v>
      </c>
      <c r="Q96" s="155">
        <v>467242</v>
      </c>
      <c r="R96" s="155">
        <v>426537</v>
      </c>
      <c r="S96" s="155">
        <v>458363</v>
      </c>
      <c r="T96" s="155">
        <v>458087</v>
      </c>
      <c r="U96" s="155">
        <v>450986.5</v>
      </c>
      <c r="V96" s="155">
        <f t="shared" si="6"/>
        <v>7100.5</v>
      </c>
      <c r="W96" s="155">
        <f t="shared" si="7"/>
        <v>74.742105263157896</v>
      </c>
      <c r="Y96" s="153">
        <f t="shared" si="8"/>
        <v>4747.226315789474</v>
      </c>
    </row>
    <row r="97" spans="2:26" x14ac:dyDescent="0.4">
      <c r="B97" s="156"/>
      <c r="C97" s="1" t="s">
        <v>137</v>
      </c>
      <c r="D97" s="1" t="s">
        <v>137</v>
      </c>
      <c r="E97" s="155">
        <v>296342</v>
      </c>
      <c r="F97" s="155">
        <v>305791</v>
      </c>
      <c r="G97" s="155">
        <v>317357</v>
      </c>
      <c r="H97" s="155">
        <v>314981</v>
      </c>
      <c r="I97" s="155">
        <v>338119</v>
      </c>
      <c r="J97" s="155">
        <v>338763</v>
      </c>
      <c r="K97" s="155">
        <v>356938</v>
      </c>
      <c r="L97" s="155">
        <v>390653</v>
      </c>
      <c r="M97" s="155">
        <v>418465</v>
      </c>
      <c r="N97" s="155">
        <v>430132</v>
      </c>
      <c r="O97" s="155">
        <v>435979</v>
      </c>
      <c r="P97" s="155">
        <v>479345</v>
      </c>
      <c r="Q97" s="155">
        <v>467242</v>
      </c>
      <c r="R97" s="155">
        <v>426537</v>
      </c>
      <c r="S97" s="155">
        <v>458363</v>
      </c>
      <c r="T97" s="155">
        <v>458087</v>
      </c>
      <c r="U97" s="155">
        <v>450986.5</v>
      </c>
      <c r="V97" s="155">
        <f t="shared" si="6"/>
        <v>7100.5</v>
      </c>
      <c r="W97" s="155">
        <f t="shared" si="7"/>
        <v>74.742105263157896</v>
      </c>
      <c r="Y97" s="153">
        <f t="shared" si="8"/>
        <v>4747.226315789474</v>
      </c>
    </row>
    <row r="98" spans="2:26" x14ac:dyDescent="0.4">
      <c r="B98" s="156"/>
      <c r="C98" s="1" t="s">
        <v>100</v>
      </c>
      <c r="D98" s="1" t="s">
        <v>100</v>
      </c>
      <c r="E98" s="155">
        <v>200794</v>
      </c>
      <c r="F98" s="155">
        <v>200730</v>
      </c>
      <c r="G98" s="155">
        <v>210292</v>
      </c>
      <c r="H98" s="155">
        <v>216462</v>
      </c>
      <c r="I98" s="155">
        <v>228978</v>
      </c>
      <c r="J98" s="155">
        <v>229828</v>
      </c>
      <c r="K98" s="155">
        <v>297205</v>
      </c>
      <c r="L98" s="155">
        <v>273626</v>
      </c>
      <c r="M98" s="155">
        <v>277256</v>
      </c>
      <c r="N98" s="155">
        <v>289438</v>
      </c>
      <c r="O98" s="155">
        <v>264362</v>
      </c>
      <c r="P98" s="155">
        <v>293709</v>
      </c>
      <c r="Q98" s="155">
        <v>296255</v>
      </c>
      <c r="R98" s="155">
        <v>267000</v>
      </c>
      <c r="S98" s="155">
        <v>282458</v>
      </c>
      <c r="T98" s="155">
        <v>271457</v>
      </c>
      <c r="U98" s="155">
        <v>268211</v>
      </c>
      <c r="V98" s="155">
        <f t="shared" si="6"/>
        <v>3246</v>
      </c>
      <c r="W98" s="155">
        <f t="shared" si="7"/>
        <v>34.168421052631579</v>
      </c>
      <c r="Y98" s="153">
        <f t="shared" si="8"/>
        <v>2823.2736842105264</v>
      </c>
      <c r="Z98" s="153">
        <f>Y96+Y97+Y99</f>
        <v>10092.747368421053</v>
      </c>
    </row>
    <row r="99" spans="2:26" x14ac:dyDescent="0.4">
      <c r="B99" s="156"/>
      <c r="C99" s="1" t="s">
        <v>581</v>
      </c>
      <c r="D99" s="1" t="s">
        <v>581</v>
      </c>
      <c r="E99" s="155">
        <v>40200</v>
      </c>
      <c r="F99" s="155">
        <v>41600</v>
      </c>
      <c r="G99" s="155">
        <v>53330</v>
      </c>
      <c r="H99" s="155">
        <v>45400</v>
      </c>
      <c r="I99" s="155">
        <v>48785</v>
      </c>
      <c r="J99" s="155">
        <v>50500</v>
      </c>
      <c r="K99" s="155">
        <v>51405</v>
      </c>
      <c r="L99" s="155">
        <v>56800</v>
      </c>
      <c r="M99" s="155">
        <v>101380</v>
      </c>
      <c r="N99" s="155">
        <v>57910</v>
      </c>
      <c r="O99" s="155">
        <v>59440</v>
      </c>
      <c r="P99" s="155">
        <v>72328</v>
      </c>
      <c r="Q99" s="155">
        <v>68808</v>
      </c>
      <c r="R99" s="155">
        <v>59223</v>
      </c>
      <c r="S99" s="155">
        <v>58813</v>
      </c>
      <c r="T99" s="155">
        <v>56163</v>
      </c>
      <c r="U99" s="155">
        <v>56838</v>
      </c>
      <c r="V99" s="155">
        <f t="shared" si="6"/>
        <v>-675</v>
      </c>
      <c r="W99" s="155">
        <f t="shared" si="7"/>
        <v>-7.1052631578947372</v>
      </c>
      <c r="Y99" s="153">
        <f t="shared" si="8"/>
        <v>598.29473684210529</v>
      </c>
    </row>
    <row r="100" spans="2:26" x14ac:dyDescent="0.4">
      <c r="B100" s="156"/>
      <c r="C100" s="1" t="s">
        <v>33</v>
      </c>
      <c r="D100" s="1" t="s">
        <v>580</v>
      </c>
      <c r="E100" s="155"/>
      <c r="F100" s="155"/>
      <c r="G100" s="155"/>
      <c r="H100" s="155"/>
      <c r="I100" s="155"/>
      <c r="J100" s="155"/>
      <c r="K100" s="155"/>
      <c r="L100" s="155"/>
      <c r="M100" s="155"/>
      <c r="N100" s="155">
        <v>1186.44</v>
      </c>
      <c r="O100" s="155"/>
      <c r="P100" s="155"/>
      <c r="Q100" s="155"/>
      <c r="R100" s="155"/>
      <c r="S100" s="155"/>
      <c r="T100" s="155"/>
      <c r="U100" s="155"/>
      <c r="V100" s="155">
        <f t="shared" si="6"/>
        <v>0</v>
      </c>
      <c r="W100" s="155">
        <f t="shared" si="7"/>
        <v>0</v>
      </c>
      <c r="Y100" s="153">
        <f t="shared" si="8"/>
        <v>0</v>
      </c>
    </row>
    <row r="101" spans="2:26" x14ac:dyDescent="0.4">
      <c r="B101" s="156"/>
      <c r="C101" s="1"/>
      <c r="D101" s="1" t="s">
        <v>579</v>
      </c>
      <c r="E101" s="155"/>
      <c r="F101" s="155"/>
      <c r="G101" s="155"/>
      <c r="H101" s="155"/>
      <c r="I101" s="155">
        <v>2000</v>
      </c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>
        <f t="shared" si="6"/>
        <v>0</v>
      </c>
      <c r="W101" s="155">
        <f t="shared" si="7"/>
        <v>0</v>
      </c>
      <c r="Y101" s="153">
        <f t="shared" si="8"/>
        <v>0</v>
      </c>
    </row>
    <row r="102" spans="2:26" x14ac:dyDescent="0.4">
      <c r="B102" s="156"/>
      <c r="C102" s="1"/>
      <c r="D102" s="1" t="s">
        <v>510</v>
      </c>
      <c r="E102" s="155">
        <v>10012</v>
      </c>
      <c r="F102" s="155"/>
      <c r="G102" s="155"/>
      <c r="H102" s="155"/>
      <c r="I102" s="155"/>
      <c r="J102" s="155"/>
      <c r="K102" s="155">
        <v>20273</v>
      </c>
      <c r="L102" s="155"/>
      <c r="M102" s="155"/>
      <c r="N102" s="155">
        <v>3400</v>
      </c>
      <c r="O102" s="155">
        <v>1350</v>
      </c>
      <c r="P102" s="155">
        <v>4350</v>
      </c>
      <c r="Q102" s="155">
        <v>7168</v>
      </c>
      <c r="R102" s="155">
        <v>8011</v>
      </c>
      <c r="S102" s="155">
        <v>44118</v>
      </c>
      <c r="T102" s="155">
        <v>19516.5</v>
      </c>
      <c r="U102" s="155"/>
      <c r="V102" s="155">
        <f t="shared" ref="V102:V133" si="9">T102-U102</f>
        <v>19516.5</v>
      </c>
      <c r="W102" s="155">
        <f t="shared" ref="W102:W133" si="10">V102/95</f>
        <v>205.43684210526317</v>
      </c>
      <c r="Y102" s="153">
        <f t="shared" ref="Y102:Y133" si="11">U102/$Y$5</f>
        <v>0</v>
      </c>
    </row>
    <row r="103" spans="2:26" x14ac:dyDescent="0.4">
      <c r="B103" s="156"/>
      <c r="C103" s="1"/>
      <c r="D103" s="1" t="s">
        <v>513</v>
      </c>
      <c r="E103" s="155"/>
      <c r="F103" s="155"/>
      <c r="G103" s="155"/>
      <c r="H103" s="155"/>
      <c r="I103" s="155"/>
      <c r="J103" s="155"/>
      <c r="K103" s="155">
        <v>603</v>
      </c>
      <c r="L103" s="155"/>
      <c r="M103" s="155"/>
      <c r="N103" s="155"/>
      <c r="O103" s="155"/>
      <c r="P103" s="155">
        <v>1504</v>
      </c>
      <c r="Q103" s="155">
        <v>8667</v>
      </c>
      <c r="R103" s="155"/>
      <c r="S103" s="155"/>
      <c r="T103" s="155"/>
      <c r="U103" s="155"/>
      <c r="V103" s="155">
        <f t="shared" si="9"/>
        <v>0</v>
      </c>
      <c r="W103" s="155">
        <f t="shared" si="10"/>
        <v>0</v>
      </c>
      <c r="Y103" s="153">
        <f t="shared" si="11"/>
        <v>0</v>
      </c>
    </row>
    <row r="104" spans="2:26" x14ac:dyDescent="0.4">
      <c r="B104" s="156"/>
      <c r="C104" s="1"/>
      <c r="D104" s="1" t="s">
        <v>512</v>
      </c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>
        <v>25245.71</v>
      </c>
      <c r="U104" s="155"/>
      <c r="V104" s="155">
        <f t="shared" si="9"/>
        <v>25245.71</v>
      </c>
      <c r="W104" s="155">
        <f t="shared" si="10"/>
        <v>265.74431578947366</v>
      </c>
      <c r="Y104" s="153">
        <f t="shared" si="11"/>
        <v>0</v>
      </c>
    </row>
    <row r="105" spans="2:26" x14ac:dyDescent="0.4">
      <c r="B105" s="156"/>
      <c r="C105" s="1"/>
      <c r="D105" s="1" t="s">
        <v>578</v>
      </c>
      <c r="E105" s="155"/>
      <c r="F105" s="155"/>
      <c r="G105" s="155"/>
      <c r="H105" s="155"/>
      <c r="I105" s="155">
        <v>11370</v>
      </c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>
        <f t="shared" si="9"/>
        <v>0</v>
      </c>
      <c r="W105" s="155">
        <f t="shared" si="10"/>
        <v>0</v>
      </c>
      <c r="Y105" s="153">
        <f t="shared" si="11"/>
        <v>0</v>
      </c>
    </row>
    <row r="106" spans="2:26" x14ac:dyDescent="0.4">
      <c r="B106" s="156"/>
      <c r="C106" s="1"/>
      <c r="D106" s="1" t="s">
        <v>577</v>
      </c>
      <c r="E106" s="155">
        <v>21735.5</v>
      </c>
      <c r="F106" s="155">
        <v>14588.5</v>
      </c>
      <c r="G106" s="155">
        <v>18055.5</v>
      </c>
      <c r="H106" s="155">
        <v>15484</v>
      </c>
      <c r="I106" s="155">
        <v>16498.5</v>
      </c>
      <c r="J106" s="155">
        <v>19445.5</v>
      </c>
      <c r="K106" s="155">
        <v>15465</v>
      </c>
      <c r="L106" s="155">
        <v>23548.5</v>
      </c>
      <c r="M106" s="155">
        <v>22524</v>
      </c>
      <c r="N106" s="155">
        <v>21835</v>
      </c>
      <c r="O106" s="155">
        <v>26382</v>
      </c>
      <c r="P106" s="155">
        <v>16052</v>
      </c>
      <c r="Q106" s="155">
        <v>15599.5</v>
      </c>
      <c r="R106" s="155">
        <v>14716.5</v>
      </c>
      <c r="S106" s="155">
        <v>21443.5</v>
      </c>
      <c r="T106" s="155">
        <v>18622</v>
      </c>
      <c r="U106" s="155">
        <v>18919</v>
      </c>
      <c r="V106" s="155">
        <f t="shared" si="9"/>
        <v>-297</v>
      </c>
      <c r="W106" s="155">
        <f t="shared" si="10"/>
        <v>-3.1263157894736842</v>
      </c>
      <c r="Y106" s="153">
        <f t="shared" si="11"/>
        <v>199.14736842105262</v>
      </c>
    </row>
    <row r="107" spans="2:26" x14ac:dyDescent="0.4">
      <c r="B107" s="156"/>
      <c r="C107" s="1"/>
      <c r="D107" s="1" t="s">
        <v>576</v>
      </c>
      <c r="E107" s="155"/>
      <c r="F107" s="155"/>
      <c r="G107" s="155">
        <v>295.76</v>
      </c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>
        <f t="shared" si="9"/>
        <v>0</v>
      </c>
      <c r="W107" s="155">
        <f t="shared" si="10"/>
        <v>0</v>
      </c>
      <c r="Y107" s="153">
        <f t="shared" si="11"/>
        <v>0</v>
      </c>
    </row>
    <row r="108" spans="2:26" x14ac:dyDescent="0.4">
      <c r="B108" s="156"/>
      <c r="C108" s="1"/>
      <c r="D108" s="1" t="s">
        <v>575</v>
      </c>
      <c r="E108" s="155"/>
      <c r="F108" s="155"/>
      <c r="G108" s="155"/>
      <c r="H108" s="155"/>
      <c r="I108" s="155"/>
      <c r="J108" s="155">
        <v>59830</v>
      </c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>
        <f t="shared" si="9"/>
        <v>0</v>
      </c>
      <c r="W108" s="155">
        <f t="shared" si="10"/>
        <v>0</v>
      </c>
      <c r="Y108" s="153">
        <f t="shared" si="11"/>
        <v>0</v>
      </c>
    </row>
    <row r="109" spans="2:26" x14ac:dyDescent="0.4">
      <c r="B109" s="156"/>
      <c r="C109" s="1"/>
      <c r="D109" s="1" t="s">
        <v>574</v>
      </c>
      <c r="E109" s="155"/>
      <c r="F109" s="155"/>
      <c r="G109" s="155"/>
      <c r="H109" s="155"/>
      <c r="I109" s="155"/>
      <c r="J109" s="155"/>
      <c r="K109" s="155"/>
      <c r="L109" s="155"/>
      <c r="M109" s="155">
        <v>38677.19</v>
      </c>
      <c r="N109" s="155"/>
      <c r="O109" s="155">
        <v>4500</v>
      </c>
      <c r="P109" s="155">
        <v>23805.94</v>
      </c>
      <c r="Q109" s="155"/>
      <c r="R109" s="155"/>
      <c r="S109" s="155"/>
      <c r="T109" s="155"/>
      <c r="U109" s="155"/>
      <c r="V109" s="155">
        <f t="shared" si="9"/>
        <v>0</v>
      </c>
      <c r="W109" s="155">
        <f t="shared" si="10"/>
        <v>0</v>
      </c>
      <c r="Y109" s="153">
        <f t="shared" si="11"/>
        <v>0</v>
      </c>
    </row>
    <row r="110" spans="2:26" x14ac:dyDescent="0.4">
      <c r="B110" s="156"/>
      <c r="C110" s="1"/>
      <c r="D110" s="1" t="s">
        <v>33</v>
      </c>
      <c r="E110" s="155">
        <v>7100</v>
      </c>
      <c r="F110" s="155">
        <v>7260</v>
      </c>
      <c r="G110" s="155">
        <v>5608</v>
      </c>
      <c r="H110" s="155">
        <v>10230</v>
      </c>
      <c r="I110" s="155">
        <v>8817</v>
      </c>
      <c r="J110" s="155">
        <v>27257</v>
      </c>
      <c r="K110" s="155">
        <v>14000</v>
      </c>
      <c r="L110" s="155">
        <v>4430</v>
      </c>
      <c r="M110" s="155">
        <v>3200</v>
      </c>
      <c r="N110" s="155">
        <v>12000</v>
      </c>
      <c r="O110" s="155">
        <v>12000</v>
      </c>
      <c r="P110" s="155">
        <v>10051</v>
      </c>
      <c r="Q110" s="155"/>
      <c r="R110" s="155"/>
      <c r="S110" s="155">
        <v>4000</v>
      </c>
      <c r="T110" s="155"/>
      <c r="U110" s="155">
        <v>4000</v>
      </c>
      <c r="V110" s="155">
        <f t="shared" si="9"/>
        <v>-4000</v>
      </c>
      <c r="W110" s="155">
        <f t="shared" si="10"/>
        <v>-42.10526315789474</v>
      </c>
      <c r="Y110" s="153">
        <f t="shared" si="11"/>
        <v>42.10526315789474</v>
      </c>
    </row>
    <row r="111" spans="2:26" x14ac:dyDescent="0.4">
      <c r="B111" s="156"/>
      <c r="C111" s="1"/>
      <c r="D111" s="1" t="s">
        <v>573</v>
      </c>
      <c r="E111" s="155"/>
      <c r="F111" s="155"/>
      <c r="G111" s="155">
        <v>422.88</v>
      </c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>
        <f t="shared" si="9"/>
        <v>0</v>
      </c>
      <c r="W111" s="155">
        <f t="shared" si="10"/>
        <v>0</v>
      </c>
      <c r="Y111" s="153">
        <f t="shared" si="11"/>
        <v>0</v>
      </c>
    </row>
    <row r="112" spans="2:26" x14ac:dyDescent="0.4">
      <c r="B112" s="156"/>
      <c r="C112" s="1"/>
      <c r="D112" s="1" t="s">
        <v>572</v>
      </c>
      <c r="E112" s="155"/>
      <c r="F112" s="155"/>
      <c r="G112" s="155"/>
      <c r="H112" s="155"/>
      <c r="I112" s="155"/>
      <c r="J112" s="155"/>
      <c r="K112" s="155">
        <v>16699</v>
      </c>
      <c r="L112" s="155"/>
      <c r="M112" s="155"/>
      <c r="N112" s="155"/>
      <c r="O112" s="155"/>
      <c r="P112" s="155"/>
      <c r="Q112" s="155"/>
      <c r="R112" s="155">
        <v>1617</v>
      </c>
      <c r="S112" s="155"/>
      <c r="T112" s="155"/>
      <c r="U112" s="155"/>
      <c r="V112" s="155">
        <f t="shared" si="9"/>
        <v>0</v>
      </c>
      <c r="W112" s="155">
        <f t="shared" si="10"/>
        <v>0</v>
      </c>
      <c r="Y112" s="153">
        <f t="shared" si="11"/>
        <v>0</v>
      </c>
    </row>
    <row r="113" spans="2:25" x14ac:dyDescent="0.4">
      <c r="B113" s="156"/>
      <c r="C113" s="1"/>
      <c r="D113" s="1" t="s">
        <v>571</v>
      </c>
      <c r="E113" s="155"/>
      <c r="F113" s="155"/>
      <c r="G113" s="155"/>
      <c r="H113" s="155"/>
      <c r="I113" s="155"/>
      <c r="J113" s="155">
        <v>5218</v>
      </c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>
        <f t="shared" si="9"/>
        <v>0</v>
      </c>
      <c r="W113" s="155">
        <f t="shared" si="10"/>
        <v>0</v>
      </c>
      <c r="Y113" s="153">
        <f t="shared" si="11"/>
        <v>0</v>
      </c>
    </row>
    <row r="114" spans="2:25" x14ac:dyDescent="0.4">
      <c r="B114" s="156"/>
      <c r="C114" s="1"/>
      <c r="D114" s="1" t="s">
        <v>570</v>
      </c>
      <c r="E114" s="155"/>
      <c r="F114" s="155"/>
      <c r="G114" s="155"/>
      <c r="H114" s="155"/>
      <c r="I114" s="155"/>
      <c r="J114" s="155"/>
      <c r="K114" s="155">
        <v>2240</v>
      </c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>
        <f t="shared" si="9"/>
        <v>0</v>
      </c>
      <c r="W114" s="155">
        <f t="shared" si="10"/>
        <v>0</v>
      </c>
      <c r="Y114" s="153">
        <f t="shared" si="11"/>
        <v>0</v>
      </c>
    </row>
    <row r="115" spans="2:25" x14ac:dyDescent="0.4">
      <c r="B115" s="156"/>
      <c r="C115" s="1"/>
      <c r="D115" s="1" t="s">
        <v>569</v>
      </c>
      <c r="E115" s="155"/>
      <c r="F115" s="155"/>
      <c r="G115" s="155"/>
      <c r="H115" s="155"/>
      <c r="I115" s="155"/>
      <c r="J115" s="155"/>
      <c r="K115" s="155"/>
      <c r="L115" s="155"/>
      <c r="M115" s="155"/>
      <c r="N115" s="155">
        <v>100</v>
      </c>
      <c r="O115" s="155"/>
      <c r="P115" s="155"/>
      <c r="Q115" s="155"/>
      <c r="R115" s="155"/>
      <c r="S115" s="155"/>
      <c r="T115" s="155"/>
      <c r="U115" s="155"/>
      <c r="V115" s="155">
        <f t="shared" si="9"/>
        <v>0</v>
      </c>
      <c r="W115" s="155">
        <f t="shared" si="10"/>
        <v>0</v>
      </c>
      <c r="Y115" s="153">
        <f t="shared" si="11"/>
        <v>0</v>
      </c>
    </row>
    <row r="116" spans="2:25" x14ac:dyDescent="0.4">
      <c r="B116" s="156"/>
      <c r="C116" s="1"/>
      <c r="D116" s="1" t="s">
        <v>568</v>
      </c>
      <c r="E116" s="155"/>
      <c r="F116" s="155"/>
      <c r="G116" s="155"/>
      <c r="H116" s="155"/>
      <c r="I116" s="155"/>
      <c r="J116" s="155"/>
      <c r="K116" s="155"/>
      <c r="L116" s="155"/>
      <c r="M116" s="155"/>
      <c r="N116" s="155">
        <v>40400</v>
      </c>
      <c r="O116" s="155"/>
      <c r="P116" s="155"/>
      <c r="Q116" s="155"/>
      <c r="R116" s="155"/>
      <c r="S116" s="155"/>
      <c r="T116" s="155"/>
      <c r="U116" s="155"/>
      <c r="V116" s="155">
        <f t="shared" si="9"/>
        <v>0</v>
      </c>
      <c r="W116" s="155">
        <f t="shared" si="10"/>
        <v>0</v>
      </c>
      <c r="Y116" s="153">
        <f t="shared" si="11"/>
        <v>0</v>
      </c>
    </row>
    <row r="117" spans="2:25" x14ac:dyDescent="0.4">
      <c r="B117" s="156"/>
      <c r="C117" s="1"/>
      <c r="D117" s="1" t="s">
        <v>567</v>
      </c>
      <c r="E117" s="155"/>
      <c r="F117" s="155"/>
      <c r="G117" s="155"/>
      <c r="H117" s="155"/>
      <c r="I117" s="155"/>
      <c r="J117" s="155"/>
      <c r="K117" s="155"/>
      <c r="L117" s="155"/>
      <c r="M117" s="155"/>
      <c r="N117" s="155">
        <v>2653</v>
      </c>
      <c r="O117" s="155"/>
      <c r="P117" s="155"/>
      <c r="Q117" s="155"/>
      <c r="R117" s="155"/>
      <c r="S117" s="155">
        <v>480</v>
      </c>
      <c r="T117" s="155"/>
      <c r="U117" s="155">
        <v>1047</v>
      </c>
      <c r="V117" s="155">
        <f t="shared" si="9"/>
        <v>-1047</v>
      </c>
      <c r="W117" s="155">
        <f t="shared" si="10"/>
        <v>-11.021052631578947</v>
      </c>
      <c r="Y117" s="153">
        <f t="shared" si="11"/>
        <v>11.021052631578947</v>
      </c>
    </row>
    <row r="118" spans="2:25" x14ac:dyDescent="0.4">
      <c r="B118" s="156"/>
      <c r="C118" s="1"/>
      <c r="D118" s="1" t="s">
        <v>517</v>
      </c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>
        <v>246.05</v>
      </c>
      <c r="P118" s="155">
        <v>919</v>
      </c>
      <c r="Q118" s="155">
        <v>2265.9</v>
      </c>
      <c r="R118" s="155">
        <v>2057.75</v>
      </c>
      <c r="S118" s="155">
        <v>838.4</v>
      </c>
      <c r="T118" s="155">
        <v>4907.91</v>
      </c>
      <c r="U118" s="155">
        <v>942.7</v>
      </c>
      <c r="V118" s="155">
        <f t="shared" si="9"/>
        <v>3965.21</v>
      </c>
      <c r="W118" s="155">
        <f t="shared" si="10"/>
        <v>41.73905263157895</v>
      </c>
      <c r="Y118" s="153">
        <f t="shared" si="11"/>
        <v>9.9231578947368426</v>
      </c>
    </row>
    <row r="119" spans="2:25" x14ac:dyDescent="0.4">
      <c r="B119" s="156"/>
      <c r="C119" s="1"/>
      <c r="D119" s="1" t="s">
        <v>566</v>
      </c>
      <c r="E119" s="155"/>
      <c r="F119" s="155"/>
      <c r="G119" s="155"/>
      <c r="H119" s="155"/>
      <c r="I119" s="155"/>
      <c r="J119" s="155"/>
      <c r="K119" s="155"/>
      <c r="L119" s="155"/>
      <c r="M119" s="155"/>
      <c r="N119" s="155">
        <v>3602.3</v>
      </c>
      <c r="O119" s="155"/>
      <c r="P119" s="155"/>
      <c r="Q119" s="155">
        <v>3178.5</v>
      </c>
      <c r="R119" s="155"/>
      <c r="S119" s="155">
        <v>4238</v>
      </c>
      <c r="T119" s="155"/>
      <c r="U119" s="155">
        <v>4238</v>
      </c>
      <c r="V119" s="155">
        <f t="shared" si="9"/>
        <v>-4238</v>
      </c>
      <c r="W119" s="155">
        <f t="shared" si="10"/>
        <v>-44.610526315789471</v>
      </c>
      <c r="Y119" s="153">
        <f t="shared" si="11"/>
        <v>44.610526315789471</v>
      </c>
    </row>
    <row r="120" spans="2:25" x14ac:dyDescent="0.4">
      <c r="B120" s="156"/>
      <c r="C120" s="1"/>
      <c r="D120" s="1" t="s">
        <v>565</v>
      </c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>
        <v>78810</v>
      </c>
      <c r="P120" s="155"/>
      <c r="Q120" s="155"/>
      <c r="R120" s="155"/>
      <c r="S120" s="155"/>
      <c r="T120" s="155"/>
      <c r="U120" s="155"/>
      <c r="V120" s="155">
        <f t="shared" si="9"/>
        <v>0</v>
      </c>
      <c r="W120" s="155">
        <f t="shared" si="10"/>
        <v>0</v>
      </c>
      <c r="Y120" s="153">
        <f t="shared" si="11"/>
        <v>0</v>
      </c>
    </row>
    <row r="121" spans="2:25" x14ac:dyDescent="0.4">
      <c r="B121" s="156"/>
      <c r="C121" s="1"/>
      <c r="D121" s="1" t="s">
        <v>564</v>
      </c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>
        <v>22279</v>
      </c>
      <c r="P121" s="155"/>
      <c r="Q121" s="155"/>
      <c r="R121" s="155"/>
      <c r="S121" s="155"/>
      <c r="T121" s="155"/>
      <c r="U121" s="155"/>
      <c r="V121" s="155">
        <f t="shared" si="9"/>
        <v>0</v>
      </c>
      <c r="W121" s="155">
        <f t="shared" si="10"/>
        <v>0</v>
      </c>
      <c r="Y121" s="153">
        <f t="shared" si="11"/>
        <v>0</v>
      </c>
    </row>
    <row r="122" spans="2:25" x14ac:dyDescent="0.4">
      <c r="B122" s="156"/>
      <c r="C122" s="1"/>
      <c r="D122" s="1" t="s">
        <v>563</v>
      </c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>
        <v>9401.73</v>
      </c>
      <c r="R122" s="155"/>
      <c r="S122" s="155"/>
      <c r="T122" s="155"/>
      <c r="U122" s="155"/>
      <c r="V122" s="155">
        <f t="shared" si="9"/>
        <v>0</v>
      </c>
      <c r="W122" s="155">
        <f t="shared" si="10"/>
        <v>0</v>
      </c>
      <c r="Y122" s="153">
        <f t="shared" si="11"/>
        <v>0</v>
      </c>
    </row>
    <row r="123" spans="2:25" x14ac:dyDescent="0.4">
      <c r="B123" s="156"/>
      <c r="C123" s="1" t="s">
        <v>84</v>
      </c>
      <c r="D123" s="1" t="s">
        <v>510</v>
      </c>
      <c r="E123" s="155">
        <v>8856</v>
      </c>
      <c r="F123" s="155"/>
      <c r="G123" s="155"/>
      <c r="H123" s="155">
        <v>3826</v>
      </c>
      <c r="I123" s="155">
        <v>10216</v>
      </c>
      <c r="J123" s="155">
        <v>7035</v>
      </c>
      <c r="K123" s="155"/>
      <c r="L123" s="155"/>
      <c r="M123" s="155"/>
      <c r="N123" s="155"/>
      <c r="O123" s="155"/>
      <c r="P123" s="155">
        <v>35700</v>
      </c>
      <c r="Q123" s="155"/>
      <c r="R123" s="155">
        <v>3020</v>
      </c>
      <c r="S123" s="155">
        <v>710</v>
      </c>
      <c r="T123" s="155">
        <v>160</v>
      </c>
      <c r="U123" s="155">
        <v>730</v>
      </c>
      <c r="V123" s="155">
        <f t="shared" si="9"/>
        <v>-570</v>
      </c>
      <c r="W123" s="155">
        <f t="shared" si="10"/>
        <v>-6</v>
      </c>
      <c r="Y123" s="153">
        <f t="shared" si="11"/>
        <v>7.6842105263157894</v>
      </c>
    </row>
    <row r="124" spans="2:25" x14ac:dyDescent="0.4">
      <c r="B124" s="156"/>
      <c r="C124" s="1"/>
      <c r="D124" s="1" t="s">
        <v>513</v>
      </c>
      <c r="E124" s="155">
        <v>390</v>
      </c>
      <c r="F124" s="155">
        <v>3130</v>
      </c>
      <c r="G124" s="155"/>
      <c r="H124" s="155">
        <v>820</v>
      </c>
      <c r="I124" s="155"/>
      <c r="J124" s="155">
        <v>55256</v>
      </c>
      <c r="K124" s="155">
        <v>4673</v>
      </c>
      <c r="L124" s="155"/>
      <c r="M124" s="155"/>
      <c r="N124" s="155"/>
      <c r="O124" s="155"/>
      <c r="P124" s="155"/>
      <c r="Q124" s="155">
        <v>230</v>
      </c>
      <c r="R124" s="155"/>
      <c r="S124" s="155">
        <v>2150</v>
      </c>
      <c r="T124" s="155"/>
      <c r="U124" s="155">
        <v>7080</v>
      </c>
      <c r="V124" s="155">
        <f t="shared" si="9"/>
        <v>-7080</v>
      </c>
      <c r="W124" s="155">
        <f t="shared" si="10"/>
        <v>-74.526315789473685</v>
      </c>
      <c r="Y124" s="153">
        <f t="shared" si="11"/>
        <v>74.526315789473685</v>
      </c>
    </row>
    <row r="125" spans="2:25" x14ac:dyDescent="0.4">
      <c r="B125" s="156"/>
      <c r="C125" s="1"/>
      <c r="D125" s="1" t="s">
        <v>512</v>
      </c>
      <c r="E125" s="155"/>
      <c r="F125" s="155">
        <v>1648</v>
      </c>
      <c r="G125" s="155"/>
      <c r="H125" s="155"/>
      <c r="I125" s="155"/>
      <c r="J125" s="155"/>
      <c r="K125" s="155"/>
      <c r="L125" s="155"/>
      <c r="M125" s="155"/>
      <c r="N125" s="155"/>
      <c r="O125" s="155">
        <v>18170</v>
      </c>
      <c r="P125" s="155"/>
      <c r="Q125" s="155">
        <v>589.5</v>
      </c>
      <c r="R125" s="155">
        <v>20917.689999999999</v>
      </c>
      <c r="S125" s="155"/>
      <c r="T125" s="155"/>
      <c r="U125" s="155"/>
      <c r="V125" s="155">
        <f t="shared" si="9"/>
        <v>0</v>
      </c>
      <c r="W125" s="155">
        <f t="shared" si="10"/>
        <v>0</v>
      </c>
      <c r="Y125" s="153">
        <f t="shared" si="11"/>
        <v>0</v>
      </c>
    </row>
    <row r="126" spans="2:25" x14ac:dyDescent="0.4">
      <c r="B126" s="156"/>
      <c r="C126" s="1"/>
      <c r="D126" s="1" t="s">
        <v>524</v>
      </c>
      <c r="E126" s="155"/>
      <c r="F126" s="155"/>
      <c r="G126" s="155"/>
      <c r="H126" s="155"/>
      <c r="I126" s="155"/>
      <c r="J126" s="155">
        <v>3812</v>
      </c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>
        <f t="shared" si="9"/>
        <v>0</v>
      </c>
      <c r="W126" s="155">
        <f t="shared" si="10"/>
        <v>0</v>
      </c>
      <c r="Y126" s="153">
        <f t="shared" si="11"/>
        <v>0</v>
      </c>
    </row>
    <row r="127" spans="2:25" x14ac:dyDescent="0.4">
      <c r="B127" s="156"/>
      <c r="C127" s="1"/>
      <c r="D127" s="1" t="s">
        <v>84</v>
      </c>
      <c r="E127" s="155"/>
      <c r="F127" s="155"/>
      <c r="G127" s="155"/>
      <c r="H127" s="155"/>
      <c r="I127" s="155"/>
      <c r="J127" s="155">
        <v>41390</v>
      </c>
      <c r="K127" s="155">
        <v>6417</v>
      </c>
      <c r="L127" s="155">
        <v>11957</v>
      </c>
      <c r="M127" s="155">
        <v>17762</v>
      </c>
      <c r="N127" s="155"/>
      <c r="O127" s="155"/>
      <c r="P127" s="155">
        <v>15306</v>
      </c>
      <c r="Q127" s="155"/>
      <c r="R127" s="155"/>
      <c r="S127" s="155"/>
      <c r="T127" s="155"/>
      <c r="U127" s="155"/>
      <c r="V127" s="155">
        <f t="shared" si="9"/>
        <v>0</v>
      </c>
      <c r="W127" s="155">
        <f t="shared" si="10"/>
        <v>0</v>
      </c>
      <c r="Y127" s="153">
        <f t="shared" si="11"/>
        <v>0</v>
      </c>
    </row>
    <row r="128" spans="2:25" x14ac:dyDescent="0.4">
      <c r="B128" s="156"/>
      <c r="C128" s="1"/>
      <c r="D128" s="1" t="s">
        <v>562</v>
      </c>
      <c r="E128" s="155">
        <v>8909</v>
      </c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>
        <f t="shared" si="9"/>
        <v>0</v>
      </c>
      <c r="W128" s="155">
        <f t="shared" si="10"/>
        <v>0</v>
      </c>
      <c r="Y128" s="153">
        <f t="shared" si="11"/>
        <v>0</v>
      </c>
    </row>
    <row r="129" spans="2:25" x14ac:dyDescent="0.4">
      <c r="B129" s="156"/>
      <c r="C129" s="1"/>
      <c r="D129" s="1" t="s">
        <v>561</v>
      </c>
      <c r="E129" s="155"/>
      <c r="F129" s="155"/>
      <c r="G129" s="155">
        <v>206943.42</v>
      </c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>
        <f t="shared" si="9"/>
        <v>0</v>
      </c>
      <c r="W129" s="155">
        <f t="shared" si="10"/>
        <v>0</v>
      </c>
      <c r="Y129" s="153">
        <f t="shared" si="11"/>
        <v>0</v>
      </c>
    </row>
    <row r="130" spans="2:25" x14ac:dyDescent="0.4">
      <c r="B130" s="156"/>
      <c r="C130" s="1"/>
      <c r="D130" s="1" t="s">
        <v>560</v>
      </c>
      <c r="E130" s="155"/>
      <c r="F130" s="155"/>
      <c r="G130" s="155"/>
      <c r="H130" s="155"/>
      <c r="I130" s="155"/>
      <c r="J130" s="155"/>
      <c r="K130" s="155"/>
      <c r="L130" s="155"/>
      <c r="M130" s="155"/>
      <c r="N130" s="155">
        <v>6249</v>
      </c>
      <c r="O130" s="155"/>
      <c r="P130" s="155"/>
      <c r="Q130" s="155"/>
      <c r="R130" s="155"/>
      <c r="S130" s="155"/>
      <c r="T130" s="155"/>
      <c r="U130" s="155"/>
      <c r="V130" s="155">
        <f t="shared" si="9"/>
        <v>0</v>
      </c>
      <c r="W130" s="155">
        <f t="shared" si="10"/>
        <v>0</v>
      </c>
      <c r="Y130" s="153">
        <f t="shared" si="11"/>
        <v>0</v>
      </c>
    </row>
    <row r="131" spans="2:25" x14ac:dyDescent="0.4">
      <c r="B131" s="156"/>
      <c r="C131" s="1"/>
      <c r="D131" s="1" t="s">
        <v>517</v>
      </c>
      <c r="E131" s="155"/>
      <c r="F131" s="155"/>
      <c r="G131" s="155"/>
      <c r="H131" s="155"/>
      <c r="I131" s="155"/>
      <c r="J131" s="155"/>
      <c r="K131" s="155"/>
      <c r="L131" s="155"/>
      <c r="M131" s="155"/>
      <c r="N131" s="155">
        <v>2976</v>
      </c>
      <c r="O131" s="155">
        <v>5972</v>
      </c>
      <c r="P131" s="155">
        <v>4607.96</v>
      </c>
      <c r="Q131" s="155">
        <v>1507</v>
      </c>
      <c r="R131" s="155">
        <v>2979</v>
      </c>
      <c r="S131" s="155">
        <v>2834</v>
      </c>
      <c r="T131" s="155">
        <v>9654</v>
      </c>
      <c r="U131" s="155">
        <v>17472</v>
      </c>
      <c r="V131" s="155">
        <f t="shared" si="9"/>
        <v>-7818</v>
      </c>
      <c r="W131" s="155">
        <f t="shared" si="10"/>
        <v>-82.294736842105266</v>
      </c>
      <c r="Y131" s="153">
        <f t="shared" si="11"/>
        <v>183.91578947368421</v>
      </c>
    </row>
    <row r="132" spans="2:25" x14ac:dyDescent="0.4">
      <c r="B132" s="156"/>
      <c r="C132" s="1"/>
      <c r="D132" s="1" t="s">
        <v>559</v>
      </c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>
        <v>27036</v>
      </c>
      <c r="Q132" s="155"/>
      <c r="R132" s="155"/>
      <c r="S132" s="155"/>
      <c r="T132" s="155"/>
      <c r="U132" s="155"/>
      <c r="V132" s="155">
        <f t="shared" si="9"/>
        <v>0</v>
      </c>
      <c r="W132" s="155">
        <f t="shared" si="10"/>
        <v>0</v>
      </c>
      <c r="Y132" s="153">
        <f t="shared" si="11"/>
        <v>0</v>
      </c>
    </row>
    <row r="133" spans="2:25" x14ac:dyDescent="0.4">
      <c r="B133" s="156"/>
      <c r="C133" s="1"/>
      <c r="D133" s="1" t="s">
        <v>558</v>
      </c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>
        <v>13622</v>
      </c>
      <c r="Q133" s="155"/>
      <c r="R133" s="155"/>
      <c r="S133" s="155"/>
      <c r="T133" s="155"/>
      <c r="U133" s="155"/>
      <c r="V133" s="155">
        <f t="shared" si="9"/>
        <v>0</v>
      </c>
      <c r="W133" s="155">
        <f t="shared" si="10"/>
        <v>0</v>
      </c>
      <c r="Y133" s="153">
        <f t="shared" si="11"/>
        <v>0</v>
      </c>
    </row>
    <row r="134" spans="2:25" x14ac:dyDescent="0.4">
      <c r="B134" s="156"/>
      <c r="C134" s="1"/>
      <c r="D134" s="1" t="s">
        <v>557</v>
      </c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>
        <v>26000</v>
      </c>
      <c r="Q134" s="155"/>
      <c r="R134" s="155"/>
      <c r="S134" s="155"/>
      <c r="T134" s="155"/>
      <c r="U134" s="155"/>
      <c r="V134" s="155">
        <f t="shared" ref="V134:V165" si="12">T134-U134</f>
        <v>0</v>
      </c>
      <c r="W134" s="155">
        <f t="shared" ref="W134:W165" si="13">V134/95</f>
        <v>0</v>
      </c>
      <c r="Y134" s="153">
        <f t="shared" ref="Y134:Y165" si="14">U134/$Y$5</f>
        <v>0</v>
      </c>
    </row>
    <row r="135" spans="2:25" x14ac:dyDescent="0.4">
      <c r="B135" s="156"/>
      <c r="C135" s="1"/>
      <c r="D135" s="1" t="s">
        <v>556</v>
      </c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>
        <v>24069</v>
      </c>
      <c r="Q135" s="155"/>
      <c r="R135" s="155"/>
      <c r="S135" s="155"/>
      <c r="T135" s="155"/>
      <c r="U135" s="155"/>
      <c r="V135" s="155">
        <f t="shared" si="12"/>
        <v>0</v>
      </c>
      <c r="W135" s="155">
        <f t="shared" si="13"/>
        <v>0</v>
      </c>
      <c r="Y135" s="153">
        <f t="shared" si="14"/>
        <v>0</v>
      </c>
    </row>
    <row r="136" spans="2:25" x14ac:dyDescent="0.4">
      <c r="B136" s="156"/>
      <c r="C136" s="1"/>
      <c r="D136" s="1" t="s">
        <v>555</v>
      </c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>
        <v>83225</v>
      </c>
      <c r="Q136" s="155"/>
      <c r="R136" s="155"/>
      <c r="S136" s="155"/>
      <c r="T136" s="155"/>
      <c r="U136" s="155"/>
      <c r="V136" s="155">
        <f t="shared" si="12"/>
        <v>0</v>
      </c>
      <c r="W136" s="155">
        <f t="shared" si="13"/>
        <v>0</v>
      </c>
      <c r="Y136" s="153">
        <f t="shared" si="14"/>
        <v>0</v>
      </c>
    </row>
    <row r="137" spans="2:25" x14ac:dyDescent="0.4">
      <c r="B137" s="156"/>
      <c r="C137" s="1"/>
      <c r="D137" s="1" t="s">
        <v>554</v>
      </c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>
        <v>1600</v>
      </c>
      <c r="Q137" s="155"/>
      <c r="R137" s="155"/>
      <c r="S137" s="155"/>
      <c r="T137" s="155"/>
      <c r="U137" s="155"/>
      <c r="V137" s="155">
        <f t="shared" si="12"/>
        <v>0</v>
      </c>
      <c r="W137" s="155">
        <f t="shared" si="13"/>
        <v>0</v>
      </c>
      <c r="Y137" s="153">
        <f t="shared" si="14"/>
        <v>0</v>
      </c>
    </row>
    <row r="138" spans="2:25" x14ac:dyDescent="0.4">
      <c r="B138" s="156"/>
      <c r="C138" s="1"/>
      <c r="D138" s="1" t="s">
        <v>553</v>
      </c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>
        <v>6000</v>
      </c>
      <c r="Q138" s="155"/>
      <c r="R138" s="155"/>
      <c r="S138" s="155"/>
      <c r="T138" s="155"/>
      <c r="U138" s="155"/>
      <c r="V138" s="155">
        <f t="shared" si="12"/>
        <v>0</v>
      </c>
      <c r="W138" s="155">
        <f t="shared" si="13"/>
        <v>0</v>
      </c>
      <c r="Y138" s="153">
        <f t="shared" si="14"/>
        <v>0</v>
      </c>
    </row>
    <row r="139" spans="2:25" x14ac:dyDescent="0.4">
      <c r="B139" s="156"/>
      <c r="C139" s="1"/>
      <c r="D139" s="1" t="s">
        <v>552</v>
      </c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>
        <v>441</v>
      </c>
      <c r="Q139" s="155"/>
      <c r="R139" s="155"/>
      <c r="S139" s="155"/>
      <c r="T139" s="155"/>
      <c r="U139" s="155"/>
      <c r="V139" s="155">
        <f t="shared" si="12"/>
        <v>0</v>
      </c>
      <c r="W139" s="155">
        <f t="shared" si="13"/>
        <v>0</v>
      </c>
      <c r="Y139" s="153">
        <f t="shared" si="14"/>
        <v>0</v>
      </c>
    </row>
    <row r="140" spans="2:25" x14ac:dyDescent="0.4">
      <c r="B140" s="156"/>
      <c r="C140" s="1"/>
      <c r="D140" s="1" t="s">
        <v>551</v>
      </c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>
        <v>20000</v>
      </c>
      <c r="P140" s="155"/>
      <c r="Q140" s="155"/>
      <c r="R140" s="155"/>
      <c r="S140" s="155"/>
      <c r="T140" s="155"/>
      <c r="U140" s="155"/>
      <c r="V140" s="155">
        <f t="shared" si="12"/>
        <v>0</v>
      </c>
      <c r="W140" s="155">
        <f t="shared" si="13"/>
        <v>0</v>
      </c>
      <c r="Y140" s="153">
        <f t="shared" si="14"/>
        <v>0</v>
      </c>
    </row>
    <row r="141" spans="2:25" x14ac:dyDescent="0.4">
      <c r="B141" s="156"/>
      <c r="C141" s="1"/>
      <c r="D141" s="1" t="s">
        <v>550</v>
      </c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>
        <v>2271</v>
      </c>
      <c r="P141" s="155"/>
      <c r="Q141" s="155"/>
      <c r="R141" s="155"/>
      <c r="S141" s="155"/>
      <c r="T141" s="155"/>
      <c r="U141" s="155"/>
      <c r="V141" s="155">
        <f t="shared" si="12"/>
        <v>0</v>
      </c>
      <c r="W141" s="155">
        <f t="shared" si="13"/>
        <v>0</v>
      </c>
      <c r="Y141" s="153">
        <f t="shared" si="14"/>
        <v>0</v>
      </c>
    </row>
    <row r="142" spans="2:25" x14ac:dyDescent="0.4">
      <c r="B142" s="156"/>
      <c r="C142" s="1" t="s">
        <v>40</v>
      </c>
      <c r="D142" s="1" t="s">
        <v>549</v>
      </c>
      <c r="E142" s="155">
        <v>32000</v>
      </c>
      <c r="F142" s="155">
        <v>32000</v>
      </c>
      <c r="G142" s="155">
        <v>32000</v>
      </c>
      <c r="H142" s="155">
        <v>32000</v>
      </c>
      <c r="I142" s="155">
        <v>32000</v>
      </c>
      <c r="J142" s="155">
        <v>32000</v>
      </c>
      <c r="K142" s="155">
        <v>32000</v>
      </c>
      <c r="L142" s="155">
        <v>32000</v>
      </c>
      <c r="M142" s="155">
        <v>32000</v>
      </c>
      <c r="N142" s="155">
        <v>32000</v>
      </c>
      <c r="O142" s="155"/>
      <c r="P142" s="155"/>
      <c r="Q142" s="155"/>
      <c r="R142" s="155"/>
      <c r="S142" s="155"/>
      <c r="T142" s="155"/>
      <c r="U142" s="155"/>
      <c r="V142" s="155">
        <f t="shared" si="12"/>
        <v>0</v>
      </c>
      <c r="W142" s="155">
        <f t="shared" si="13"/>
        <v>0</v>
      </c>
      <c r="Y142" s="153">
        <f t="shared" si="14"/>
        <v>0</v>
      </c>
    </row>
    <row r="143" spans="2:25" x14ac:dyDescent="0.4">
      <c r="B143" s="156"/>
      <c r="C143" s="1"/>
      <c r="D143" s="1" t="s">
        <v>548</v>
      </c>
      <c r="E143" s="155"/>
      <c r="F143" s="155"/>
      <c r="G143" s="155"/>
      <c r="H143" s="155"/>
      <c r="I143" s="155"/>
      <c r="J143" s="155"/>
      <c r="K143" s="155"/>
      <c r="L143" s="155">
        <v>9040</v>
      </c>
      <c r="M143" s="155">
        <v>14000</v>
      </c>
      <c r="N143" s="155">
        <v>14464</v>
      </c>
      <c r="O143" s="155">
        <v>14000</v>
      </c>
      <c r="P143" s="155">
        <v>14000</v>
      </c>
      <c r="Q143" s="155">
        <v>14000</v>
      </c>
      <c r="R143" s="155">
        <v>14000</v>
      </c>
      <c r="S143" s="155">
        <v>14000</v>
      </c>
      <c r="T143" s="155">
        <v>13533</v>
      </c>
      <c r="U143" s="155">
        <v>14000</v>
      </c>
      <c r="V143" s="155">
        <f t="shared" si="12"/>
        <v>-467</v>
      </c>
      <c r="W143" s="155">
        <f t="shared" si="13"/>
        <v>-4.9157894736842103</v>
      </c>
      <c r="Y143" s="153">
        <f t="shared" si="14"/>
        <v>147.36842105263159</v>
      </c>
    </row>
    <row r="144" spans="2:25" x14ac:dyDescent="0.4">
      <c r="B144" s="156"/>
      <c r="C144" s="1"/>
      <c r="D144" s="1" t="s">
        <v>547</v>
      </c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>
        <v>32000</v>
      </c>
      <c r="P144" s="155">
        <v>32000</v>
      </c>
      <c r="Q144" s="155">
        <v>32000</v>
      </c>
      <c r="R144" s="155">
        <v>32000</v>
      </c>
      <c r="S144" s="155">
        <v>32000</v>
      </c>
      <c r="T144" s="155">
        <v>32000</v>
      </c>
      <c r="U144" s="155">
        <v>32000</v>
      </c>
      <c r="V144" s="155">
        <f t="shared" si="12"/>
        <v>0</v>
      </c>
      <c r="W144" s="155">
        <f t="shared" si="13"/>
        <v>0</v>
      </c>
      <c r="Y144" s="153">
        <f t="shared" si="14"/>
        <v>336.84210526315792</v>
      </c>
    </row>
    <row r="145" spans="2:25" x14ac:dyDescent="0.4">
      <c r="B145" s="156"/>
      <c r="C145" s="1" t="s">
        <v>138</v>
      </c>
      <c r="D145" s="1" t="s">
        <v>138</v>
      </c>
      <c r="E145" s="155">
        <v>23602</v>
      </c>
      <c r="F145" s="155">
        <v>24672</v>
      </c>
      <c r="G145" s="155">
        <v>25850</v>
      </c>
      <c r="H145" s="155">
        <v>25656</v>
      </c>
      <c r="I145" s="155">
        <v>27584</v>
      </c>
      <c r="J145" s="155">
        <v>27635</v>
      </c>
      <c r="K145" s="155">
        <v>29152</v>
      </c>
      <c r="L145" s="155">
        <v>31963</v>
      </c>
      <c r="M145" s="155">
        <v>34272</v>
      </c>
      <c r="N145" s="155">
        <v>35244</v>
      </c>
      <c r="O145" s="155">
        <v>35732</v>
      </c>
      <c r="P145" s="155">
        <v>46200</v>
      </c>
      <c r="Q145" s="155">
        <v>37436</v>
      </c>
      <c r="R145" s="155">
        <v>34044</v>
      </c>
      <c r="S145" s="155">
        <v>36098</v>
      </c>
      <c r="T145" s="155">
        <v>36879</v>
      </c>
      <c r="U145" s="155">
        <v>36238</v>
      </c>
      <c r="V145" s="155">
        <f t="shared" si="12"/>
        <v>641</v>
      </c>
      <c r="W145" s="155">
        <f t="shared" si="13"/>
        <v>6.7473684210526317</v>
      </c>
      <c r="Y145" s="153">
        <f t="shared" si="14"/>
        <v>381.45263157894738</v>
      </c>
    </row>
    <row r="146" spans="2:25" x14ac:dyDescent="0.4">
      <c r="B146" s="156"/>
      <c r="C146" s="1"/>
      <c r="D146" s="1" t="s">
        <v>510</v>
      </c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>
        <v>900</v>
      </c>
      <c r="U146" s="155"/>
      <c r="V146" s="155">
        <f t="shared" si="12"/>
        <v>900</v>
      </c>
      <c r="W146" s="155">
        <f t="shared" si="13"/>
        <v>9.473684210526315</v>
      </c>
      <c r="Y146" s="153">
        <f t="shared" si="14"/>
        <v>0</v>
      </c>
    </row>
    <row r="147" spans="2:25" x14ac:dyDescent="0.4">
      <c r="B147" s="156"/>
      <c r="C147" s="1" t="s">
        <v>136</v>
      </c>
      <c r="D147" s="1" t="s">
        <v>136</v>
      </c>
      <c r="E147" s="155">
        <v>40714</v>
      </c>
      <c r="F147" s="155">
        <v>32778</v>
      </c>
      <c r="G147" s="155">
        <v>22250</v>
      </c>
      <c r="H147" s="155">
        <v>18315</v>
      </c>
      <c r="I147" s="155">
        <v>22731</v>
      </c>
      <c r="J147" s="155">
        <v>20620</v>
      </c>
      <c r="K147" s="155">
        <v>19208</v>
      </c>
      <c r="L147" s="155">
        <v>18757</v>
      </c>
      <c r="M147" s="155">
        <v>19188</v>
      </c>
      <c r="N147" s="155">
        <v>19803</v>
      </c>
      <c r="O147" s="155">
        <v>18980</v>
      </c>
      <c r="P147" s="155">
        <v>22799</v>
      </c>
      <c r="Q147" s="155">
        <v>32834</v>
      </c>
      <c r="R147" s="155">
        <v>31935</v>
      </c>
      <c r="S147" s="155">
        <v>30201</v>
      </c>
      <c r="T147" s="155">
        <v>29236</v>
      </c>
      <c r="U147" s="155">
        <v>28238</v>
      </c>
      <c r="V147" s="155">
        <f t="shared" si="12"/>
        <v>998</v>
      </c>
      <c r="W147" s="155">
        <f t="shared" si="13"/>
        <v>10.505263157894737</v>
      </c>
      <c r="Y147" s="153">
        <f t="shared" si="14"/>
        <v>297.2421052631579</v>
      </c>
    </row>
    <row r="148" spans="2:25" x14ac:dyDescent="0.4">
      <c r="B148" s="156"/>
      <c r="C148" s="1" t="s">
        <v>77</v>
      </c>
      <c r="D148" s="1" t="s">
        <v>77</v>
      </c>
      <c r="E148" s="155"/>
      <c r="F148" s="155"/>
      <c r="G148" s="155"/>
      <c r="H148" s="155"/>
      <c r="I148" s="155">
        <v>165865</v>
      </c>
      <c r="J148" s="155"/>
      <c r="K148" s="155"/>
      <c r="L148" s="155"/>
      <c r="M148" s="155"/>
      <c r="N148" s="155"/>
      <c r="O148" s="155"/>
      <c r="P148" s="155">
        <v>70569</v>
      </c>
      <c r="Q148" s="155">
        <v>53429</v>
      </c>
      <c r="R148" s="155"/>
      <c r="S148" s="155"/>
      <c r="T148" s="155"/>
      <c r="U148" s="155"/>
      <c r="V148" s="155">
        <f t="shared" si="12"/>
        <v>0</v>
      </c>
      <c r="W148" s="155">
        <f t="shared" si="13"/>
        <v>0</v>
      </c>
      <c r="Y148" s="153">
        <f t="shared" si="14"/>
        <v>0</v>
      </c>
    </row>
    <row r="149" spans="2:25" x14ac:dyDescent="0.4">
      <c r="B149" s="156"/>
      <c r="C149" s="1" t="s">
        <v>546</v>
      </c>
      <c r="D149" s="1" t="s">
        <v>545</v>
      </c>
      <c r="E149" s="155"/>
      <c r="F149" s="155">
        <v>59203</v>
      </c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>
        <f t="shared" si="12"/>
        <v>0</v>
      </c>
      <c r="W149" s="155">
        <f t="shared" si="13"/>
        <v>0</v>
      </c>
      <c r="Y149" s="153">
        <f t="shared" si="14"/>
        <v>0</v>
      </c>
    </row>
    <row r="150" spans="2:25" x14ac:dyDescent="0.4">
      <c r="B150" s="156"/>
      <c r="C150" s="1"/>
      <c r="D150" s="1" t="s">
        <v>544</v>
      </c>
      <c r="E150" s="155"/>
      <c r="F150" s="155"/>
      <c r="G150" s="155"/>
      <c r="H150" s="155"/>
      <c r="I150" s="155">
        <v>40000</v>
      </c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>
        <f t="shared" si="12"/>
        <v>0</v>
      </c>
      <c r="W150" s="155">
        <f t="shared" si="13"/>
        <v>0</v>
      </c>
      <c r="Y150" s="153">
        <f t="shared" si="14"/>
        <v>0</v>
      </c>
    </row>
    <row r="151" spans="2:25" x14ac:dyDescent="0.4">
      <c r="B151" s="156"/>
      <c r="C151" s="1"/>
      <c r="D151" s="1" t="s">
        <v>543</v>
      </c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>
        <v>10000</v>
      </c>
      <c r="Q151" s="155"/>
      <c r="R151" s="155"/>
      <c r="S151" s="155"/>
      <c r="T151" s="155"/>
      <c r="U151" s="155"/>
      <c r="V151" s="155">
        <f t="shared" si="12"/>
        <v>0</v>
      </c>
      <c r="W151" s="155">
        <f t="shared" si="13"/>
        <v>0</v>
      </c>
      <c r="Y151" s="153">
        <f t="shared" si="14"/>
        <v>0</v>
      </c>
    </row>
    <row r="152" spans="2:25" x14ac:dyDescent="0.4">
      <c r="B152" s="156"/>
      <c r="C152" s="1"/>
      <c r="D152" s="1" t="s">
        <v>542</v>
      </c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>
        <v>10000</v>
      </c>
      <c r="Q152" s="155"/>
      <c r="R152" s="155"/>
      <c r="S152" s="155"/>
      <c r="T152" s="155"/>
      <c r="U152" s="155"/>
      <c r="V152" s="155">
        <f t="shared" si="12"/>
        <v>0</v>
      </c>
      <c r="W152" s="155">
        <f t="shared" si="13"/>
        <v>0</v>
      </c>
      <c r="Y152" s="153">
        <f t="shared" si="14"/>
        <v>0</v>
      </c>
    </row>
    <row r="153" spans="2:25" x14ac:dyDescent="0.4">
      <c r="B153" s="156"/>
      <c r="C153" s="1"/>
      <c r="D153" s="1" t="s">
        <v>541</v>
      </c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>
        <v>106000</v>
      </c>
      <c r="Q153" s="155"/>
      <c r="R153" s="155"/>
      <c r="S153" s="155"/>
      <c r="T153" s="155"/>
      <c r="U153" s="155"/>
      <c r="V153" s="155">
        <f t="shared" si="12"/>
        <v>0</v>
      </c>
      <c r="W153" s="155">
        <f t="shared" si="13"/>
        <v>0</v>
      </c>
      <c r="Y153" s="153">
        <f t="shared" si="14"/>
        <v>0</v>
      </c>
    </row>
    <row r="154" spans="2:25" x14ac:dyDescent="0.4">
      <c r="B154" s="156"/>
      <c r="C154" s="1" t="s">
        <v>45</v>
      </c>
      <c r="D154" s="1" t="s">
        <v>540</v>
      </c>
      <c r="E154" s="155"/>
      <c r="F154" s="155"/>
      <c r="G154" s="155"/>
      <c r="H154" s="155"/>
      <c r="I154" s="155">
        <v>57927.7</v>
      </c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>
        <f t="shared" si="12"/>
        <v>0</v>
      </c>
      <c r="W154" s="155">
        <f t="shared" si="13"/>
        <v>0</v>
      </c>
      <c r="Y154" s="153">
        <f t="shared" si="14"/>
        <v>0</v>
      </c>
    </row>
    <row r="155" spans="2:25" x14ac:dyDescent="0.4">
      <c r="B155" s="156"/>
      <c r="C155" s="1"/>
      <c r="D155" s="1" t="s">
        <v>539</v>
      </c>
      <c r="E155" s="155"/>
      <c r="F155" s="155"/>
      <c r="G155" s="155"/>
      <c r="H155" s="155"/>
      <c r="I155" s="155"/>
      <c r="J155" s="155">
        <v>16870.559999999998</v>
      </c>
      <c r="K155" s="155">
        <v>19816.96</v>
      </c>
      <c r="L155" s="155">
        <v>15263.39</v>
      </c>
      <c r="M155" s="155">
        <v>4645.71</v>
      </c>
      <c r="N155" s="155">
        <v>13422.86</v>
      </c>
      <c r="O155" s="155"/>
      <c r="P155" s="155"/>
      <c r="Q155" s="155"/>
      <c r="R155" s="155"/>
      <c r="S155" s="155"/>
      <c r="T155" s="155"/>
      <c r="U155" s="155"/>
      <c r="V155" s="155">
        <f t="shared" si="12"/>
        <v>0</v>
      </c>
      <c r="W155" s="155">
        <f t="shared" si="13"/>
        <v>0</v>
      </c>
      <c r="Y155" s="153">
        <f t="shared" si="14"/>
        <v>0</v>
      </c>
    </row>
    <row r="156" spans="2:25" x14ac:dyDescent="0.4">
      <c r="B156" s="156"/>
      <c r="C156" s="1"/>
      <c r="D156" s="1" t="s">
        <v>45</v>
      </c>
      <c r="E156" s="155"/>
      <c r="F156" s="155"/>
      <c r="G156" s="155"/>
      <c r="H156" s="155"/>
      <c r="I156" s="155"/>
      <c r="J156" s="155"/>
      <c r="K156" s="155"/>
      <c r="L156" s="155">
        <v>2500</v>
      </c>
      <c r="M156" s="155">
        <v>14275</v>
      </c>
      <c r="N156" s="155"/>
      <c r="O156" s="155"/>
      <c r="P156" s="155"/>
      <c r="Q156" s="155"/>
      <c r="R156" s="155"/>
      <c r="S156" s="155"/>
      <c r="T156" s="155"/>
      <c r="U156" s="155"/>
      <c r="V156" s="155">
        <f t="shared" si="12"/>
        <v>0</v>
      </c>
      <c r="W156" s="155">
        <f t="shared" si="13"/>
        <v>0</v>
      </c>
      <c r="Y156" s="153">
        <f t="shared" si="14"/>
        <v>0</v>
      </c>
    </row>
    <row r="157" spans="2:25" x14ac:dyDescent="0.4">
      <c r="B157" s="156"/>
      <c r="C157" s="1"/>
      <c r="D157" s="1" t="s">
        <v>538</v>
      </c>
      <c r="E157" s="155"/>
      <c r="F157" s="155"/>
      <c r="G157" s="155"/>
      <c r="H157" s="155"/>
      <c r="I157" s="155"/>
      <c r="J157" s="155"/>
      <c r="K157" s="155"/>
      <c r="L157" s="155">
        <v>14732.08</v>
      </c>
      <c r="M157" s="155"/>
      <c r="N157" s="155"/>
      <c r="O157" s="155"/>
      <c r="P157" s="155"/>
      <c r="Q157" s="155"/>
      <c r="R157" s="155"/>
      <c r="S157" s="155"/>
      <c r="T157" s="155"/>
      <c r="U157" s="155"/>
      <c r="V157" s="155">
        <f t="shared" si="12"/>
        <v>0</v>
      </c>
      <c r="W157" s="155">
        <f t="shared" si="13"/>
        <v>0</v>
      </c>
      <c r="Y157" s="153">
        <f t="shared" si="14"/>
        <v>0</v>
      </c>
    </row>
    <row r="158" spans="2:25" x14ac:dyDescent="0.4">
      <c r="B158" s="156"/>
      <c r="C158" s="1"/>
      <c r="D158" s="1" t="s">
        <v>537</v>
      </c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>
        <v>34000</v>
      </c>
      <c r="S158" s="155"/>
      <c r="T158" s="155"/>
      <c r="U158" s="155"/>
      <c r="V158" s="155">
        <f t="shared" si="12"/>
        <v>0</v>
      </c>
      <c r="W158" s="155">
        <f t="shared" si="13"/>
        <v>0</v>
      </c>
      <c r="Y158" s="153">
        <f t="shared" si="14"/>
        <v>0</v>
      </c>
    </row>
    <row r="159" spans="2:25" x14ac:dyDescent="0.4">
      <c r="B159" s="156"/>
      <c r="C159" s="1" t="s">
        <v>83</v>
      </c>
      <c r="D159" s="1" t="s">
        <v>510</v>
      </c>
      <c r="E159" s="155"/>
      <c r="F159" s="155">
        <v>20000</v>
      </c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>
        <f t="shared" si="12"/>
        <v>0</v>
      </c>
      <c r="W159" s="155">
        <f t="shared" si="13"/>
        <v>0</v>
      </c>
      <c r="Y159" s="153">
        <f t="shared" si="14"/>
        <v>0</v>
      </c>
    </row>
    <row r="160" spans="2:25" x14ac:dyDescent="0.4">
      <c r="B160" s="156"/>
      <c r="C160" s="1"/>
      <c r="D160" s="1" t="s">
        <v>536</v>
      </c>
      <c r="E160" s="155"/>
      <c r="F160" s="155">
        <v>32190</v>
      </c>
      <c r="G160" s="155"/>
      <c r="H160" s="155"/>
      <c r="I160" s="155">
        <v>71340</v>
      </c>
      <c r="J160" s="155"/>
      <c r="K160" s="155">
        <v>16095</v>
      </c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>
        <f t="shared" si="12"/>
        <v>0</v>
      </c>
      <c r="W160" s="155">
        <f t="shared" si="13"/>
        <v>0</v>
      </c>
      <c r="Y160" s="153">
        <f t="shared" si="14"/>
        <v>0</v>
      </c>
    </row>
    <row r="161" spans="2:25" x14ac:dyDescent="0.4">
      <c r="B161" s="156"/>
      <c r="C161" s="1" t="s">
        <v>31</v>
      </c>
      <c r="D161" s="1" t="s">
        <v>535</v>
      </c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>
        <v>28372</v>
      </c>
      <c r="R161" s="155">
        <v>28200</v>
      </c>
      <c r="S161" s="155">
        <v>27105.9</v>
      </c>
      <c r="T161" s="155">
        <v>27030</v>
      </c>
      <c r="U161" s="155">
        <v>26910</v>
      </c>
      <c r="V161" s="155">
        <f t="shared" si="12"/>
        <v>120</v>
      </c>
      <c r="W161" s="155">
        <f t="shared" si="13"/>
        <v>1.263157894736842</v>
      </c>
      <c r="Y161" s="153">
        <f t="shared" si="14"/>
        <v>283.26315789473682</v>
      </c>
    </row>
    <row r="162" spans="2:25" x14ac:dyDescent="0.4">
      <c r="B162" s="156"/>
      <c r="C162" s="1" t="s">
        <v>139</v>
      </c>
      <c r="D162" s="1" t="s">
        <v>139</v>
      </c>
      <c r="E162" s="155">
        <v>9433</v>
      </c>
      <c r="F162" s="155">
        <v>7599</v>
      </c>
      <c r="G162" s="155">
        <v>5145</v>
      </c>
      <c r="H162" s="155">
        <v>4252</v>
      </c>
      <c r="I162" s="155">
        <v>5271</v>
      </c>
      <c r="J162" s="155">
        <v>4708</v>
      </c>
      <c r="K162" s="155">
        <v>4421</v>
      </c>
      <c r="L162" s="155">
        <v>4345</v>
      </c>
      <c r="M162" s="155">
        <v>4446</v>
      </c>
      <c r="N162" s="155">
        <v>4591</v>
      </c>
      <c r="O162" s="155">
        <v>4396</v>
      </c>
      <c r="P162" s="155">
        <v>5284</v>
      </c>
      <c r="Q162" s="155">
        <v>7602</v>
      </c>
      <c r="R162" s="155">
        <v>7397</v>
      </c>
      <c r="S162" s="155">
        <v>6991</v>
      </c>
      <c r="T162" s="155">
        <v>6769</v>
      </c>
      <c r="U162" s="155">
        <v>6545</v>
      </c>
      <c r="V162" s="155">
        <f t="shared" si="12"/>
        <v>224</v>
      </c>
      <c r="W162" s="155">
        <f t="shared" si="13"/>
        <v>2.357894736842105</v>
      </c>
      <c r="Y162" s="153">
        <f t="shared" si="14"/>
        <v>68.89473684210526</v>
      </c>
    </row>
    <row r="163" spans="2:25" x14ac:dyDescent="0.4">
      <c r="B163" s="156"/>
      <c r="C163" s="1" t="s">
        <v>533</v>
      </c>
      <c r="D163" s="1" t="s">
        <v>534</v>
      </c>
      <c r="E163" s="155">
        <v>30000</v>
      </c>
      <c r="F163" s="155">
        <v>30000</v>
      </c>
      <c r="G163" s="155">
        <v>30000</v>
      </c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>
        <f t="shared" si="12"/>
        <v>0</v>
      </c>
      <c r="W163" s="155">
        <f t="shared" si="13"/>
        <v>0</v>
      </c>
      <c r="Y163" s="153">
        <f t="shared" si="14"/>
        <v>0</v>
      </c>
    </row>
    <row r="164" spans="2:25" x14ac:dyDescent="0.4">
      <c r="B164" s="156"/>
      <c r="C164" s="1"/>
      <c r="D164" s="1" t="s">
        <v>533</v>
      </c>
      <c r="E164" s="155">
        <v>5000</v>
      </c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>
        <f t="shared" si="12"/>
        <v>0</v>
      </c>
      <c r="W164" s="155">
        <f t="shared" si="13"/>
        <v>0</v>
      </c>
      <c r="Y164" s="153">
        <f t="shared" si="14"/>
        <v>0</v>
      </c>
    </row>
    <row r="165" spans="2:25" x14ac:dyDescent="0.4">
      <c r="B165" s="156"/>
      <c r="C165" s="1" t="s">
        <v>35</v>
      </c>
      <c r="D165" s="1" t="s">
        <v>510</v>
      </c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>
        <v>25000</v>
      </c>
      <c r="T165" s="155"/>
      <c r="U165" s="155"/>
      <c r="V165" s="155">
        <f t="shared" si="12"/>
        <v>0</v>
      </c>
      <c r="W165" s="155">
        <f t="shared" si="13"/>
        <v>0</v>
      </c>
      <c r="Y165" s="153">
        <f t="shared" si="14"/>
        <v>0</v>
      </c>
    </row>
    <row r="166" spans="2:25" x14ac:dyDescent="0.4">
      <c r="B166" s="156"/>
      <c r="C166" s="1" t="s">
        <v>532</v>
      </c>
      <c r="D166" s="1" t="s">
        <v>510</v>
      </c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>
        <v>20000</v>
      </c>
      <c r="R166" s="155"/>
      <c r="S166" s="155"/>
      <c r="T166" s="155"/>
      <c r="U166" s="155"/>
      <c r="V166" s="155">
        <f t="shared" ref="V166:V197" si="15">T166-U166</f>
        <v>0</v>
      </c>
      <c r="W166" s="155">
        <f t="shared" ref="W166:W197" si="16">V166/95</f>
        <v>0</v>
      </c>
      <c r="Y166" s="153">
        <f t="shared" ref="Y166:Y198" si="17">U166/$Y$5</f>
        <v>0</v>
      </c>
    </row>
    <row r="167" spans="2:25" x14ac:dyDescent="0.4">
      <c r="B167" s="156"/>
      <c r="C167" s="1" t="s">
        <v>42</v>
      </c>
      <c r="D167" s="1" t="s">
        <v>531</v>
      </c>
      <c r="E167" s="155"/>
      <c r="F167" s="155"/>
      <c r="G167" s="155">
        <v>14000</v>
      </c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>
        <f t="shared" si="15"/>
        <v>0</v>
      </c>
      <c r="W167" s="155">
        <f t="shared" si="16"/>
        <v>0</v>
      </c>
      <c r="Y167" s="153">
        <f t="shared" si="17"/>
        <v>0</v>
      </c>
    </row>
    <row r="168" spans="2:25" x14ac:dyDescent="0.4">
      <c r="B168" s="156"/>
      <c r="C168" s="1" t="s">
        <v>530</v>
      </c>
      <c r="D168" s="1" t="s">
        <v>510</v>
      </c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>
        <v>5000</v>
      </c>
      <c r="T168" s="155"/>
      <c r="U168" s="155"/>
      <c r="V168" s="155">
        <f t="shared" si="15"/>
        <v>0</v>
      </c>
      <c r="W168" s="155">
        <f t="shared" si="16"/>
        <v>0</v>
      </c>
      <c r="Y168" s="153">
        <f t="shared" si="17"/>
        <v>0</v>
      </c>
    </row>
    <row r="169" spans="2:25" x14ac:dyDescent="0.4">
      <c r="B169" s="156"/>
      <c r="C169" s="1"/>
      <c r="D169" s="1" t="s">
        <v>511</v>
      </c>
      <c r="E169" s="155"/>
      <c r="F169" s="155"/>
      <c r="G169" s="155"/>
      <c r="H169" s="155"/>
      <c r="I169" s="155"/>
      <c r="J169" s="155"/>
      <c r="K169" s="155"/>
      <c r="L169" s="155"/>
      <c r="M169" s="155"/>
      <c r="N169" s="155">
        <v>5000</v>
      </c>
      <c r="O169" s="155"/>
      <c r="P169" s="155"/>
      <c r="Q169" s="155"/>
      <c r="R169" s="155"/>
      <c r="S169" s="155"/>
      <c r="T169" s="155"/>
      <c r="U169" s="155"/>
      <c r="V169" s="155">
        <f t="shared" si="15"/>
        <v>0</v>
      </c>
      <c r="W169" s="155">
        <f t="shared" si="16"/>
        <v>0</v>
      </c>
      <c r="Y169" s="153">
        <f t="shared" si="17"/>
        <v>0</v>
      </c>
    </row>
    <row r="170" spans="2:25" x14ac:dyDescent="0.4">
      <c r="B170" s="156"/>
      <c r="C170" s="1" t="s">
        <v>529</v>
      </c>
      <c r="D170" s="1" t="s">
        <v>510</v>
      </c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>
        <v>898</v>
      </c>
      <c r="Q170" s="155"/>
      <c r="R170" s="155">
        <v>1080</v>
      </c>
      <c r="S170" s="155"/>
      <c r="T170" s="155"/>
      <c r="U170" s="155"/>
      <c r="V170" s="155">
        <f t="shared" si="15"/>
        <v>0</v>
      </c>
      <c r="W170" s="155">
        <f t="shared" si="16"/>
        <v>0</v>
      </c>
      <c r="Y170" s="153">
        <f t="shared" si="17"/>
        <v>0</v>
      </c>
    </row>
    <row r="171" spans="2:25" x14ac:dyDescent="0.4">
      <c r="B171" s="156"/>
      <c r="C171" s="1"/>
      <c r="D171" s="1" t="s">
        <v>529</v>
      </c>
      <c r="E171" s="155"/>
      <c r="F171" s="155">
        <v>2040</v>
      </c>
      <c r="G171" s="155"/>
      <c r="H171" s="155"/>
      <c r="I171" s="155"/>
      <c r="J171" s="155"/>
      <c r="K171" s="155">
        <v>1140</v>
      </c>
      <c r="L171" s="155"/>
      <c r="M171" s="155"/>
      <c r="N171" s="155"/>
      <c r="O171" s="155"/>
      <c r="P171" s="155">
        <v>360</v>
      </c>
      <c r="Q171" s="155"/>
      <c r="R171" s="155"/>
      <c r="S171" s="155"/>
      <c r="T171" s="155"/>
      <c r="U171" s="155"/>
      <c r="V171" s="155">
        <f t="shared" si="15"/>
        <v>0</v>
      </c>
      <c r="W171" s="155">
        <f t="shared" si="16"/>
        <v>0</v>
      </c>
      <c r="Y171" s="153">
        <f t="shared" si="17"/>
        <v>0</v>
      </c>
    </row>
    <row r="172" spans="2:25" x14ac:dyDescent="0.4">
      <c r="B172" s="156"/>
      <c r="C172" s="1"/>
      <c r="D172" s="1" t="s">
        <v>528</v>
      </c>
      <c r="E172" s="155">
        <v>2150</v>
      </c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>
        <f t="shared" si="15"/>
        <v>0</v>
      </c>
      <c r="W172" s="155">
        <f t="shared" si="16"/>
        <v>0</v>
      </c>
      <c r="Y172" s="153">
        <f t="shared" si="17"/>
        <v>0</v>
      </c>
    </row>
    <row r="173" spans="2:25" x14ac:dyDescent="0.4">
      <c r="B173" s="156"/>
      <c r="C173" s="1" t="s">
        <v>28</v>
      </c>
      <c r="D173" s="1" t="s">
        <v>510</v>
      </c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>
        <v>4007</v>
      </c>
      <c r="U173" s="155"/>
      <c r="V173" s="155">
        <f t="shared" si="15"/>
        <v>4007</v>
      </c>
      <c r="W173" s="155">
        <f t="shared" si="16"/>
        <v>42.178947368421049</v>
      </c>
      <c r="Y173" s="153">
        <f t="shared" si="17"/>
        <v>0</v>
      </c>
    </row>
    <row r="174" spans="2:25" x14ac:dyDescent="0.4">
      <c r="B174" s="156"/>
      <c r="C174" s="1" t="s">
        <v>527</v>
      </c>
      <c r="D174" s="1" t="s">
        <v>526</v>
      </c>
      <c r="E174" s="155"/>
      <c r="F174" s="155"/>
      <c r="G174" s="155">
        <v>3000</v>
      </c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>
        <f t="shared" si="15"/>
        <v>0</v>
      </c>
      <c r="W174" s="155">
        <f t="shared" si="16"/>
        <v>0</v>
      </c>
      <c r="Y174" s="153">
        <f t="shared" si="17"/>
        <v>0</v>
      </c>
    </row>
    <row r="175" spans="2:25" x14ac:dyDescent="0.4">
      <c r="B175" s="156"/>
      <c r="C175" s="1" t="s">
        <v>50</v>
      </c>
      <c r="D175" s="1" t="s">
        <v>510</v>
      </c>
      <c r="E175" s="155">
        <v>-319523</v>
      </c>
      <c r="F175" s="155">
        <v>-525000</v>
      </c>
      <c r="G175" s="155">
        <v>13927</v>
      </c>
      <c r="H175" s="155"/>
      <c r="I175" s="155"/>
      <c r="J175" s="155"/>
      <c r="K175" s="155"/>
      <c r="L175" s="155"/>
      <c r="M175" s="155">
        <v>37150</v>
      </c>
      <c r="N175" s="155"/>
      <c r="O175" s="155">
        <v>7372</v>
      </c>
      <c r="P175" s="155">
        <v>900</v>
      </c>
      <c r="Q175" s="155"/>
      <c r="R175" s="155">
        <v>639</v>
      </c>
      <c r="S175" s="155">
        <v>2450</v>
      </c>
      <c r="T175" s="155">
        <v>2450</v>
      </c>
      <c r="U175" s="155">
        <v>9133.35</v>
      </c>
      <c r="V175" s="155">
        <f t="shared" si="15"/>
        <v>-6683.35</v>
      </c>
      <c r="W175" s="155">
        <f t="shared" si="16"/>
        <v>-70.351052631578952</v>
      </c>
      <c r="Y175" s="153">
        <f t="shared" si="17"/>
        <v>96.140526315789472</v>
      </c>
    </row>
    <row r="176" spans="2:25" x14ac:dyDescent="0.4">
      <c r="B176" s="156"/>
      <c r="C176" s="1"/>
      <c r="D176" s="1" t="s">
        <v>513</v>
      </c>
      <c r="E176" s="155"/>
      <c r="F176" s="155">
        <v>114.5</v>
      </c>
      <c r="G176" s="155"/>
      <c r="H176" s="155">
        <v>5008.67</v>
      </c>
      <c r="I176" s="155"/>
      <c r="J176" s="155">
        <v>20513.21</v>
      </c>
      <c r="K176" s="155">
        <v>12214.72</v>
      </c>
      <c r="L176" s="155">
        <v>7840.09</v>
      </c>
      <c r="M176" s="155"/>
      <c r="N176" s="155">
        <v>9312.9299999999985</v>
      </c>
      <c r="O176" s="155"/>
      <c r="P176" s="155">
        <v>10876.91</v>
      </c>
      <c r="Q176" s="155"/>
      <c r="R176" s="155"/>
      <c r="S176" s="155"/>
      <c r="T176" s="155"/>
      <c r="U176" s="155"/>
      <c r="V176" s="155">
        <f t="shared" si="15"/>
        <v>0</v>
      </c>
      <c r="W176" s="155">
        <f t="shared" si="16"/>
        <v>0</v>
      </c>
      <c r="Y176" s="153">
        <f t="shared" si="17"/>
        <v>0</v>
      </c>
    </row>
    <row r="177" spans="2:25" x14ac:dyDescent="0.4">
      <c r="B177" s="156"/>
      <c r="C177" s="1"/>
      <c r="D177" s="1" t="s">
        <v>512</v>
      </c>
      <c r="E177" s="155"/>
      <c r="F177" s="155">
        <v>1000</v>
      </c>
      <c r="G177" s="155"/>
      <c r="H177" s="155">
        <v>6069.2800000000007</v>
      </c>
      <c r="I177" s="155"/>
      <c r="J177" s="155">
        <v>2991.88</v>
      </c>
      <c r="K177" s="155"/>
      <c r="L177" s="155"/>
      <c r="M177" s="155"/>
      <c r="N177" s="155">
        <v>4717.6100000000006</v>
      </c>
      <c r="O177" s="155"/>
      <c r="P177" s="155"/>
      <c r="Q177" s="155"/>
      <c r="R177" s="155">
        <v>1348.2799999999997</v>
      </c>
      <c r="S177" s="155"/>
      <c r="T177" s="155">
        <v>120.58000000000004</v>
      </c>
      <c r="U177" s="155"/>
      <c r="V177" s="155">
        <f t="shared" si="15"/>
        <v>120.58000000000004</v>
      </c>
      <c r="W177" s="155">
        <f t="shared" si="16"/>
        <v>1.2692631578947373</v>
      </c>
      <c r="Y177" s="153">
        <f t="shared" si="17"/>
        <v>0</v>
      </c>
    </row>
    <row r="178" spans="2:25" x14ac:dyDescent="0.4">
      <c r="B178" s="156"/>
      <c r="C178" s="1"/>
      <c r="D178" s="1" t="s">
        <v>525</v>
      </c>
      <c r="E178" s="155"/>
      <c r="F178" s="155">
        <v>11272</v>
      </c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>
        <f t="shared" si="15"/>
        <v>0</v>
      </c>
      <c r="W178" s="155">
        <f t="shared" si="16"/>
        <v>0</v>
      </c>
      <c r="Y178" s="153">
        <f t="shared" si="17"/>
        <v>0</v>
      </c>
    </row>
    <row r="179" spans="2:25" x14ac:dyDescent="0.4">
      <c r="B179" s="156"/>
      <c r="C179" s="1"/>
      <c r="D179" s="1" t="s">
        <v>50</v>
      </c>
      <c r="E179" s="155">
        <v>2000</v>
      </c>
      <c r="F179" s="155">
        <v>213514</v>
      </c>
      <c r="G179" s="155">
        <v>378</v>
      </c>
      <c r="H179" s="155">
        <v>1500</v>
      </c>
      <c r="I179" s="155"/>
      <c r="J179" s="155"/>
      <c r="K179" s="155"/>
      <c r="L179" s="155">
        <v>7597</v>
      </c>
      <c r="M179" s="155">
        <v>6731</v>
      </c>
      <c r="N179" s="155"/>
      <c r="O179" s="155"/>
      <c r="P179" s="155">
        <v>5297</v>
      </c>
      <c r="Q179" s="155"/>
      <c r="R179" s="155"/>
      <c r="S179" s="155"/>
      <c r="T179" s="155"/>
      <c r="U179" s="155"/>
      <c r="V179" s="155">
        <f t="shared" si="15"/>
        <v>0</v>
      </c>
      <c r="W179" s="155">
        <f t="shared" si="16"/>
        <v>0</v>
      </c>
      <c r="Y179" s="153">
        <f t="shared" si="17"/>
        <v>0</v>
      </c>
    </row>
    <row r="180" spans="2:25" x14ac:dyDescent="0.4">
      <c r="B180" s="156"/>
      <c r="C180" s="1"/>
      <c r="D180" s="1" t="s">
        <v>524</v>
      </c>
      <c r="E180" s="155"/>
      <c r="F180" s="155"/>
      <c r="G180" s="155"/>
      <c r="H180" s="155"/>
      <c r="I180" s="155"/>
      <c r="J180" s="155">
        <v>2271.71</v>
      </c>
      <c r="K180" s="155">
        <v>2747.45</v>
      </c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>
        <f t="shared" si="15"/>
        <v>0</v>
      </c>
      <c r="W180" s="155">
        <f t="shared" si="16"/>
        <v>0</v>
      </c>
      <c r="Y180" s="153">
        <f t="shared" si="17"/>
        <v>0</v>
      </c>
    </row>
    <row r="181" spans="2:25" x14ac:dyDescent="0.4">
      <c r="B181" s="156"/>
      <c r="C181" s="1"/>
      <c r="D181" s="1" t="s">
        <v>523</v>
      </c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>
        <v>5876</v>
      </c>
      <c r="Q181" s="155"/>
      <c r="R181" s="155"/>
      <c r="S181" s="155"/>
      <c r="T181" s="155">
        <v>1479</v>
      </c>
      <c r="U181" s="155"/>
      <c r="V181" s="155">
        <f t="shared" si="15"/>
        <v>1479</v>
      </c>
      <c r="W181" s="155">
        <f t="shared" si="16"/>
        <v>15.56842105263158</v>
      </c>
      <c r="Y181" s="153">
        <f t="shared" si="17"/>
        <v>0</v>
      </c>
    </row>
    <row r="182" spans="2:25" x14ac:dyDescent="0.4">
      <c r="B182" s="156"/>
      <c r="C182" s="1"/>
      <c r="D182" s="1" t="s">
        <v>522</v>
      </c>
      <c r="E182" s="155"/>
      <c r="F182" s="155">
        <v>7814.19</v>
      </c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>
        <f t="shared" si="15"/>
        <v>0</v>
      </c>
      <c r="W182" s="155">
        <f t="shared" si="16"/>
        <v>0</v>
      </c>
      <c r="Y182" s="153">
        <f t="shared" si="17"/>
        <v>0</v>
      </c>
    </row>
    <row r="183" spans="2:25" x14ac:dyDescent="0.4">
      <c r="B183" s="156"/>
      <c r="C183" s="1"/>
      <c r="D183" s="1" t="s">
        <v>521</v>
      </c>
      <c r="E183" s="155"/>
      <c r="F183" s="155"/>
      <c r="G183" s="155">
        <v>41428.58</v>
      </c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>
        <f t="shared" si="15"/>
        <v>0</v>
      </c>
      <c r="W183" s="155">
        <f t="shared" si="16"/>
        <v>0</v>
      </c>
      <c r="Y183" s="153">
        <f t="shared" si="17"/>
        <v>0</v>
      </c>
    </row>
    <row r="184" spans="2:25" x14ac:dyDescent="0.4">
      <c r="B184" s="156"/>
      <c r="C184" s="1"/>
      <c r="D184" s="1" t="s">
        <v>520</v>
      </c>
      <c r="E184" s="155"/>
      <c r="F184" s="155"/>
      <c r="G184" s="155">
        <v>6852</v>
      </c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>
        <f t="shared" si="15"/>
        <v>0</v>
      </c>
      <c r="W184" s="155">
        <f t="shared" si="16"/>
        <v>0</v>
      </c>
      <c r="Y184" s="153">
        <f t="shared" si="17"/>
        <v>0</v>
      </c>
    </row>
    <row r="185" spans="2:25" x14ac:dyDescent="0.4">
      <c r="B185" s="156"/>
      <c r="C185" s="1"/>
      <c r="D185" s="1" t="s">
        <v>519</v>
      </c>
      <c r="E185" s="155"/>
      <c r="F185" s="155"/>
      <c r="G185" s="155"/>
      <c r="H185" s="155">
        <v>8356.51</v>
      </c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>
        <f t="shared" si="15"/>
        <v>0</v>
      </c>
      <c r="W185" s="155">
        <f t="shared" si="16"/>
        <v>0</v>
      </c>
      <c r="Y185" s="153">
        <f t="shared" si="17"/>
        <v>0</v>
      </c>
    </row>
    <row r="186" spans="2:25" x14ac:dyDescent="0.4">
      <c r="B186" s="156"/>
      <c r="C186" s="1"/>
      <c r="D186" s="1" t="s">
        <v>518</v>
      </c>
      <c r="E186" s="155"/>
      <c r="F186" s="155"/>
      <c r="G186" s="155"/>
      <c r="H186" s="155"/>
      <c r="I186" s="155">
        <v>2114</v>
      </c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>
        <f t="shared" si="15"/>
        <v>0</v>
      </c>
      <c r="W186" s="155">
        <f t="shared" si="16"/>
        <v>0</v>
      </c>
      <c r="Y186" s="153">
        <f t="shared" si="17"/>
        <v>0</v>
      </c>
    </row>
    <row r="187" spans="2:25" x14ac:dyDescent="0.4">
      <c r="B187" s="156"/>
      <c r="C187" s="1"/>
      <c r="D187" s="1" t="s">
        <v>517</v>
      </c>
      <c r="E187" s="155"/>
      <c r="F187" s="155"/>
      <c r="G187" s="155"/>
      <c r="H187" s="155"/>
      <c r="I187" s="155"/>
      <c r="J187" s="155"/>
      <c r="K187" s="155"/>
      <c r="L187" s="155"/>
      <c r="M187" s="155"/>
      <c r="N187" s="155">
        <v>3163.88</v>
      </c>
      <c r="O187" s="155">
        <v>10894.840000000002</v>
      </c>
      <c r="P187" s="155">
        <v>9055.0199999999986</v>
      </c>
      <c r="Q187" s="155">
        <v>2100.1099999999997</v>
      </c>
      <c r="R187" s="155">
        <v>2395.42</v>
      </c>
      <c r="S187" s="155">
        <v>8606.3000000000011</v>
      </c>
      <c r="T187" s="155">
        <v>12020.900000000001</v>
      </c>
      <c r="U187" s="155">
        <v>13698.36</v>
      </c>
      <c r="V187" s="155">
        <f t="shared" si="15"/>
        <v>-1677.4599999999991</v>
      </c>
      <c r="W187" s="155">
        <f t="shared" si="16"/>
        <v>-17.657473684210519</v>
      </c>
      <c r="Y187" s="153">
        <f t="shared" si="17"/>
        <v>144.19326315789473</v>
      </c>
    </row>
    <row r="188" spans="2:25" x14ac:dyDescent="0.4">
      <c r="B188" s="156"/>
      <c r="C188" s="1"/>
      <c r="D188" s="1" t="s">
        <v>516</v>
      </c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>
        <v>22400</v>
      </c>
      <c r="R188" s="155"/>
      <c r="S188" s="155"/>
      <c r="T188" s="155"/>
      <c r="U188" s="155"/>
      <c r="V188" s="155">
        <f t="shared" si="15"/>
        <v>0</v>
      </c>
      <c r="W188" s="155">
        <f t="shared" si="16"/>
        <v>0</v>
      </c>
      <c r="Y188" s="153">
        <f t="shared" si="17"/>
        <v>0</v>
      </c>
    </row>
    <row r="189" spans="2:25" x14ac:dyDescent="0.4">
      <c r="B189" s="156" t="s">
        <v>515</v>
      </c>
      <c r="C189" s="156"/>
      <c r="D189" s="156"/>
      <c r="E189" s="155">
        <v>716056.5</v>
      </c>
      <c r="F189" s="155">
        <v>829735.19</v>
      </c>
      <c r="G189" s="155">
        <v>1324492.1399999999</v>
      </c>
      <c r="H189" s="155">
        <v>1023341.4600000001</v>
      </c>
      <c r="I189" s="155">
        <v>1427735.2</v>
      </c>
      <c r="J189" s="155">
        <v>1304707.8599999999</v>
      </c>
      <c r="K189" s="155">
        <v>1279651.1299999999</v>
      </c>
      <c r="L189" s="155">
        <v>1295705.06</v>
      </c>
      <c r="M189" s="155">
        <v>1464436.9</v>
      </c>
      <c r="N189" s="155">
        <v>1443733.0199999998</v>
      </c>
      <c r="O189" s="155">
        <v>1511114.8900000001</v>
      </c>
      <c r="P189" s="155">
        <v>1969130.8299999998</v>
      </c>
      <c r="Q189" s="155">
        <v>1598327.24</v>
      </c>
      <c r="R189" s="155">
        <v>1419654.64</v>
      </c>
      <c r="S189" s="155">
        <v>1526261.0999999999</v>
      </c>
      <c r="T189" s="155">
        <v>1488324.5999999999</v>
      </c>
      <c r="U189" s="155">
        <v>1448213.4100000001</v>
      </c>
      <c r="V189" s="157">
        <f t="shared" si="15"/>
        <v>40111.189999999711</v>
      </c>
      <c r="W189" s="157">
        <f t="shared" si="16"/>
        <v>422.22305263157591</v>
      </c>
      <c r="Y189" s="153">
        <f t="shared" si="17"/>
        <v>15244.351684210527</v>
      </c>
    </row>
    <row r="190" spans="2:25" x14ac:dyDescent="0.4">
      <c r="B190" s="156" t="s">
        <v>514</v>
      </c>
      <c r="C190" s="1" t="s">
        <v>9</v>
      </c>
      <c r="D190" s="1" t="s">
        <v>511</v>
      </c>
      <c r="E190" s="155"/>
      <c r="F190" s="155"/>
      <c r="G190" s="155"/>
      <c r="H190" s="155">
        <v>1205</v>
      </c>
      <c r="I190" s="155">
        <v>603</v>
      </c>
      <c r="J190" s="155"/>
      <c r="K190" s="155">
        <v>2</v>
      </c>
      <c r="L190" s="155"/>
      <c r="M190" s="155">
        <v>5880</v>
      </c>
      <c r="N190" s="155">
        <v>31039</v>
      </c>
      <c r="O190" s="155">
        <v>6623</v>
      </c>
      <c r="P190" s="155">
        <v>101690.54000000001</v>
      </c>
      <c r="Q190" s="155">
        <v>58759</v>
      </c>
      <c r="R190" s="155">
        <v>68655</v>
      </c>
      <c r="S190" s="155">
        <v>130378.1</v>
      </c>
      <c r="T190" s="155">
        <v>87283</v>
      </c>
      <c r="U190" s="155">
        <v>81227</v>
      </c>
      <c r="V190" s="155">
        <f t="shared" si="15"/>
        <v>6056</v>
      </c>
      <c r="W190" s="155">
        <f t="shared" si="16"/>
        <v>63.747368421052634</v>
      </c>
      <c r="Y190" s="153">
        <f t="shared" si="17"/>
        <v>855.02105263157898</v>
      </c>
    </row>
    <row r="191" spans="2:25" x14ac:dyDescent="0.4">
      <c r="B191" s="156"/>
      <c r="C191" s="1" t="s">
        <v>15</v>
      </c>
      <c r="D191" s="1" t="s">
        <v>510</v>
      </c>
      <c r="E191" s="155">
        <v>45</v>
      </c>
      <c r="F191" s="155">
        <v>30.490000000000002</v>
      </c>
      <c r="G191" s="155">
        <v>28</v>
      </c>
      <c r="H191" s="155">
        <v>1003</v>
      </c>
      <c r="I191" s="155">
        <v>72</v>
      </c>
      <c r="J191" s="155">
        <v>44</v>
      </c>
      <c r="K191" s="155"/>
      <c r="L191" s="155"/>
      <c r="M191" s="155"/>
      <c r="N191" s="155"/>
      <c r="O191" s="155"/>
      <c r="P191" s="155"/>
      <c r="Q191" s="155">
        <v>590</v>
      </c>
      <c r="R191" s="155"/>
      <c r="S191" s="155"/>
      <c r="T191" s="155"/>
      <c r="U191" s="155"/>
      <c r="V191" s="155">
        <f t="shared" si="15"/>
        <v>0</v>
      </c>
      <c r="W191" s="155">
        <f t="shared" si="16"/>
        <v>0</v>
      </c>
      <c r="Y191" s="153">
        <f t="shared" si="17"/>
        <v>0</v>
      </c>
    </row>
    <row r="192" spans="2:25" x14ac:dyDescent="0.4">
      <c r="B192" s="156"/>
      <c r="C192" s="1"/>
      <c r="D192" s="1" t="s">
        <v>513</v>
      </c>
      <c r="E192" s="155">
        <v>23.67</v>
      </c>
      <c r="F192" s="155">
        <v>931.53</v>
      </c>
      <c r="G192" s="155">
        <v>23.67</v>
      </c>
      <c r="H192" s="155">
        <v>23.67</v>
      </c>
      <c r="I192" s="155">
        <v>23.67</v>
      </c>
      <c r="J192" s="155">
        <v>23.67</v>
      </c>
      <c r="K192" s="155">
        <v>2025.63</v>
      </c>
      <c r="L192" s="155">
        <v>59.510000000000005</v>
      </c>
      <c r="M192" s="155">
        <v>57.49</v>
      </c>
      <c r="N192" s="155">
        <v>285.36</v>
      </c>
      <c r="O192" s="155">
        <v>57.49</v>
      </c>
      <c r="P192" s="155">
        <v>57.49</v>
      </c>
      <c r="Q192" s="155">
        <v>57.49</v>
      </c>
      <c r="R192" s="155">
        <v>57.49</v>
      </c>
      <c r="S192" s="155">
        <v>57.49</v>
      </c>
      <c r="T192" s="155">
        <v>57.49</v>
      </c>
      <c r="U192" s="155">
        <v>47.16</v>
      </c>
      <c r="V192" s="155">
        <f t="shared" si="15"/>
        <v>10.330000000000005</v>
      </c>
      <c r="W192" s="155">
        <f t="shared" si="16"/>
        <v>0.10873684210526322</v>
      </c>
      <c r="Y192" s="153">
        <f t="shared" si="17"/>
        <v>0.49642105263157893</v>
      </c>
    </row>
    <row r="193" spans="2:25" x14ac:dyDescent="0.4">
      <c r="B193" s="156"/>
      <c r="C193" s="1"/>
      <c r="D193" s="1" t="s">
        <v>512</v>
      </c>
      <c r="E193" s="155"/>
      <c r="F193" s="155"/>
      <c r="G193" s="155">
        <v>-4999</v>
      </c>
      <c r="H193" s="155"/>
      <c r="I193" s="155">
        <v>1512.36</v>
      </c>
      <c r="J193" s="155"/>
      <c r="K193" s="155"/>
      <c r="L193" s="155"/>
      <c r="M193" s="155"/>
      <c r="N193" s="155"/>
      <c r="O193" s="155">
        <v>594.51</v>
      </c>
      <c r="P193" s="155">
        <v>495.51</v>
      </c>
      <c r="Q193" s="155"/>
      <c r="R193" s="155">
        <v>8.18</v>
      </c>
      <c r="S193" s="155">
        <v>146.74</v>
      </c>
      <c r="T193" s="155">
        <v>11.79</v>
      </c>
      <c r="U193" s="155">
        <v>741.64</v>
      </c>
      <c r="V193" s="155">
        <f t="shared" si="15"/>
        <v>-729.85</v>
      </c>
      <c r="W193" s="155">
        <f t="shared" si="16"/>
        <v>-7.6826315789473689</v>
      </c>
      <c r="Y193" s="153">
        <f t="shared" si="17"/>
        <v>7.8067368421052628</v>
      </c>
    </row>
    <row r="194" spans="2:25" x14ac:dyDescent="0.4">
      <c r="B194" s="156"/>
      <c r="C194" s="1"/>
      <c r="D194" s="1" t="s">
        <v>511</v>
      </c>
      <c r="E194" s="155"/>
      <c r="F194" s="155">
        <v>18000</v>
      </c>
      <c r="G194" s="155"/>
      <c r="H194" s="155"/>
      <c r="I194" s="155"/>
      <c r="J194" s="155">
        <v>3855</v>
      </c>
      <c r="K194" s="155"/>
      <c r="L194" s="155">
        <v>5134.62</v>
      </c>
      <c r="M194" s="155">
        <v>3210</v>
      </c>
      <c r="N194" s="155"/>
      <c r="O194" s="155">
        <v>3406.57</v>
      </c>
      <c r="P194" s="155"/>
      <c r="Q194" s="155">
        <v>672.79</v>
      </c>
      <c r="R194" s="155"/>
      <c r="S194" s="155"/>
      <c r="T194" s="155"/>
      <c r="U194" s="155"/>
      <c r="V194" s="155">
        <f t="shared" si="15"/>
        <v>0</v>
      </c>
      <c r="W194" s="155">
        <f t="shared" si="16"/>
        <v>0</v>
      </c>
      <c r="Y194" s="153">
        <f t="shared" si="17"/>
        <v>0</v>
      </c>
    </row>
    <row r="195" spans="2:25" x14ac:dyDescent="0.4">
      <c r="B195" s="156"/>
      <c r="C195" s="1" t="s">
        <v>131</v>
      </c>
      <c r="D195" s="1" t="s">
        <v>510</v>
      </c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>
        <v>11745</v>
      </c>
      <c r="V195" s="155">
        <f t="shared" si="15"/>
        <v>-11745</v>
      </c>
      <c r="W195" s="155">
        <f t="shared" si="16"/>
        <v>-123.63157894736842</v>
      </c>
      <c r="Y195" s="153">
        <f t="shared" si="17"/>
        <v>123.63157894736842</v>
      </c>
    </row>
    <row r="196" spans="2:25" x14ac:dyDescent="0.4">
      <c r="B196" s="156"/>
      <c r="C196" s="1" t="s">
        <v>133</v>
      </c>
      <c r="D196" s="1" t="s">
        <v>510</v>
      </c>
      <c r="E196" s="155"/>
      <c r="F196" s="155"/>
      <c r="G196" s="155"/>
      <c r="H196" s="155"/>
      <c r="I196" s="155">
        <v>300</v>
      </c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>
        <v>729</v>
      </c>
      <c r="V196" s="155">
        <f t="shared" si="15"/>
        <v>-729</v>
      </c>
      <c r="W196" s="155">
        <f t="shared" si="16"/>
        <v>-7.6736842105263161</v>
      </c>
      <c r="Y196" s="153">
        <f t="shared" si="17"/>
        <v>7.6736842105263161</v>
      </c>
    </row>
    <row r="197" spans="2:25" x14ac:dyDescent="0.4">
      <c r="B197" s="156" t="s">
        <v>509</v>
      </c>
      <c r="C197" s="156"/>
      <c r="D197" s="156"/>
      <c r="E197" s="155">
        <v>68.67</v>
      </c>
      <c r="F197" s="155">
        <v>18962.02</v>
      </c>
      <c r="G197" s="155">
        <v>-4947.33</v>
      </c>
      <c r="H197" s="155">
        <v>2231.67</v>
      </c>
      <c r="I197" s="155">
        <v>2511.0299999999997</v>
      </c>
      <c r="J197" s="155">
        <v>3922.67</v>
      </c>
      <c r="K197" s="155">
        <v>2027.63</v>
      </c>
      <c r="L197" s="155">
        <v>5194.13</v>
      </c>
      <c r="M197" s="155">
        <v>9147.49</v>
      </c>
      <c r="N197" s="155">
        <v>31324.36</v>
      </c>
      <c r="O197" s="155">
        <v>10681.57</v>
      </c>
      <c r="P197" s="155">
        <v>102243.54000000001</v>
      </c>
      <c r="Q197" s="155">
        <v>60079.28</v>
      </c>
      <c r="R197" s="155">
        <v>68720.67</v>
      </c>
      <c r="S197" s="155">
        <v>130582.33</v>
      </c>
      <c r="T197" s="155">
        <v>87352.28</v>
      </c>
      <c r="U197" s="155">
        <v>94489.8</v>
      </c>
      <c r="V197" s="157">
        <f t="shared" si="15"/>
        <v>-7137.5200000000041</v>
      </c>
      <c r="W197" s="157">
        <f t="shared" si="16"/>
        <v>-75.13178947368425</v>
      </c>
      <c r="Y197" s="153">
        <f t="shared" si="17"/>
        <v>994.62947368421055</v>
      </c>
    </row>
    <row r="198" spans="2:25" x14ac:dyDescent="0.4">
      <c r="B198" s="156" t="s">
        <v>245</v>
      </c>
      <c r="C198" s="156"/>
      <c r="D198" s="156"/>
      <c r="E198" s="155">
        <v>9876552.5999999996</v>
      </c>
      <c r="F198" s="155">
        <v>10747658.059999999</v>
      </c>
      <c r="G198" s="155">
        <v>11776908.880000001</v>
      </c>
      <c r="H198" s="155">
        <v>10868401.569999998</v>
      </c>
      <c r="I198" s="155">
        <v>11180767.439999999</v>
      </c>
      <c r="J198" s="155">
        <v>11715766.770000001</v>
      </c>
      <c r="K198" s="155">
        <v>11826942.000000002</v>
      </c>
      <c r="L198" s="155">
        <v>13232953.790000001</v>
      </c>
      <c r="M198" s="155">
        <v>13277883.770000001</v>
      </c>
      <c r="N198" s="155">
        <v>13959498.48</v>
      </c>
      <c r="O198" s="155">
        <v>14247608.67</v>
      </c>
      <c r="P198" s="155">
        <v>14068035.709999999</v>
      </c>
      <c r="Q198" s="155">
        <v>13935657.510000002</v>
      </c>
      <c r="R198" s="155">
        <v>14196742.919999998</v>
      </c>
      <c r="S198" s="155">
        <v>14321040.210000003</v>
      </c>
      <c r="T198" s="155">
        <v>13940476.270000001</v>
      </c>
      <c r="U198" s="155">
        <v>13191429.569999998</v>
      </c>
      <c r="V198" s="154">
        <f t="shared" ref="V198" si="18">T198-U198</f>
        <v>749046.70000000298</v>
      </c>
      <c r="W198" s="154">
        <f t="shared" ref="W198" si="19">V198/95</f>
        <v>7884.702105263189</v>
      </c>
      <c r="Y198" s="153">
        <f t="shared" si="17"/>
        <v>138857.15336842104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Sheet1</vt:lpstr>
      <vt:lpstr>Consolidated PnL-Jan</vt:lpstr>
      <vt:lpstr>Consolidated- Mar&amp;Feb</vt:lpstr>
      <vt:lpstr>Consolidted PnL-April</vt:lpstr>
      <vt:lpstr>Consolidted PnL-May</vt:lpstr>
      <vt:lpstr>Holding Detailed Exp summary</vt:lpstr>
      <vt:lpstr>Subs Detailed Exp Summary</vt:lpstr>
      <vt:lpstr>'Subs Detailed Exp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Bollapragada Bhavana</dc:creator>
  <cp:lastModifiedBy>Bollapragada Bhavana</cp:lastModifiedBy>
  <dcterms:created xsi:type="dcterms:W3CDTF">2026-07-13T07:18:41Z</dcterms:created>
  <dcterms:modified xsi:type="dcterms:W3CDTF">2026-07-14T06:01:25Z</dcterms:modified>
</cp:coreProperties>
</file>