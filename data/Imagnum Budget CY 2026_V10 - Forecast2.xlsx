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spiceroutefinanc-my.sharepoint.com/personal/bhavana_srfcapital_studio/Documents/MIS Dashboard - iMagnum/imagnum-dashboard/data/"/>
    </mc:Choice>
  </mc:AlternateContent>
  <xr:revisionPtr revIDLastSave="0" documentId="8_{8B778289-0406-4435-A465-D82E73FF9298}" xr6:coauthVersionLast="47" xr6:coauthVersionMax="47" xr10:uidLastSave="{00000000-0000-0000-0000-000000000000}"/>
  <bookViews>
    <workbookView xWindow="-110" yWindow="-110" windowWidth="19420" windowHeight="10300" tabRatio="883" firstSheet="3" activeTab="12" xr2:uid="{00000000-000D-0000-FFFF-FFFF00000000}"/>
  </bookViews>
  <sheets>
    <sheet name="Sheet1" sheetId="1" state="hidden" r:id="rId1"/>
    <sheet name="Sheet 3" sheetId="5" state="hidden" r:id="rId2"/>
    <sheet name="1. Revenue Buildup 2026" sheetId="10" r:id="rId3"/>
    <sheet name="Base Revenue" sheetId="2" r:id="rId4"/>
    <sheet name="2. Headcount Buildup" sheetId="13" r:id="rId5"/>
    <sheet name="2. Headcount Buildup - MBMS" sheetId="28" state="hidden" r:id="rId6"/>
    <sheet name="Payroll 2025" sheetId="39" r:id="rId7"/>
    <sheet name="3. P&amp;L Summary" sheetId="24" r:id="rId8"/>
    <sheet name="3. P&amp;L - Only Base+Confirmed'25" sheetId="31" state="hidden" r:id="rId9"/>
    <sheet name="3. P&amp;L Summary Actual" sheetId="30" state="hidden" r:id="rId10"/>
    <sheet name="4. India Expenses INR" sheetId="12" state="hidden" r:id="rId11"/>
    <sheet name="3. P&amp;L Summary Ideal" sheetId="38" state="hidden" r:id="rId12"/>
    <sheet name="5. US Expenses" sheetId="16" r:id="rId13"/>
    <sheet name="India Expenses - Detailed" sheetId="14" r:id="rId14"/>
    <sheet name="Base FTE" sheetId="34" r:id="rId15"/>
    <sheet name="Base Revenue Details" sheetId="32" r:id="rId16"/>
    <sheet name="Clientwise Profitability" sheetId="37" r:id="rId17"/>
    <sheet name="Base Volumes and Norms" sheetId="33" state="hidden" r:id="rId18"/>
    <sheet name="Addl costs" sheetId="27" state="hidden" r:id="rId19"/>
    <sheet name="Digital Marketing" sheetId="25" state="hidden" r:id="rId20"/>
    <sheet name="Cold Calling Team" sheetId="26" state="hidden" r:id="rId21"/>
    <sheet name="Forecast Budget - 2026" sheetId="35" state="hidden" r:id="rId22"/>
    <sheet name="Base Rev - Given" sheetId="29" state="hidden" r:id="rId23"/>
    <sheet name="Manpower Existing" sheetId="4" state="hidden" r:id="rId24"/>
    <sheet name="System Rental Charges" sheetId="23" state="hidden" r:id="rId25"/>
    <sheet name="Pivot" sheetId="18" state="hidden" r:id="rId26"/>
  </sheets>
  <externalReferences>
    <externalReference r:id="rId27"/>
  </externalReferences>
  <definedNames>
    <definedName name="\">#REF!</definedName>
    <definedName name="\0">#REF!</definedName>
    <definedName name="\A">#REF!</definedName>
    <definedName name="\B">#REF!</definedName>
    <definedName name="\E">#REF!</definedName>
    <definedName name="\G">#REF!</definedName>
    <definedName name="\L">#REF!</definedName>
    <definedName name="\q">#REF!</definedName>
    <definedName name="\S">#REF!</definedName>
    <definedName name="\T">#REF!</definedName>
    <definedName name="\U">#REF!</definedName>
    <definedName name="________DAT7">#REF!</definedName>
    <definedName name="________DAT8">#REF!</definedName>
    <definedName name="________DAT9">#REF!</definedName>
    <definedName name="_______DAT13">#REF!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New1">#REF!</definedName>
    <definedName name="______DAT13">#REF!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New1">#REF!</definedName>
    <definedName name="_____DAT1">#REF!</definedName>
    <definedName name="_____DAT13">#REF!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New1">#REF!</definedName>
    <definedName name="____DAT1">#REF!</definedName>
    <definedName name="____DAT13">#REF!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New1">#REF!</definedName>
    <definedName name="___col1">#REF!</definedName>
    <definedName name="___col10">#REF!</definedName>
    <definedName name="___col11">#REF!</definedName>
    <definedName name="___col12">#REF!</definedName>
    <definedName name="___col13">#REF!</definedName>
    <definedName name="___col2">#REF!</definedName>
    <definedName name="___col3">#REF!</definedName>
    <definedName name="___col4">#REF!</definedName>
    <definedName name="___col5">#REF!</definedName>
    <definedName name="___col6">#REF!</definedName>
    <definedName name="___col7">#REF!</definedName>
    <definedName name="___col8">#REF!</definedName>
    <definedName name="___col9">#REF!</definedName>
    <definedName name="___DAT1">#REF!</definedName>
    <definedName name="___DAT11">#REF!</definedName>
    <definedName name="___DAT12">#REF!</definedName>
    <definedName name="___DAT13">#REF!</definedName>
    <definedName name="___DAT1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MAR9091">#REF!</definedName>
    <definedName name="___New1">#REF!</definedName>
    <definedName name="___PG1">#REF!</definedName>
    <definedName name="___TB2004">#REF!</definedName>
    <definedName name="___YE45">#REF!</definedName>
    <definedName name="__123Graph_A" hidden="1">#REF!</definedName>
    <definedName name="__123Graph_B" hidden="1">#REF!</definedName>
    <definedName name="__123Graph_D" hidden="1">#REF!</definedName>
    <definedName name="__123Graph_X" hidden="1">#REF!</definedName>
    <definedName name="__col1">#REF!</definedName>
    <definedName name="__col10">#REF!</definedName>
    <definedName name="__col11">#REF!</definedName>
    <definedName name="__col12">#REF!</definedName>
    <definedName name="__col13">#REF!</definedName>
    <definedName name="__col2">#REF!</definedName>
    <definedName name="__col3">#REF!</definedName>
    <definedName name="__col4">#REF!</definedName>
    <definedName name="__col5">#REF!</definedName>
    <definedName name="__col6">#REF!</definedName>
    <definedName name="__col7">#REF!</definedName>
    <definedName name="__col8">#REF!</definedName>
    <definedName name="__col9">#REF!</definedName>
    <definedName name="__DAT">#REF!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FDS_HYPERLINK_TOGGLE_STATE__">"ON"</definedName>
    <definedName name="__IntlFixup">TRUE</definedName>
    <definedName name="__MAR9091">#REF!</definedName>
    <definedName name="__New1">#REF!</definedName>
    <definedName name="__P1">#REF!</definedName>
    <definedName name="__PG1">#REF!</definedName>
    <definedName name="__PG6">#REF!</definedName>
    <definedName name="__sep97">#REF!</definedName>
    <definedName name="__sht1">#REF!</definedName>
    <definedName name="__TAX1">#REF!</definedName>
    <definedName name="__TB2004">#REF!</definedName>
    <definedName name="__YE45">#REF!</definedName>
    <definedName name="_1">#REF!</definedName>
    <definedName name="_10">#REF!</definedName>
    <definedName name="_10_9_BT_DECEMB">#REF!</definedName>
    <definedName name="_10_9_BT_FEBRUA">#REF!</definedName>
    <definedName name="_10_9_BT_NOVEMB">#REF!</definedName>
    <definedName name="_10_9_BT_SEPTEM">#REF!</definedName>
    <definedName name="_10_9_BTU_ANNUA">#REF!</definedName>
    <definedName name="_10_9_BTU_APRIL">#REF!</definedName>
    <definedName name="_10_9_BTU_AUGUS">#REF!</definedName>
    <definedName name="_10_9_BTU_JANUA">#REF!</definedName>
    <definedName name="_10_9_BTU_JULY">#REF!</definedName>
    <definedName name="_10_9_BTU_JUNE">#REF!</definedName>
    <definedName name="_10_9_BTU_MARCH">#REF!</definedName>
    <definedName name="_10_9_BTU_MAY">#REF!</definedName>
    <definedName name="_10_9_BTU_OCTOB">#REF!</definedName>
    <definedName name="_3">#REF!</definedName>
    <definedName name="_31_Mar_10">#REF!</definedName>
    <definedName name="_31_Mar_18">#REF!</definedName>
    <definedName name="_4">#REF!</definedName>
    <definedName name="_5">#REF!</definedName>
    <definedName name="_6">#REF!</definedName>
    <definedName name="_7">#REF!</definedName>
    <definedName name="_8">#REF!</definedName>
    <definedName name="_9">#REF!</definedName>
    <definedName name="_BSH1">#REF!</definedName>
    <definedName name="_BSH2">#REF!</definedName>
    <definedName name="_BSH3">#REF!</definedName>
    <definedName name="_col1">#REF!</definedName>
    <definedName name="_col10">#REF!</definedName>
    <definedName name="_col11">#REF!</definedName>
    <definedName name="_col12">#REF!</definedName>
    <definedName name="_col13">#REF!</definedName>
    <definedName name="_col2">#REF!</definedName>
    <definedName name="_col3">#REF!</definedName>
    <definedName name="_col4">#REF!</definedName>
    <definedName name="_col5">#REF!</definedName>
    <definedName name="_col6">#REF!</definedName>
    <definedName name="_col7">#REF!</definedName>
    <definedName name="_col8">#REF!</definedName>
    <definedName name="_col9">#REF!</definedName>
    <definedName name="_cpg1">#REF!</definedName>
    <definedName name="_CPG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Fill" hidden="1">#REF!</definedName>
    <definedName name="_xlnm._FilterDatabase" localSheetId="18" hidden="1">'Addl costs'!$A$10:$Q$43</definedName>
    <definedName name="_xlnm._FilterDatabase" localSheetId="14" hidden="1">'Base FTE'!$A$1:$P$86</definedName>
    <definedName name="_xlnm._FilterDatabase" localSheetId="22" hidden="1">'Base Rev - Given'!$A$1:$AF$42</definedName>
    <definedName name="_xlnm._FilterDatabase" localSheetId="3" hidden="1">'Base Revenue'!$A$5:$AJ$61</definedName>
    <definedName name="_xlnm._FilterDatabase" localSheetId="15" hidden="1">'Base Revenue Details'!$B$2:$AI$59</definedName>
    <definedName name="_xlnm._FilterDatabase" localSheetId="16" hidden="1">'Clientwise Profitability'!$A$4:$V$29</definedName>
    <definedName name="_xlnm._FilterDatabase" localSheetId="13" hidden="1">'India Expenses - Detailed'!$A$1:$A$489</definedName>
    <definedName name="_xlnm._FilterDatabase" localSheetId="23" hidden="1">'Manpower Existing'!$A$4:$U$142</definedName>
    <definedName name="_xlnm._FilterDatabase" localSheetId="6" hidden="1">'Payroll 2025'!$A$1:$G$310</definedName>
    <definedName name="_xlnm._FilterDatabase" localSheetId="1" hidden="1">'Sheet 3'!$A$5:$BB$5</definedName>
    <definedName name="_xlnm._FilterDatabase" localSheetId="0" hidden="1">Sheet1!$A$5:$U$83</definedName>
    <definedName name="_Key1" hidden="1">#REF!</definedName>
    <definedName name="_MAR9091">#REF!</definedName>
    <definedName name="_mar98">#REF!</definedName>
    <definedName name="_mar99">#REF!</definedName>
    <definedName name="_msy1">#REF!</definedName>
    <definedName name="_msy2">#REF!</definedName>
    <definedName name="_msy3">#REF!</definedName>
    <definedName name="_msy4">#REF!</definedName>
    <definedName name="_nav2000">#REF!</definedName>
    <definedName name="_net99">#REF!</definedName>
    <definedName name="_New1">#REF!</definedName>
    <definedName name="_nov99">#REF!</definedName>
    <definedName name="_Order1">255</definedName>
    <definedName name="_Order2">0</definedName>
    <definedName name="_P1">#REF!</definedName>
    <definedName name="_Parse_Out" hidden="1">#REF!</definedName>
    <definedName name="_pg1">#REF!</definedName>
    <definedName name="_pg2">#REF!</definedName>
    <definedName name="_PG6">#REF!</definedName>
    <definedName name="_rev1">#REF!</definedName>
    <definedName name="_rev10">#REF!</definedName>
    <definedName name="_rev11">#REF!</definedName>
    <definedName name="_rev12">#REF!</definedName>
    <definedName name="_rev13">#REF!</definedName>
    <definedName name="_rev14">#REF!</definedName>
    <definedName name="_rev15">#REF!</definedName>
    <definedName name="_rev16">#REF!</definedName>
    <definedName name="_rev17">#REF!</definedName>
    <definedName name="_rev18">#REF!</definedName>
    <definedName name="_rev19">#REF!</definedName>
    <definedName name="_rev2">#REF!</definedName>
    <definedName name="_rev20">#REF!</definedName>
    <definedName name="_rev3">#REF!</definedName>
    <definedName name="_rev4">#REF!</definedName>
    <definedName name="_rev5">#REF!</definedName>
    <definedName name="_rev6">#REF!</definedName>
    <definedName name="_rev7">#REF!</definedName>
    <definedName name="_rev8">#REF!</definedName>
    <definedName name="_rev9">#REF!</definedName>
    <definedName name="_sch13">#REF!</definedName>
    <definedName name="_sch14">#REF!</definedName>
    <definedName name="_sch15">#REF!</definedName>
    <definedName name="_sch16">#REF!</definedName>
    <definedName name="_sep97">#REF!</definedName>
    <definedName name="_sht1">#REF!</definedName>
    <definedName name="_Sort" hidden="1">#REF!</definedName>
    <definedName name="_TAB1">#REF!</definedName>
    <definedName name="_Table2_In1" hidden="1">#REF!</definedName>
    <definedName name="_Table2_In2" hidden="1">#REF!</definedName>
    <definedName name="_Table2_Out" hidden="1">#REF!</definedName>
    <definedName name="_Table3_In2" hidden="1">#REF!</definedName>
    <definedName name="_TAX1">#REF!</definedName>
    <definedName name="_TB2004">#REF!</definedName>
    <definedName name="_TR1">#REF!</definedName>
    <definedName name="_TR3">#N/A</definedName>
    <definedName name="_TRA2">#REF!</definedName>
    <definedName name="_YE45">#REF!</definedName>
    <definedName name="a">#REF!</definedName>
    <definedName name="a654645454545">#REF!</definedName>
    <definedName name="aa">#REF!</definedName>
    <definedName name="acc">#REF!</definedName>
    <definedName name="Access">#REF!</definedName>
    <definedName name="AccessDatabase">"H:\Comps Table\Comp Sheet V4.1 (25th May 2000).mdb"</definedName>
    <definedName name="Account_Balance">#REF!</definedName>
    <definedName name="ACK">#REF!</definedName>
    <definedName name="Active_currency">#REF!</definedName>
    <definedName name="Active_currency_symbol">#REF!</definedName>
    <definedName name="actual">#REF!</definedName>
    <definedName name="AddFormula">#REF!</definedName>
    <definedName name="ADF">#REF!</definedName>
    <definedName name="adfjasjddf">#REF!</definedName>
    <definedName name="ADSF">#REF!</definedName>
    <definedName name="adsgag">#REF!</definedName>
    <definedName name="adsjhFAKHF">#REF!</definedName>
    <definedName name="AdvOthers">#REF!</definedName>
    <definedName name="advtgcost">#REF!</definedName>
    <definedName name="afafd">#REF!</definedName>
    <definedName name="Afferguson">#REF!</definedName>
    <definedName name="agpl_data_tb">#REF!</definedName>
    <definedName name="AGPL_TB">#REF!</definedName>
    <definedName name="ALL">#REF!</definedName>
    <definedName name="AllTables" localSheetId="16">{1}</definedName>
    <definedName name="AllTables" localSheetId="6">{1}</definedName>
    <definedName name="AllTables">{1}</definedName>
    <definedName name="Amortisationperiod">#REF!</definedName>
    <definedName name="AnnAvail">#REF!</definedName>
    <definedName name="annC">#REF!</definedName>
    <definedName name="AnnCapacity">#REF!</definedName>
    <definedName name="annexA">#REF!</definedName>
    <definedName name="annexB">#REF!</definedName>
    <definedName name="annexC">#REF!</definedName>
    <definedName name="Annexure2">#REF!</definedName>
    <definedName name="annexurea">#REF!</definedName>
    <definedName name="annexureb">#REF!</definedName>
    <definedName name="annexureC">#REF!</definedName>
    <definedName name="AnnII">#REF!</definedName>
    <definedName name="AnnIIIa">#REF!</definedName>
    <definedName name="AnnIIIb">#REF!</definedName>
    <definedName name="AnnIIIc">#REF!</definedName>
    <definedName name="AnnIVa">#REF!</definedName>
    <definedName name="AnnIVb">#REF!</definedName>
    <definedName name="AnnIXa">#REF!</definedName>
    <definedName name="AnnIXb">#REF!</definedName>
    <definedName name="AnnIXc">#REF!</definedName>
    <definedName name="AnnVI">#REF!</definedName>
    <definedName name="AnnVIIa">#REF!</definedName>
    <definedName name="AnnVIII">#REF!</definedName>
    <definedName name="AnnX">#REF!</definedName>
    <definedName name="annxA">#REF!</definedName>
    <definedName name="annxB">#REF!</definedName>
    <definedName name="annxC">#REF!</definedName>
    <definedName name="annxE">#REF!</definedName>
    <definedName name="AnnXI">#REF!</definedName>
    <definedName name="AnnXIc">#REF!</definedName>
    <definedName name="AnnXIIb">#REF!</definedName>
    <definedName name="AnnXIIc">#REF!</definedName>
    <definedName name="AnnXIV">#REF!</definedName>
    <definedName name="AnnXV">#REF!</definedName>
    <definedName name="AnnXVAFF">#REF!</definedName>
    <definedName name="AP">#REF!</definedName>
    <definedName name="Apr">#REF!</definedName>
    <definedName name="APRDATA?">#REF!</definedName>
    <definedName name="ARA_Threshold">#REF!</definedName>
    <definedName name="Area">#REF!</definedName>
    <definedName name="area_avail_del_hoarding">#REF!</definedName>
    <definedName name="area_avail_del_utility">#REF!</definedName>
    <definedName name="area_avail_kol_mpillars">#REF!</definedName>
    <definedName name="area_available_mum_bqs">#REF!</definedName>
    <definedName name="area_available_mum_hoarding">#REF!</definedName>
    <definedName name="area_available_mum_kiosk">#REF!</definedName>
    <definedName name="area_available_mum_utility">#REF!</definedName>
    <definedName name="area_available_new_r1">#REF!</definedName>
    <definedName name="area_available_new_s1">#REF!</definedName>
    <definedName name="area_available_new_s2">#REF!</definedName>
    <definedName name="area_available_new_sf1">#REF!</definedName>
    <definedName name="area_available_new_sf2">#REF!</definedName>
    <definedName name="area_available_new_sf3">#REF!</definedName>
    <definedName name="area_sold_del_bqs">#REF!</definedName>
    <definedName name="area_sold_del_dmrc1_bridgepanel">#REF!</definedName>
    <definedName name="area_sold_del_dmrc1_hoarding">#REF!</definedName>
    <definedName name="area_sold_del_dmrc1_mpillars">#REF!</definedName>
    <definedName name="area_sold_del_dmrc2_bridgepanel">#REF!</definedName>
    <definedName name="area_sold_del_dmrc2_hoarding">#REF!</definedName>
    <definedName name="area_sold_del_dmrc3_mpillars">#REF!</definedName>
    <definedName name="area_sold_del_dmrc4_mpillars">#REF!</definedName>
    <definedName name="area_sold_del_hoarding">#REF!</definedName>
    <definedName name="area_sold_del_mcd1_hoarding">#REF!</definedName>
    <definedName name="area_sold_del_mcd2_kiosk">#REF!</definedName>
    <definedName name="area_sold_del_mcd3_hoarding">#REF!</definedName>
    <definedName name="area_sold_del_mcd4_hoarding">#REF!</definedName>
    <definedName name="area_sold_del_mcd5_hoarding">#REF!</definedName>
    <definedName name="area_sold_del_nrdd_bridgepanel">#REF!</definedName>
    <definedName name="area_sold_del_nrdd_hoarding">#REF!</definedName>
    <definedName name="area_sold_del_nrdd_utility">#REF!</definedName>
    <definedName name="area_sold_del_utility">#REF!</definedName>
    <definedName name="area_sold_kol_bqs">#REF!</definedName>
    <definedName name="area_sold_kol_bridgepanel">#REF!</definedName>
    <definedName name="area_sold_kol_hoarding">#REF!</definedName>
    <definedName name="area_sold_kol_kiosk">#REF!</definedName>
    <definedName name="area_sold_kol_mpillars">#REF!</definedName>
    <definedName name="area_sold_kol_pillarwrap">#REF!</definedName>
    <definedName name="area_sold_kol_ts">#REF!</definedName>
    <definedName name="area_sold_mum_bestbus">#REF!</definedName>
    <definedName name="area_sold_mum_bqs">#REF!</definedName>
    <definedName name="area_sold_mum_hoarding">#REF!</definedName>
    <definedName name="area_sold_mum_kiosk">#REF!</definedName>
    <definedName name="area_sold_mum_utility">#REF!</definedName>
    <definedName name="area_sold_pun_bqs">#REF!</definedName>
    <definedName name="area_sold_pun_hoarding">#REF!</definedName>
    <definedName name="area_sold_pun_kiosk">#REF!</definedName>
    <definedName name="area_sold_pun_utility">#REF!</definedName>
    <definedName name="areais">#REF!</definedName>
    <definedName name="areamcn">#REF!</definedName>
    <definedName name="areaotherpoi">#REF!</definedName>
    <definedName name="ARP_Threshold">#REF!</definedName>
    <definedName name="AS2DocOpenMode">"AS2DocumentEdit"</definedName>
    <definedName name="AS2NamedRange">16</definedName>
    <definedName name="AS2ReportLS">1</definedName>
    <definedName name="AS2StaticLS" hidden="1">#REF!</definedName>
    <definedName name="AS2SyncStepLS">0</definedName>
    <definedName name="AS2TickmarkLS" hidden="1">#REF!</definedName>
    <definedName name="AS2VersionLS">300</definedName>
    <definedName name="asdafd">#REF!</definedName>
    <definedName name="asdf">#REF!</definedName>
    <definedName name="asdgasg">#REF!</definedName>
    <definedName name="asf">#REF!</definedName>
    <definedName name="asfdadf">#REF!</definedName>
    <definedName name="ASIA_PLASTIC_in_KUSD">#REF!</definedName>
    <definedName name="AsstYr">#REF!</definedName>
    <definedName name="assump">#REF!</definedName>
    <definedName name="Aug">#REF!</definedName>
    <definedName name="AUGDATA?">#REF!</definedName>
    <definedName name="AUTOPRINT_1">#REF!</definedName>
    <definedName name="AUTOPRINT_2">#REF!</definedName>
    <definedName name="axedoc">#REF!</definedName>
    <definedName name="b">#REF!</definedName>
    <definedName name="ba_diat">#REF!</definedName>
    <definedName name="BACK_A">#REF!</definedName>
    <definedName name="Bal_TB">#REF!</definedName>
    <definedName name="Balance_Sheet">#REF!</definedName>
    <definedName name="BalanceSheet">#REF!</definedName>
    <definedName name="BASE">#REF!</definedName>
    <definedName name="BASE_YEAR">#REF!</definedName>
    <definedName name="Basepopulation">#REF!</definedName>
    <definedName name="BASIS_YEAR">#REF!</definedName>
    <definedName name="Beurteilung">#REF!</definedName>
    <definedName name="BG_Del">15</definedName>
    <definedName name="BG_Ins">4</definedName>
    <definedName name="BG_Mod">6</definedName>
    <definedName name="bgcharge">#REF!</definedName>
    <definedName name="bhjvjcg">#REF!</definedName>
    <definedName name="bih">#REF!</definedName>
    <definedName name="Billable_Hours_for_IBS">#REF!</definedName>
    <definedName name="BILLING">#N/A</definedName>
    <definedName name="BILLING_RATE">#REF!</definedName>
    <definedName name="billingcollectionexpense">#REF!</definedName>
    <definedName name="Blanket">#REF!</definedName>
    <definedName name="bldgaqscharge">#REF!</definedName>
    <definedName name="BLPH1" hidden="1">#REF!</definedName>
    <definedName name="BlrChemCost">#REF!</definedName>
    <definedName name="BonusFee">#REF!</definedName>
    <definedName name="boxes">#REF!,#REF!</definedName>
    <definedName name="bremer_eff_tax_rate">#REF!</definedName>
    <definedName name="bs">#REF!</definedName>
    <definedName name="BSDateSF">#REF!</definedName>
    <definedName name="BSMurty">#REF!</definedName>
    <definedName name="BUDGET_YEAR">#REF!</definedName>
    <definedName name="budVsAct">#REF!</definedName>
    <definedName name="BuiltIn_Print_Area___0___0___0___0___0">#REF!</definedName>
    <definedName name="BuiltIn_Print_Area___4">#REF!</definedName>
    <definedName name="BuiltIn_Print_Area___5">#REF!</definedName>
    <definedName name="BuiltIn_Print_Area___7">#REF!</definedName>
    <definedName name="BusMGT">#REF!</definedName>
    <definedName name="bvc">#REF!</definedName>
    <definedName name="cablelomif">#REF!</definedName>
    <definedName name="CalDate">#REF!</definedName>
    <definedName name="can1_240fixed">#REF!</definedName>
    <definedName name="can1_240var">#REF!</definedName>
    <definedName name="can1_480fixed">#REF!</definedName>
    <definedName name="can1_480var">#REF!</definedName>
    <definedName name="can1_960fixed">#REF!</definedName>
    <definedName name="can1_960var">#REF!</definedName>
    <definedName name="can1fixed">#REF!</definedName>
    <definedName name="can1fixed_960">#REF!</definedName>
    <definedName name="can1fixed960">#REF!</definedName>
    <definedName name="can1mediacost">#REF!</definedName>
    <definedName name="can1var">#REF!</definedName>
    <definedName name="can2_240fixed">#REF!</definedName>
    <definedName name="can2_240var">#REF!</definedName>
    <definedName name="can2_480fixed">#REF!</definedName>
    <definedName name="can2_480var">#REF!</definedName>
    <definedName name="can2_960fixed">#REF!</definedName>
    <definedName name="can2_960var">#REF!</definedName>
    <definedName name="can4_240">#REF!</definedName>
    <definedName name="can4_240fixed">#REF!</definedName>
    <definedName name="can4_240var">#REF!</definedName>
    <definedName name="can4_480">#REF!</definedName>
    <definedName name="can4_480fixed">#REF!</definedName>
    <definedName name="can4_480var">#REF!</definedName>
    <definedName name="can4_960">#REF!</definedName>
    <definedName name="can4_960fixed">#REF!</definedName>
    <definedName name="can4_960var">#REF!</definedName>
    <definedName name="can4_power">#REF!</definedName>
    <definedName name="can8_240fixed">#REF!</definedName>
    <definedName name="can8_240var">#REF!</definedName>
    <definedName name="can8_480fixed">#REF!</definedName>
    <definedName name="can8_480var">#REF!</definedName>
    <definedName name="can8_960fixed">#REF!</definedName>
    <definedName name="can8_960var">#REF!</definedName>
    <definedName name="can8_power">#REF!</definedName>
    <definedName name="can8media">#REF!</definedName>
    <definedName name="canfourmediacost">#REF!</definedName>
    <definedName name="cantwomediacost">#REF!</definedName>
    <definedName name="capex_r1">#REF!</definedName>
    <definedName name="capex_s1">#REF!</definedName>
    <definedName name="capex_s2">#REF!</definedName>
    <definedName name="capex_sf1">#REF!</definedName>
    <definedName name="capex_sf2">#REF!</definedName>
    <definedName name="capex_sf3">#REF!</definedName>
    <definedName name="capex1a">#REF!</definedName>
    <definedName name="capex1b">#REF!</definedName>
    <definedName name="capex2">#REF!</definedName>
    <definedName name="CapitalGains_exempt_PrintArea">#REF!</definedName>
    <definedName name="CapitalGains_taxable_PrintArea">#REF!</definedName>
    <definedName name="cars_comp">#REF!</definedName>
    <definedName name="CashFlow">#REF!</definedName>
    <definedName name="CashFlow2">#REF!</definedName>
    <definedName name="CATEGORY_HEADER">#REF!</definedName>
    <definedName name="CATP">#REF!</definedName>
    <definedName name="CBXFBSDFB">#REF!</definedName>
    <definedName name="CC">#REF!</definedName>
    <definedName name="CCC100prcost">#REF!</definedName>
    <definedName name="cccccccccc">#REF!</definedName>
    <definedName name="CCT">#REF!</definedName>
    <definedName name="CEFF">#REF!</definedName>
    <definedName name="celltips_area">#REF!</definedName>
    <definedName name="Cellulargrowthrate">#REF!</definedName>
    <definedName name="CellularsubscriberperE1">#REF!</definedName>
    <definedName name="cellularsubscribers">#REF!</definedName>
    <definedName name="CENC_140_">#REF!</definedName>
    <definedName name="cgfcf">#REF!</definedName>
    <definedName name="CGTScale">#REF!</definedName>
    <definedName name="CHA">#REF!</definedName>
    <definedName name="ChallanSrnoList">#REF!</definedName>
    <definedName name="CHANGE">#REF!</definedName>
    <definedName name="ChartCaptions">#REF!</definedName>
    <definedName name="ChartingArea">#REF!,#REF!</definedName>
    <definedName name="ChartingLabels">#REF!</definedName>
    <definedName name="CHINA_PLASTIC_in_KUSD">#REF!</definedName>
    <definedName name="CityName">#REF!</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n1_240">#REF!</definedName>
    <definedName name="cn1_480">#REF!</definedName>
    <definedName name="cn1_960">#REF!</definedName>
    <definedName name="cn1_power">#REF!</definedName>
    <definedName name="cn1fixed960">#REF!</definedName>
    <definedName name="cn2_240">#REF!</definedName>
    <definedName name="cn2_480">#REF!</definedName>
    <definedName name="cn2_960">#REF!</definedName>
    <definedName name="cn2_power">#REF!</definedName>
    <definedName name="cn3_960">#REF!</definedName>
    <definedName name="cn4_960">#REF!</definedName>
    <definedName name="COA">#REF!</definedName>
    <definedName name="CoAdd">#REF!</definedName>
    <definedName name="COMM_L_MONTHS">#REF!</definedName>
    <definedName name="comminfracost">#REF!</definedName>
    <definedName name="commit">#REF!</definedName>
    <definedName name="COMP">#REF!</definedName>
    <definedName name="company">#REF!</definedName>
    <definedName name="computation">#REF!</definedName>
    <definedName name="COMPUTATION_OF_INTEREST_UNDER_SECTION_234_C">#REF!</definedName>
    <definedName name="CoName">#REF!</definedName>
    <definedName name="CondensateRtrn">#REF!</definedName>
    <definedName name="CONSTANT">#REF!</definedName>
    <definedName name="contract_status_del_dmrc1">#REF!</definedName>
    <definedName name="contract_status_del_dmrc2">#REF!</definedName>
    <definedName name="contract_status_del_dmrc3">#REF!</definedName>
    <definedName name="contract_status_del_dmrc4">#REF!</definedName>
    <definedName name="contract_status_del_dtc_bqs">#REF!</definedName>
    <definedName name="contract_status_del_hoarding">#REF!</definedName>
    <definedName name="contract_status_del_mcd1">#REF!</definedName>
    <definedName name="contract_status_del_mcd2">#REF!</definedName>
    <definedName name="contract_status_del_mcd3">#REF!</definedName>
    <definedName name="contract_status_del_mcd4">#REF!</definedName>
    <definedName name="contract_status_del_mcd5">#REF!</definedName>
    <definedName name="contract_status_del_nrdd">#REF!</definedName>
    <definedName name="contract_status_del_utility">#REF!</definedName>
    <definedName name="contract_status_kol_bqs">#REF!</definedName>
    <definedName name="contract_status_kol_bridgepanel">#REF!</definedName>
    <definedName name="contract_status_kol_hoarding">#REF!</definedName>
    <definedName name="contract_status_kol_kiosk">#REF!</definedName>
    <definedName name="contract_status_kol_mpillars">#REF!</definedName>
    <definedName name="contract_status_kol_pillarwrap">#REF!</definedName>
    <definedName name="contract_status_kol_ts">#REF!</definedName>
    <definedName name="contract_status_mum_bestbus">#REF!</definedName>
    <definedName name="contract_status_mum_bqs">#REF!</definedName>
    <definedName name="contract_status_mum_hoarding">#REF!</definedName>
    <definedName name="contract_status_mum_kiosk">#REF!</definedName>
    <definedName name="contract_status_mum_utility">#REF!</definedName>
    <definedName name="CONTRACTOR">#REF!</definedName>
    <definedName name="COPM">#REF!</definedName>
    <definedName name="corptax">#REF!</definedName>
    <definedName name="COST">#REF!</definedName>
    <definedName name="cost_calcn">#REF!</definedName>
    <definedName name="CoStatus">#REF!</definedName>
    <definedName name="cr_knnl_mrbc_ron">#REF!</definedName>
    <definedName name="Creditors">#REF!</definedName>
    <definedName name="CRS">#REF!</definedName>
    <definedName name="CSPL">#REF!</definedName>
    <definedName name="CT10490_T11_GDA">#REF!</definedName>
    <definedName name="CT10490_T11_T1">#REF!</definedName>
    <definedName name="CT10490_T9_56k">#REF!</definedName>
    <definedName name="CT10490_T9_IBR">#REF!</definedName>
    <definedName name="CT10490_T9_T1">#REF!</definedName>
    <definedName name="CT10587_T11_GDA">#REF!</definedName>
    <definedName name="CT10587_T11_T1">#REF!</definedName>
    <definedName name="CT10587_T9_56k">#REF!</definedName>
    <definedName name="CT10587_T9_IBR">#REF!</definedName>
    <definedName name="CT10587_T9_T1">#REF!</definedName>
    <definedName name="CT10613_T11_GDA">#REF!</definedName>
    <definedName name="CT10613_T11_T1">#REF!</definedName>
    <definedName name="CT10613_T9_56k">#REF!</definedName>
    <definedName name="CT10613_T9_IBR">#REF!</definedName>
    <definedName name="CT10613_T9_T1">#REF!</definedName>
    <definedName name="CT10881_IOC">#REF!</definedName>
    <definedName name="CT10881_LC">#REF!</definedName>
    <definedName name="CTGMW">#REF!</definedName>
    <definedName name="CURRENCY">#REF!</definedName>
    <definedName name="CurrencySymbols">#REF!</definedName>
    <definedName name="Currentplugcost">#REF!</definedName>
    <definedName name="Custom_MMRC">#REF!</definedName>
    <definedName name="Custom_Term">#REF!</definedName>
    <definedName name="d">#REF!</definedName>
    <definedName name="da">#REF!</definedName>
    <definedName name="Data">#REF!</definedName>
    <definedName name="data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agrowth">#REF!</definedName>
    <definedName name="Date_updated">#REF!</definedName>
    <definedName name="Date2">#REF!</definedName>
    <definedName name="Date3">#REF!</definedName>
    <definedName name="days_fy">#REF!</definedName>
    <definedName name="dbo_TimeSheetOnProjects">#REF!</definedName>
    <definedName name="dd">#REF!</definedName>
    <definedName name="Debtors">#REF!</definedName>
    <definedName name="Debtors_4">#REF!</definedName>
    <definedName name="Dec">#REF!</definedName>
    <definedName name="DECDATA?">#REF!</definedName>
    <definedName name="DefaultScaleAmount">#REF!</definedName>
    <definedName name="del_num_bqs">#REF!</definedName>
    <definedName name="del_num_dmrc1_bridgepanel">#REF!</definedName>
    <definedName name="del_num_dmrc1_hoarding">#REF!</definedName>
    <definedName name="del_num_dmrc1_mpillars">#REF!</definedName>
    <definedName name="del_num_dmrc2_bridgepanel">#REF!</definedName>
    <definedName name="del_num_dmrc2_hoarding">#REF!</definedName>
    <definedName name="del_num_dmrc3_mpillars">#REF!</definedName>
    <definedName name="del_num_dmrc4_mpillars">#REF!</definedName>
    <definedName name="del_num_hoarding">#REF!</definedName>
    <definedName name="del_num_mcd1_hoarding">#REF!</definedName>
    <definedName name="del_num_mcd2_kiosk">#REF!</definedName>
    <definedName name="del_num_mcd3_hoarding">#REF!</definedName>
    <definedName name="del_num_mcd4_hoarding">#REF!</definedName>
    <definedName name="del_num_mcd5_hoarding">#REF!</definedName>
    <definedName name="del_num_nrdd_bridgepanel">#REF!</definedName>
    <definedName name="del_num_nrdd_hoarding">#REF!</definedName>
    <definedName name="del_num_nrdd_utility">#REF!</definedName>
    <definedName name="del_num_pun_bqs">#REF!</definedName>
    <definedName name="del_num_pun_hoarding">#REF!</definedName>
    <definedName name="del_num_pun_kiosk">#REF!</definedName>
    <definedName name="del_num_pun_utility">#REF!</definedName>
    <definedName name="del_num_utility">#REF!</definedName>
    <definedName name="del_occrate_bqs">#REF!</definedName>
    <definedName name="del_occrate_dmrc1_bridgepanel">#REF!</definedName>
    <definedName name="del_occrate_dmrc1_hoarding">#REF!</definedName>
    <definedName name="del_occrate_dmrc1_mpillars">#REF!</definedName>
    <definedName name="del_occrate_dmrc2_bridgepanel">#REF!</definedName>
    <definedName name="del_occrate_dmrc2_hoarding">#REF!</definedName>
    <definedName name="del_occrate_dmrc3_mpillars">#REF!</definedName>
    <definedName name="del_occrate_dmrc4_mpillars">#REF!</definedName>
    <definedName name="del_occrate_hoarding">#REF!</definedName>
    <definedName name="del_occrate_mcd1_hoarding">#REF!</definedName>
    <definedName name="del_occrate_mcd2_kiosk">#REF!</definedName>
    <definedName name="del_occrate_mcd3_hoarding">#REF!</definedName>
    <definedName name="del_occrate_mcd4_hoarding">#REF!</definedName>
    <definedName name="del_occrate_mcd5_hoarding">#REF!</definedName>
    <definedName name="del_occrate_nrdd_bridgepanel">#REF!</definedName>
    <definedName name="del_occrate_nrdd_hoarding">#REF!</definedName>
    <definedName name="del_occrate_nrdd_utility">#REF!</definedName>
    <definedName name="del_occrate_pun_bqs">#REF!</definedName>
    <definedName name="del_occrate_pun_hoarding">#REF!</definedName>
    <definedName name="del_occrate_pun_kiosk">#REF!</definedName>
    <definedName name="del_occrate_pun_utility">#REF!</definedName>
    <definedName name="del_occrate_utility">#REF!</definedName>
    <definedName name="dep">#REF!</definedName>
    <definedName name="dep_rate">#REF!</definedName>
    <definedName name="Dep_Rates">#REF!</definedName>
    <definedName name="depn">#REF!</definedName>
    <definedName name="Depreciation">#REF!</definedName>
    <definedName name="der">#REF!</definedName>
    <definedName name="DETAILS">#REF!</definedName>
    <definedName name="df">#REF!</definedName>
    <definedName name="dfg">#REF!</definedName>
    <definedName name="dfn">#REF!,#REF!</definedName>
    <definedName name="DFT_BS">#REF!</definedName>
    <definedName name="DFT_PL">#REF!</definedName>
    <definedName name="DFT_SCH">#REF!</definedName>
    <definedName name="dHkjahjg">#REF!</definedName>
    <definedName name="Di">#REF!</definedName>
    <definedName name="Difference">#REF!</definedName>
    <definedName name="disc">#REF!</definedName>
    <definedName name="display_area_2">#REF!</definedName>
    <definedName name="Disruptive">#REF!</definedName>
    <definedName name="DISTRIBUTORS">#REF!</definedName>
    <definedName name="Div">#REF!</definedName>
    <definedName name="Divisor">#REF!</definedName>
    <definedName name="dkfa">#REF!</definedName>
    <definedName name="Documentationcharges">#REF!</definedName>
    <definedName name="Dollar_Rate">#REF!</definedName>
    <definedName name="dp10prcost">#REF!</definedName>
    <definedName name="draft">#REF!</definedName>
    <definedName name="dsffdsf">#REF!</definedName>
    <definedName name="dskjgsghk\">#REF!</definedName>
    <definedName name="DSM">#REF!</definedName>
    <definedName name="DSVPP_T11_GDA">#REF!</definedName>
    <definedName name="DSVPP_T11_T1">#REF!</definedName>
    <definedName name="DSVPP_T9_56k">#REF!</definedName>
    <definedName name="DSVPP_T9_IBR">#REF!</definedName>
    <definedName name="DSVPP_T9_T1">#REF!</definedName>
    <definedName name="DUAL_FUEL_BURNER_FOR_6TPH_BOILER">#REF!</definedName>
    <definedName name="ductlabourcost">#REF!</definedName>
    <definedName name="duty">#REF!</definedName>
    <definedName name="DutyAppl">#REF!</definedName>
    <definedName name="DutyRate">#REF!</definedName>
    <definedName name="e">#REF!</definedName>
    <definedName name="e2k">#REF!</definedName>
    <definedName name="ebbsosbal">#REF!</definedName>
    <definedName name="EBITDA_Bridge">#REF!</definedName>
    <definedName name="Ecapturedmarket">#REF!</definedName>
    <definedName name="EDA">#REF!</definedName>
    <definedName name="EDAsum">#REF!</definedName>
    <definedName name="EDCDMA">#REF!</definedName>
    <definedName name="EDFTTB">#REF!</definedName>
    <definedName name="EDHFC">#REF!</definedName>
    <definedName name="edpcas">#REF!</definedName>
    <definedName name="efgh">#REF!</definedName>
    <definedName name="elasticity">#REF!</definedName>
    <definedName name="elasticity_ild">#REF!</definedName>
    <definedName name="ELK">#REF!</definedName>
    <definedName name="Embsw">#REF!</definedName>
    <definedName name="Embswsum">#REF!</definedName>
    <definedName name="EndDelete">#REF!</definedName>
    <definedName name="EndDelete2">#REF!</definedName>
    <definedName name="EndFormat">#REF!</definedName>
    <definedName name="Epenrate">#REF!</definedName>
    <definedName name="equity_raised">#REF!</definedName>
    <definedName name="equityupfront">#REF!</definedName>
    <definedName name="er">#REF!</definedName>
    <definedName name="ert">#REF!</definedName>
    <definedName name="et">#REF!</definedName>
    <definedName name="etc" hidden="1">#REF!</definedName>
    <definedName name="ETRAS">#REF!</definedName>
    <definedName name="euro_inr">#REF!</definedName>
    <definedName name="EVIS">#REF!</definedName>
    <definedName name="ex">#REF!</definedName>
    <definedName name="exc">#REF!</definedName>
    <definedName name="exch">#REF!</definedName>
    <definedName name="ExchangeRt">#REF!</definedName>
    <definedName name="existing_contracts_del_rev">#REF!</definedName>
    <definedName name="existing_contracts_kol_rev">#REF!</definedName>
    <definedName name="existing_contracts_mum_rev">#REF!</definedName>
    <definedName name="EXITYEAR">#REF!</definedName>
    <definedName name="Expected_balance">#REF!</definedName>
    <definedName name="Expenses">#REF!</definedName>
    <definedName name="expiry_date_mum_bestbus">#REF!</definedName>
    <definedName name="expiry_date_mum_bqs">#REF!</definedName>
    <definedName name="expiry_date_mum_kiosk">#REF!</definedName>
    <definedName name="ExportFile">#REF!</definedName>
    <definedName name="exrate">#REF!</definedName>
    <definedName name="extrckcost">#REF!</definedName>
    <definedName name="f">#REF!</definedName>
    <definedName name="f.asset">#REF!</definedName>
    <definedName name="Feb">#REF!</definedName>
    <definedName name="FEBDATA?">#REF!</definedName>
    <definedName name="ff">#REF!</definedName>
    <definedName name="ffffffffff">#REF!</definedName>
    <definedName name="ffgf">#REF!</definedName>
    <definedName name="fgf">#REF!</definedName>
    <definedName name="fgff">#REF!</definedName>
    <definedName name="finaldep">#REF!</definedName>
    <definedName name="FirstCommYr">#REF!</definedName>
    <definedName name="FIRSTYEAR">#REF!</definedName>
    <definedName name="FIVEDAY">#REF!</definedName>
    <definedName name="fKAFJKJG">#REF!</definedName>
    <definedName name="FNL_BS">#REF!</definedName>
    <definedName name="FNL_PL">#REF!</definedName>
    <definedName name="FNL_SCH">#REF!</definedName>
    <definedName name="forecourt_staff_urban">#REF!</definedName>
    <definedName name="forex">#REF!</definedName>
    <definedName name="Format">#REF!</definedName>
    <definedName name="Formulas">#REF!</definedName>
    <definedName name="fspsubscribersperE1">#REF!</definedName>
    <definedName name="FST">#REF!</definedName>
    <definedName name="FUEL">#REF!</definedName>
    <definedName name="fyColHeading">#REF!</definedName>
    <definedName name="fyCoverDate">#REF!</definedName>
    <definedName name="FYEND">#REF!</definedName>
    <definedName name="fySubsectName">#REF!</definedName>
    <definedName name="g">#REF!</definedName>
    <definedName name="gdhshdh">#REF!</definedName>
    <definedName name="GDTubecost">#REF!</definedName>
    <definedName name="genandadmin">#REF!</definedName>
    <definedName name="Genesc">#REF!</definedName>
    <definedName name="gfjh">#REF!</definedName>
    <definedName name="ggfcgf">#REF!</definedName>
    <definedName name="ggg">#REF!</definedName>
    <definedName name="ghghg">#REF!</definedName>
    <definedName name="ghghgh">#REF!</definedName>
    <definedName name="ghjjkh">#REF!</definedName>
    <definedName name="GINPUT">#REF!</definedName>
    <definedName name="GIpipecost">#REF!</definedName>
    <definedName name="GIpipelength">#REF!</definedName>
    <definedName name="global_rate_increase">#REF!</definedName>
    <definedName name="GoCallbackImpact">#REF!</definedName>
    <definedName name="GoDCFValuation">#REF!</definedName>
    <definedName name="GoFixedTelAcqCosts">#REF!</definedName>
    <definedName name="GoFixedTelBusMarket">#REF!</definedName>
    <definedName name="GoFixedTelHanMarket">#REF!</definedName>
    <definedName name="GoFixedTelHanRev">#REF!</definedName>
    <definedName name="GoFixedTelMarketAss">#REF!</definedName>
    <definedName name="GoFixedTelPrices">#REF!</definedName>
    <definedName name="GoFixedTelResMarket">#REF!</definedName>
    <definedName name="GoHanADCRev">#REF!</definedName>
    <definedName name="GoHanComputerRev">#REF!</definedName>
    <definedName name="GoHanDataRev">#REF!</definedName>
    <definedName name="GoHanFinancials">#REF!</definedName>
    <definedName name="GoHanIMSRev">#REF!</definedName>
    <definedName name="GoHanINSRev">#REF!</definedName>
    <definedName name="GoHanInternetRev">#REF!</definedName>
    <definedName name="GoHanLLRev">#REF!</definedName>
    <definedName name="GoHanPagingRev">#REF!</definedName>
    <definedName name="GoHanSettlementRev">#REF!</definedName>
    <definedName name="GoHanTotalRev">#REF!</definedName>
    <definedName name="GoHanVASRev">#REF!</definedName>
    <definedName name="GoIntercoHanCosts">#REF!</definedName>
    <definedName name="GoIntercoHanRev">#REF!</definedName>
    <definedName name="GoIntercoHanVolume">#REF!</definedName>
    <definedName name="GoMobileOne">#REF!</definedName>
    <definedName name="GoMobTelBusMarket">#REF!</definedName>
    <definedName name="GoMobTelHanMarket">#REF!</definedName>
    <definedName name="GoMobTelHanMarketShare">#REF!</definedName>
    <definedName name="GoMobTelHanPriceAss">#REF!</definedName>
    <definedName name="GoMobTelHanRev">#REF!</definedName>
    <definedName name="GoMobTelMarketAss">#REF!</definedName>
    <definedName name="GoMobTelPrices">#REF!</definedName>
    <definedName name="GoMobTelResMarket">#REF!</definedName>
    <definedName name="GoScenarios">#REF!</definedName>
    <definedName name="GoTelMarketShareAss">#REF!</definedName>
    <definedName name="GoTotalCosts">#REF!</definedName>
    <definedName name="GovtOthers">#REF!</definedName>
    <definedName name="graph1">#REF!</definedName>
    <definedName name="graph2">#REF!</definedName>
    <definedName name="Gross_Margin___Rs_M">#REF!</definedName>
    <definedName name="GROUP">#REF!</definedName>
    <definedName name="Group4">#N/A</definedName>
    <definedName name="GroupData">#REF!</definedName>
    <definedName name="groupings">#REF!</definedName>
    <definedName name="GRPDATA">#REF!</definedName>
    <definedName name="GTFixedPrice">#REF!</definedName>
    <definedName name="GTScaler">#REF!</definedName>
    <definedName name="GTVariablePrice">#REF!</definedName>
    <definedName name="hardsurfacecutcost">#REF!</definedName>
    <definedName name="HDP">#REF!</definedName>
    <definedName name="HDPE40mmcost">#REF!</definedName>
    <definedName name="HEAD_GROUP">#REF!</definedName>
    <definedName name="HEAD_SCH">#REF!</definedName>
    <definedName name="Header">#REF!</definedName>
    <definedName name="hjkbu">#REF!</definedName>
    <definedName name="hkbhi">#REF!</definedName>
    <definedName name="HQOTHER">#REF!</definedName>
    <definedName name="HR">#N/A</definedName>
    <definedName name="HRSGFlow">#REF!</definedName>
    <definedName name="HTML_CodePage">1252</definedName>
    <definedName name="HTML_Control" localSheetId="16">{"'subnets'!$A$1:$F$20"}</definedName>
    <definedName name="HTML_Control" localSheetId="6">{"'subnets'!$A$1:$F$20"}</definedName>
    <definedName name="HTML_Control">{"'subnets'!$A$1:$F$20"}</definedName>
    <definedName name="HTML_Description">""</definedName>
    <definedName name="HTML_Email">""</definedName>
    <definedName name="HTML_Header">"SUBNETS"</definedName>
    <definedName name="HTML_LastUpdate">"01/25/2000"</definedName>
    <definedName name="HTML_LineAfter">TRUE</definedName>
    <definedName name="HTML_LineBefore">FALSE</definedName>
    <definedName name="HTML_Name">"Jerry George"</definedName>
    <definedName name="HTML_OBDlg2">TRUE</definedName>
    <definedName name="HTML_OBDlg4">TRUE</definedName>
    <definedName name="HTML_OS">0</definedName>
    <definedName name="HTML_PathFile">"C:\WWW\IT\network\subnets.htm"</definedName>
    <definedName name="HTML_Title">"Subnets"</definedName>
    <definedName name="IAfixed">#REF!</definedName>
    <definedName name="Identifier">#REF!</definedName>
    <definedName name="Identifier2">#REF!</definedName>
    <definedName name="IK">#REF!</definedName>
    <definedName name="ILT">#REF!</definedName>
    <definedName name="ImportFile">#REF!</definedName>
    <definedName name="incr">#REF!</definedName>
    <definedName name="increase_in_ospmaintenance">#REF!</definedName>
    <definedName name="INCREASED">#REF!</definedName>
    <definedName name="increaseinhousesalary">#REF!</definedName>
    <definedName name="increaseoutsourcedsalary">#REF!</definedName>
    <definedName name="INDIA_PLASTIC_in_KUSD">#REF!</definedName>
    <definedName name="INETOTHER">#REF!</definedName>
    <definedName name="INETPPE">#REF!</definedName>
    <definedName name="inflind">#REF!</definedName>
    <definedName name="inflUS">#REF!</definedName>
    <definedName name="Information">#REF!</definedName>
    <definedName name="inhousemanpowerph1a">#REF!</definedName>
    <definedName name="inhousemanpowerph1b">#REF!</definedName>
    <definedName name="inhousemanpowerph2">#REF!</definedName>
    <definedName name="installationcost">#REF!</definedName>
    <definedName name="int_rate_cash_bankbal">#REF!</definedName>
    <definedName name="int_rate_termloan">#REF!</definedName>
    <definedName name="int_rate_wcloan">#REF!</definedName>
    <definedName name="Integ">#REF!</definedName>
    <definedName name="inter_bldng">#REF!</definedName>
    <definedName name="INTEREST1">#REF!</definedName>
    <definedName name="InterestCaln">#REF!</definedName>
    <definedName name="intracirclegrowth">#REF!</definedName>
    <definedName name="intratetl">#REF!</definedName>
    <definedName name="intratewc">#REF!</definedName>
    <definedName name="INTRO">#REF!</definedName>
    <definedName name="inv_avail_best">#REF!</definedName>
    <definedName name="inv_avail_del_bqs">#REF!</definedName>
    <definedName name="inv_avail_del_dmrc1_bridgepanel">#REF!</definedName>
    <definedName name="inv_avail_del_dmrc1_hoarding">#REF!</definedName>
    <definedName name="inv_avail_del_dmrc1_mpillars">#REF!</definedName>
    <definedName name="inv_avail_del_dmrc2_bridgepanel">#REF!</definedName>
    <definedName name="inv_avail_del_dmrc2_hoarding">#REF!</definedName>
    <definedName name="inv_avail_del_dmrc3_mpillars">#REF!</definedName>
    <definedName name="inv_avail_del_dmrc4_mpillars">#REF!</definedName>
    <definedName name="inv_avail_del_hoarding">#REF!</definedName>
    <definedName name="inv_avail_del_mcd1_hoarding">#REF!</definedName>
    <definedName name="inv_avail_del_mcd2_kiosk">#REF!</definedName>
    <definedName name="inv_avail_del_mcd3_hoarding">#REF!</definedName>
    <definedName name="inv_avail_del_mcd4_hoarding">#REF!</definedName>
    <definedName name="inv_avail_del_mcd5_hoarding">#REF!</definedName>
    <definedName name="inv_avail_del_nrdd_bridgepanel">#REF!</definedName>
    <definedName name="inv_avail_del_nrdd_hoarding">#REF!</definedName>
    <definedName name="inv_avail_del_nrdd_utility">#REF!</definedName>
    <definedName name="inv_avail_del_utility">#REF!</definedName>
    <definedName name="inv_avail_kol_bqs">#REF!</definedName>
    <definedName name="inv_avail_kol_bridgepanel">#REF!</definedName>
    <definedName name="inv_avail_kol_hoarding">#REF!</definedName>
    <definedName name="inv_avail_kol_kiosk">#REF!</definedName>
    <definedName name="inv_avail_kol_mpillars">#REF!</definedName>
    <definedName name="inv_avail_kol_pillarwrap">#REF!</definedName>
    <definedName name="inv_avail_kol_ts">#REF!</definedName>
    <definedName name="inv_avail_mum_bqs">#REF!</definedName>
    <definedName name="inv_avail_mum_hoarding">#REF!</definedName>
    <definedName name="inv_avail_mum_kiosk">#REF!</definedName>
    <definedName name="inv_avail_mum_utility">#REF!</definedName>
    <definedName name="inv_avail_pun_bqs">#REF!</definedName>
    <definedName name="inv_avail_pun_hoarding">#REF!</definedName>
    <definedName name="inv_avail_pun_kiosk">#REF!</definedName>
    <definedName name="inv_avail_pun_utility">#REF!</definedName>
    <definedName name="inv_sold_best">#REF!</definedName>
    <definedName name="inv_sold_best_ac">#REF!</definedName>
    <definedName name="inv_sold_best_bp">#REF!</definedName>
    <definedName name="inv_sold_best_ip">#REF!</definedName>
    <definedName name="inv_sold_best_lsp">#REF!</definedName>
    <definedName name="inv_sold_best_rsp">#REF!</definedName>
    <definedName name="inv_sold_best_s">#REF!</definedName>
    <definedName name="inv_sold_del_bqs">#REF!</definedName>
    <definedName name="inv_sold_del_dmrc1_bridgepanel">#REF!</definedName>
    <definedName name="inv_sold_del_dmrc1_hoarding">#REF!</definedName>
    <definedName name="inv_sold_del_dmrc1_mpillars">#REF!</definedName>
    <definedName name="inv_sold_del_dmrc2_bridgepanel">#REF!</definedName>
    <definedName name="inv_sold_del_dmrc2_hoarding">#REF!</definedName>
    <definedName name="inv_sold_del_dmrc3_mpillars">#REF!</definedName>
    <definedName name="inv_sold_del_dmrc4_mpillars">#REF!</definedName>
    <definedName name="inv_sold_del_hoarding">#REF!</definedName>
    <definedName name="inv_sold_del_mcd1_hoarding">#REF!</definedName>
    <definedName name="inv_sold_del_mcd2_kiosk">#REF!</definedName>
    <definedName name="inv_sold_del_mcd3_hoarding">#REF!</definedName>
    <definedName name="inv_sold_del_mcd4_hoarding">#REF!</definedName>
    <definedName name="inv_sold_del_mcd5_hoarding">#REF!</definedName>
    <definedName name="inv_sold_del_nrdd_bridgepanel">#REF!</definedName>
    <definedName name="inv_sold_del_nrdd_hoarding">#REF!</definedName>
    <definedName name="inv_sold_del_nrdd_utility">#REF!</definedName>
    <definedName name="inv_sold_del_utility">#REF!</definedName>
    <definedName name="inv_sold_kol_bqs">#REF!</definedName>
    <definedName name="inv_sold_kol_bridgepanel">#REF!</definedName>
    <definedName name="inv_sold_kol_hoarding">#REF!</definedName>
    <definedName name="inv_sold_kol_kiosk">#REF!</definedName>
    <definedName name="inv_sold_kol_mpillars">#REF!</definedName>
    <definedName name="inv_sold_kol_pillarwrap">#REF!</definedName>
    <definedName name="inv_sold_kol_ts">#REF!</definedName>
    <definedName name="inv_sold_mum_bqs">#REF!</definedName>
    <definedName name="inv_sold_mum_hoarding">#REF!</definedName>
    <definedName name="inv_sold_mum_kiosk">#REF!</definedName>
    <definedName name="inv_sold_mum_utility">#REF!</definedName>
    <definedName name="inv_sold_new_r1">#REF!</definedName>
    <definedName name="inv_sold_new_s1">#REF!</definedName>
    <definedName name="inv_sold_new_s2">#REF!</definedName>
    <definedName name="inv_sold_new_sf1">#REF!</definedName>
    <definedName name="inv_sold_new_sf2">#REF!</definedName>
    <definedName name="inv_sold_new_sf3">#REF!</definedName>
    <definedName name="inv_sold_pun_bqs">#REF!</definedName>
    <definedName name="inv_sold_pun_hoarding">#REF!</definedName>
    <definedName name="inv_sold_pun_kiosk">#REF!</definedName>
    <definedName name="inv_sold_pun_utility">#REF!</definedName>
    <definedName name="IOC">#REF!</definedName>
    <definedName name="iop">#REF!</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EST">"c1681"</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CAPEX_INT">"c368"</definedName>
    <definedName name="IQ_EBITDA_CAPEX_OVER_TOTAL_IE">"c1370"</definedName>
    <definedName name="IQ_EBITDA_EST">"c369"</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GW_ACT_OR_EST">"c2223"</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ORM_EST">"c2226"</definedName>
    <definedName name="IQ_EPS_NORM_HIGH_EST">"c2228"</definedName>
    <definedName name="IQ_EPS_NORM_LOW_EST">"c2229"</definedName>
    <definedName name="IQ_EPS_NORM_MEDIAN_EST">"c2227"</definedName>
    <definedName name="IQ_EPS_NORM_NUM_EST">"c2230"</definedName>
    <definedName name="IQ_EPS_NORM_STDDEV_EST">"c2231"</definedName>
    <definedName name="IQ_EPS_NUM_EST">"c402"</definedName>
    <definedName name="IQ_EPS_REPORT_ACT_OR_EST">"c2224"</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NORM">"c2232"</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NORM_DIFF">"c2247"</definedName>
    <definedName name="IQ_EST_EPS_NORM_SURPRISE_PERCENT">"c2248"</definedName>
    <definedName name="IQ_EST_EPS_REPORT_DIFF">"c1893"</definedName>
    <definedName name="IQ_EST_EPS_REPORT_SURPRISE_PERCENT">"c1894"</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ACT_OR_EST">"c2216"</definedName>
    <definedName name="IQ_FFO_EST">"c418"</definedName>
    <definedName name="IQ_FFO_HIGH_EST">"c419"</definedName>
    <definedName name="IQ_FFO_LOW_EST">"c420"</definedName>
    <definedName name="IQ_FFO_MEDIAN_EST">"c1665"</definedName>
    <definedName name="IQ_FFO_NUM_EST">"c421"</definedName>
    <definedName name="IQ_FFO_STDDEV_EST">"c422"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G_FWD">"c1863"</definedName>
    <definedName name="IQ_PENSION">"c1031"</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CFPS_FWD">"c2237"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ACT_OR_EST">"c2214"</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39191.5891666667</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T">#REF!</definedName>
    <definedName name="itdep">#REF!</definedName>
    <definedName name="Jambu">#REF!</definedName>
    <definedName name="Jan">#REF!</definedName>
    <definedName name="JANDATA?">#REF!</definedName>
    <definedName name="jh">#REF!</definedName>
    <definedName name="jjjjjjjjjjjjj">#REF!</definedName>
    <definedName name="jjkh">#REF!</definedName>
    <definedName name="jkbk">#REF!</definedName>
    <definedName name="jkbkhb">#REF!</definedName>
    <definedName name="jkkb">#REF!</definedName>
    <definedName name="jkkkklkl">#REF!</definedName>
    <definedName name="johnny_5_is_alive">#REF!</definedName>
    <definedName name="johnny_6_is_alive">#REF!</definedName>
    <definedName name="Jul">#REF!</definedName>
    <definedName name="JULDATA?">#REF!</definedName>
    <definedName name="Jun">#REF!</definedName>
    <definedName name="junctionboxcost">#REF!</definedName>
    <definedName name="JUNDATA?">#REF!</definedName>
    <definedName name="jvbjgv">#REF!</definedName>
    <definedName name="jvjvg">#REF!</definedName>
    <definedName name="k">#REF!</definedName>
    <definedName name="KeyRatios">#REF!</definedName>
    <definedName name="KGP">#REF!</definedName>
    <definedName name="khhj">#REF!</definedName>
    <definedName name="KI_Dev_QA">#REF!</definedName>
    <definedName name="kjvjg">#REF!</definedName>
    <definedName name="kol_num_bqs">#REF!</definedName>
    <definedName name="kol_num_bridgepanel">#REF!</definedName>
    <definedName name="kol_num_hoarding">#REF!</definedName>
    <definedName name="kol_num_kiosk">#REF!</definedName>
    <definedName name="kol_num_mpillars">#REF!</definedName>
    <definedName name="kol_num_pillarwrap">#REF!</definedName>
    <definedName name="kol_num_ts">#REF!</definedName>
    <definedName name="kol_occrate_bqs">#REF!</definedName>
    <definedName name="kol_occrate_bridgepanel">#REF!</definedName>
    <definedName name="kol_occrate_hoarding">#REF!</definedName>
    <definedName name="kol_occrate_kiosk">#REF!</definedName>
    <definedName name="kol_occrate_mpillars">#REF!</definedName>
    <definedName name="kol_occrate_pillarwrap">#REF!</definedName>
    <definedName name="kol_occrate_ts">#REF!</definedName>
    <definedName name="KOREA_PLASTIC_in_KUSD">#REF!</definedName>
    <definedName name="l">#REF!</definedName>
    <definedName name="L_TCost">#REF!</definedName>
    <definedName name="LABOR3">#REF!</definedName>
    <definedName name="LAC">#REF!</definedName>
    <definedName name="lakdjg">#REF!</definedName>
    <definedName name="Lakh">#REF!</definedName>
    <definedName name="launchexpense">#REF!</definedName>
    <definedName name="LC">#REF!</definedName>
    <definedName name="lemu6">#REF!</definedName>
    <definedName name="lesa8">#REF!</definedName>
    <definedName name="LevMaint_">#REF!</definedName>
    <definedName name="linesprovidedperbldg">#REF!</definedName>
    <definedName name="ListNames">#REF!</definedName>
    <definedName name="lk">#REF!</definedName>
    <definedName name="lkjadsoij">#REF!</definedName>
    <definedName name="lll">#REF!</definedName>
    <definedName name="llllasdg">#REF!</definedName>
    <definedName name="lnjklbk">#REF!</definedName>
    <definedName name="Locations">OFFSET(#REF!,0,0,(COUNTA(#REF!)-1),1)</definedName>
    <definedName name="lomif">#REF!</definedName>
    <definedName name="lomifcable">#REF!</definedName>
    <definedName name="lomifcard">#REF!</definedName>
    <definedName name="lomifcble">#REF!</definedName>
    <definedName name="Low_Sub">#REF!</definedName>
    <definedName name="Low_Sub1">#REF!</definedName>
    <definedName name="Low_Tariff">#REF!</definedName>
    <definedName name="Low_Use">#REF!</definedName>
    <definedName name="Lowk">#REF!</definedName>
    <definedName name="LP">#REF!</definedName>
    <definedName name="M_ACost">#REF!</definedName>
    <definedName name="mahesh">#REF!</definedName>
    <definedName name="mainrkcost">#REF!</definedName>
    <definedName name="MAJOR">#REF!</definedName>
    <definedName name="MAJORFUND">#REF!</definedName>
    <definedName name="MakeUpGPH">#REF!</definedName>
    <definedName name="Mar">#REF!</definedName>
    <definedName name="MARDATA?">#REF!</definedName>
    <definedName name="Margin">#REF!</definedName>
    <definedName name="mat">#REF!</definedName>
    <definedName name="May">#REF!</definedName>
    <definedName name="MAYDATA?">#REF!</definedName>
    <definedName name="MDEVISES">#REF!,#REF!,#REF!</definedName>
    <definedName name="me">"Button 5"</definedName>
    <definedName name="MethodAcc">#REF!</definedName>
    <definedName name="MFRF">#REF!,#REF!,#REF!,#REF!,#REF!</definedName>
    <definedName name="MHELP">#REF!</definedName>
    <definedName name="min_licensefee_s1">#REF!</definedName>
    <definedName name="min_licensefee_s2">#REF!</definedName>
    <definedName name="mkl">#REF!</definedName>
    <definedName name="mkmk">#REF!</definedName>
    <definedName name="mktcoveredph1a">#REF!</definedName>
    <definedName name="mktcoveredph1b">#REF!</definedName>
    <definedName name="mktcoveredph2">#REF!</definedName>
    <definedName name="MM">#REF!</definedName>
    <definedName name="MMLB_SO_DECEMBE">#REF!</definedName>
    <definedName name="MMLB_SO_FEBRUAR">#REF!</definedName>
    <definedName name="MMLB_SO_JANUARY">#REF!</definedName>
    <definedName name="MMLB_SO_NOVEMBE">#REF!</definedName>
    <definedName name="MMLB_SO_OCTOBER">#REF!</definedName>
    <definedName name="MMLB_SO_SEPTEMB">#REF!</definedName>
    <definedName name="MMLB_SOLD_ANNUA">#REF!</definedName>
    <definedName name="MMLB_SOLD_APRIL">#REF!</definedName>
    <definedName name="MMLB_SOLD_AUGUS">#REF!</definedName>
    <definedName name="MMLB_SOLD_JULY">#REF!</definedName>
    <definedName name="MMLB_SOLD_JUNE">#REF!</definedName>
    <definedName name="MMLB_SOLD_MARCH">#REF!</definedName>
    <definedName name="MMLB_SOLD_MAY">#REF!</definedName>
    <definedName name="mmm">#REF!</definedName>
    <definedName name="Module">#REF!</definedName>
    <definedName name="MONTH">#REF!</definedName>
    <definedName name="monthinr">#REF!</definedName>
    <definedName name="monthusd">#REF!</definedName>
    <definedName name="MStVal">#REF!</definedName>
    <definedName name="MSVPP_FT1">#REF!</definedName>
    <definedName name="MSVPP_T1">#REF!</definedName>
    <definedName name="msy5onwards">#REF!</definedName>
    <definedName name="mth">#REF!</definedName>
    <definedName name="mum_num_bqs">#REF!</definedName>
    <definedName name="mum_num_hoarding">#REF!</definedName>
    <definedName name="mum_num_kiosk">#REF!</definedName>
    <definedName name="mum_num_utility">#REF!</definedName>
    <definedName name="mum_occrate_bqs">#REF!</definedName>
    <definedName name="mum_occrate_hoarding">#REF!</definedName>
    <definedName name="mum_occrate_kiosk">#REF!</definedName>
    <definedName name="mum_occrate_utility">#REF!</definedName>
    <definedName name="Murty">#REF!</definedName>
    <definedName name="MWScale">#REF!</definedName>
    <definedName name="Name3">#REF!</definedName>
    <definedName name="NATP">#REF!</definedName>
    <definedName name="NatureBusiness">#REF!</definedName>
    <definedName name="NBS2A">#N/A</definedName>
    <definedName name="NBS2B">#N/A</definedName>
    <definedName name="NBSA1A">#N/A</definedName>
    <definedName name="NBSA1B">#N/A</definedName>
    <definedName name="NBSL1A">#N/A</definedName>
    <definedName name="NBSL1B">#N/A</definedName>
    <definedName name="New">#REF!</definedName>
    <definedName name="new_num_r1">#REF!</definedName>
    <definedName name="new_num_s1">#REF!</definedName>
    <definedName name="new_num_s2">#REF!</definedName>
    <definedName name="new_num_sf1">#REF!</definedName>
    <definedName name="new_num_sf2">#REF!</definedName>
    <definedName name="new_num_sf3">#REF!</definedName>
    <definedName name="new_occrate_r1">#REF!</definedName>
    <definedName name="new_occrate_s1">#REF!</definedName>
    <definedName name="new_occrate_s2">#REF!</definedName>
    <definedName name="new_occrate_sf1">#REF!</definedName>
    <definedName name="new_occrate_sf2">#REF!</definedName>
    <definedName name="new_occrate_sf3">#REF!</definedName>
    <definedName name="newmar99">#REF!</definedName>
    <definedName name="newpast">#REF!</definedName>
    <definedName name="nldvoicegrowthyr1">#REF!</definedName>
    <definedName name="nldvoicegrowthyr2">#REF!</definedName>
    <definedName name="nldvoicegrowthyr3">#REF!</definedName>
    <definedName name="nldvoicegrowthyr4">#REF!</definedName>
    <definedName name="nldvoicegrowthyr5onwards">#REF!</definedName>
    <definedName name="NMWH_ANNUAL">#REF!</definedName>
    <definedName name="NMWH_APRIL">#REF!</definedName>
    <definedName name="NMWH_AUGUST">#REF!</definedName>
    <definedName name="NMWH_DECEMBER">#REF!</definedName>
    <definedName name="NMWH_FEBRUARY">#REF!</definedName>
    <definedName name="NMWH_JANUARY">#REF!</definedName>
    <definedName name="NMWH_JULY">#REF!</definedName>
    <definedName name="NMWH_JUNE">#REF!</definedName>
    <definedName name="NMWH_MARCH">#REF!</definedName>
    <definedName name="NMWH_MAY">#REF!</definedName>
    <definedName name="NMWH_NOVEMBER">#REF!</definedName>
    <definedName name="NMWH_OCTOBER">#REF!</definedName>
    <definedName name="NMWH_SEPTEMBER">#REF!</definedName>
    <definedName name="nnn">#REF!</definedName>
    <definedName name="NO">#REF!</definedName>
    <definedName name="no_dys_yr_BEST">#REF!</definedName>
    <definedName name="noj">#REF!</definedName>
    <definedName name="normalcapex">#REF!</definedName>
    <definedName name="NOTE_1">#REF!</definedName>
    <definedName name="Nov">#REF!</definedName>
    <definedName name="NOVDATA?">#REF!</definedName>
    <definedName name="num_days_creditors">#REF!</definedName>
    <definedName name="num_days_debtors">#REF!</definedName>
    <definedName name="num_days_del_bqs">#REF!</definedName>
    <definedName name="num_days_del_dmrc1">#REF!</definedName>
    <definedName name="num_days_del_dmrc2">#REF!</definedName>
    <definedName name="num_days_del_dmrc3">#REF!</definedName>
    <definedName name="num_days_del_dmrc4">#REF!</definedName>
    <definedName name="num_days_del_hoarding">#REF!</definedName>
    <definedName name="num_days_del_mcd1">#REF!</definedName>
    <definedName name="num_days_del_mcd2">#REF!</definedName>
    <definedName name="num_days_del_mcd3">#REF!</definedName>
    <definedName name="num_days_del_mcd4">#REF!</definedName>
    <definedName name="num_days_del_mcd5">#REF!</definedName>
    <definedName name="num_days_del_nrdd">#REF!</definedName>
    <definedName name="num_days_del_utility">#REF!</definedName>
    <definedName name="num_days_inventory">#REF!</definedName>
    <definedName name="num_days_kol_bqs">#REF!</definedName>
    <definedName name="num_days_kol_bridgepanel">#REF!</definedName>
    <definedName name="num_days_kol_hoarding">#REF!</definedName>
    <definedName name="num_days_kol_kiosk">#REF!</definedName>
    <definedName name="num_days_kol_mpillars">#REF!</definedName>
    <definedName name="num_days_kol_pillarwrap">#REF!</definedName>
    <definedName name="num_days_kol_ts">#REF!</definedName>
    <definedName name="num_days_mum_bqs">#REF!</definedName>
    <definedName name="num_days_mum_hoarding">#REF!</definedName>
    <definedName name="num_days_mum_kiosk">#REF!</definedName>
    <definedName name="num_days_mum_utility">#REF!</definedName>
    <definedName name="num_days_new_r1">#REF!</definedName>
    <definedName name="num_days_new_s1">#REF!</definedName>
    <definedName name="num_days_new_s2">#REF!</definedName>
    <definedName name="num_days_new_sf1">#REF!</definedName>
    <definedName name="num_days_new_sf2">#REF!</definedName>
    <definedName name="num_days_new_sf3">#REF!</definedName>
    <definedName name="num_days_pun_bqs">#REF!</definedName>
    <definedName name="num_days_pun_hoarding">#REF!</definedName>
    <definedName name="num_days_pun_kiosk">#REF!</definedName>
    <definedName name="num_days_pun_utility">#REF!</definedName>
    <definedName name="num_days_year">#REF!</definedName>
    <definedName name="Oct">#REF!</definedName>
    <definedName name="OCTDATA?">#REF!</definedName>
    <definedName name="Offers">#REF!</definedName>
    <definedName name="oldCoverDate">#REF!</definedName>
    <definedName name="OPCAP">#REF!</definedName>
    <definedName name="OperatingHrs">#REF!</definedName>
    <definedName name="Operations">#REF!</definedName>
    <definedName name="OPTexponents">"0 3 6"</definedName>
    <definedName name="optpatchcord">#REF!</definedName>
    <definedName name="OPTvec">"1 1 1 3 0 0 0 0 0 0 1 8 2 1 0 30 1 1 0 0 1 0 1 0 0 1 0 0 0 0 0 0 100 300 0 0 0 0 15 0 0 0 0"</definedName>
    <definedName name="ospmaintenance">#REF!</definedName>
    <definedName name="otherfinancialcharge">#REF!</definedName>
    <definedName name="otherinterconnectperldca">#REF!</definedName>
    <definedName name="othernwtfcy1">#REF!</definedName>
    <definedName name="othernwtfcy2">#REF!</definedName>
    <definedName name="othernwtfcy3">#REF!</definedName>
    <definedName name="othernwtfcy4">#REF!</definedName>
    <definedName name="othernwtfcy5onwards">#REF!</definedName>
    <definedName name="others">#REF!</definedName>
    <definedName name="Output_currency">#REF!</definedName>
    <definedName name="outsourcedmanpowerph1a">#REF!</definedName>
    <definedName name="outsourcedmanpowerph1b">#REF!</definedName>
    <definedName name="outsourcedmanpowerph2">#REF!</definedName>
    <definedName name="OVERVIEW">#REF!</definedName>
    <definedName name="P">#REF!</definedName>
    <definedName name="P___L___Statement">#REF!</definedName>
    <definedName name="PAge1">#REF!</definedName>
    <definedName name="page2">#REF!</definedName>
    <definedName name="PAGE22">#REF!</definedName>
    <definedName name="page3">#REF!</definedName>
    <definedName name="page4">#REF!</definedName>
    <definedName name="page5">#REF!</definedName>
    <definedName name="page6">#REF!</definedName>
    <definedName name="page7">#REF!</definedName>
    <definedName name="PAN">#REF!</definedName>
    <definedName name="PartDesignation">#REF!</definedName>
    <definedName name="past">#REF!</definedName>
    <definedName name="PBinstalcost">#REF!</definedName>
    <definedName name="pconv">#REF!</definedName>
    <definedName name="pconvcable">#REF!</definedName>
    <definedName name="percentagemarketcoveredph2">#REF!</definedName>
    <definedName name="percentagemktcoveredph1a">#REF!</definedName>
    <definedName name="percentagemktcoveredph1b">#REF!</definedName>
    <definedName name="percentcables">#REF!</definedName>
    <definedName name="percentcivil">#REF!</definedName>
    <definedName name="percentducts">#REF!</definedName>
    <definedName name="percentelectro">#REF!</definedName>
    <definedName name="percentland">#REF!</definedName>
    <definedName name="percentothers">#REF!</definedName>
    <definedName name="percentrow">#REF!</definedName>
    <definedName name="PG_2">#REF!</definedName>
    <definedName name="PG_4">#REF!</definedName>
    <definedName name="PG_5">#REF!</definedName>
    <definedName name="piu">#REF!</definedName>
    <definedName name="PkgBrlFlow">#REF!</definedName>
    <definedName name="pl">#REF!</definedName>
    <definedName name="PL1A">#N/A</definedName>
    <definedName name="PL1B">#N/A</definedName>
    <definedName name="PL2A">#N/A</definedName>
    <definedName name="PL2B">#N/A</definedName>
    <definedName name="PL3A">#N/A</definedName>
    <definedName name="PL3B">#N/A</definedName>
    <definedName name="PLAccount">#REF!</definedName>
    <definedName name="populationgrowthrate">#REF!</definedName>
    <definedName name="pots30if">#REF!</definedName>
    <definedName name="potscable">#REF!</definedName>
    <definedName name="potsif">#REF!</definedName>
    <definedName name="premises">#REF!</definedName>
    <definedName name="price">#REF!</definedName>
    <definedName name="_xlnm.Print_Area">#REF!</definedName>
    <definedName name="Print_Area_MI">#REF!</definedName>
    <definedName name="PRINT_SUMMARY">#REF!</definedName>
    <definedName name="_xlnm.Print_Titles">#REF!,#REF!</definedName>
    <definedName name="Print_Titles_MI">#REF!,#REF!</definedName>
    <definedName name="Print1">#REF!</definedName>
    <definedName name="PrintHanBusinessModel">#REF!</definedName>
    <definedName name="PROFIT">#REF!</definedName>
    <definedName name="Profit_Loss">#REF!</definedName>
    <definedName name="ProImportExport.ImportFile">#REF!</definedName>
    <definedName name="ProImportExport.SaveNewFile">#REF!</definedName>
    <definedName name="proj">#REF!</definedName>
    <definedName name="ProjDesc">#REF!</definedName>
    <definedName name="PROJECT">#REF!</definedName>
    <definedName name="PROJECT_NAME">#REF!</definedName>
    <definedName name="projected">#REF!</definedName>
    <definedName name="ProjectName" localSheetId="16">{"Client Name or Project Name"}</definedName>
    <definedName name="ProjectName" localSheetId="6">{"Client Name or Project Name"}</definedName>
    <definedName name="ProjectName">{"Client Name or Project Name"}</definedName>
    <definedName name="ProjName">#REF!</definedName>
    <definedName name="provision">#REF!</definedName>
    <definedName name="PrtMajMaint">#REF!</definedName>
    <definedName name="PrtOffsite">#REF!</definedName>
    <definedName name="PrtPrecomm">#REF!</definedName>
    <definedName name="PrtSetup">#REF!</definedName>
    <definedName name="Ptas">#REF!</definedName>
    <definedName name="pullingcost">#REF!</definedName>
    <definedName name="pun_num_bqs">#REF!</definedName>
    <definedName name="pun_num_hoarding">#REF!</definedName>
    <definedName name="pun_num_kiosk">#REF!</definedName>
    <definedName name="pun_num_utility">#REF!</definedName>
    <definedName name="pun_occrate_bqs">#REF!</definedName>
    <definedName name="pun_occrate_hoarding">#REF!</definedName>
    <definedName name="pun_occrate_kiosk">#REF!</definedName>
    <definedName name="pun_occrate_utility">#REF!</definedName>
    <definedName name="Q">#REF!</definedName>
    <definedName name="Q1Vsmonths">#REF!</definedName>
    <definedName name="qwe">#REF!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ate_dep_acplant">#REF!</definedName>
    <definedName name="rate_dep_building">#REF!</definedName>
    <definedName name="rate_dep_computer">#REF!</definedName>
    <definedName name="rate_dep_ff">#REF!</definedName>
    <definedName name="rate_dep_land">#REF!</definedName>
    <definedName name="rate_dep_manualentries">#REF!</definedName>
    <definedName name="rate_dep_moulddies">#REF!</definedName>
    <definedName name="rate_dep_off_equipment">#REF!</definedName>
    <definedName name="rate_dep_plantequipment">#REF!</definedName>
    <definedName name="rate_dep_trademarks">#REF!</definedName>
    <definedName name="rate_dep_vehicle">#REF!</definedName>
    <definedName name="Rate_Half">#REF!</definedName>
    <definedName name="Rate_Peak">#REF!</definedName>
    <definedName name="Rate_Std">#REF!</definedName>
    <definedName name="ratio_adtax_revenues">#REF!</definedName>
    <definedName name="ratio_displaycharges_revenues">#REF!</definedName>
    <definedName name="ratio_hoardingexp_revenues">#REF!</definedName>
    <definedName name="ratio_illumcharges_revenues">#REF!</definedName>
    <definedName name="ratio_maintcharges_revenues">#REF!</definedName>
    <definedName name="ratio_paintingcharges_revenues">#REF!</definedName>
    <definedName name="RawData">#REF!</definedName>
    <definedName name="RawHeader">#REF!</definedName>
    <definedName name="Realisations_salevalue">#REF!</definedName>
    <definedName name="Rec">#REF!</definedName>
    <definedName name="recon">#REF!</definedName>
    <definedName name="redep">#REF!</definedName>
    <definedName name="Reductioningrowthrate">#REF!</definedName>
    <definedName name="Ref_6">#REF!</definedName>
    <definedName name="Ref_8">#REF!</definedName>
    <definedName name="Ref_9">#REF!</definedName>
    <definedName name="Refund">#REF!</definedName>
    <definedName name="RegenCost">#REF!</definedName>
    <definedName name="rentadv">#REF!</definedName>
    <definedName name="repayment">#REF!</definedName>
    <definedName name="Residual_difference">#REF!</definedName>
    <definedName name="restorationcost">#REF!</definedName>
    <definedName name="rev_del_bqs">#REF!</definedName>
    <definedName name="rev_del_dmrc1">#REF!</definedName>
    <definedName name="rev_del_dmrc2">#REF!</definedName>
    <definedName name="rev_del_dmrc3">#REF!</definedName>
    <definedName name="rev_del_dmrc4">#REF!</definedName>
    <definedName name="rev_del_hoarding">#REF!</definedName>
    <definedName name="rev_del_mcd1">#REF!</definedName>
    <definedName name="rev_del_mcd2">#REF!</definedName>
    <definedName name="rev_del_mcd3">#REF!</definedName>
    <definedName name="rev_del_mcd4">#REF!</definedName>
    <definedName name="rev_del_mcd5">#REF!</definedName>
    <definedName name="rev_del_nrdd">#REF!</definedName>
    <definedName name="rev_del_utility">#REF!</definedName>
    <definedName name="rev_kol_bqs">#REF!</definedName>
    <definedName name="rev_kol_hoarding">#REF!</definedName>
    <definedName name="rev_kol_kiosk">#REF!</definedName>
    <definedName name="rev_kol_mpillars">#REF!</definedName>
    <definedName name="rev_kol_pillarwrap">#REF!</definedName>
    <definedName name="rev_mum_bestbus">#REF!</definedName>
    <definedName name="rev_mum_bqs">#REF!</definedName>
    <definedName name="rev_mum_hoarding">#REF!</definedName>
    <definedName name="rev_mum_kiosk">#REF!</definedName>
    <definedName name="reva">#REF!</definedName>
    <definedName name="revloss1anoncolocation">#REF!</definedName>
    <definedName name="revloss1bnoncolocation">#REF!</definedName>
    <definedName name="revloss2noncolocation">#REF!</definedName>
    <definedName name="Revq1">#REF!</definedName>
    <definedName name="revq2">#REF!</definedName>
    <definedName name="revq3">#REF!</definedName>
    <definedName name="revq4">#REF!</definedName>
    <definedName name="revshare">#REF!</definedName>
    <definedName name="revsharebasis">#REF!</definedName>
    <definedName name="revshareSDCAtfc">#REF!</definedName>
    <definedName name="rilmkt">#REF!</definedName>
    <definedName name="RMB">#REF!</definedName>
    <definedName name="RO?">#REF!</definedName>
    <definedName name="RunDate">#REF!</definedName>
    <definedName name="RunName">#REF!</definedName>
    <definedName name="Ruraltitle">#REF!</definedName>
    <definedName name="s" localSheetId="16">{"'subnets'!$A$1:$F$20"}</definedName>
    <definedName name="s" localSheetId="6">{"'subnets'!$A$1:$F$20"}</definedName>
    <definedName name="s">{"'subnets'!$A$1:$F$20"}</definedName>
    <definedName name="S_AcctDes">#REF!</definedName>
    <definedName name="S_AcctNum">#REF!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LSRange1">#REF!</definedName>
    <definedName name="S_LSRange1Balance">#REF!</definedName>
    <definedName name="S_LSRange1Balance1">#REF!</definedName>
    <definedName name="S_LSRange1Balance2">#REF!</definedName>
    <definedName name="S_LSRange1Balance3">#REF!</definedName>
    <definedName name="S_LSRange2">#REF!</definedName>
    <definedName name="S_LSRange2Balance">#REF!</definedName>
    <definedName name="S_LSRange2Balance1">#REF!</definedName>
    <definedName name="S_LSRange2Balance2">#REF!</definedName>
    <definedName name="S_LSRange2Balance3">#REF!</definedName>
    <definedName name="S_LSRange3">#REF!</definedName>
    <definedName name="S_LSRange3Balance">#REF!</definedName>
    <definedName name="S_LSRange3Balance1">#REF!</definedName>
    <definedName name="S_LSRange3Balance2">#REF!</definedName>
    <definedName name="S_LSRange3Balance3">#REF!</definedName>
    <definedName name="S_LSRange4">#REF!</definedName>
    <definedName name="S_LSRange4Balance">#REF!</definedName>
    <definedName name="S_LSRange4Balance1">#REF!</definedName>
    <definedName name="S_LSRange4Balance2">#REF!</definedName>
    <definedName name="S_LSRange4Balance3">#REF!</definedName>
    <definedName name="S_LSRange5">#REF!</definedName>
    <definedName name="S_LSRange5Balance">#REF!</definedName>
    <definedName name="S_LSRange5Balance1">#REF!</definedName>
    <definedName name="S_LSRange5Balance2">#REF!</definedName>
    <definedName name="S_LSRange5Balance3">#REF!</definedName>
    <definedName name="S_LSRange6">#REF!</definedName>
    <definedName name="S_LSRange6Balance">#REF!</definedName>
    <definedName name="S_LSRange6Balance1">#REF!</definedName>
    <definedName name="S_LSRange6Balance2">#REF!</definedName>
    <definedName name="S_LSRange6Balance3">#REF!</definedName>
    <definedName name="S_LSRange7">#REF!</definedName>
    <definedName name="S_LSRange7Balance">#REF!</definedName>
    <definedName name="S_LSRange7Balance1">#REF!</definedName>
    <definedName name="S_LSRange7Balance2">#REF!</definedName>
    <definedName name="S_LSRange7Balance3">#REF!</definedName>
    <definedName name="S_LSRange8">#REF!</definedName>
    <definedName name="S_LSRange8Balance">#REF!</definedName>
    <definedName name="S_LSRange8Balance1">#REF!</definedName>
    <definedName name="S_LSRange8Balance2">#REF!</definedName>
    <definedName name="S_LSRange8Balance3">#REF!</definedName>
    <definedName name="S_LSRange9">#REF!</definedName>
    <definedName name="S_LSRange9Balance">#REF!</definedName>
    <definedName name="S_LSRange9Balance1">#REF!</definedName>
    <definedName name="S_LSRange9Balance2">#REF!</definedName>
    <definedName name="S_LSRange9Balance3">#REF!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Total">#REF!</definedName>
    <definedName name="S_Total1">#REF!</definedName>
    <definedName name="S_Total2">#REF!</definedName>
    <definedName name="S_Total3">#REF!</definedName>
    <definedName name="sabi">#REF!</definedName>
    <definedName name="salaryinhouse">#REF!</definedName>
    <definedName name="salaryoutsourced">#REF!</definedName>
    <definedName name="SALEDETL">#REF!</definedName>
    <definedName name="SALES">#REF!</definedName>
    <definedName name="SaveNewFile">#REF!</definedName>
    <definedName name="SaveWorkbookNo">#N/A</definedName>
    <definedName name="SaveWorkbookYes">#N/A</definedName>
    <definedName name="sc">#REF!</definedName>
    <definedName name="scaleupfactor">#REF!</definedName>
    <definedName name="Sch_1_2_3">#REF!</definedName>
    <definedName name="Sch_11_12">#REF!</definedName>
    <definedName name="Sch_13">#REF!</definedName>
    <definedName name="Sch_5_6_7">#REF!</definedName>
    <definedName name="Sch_8_9_10">#REF!</definedName>
    <definedName name="Sch11to13">#REF!</definedName>
    <definedName name="Sch1to5">#REF!</definedName>
    <definedName name="Sch6to10">#REF!</definedName>
    <definedName name="scs">#REF!</definedName>
    <definedName name="SDASD">#REF!</definedName>
    <definedName name="sdcacarriagetfc1a">#REF!</definedName>
    <definedName name="sdcacarriagetfc1b">#REF!</definedName>
    <definedName name="sdcacarriagetfc2">#REF!</definedName>
    <definedName name="sdddd">#REF!</definedName>
    <definedName name="sDKJEHWGKJG">#REF!</definedName>
    <definedName name="SEctionCode">#REF!</definedName>
    <definedName name="Sep">#REF!</definedName>
    <definedName name="SEPDATA?">#REF!</definedName>
    <definedName name="Service">#REF!</definedName>
    <definedName name="SETUP_PRINT">#REF!</definedName>
    <definedName name="SEVENDAY">#REF!</definedName>
    <definedName name="sf">#REF!</definedName>
    <definedName name="shelf_1_fixed">#REF!</definedName>
    <definedName name="shelf_1A_var">#REF!</definedName>
    <definedName name="shelf_1B_fixed">#REF!</definedName>
    <definedName name="shelf_1B_var">#REF!</definedName>
    <definedName name="shelf_1C_fixed">#REF!</definedName>
    <definedName name="shelf_1C_var">#REF!</definedName>
    <definedName name="shelf_1D_fixed">#REF!</definedName>
    <definedName name="shelf_1D_var">#REF!</definedName>
    <definedName name="shelf_1E_fixed">#REF!</definedName>
    <definedName name="shelf_1E_var">#REF!</definedName>
    <definedName name="shelf_IIA_fixed">#REF!</definedName>
    <definedName name="shelf_IIIA_fixed">#REF!</definedName>
    <definedName name="shelf_IIIA_var">#REF!</definedName>
    <definedName name="shelf_IIIB_fixed">#REF!</definedName>
    <definedName name="shelf_IIIB_var">#REF!</definedName>
    <definedName name="shelf_IIIC_fixed">#REF!</definedName>
    <definedName name="shelf_IIIC_var">#REF!</definedName>
    <definedName name="shelf_IIID_fixed">#REF!</definedName>
    <definedName name="shelf_IIID_var">#REF!</definedName>
    <definedName name="shelf_IIIE_fixed">#REF!</definedName>
    <definedName name="shelf_IIIE_var">#REF!</definedName>
    <definedName name="shelf_IVA_fixed">#REF!</definedName>
    <definedName name="shelf_IVA_var">#REF!</definedName>
    <definedName name="shelf_IVB_fixed">#REF!</definedName>
    <definedName name="shelf_IVB_var">#REF!</definedName>
    <definedName name="shelf_IVC_fixed">#REF!</definedName>
    <definedName name="shelf_IVC_var">#REF!</definedName>
    <definedName name="shelf_IVD_fixed">#REF!</definedName>
    <definedName name="shelf_IVD_var">#REF!</definedName>
    <definedName name="shelf_IVE_fixed">#REF!</definedName>
    <definedName name="shelf_IVE_var">#REF!</definedName>
    <definedName name="SHT">#REF!</definedName>
    <definedName name="sig">#REF!</definedName>
    <definedName name="slmadditionalhead1">#REF!</definedName>
    <definedName name="slmadditionalhead2">#REF!</definedName>
    <definedName name="slmcivil">#REF!</definedName>
    <definedName name="slmduct">#REF!</definedName>
    <definedName name="slmelectro">#REF!</definedName>
    <definedName name="slmutilities">#REF!</definedName>
    <definedName name="slotreq_LEMU6">#REF!</definedName>
    <definedName name="slotreq_LESA8">#REF!</definedName>
    <definedName name="slotreq_LOMIF">#REF!</definedName>
    <definedName name="slotreq_PCONV">#REF!</definedName>
    <definedName name="slotreq_PHLC30">#REF!</definedName>
    <definedName name="slotreq_PHLC60">#REF!</definedName>
    <definedName name="SortRange">#REF!</definedName>
    <definedName name="SP">#REF!</definedName>
    <definedName name="ss" localSheetId="16">{1}</definedName>
    <definedName name="ss" localSheetId="6">{1}</definedName>
    <definedName name="ss">{1}</definedName>
    <definedName name="ssa">#REF!</definedName>
    <definedName name="ssss">#REF!,#REF!</definedName>
    <definedName name="ST">#REF!</definedName>
    <definedName name="staff_sal">#REF!</definedName>
    <definedName name="StaffScale">#REF!</definedName>
    <definedName name="staffwel">#REF!</definedName>
    <definedName name="StartDelete">#REF!</definedName>
    <definedName name="StartDelete2">#REF!</definedName>
    <definedName name="StartFormat">#REF!</definedName>
    <definedName name="Stocks">#REF!</definedName>
    <definedName name="STScale">#REF!</definedName>
    <definedName name="sundry_creditors_num_days">#REF!</definedName>
    <definedName name="sundry_debtors_num_days">#REF!</definedName>
    <definedName name="Support">#REF!</definedName>
    <definedName name="swgrossnet">#REF!</definedName>
    <definedName name="swphase">#REF!</definedName>
    <definedName name="swphase1a">#REF!</definedName>
    <definedName name="swphase1b">#REF!</definedName>
    <definedName name="swphase2">#REF!</definedName>
    <definedName name="TAFName">#REF!</definedName>
    <definedName name="TAMNo">#REF!</definedName>
    <definedName name="TAName">#REF!</definedName>
    <definedName name="TAPlace">#REF!</definedName>
    <definedName name="tariffgrowthyr1">#REF!</definedName>
    <definedName name="tariffgrowthyr2">#REF!</definedName>
    <definedName name="tariffgrowthyr3">#REF!</definedName>
    <definedName name="tariffgrowthyr4">#REF!</definedName>
    <definedName name="tariffgrowthyr5onwards">#REF!</definedName>
    <definedName name="tax">#REF!</definedName>
    <definedName name="tax_rate">#REF!</definedName>
    <definedName name="TaxAudAdd">#REF!</definedName>
    <definedName name="TaxAuditDate">#REF!</definedName>
    <definedName name="TAXCOMP1">#REF!</definedName>
    <definedName name="tb">#REF!</definedName>
    <definedName name="TB_data">#REF!</definedName>
    <definedName name="TB_Phil">#REF!</definedName>
    <definedName name="tb17.04">#REF!</definedName>
    <definedName name="tbchn">#REF!</definedName>
    <definedName name="TBdata">#REF!</definedName>
    <definedName name="TBFINAL">#REF!</definedName>
    <definedName name="tbnod">#REF!</definedName>
    <definedName name="TDS">#REF!</definedName>
    <definedName name="TENDAY">#REF!</definedName>
    <definedName name="TEST0">#REF!</definedName>
    <definedName name="TESTHKEY">#REF!</definedName>
    <definedName name="TESTKEYS">#REF!</definedName>
    <definedName name="TESTVKEY">#REF!</definedName>
    <definedName name="TextRefCopy1">#REF!</definedName>
    <definedName name="TextRefCopy9">#REF!</definedName>
    <definedName name="TextRefCopyRangeCount">9</definedName>
    <definedName name="tfcq1">#REF!</definedName>
    <definedName name="tfcq2">#REF!</definedName>
    <definedName name="tfcq3">#REF!</definedName>
    <definedName name="tfcq4">#REF!</definedName>
    <definedName name="THAI_PLASTIC_in_KUSD">#REF!</definedName>
    <definedName name="ThreeCD">#REF!</definedName>
    <definedName name="THREEDAY">#REF!</definedName>
    <definedName name="Threshold">#REF!</definedName>
    <definedName name="Ticker">#REF!</definedName>
    <definedName name="TimeSheetOnProjects">#REF!</definedName>
    <definedName name="TITLE_1">#REF!</definedName>
    <definedName name="TITLE_2">#REF!</definedName>
    <definedName name="TITLE_3">#REF!</definedName>
    <definedName name="TITLE_4">#REF!</definedName>
    <definedName name="TITLE_5">#REF!</definedName>
    <definedName name="TITLE_6">#REF!</definedName>
    <definedName name="TITLE_7">#REF!</definedName>
    <definedName name="TLT">#REF!</definedName>
    <definedName name="today">#REF!</definedName>
    <definedName name="TOT">#REF!</definedName>
    <definedName name="Total">#REF!</definedName>
    <definedName name="totalmiscecharge">#REF!</definedName>
    <definedName name="TotalStmFlw">#REF!</definedName>
    <definedName name="totslot_ext">#REF!</definedName>
    <definedName name="totsum">#REF!</definedName>
    <definedName name="TPS">#REF!</definedName>
    <definedName name="trafficgrowthyr1">#REF!</definedName>
    <definedName name="trafficgrowthyr2">#REF!</definedName>
    <definedName name="trafficgrowthyr3">#REF!</definedName>
    <definedName name="trafficgrowthyr4">#REF!</definedName>
    <definedName name="trafficgrowthyr5onwards">#REF!</definedName>
    <definedName name="Traveltype">#REF!</definedName>
    <definedName name="trenchingcost">#REF!</definedName>
    <definedName name="Trg">#REF!</definedName>
    <definedName name="TrialBal">#REF!</definedName>
    <definedName name="Trianglelosspercent">#REF!</definedName>
    <definedName name="tttt">#REF!</definedName>
    <definedName name="tyu">#REF!</definedName>
    <definedName name="UER">#REF!</definedName>
    <definedName name="uio">#REF!</definedName>
    <definedName name="Unit_Cost">#REF!</definedName>
    <definedName name="unit_sale_price_bp">#REF!</definedName>
    <definedName name="unit_sale_price_del_bqs">#REF!</definedName>
    <definedName name="unit_sale_price_del_dmrc1_bqs">#REF!</definedName>
    <definedName name="unit_sale_price_del_dmrc1_bridgepanel">#REF!</definedName>
    <definedName name="unit_sale_price_del_dmrc1_mpillars">#REF!</definedName>
    <definedName name="unit_sale_price_del_dmrc2_bridgepanel">#REF!</definedName>
    <definedName name="unit_sale_price_del_dmrc2_hoarding">#REF!</definedName>
    <definedName name="unit_sale_price_del_dmrc3_mpillars">#REF!</definedName>
    <definedName name="unit_sale_price_del_hoarding">#REF!</definedName>
    <definedName name="unit_sale_price_del_mcd1_hoarding">#REF!</definedName>
    <definedName name="unit_sale_price_del_mcd2_kiosk">#REF!</definedName>
    <definedName name="unit_sale_price_del_mcd3_hoarding">#REF!</definedName>
    <definedName name="unit_sale_price_del_mcd5_hoarding">#REF!</definedName>
    <definedName name="unit_sale_price_del_nrdd_bridgepanel">#REF!</definedName>
    <definedName name="unit_sale_price_del_nrdd_hoarding">#REF!</definedName>
    <definedName name="unit_sale_price_del_nrdd_utility">#REF!</definedName>
    <definedName name="unit_sale_price_ip">#REF!</definedName>
    <definedName name="unit_sale_price_kol_bqs">#REF!</definedName>
    <definedName name="unit_sale_price_kol_bridgepanel">#REF!</definedName>
    <definedName name="unit_sale_price_kol_hoarding">#REF!</definedName>
    <definedName name="unit_sale_price_kol_mpillars">#REF!</definedName>
    <definedName name="unit_sale_price_kol_pillarwrap">#REF!</definedName>
    <definedName name="unit_sale_price_kol_ts">#REF!</definedName>
    <definedName name="unit_sale_price_lsp">#REF!</definedName>
    <definedName name="unit_sale_price_mum_hoarding">#REF!</definedName>
    <definedName name="unit_sale_price_mum_kiosk">#REF!</definedName>
    <definedName name="unit_sale_price_mum_utility">#REF!</definedName>
    <definedName name="unit_sale_price_new_r1">#REF!</definedName>
    <definedName name="unit_sale_price_new_s2">#REF!</definedName>
    <definedName name="unit_sale_price_new_sf1">#REF!</definedName>
    <definedName name="unit_sale_price_new_sf2">#REF!</definedName>
    <definedName name="unit_sale_price_new_sf3">#REF!</definedName>
    <definedName name="unit_sale_price_pun_hoarding">#REF!</definedName>
    <definedName name="unit_sale_price_pun_kiosk">#REF!</definedName>
    <definedName name="unit_sale_price_pun_utility">#REF!</definedName>
    <definedName name="unit_sale_price_rsp">#REF!</definedName>
    <definedName name="unit_sale_price_s">#REF!</definedName>
    <definedName name="Untitled">#REF!</definedName>
    <definedName name="urban_kiosk_to">#REF!</definedName>
    <definedName name="urban_shop_TO">#REF!</definedName>
    <definedName name="Urbanpopulationpercentage">#REF!</definedName>
    <definedName name="USD.A">#REF!</definedName>
    <definedName name="USD.E">#REF!</definedName>
    <definedName name="USD_B">#REF!</definedName>
    <definedName name="UseEPS">#REF!</definedName>
    <definedName name="User1_Access">#REF!</definedName>
    <definedName name="User1_IOC">#REF!</definedName>
    <definedName name="User2_Access">#REF!</definedName>
    <definedName name="User2_IOC">#REF!</definedName>
    <definedName name="User3_T11_GDA">#REF!</definedName>
    <definedName name="User3_T11_T1">#REF!</definedName>
    <definedName name="User3_T9_56k">#REF!</definedName>
    <definedName name="User3_T9_IBR">#REF!</definedName>
    <definedName name="User3_T9_T1">#REF!</definedName>
    <definedName name="User4_T11_GDA">#REF!</definedName>
    <definedName name="User4_T11_T1">#REF!</definedName>
    <definedName name="User4_T9_56k">#REF!</definedName>
    <definedName name="User4_T9_IBR">#REF!</definedName>
    <definedName name="User4_T9_T1">#REF!</definedName>
    <definedName name="User5_Access">#REF!</definedName>
    <definedName name="User5_Components">#REF!</definedName>
    <definedName name="User5_IOC">#REF!</definedName>
    <definedName name="uy">#REF!</definedName>
    <definedName name="v">#REF!,#REF!</definedName>
    <definedName name="vdfv">#REF!</definedName>
    <definedName name="VLSI">#REF!</definedName>
    <definedName name="VLSIsum">#REF!</definedName>
    <definedName name="Volume">#REF!</definedName>
    <definedName name="VOLVO_INDIA_PRIVATE_LIMITED">#REF!</definedName>
    <definedName name="VP">#REF!</definedName>
    <definedName name="vpc_share">#REF!</definedName>
    <definedName name="vvvv">#REF!</definedName>
    <definedName name="wcap">#REF!</definedName>
    <definedName name="wdvadditionalhead1">#REF!</definedName>
    <definedName name="wdvadditionalhead2">#REF!</definedName>
    <definedName name="wdvcivil">#REF!</definedName>
    <definedName name="wdvduct">#REF!</definedName>
    <definedName name="wdvelectro">#REF!</definedName>
    <definedName name="wdvutilities">#REF!</definedName>
    <definedName name="we">#REF!</definedName>
    <definedName name="wer">#REF!</definedName>
    <definedName name="Work_C">#REF!</definedName>
    <definedName name="Workings">#REF!</definedName>
    <definedName name="wwwww">#REF!</definedName>
    <definedName name="x">#REF!</definedName>
    <definedName name="XLOPTvec">"4 15 1 125 1 0 1 1 1 1 1 1 0 0 1 0 0 0 0 0"</definedName>
    <definedName name="xvhxh">#REF!</definedName>
    <definedName name="xx">#N/A</definedName>
    <definedName name="XXX">#REF!</definedName>
    <definedName name="XYZ">#REF!,#REF!</definedName>
    <definedName name="y">#REF!</definedName>
    <definedName name="YE8389DE">#REF!</definedName>
    <definedName name="yearly_inc_license_fee">#REF!</definedName>
    <definedName name="YearStart1">#REF!</definedName>
    <definedName name="YearStart2">#REF!</definedName>
    <definedName name="YearStart3">#REF!</definedName>
    <definedName name="YearStart4">#REF!</definedName>
    <definedName name="YearStart5">#REF!</definedName>
    <definedName name="YearStart6">#REF!</definedName>
    <definedName name="YearStart7">#REF!</definedName>
    <definedName name="Yr0days">#REF!</definedName>
    <definedName name="Yr1_Months_of_opn">#REF!</definedName>
    <definedName name="ytdinr">#REF!</definedName>
    <definedName name="ytdusd">#REF!</definedName>
    <definedName name="yui">#REF!</definedName>
    <definedName name="Z_0185ADC1_3830_11D3_88E4_00104B2D4E50_.wvu.FilterData" hidden="1">#REF!</definedName>
    <definedName name="Z_0185ADC2_3830_11D3_88E4_00104B2D4E50_.wvu.FilterData" hidden="1">#REF!</definedName>
    <definedName name="Z_020243C4_4FC9_11D3_88E5_00104B2D4E50_.wvu.FilterData" hidden="1">#REF!</definedName>
    <definedName name="Z_020243C5_4FC9_11D3_88E5_00104B2D4E50_.wvu.FilterData" hidden="1">#REF!</definedName>
    <definedName name="Z_020243D6_4FC9_11D3_88E5_00104B2D4E50_.wvu.FilterData" hidden="1">#REF!</definedName>
    <definedName name="Z_020243D9_4FC9_11D3_88E5_00104B2D4E50_.wvu.FilterData" hidden="1">#REF!</definedName>
    <definedName name="Z_18E867C2_363F_11D3_B384_00104B203064_.wvu.Cols" hidden="1">#REF!</definedName>
    <definedName name="Z_18E867C2_363F_11D3_B384_00104B203064_.wvu.FilterData" hidden="1">#REF!</definedName>
    <definedName name="Z_18E867C6_363F_11D3_B384_00104B203064_.wvu.FilterData" hidden="1">#REF!</definedName>
    <definedName name="Z_2529F30F_675A_11D3_88E6_00104B2D4E50_.wvu.FilterData" hidden="1">#REF!</definedName>
    <definedName name="Z_37C90060_2018_11D3_9FEA_008048EE1BB3_.wvu.Cols" hidden="1">#REF!</definedName>
    <definedName name="Z_37C90060_2018_11D3_9FEA_008048EE1BB3_.wvu.FilterData" hidden="1">#REF!</definedName>
    <definedName name="Z_37C90061_2018_11D3_9FEA_008048EE1BB3_.wvu.FilterData" hidden="1">#REF!</definedName>
    <definedName name="Z_37C90063_2018_11D3_9FEA_008048EE1BB3_.wvu.FilterData" hidden="1">#REF!</definedName>
    <definedName name="Z_42177D60_3622_11D3_B2D2_008048EE2662_.wvu.FilterData" hidden="1">#REF!</definedName>
    <definedName name="Z_87846904_F246_11D2_88E4_00104B2D4E50_.wvu.PrintTitles">#REF!,#REF!</definedName>
    <definedName name="Z_9C36B7A0_8E17_11D3_B2D2_008048EE2662_.wvu.Rows">#REF!,#REF!,#REF!</definedName>
    <definedName name="Z_AF67EA27_37A9_11D3_88E4_00104B2D4E50_.wvu.FilterData" hidden="1">#REF!</definedName>
    <definedName name="Z_CC26C000_67A6_11D3_B801_444553540000_.wvu.FilterData" hidden="1">#REF!</definedName>
    <definedName name="Z_D840F8B1_668B_11D3_88E6_00104B2D4E50_.wvu.FilterData" hidden="1">#REF!</definedName>
    <definedName name="Z_F0339D6F_2232_11D3_88E4_00104B2D4E50_.wvu.FilterData" hidden="1">#REF!</definedName>
    <definedName name="zz">#REF!</definedName>
    <definedName name="ZZZZZ">#REF!</definedName>
  </definedNames>
  <calcPr calcId="191029"/>
  <pivotCaches>
    <pivotCache cacheId="0" r:id="rId28"/>
    <pivotCache cacheId="1" r:id="rId2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Base Revenue!$A$5:$U$5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14" l="1"/>
  <c r="J68" i="10"/>
  <c r="J67" i="10"/>
  <c r="H66" i="10"/>
  <c r="K13" i="14"/>
  <c r="K15" i="14"/>
  <c r="J72" i="14"/>
  <c r="K72" i="14"/>
  <c r="L72" i="14"/>
  <c r="M72" i="14"/>
  <c r="N72" i="14"/>
  <c r="O72" i="14"/>
  <c r="P72" i="14"/>
  <c r="J73" i="14"/>
  <c r="K73" i="14"/>
  <c r="L73" i="14"/>
  <c r="M73" i="14"/>
  <c r="N73" i="14"/>
  <c r="O73" i="14"/>
  <c r="P73" i="14"/>
  <c r="I73" i="14"/>
  <c r="I72" i="14"/>
  <c r="K50" i="14"/>
  <c r="L50" i="14"/>
  <c r="M50" i="14"/>
  <c r="N50" i="14"/>
  <c r="O50" i="14"/>
  <c r="P50" i="14"/>
  <c r="J50" i="14"/>
  <c r="K49" i="14"/>
  <c r="L49" i="14"/>
  <c r="M49" i="14"/>
  <c r="N49" i="14"/>
  <c r="O49" i="14"/>
  <c r="P49" i="14"/>
  <c r="J49" i="14"/>
  <c r="K46" i="14"/>
  <c r="L46" i="14"/>
  <c r="M46" i="14"/>
  <c r="N46" i="14"/>
  <c r="O46" i="14"/>
  <c r="P46" i="14"/>
  <c r="J46" i="14"/>
  <c r="I66" i="10"/>
  <c r="J66" i="10"/>
  <c r="K65" i="10"/>
  <c r="L65" i="10"/>
  <c r="M65" i="10"/>
  <c r="N65" i="10"/>
  <c r="O65" i="10"/>
  <c r="O53" i="10"/>
  <c r="N53" i="10"/>
  <c r="L53" i="10"/>
  <c r="M53" i="10"/>
  <c r="K53" i="10"/>
  <c r="J53" i="10"/>
  <c r="J49" i="10"/>
  <c r="K49" i="10"/>
  <c r="L49" i="10"/>
  <c r="M49" i="10"/>
  <c r="N49" i="10"/>
  <c r="O49" i="10"/>
  <c r="I49" i="10"/>
  <c r="H49" i="10"/>
  <c r="AA61" i="2"/>
  <c r="G17" i="10"/>
  <c r="O31" i="16"/>
  <c r="N31" i="16"/>
  <c r="M31" i="16"/>
  <c r="L31" i="16"/>
  <c r="K31" i="16"/>
  <c r="J31" i="16"/>
  <c r="I31" i="16"/>
  <c r="H31" i="16"/>
  <c r="G31" i="16"/>
  <c r="F31" i="16"/>
  <c r="E31" i="16"/>
  <c r="D31" i="16"/>
  <c r="P31" i="16" s="1"/>
  <c r="I11" i="10" l="1"/>
  <c r="O66" i="10"/>
  <c r="O11" i="10" s="1"/>
  <c r="I55" i="10"/>
  <c r="I9" i="10" s="1"/>
  <c r="K55" i="10"/>
  <c r="K9" i="10" s="1"/>
  <c r="M55" i="10"/>
  <c r="M9" i="10" s="1"/>
  <c r="O55" i="10"/>
  <c r="O9" i="10" s="1"/>
  <c r="N66" i="10"/>
  <c r="N11" i="10" s="1"/>
  <c r="J11" i="10"/>
  <c r="H11" i="10"/>
  <c r="K66" i="10"/>
  <c r="K11" i="10" s="1"/>
  <c r="L66" i="10"/>
  <c r="L11" i="10" s="1"/>
  <c r="M66" i="10"/>
  <c r="M11" i="10" s="1"/>
  <c r="J55" i="10"/>
  <c r="J9" i="10" s="1"/>
  <c r="L55" i="10"/>
  <c r="L9" i="10" s="1"/>
  <c r="N55" i="10"/>
  <c r="N9" i="10" s="1"/>
  <c r="H55" i="10"/>
  <c r="H9" i="10" s="1"/>
  <c r="I3" i="37"/>
  <c r="J3" i="37"/>
  <c r="J13" i="14" l="1"/>
  <c r="I17" i="10" s="1"/>
  <c r="J14" i="14"/>
  <c r="P13" i="14"/>
  <c r="O17" i="10" s="1"/>
  <c r="P14" i="14"/>
  <c r="O13" i="14"/>
  <c r="N17" i="10" s="1"/>
  <c r="O14" i="14"/>
  <c r="J17" i="10"/>
  <c r="K14" i="14"/>
  <c r="I13" i="14"/>
  <c r="H17" i="10" s="1"/>
  <c r="I14" i="14"/>
  <c r="L13" i="14"/>
  <c r="K17" i="10" s="1"/>
  <c r="L14" i="14"/>
  <c r="M13" i="14"/>
  <c r="L17" i="10" s="1"/>
  <c r="M14" i="14"/>
  <c r="N13" i="14"/>
  <c r="M17" i="10" s="1"/>
  <c r="N14" i="14"/>
  <c r="F49" i="14"/>
  <c r="G49" i="14"/>
  <c r="H49" i="14"/>
  <c r="I49" i="14"/>
  <c r="E49" i="14"/>
  <c r="AI6" i="2"/>
  <c r="AH6" i="2"/>
  <c r="AG6" i="2"/>
  <c r="AF6" i="2"/>
  <c r="AE6" i="2"/>
  <c r="AD6" i="2"/>
  <c r="AC6" i="2"/>
  <c r="AB6" i="2"/>
  <c r="AA6" i="2"/>
  <c r="Z6" i="2"/>
  <c r="Y6" i="2"/>
  <c r="X6" i="2"/>
  <c r="AI59" i="2"/>
  <c r="AH59" i="2"/>
  <c r="AG59" i="2"/>
  <c r="AF59" i="2"/>
  <c r="AE59" i="2"/>
  <c r="AD59" i="2"/>
  <c r="AC59" i="2"/>
  <c r="AB59" i="2"/>
  <c r="AA59" i="2"/>
  <c r="Z59" i="2"/>
  <c r="Y59" i="2"/>
  <c r="X59" i="2"/>
  <c r="AI58" i="2"/>
  <c r="AH58" i="2"/>
  <c r="AG58" i="2"/>
  <c r="AF58" i="2"/>
  <c r="AE58" i="2"/>
  <c r="AD58" i="2"/>
  <c r="AC58" i="2"/>
  <c r="AB58" i="2"/>
  <c r="AA58" i="2"/>
  <c r="Z58" i="2"/>
  <c r="Y58" i="2"/>
  <c r="X58" i="2"/>
  <c r="AI57" i="2"/>
  <c r="AH57" i="2"/>
  <c r="AG57" i="2"/>
  <c r="AF57" i="2"/>
  <c r="AE57" i="2"/>
  <c r="AD57" i="2"/>
  <c r="AC57" i="2"/>
  <c r="AB57" i="2"/>
  <c r="AA57" i="2"/>
  <c r="Z57" i="2"/>
  <c r="Y57" i="2"/>
  <c r="X57" i="2"/>
  <c r="AI50" i="2"/>
  <c r="AH50" i="2"/>
  <c r="AG50" i="2"/>
  <c r="AF50" i="2"/>
  <c r="AE50" i="2"/>
  <c r="AD50" i="2"/>
  <c r="AC50" i="2"/>
  <c r="AB50" i="2"/>
  <c r="AA50" i="2"/>
  <c r="Z50" i="2"/>
  <c r="Y50" i="2"/>
  <c r="X50" i="2"/>
  <c r="AI47" i="2"/>
  <c r="AH47" i="2"/>
  <c r="AG47" i="2"/>
  <c r="AF47" i="2"/>
  <c r="AE47" i="2"/>
  <c r="AD47" i="2"/>
  <c r="AC47" i="2"/>
  <c r="AB47" i="2"/>
  <c r="AA47" i="2"/>
  <c r="Z47" i="2"/>
  <c r="Y47" i="2"/>
  <c r="X47" i="2"/>
  <c r="AI46" i="2"/>
  <c r="AH46" i="2"/>
  <c r="AG46" i="2"/>
  <c r="AF46" i="2"/>
  <c r="AE46" i="2"/>
  <c r="AD46" i="2"/>
  <c r="AC46" i="2"/>
  <c r="AB46" i="2"/>
  <c r="AA46" i="2"/>
  <c r="Z46" i="2"/>
  <c r="Y46" i="2"/>
  <c r="X46" i="2"/>
  <c r="AI45" i="2"/>
  <c r="AH45" i="2"/>
  <c r="AG45" i="2"/>
  <c r="AF45" i="2"/>
  <c r="AE45" i="2"/>
  <c r="AD45" i="2"/>
  <c r="AC45" i="2"/>
  <c r="AB45" i="2"/>
  <c r="AA45" i="2"/>
  <c r="Z45" i="2"/>
  <c r="Y45" i="2"/>
  <c r="X45" i="2"/>
  <c r="AI44" i="2"/>
  <c r="AH44" i="2"/>
  <c r="AG44" i="2"/>
  <c r="AF44" i="2"/>
  <c r="AE44" i="2"/>
  <c r="AD44" i="2"/>
  <c r="AC44" i="2"/>
  <c r="AB44" i="2"/>
  <c r="AA44" i="2"/>
  <c r="Z44" i="2"/>
  <c r="Y44" i="2"/>
  <c r="X44" i="2"/>
  <c r="AI43" i="2"/>
  <c r="AH43" i="2"/>
  <c r="AG43" i="2"/>
  <c r="AF43" i="2"/>
  <c r="AE43" i="2"/>
  <c r="AD43" i="2"/>
  <c r="AC43" i="2"/>
  <c r="AB43" i="2"/>
  <c r="AA43" i="2"/>
  <c r="Z43" i="2"/>
  <c r="Y43" i="2"/>
  <c r="X43" i="2"/>
  <c r="AI42" i="2"/>
  <c r="AH42" i="2"/>
  <c r="AG42" i="2"/>
  <c r="AF42" i="2"/>
  <c r="AE42" i="2"/>
  <c r="AD42" i="2"/>
  <c r="AC42" i="2"/>
  <c r="AB42" i="2"/>
  <c r="AA42" i="2"/>
  <c r="Z42" i="2"/>
  <c r="Y42" i="2"/>
  <c r="X42" i="2"/>
  <c r="AI24" i="2"/>
  <c r="AH24" i="2"/>
  <c r="AG24" i="2"/>
  <c r="AF24" i="2"/>
  <c r="AE24" i="2"/>
  <c r="AD24" i="2"/>
  <c r="AC24" i="2"/>
  <c r="AB24" i="2"/>
  <c r="AA24" i="2"/>
  <c r="Z24" i="2"/>
  <c r="Y24" i="2"/>
  <c r="X24" i="2"/>
  <c r="AI23" i="2"/>
  <c r="AH23" i="2"/>
  <c r="AG23" i="2"/>
  <c r="AF23" i="2"/>
  <c r="AE23" i="2"/>
  <c r="AD23" i="2"/>
  <c r="AC23" i="2"/>
  <c r="AB23" i="2"/>
  <c r="AA23" i="2"/>
  <c r="Z23" i="2"/>
  <c r="Y23" i="2"/>
  <c r="X23" i="2"/>
  <c r="AI22" i="2"/>
  <c r="AH22" i="2"/>
  <c r="AG22" i="2"/>
  <c r="AF22" i="2"/>
  <c r="AE22" i="2"/>
  <c r="AD22" i="2"/>
  <c r="AC22" i="2"/>
  <c r="AB22" i="2"/>
  <c r="AA22" i="2"/>
  <c r="Z22" i="2"/>
  <c r="Y22" i="2"/>
  <c r="X22" i="2"/>
  <c r="AI21" i="2"/>
  <c r="AH21" i="2"/>
  <c r="AG21" i="2"/>
  <c r="AF21" i="2"/>
  <c r="AE21" i="2"/>
  <c r="AD21" i="2"/>
  <c r="AC21" i="2"/>
  <c r="AB21" i="2"/>
  <c r="AA21" i="2"/>
  <c r="Z21" i="2"/>
  <c r="Y21" i="2"/>
  <c r="X21" i="2"/>
  <c r="X51" i="2"/>
  <c r="Y51" i="2"/>
  <c r="Z51" i="2"/>
  <c r="AA51" i="2"/>
  <c r="AB51" i="2"/>
  <c r="AC51" i="2"/>
  <c r="AD51" i="2"/>
  <c r="AE51" i="2"/>
  <c r="AF51" i="2"/>
  <c r="AG51" i="2"/>
  <c r="AH51" i="2"/>
  <c r="AI51" i="2"/>
  <c r="X17" i="2"/>
  <c r="Y17" i="2"/>
  <c r="Z17" i="2"/>
  <c r="AA17" i="2"/>
  <c r="AB17" i="2"/>
  <c r="AC17" i="2"/>
  <c r="AD17" i="2"/>
  <c r="AE17" i="2"/>
  <c r="AF17" i="2"/>
  <c r="AG17" i="2"/>
  <c r="AH17" i="2"/>
  <c r="AI17" i="2"/>
  <c r="X9" i="2"/>
  <c r="X10" i="2"/>
  <c r="X11" i="2"/>
  <c r="X12" i="2"/>
  <c r="X13" i="2"/>
  <c r="X14" i="2"/>
  <c r="X15" i="2"/>
  <c r="X16" i="2"/>
  <c r="Y9" i="2"/>
  <c r="Z9" i="2"/>
  <c r="AA9" i="2"/>
  <c r="AB9" i="2"/>
  <c r="AC9" i="2"/>
  <c r="AD9" i="2"/>
  <c r="AE9" i="2"/>
  <c r="AF9" i="2"/>
  <c r="AG9" i="2"/>
  <c r="AH9" i="2"/>
  <c r="AI9" i="2"/>
  <c r="Y10" i="2"/>
  <c r="Z10" i="2"/>
  <c r="AA10" i="2"/>
  <c r="AB10" i="2"/>
  <c r="AC10" i="2"/>
  <c r="AD10" i="2"/>
  <c r="AE10" i="2"/>
  <c r="AF10" i="2"/>
  <c r="AG10" i="2"/>
  <c r="AH10" i="2"/>
  <c r="AI10" i="2"/>
  <c r="Y11" i="2"/>
  <c r="Z11" i="2"/>
  <c r="AA11" i="2"/>
  <c r="AB11" i="2"/>
  <c r="AC11" i="2"/>
  <c r="AD11" i="2"/>
  <c r="AE11" i="2"/>
  <c r="AF11" i="2"/>
  <c r="AG11" i="2"/>
  <c r="AH11" i="2"/>
  <c r="AI11" i="2"/>
  <c r="Y12" i="2"/>
  <c r="Z12" i="2"/>
  <c r="AA12" i="2"/>
  <c r="AB12" i="2"/>
  <c r="AC12" i="2"/>
  <c r="AD12" i="2"/>
  <c r="AE12" i="2"/>
  <c r="AF12" i="2"/>
  <c r="AG12" i="2"/>
  <c r="AH12" i="2"/>
  <c r="AI12" i="2"/>
  <c r="Y13" i="2"/>
  <c r="Z13" i="2"/>
  <c r="AA13" i="2"/>
  <c r="AB13" i="2"/>
  <c r="AC13" i="2"/>
  <c r="AD13" i="2"/>
  <c r="AE13" i="2"/>
  <c r="AF13" i="2"/>
  <c r="AG13" i="2"/>
  <c r="AH13" i="2"/>
  <c r="AI13" i="2"/>
  <c r="Y14" i="2"/>
  <c r="Z14" i="2"/>
  <c r="AA14" i="2"/>
  <c r="AB14" i="2"/>
  <c r="AC14" i="2"/>
  <c r="AD14" i="2"/>
  <c r="AE14" i="2"/>
  <c r="AF14" i="2"/>
  <c r="AG14" i="2"/>
  <c r="AH14" i="2"/>
  <c r="AI14" i="2"/>
  <c r="Y15" i="2"/>
  <c r="Z15" i="2"/>
  <c r="AA15" i="2"/>
  <c r="AB15" i="2"/>
  <c r="AC15" i="2"/>
  <c r="AD15" i="2"/>
  <c r="AE15" i="2"/>
  <c r="AF15" i="2"/>
  <c r="AG15" i="2"/>
  <c r="AH15" i="2"/>
  <c r="AI15" i="2"/>
  <c r="Y16" i="2"/>
  <c r="Z16" i="2"/>
  <c r="AA16" i="2"/>
  <c r="AB16" i="2"/>
  <c r="AC16" i="2"/>
  <c r="AD16" i="2"/>
  <c r="AE16" i="2"/>
  <c r="AF16" i="2"/>
  <c r="AG16" i="2"/>
  <c r="AH16" i="2"/>
  <c r="AI16" i="2"/>
  <c r="Q29" i="14"/>
  <c r="I126" i="14"/>
  <c r="F126" i="14"/>
  <c r="Q58" i="32"/>
  <c r="K56" i="2"/>
  <c r="K54" i="2"/>
  <c r="E67" i="16"/>
  <c r="F67" i="16"/>
  <c r="G67" i="16"/>
  <c r="H67" i="16"/>
  <c r="I67" i="16"/>
  <c r="J67" i="16"/>
  <c r="K67" i="16"/>
  <c r="L67" i="16"/>
  <c r="M67" i="16"/>
  <c r="N67" i="16"/>
  <c r="O67" i="16"/>
  <c r="D67" i="16"/>
  <c r="P67" i="16" l="1"/>
  <c r="C42" i="16"/>
  <c r="L42" i="16" s="1"/>
  <c r="J55" i="24" s="1"/>
  <c r="E52" i="16"/>
  <c r="K59" i="2"/>
  <c r="V56" i="2"/>
  <c r="V55" i="2"/>
  <c r="L36" i="2"/>
  <c r="M36" i="2"/>
  <c r="N36" i="2"/>
  <c r="O36" i="2"/>
  <c r="P36" i="2"/>
  <c r="Q36" i="2"/>
  <c r="R36" i="2"/>
  <c r="S36" i="2"/>
  <c r="T36" i="2"/>
  <c r="U36" i="2"/>
  <c r="AB27" i="37"/>
  <c r="AB26" i="37"/>
  <c r="AB25" i="37"/>
  <c r="AB24" i="37"/>
  <c r="AB23" i="37"/>
  <c r="X27" i="37"/>
  <c r="X26" i="37"/>
  <c r="X25" i="37"/>
  <c r="X24" i="37"/>
  <c r="K42" i="16" l="1"/>
  <c r="J42" i="16"/>
  <c r="I42" i="16"/>
  <c r="H42" i="16"/>
  <c r="D42" i="16"/>
  <c r="O42" i="16"/>
  <c r="G42" i="16"/>
  <c r="N42" i="16"/>
  <c r="F42" i="16"/>
  <c r="M42" i="16"/>
  <c r="E42" i="16"/>
  <c r="V54" i="2"/>
  <c r="V61" i="2" s="1"/>
  <c r="E55" i="24" l="1"/>
  <c r="F55" i="24"/>
  <c r="G55" i="24"/>
  <c r="K55" i="24"/>
  <c r="D55" i="24"/>
  <c r="I55" i="24"/>
  <c r="M55" i="24"/>
  <c r="H55" i="24"/>
  <c r="L55" i="24"/>
  <c r="D43" i="16"/>
  <c r="D45" i="16" s="1"/>
  <c r="P42" i="16"/>
  <c r="E52" i="24"/>
  <c r="F52" i="24"/>
  <c r="G52" i="24"/>
  <c r="H52" i="24"/>
  <c r="I52" i="24"/>
  <c r="J52" i="24"/>
  <c r="K52" i="24"/>
  <c r="L52" i="24"/>
  <c r="M52" i="24"/>
  <c r="D52" i="24"/>
  <c r="H63" i="16"/>
  <c r="I63" i="16"/>
  <c r="J63" i="16"/>
  <c r="K63" i="16"/>
  <c r="L63" i="16"/>
  <c r="M63" i="16"/>
  <c r="N63" i="16"/>
  <c r="O63" i="16"/>
  <c r="G63" i="16"/>
  <c r="G19" i="14"/>
  <c r="H19" i="14"/>
  <c r="I19" i="14"/>
  <c r="J19" i="14"/>
  <c r="K19" i="14"/>
  <c r="L19" i="14"/>
  <c r="M19" i="14"/>
  <c r="N19" i="14"/>
  <c r="O19" i="14"/>
  <c r="P19" i="14"/>
  <c r="N55" i="24" l="1"/>
  <c r="P51" i="16"/>
  <c r="F65" i="14"/>
  <c r="G65" i="14"/>
  <c r="H65" i="14"/>
  <c r="I65" i="14"/>
  <c r="J65" i="14"/>
  <c r="K65" i="14"/>
  <c r="L65" i="14"/>
  <c r="M65" i="14"/>
  <c r="N65" i="14"/>
  <c r="O65" i="14"/>
  <c r="P65" i="14"/>
  <c r="G14" i="14"/>
  <c r="H14" i="14"/>
  <c r="AH51" i="32" l="1"/>
  <c r="AH53" i="32"/>
  <c r="W53" i="32"/>
  <c r="S53" i="32"/>
  <c r="L54" i="32"/>
  <c r="N54" i="32"/>
  <c r="P54" i="32"/>
  <c r="S54" i="32"/>
  <c r="U54" i="32"/>
  <c r="W54" i="32"/>
  <c r="Y54" i="32"/>
  <c r="AA54" i="32"/>
  <c r="AC54" i="32"/>
  <c r="AE54" i="32"/>
  <c r="AG54" i="32"/>
  <c r="L53" i="32"/>
  <c r="N53" i="32"/>
  <c r="P53" i="32"/>
  <c r="Q53" i="32" s="1"/>
  <c r="U53" i="32"/>
  <c r="Y53" i="32"/>
  <c r="AA53" i="32"/>
  <c r="AC53" i="32"/>
  <c r="AE53" i="32"/>
  <c r="AG53" i="32"/>
  <c r="K17" i="32"/>
  <c r="K18" i="32"/>
  <c r="P156" i="14"/>
  <c r="O156" i="14"/>
  <c r="N156" i="14"/>
  <c r="M156" i="14"/>
  <c r="L156" i="14"/>
  <c r="K156" i="14"/>
  <c r="J156" i="14"/>
  <c r="I156" i="14"/>
  <c r="H156" i="14"/>
  <c r="G156" i="14"/>
  <c r="Q156" i="14" s="1"/>
  <c r="D155" i="14"/>
  <c r="N155" i="14" s="1"/>
  <c r="D154" i="14"/>
  <c r="J154" i="14" s="1"/>
  <c r="Q54" i="32" l="1"/>
  <c r="G155" i="14"/>
  <c r="O155" i="14"/>
  <c r="M154" i="14"/>
  <c r="J155" i="14"/>
  <c r="K154" i="14"/>
  <c r="H155" i="14"/>
  <c r="F154" i="14"/>
  <c r="L154" i="14"/>
  <c r="P155" i="14"/>
  <c r="E154" i="14"/>
  <c r="I155" i="14"/>
  <c r="G154" i="14"/>
  <c r="N154" i="14"/>
  <c r="O154" i="14"/>
  <c r="K155" i="14"/>
  <c r="H154" i="14"/>
  <c r="P154" i="14"/>
  <c r="L155" i="14"/>
  <c r="I154" i="14"/>
  <c r="E155" i="14"/>
  <c r="M155" i="14"/>
  <c r="F155" i="14"/>
  <c r="AI53" i="32"/>
  <c r="Q19" i="14"/>
  <c r="AL19" i="2"/>
  <c r="AM19" i="2"/>
  <c r="AN19" i="2"/>
  <c r="AO19" i="2"/>
  <c r="AP19" i="2"/>
  <c r="AQ19" i="2"/>
  <c r="AR19" i="2"/>
  <c r="AS19" i="2"/>
  <c r="AT19" i="2"/>
  <c r="AU19" i="2"/>
  <c r="AV19" i="2"/>
  <c r="AW19" i="2"/>
  <c r="AL20" i="2"/>
  <c r="AM20" i="2"/>
  <c r="AN20" i="2"/>
  <c r="AO20" i="2"/>
  <c r="AP20" i="2"/>
  <c r="AQ20" i="2"/>
  <c r="AR20" i="2"/>
  <c r="AS20" i="2"/>
  <c r="AT20" i="2"/>
  <c r="AU20" i="2"/>
  <c r="AV20" i="2"/>
  <c r="AW20" i="2"/>
  <c r="AJ19" i="2"/>
  <c r="AJ20" i="2"/>
  <c r="V19" i="2"/>
  <c r="V20" i="2"/>
  <c r="AM36" i="2"/>
  <c r="AN36" i="2"/>
  <c r="AO36" i="2"/>
  <c r="AP36" i="2"/>
  <c r="AQ36" i="2"/>
  <c r="AR36" i="2"/>
  <c r="AS36" i="2"/>
  <c r="AT36" i="2"/>
  <c r="AU36" i="2"/>
  <c r="AV36" i="2"/>
  <c r="AW36" i="2"/>
  <c r="AM37" i="2"/>
  <c r="AN37" i="2"/>
  <c r="AO37" i="2"/>
  <c r="AP37" i="2"/>
  <c r="AQ37" i="2"/>
  <c r="AR37" i="2"/>
  <c r="AS37" i="2"/>
  <c r="AT37" i="2"/>
  <c r="AU37" i="2"/>
  <c r="AV37" i="2"/>
  <c r="AW37" i="2"/>
  <c r="AM38" i="2"/>
  <c r="AN38" i="2"/>
  <c r="AO38" i="2"/>
  <c r="E7" i="37" s="1"/>
  <c r="AP38" i="2"/>
  <c r="AQ38" i="2"/>
  <c r="AR38" i="2"/>
  <c r="AS38" i="2"/>
  <c r="AT38" i="2"/>
  <c r="AU38" i="2"/>
  <c r="AV38" i="2"/>
  <c r="AW38" i="2"/>
  <c r="AJ36" i="2"/>
  <c r="AX36" i="2" s="1"/>
  <c r="AY36" i="2" s="1"/>
  <c r="AJ37" i="2"/>
  <c r="AX37" i="2" s="1"/>
  <c r="AY37" i="2" s="1"/>
  <c r="AJ38" i="2"/>
  <c r="AX38" i="2" s="1"/>
  <c r="AY38" i="2" s="1"/>
  <c r="AL38" i="2"/>
  <c r="AL37" i="2"/>
  <c r="AL36" i="2"/>
  <c r="V36" i="2"/>
  <c r="V37" i="2"/>
  <c r="V38" i="2"/>
  <c r="AH36" i="32"/>
  <c r="AG36" i="32"/>
  <c r="AE36" i="32"/>
  <c r="AC36" i="32"/>
  <c r="AA36" i="32"/>
  <c r="Y36" i="32"/>
  <c r="W36" i="32"/>
  <c r="U36" i="32"/>
  <c r="S36" i="32"/>
  <c r="P36" i="32"/>
  <c r="N36" i="32"/>
  <c r="L36" i="32"/>
  <c r="J36" i="32"/>
  <c r="AG18" i="32"/>
  <c r="AG17" i="32"/>
  <c r="AE18" i="32"/>
  <c r="AE17" i="32"/>
  <c r="AC18" i="32"/>
  <c r="AC17" i="32"/>
  <c r="AA18" i="32"/>
  <c r="AA17" i="32"/>
  <c r="Y18" i="32"/>
  <c r="Y17" i="32"/>
  <c r="W18" i="32"/>
  <c r="W17" i="32"/>
  <c r="U18" i="32"/>
  <c r="U17" i="32"/>
  <c r="S18" i="32"/>
  <c r="S17" i="32"/>
  <c r="P18" i="32"/>
  <c r="Q18" i="32" s="1"/>
  <c r="P17" i="32"/>
  <c r="Q17" i="32" s="1"/>
  <c r="L17" i="32"/>
  <c r="L18" i="32"/>
  <c r="N18" i="32"/>
  <c r="N17" i="32"/>
  <c r="AH34" i="32"/>
  <c r="AH35" i="32"/>
  <c r="AG35" i="32"/>
  <c r="AG34" i="32"/>
  <c r="AE35" i="32"/>
  <c r="AE34" i="32"/>
  <c r="AC35" i="32"/>
  <c r="AC34" i="32"/>
  <c r="AA35" i="32"/>
  <c r="AA34" i="32"/>
  <c r="Y35" i="32"/>
  <c r="Y34" i="32"/>
  <c r="W35" i="32"/>
  <c r="W34" i="32"/>
  <c r="U35" i="32"/>
  <c r="U34" i="32"/>
  <c r="S35" i="32"/>
  <c r="S34" i="32"/>
  <c r="P35" i="32"/>
  <c r="P34" i="32"/>
  <c r="Q34" i="32" s="1"/>
  <c r="N35" i="32"/>
  <c r="J58" i="32"/>
  <c r="J57" i="32"/>
  <c r="J56" i="32"/>
  <c r="J55" i="32"/>
  <c r="J52" i="32"/>
  <c r="J51" i="32"/>
  <c r="J50" i="32"/>
  <c r="J49" i="32"/>
  <c r="J48" i="32"/>
  <c r="J47" i="32"/>
  <c r="J46" i="32"/>
  <c r="J45" i="32"/>
  <c r="J44" i="32"/>
  <c r="J43" i="32"/>
  <c r="J42" i="32"/>
  <c r="J41" i="32"/>
  <c r="J40" i="32"/>
  <c r="J39" i="32"/>
  <c r="J38" i="32"/>
  <c r="J37" i="32"/>
  <c r="J35" i="32"/>
  <c r="J34" i="32"/>
  <c r="J33" i="32"/>
  <c r="J32" i="32"/>
  <c r="J31" i="32"/>
  <c r="J30" i="32"/>
  <c r="J29" i="32"/>
  <c r="J28" i="32"/>
  <c r="J27" i="32"/>
  <c r="J26" i="32"/>
  <c r="J25" i="32"/>
  <c r="J24" i="32"/>
  <c r="J23" i="32"/>
  <c r="J22" i="32"/>
  <c r="J21" i="32"/>
  <c r="J20" i="32"/>
  <c r="J19" i="32"/>
  <c r="J16" i="32"/>
  <c r="J15" i="32"/>
  <c r="J14" i="32"/>
  <c r="J13" i="32"/>
  <c r="J12" i="32"/>
  <c r="J11" i="32"/>
  <c r="J10" i="32"/>
  <c r="J9" i="32"/>
  <c r="J8" i="32"/>
  <c r="J7" i="32"/>
  <c r="J6" i="32"/>
  <c r="J5" i="32"/>
  <c r="J4" i="32"/>
  <c r="L35" i="32"/>
  <c r="N34" i="32"/>
  <c r="U51" i="32"/>
  <c r="S51" i="32"/>
  <c r="P51" i="32"/>
  <c r="Q51" i="32" s="1"/>
  <c r="N51" i="32"/>
  <c r="L51" i="32"/>
  <c r="G310" i="39"/>
  <c r="F310" i="39"/>
  <c r="Q35" i="32" l="1"/>
  <c r="Q36" i="32"/>
  <c r="Q154" i="14"/>
  <c r="AX20" i="2"/>
  <c r="AY20" i="2" s="1"/>
  <c r="AX19" i="2"/>
  <c r="AY19" i="2" s="1"/>
  <c r="Q155" i="14"/>
  <c r="AI51" i="32"/>
  <c r="AI36" i="32"/>
  <c r="AI17" i="32"/>
  <c r="AI18" i="32"/>
  <c r="AI35" i="32"/>
  <c r="BA36" i="2"/>
  <c r="BB36" i="2"/>
  <c r="BC36" i="2"/>
  <c r="BD36" i="2"/>
  <c r="BC38" i="2"/>
  <c r="BD38" i="2"/>
  <c r="BA38" i="2"/>
  <c r="BB38" i="2"/>
  <c r="BB37" i="2"/>
  <c r="BC37" i="2"/>
  <c r="BA37" i="2"/>
  <c r="BD37" i="2"/>
  <c r="AH18" i="32"/>
  <c r="AH17" i="32"/>
  <c r="AI34" i="32"/>
  <c r="P31" i="37"/>
  <c r="BA20" i="2" l="1"/>
  <c r="BB20" i="2"/>
  <c r="BC20" i="2"/>
  <c r="BD20" i="2"/>
  <c r="BC19" i="2"/>
  <c r="BD19" i="2"/>
  <c r="BA19" i="2"/>
  <c r="BB19" i="2"/>
  <c r="AZ61" i="2"/>
  <c r="F3" i="14" l="1"/>
  <c r="E3" i="14"/>
  <c r="G3" i="14"/>
  <c r="H3" i="14"/>
  <c r="I3" i="14"/>
  <c r="J3" i="14"/>
  <c r="K3" i="14"/>
  <c r="L3" i="14"/>
  <c r="M3" i="14"/>
  <c r="N3" i="14"/>
  <c r="O3" i="14"/>
  <c r="P3" i="14"/>
  <c r="F14" i="14" l="1"/>
  <c r="E14" i="14"/>
  <c r="E63" i="16" l="1"/>
  <c r="F63" i="16"/>
  <c r="D50" i="16"/>
  <c r="D52" i="16" s="1"/>
  <c r="D34" i="16"/>
  <c r="E34" i="16"/>
  <c r="F34" i="16"/>
  <c r="G34" i="16"/>
  <c r="H34" i="16"/>
  <c r="I34" i="16"/>
  <c r="P147" i="14"/>
  <c r="O147" i="14"/>
  <c r="N147" i="14"/>
  <c r="M147" i="14"/>
  <c r="L147" i="14"/>
  <c r="K147" i="14"/>
  <c r="J147" i="14"/>
  <c r="I147" i="14"/>
  <c r="H147" i="14"/>
  <c r="G147" i="14"/>
  <c r="F147" i="14"/>
  <c r="E147" i="14"/>
  <c r="F9" i="14"/>
  <c r="F13" i="14" s="1"/>
  <c r="F11" i="14" s="1"/>
  <c r="G9" i="14"/>
  <c r="G13" i="14" s="1"/>
  <c r="G11" i="14" s="1"/>
  <c r="H9" i="14"/>
  <c r="H13" i="14" s="1"/>
  <c r="H11" i="14" s="1"/>
  <c r="I9" i="14"/>
  <c r="I11" i="14" s="1"/>
  <c r="I76" i="14" s="1"/>
  <c r="J9" i="14"/>
  <c r="J11" i="14" s="1"/>
  <c r="J76" i="14" s="1"/>
  <c r="K9" i="14"/>
  <c r="K11" i="14" s="1"/>
  <c r="K76" i="14" s="1"/>
  <c r="L9" i="14"/>
  <c r="L11" i="14" s="1"/>
  <c r="L76" i="14" s="1"/>
  <c r="M9" i="14"/>
  <c r="M11" i="14" s="1"/>
  <c r="M76" i="14" s="1"/>
  <c r="N9" i="14"/>
  <c r="N11" i="14" s="1"/>
  <c r="N76" i="14" s="1"/>
  <c r="O9" i="14"/>
  <c r="O11" i="14" s="1"/>
  <c r="O76" i="14" s="1"/>
  <c r="P9" i="14"/>
  <c r="P11" i="14" s="1"/>
  <c r="P76" i="14" s="1"/>
  <c r="E9" i="14"/>
  <c r="E13" i="14" s="1"/>
  <c r="E11" i="14" s="1"/>
  <c r="J80" i="14" l="1"/>
  <c r="J79" i="14"/>
  <c r="J56" i="14"/>
  <c r="J58" i="14"/>
  <c r="N58" i="14"/>
  <c r="N80" i="14"/>
  <c r="N56" i="14"/>
  <c r="E58" i="14"/>
  <c r="E80" i="14"/>
  <c r="E56" i="14"/>
  <c r="E45" i="14"/>
  <c r="I58" i="14"/>
  <c r="I80" i="14"/>
  <c r="I56" i="14"/>
  <c r="H56" i="14"/>
  <c r="H58" i="14"/>
  <c r="H80" i="14"/>
  <c r="O80" i="14"/>
  <c r="O58" i="14"/>
  <c r="O56" i="14"/>
  <c r="G79" i="14"/>
  <c r="G58" i="14"/>
  <c r="G80" i="14"/>
  <c r="G56" i="14"/>
  <c r="P58" i="14"/>
  <c r="P56" i="14"/>
  <c r="P80" i="14"/>
  <c r="F58" i="14"/>
  <c r="F45" i="14"/>
  <c r="F80" i="14"/>
  <c r="F56" i="14"/>
  <c r="M80" i="14"/>
  <c r="M56" i="14"/>
  <c r="M79" i="14"/>
  <c r="M58" i="14"/>
  <c r="L56" i="14"/>
  <c r="L58" i="14"/>
  <c r="L80" i="14"/>
  <c r="K56" i="14"/>
  <c r="K58" i="14"/>
  <c r="K80" i="14"/>
  <c r="AL25" i="2"/>
  <c r="AM25" i="2"/>
  <c r="AN25" i="2"/>
  <c r="AO25" i="2"/>
  <c r="AP25" i="2"/>
  <c r="AQ25" i="2"/>
  <c r="AR25" i="2"/>
  <c r="AS25" i="2"/>
  <c r="AT25" i="2"/>
  <c r="AU25" i="2"/>
  <c r="AV25" i="2"/>
  <c r="AW25" i="2"/>
  <c r="AL26" i="2"/>
  <c r="AM26" i="2"/>
  <c r="AN26" i="2"/>
  <c r="AO26" i="2"/>
  <c r="AP26" i="2"/>
  <c r="AQ26" i="2"/>
  <c r="AR26" i="2"/>
  <c r="AS26" i="2"/>
  <c r="AT26" i="2"/>
  <c r="AU26" i="2"/>
  <c r="AV26" i="2"/>
  <c r="AW26" i="2"/>
  <c r="AL27" i="2"/>
  <c r="AM27" i="2"/>
  <c r="AN27" i="2"/>
  <c r="AO27" i="2"/>
  <c r="AP27" i="2"/>
  <c r="AQ27" i="2"/>
  <c r="AR27" i="2"/>
  <c r="AS27" i="2"/>
  <c r="AT27" i="2"/>
  <c r="AU27" i="2"/>
  <c r="AV27" i="2"/>
  <c r="AW27" i="2"/>
  <c r="AL28" i="2"/>
  <c r="AM28" i="2"/>
  <c r="AN28" i="2"/>
  <c r="AO28" i="2"/>
  <c r="AP28" i="2"/>
  <c r="AQ28" i="2"/>
  <c r="AR28" i="2"/>
  <c r="AS28" i="2"/>
  <c r="AT28" i="2"/>
  <c r="AU28" i="2"/>
  <c r="AV28" i="2"/>
  <c r="AW28" i="2"/>
  <c r="AL29" i="2"/>
  <c r="AM29" i="2"/>
  <c r="AN29" i="2"/>
  <c r="AO29" i="2"/>
  <c r="AP29" i="2"/>
  <c r="AQ29" i="2"/>
  <c r="AR29" i="2"/>
  <c r="AS29" i="2"/>
  <c r="AT29" i="2"/>
  <c r="AU29" i="2"/>
  <c r="AV29" i="2"/>
  <c r="AW29" i="2"/>
  <c r="AL30" i="2"/>
  <c r="AM30" i="2"/>
  <c r="AN30" i="2"/>
  <c r="AO30" i="2"/>
  <c r="AP30" i="2"/>
  <c r="AQ30" i="2"/>
  <c r="AR30" i="2"/>
  <c r="AS30" i="2"/>
  <c r="AT30" i="2"/>
  <c r="AU30" i="2"/>
  <c r="AV30" i="2"/>
  <c r="AW30" i="2"/>
  <c r="AL31" i="2"/>
  <c r="AM31" i="2"/>
  <c r="AN31" i="2"/>
  <c r="AO31" i="2"/>
  <c r="AP31" i="2"/>
  <c r="AQ31" i="2"/>
  <c r="AR31" i="2"/>
  <c r="AS31" i="2"/>
  <c r="AT31" i="2"/>
  <c r="AU31" i="2"/>
  <c r="AV31" i="2"/>
  <c r="AW31" i="2"/>
  <c r="AL32" i="2"/>
  <c r="AM32" i="2"/>
  <c r="AN32" i="2"/>
  <c r="AO32" i="2"/>
  <c r="AP32" i="2"/>
  <c r="AQ32" i="2"/>
  <c r="AR32" i="2"/>
  <c r="AS32" i="2"/>
  <c r="AT32" i="2"/>
  <c r="AU32" i="2"/>
  <c r="AV32" i="2"/>
  <c r="AW32" i="2"/>
  <c r="AL33" i="2"/>
  <c r="AM33" i="2"/>
  <c r="AN33" i="2"/>
  <c r="AO33" i="2"/>
  <c r="AP33" i="2"/>
  <c r="AQ33" i="2"/>
  <c r="AR33" i="2"/>
  <c r="AS33" i="2"/>
  <c r="AT33" i="2"/>
  <c r="AU33" i="2"/>
  <c r="AV33" i="2"/>
  <c r="AW33" i="2"/>
  <c r="AL34" i="2"/>
  <c r="AM34" i="2"/>
  <c r="AN34" i="2"/>
  <c r="AO34" i="2"/>
  <c r="AP34" i="2"/>
  <c r="AQ34" i="2"/>
  <c r="AR34" i="2"/>
  <c r="AS34" i="2"/>
  <c r="AT34" i="2"/>
  <c r="AU34" i="2"/>
  <c r="AV34" i="2"/>
  <c r="AW34" i="2"/>
  <c r="AL35" i="2"/>
  <c r="AM35" i="2"/>
  <c r="AN35" i="2"/>
  <c r="AO35" i="2"/>
  <c r="AP35" i="2"/>
  <c r="AQ35" i="2"/>
  <c r="AR35" i="2"/>
  <c r="AS35" i="2"/>
  <c r="AT35" i="2"/>
  <c r="AU35" i="2"/>
  <c r="AV35" i="2"/>
  <c r="AW35" i="2"/>
  <c r="AL39" i="2"/>
  <c r="AM39" i="2"/>
  <c r="AN39" i="2"/>
  <c r="AO39" i="2"/>
  <c r="AP39" i="2"/>
  <c r="AQ39" i="2"/>
  <c r="AR39" i="2"/>
  <c r="AS39" i="2"/>
  <c r="AT39" i="2"/>
  <c r="AU39" i="2"/>
  <c r="AV39" i="2"/>
  <c r="AW39" i="2"/>
  <c r="AL40" i="2"/>
  <c r="AM40" i="2"/>
  <c r="AN40" i="2"/>
  <c r="AO40" i="2"/>
  <c r="AP40" i="2"/>
  <c r="AQ40" i="2"/>
  <c r="AR40" i="2"/>
  <c r="AS40" i="2"/>
  <c r="AT40" i="2"/>
  <c r="AU40" i="2"/>
  <c r="AV40" i="2"/>
  <c r="AW40" i="2"/>
  <c r="AL41" i="2"/>
  <c r="AM41" i="2"/>
  <c r="AN41" i="2"/>
  <c r="AO41" i="2"/>
  <c r="AP41" i="2"/>
  <c r="AQ41" i="2"/>
  <c r="AR41" i="2"/>
  <c r="AS41" i="2"/>
  <c r="AT41" i="2"/>
  <c r="AU41" i="2"/>
  <c r="AV41" i="2"/>
  <c r="AW41" i="2"/>
  <c r="AL48" i="2"/>
  <c r="AM48" i="2"/>
  <c r="AN48" i="2"/>
  <c r="AO48" i="2"/>
  <c r="E11" i="37" s="1"/>
  <c r="AP48" i="2"/>
  <c r="AQ48" i="2"/>
  <c r="AR48" i="2"/>
  <c r="AS48" i="2"/>
  <c r="AT48" i="2"/>
  <c r="AU48" i="2"/>
  <c r="AV48" i="2"/>
  <c r="AW48" i="2"/>
  <c r="AL49" i="2"/>
  <c r="AM49" i="2"/>
  <c r="AN49" i="2"/>
  <c r="AO49" i="2"/>
  <c r="E15" i="37" s="1"/>
  <c r="AP49" i="2"/>
  <c r="AQ49" i="2"/>
  <c r="AR49" i="2"/>
  <c r="AS49" i="2"/>
  <c r="AT49" i="2"/>
  <c r="AU49" i="2"/>
  <c r="AV49" i="2"/>
  <c r="AW49" i="2"/>
  <c r="AL52" i="2"/>
  <c r="AM52" i="2"/>
  <c r="AN52" i="2"/>
  <c r="AO52" i="2"/>
  <c r="AP52" i="2"/>
  <c r="AQ52" i="2"/>
  <c r="AR52" i="2"/>
  <c r="AS52" i="2"/>
  <c r="AT52" i="2"/>
  <c r="AU52" i="2"/>
  <c r="AV52" i="2"/>
  <c r="AW52" i="2"/>
  <c r="AL53" i="2"/>
  <c r="AM53" i="2"/>
  <c r="AN53" i="2"/>
  <c r="AO53" i="2"/>
  <c r="AP53" i="2"/>
  <c r="AQ53" i="2"/>
  <c r="AR53" i="2"/>
  <c r="AS53" i="2"/>
  <c r="AT53" i="2"/>
  <c r="AU53" i="2"/>
  <c r="AV53" i="2"/>
  <c r="AW53" i="2"/>
  <c r="AX60" i="2"/>
  <c r="AY60" i="2" s="1"/>
  <c r="AX8" i="2"/>
  <c r="AY8" i="2" s="1"/>
  <c r="AX7" i="2"/>
  <c r="AY7" i="2" s="1"/>
  <c r="X18" i="2"/>
  <c r="AL18" i="2" s="1"/>
  <c r="Y18" i="2"/>
  <c r="AM18" i="2" s="1"/>
  <c r="Z18" i="2"/>
  <c r="AN18" i="2" s="1"/>
  <c r="AA18" i="2"/>
  <c r="AO18" i="2" s="1"/>
  <c r="AB18" i="2"/>
  <c r="AP18" i="2" s="1"/>
  <c r="AC18" i="2"/>
  <c r="AQ18" i="2" s="1"/>
  <c r="AD18" i="2"/>
  <c r="AR18" i="2" s="1"/>
  <c r="AE18" i="2"/>
  <c r="AS18" i="2" s="1"/>
  <c r="AF18" i="2"/>
  <c r="AT18" i="2" s="1"/>
  <c r="AG18" i="2"/>
  <c r="AU18" i="2" s="1"/>
  <c r="AH18" i="2"/>
  <c r="AV18" i="2" s="1"/>
  <c r="AI18" i="2"/>
  <c r="AW18" i="2" s="1"/>
  <c r="E12" i="37" l="1"/>
  <c r="E8" i="37"/>
  <c r="BA60" i="2"/>
  <c r="BB60" i="2"/>
  <c r="BC60" i="2"/>
  <c r="BD60" i="2"/>
  <c r="BC8" i="2"/>
  <c r="BD8" i="2"/>
  <c r="BA8" i="2"/>
  <c r="BB8" i="2"/>
  <c r="BD7" i="2"/>
  <c r="BA7" i="2"/>
  <c r="BB7" i="2"/>
  <c r="BC7" i="2"/>
  <c r="AX28" i="2"/>
  <c r="AY28" i="2" s="1"/>
  <c r="AX39" i="2"/>
  <c r="AY39" i="2" s="1"/>
  <c r="AX18" i="2"/>
  <c r="AY18" i="2" s="1"/>
  <c r="AX52" i="2"/>
  <c r="AY52" i="2" s="1"/>
  <c r="AX48" i="2"/>
  <c r="AY48" i="2" s="1"/>
  <c r="AX49" i="2"/>
  <c r="AY49" i="2" s="1"/>
  <c r="AX34" i="2"/>
  <c r="AY34" i="2" s="1"/>
  <c r="AX35" i="2"/>
  <c r="AY35" i="2" s="1"/>
  <c r="AX53" i="2"/>
  <c r="AY53" i="2" s="1"/>
  <c r="AX33" i="2"/>
  <c r="AY33" i="2" s="1"/>
  <c r="AX32" i="2"/>
  <c r="AY32" i="2" s="1"/>
  <c r="AX31" i="2"/>
  <c r="AY31" i="2" s="1"/>
  <c r="AX30" i="2"/>
  <c r="AY30" i="2" s="1"/>
  <c r="AX29" i="2"/>
  <c r="AY29" i="2" s="1"/>
  <c r="AX27" i="2"/>
  <c r="AY27" i="2" s="1"/>
  <c r="AX26" i="2"/>
  <c r="AY26" i="2" s="1"/>
  <c r="AX25" i="2"/>
  <c r="AY25" i="2" s="1"/>
  <c r="AX41" i="2"/>
  <c r="AY41" i="2" s="1"/>
  <c r="AX40" i="2"/>
  <c r="AY40" i="2" s="1"/>
  <c r="BB27" i="2" l="1"/>
  <c r="BC27" i="2"/>
  <c r="BD27" i="2"/>
  <c r="BA27" i="2"/>
  <c r="BD49" i="2"/>
  <c r="BC49" i="2"/>
  <c r="BA49" i="2"/>
  <c r="BB49" i="2"/>
  <c r="BC30" i="2"/>
  <c r="BB30" i="2"/>
  <c r="BD30" i="2"/>
  <c r="BA30" i="2"/>
  <c r="BA48" i="2"/>
  <c r="BD48" i="2"/>
  <c r="BB48" i="2"/>
  <c r="BC48" i="2"/>
  <c r="I12" i="37"/>
  <c r="H12" i="37"/>
  <c r="BB31" i="2"/>
  <c r="BA31" i="2"/>
  <c r="BC31" i="2"/>
  <c r="BD31" i="2"/>
  <c r="BA52" i="2"/>
  <c r="BC52" i="2"/>
  <c r="BB52" i="2"/>
  <c r="BD52" i="2"/>
  <c r="BB40" i="2"/>
  <c r="BD40" i="2"/>
  <c r="BA40" i="2"/>
  <c r="BC40" i="2"/>
  <c r="BA18" i="2"/>
  <c r="BB18" i="2"/>
  <c r="BC18" i="2"/>
  <c r="BD18" i="2"/>
  <c r="BA33" i="2"/>
  <c r="BB33" i="2"/>
  <c r="BD33" i="2"/>
  <c r="BC33" i="2"/>
  <c r="I11" i="37"/>
  <c r="H11" i="37"/>
  <c r="BC34" i="2"/>
  <c r="BD34" i="2"/>
  <c r="BA34" i="2"/>
  <c r="BB34" i="2"/>
  <c r="BC29" i="2"/>
  <c r="BA29" i="2"/>
  <c r="BB29" i="2"/>
  <c r="BD29" i="2"/>
  <c r="BC32" i="2"/>
  <c r="BD32" i="2"/>
  <c r="BB32" i="2"/>
  <c r="BA32" i="2"/>
  <c r="BA41" i="2"/>
  <c r="BB41" i="2"/>
  <c r="BC41" i="2"/>
  <c r="BD41" i="2"/>
  <c r="BB39" i="2"/>
  <c r="BC39" i="2"/>
  <c r="BA39" i="2"/>
  <c r="BD39" i="2"/>
  <c r="BB25" i="2"/>
  <c r="BC25" i="2"/>
  <c r="BD25" i="2"/>
  <c r="BA25" i="2"/>
  <c r="BD53" i="2"/>
  <c r="BA53" i="2"/>
  <c r="BC53" i="2"/>
  <c r="BB53" i="2"/>
  <c r="BA26" i="2"/>
  <c r="BC26" i="2"/>
  <c r="BB26" i="2"/>
  <c r="BD26" i="2"/>
  <c r="BB35" i="2"/>
  <c r="BD35" i="2"/>
  <c r="BA35" i="2"/>
  <c r="BC35" i="2"/>
  <c r="BB28" i="2"/>
  <c r="BD28" i="2"/>
  <c r="BA28" i="2"/>
  <c r="BC28" i="2"/>
  <c r="M217" i="14"/>
  <c r="Q217" i="14" s="1"/>
  <c r="G104" i="14"/>
  <c r="H104" i="14"/>
  <c r="I104" i="14"/>
  <c r="J104" i="14"/>
  <c r="K104" i="14"/>
  <c r="L104" i="14"/>
  <c r="M104" i="14"/>
  <c r="N104" i="14"/>
  <c r="O104" i="14"/>
  <c r="P104" i="14"/>
  <c r="Q116" i="14"/>
  <c r="Q120" i="14"/>
  <c r="Q121" i="14"/>
  <c r="Q122" i="14"/>
  <c r="Q123" i="14"/>
  <c r="Q127" i="14"/>
  <c r="Q128" i="14"/>
  <c r="Q129" i="14"/>
  <c r="G239" i="14"/>
  <c r="H239" i="14"/>
  <c r="I239" i="14"/>
  <c r="J239" i="14"/>
  <c r="K239" i="14"/>
  <c r="L239" i="14"/>
  <c r="M239" i="14"/>
  <c r="N239" i="14"/>
  <c r="O239" i="14"/>
  <c r="P239" i="14"/>
  <c r="F207" i="14"/>
  <c r="G207" i="14"/>
  <c r="H207" i="14"/>
  <c r="I207" i="14"/>
  <c r="J207" i="14"/>
  <c r="K207" i="14"/>
  <c r="L207" i="14"/>
  <c r="M207" i="14"/>
  <c r="N207" i="14"/>
  <c r="O207" i="14"/>
  <c r="P207" i="14"/>
  <c r="E207" i="14"/>
  <c r="Q263" i="14"/>
  <c r="Q262" i="14"/>
  <c r="Q261" i="14"/>
  <c r="F260" i="14"/>
  <c r="P259" i="14"/>
  <c r="O259" i="14"/>
  <c r="N259" i="14"/>
  <c r="M259" i="14"/>
  <c r="L259" i="14"/>
  <c r="K259" i="14"/>
  <c r="J259" i="14"/>
  <c r="I259" i="14"/>
  <c r="H259" i="14"/>
  <c r="G259" i="14"/>
  <c r="F259" i="14"/>
  <c r="E259" i="14"/>
  <c r="Q258" i="14"/>
  <c r="Q257" i="14"/>
  <c r="Q256" i="14"/>
  <c r="Q255" i="14"/>
  <c r="P254" i="14"/>
  <c r="O254" i="14"/>
  <c r="N254" i="14"/>
  <c r="M254" i="14"/>
  <c r="L254" i="14"/>
  <c r="K254" i="14"/>
  <c r="J254" i="14"/>
  <c r="I254" i="14"/>
  <c r="H254" i="14"/>
  <c r="G254" i="14"/>
  <c r="F254" i="14"/>
  <c r="E254" i="14"/>
  <c r="P253" i="14"/>
  <c r="O253" i="14"/>
  <c r="N253" i="14"/>
  <c r="M253" i="14"/>
  <c r="L253" i="14"/>
  <c r="K253" i="14"/>
  <c r="J253" i="14"/>
  <c r="I253" i="14"/>
  <c r="H253" i="14"/>
  <c r="G253" i="14"/>
  <c r="F253" i="14"/>
  <c r="E253" i="14"/>
  <c r="P252" i="14"/>
  <c r="O252" i="14"/>
  <c r="N252" i="14"/>
  <c r="M252" i="14"/>
  <c r="L252" i="14"/>
  <c r="K252" i="14"/>
  <c r="J252" i="14"/>
  <c r="I252" i="14"/>
  <c r="H252" i="14"/>
  <c r="G252" i="14"/>
  <c r="F252" i="14"/>
  <c r="E252" i="14"/>
  <c r="Q251" i="14"/>
  <c r="P250" i="14"/>
  <c r="O250" i="14"/>
  <c r="N250" i="14"/>
  <c r="M250" i="14"/>
  <c r="L250" i="14"/>
  <c r="K250" i="14"/>
  <c r="J250" i="14"/>
  <c r="I250" i="14"/>
  <c r="H250" i="14"/>
  <c r="G250" i="14"/>
  <c r="F250" i="14"/>
  <c r="E250" i="14"/>
  <c r="P249" i="14"/>
  <c r="O249" i="14"/>
  <c r="N249" i="14"/>
  <c r="M249" i="14"/>
  <c r="L249" i="14"/>
  <c r="K249" i="14"/>
  <c r="J249" i="14"/>
  <c r="I249" i="14"/>
  <c r="H249" i="14"/>
  <c r="G249" i="14"/>
  <c r="F249" i="14"/>
  <c r="E249" i="14"/>
  <c r="Q243" i="14"/>
  <c r="Q242" i="14"/>
  <c r="Q241" i="14"/>
  <c r="P238" i="14"/>
  <c r="O238" i="14"/>
  <c r="N238" i="14"/>
  <c r="M238" i="14"/>
  <c r="J51" i="38" s="1"/>
  <c r="L238" i="14"/>
  <c r="K238" i="14"/>
  <c r="J238" i="14"/>
  <c r="I238" i="14"/>
  <c r="H238" i="14"/>
  <c r="G238" i="14"/>
  <c r="F238" i="14"/>
  <c r="E238" i="14"/>
  <c r="F234" i="14"/>
  <c r="Q234" i="14" s="1"/>
  <c r="P233" i="14"/>
  <c r="O233" i="14"/>
  <c r="N233" i="14"/>
  <c r="M233" i="14"/>
  <c r="L233" i="14"/>
  <c r="K233" i="14"/>
  <c r="J233" i="14"/>
  <c r="I233" i="14"/>
  <c r="H233" i="14"/>
  <c r="G233" i="14"/>
  <c r="F233" i="14"/>
  <c r="E233" i="14"/>
  <c r="D232" i="14"/>
  <c r="K232" i="14" s="1"/>
  <c r="P227" i="14"/>
  <c r="O227" i="14"/>
  <c r="N227" i="14"/>
  <c r="M227" i="14"/>
  <c r="L227" i="14"/>
  <c r="K227" i="14"/>
  <c r="J227" i="14"/>
  <c r="I227" i="14"/>
  <c r="P226" i="14"/>
  <c r="O226" i="14"/>
  <c r="N226" i="14"/>
  <c r="M226" i="14"/>
  <c r="L226" i="14"/>
  <c r="K226" i="14"/>
  <c r="J226" i="14"/>
  <c r="I226" i="14"/>
  <c r="H226" i="14"/>
  <c r="G226" i="14"/>
  <c r="F226" i="14"/>
  <c r="E226" i="14"/>
  <c r="P225" i="14"/>
  <c r="O225" i="14"/>
  <c r="N225" i="14"/>
  <c r="M225" i="14"/>
  <c r="L225" i="14"/>
  <c r="K225" i="14"/>
  <c r="J225" i="14"/>
  <c r="I225" i="14"/>
  <c r="H225" i="14"/>
  <c r="G225" i="14"/>
  <c r="F225" i="14"/>
  <c r="E225" i="14"/>
  <c r="P224" i="14"/>
  <c r="O224" i="14"/>
  <c r="N224" i="14"/>
  <c r="M224" i="14"/>
  <c r="L224" i="14"/>
  <c r="K224" i="14"/>
  <c r="J224" i="14"/>
  <c r="I224" i="14"/>
  <c r="H224" i="14"/>
  <c r="G224" i="14"/>
  <c r="F224" i="14"/>
  <c r="E224" i="14"/>
  <c r="P223" i="14"/>
  <c r="M68" i="38" s="1"/>
  <c r="O223" i="14"/>
  <c r="L68" i="38" s="1"/>
  <c r="N223" i="14"/>
  <c r="K68" i="38" s="1"/>
  <c r="M223" i="14"/>
  <c r="J68" i="38" s="1"/>
  <c r="L223" i="14"/>
  <c r="I68" i="38" s="1"/>
  <c r="K223" i="14"/>
  <c r="H68" i="38" s="1"/>
  <c r="J223" i="14"/>
  <c r="I223" i="14"/>
  <c r="F68" i="38" s="1"/>
  <c r="H223" i="14"/>
  <c r="E68" i="38" s="1"/>
  <c r="G223" i="14"/>
  <c r="D68" i="38" s="1"/>
  <c r="F223" i="14"/>
  <c r="C68" i="38" s="1"/>
  <c r="E223" i="14"/>
  <c r="B68" i="38" s="1"/>
  <c r="Q220" i="14"/>
  <c r="Q219" i="14"/>
  <c r="Q218" i="14"/>
  <c r="L216" i="14"/>
  <c r="Q216" i="14" s="1"/>
  <c r="N213" i="14"/>
  <c r="Q213" i="14" s="1"/>
  <c r="D211" i="14"/>
  <c r="F200" i="14"/>
  <c r="Q200" i="14" s="1"/>
  <c r="Q199" i="14"/>
  <c r="J198" i="14"/>
  <c r="Q198" i="14" s="1"/>
  <c r="P197" i="14"/>
  <c r="O197" i="14"/>
  <c r="N197" i="14"/>
  <c r="M197" i="14"/>
  <c r="L197" i="14"/>
  <c r="K197" i="14"/>
  <c r="J197" i="14"/>
  <c r="I197" i="14"/>
  <c r="H197" i="14"/>
  <c r="G197" i="14"/>
  <c r="F197" i="14"/>
  <c r="E197" i="14"/>
  <c r="P195" i="14"/>
  <c r="O195" i="14"/>
  <c r="N195" i="14"/>
  <c r="M195" i="14"/>
  <c r="L195" i="14"/>
  <c r="K195" i="14"/>
  <c r="J195" i="14"/>
  <c r="I195" i="14"/>
  <c r="H195" i="14"/>
  <c r="G195" i="14"/>
  <c r="F195" i="14"/>
  <c r="E195" i="14"/>
  <c r="P194" i="14"/>
  <c r="O194" i="14"/>
  <c r="N194" i="14"/>
  <c r="M194" i="14"/>
  <c r="L194" i="14"/>
  <c r="K194" i="14"/>
  <c r="J194" i="14"/>
  <c r="I194" i="14"/>
  <c r="H194" i="14"/>
  <c r="G194" i="14"/>
  <c r="F194" i="14"/>
  <c r="E194" i="14"/>
  <c r="P192" i="14"/>
  <c r="O192" i="14"/>
  <c r="N192" i="14"/>
  <c r="M192" i="14"/>
  <c r="L192" i="14"/>
  <c r="K192" i="14"/>
  <c r="J192" i="14"/>
  <c r="I192" i="14"/>
  <c r="H192" i="14"/>
  <c r="G192" i="14"/>
  <c r="F192" i="14"/>
  <c r="E192" i="14"/>
  <c r="P186" i="14"/>
  <c r="O186" i="14"/>
  <c r="N186" i="14"/>
  <c r="M186" i="14"/>
  <c r="L186" i="14"/>
  <c r="K186" i="14"/>
  <c r="J186" i="14"/>
  <c r="I186" i="14"/>
  <c r="H186" i="14"/>
  <c r="G186" i="14"/>
  <c r="F186" i="14"/>
  <c r="E186" i="14"/>
  <c r="P185" i="14"/>
  <c r="O185" i="14"/>
  <c r="N185" i="14"/>
  <c r="M185" i="14"/>
  <c r="L185" i="14"/>
  <c r="K185" i="14"/>
  <c r="J185" i="14"/>
  <c r="I185" i="14"/>
  <c r="H185" i="14"/>
  <c r="G185" i="14"/>
  <c r="F185" i="14"/>
  <c r="E185" i="14"/>
  <c r="P184" i="14"/>
  <c r="O184" i="14"/>
  <c r="N184" i="14"/>
  <c r="M184" i="14"/>
  <c r="L184" i="14"/>
  <c r="K184" i="14"/>
  <c r="J184" i="14"/>
  <c r="I184" i="14"/>
  <c r="H184" i="14"/>
  <c r="G184" i="14"/>
  <c r="F184" i="14"/>
  <c r="E184" i="14"/>
  <c r="P183" i="14"/>
  <c r="O183" i="14"/>
  <c r="N183" i="14"/>
  <c r="M183" i="14"/>
  <c r="L183" i="14"/>
  <c r="K183" i="14"/>
  <c r="J183" i="14"/>
  <c r="I183" i="14"/>
  <c r="H183" i="14"/>
  <c r="G183" i="14"/>
  <c r="F183" i="14"/>
  <c r="E183" i="14"/>
  <c r="Q182" i="14"/>
  <c r="P181" i="14"/>
  <c r="O181" i="14"/>
  <c r="N181" i="14"/>
  <c r="M181" i="14"/>
  <c r="L181" i="14"/>
  <c r="K181" i="14"/>
  <c r="J181" i="14"/>
  <c r="I181" i="14"/>
  <c r="H181" i="14"/>
  <c r="G181" i="14"/>
  <c r="F181" i="14"/>
  <c r="E181" i="14"/>
  <c r="G177" i="14"/>
  <c r="D8" i="38" s="1"/>
  <c r="F177" i="14"/>
  <c r="C8" i="38" s="1"/>
  <c r="E177" i="14"/>
  <c r="B8" i="38" s="1"/>
  <c r="Q176" i="14"/>
  <c r="Q175" i="14"/>
  <c r="P174" i="14"/>
  <c r="P177" i="14" s="1"/>
  <c r="M8" i="38" s="1"/>
  <c r="O174" i="14"/>
  <c r="O177" i="14" s="1"/>
  <c r="L8" i="38" s="1"/>
  <c r="N174" i="14"/>
  <c r="N177" i="14" s="1"/>
  <c r="K8" i="38" s="1"/>
  <c r="M174" i="14"/>
  <c r="M177" i="14" s="1"/>
  <c r="J8" i="38" s="1"/>
  <c r="L174" i="14"/>
  <c r="L177" i="14" s="1"/>
  <c r="I8" i="38" s="1"/>
  <c r="K174" i="14"/>
  <c r="K177" i="14" s="1"/>
  <c r="H8" i="38" s="1"/>
  <c r="J177" i="14"/>
  <c r="G8" i="38" s="1"/>
  <c r="I177" i="14"/>
  <c r="F8" i="38" s="1"/>
  <c r="H177" i="14"/>
  <c r="E8" i="38" s="1"/>
  <c r="Q173" i="14"/>
  <c r="Q172" i="14"/>
  <c r="Q171" i="14"/>
  <c r="Q170" i="14"/>
  <c r="Q169" i="14"/>
  <c r="Q168" i="14"/>
  <c r="Q167" i="14"/>
  <c r="Q164" i="14"/>
  <c r="Q159" i="14"/>
  <c r="F74" i="13"/>
  <c r="G74" i="13"/>
  <c r="H74" i="13"/>
  <c r="I74" i="13"/>
  <c r="J74" i="13"/>
  <c r="K74" i="13"/>
  <c r="L74" i="13"/>
  <c r="M74" i="13"/>
  <c r="N74" i="13"/>
  <c r="O74" i="13"/>
  <c r="P74" i="13"/>
  <c r="Q74" i="13"/>
  <c r="F75" i="13"/>
  <c r="G75" i="13"/>
  <c r="H75" i="13"/>
  <c r="I75" i="13"/>
  <c r="J75" i="13"/>
  <c r="K75" i="13"/>
  <c r="L75" i="13"/>
  <c r="M75" i="13"/>
  <c r="N75" i="13"/>
  <c r="O75" i="13"/>
  <c r="P75" i="13"/>
  <c r="Q75" i="13"/>
  <c r="F76" i="13"/>
  <c r="G76" i="13"/>
  <c r="H76" i="13"/>
  <c r="I76" i="13"/>
  <c r="J76" i="13"/>
  <c r="K76" i="13"/>
  <c r="L76" i="13"/>
  <c r="M76" i="13"/>
  <c r="N76" i="13"/>
  <c r="O76" i="13"/>
  <c r="P76" i="13"/>
  <c r="Q76" i="13"/>
  <c r="F69" i="13"/>
  <c r="G69" i="13"/>
  <c r="H69" i="13"/>
  <c r="I69" i="13"/>
  <c r="J69" i="13"/>
  <c r="K69" i="13"/>
  <c r="L69" i="13"/>
  <c r="M69" i="13"/>
  <c r="N69" i="13"/>
  <c r="O69" i="13"/>
  <c r="P69" i="13"/>
  <c r="Q69" i="13"/>
  <c r="F70" i="13"/>
  <c r="G70" i="13"/>
  <c r="H70" i="13"/>
  <c r="I70" i="13"/>
  <c r="J70" i="13"/>
  <c r="K70" i="13"/>
  <c r="L70" i="13"/>
  <c r="M70" i="13"/>
  <c r="N70" i="13"/>
  <c r="O70" i="13"/>
  <c r="P70" i="13"/>
  <c r="Q70" i="13"/>
  <c r="F71" i="13"/>
  <c r="G71" i="13"/>
  <c r="H71" i="13"/>
  <c r="I71" i="13"/>
  <c r="J71" i="13"/>
  <c r="K71" i="13"/>
  <c r="L71" i="13"/>
  <c r="M71" i="13"/>
  <c r="N71" i="13"/>
  <c r="O71" i="13"/>
  <c r="P71" i="13"/>
  <c r="Q71" i="13"/>
  <c r="M98" i="38"/>
  <c r="L98" i="38"/>
  <c r="K98" i="38"/>
  <c r="J98" i="38"/>
  <c r="I98" i="38"/>
  <c r="H98" i="38"/>
  <c r="G98" i="38"/>
  <c r="F98" i="38"/>
  <c r="E98" i="38"/>
  <c r="D98" i="38"/>
  <c r="C98" i="38"/>
  <c r="B98" i="38"/>
  <c r="T88" i="38"/>
  <c r="T85" i="38"/>
  <c r="T84" i="38"/>
  <c r="T83" i="38"/>
  <c r="T82" i="38"/>
  <c r="T81" i="38"/>
  <c r="T78" i="38"/>
  <c r="T77" i="38"/>
  <c r="T75" i="38"/>
  <c r="T72" i="38"/>
  <c r="T71" i="38"/>
  <c r="T70" i="38"/>
  <c r="T69" i="38"/>
  <c r="T68" i="38"/>
  <c r="T62" i="38"/>
  <c r="T61" i="38"/>
  <c r="T57" i="38"/>
  <c r="T56" i="38"/>
  <c r="T52" i="38"/>
  <c r="M52" i="38"/>
  <c r="L52" i="38"/>
  <c r="K52" i="38"/>
  <c r="J52" i="38"/>
  <c r="I52" i="38"/>
  <c r="H52" i="38"/>
  <c r="G52" i="38"/>
  <c r="F52" i="38"/>
  <c r="E52" i="38"/>
  <c r="D52" i="38"/>
  <c r="C52" i="38"/>
  <c r="B52" i="38"/>
  <c r="T51" i="38"/>
  <c r="T43" i="38"/>
  <c r="T42" i="38"/>
  <c r="T41" i="38"/>
  <c r="T40" i="38"/>
  <c r="T39" i="38"/>
  <c r="N32" i="38"/>
  <c r="N29" i="38"/>
  <c r="N28" i="38"/>
  <c r="N23" i="38"/>
  <c r="M23" i="38"/>
  <c r="L23" i="38"/>
  <c r="K23" i="38"/>
  <c r="J23" i="38"/>
  <c r="I23" i="38"/>
  <c r="H23" i="38"/>
  <c r="G23" i="38"/>
  <c r="F23" i="38"/>
  <c r="E23" i="38"/>
  <c r="D23" i="38"/>
  <c r="C23" i="38"/>
  <c r="B23" i="38"/>
  <c r="M17" i="38"/>
  <c r="M24" i="38" s="1"/>
  <c r="M25" i="38" s="1"/>
  <c r="L17" i="38"/>
  <c r="K17" i="38"/>
  <c r="K24" i="38" s="1"/>
  <c r="K25" i="38" s="1"/>
  <c r="J17" i="38"/>
  <c r="I17" i="38"/>
  <c r="H17" i="38"/>
  <c r="G17" i="38"/>
  <c r="F17" i="38"/>
  <c r="F24" i="38" s="1"/>
  <c r="F25" i="38" s="1"/>
  <c r="E17" i="38"/>
  <c r="D17" i="38"/>
  <c r="C17" i="38"/>
  <c r="B17" i="38"/>
  <c r="I92" i="14"/>
  <c r="J92" i="14"/>
  <c r="K92" i="14"/>
  <c r="L92" i="14"/>
  <c r="M92" i="14"/>
  <c r="N92" i="14"/>
  <c r="O92" i="14"/>
  <c r="P92" i="14"/>
  <c r="G7" i="13"/>
  <c r="H7" i="13"/>
  <c r="I7" i="13"/>
  <c r="J7" i="13"/>
  <c r="K7" i="13"/>
  <c r="L7" i="13"/>
  <c r="M7" i="13"/>
  <c r="N7" i="13"/>
  <c r="O7" i="13"/>
  <c r="P7" i="13"/>
  <c r="Q7" i="13"/>
  <c r="F7" i="13"/>
  <c r="E17" i="10"/>
  <c r="F17" i="10"/>
  <c r="D17" i="10"/>
  <c r="L28" i="37"/>
  <c r="K28" i="37"/>
  <c r="AH27" i="37"/>
  <c r="AG27" i="37"/>
  <c r="AE27" i="37"/>
  <c r="AD27" i="37"/>
  <c r="Z27" i="37"/>
  <c r="AH26" i="37"/>
  <c r="AG26" i="37"/>
  <c r="AE26" i="37"/>
  <c r="AD26" i="37"/>
  <c r="Z26" i="37"/>
  <c r="AH25" i="37"/>
  <c r="AG25" i="37"/>
  <c r="AE25" i="37"/>
  <c r="AD25" i="37"/>
  <c r="Z25" i="37"/>
  <c r="AH24" i="37"/>
  <c r="AG24" i="37"/>
  <c r="AE24" i="37"/>
  <c r="AD24" i="37"/>
  <c r="Z24" i="37"/>
  <c r="AH23" i="37"/>
  <c r="AG23" i="37"/>
  <c r="AE23" i="37"/>
  <c r="AD23" i="37"/>
  <c r="Z23" i="37"/>
  <c r="AH22" i="37"/>
  <c r="AG22" i="37"/>
  <c r="AE22" i="37"/>
  <c r="AD22" i="37"/>
  <c r="AH21" i="37"/>
  <c r="AG21" i="37"/>
  <c r="AE21" i="37"/>
  <c r="AD21" i="37"/>
  <c r="AH20" i="37"/>
  <c r="AG20" i="37"/>
  <c r="AE20" i="37"/>
  <c r="AD20" i="37"/>
  <c r="AH19" i="37"/>
  <c r="AG19" i="37"/>
  <c r="AE19" i="37"/>
  <c r="AD19" i="37"/>
  <c r="AH18" i="37"/>
  <c r="AG18" i="37"/>
  <c r="AE18" i="37"/>
  <c r="AD18" i="37"/>
  <c r="AH17" i="37"/>
  <c r="AG17" i="37"/>
  <c r="AE17" i="37"/>
  <c r="AD17" i="37"/>
  <c r="AH16" i="37"/>
  <c r="AG16" i="37"/>
  <c r="AE16" i="37"/>
  <c r="AD16" i="37"/>
  <c r="AH15" i="37"/>
  <c r="AG15" i="37"/>
  <c r="AE15" i="37"/>
  <c r="AD15" i="37"/>
  <c r="AH14" i="37"/>
  <c r="AG14" i="37"/>
  <c r="AE14" i="37"/>
  <c r="AD14" i="37"/>
  <c r="AH13" i="37"/>
  <c r="AG13" i="37"/>
  <c r="AE13" i="37"/>
  <c r="AD13" i="37"/>
  <c r="AH12" i="37"/>
  <c r="AG12" i="37"/>
  <c r="AE12" i="37"/>
  <c r="AD12" i="37"/>
  <c r="AH11" i="37"/>
  <c r="AG11" i="37"/>
  <c r="AE11" i="37"/>
  <c r="AD11" i="37"/>
  <c r="AH10" i="37"/>
  <c r="AG10" i="37"/>
  <c r="AE10" i="37"/>
  <c r="AD10" i="37"/>
  <c r="AH9" i="37"/>
  <c r="AG9" i="37"/>
  <c r="AE9" i="37"/>
  <c r="AD9" i="37"/>
  <c r="AH8" i="37"/>
  <c r="AG8" i="37"/>
  <c r="AE8" i="37"/>
  <c r="AD8" i="37"/>
  <c r="AH7" i="37"/>
  <c r="AG7" i="37"/>
  <c r="AE7" i="37"/>
  <c r="AD7" i="37"/>
  <c r="AH6" i="37"/>
  <c r="AG6" i="37"/>
  <c r="AE6" i="37"/>
  <c r="AD6" i="37"/>
  <c r="AH5" i="37"/>
  <c r="AG5" i="37"/>
  <c r="AE5" i="37"/>
  <c r="AD5" i="37"/>
  <c r="AD2" i="37"/>
  <c r="C103" i="24"/>
  <c r="D103" i="24"/>
  <c r="E103" i="24"/>
  <c r="F103" i="24"/>
  <c r="G103" i="24"/>
  <c r="H103" i="24"/>
  <c r="I103" i="24"/>
  <c r="J103" i="24"/>
  <c r="K103" i="24"/>
  <c r="L103" i="24"/>
  <c r="M103" i="24"/>
  <c r="B103" i="24"/>
  <c r="AK26" i="37" l="1"/>
  <c r="AK18" i="37"/>
  <c r="AK20" i="37"/>
  <c r="AJ5" i="37"/>
  <c r="AJ7" i="37"/>
  <c r="AJ9" i="37"/>
  <c r="AJ11" i="37"/>
  <c r="AJ13" i="37"/>
  <c r="AJ15" i="37"/>
  <c r="AK5" i="37"/>
  <c r="AK9" i="37"/>
  <c r="AK13" i="37"/>
  <c r="AK7" i="37"/>
  <c r="AK11" i="37"/>
  <c r="AK15" i="37"/>
  <c r="AK23" i="37"/>
  <c r="AJ25" i="37"/>
  <c r="AJ17" i="37"/>
  <c r="AK17" i="37"/>
  <c r="AJ19" i="37"/>
  <c r="AJ21" i="37"/>
  <c r="AK22" i="37"/>
  <c r="AK19" i="37"/>
  <c r="AJ8" i="37"/>
  <c r="AJ12" i="37"/>
  <c r="AJ14" i="37"/>
  <c r="AJ16" i="37"/>
  <c r="AJ27" i="37"/>
  <c r="AK21" i="37"/>
  <c r="AK8" i="37"/>
  <c r="AK10" i="37"/>
  <c r="AK12" i="37"/>
  <c r="AK14" i="37"/>
  <c r="AK16" i="37"/>
  <c r="AJ24" i="37"/>
  <c r="AK27" i="37"/>
  <c r="AJ6" i="37"/>
  <c r="AJ10" i="37"/>
  <c r="AK6" i="37"/>
  <c r="AJ18" i="37"/>
  <c r="AJ20" i="37"/>
  <c r="AJ22" i="37"/>
  <c r="AK24" i="37"/>
  <c r="AJ26" i="37"/>
  <c r="AK25" i="37"/>
  <c r="AJ23" i="37"/>
  <c r="I246" i="14"/>
  <c r="F69" i="38"/>
  <c r="H51" i="38"/>
  <c r="L264" i="14"/>
  <c r="I71" i="38" s="1"/>
  <c r="L24" i="38"/>
  <c r="L25" i="38" s="1"/>
  <c r="N103" i="24"/>
  <c r="AD28" i="37"/>
  <c r="E69" i="38"/>
  <c r="M69" i="38"/>
  <c r="I69" i="38"/>
  <c r="I51" i="38"/>
  <c r="G51" i="38"/>
  <c r="H69" i="38"/>
  <c r="AA23" i="37"/>
  <c r="B24" i="38"/>
  <c r="B25" i="38" s="1"/>
  <c r="J24" i="38"/>
  <c r="J25" i="38" s="1"/>
  <c r="N98" i="38"/>
  <c r="C24" i="38"/>
  <c r="C25" i="38" s="1"/>
  <c r="H24" i="38"/>
  <c r="H25" i="38" s="1"/>
  <c r="D24" i="38"/>
  <c r="D25" i="38" s="1"/>
  <c r="N17" i="38"/>
  <c r="I24" i="38"/>
  <c r="I25" i="38" s="1"/>
  <c r="E24" i="38"/>
  <c r="E25" i="38" s="1"/>
  <c r="D69" i="38"/>
  <c r="L69" i="38"/>
  <c r="K264" i="14"/>
  <c r="H71" i="38" s="1"/>
  <c r="G264" i="14"/>
  <c r="D71" i="38" s="1"/>
  <c r="C51" i="38"/>
  <c r="K51" i="38"/>
  <c r="D51" i="38"/>
  <c r="L51" i="38"/>
  <c r="J228" i="14"/>
  <c r="C69" i="38"/>
  <c r="K69" i="38"/>
  <c r="I264" i="14"/>
  <c r="F71" i="38" s="1"/>
  <c r="E264" i="14"/>
  <c r="B71" i="38" s="1"/>
  <c r="J264" i="14"/>
  <c r="G71" i="38" s="1"/>
  <c r="O264" i="14"/>
  <c r="L71" i="38" s="1"/>
  <c r="J69" i="38"/>
  <c r="H264" i="14"/>
  <c r="E71" i="38" s="1"/>
  <c r="B69" i="38"/>
  <c r="P264" i="14"/>
  <c r="M71" i="38" s="1"/>
  <c r="B51" i="38"/>
  <c r="F264" i="14"/>
  <c r="C71" i="38" s="1"/>
  <c r="N264" i="14"/>
  <c r="K71" i="38" s="1"/>
  <c r="M51" i="38"/>
  <c r="E51" i="38"/>
  <c r="G69" i="38"/>
  <c r="M264" i="14"/>
  <c r="J71" i="38" s="1"/>
  <c r="G68" i="38"/>
  <c r="Q104" i="14"/>
  <c r="F51" i="38"/>
  <c r="P17" i="10"/>
  <c r="AE28" i="37"/>
  <c r="G246" i="14"/>
  <c r="O246" i="14"/>
  <c r="H246" i="14"/>
  <c r="P246" i="14"/>
  <c r="Q239" i="14"/>
  <c r="J246" i="14"/>
  <c r="F246" i="14"/>
  <c r="N246" i="14"/>
  <c r="K246" i="14"/>
  <c r="L246" i="14"/>
  <c r="M246" i="14"/>
  <c r="Q224" i="14"/>
  <c r="L188" i="14"/>
  <c r="L228" i="14"/>
  <c r="N188" i="14"/>
  <c r="F228" i="14"/>
  <c r="N228" i="14"/>
  <c r="H188" i="14"/>
  <c r="P188" i="14"/>
  <c r="G188" i="14"/>
  <c r="O188" i="14"/>
  <c r="H228" i="14"/>
  <c r="P228" i="14"/>
  <c r="Q238" i="14"/>
  <c r="Q252" i="14"/>
  <c r="Q259" i="14"/>
  <c r="I228" i="14"/>
  <c r="Q174" i="14"/>
  <c r="I188" i="14"/>
  <c r="Q207" i="14"/>
  <c r="J188" i="14"/>
  <c r="Q185" i="14"/>
  <c r="Q194" i="14"/>
  <c r="K228" i="14"/>
  <c r="Q233" i="14"/>
  <c r="Q253" i="14"/>
  <c r="Q254" i="14"/>
  <c r="Q183" i="14"/>
  <c r="K188" i="14"/>
  <c r="Q192" i="14"/>
  <c r="Q195" i="14"/>
  <c r="Q197" i="14"/>
  <c r="Q223" i="14"/>
  <c r="M228" i="14"/>
  <c r="Q226" i="14"/>
  <c r="Q227" i="14"/>
  <c r="M188" i="14"/>
  <c r="Q184" i="14"/>
  <c r="Q186" i="14"/>
  <c r="G228" i="14"/>
  <c r="O228" i="14"/>
  <c r="Q249" i="14"/>
  <c r="Q250" i="14"/>
  <c r="K236" i="14"/>
  <c r="H70" i="38" s="1"/>
  <c r="Q177" i="14"/>
  <c r="Q225" i="14"/>
  <c r="L232" i="14"/>
  <c r="Q181" i="14"/>
  <c r="E232" i="14"/>
  <c r="M232" i="14"/>
  <c r="F232" i="14"/>
  <c r="N232" i="14"/>
  <c r="E246" i="14"/>
  <c r="E228" i="14"/>
  <c r="G232" i="14"/>
  <c r="O232" i="14"/>
  <c r="H232" i="14"/>
  <c r="P232" i="14"/>
  <c r="I232" i="14"/>
  <c r="J232" i="14"/>
  <c r="G24" i="38"/>
  <c r="G25" i="38" s="1"/>
  <c r="N52" i="38"/>
  <c r="Q92" i="14"/>
  <c r="X12" i="37"/>
  <c r="AA25" i="37"/>
  <c r="C28" i="37"/>
  <c r="AG28" i="37"/>
  <c r="AH28" i="37"/>
  <c r="AA26" i="37"/>
  <c r="X11" i="37"/>
  <c r="AA24" i="37"/>
  <c r="AA27" i="37"/>
  <c r="M22" i="37" l="1"/>
  <c r="M14" i="37"/>
  <c r="M6" i="37"/>
  <c r="M18" i="37"/>
  <c r="M7" i="37"/>
  <c r="M21" i="37"/>
  <c r="M13" i="37"/>
  <c r="M5" i="37"/>
  <c r="M17" i="37"/>
  <c r="M9" i="37"/>
  <c r="M20" i="37"/>
  <c r="M12" i="37"/>
  <c r="M10" i="37"/>
  <c r="M19" i="37"/>
  <c r="M11" i="37"/>
  <c r="M16" i="37"/>
  <c r="M8" i="37"/>
  <c r="M15" i="37"/>
  <c r="F5" i="37"/>
  <c r="J5" i="37" s="1"/>
  <c r="F12" i="37"/>
  <c r="J12" i="37" s="1"/>
  <c r="F20" i="37"/>
  <c r="J20" i="37" s="1"/>
  <c r="F22" i="37"/>
  <c r="J22" i="37" s="1"/>
  <c r="F7" i="37"/>
  <c r="J7" i="37" s="1"/>
  <c r="F16" i="37"/>
  <c r="J16" i="37" s="1"/>
  <c r="F13" i="37"/>
  <c r="J13" i="37" s="1"/>
  <c r="F21" i="37"/>
  <c r="J21" i="37" s="1"/>
  <c r="F14" i="37"/>
  <c r="J14" i="37" s="1"/>
  <c r="F15" i="37"/>
  <c r="J15" i="37" s="1"/>
  <c r="F8" i="37"/>
  <c r="J8" i="37" s="1"/>
  <c r="F6" i="37"/>
  <c r="J6" i="37" s="1"/>
  <c r="F9" i="37"/>
  <c r="J9" i="37" s="1"/>
  <c r="F17" i="37"/>
  <c r="J17" i="37" s="1"/>
  <c r="F10" i="37"/>
  <c r="J10" i="37" s="1"/>
  <c r="F18" i="37"/>
  <c r="J18" i="37" s="1"/>
  <c r="F11" i="37"/>
  <c r="J11" i="37" s="1"/>
  <c r="F19" i="37"/>
  <c r="J19" i="37" s="1"/>
  <c r="Q246" i="14"/>
  <c r="Q228" i="14"/>
  <c r="N236" i="14"/>
  <c r="K70" i="38" s="1"/>
  <c r="G236" i="14"/>
  <c r="D70" i="38" s="1"/>
  <c r="F236" i="14"/>
  <c r="C70" i="38" s="1"/>
  <c r="L236" i="14"/>
  <c r="I70" i="38" s="1"/>
  <c r="M236" i="14"/>
  <c r="J70" i="38" s="1"/>
  <c r="I236" i="14"/>
  <c r="F70" i="38" s="1"/>
  <c r="O236" i="14"/>
  <c r="L70" i="38" s="1"/>
  <c r="P236" i="14"/>
  <c r="M70" i="38" s="1"/>
  <c r="E236" i="14"/>
  <c r="B70" i="38" s="1"/>
  <c r="Q232" i="14"/>
  <c r="J236" i="14"/>
  <c r="G70" i="38" s="1"/>
  <c r="H236" i="14"/>
  <c r="E70" i="38" s="1"/>
  <c r="N24" i="38"/>
  <c r="N25" i="38" s="1"/>
  <c r="F28" i="37" l="1"/>
  <c r="Q236" i="14"/>
  <c r="J28" i="37"/>
  <c r="Q264" i="14" l="1"/>
  <c r="N33" i="10" l="1"/>
  <c r="E37" i="10" l="1"/>
  <c r="F37" i="10"/>
  <c r="G37" i="10"/>
  <c r="H37" i="10"/>
  <c r="I37" i="10"/>
  <c r="J37" i="10"/>
  <c r="K37" i="10"/>
  <c r="L37" i="10"/>
  <c r="M37" i="10"/>
  <c r="N37" i="10"/>
  <c r="O37" i="10"/>
  <c r="D37" i="10"/>
  <c r="E36" i="10"/>
  <c r="F36" i="10"/>
  <c r="G36" i="10"/>
  <c r="H36" i="10"/>
  <c r="I36" i="10"/>
  <c r="J36" i="10"/>
  <c r="K36" i="10"/>
  <c r="L36" i="10"/>
  <c r="M36" i="10"/>
  <c r="N36" i="10"/>
  <c r="D36" i="10"/>
  <c r="P34" i="16"/>
  <c r="C52" i="24"/>
  <c r="B52" i="24"/>
  <c r="O37" i="16"/>
  <c r="N37" i="16"/>
  <c r="M37" i="16"/>
  <c r="L37" i="16"/>
  <c r="K37" i="16"/>
  <c r="J37" i="16"/>
  <c r="I37" i="16"/>
  <c r="H37" i="16"/>
  <c r="G37" i="16"/>
  <c r="F37" i="16"/>
  <c r="E37" i="16"/>
  <c r="D37" i="16"/>
  <c r="I36" i="16"/>
  <c r="H36" i="16"/>
  <c r="G36" i="16"/>
  <c r="F36" i="16"/>
  <c r="E36" i="16"/>
  <c r="D36" i="16"/>
  <c r="O35" i="16"/>
  <c r="N35" i="16"/>
  <c r="M35" i="16"/>
  <c r="L35" i="16"/>
  <c r="K35" i="16"/>
  <c r="J35" i="16"/>
  <c r="I35" i="16"/>
  <c r="H35" i="16"/>
  <c r="G35" i="16"/>
  <c r="F35" i="16"/>
  <c r="E35" i="16"/>
  <c r="D35" i="16"/>
  <c r="O43" i="16"/>
  <c r="N43" i="16"/>
  <c r="M43" i="16"/>
  <c r="L43" i="16"/>
  <c r="K43" i="16"/>
  <c r="J43" i="16"/>
  <c r="I43" i="16"/>
  <c r="H43" i="16"/>
  <c r="G43" i="16"/>
  <c r="F43" i="16"/>
  <c r="E43" i="16"/>
  <c r="B56" i="38"/>
  <c r="P61" i="16"/>
  <c r="P62" i="16"/>
  <c r="P64" i="16"/>
  <c r="P66" i="16"/>
  <c r="P79" i="16"/>
  <c r="P81" i="16"/>
  <c r="P83" i="16"/>
  <c r="P86" i="16"/>
  <c r="P88" i="16"/>
  <c r="P60" i="16"/>
  <c r="P54" i="16"/>
  <c r="P55" i="16"/>
  <c r="C17" i="24"/>
  <c r="D17" i="24"/>
  <c r="E17" i="24"/>
  <c r="F17" i="24"/>
  <c r="G17" i="24"/>
  <c r="H17" i="24"/>
  <c r="I17" i="24"/>
  <c r="J17" i="24"/>
  <c r="K17" i="24"/>
  <c r="L17" i="24"/>
  <c r="M17" i="24"/>
  <c r="B17" i="24"/>
  <c r="BM11" i="2"/>
  <c r="AG57" i="32"/>
  <c r="AE57" i="32"/>
  <c r="AC57" i="32"/>
  <c r="AA57" i="32"/>
  <c r="Y57" i="32"/>
  <c r="W57" i="32"/>
  <c r="U57" i="32"/>
  <c r="S57" i="32"/>
  <c r="P57" i="32"/>
  <c r="Q57" i="32" s="1"/>
  <c r="N57" i="32"/>
  <c r="L57" i="32"/>
  <c r="D56" i="38" l="1"/>
  <c r="F45" i="16"/>
  <c r="E56" i="38"/>
  <c r="G45" i="16"/>
  <c r="M56" i="38"/>
  <c r="O45" i="16"/>
  <c r="L56" i="38"/>
  <c r="N45" i="16"/>
  <c r="F56" i="38"/>
  <c r="H45" i="16"/>
  <c r="G56" i="38"/>
  <c r="I45" i="16"/>
  <c r="H56" i="38"/>
  <c r="J45" i="16"/>
  <c r="I56" i="38"/>
  <c r="K45" i="16"/>
  <c r="J56" i="38"/>
  <c r="L45" i="16"/>
  <c r="C56" i="38"/>
  <c r="E45" i="16"/>
  <c r="K56" i="38"/>
  <c r="M45" i="16"/>
  <c r="L102" i="24"/>
  <c r="L97" i="38"/>
  <c r="D102" i="24"/>
  <c r="D97" i="38"/>
  <c r="B102" i="24"/>
  <c r="B97" i="38"/>
  <c r="C102" i="24"/>
  <c r="C97" i="38"/>
  <c r="J102" i="24"/>
  <c r="J97" i="38"/>
  <c r="F102" i="24"/>
  <c r="F97" i="38"/>
  <c r="I102" i="24"/>
  <c r="I97" i="38"/>
  <c r="E102" i="24"/>
  <c r="E97" i="38"/>
  <c r="K102" i="24"/>
  <c r="K97" i="38"/>
  <c r="H102" i="24"/>
  <c r="H97" i="38"/>
  <c r="G102" i="24"/>
  <c r="G97" i="38"/>
  <c r="P50" i="16"/>
  <c r="P35" i="16"/>
  <c r="P36" i="16"/>
  <c r="P37" i="16"/>
  <c r="AM51" i="2"/>
  <c r="AN51" i="2"/>
  <c r="AO51" i="2"/>
  <c r="E13" i="37" s="1"/>
  <c r="AP51" i="2"/>
  <c r="AQ51" i="2"/>
  <c r="AR51" i="2"/>
  <c r="AS51" i="2"/>
  <c r="AT51" i="2"/>
  <c r="AU51" i="2"/>
  <c r="AV51" i="2"/>
  <c r="AW51" i="2"/>
  <c r="AM9" i="2"/>
  <c r="AN9" i="2"/>
  <c r="AO9" i="2"/>
  <c r="AP9" i="2"/>
  <c r="AQ9" i="2"/>
  <c r="AR9" i="2"/>
  <c r="AS9" i="2"/>
  <c r="AT9" i="2"/>
  <c r="AU9" i="2"/>
  <c r="AV9" i="2"/>
  <c r="AW9" i="2"/>
  <c r="AM10" i="2"/>
  <c r="AN10" i="2"/>
  <c r="AO10" i="2"/>
  <c r="AP10" i="2"/>
  <c r="AQ10" i="2"/>
  <c r="AR10" i="2"/>
  <c r="AS10" i="2"/>
  <c r="AT10" i="2"/>
  <c r="AU10" i="2"/>
  <c r="AV10" i="2"/>
  <c r="AW10" i="2"/>
  <c r="AM11" i="2"/>
  <c r="AN11" i="2"/>
  <c r="AO11" i="2"/>
  <c r="AP11" i="2"/>
  <c r="AQ11" i="2"/>
  <c r="AR11" i="2"/>
  <c r="AS11" i="2"/>
  <c r="AT11" i="2"/>
  <c r="AU11" i="2"/>
  <c r="AV11" i="2"/>
  <c r="AW11" i="2"/>
  <c r="AM12" i="2"/>
  <c r="AN12" i="2"/>
  <c r="AO12" i="2"/>
  <c r="AP12" i="2"/>
  <c r="AQ12" i="2"/>
  <c r="AR12" i="2"/>
  <c r="AS12" i="2"/>
  <c r="AT12" i="2"/>
  <c r="AU12" i="2"/>
  <c r="AV12" i="2"/>
  <c r="AW12" i="2"/>
  <c r="AM13" i="2"/>
  <c r="AN13" i="2"/>
  <c r="AO13" i="2"/>
  <c r="AP13" i="2"/>
  <c r="AQ13" i="2"/>
  <c r="AR13" i="2"/>
  <c r="AS13" i="2"/>
  <c r="AT13" i="2"/>
  <c r="AU13" i="2"/>
  <c r="AV13" i="2"/>
  <c r="AW13" i="2"/>
  <c r="AM14" i="2"/>
  <c r="AN14" i="2"/>
  <c r="AO14" i="2"/>
  <c r="AP14" i="2"/>
  <c r="AQ14" i="2"/>
  <c r="AR14" i="2"/>
  <c r="AS14" i="2"/>
  <c r="AT14" i="2"/>
  <c r="AU14" i="2"/>
  <c r="AV14" i="2"/>
  <c r="AW14" i="2"/>
  <c r="AM15" i="2"/>
  <c r="AN15" i="2"/>
  <c r="AO15" i="2"/>
  <c r="AP15" i="2"/>
  <c r="AQ15" i="2"/>
  <c r="AR15" i="2"/>
  <c r="AS15" i="2"/>
  <c r="AT15" i="2"/>
  <c r="AU15" i="2"/>
  <c r="AV15" i="2"/>
  <c r="AW15" i="2"/>
  <c r="AM16" i="2"/>
  <c r="AN16" i="2"/>
  <c r="AO16" i="2"/>
  <c r="AP16" i="2"/>
  <c r="AQ16" i="2"/>
  <c r="AR16" i="2"/>
  <c r="AS16" i="2"/>
  <c r="AT16" i="2"/>
  <c r="AU16" i="2"/>
  <c r="AV16" i="2"/>
  <c r="AW16" i="2"/>
  <c r="AM17" i="2"/>
  <c r="AN17" i="2"/>
  <c r="AO17" i="2"/>
  <c r="AP17" i="2"/>
  <c r="AQ17" i="2"/>
  <c r="AR17" i="2"/>
  <c r="AS17" i="2"/>
  <c r="AT17" i="2"/>
  <c r="AU17" i="2"/>
  <c r="AV17" i="2"/>
  <c r="AW17" i="2"/>
  <c r="AL10" i="2"/>
  <c r="AL11" i="2"/>
  <c r="AL12" i="2"/>
  <c r="AL13" i="2"/>
  <c r="AL14" i="2"/>
  <c r="AL15" i="2"/>
  <c r="AL16" i="2"/>
  <c r="AL17" i="2"/>
  <c r="N56" i="38" l="1"/>
  <c r="E9" i="37"/>
  <c r="AX16" i="2"/>
  <c r="AY16" i="2" s="1"/>
  <c r="AX17" i="2"/>
  <c r="AY17" i="2" s="1"/>
  <c r="AX12" i="2"/>
  <c r="AY12" i="2" s="1"/>
  <c r="AX13" i="2"/>
  <c r="AY13" i="2" s="1"/>
  <c r="AX14" i="2"/>
  <c r="AY14" i="2" s="1"/>
  <c r="AX11" i="2"/>
  <c r="AY11" i="2" s="1"/>
  <c r="AL9" i="2"/>
  <c r="AX10" i="2"/>
  <c r="AY10" i="2" s="1"/>
  <c r="AX15" i="2"/>
  <c r="AY15" i="2" s="1"/>
  <c r="AL51" i="2"/>
  <c r="BA14" i="2" l="1"/>
  <c r="BB14" i="2"/>
  <c r="BD14" i="2"/>
  <c r="BC14" i="2"/>
  <c r="BC10" i="2"/>
  <c r="BD10" i="2"/>
  <c r="BA10" i="2"/>
  <c r="BB10" i="2"/>
  <c r="BA12" i="2"/>
  <c r="BD12" i="2"/>
  <c r="BB12" i="2"/>
  <c r="BC12" i="2"/>
  <c r="BC11" i="2"/>
  <c r="BA11" i="2"/>
  <c r="BB11" i="2"/>
  <c r="BD11" i="2"/>
  <c r="BB13" i="2"/>
  <c r="BD13" i="2"/>
  <c r="BA13" i="2"/>
  <c r="BC13" i="2"/>
  <c r="BB17" i="2"/>
  <c r="BA17" i="2"/>
  <c r="BC17" i="2"/>
  <c r="BD17" i="2"/>
  <c r="BB15" i="2"/>
  <c r="BD15" i="2"/>
  <c r="BA15" i="2"/>
  <c r="BC15" i="2"/>
  <c r="BA16" i="2"/>
  <c r="BB16" i="2"/>
  <c r="BC16" i="2"/>
  <c r="BD16" i="2"/>
  <c r="AX51" i="2"/>
  <c r="AY51" i="2" s="1"/>
  <c r="AX9" i="2"/>
  <c r="AY9" i="2" s="1"/>
  <c r="BA9" i="2" l="1"/>
  <c r="BB9" i="2"/>
  <c r="BD9" i="2"/>
  <c r="BC9" i="2"/>
  <c r="BD51" i="2"/>
  <c r="BA51" i="2"/>
  <c r="BC51" i="2"/>
  <c r="BB51" i="2"/>
  <c r="E11" i="10"/>
  <c r="F11" i="10"/>
  <c r="G11" i="10"/>
  <c r="D11" i="10"/>
  <c r="F104" i="34" l="1"/>
  <c r="M82" i="34"/>
  <c r="L75" i="34"/>
  <c r="K75" i="34"/>
  <c r="K50" i="34"/>
  <c r="L50" i="34"/>
  <c r="M48" i="34"/>
  <c r="L19" i="34"/>
  <c r="K19" i="34"/>
  <c r="M81" i="34"/>
  <c r="M73" i="34"/>
  <c r="M75" i="34" s="1"/>
  <c r="M74" i="34"/>
  <c r="M70" i="34"/>
  <c r="M71" i="34"/>
  <c r="M37" i="34"/>
  <c r="M33" i="34"/>
  <c r="M23" i="34"/>
  <c r="M24" i="34"/>
  <c r="M25" i="34"/>
  <c r="M26" i="34"/>
  <c r="M27" i="34"/>
  <c r="M28" i="34"/>
  <c r="M29" i="34"/>
  <c r="M30" i="34"/>
  <c r="M31" i="34"/>
  <c r="O31" i="34" s="1"/>
  <c r="M22" i="34"/>
  <c r="M20" i="34"/>
  <c r="M9" i="34"/>
  <c r="M5" i="34"/>
  <c r="M6" i="34"/>
  <c r="M7" i="34"/>
  <c r="M8" i="34"/>
  <c r="M10" i="34"/>
  <c r="M11" i="34"/>
  <c r="M12" i="34"/>
  <c r="M13" i="34"/>
  <c r="M14" i="34"/>
  <c r="M15" i="34"/>
  <c r="M16" i="34"/>
  <c r="M17" i="34"/>
  <c r="M18" i="34"/>
  <c r="M4" i="34"/>
  <c r="I84" i="34"/>
  <c r="I85" i="34"/>
  <c r="I79" i="34"/>
  <c r="J79" i="34" s="1"/>
  <c r="I77" i="34"/>
  <c r="I76" i="34"/>
  <c r="I46" i="34"/>
  <c r="J46" i="34" s="1"/>
  <c r="I40" i="34"/>
  <c r="J40" i="34" s="1"/>
  <c r="I41" i="34"/>
  <c r="J41" i="34" s="1"/>
  <c r="I42" i="34"/>
  <c r="J42" i="34" s="1"/>
  <c r="I43" i="34"/>
  <c r="J43" i="34" s="1"/>
  <c r="I44" i="34"/>
  <c r="J44" i="34" s="1"/>
  <c r="I31" i="34"/>
  <c r="J31" i="34" s="1"/>
  <c r="I37" i="34"/>
  <c r="J37" i="34" s="1"/>
  <c r="I23" i="34"/>
  <c r="J23" i="34" s="1"/>
  <c r="I24" i="34"/>
  <c r="J24" i="34" s="1"/>
  <c r="I25" i="34"/>
  <c r="J25" i="34" s="1"/>
  <c r="I26" i="34"/>
  <c r="J26" i="34" s="1"/>
  <c r="I27" i="34"/>
  <c r="J27" i="34" s="1"/>
  <c r="I28" i="34"/>
  <c r="J28" i="34" s="1"/>
  <c r="I29" i="34"/>
  <c r="N29" i="34" s="1"/>
  <c r="I30" i="34"/>
  <c r="J30" i="34" s="1"/>
  <c r="I20" i="34"/>
  <c r="J20" i="34" s="1"/>
  <c r="I9" i="34"/>
  <c r="I5" i="34"/>
  <c r="I6" i="34"/>
  <c r="I7" i="34"/>
  <c r="J7" i="34" s="1"/>
  <c r="I8" i="34"/>
  <c r="J8" i="34" s="1"/>
  <c r="I10" i="34"/>
  <c r="J10" i="34" s="1"/>
  <c r="I11" i="34"/>
  <c r="J11" i="34" s="1"/>
  <c r="I12" i="34"/>
  <c r="N12" i="34" s="1"/>
  <c r="I13" i="34"/>
  <c r="J13" i="34" s="1"/>
  <c r="I14" i="34"/>
  <c r="J14" i="34" s="1"/>
  <c r="I15" i="34"/>
  <c r="J15" i="34" s="1"/>
  <c r="I16" i="34"/>
  <c r="J16" i="34" s="1"/>
  <c r="I17" i="34"/>
  <c r="J17" i="34" s="1"/>
  <c r="I18" i="34"/>
  <c r="J18" i="34" s="1"/>
  <c r="I4" i="34"/>
  <c r="I2" i="34"/>
  <c r="I82" i="34"/>
  <c r="I81" i="34"/>
  <c r="M77" i="34"/>
  <c r="I74" i="34"/>
  <c r="N74" i="34" s="1"/>
  <c r="I73" i="34"/>
  <c r="J73" i="34" s="1"/>
  <c r="O17" i="34" l="1"/>
  <c r="J77" i="34"/>
  <c r="AQ45" i="2"/>
  <c r="AM45" i="2"/>
  <c r="AR45" i="2"/>
  <c r="AS45" i="2"/>
  <c r="AU45" i="2"/>
  <c r="AT45" i="2"/>
  <c r="AN45" i="2"/>
  <c r="AV45" i="2"/>
  <c r="AP45" i="2"/>
  <c r="AL45" i="2"/>
  <c r="AO45" i="2"/>
  <c r="AW45" i="2"/>
  <c r="J76" i="34"/>
  <c r="AT44" i="2"/>
  <c r="AM44" i="2"/>
  <c r="AU44" i="2"/>
  <c r="AP44" i="2"/>
  <c r="AN44" i="2"/>
  <c r="AV44" i="2"/>
  <c r="AO44" i="2"/>
  <c r="E6" i="37" s="1"/>
  <c r="AW44" i="2"/>
  <c r="AQ44" i="2"/>
  <c r="AS44" i="2"/>
  <c r="AR44" i="2"/>
  <c r="AS57" i="2"/>
  <c r="AW57" i="2"/>
  <c r="AQ57" i="2"/>
  <c r="AT57" i="2"/>
  <c r="AL57" i="2"/>
  <c r="AO57" i="2"/>
  <c r="E5" i="37" s="1"/>
  <c r="AM57" i="2"/>
  <c r="AU57" i="2"/>
  <c r="AP57" i="2"/>
  <c r="AN57" i="2"/>
  <c r="AV57" i="2"/>
  <c r="AR57" i="2"/>
  <c r="I83" i="34"/>
  <c r="AO50" i="2"/>
  <c r="E14" i="37" s="1"/>
  <c r="AW50" i="2"/>
  <c r="AU50" i="2"/>
  <c r="AN50" i="2"/>
  <c r="AP50" i="2"/>
  <c r="AS50" i="2"/>
  <c r="AQ50" i="2"/>
  <c r="AT50" i="2"/>
  <c r="AR50" i="2"/>
  <c r="AM50" i="2"/>
  <c r="AV50" i="2"/>
  <c r="J84" i="34"/>
  <c r="AP58" i="2"/>
  <c r="AL58" i="2"/>
  <c r="AV58" i="2"/>
  <c r="AQ58" i="2"/>
  <c r="AT58" i="2"/>
  <c r="AR58" i="2"/>
  <c r="AM58" i="2"/>
  <c r="AS58" i="2"/>
  <c r="AU58" i="2"/>
  <c r="AN58" i="2"/>
  <c r="AO58" i="2"/>
  <c r="AW58" i="2"/>
  <c r="N27" i="34"/>
  <c r="N26" i="34"/>
  <c r="I19" i="34"/>
  <c r="N24" i="34"/>
  <c r="N17" i="34"/>
  <c r="N30" i="34"/>
  <c r="N37" i="34"/>
  <c r="N14" i="34"/>
  <c r="N5" i="34"/>
  <c r="N13" i="34"/>
  <c r="O20" i="34"/>
  <c r="N8" i="34"/>
  <c r="O11" i="34"/>
  <c r="N16" i="34"/>
  <c r="O24" i="34"/>
  <c r="J29" i="34"/>
  <c r="O29" i="34" s="1"/>
  <c r="O15" i="34"/>
  <c r="N31" i="34"/>
  <c r="N28" i="34"/>
  <c r="N81" i="34"/>
  <c r="J12" i="34"/>
  <c r="O12" i="34" s="1"/>
  <c r="O14" i="34"/>
  <c r="N11" i="34"/>
  <c r="O27" i="34"/>
  <c r="J81" i="34"/>
  <c r="N10" i="34"/>
  <c r="O30" i="34"/>
  <c r="N23" i="34"/>
  <c r="I75" i="34"/>
  <c r="AT23" i="2"/>
  <c r="AS23" i="2"/>
  <c r="AM23" i="2"/>
  <c r="AU23" i="2"/>
  <c r="AL23" i="2"/>
  <c r="AN23" i="2"/>
  <c r="AV23" i="2"/>
  <c r="AP23" i="2"/>
  <c r="AQ23" i="2"/>
  <c r="AR23" i="2"/>
  <c r="AO23" i="2"/>
  <c r="E19" i="37" s="1"/>
  <c r="AW23" i="2"/>
  <c r="N18" i="34"/>
  <c r="O8" i="34"/>
  <c r="N9" i="34"/>
  <c r="M19" i="34"/>
  <c r="N25" i="34"/>
  <c r="O73" i="34"/>
  <c r="N7" i="34"/>
  <c r="O25" i="34"/>
  <c r="N73" i="34"/>
  <c r="N75" i="34" s="1"/>
  <c r="M36" i="34"/>
  <c r="O37" i="34"/>
  <c r="O26" i="34"/>
  <c r="O23" i="34"/>
  <c r="O28" i="34"/>
  <c r="N20" i="34"/>
  <c r="N15" i="34"/>
  <c r="N6" i="34"/>
  <c r="O16" i="34"/>
  <c r="O7" i="34"/>
  <c r="O13" i="34"/>
  <c r="O18" i="34"/>
  <c r="O10" i="34"/>
  <c r="N4" i="34"/>
  <c r="I86" i="34"/>
  <c r="J85" i="34"/>
  <c r="O77" i="34"/>
  <c r="N77" i="34"/>
  <c r="H6" i="37" l="1"/>
  <c r="I6" i="37"/>
  <c r="I9" i="37"/>
  <c r="H9" i="37"/>
  <c r="AX58" i="2"/>
  <c r="AY58" i="2" s="1"/>
  <c r="AT43" i="2"/>
  <c r="AM43" i="2"/>
  <c r="AU43" i="2"/>
  <c r="AP43" i="2"/>
  <c r="AL43" i="2"/>
  <c r="H14" i="37" s="1"/>
  <c r="AN43" i="2"/>
  <c r="AV43" i="2"/>
  <c r="AO43" i="2"/>
  <c r="E18" i="37" s="1"/>
  <c r="AW43" i="2"/>
  <c r="AQ43" i="2"/>
  <c r="AR43" i="2"/>
  <c r="AS43" i="2"/>
  <c r="AL50" i="2"/>
  <c r="AX57" i="2"/>
  <c r="AY57" i="2" s="1"/>
  <c r="AX23" i="2"/>
  <c r="AY23" i="2" s="1"/>
  <c r="AX45" i="2"/>
  <c r="AY45" i="2" s="1"/>
  <c r="J86" i="34"/>
  <c r="AL44" i="2"/>
  <c r="X9" i="37"/>
  <c r="N19" i="34"/>
  <c r="O81" i="34"/>
  <c r="I18" i="37" l="1"/>
  <c r="H18" i="37"/>
  <c r="X18" i="37"/>
  <c r="AX50" i="2"/>
  <c r="AY50" i="2" s="1"/>
  <c r="BA50" i="2" s="1"/>
  <c r="BA58" i="2"/>
  <c r="BB58" i="2"/>
  <c r="BC58" i="2"/>
  <c r="BD58" i="2"/>
  <c r="BA45" i="2"/>
  <c r="BB45" i="2"/>
  <c r="BC45" i="2"/>
  <c r="BD45" i="2"/>
  <c r="BB23" i="2"/>
  <c r="BC23" i="2"/>
  <c r="BD23" i="2"/>
  <c r="BA23" i="2"/>
  <c r="BB57" i="2"/>
  <c r="BD57" i="2"/>
  <c r="BA57" i="2"/>
  <c r="BC57" i="2"/>
  <c r="I19" i="37"/>
  <c r="H19" i="37"/>
  <c r="I15" i="37"/>
  <c r="H15" i="37"/>
  <c r="AX44" i="2"/>
  <c r="AY44" i="2" s="1"/>
  <c r="I14" i="37"/>
  <c r="X14" i="37"/>
  <c r="AX43" i="2"/>
  <c r="AY43" i="2" s="1"/>
  <c r="BD50" i="2" l="1"/>
  <c r="BC50" i="2"/>
  <c r="BB50" i="2"/>
  <c r="BD44" i="2"/>
  <c r="BA44" i="2"/>
  <c r="BC44" i="2"/>
  <c r="BB44" i="2"/>
  <c r="BA43" i="2"/>
  <c r="BC43" i="2"/>
  <c r="BB43" i="2"/>
  <c r="BD43" i="2"/>
  <c r="I71" i="34"/>
  <c r="I56" i="34"/>
  <c r="I57" i="34"/>
  <c r="I58" i="34"/>
  <c r="I59" i="34"/>
  <c r="I60" i="34"/>
  <c r="I61" i="34"/>
  <c r="I62" i="34"/>
  <c r="I63" i="34"/>
  <c r="I64" i="34"/>
  <c r="I65" i="34"/>
  <c r="I66" i="34"/>
  <c r="I67" i="34"/>
  <c r="I51" i="34"/>
  <c r="I48" i="34"/>
  <c r="I49" i="34"/>
  <c r="I33" i="34"/>
  <c r="N33" i="34" s="1"/>
  <c r="N36" i="34" s="1"/>
  <c r="AP42" i="2" l="1"/>
  <c r="AM42" i="2"/>
  <c r="AV42" i="2"/>
  <c r="AQ42" i="2"/>
  <c r="AL42" i="2"/>
  <c r="AT42" i="2"/>
  <c r="AN42" i="2"/>
  <c r="AR42" i="2"/>
  <c r="AU42" i="2"/>
  <c r="AO42" i="2"/>
  <c r="E21" i="37" s="1"/>
  <c r="AS42" i="2"/>
  <c r="AW42" i="2"/>
  <c r="AS59" i="2"/>
  <c r="AL59" i="2"/>
  <c r="AO59" i="2"/>
  <c r="AT59" i="2"/>
  <c r="AP59" i="2"/>
  <c r="AR59" i="2"/>
  <c r="AM59" i="2"/>
  <c r="AU59" i="2"/>
  <c r="AW59" i="2"/>
  <c r="AQ59" i="2"/>
  <c r="AN59" i="2"/>
  <c r="AV59" i="2"/>
  <c r="AQ47" i="2"/>
  <c r="AR47" i="2"/>
  <c r="AM47" i="2"/>
  <c r="AU47" i="2"/>
  <c r="AS47" i="2"/>
  <c r="AT47" i="2"/>
  <c r="AN47" i="2"/>
  <c r="AV47" i="2"/>
  <c r="AL47" i="2"/>
  <c r="AO47" i="2"/>
  <c r="AW47" i="2"/>
  <c r="AP47" i="2"/>
  <c r="J71" i="34"/>
  <c r="O71" i="34" s="1"/>
  <c r="N71" i="34"/>
  <c r="J48" i="34"/>
  <c r="I50" i="34"/>
  <c r="N48" i="34"/>
  <c r="I21" i="37" l="1"/>
  <c r="H21" i="37"/>
  <c r="H13" i="37"/>
  <c r="AX59" i="2"/>
  <c r="AY59" i="2" s="1"/>
  <c r="AX42" i="2"/>
  <c r="AY42" i="2" s="1"/>
  <c r="AX47" i="2"/>
  <c r="AY47" i="2" s="1"/>
  <c r="O48" i="34"/>
  <c r="BD42" i="2" l="1"/>
  <c r="BA42" i="2"/>
  <c r="BC42" i="2"/>
  <c r="BB42" i="2"/>
  <c r="BC59" i="2"/>
  <c r="BD59" i="2"/>
  <c r="BA59" i="2"/>
  <c r="BB59" i="2"/>
  <c r="BB47" i="2"/>
  <c r="BA47" i="2"/>
  <c r="BD47" i="2"/>
  <c r="BC47" i="2"/>
  <c r="I13" i="37"/>
  <c r="X13" i="37"/>
  <c r="H125" i="14"/>
  <c r="Q125" i="14" s="1"/>
  <c r="Q106" i="14"/>
  <c r="P43" i="16"/>
  <c r="C56" i="24"/>
  <c r="D56" i="24"/>
  <c r="E56" i="24"/>
  <c r="F56" i="24"/>
  <c r="G56" i="24"/>
  <c r="H56" i="24"/>
  <c r="I56" i="24"/>
  <c r="J56" i="24"/>
  <c r="K56" i="24"/>
  <c r="L56" i="24"/>
  <c r="M56" i="24"/>
  <c r="B56" i="24"/>
  <c r="Q108" i="14"/>
  <c r="Q107" i="14"/>
  <c r="P45" i="16" l="1"/>
  <c r="O49" i="16" l="1"/>
  <c r="O52" i="16" s="1"/>
  <c r="N49" i="16"/>
  <c r="N52" i="16" s="1"/>
  <c r="M49" i="16"/>
  <c r="M52" i="16" s="1"/>
  <c r="L49" i="16"/>
  <c r="L52" i="16" s="1"/>
  <c r="K49" i="16"/>
  <c r="K52" i="16" s="1"/>
  <c r="J49" i="16"/>
  <c r="J52" i="16" s="1"/>
  <c r="I49" i="16"/>
  <c r="I52" i="16" s="1"/>
  <c r="H49" i="16"/>
  <c r="H52" i="16" s="1"/>
  <c r="G49" i="16"/>
  <c r="G52" i="16" s="1"/>
  <c r="F49" i="16"/>
  <c r="F52" i="16" s="1"/>
  <c r="P47" i="16"/>
  <c r="E23" i="16"/>
  <c r="G57" i="38" l="1"/>
  <c r="E57" i="38"/>
  <c r="C57" i="38"/>
  <c r="F57" i="38"/>
  <c r="D57" i="38"/>
  <c r="H57" i="38"/>
  <c r="I57" i="38"/>
  <c r="B57" i="38"/>
  <c r="K57" i="38"/>
  <c r="J57" i="38"/>
  <c r="M57" i="38"/>
  <c r="L57" i="38"/>
  <c r="P48" i="16"/>
  <c r="P49" i="16"/>
  <c r="D76" i="14"/>
  <c r="G76" i="14" l="1"/>
  <c r="H76" i="14"/>
  <c r="F76" i="14"/>
  <c r="E76" i="14"/>
  <c r="D58" i="38"/>
  <c r="D62" i="38"/>
  <c r="I62" i="38"/>
  <c r="I58" i="38"/>
  <c r="K62" i="38"/>
  <c r="K58" i="38"/>
  <c r="H58" i="38"/>
  <c r="H62" i="38"/>
  <c r="F58" i="38"/>
  <c r="F62" i="38"/>
  <c r="C62" i="38"/>
  <c r="C58" i="38"/>
  <c r="J62" i="38"/>
  <c r="J58" i="38"/>
  <c r="E62" i="38"/>
  <c r="E58" i="38"/>
  <c r="L62" i="38"/>
  <c r="L58" i="38"/>
  <c r="M62" i="38"/>
  <c r="M58" i="38"/>
  <c r="G58" i="38"/>
  <c r="G62" i="38"/>
  <c r="B58" i="38"/>
  <c r="N57" i="38"/>
  <c r="B62" i="38"/>
  <c r="B57" i="24"/>
  <c r="B58" i="24" s="1"/>
  <c r="I57" i="24"/>
  <c r="I58" i="24" s="1"/>
  <c r="H57" i="24"/>
  <c r="H58" i="24" s="1"/>
  <c r="D57" i="24"/>
  <c r="D58" i="24" s="1"/>
  <c r="L57" i="24"/>
  <c r="L58" i="24" s="1"/>
  <c r="F57" i="24"/>
  <c r="F58" i="24" s="1"/>
  <c r="M57" i="24"/>
  <c r="M58" i="24" s="1"/>
  <c r="C57" i="24"/>
  <c r="C58" i="24" s="1"/>
  <c r="J57" i="24"/>
  <c r="J58" i="24" s="1"/>
  <c r="E57" i="24"/>
  <c r="E58" i="24" s="1"/>
  <c r="K57" i="24"/>
  <c r="K58" i="24" s="1"/>
  <c r="G57" i="24"/>
  <c r="G58" i="24" s="1"/>
  <c r="F72" i="14"/>
  <c r="G72" i="14"/>
  <c r="H72" i="14"/>
  <c r="F73" i="14"/>
  <c r="G73" i="14"/>
  <c r="H73" i="14"/>
  <c r="E73" i="14"/>
  <c r="E72" i="14"/>
  <c r="F66" i="14"/>
  <c r="G66" i="14"/>
  <c r="H66" i="14"/>
  <c r="I66" i="14"/>
  <c r="J66" i="14"/>
  <c r="K66" i="14"/>
  <c r="L66" i="14"/>
  <c r="M66" i="14"/>
  <c r="N66" i="14"/>
  <c r="O66" i="14"/>
  <c r="P66" i="14"/>
  <c r="E66" i="14"/>
  <c r="F61" i="14"/>
  <c r="G61" i="14"/>
  <c r="H61" i="14"/>
  <c r="I61" i="14"/>
  <c r="J61" i="14"/>
  <c r="K61" i="14"/>
  <c r="L61" i="14"/>
  <c r="M61" i="14"/>
  <c r="N61" i="14"/>
  <c r="O61" i="14"/>
  <c r="P61" i="14"/>
  <c r="E61" i="14"/>
  <c r="F59" i="14"/>
  <c r="G59" i="14"/>
  <c r="H59" i="14"/>
  <c r="I59" i="14"/>
  <c r="J59" i="14"/>
  <c r="K59" i="14"/>
  <c r="L59" i="14"/>
  <c r="M59" i="14"/>
  <c r="N59" i="14"/>
  <c r="O59" i="14"/>
  <c r="P59" i="14"/>
  <c r="E59" i="14"/>
  <c r="F5" i="14"/>
  <c r="G5" i="14"/>
  <c r="H5" i="14"/>
  <c r="I5" i="14"/>
  <c r="J5" i="14"/>
  <c r="K5" i="14"/>
  <c r="L5" i="14"/>
  <c r="M5" i="14"/>
  <c r="N5" i="14"/>
  <c r="O5" i="14"/>
  <c r="P5" i="14"/>
  <c r="E5" i="14"/>
  <c r="N62" i="38" l="1"/>
  <c r="N58" i="38"/>
  <c r="N57" i="24"/>
  <c r="Q76" i="14" l="1"/>
  <c r="I22" i="34"/>
  <c r="N22" i="34" s="1"/>
  <c r="F20" i="16" l="1"/>
  <c r="G20" i="16"/>
  <c r="H20" i="16"/>
  <c r="I20" i="16"/>
  <c r="J20" i="16"/>
  <c r="K20" i="16"/>
  <c r="L20" i="16"/>
  <c r="M20" i="16"/>
  <c r="N20" i="16"/>
  <c r="O20" i="16"/>
  <c r="F99" i="14"/>
  <c r="D11" i="16"/>
  <c r="E11" i="16"/>
  <c r="F11" i="16"/>
  <c r="G11" i="16"/>
  <c r="H11" i="16"/>
  <c r="I11" i="16"/>
  <c r="J11" i="16"/>
  <c r="K11" i="16"/>
  <c r="L11" i="16"/>
  <c r="M11" i="16"/>
  <c r="N11" i="16"/>
  <c r="O11" i="16"/>
  <c r="P11" i="16" l="1"/>
  <c r="P88" i="14" l="1"/>
  <c r="O88" i="14"/>
  <c r="N88" i="14"/>
  <c r="M88" i="14"/>
  <c r="L88" i="14"/>
  <c r="K88" i="14"/>
  <c r="J88" i="14"/>
  <c r="I88" i="14"/>
  <c r="H88" i="14"/>
  <c r="G88" i="14"/>
  <c r="F88" i="14"/>
  <c r="E88" i="14"/>
  <c r="I68" i="24" l="1"/>
  <c r="F68" i="24"/>
  <c r="H68" i="24"/>
  <c r="J68" i="24"/>
  <c r="L68" i="24"/>
  <c r="G68" i="24"/>
  <c r="B68" i="24"/>
  <c r="C68" i="24"/>
  <c r="K68" i="24"/>
  <c r="D68" i="24"/>
  <c r="E68" i="24"/>
  <c r="M68" i="24"/>
  <c r="Q88" i="14"/>
  <c r="BM58" i="2"/>
  <c r="BL58" i="2"/>
  <c r="BM81" i="2"/>
  <c r="BL81" i="2"/>
  <c r="BN80" i="2"/>
  <c r="BN79" i="2"/>
  <c r="BN78" i="2"/>
  <c r="BN77" i="2"/>
  <c r="BN76" i="2"/>
  <c r="BN75" i="2"/>
  <c r="BN74" i="2"/>
  <c r="BN73" i="2"/>
  <c r="BN72" i="2"/>
  <c r="BN71" i="2"/>
  <c r="BN70" i="2"/>
  <c r="BN69" i="2"/>
  <c r="BN68" i="2"/>
  <c r="BN67" i="2"/>
  <c r="BN66" i="2"/>
  <c r="BN65" i="2"/>
  <c r="BN64" i="2"/>
  <c r="BN63" i="2"/>
  <c r="BN62" i="2"/>
  <c r="BN61" i="2"/>
  <c r="BN47" i="2"/>
  <c r="BN48" i="2"/>
  <c r="BN49" i="2"/>
  <c r="BN50" i="2"/>
  <c r="BN51" i="2"/>
  <c r="BN52" i="2"/>
  <c r="BN53" i="2"/>
  <c r="BN57" i="2"/>
  <c r="BM2" i="2"/>
  <c r="AJ7" i="2"/>
  <c r="AJ8" i="2"/>
  <c r="AJ9" i="2"/>
  <c r="AJ10" i="2"/>
  <c r="AJ11" i="2"/>
  <c r="AJ12" i="2"/>
  <c r="AJ13" i="2"/>
  <c r="AJ14" i="2"/>
  <c r="AJ15" i="2"/>
  <c r="AJ16" i="2"/>
  <c r="AJ17" i="2"/>
  <c r="AJ18" i="2"/>
  <c r="AJ23" i="2"/>
  <c r="BM10" i="2" s="1"/>
  <c r="AJ25" i="2"/>
  <c r="AJ26" i="2"/>
  <c r="AJ27" i="2"/>
  <c r="AJ28" i="2"/>
  <c r="AJ29" i="2"/>
  <c r="AJ30" i="2"/>
  <c r="AJ31" i="2"/>
  <c r="AJ32" i="2"/>
  <c r="AJ33" i="2"/>
  <c r="AJ34" i="2"/>
  <c r="AJ35" i="2"/>
  <c r="AJ39" i="2"/>
  <c r="AJ40" i="2"/>
  <c r="AJ41" i="2"/>
  <c r="AJ42" i="2"/>
  <c r="AJ43" i="2"/>
  <c r="BM16" i="2" s="1"/>
  <c r="AJ44" i="2"/>
  <c r="AJ45" i="2"/>
  <c r="AJ47" i="2"/>
  <c r="AJ48" i="2"/>
  <c r="BM21" i="2" s="1"/>
  <c r="AJ49" i="2"/>
  <c r="BM22" i="2" s="1"/>
  <c r="AJ50" i="2"/>
  <c r="BM23" i="2" s="1"/>
  <c r="AJ51" i="2"/>
  <c r="BM24" i="2" s="1"/>
  <c r="AJ52" i="2"/>
  <c r="AJ53" i="2"/>
  <c r="AJ57" i="2"/>
  <c r="AJ58" i="2"/>
  <c r="AJ59" i="2"/>
  <c r="AJ60" i="2"/>
  <c r="BM27" i="2" s="1"/>
  <c r="J60" i="2"/>
  <c r="K60" i="2" s="1"/>
  <c r="L60" i="2" s="1"/>
  <c r="M60" i="2" s="1"/>
  <c r="N60" i="2" s="1"/>
  <c r="O60" i="2" s="1"/>
  <c r="P60" i="2" s="1"/>
  <c r="Q60" i="2" s="1"/>
  <c r="R60" i="2" s="1"/>
  <c r="S60" i="2" s="1"/>
  <c r="T60" i="2" s="1"/>
  <c r="U60" i="2" s="1"/>
  <c r="U61" i="2" s="1"/>
  <c r="AH58" i="32"/>
  <c r="AH57" i="32"/>
  <c r="AH56" i="32"/>
  <c r="AH55" i="32"/>
  <c r="AH52" i="32"/>
  <c r="AH50" i="32"/>
  <c r="AH49" i="32"/>
  <c r="AH48" i="32"/>
  <c r="AH47" i="32"/>
  <c r="AH46" i="32"/>
  <c r="AH45" i="32"/>
  <c r="AH44" i="32"/>
  <c r="AH43" i="32"/>
  <c r="AH42" i="32"/>
  <c r="AH41" i="32"/>
  <c r="AH40" i="32"/>
  <c r="AH39" i="32"/>
  <c r="AH38" i="32"/>
  <c r="AH37" i="32"/>
  <c r="AH33" i="32"/>
  <c r="AH32" i="32"/>
  <c r="AH31" i="32"/>
  <c r="AH30" i="32"/>
  <c r="AH29" i="32"/>
  <c r="AH28" i="32"/>
  <c r="AH27" i="32"/>
  <c r="AH26" i="32"/>
  <c r="AH25" i="32"/>
  <c r="AH24" i="32"/>
  <c r="AH23" i="32"/>
  <c r="AH22" i="32"/>
  <c r="AH21" i="32"/>
  <c r="AH20" i="32"/>
  <c r="AH19" i="32"/>
  <c r="AH16" i="32"/>
  <c r="AH15" i="32"/>
  <c r="AH14" i="32"/>
  <c r="AH13" i="32"/>
  <c r="AH12" i="32"/>
  <c r="AH11" i="32"/>
  <c r="AH10" i="32"/>
  <c r="AH9" i="32"/>
  <c r="AH8" i="32"/>
  <c r="AH7" i="32"/>
  <c r="AH6" i="32"/>
  <c r="AH5" i="32"/>
  <c r="AH4" i="32"/>
  <c r="L50" i="32"/>
  <c r="L52" i="32"/>
  <c r="AI58" i="32"/>
  <c r="AI57" i="32"/>
  <c r="BN58" i="2" l="1"/>
  <c r="BN81" i="2"/>
  <c r="BM15" i="2"/>
  <c r="BM25" i="2"/>
  <c r="BM17" i="2"/>
  <c r="BM7" i="2"/>
  <c r="BM14" i="2"/>
  <c r="BM26" i="2"/>
  <c r="BM13" i="2"/>
  <c r="N68" i="38"/>
  <c r="T61" i="2"/>
  <c r="L61" i="2"/>
  <c r="AH59" i="32"/>
  <c r="S61" i="2"/>
  <c r="K61" i="2"/>
  <c r="R61" i="2"/>
  <c r="Q61" i="2"/>
  <c r="P61" i="2"/>
  <c r="J61" i="2"/>
  <c r="O61" i="2"/>
  <c r="N61" i="2"/>
  <c r="M61" i="2"/>
  <c r="V57" i="2"/>
  <c r="V60" i="2"/>
  <c r="BL27" i="2" s="1"/>
  <c r="BN27" i="2" s="1"/>
  <c r="V53" i="2"/>
  <c r="V58" i="2" l="1"/>
  <c r="BL26" i="2" s="1"/>
  <c r="BN26" i="2" s="1"/>
  <c r="V59" i="2"/>
  <c r="V52" i="2"/>
  <c r="BL25" i="2" s="1"/>
  <c r="BN25" i="2" s="1"/>
  <c r="V51" i="2"/>
  <c r="BL24" i="2" s="1"/>
  <c r="BN24" i="2" s="1"/>
  <c r="I15" i="14" l="1"/>
  <c r="D38" i="16"/>
  <c r="O57" i="16"/>
  <c r="N57" i="16"/>
  <c r="L57" i="16"/>
  <c r="K57" i="16"/>
  <c r="J57" i="16"/>
  <c r="I57" i="16"/>
  <c r="M57" i="16"/>
  <c r="H57" i="16"/>
  <c r="G57" i="16"/>
  <c r="F57" i="16"/>
  <c r="E57" i="16"/>
  <c r="D84" i="16"/>
  <c r="O8" i="16" l="1"/>
  <c r="N8" i="16"/>
  <c r="M8" i="16"/>
  <c r="L8" i="16"/>
  <c r="K8" i="16"/>
  <c r="J8" i="16"/>
  <c r="I8" i="16"/>
  <c r="H8" i="16"/>
  <c r="G8" i="16"/>
  <c r="F8" i="16"/>
  <c r="E8" i="16"/>
  <c r="D8" i="16"/>
  <c r="I46" i="14"/>
  <c r="H46" i="14"/>
  <c r="G46" i="14"/>
  <c r="F46" i="14"/>
  <c r="E46" i="14"/>
  <c r="D18" i="14"/>
  <c r="P18" i="14" s="1"/>
  <c r="D17" i="14"/>
  <c r="P17" i="14" s="1"/>
  <c r="P39" i="14"/>
  <c r="O39" i="14"/>
  <c r="N39" i="14"/>
  <c r="M39" i="14"/>
  <c r="L39" i="14"/>
  <c r="K39" i="14"/>
  <c r="P23" i="14" l="1"/>
  <c r="P22" i="14"/>
  <c r="I30" i="24"/>
  <c r="I30" i="38"/>
  <c r="H30" i="24"/>
  <c r="H30" i="38"/>
  <c r="J30" i="24"/>
  <c r="J30" i="38"/>
  <c r="F30" i="24"/>
  <c r="F30" i="38"/>
  <c r="G30" i="24"/>
  <c r="G30" i="38"/>
  <c r="B30" i="24"/>
  <c r="B30" i="38"/>
  <c r="C30" i="24"/>
  <c r="C30" i="38"/>
  <c r="K30" i="24"/>
  <c r="K30" i="38"/>
  <c r="D30" i="24"/>
  <c r="D30" i="38"/>
  <c r="L30" i="24"/>
  <c r="L30" i="38"/>
  <c r="E30" i="24"/>
  <c r="E30" i="38"/>
  <c r="M30" i="24"/>
  <c r="M30" i="38"/>
  <c r="Q46" i="14"/>
  <c r="E17" i="14"/>
  <c r="P8" i="16"/>
  <c r="J17" i="14"/>
  <c r="M17" i="14"/>
  <c r="F18" i="14"/>
  <c r="G18" i="14"/>
  <c r="M18" i="14"/>
  <c r="F17" i="14"/>
  <c r="N17" i="14"/>
  <c r="I18" i="14"/>
  <c r="N18" i="14"/>
  <c r="K18" i="14"/>
  <c r="I17" i="14"/>
  <c r="E18" i="14"/>
  <c r="J18" i="14"/>
  <c r="O18" i="14"/>
  <c r="G17" i="14"/>
  <c r="K17" i="14"/>
  <c r="O17" i="14"/>
  <c r="H17" i="14"/>
  <c r="L17" i="14"/>
  <c r="H18" i="14"/>
  <c r="L18" i="14"/>
  <c r="K98" i="16"/>
  <c r="K23" i="14" l="1"/>
  <c r="K22" i="14"/>
  <c r="H23" i="14"/>
  <c r="H22" i="14"/>
  <c r="J23" i="14"/>
  <c r="J22" i="14"/>
  <c r="M22" i="14"/>
  <c r="M23" i="14"/>
  <c r="G22" i="14"/>
  <c r="G23" i="14"/>
  <c r="F22" i="14"/>
  <c r="F23" i="14"/>
  <c r="O22" i="14"/>
  <c r="O23" i="14"/>
  <c r="N22" i="14"/>
  <c r="N23" i="14"/>
  <c r="E23" i="14"/>
  <c r="E22" i="14"/>
  <c r="L23" i="14"/>
  <c r="L22" i="14"/>
  <c r="I23" i="14"/>
  <c r="I22" i="14"/>
  <c r="N30" i="38"/>
  <c r="Q18" i="14"/>
  <c r="Q17" i="14"/>
  <c r="E84" i="16"/>
  <c r="P84" i="16" s="1"/>
  <c r="D94" i="16"/>
  <c r="E94" i="16"/>
  <c r="F94" i="16"/>
  <c r="G94" i="16"/>
  <c r="H94" i="16"/>
  <c r="I94" i="16"/>
  <c r="J94" i="16"/>
  <c r="K94" i="16"/>
  <c r="L94" i="16"/>
  <c r="M94" i="16"/>
  <c r="N94" i="16"/>
  <c r="O94" i="16"/>
  <c r="J98" i="16"/>
  <c r="I98" i="16"/>
  <c r="H98" i="16"/>
  <c r="G98" i="16"/>
  <c r="F98" i="16"/>
  <c r="E98" i="16"/>
  <c r="D98" i="16"/>
  <c r="O96" i="16"/>
  <c r="N96" i="16"/>
  <c r="M96" i="16"/>
  <c r="L96" i="16"/>
  <c r="K96" i="16"/>
  <c r="J96" i="16"/>
  <c r="I96" i="16"/>
  <c r="H96" i="16"/>
  <c r="G96" i="16"/>
  <c r="F96" i="16"/>
  <c r="E96" i="16"/>
  <c r="D96" i="16"/>
  <c r="O89" i="16"/>
  <c r="N89" i="16"/>
  <c r="M89" i="16"/>
  <c r="L89" i="16"/>
  <c r="K89" i="16"/>
  <c r="J89" i="16"/>
  <c r="I89" i="16"/>
  <c r="H89" i="16"/>
  <c r="G89" i="16"/>
  <c r="F89" i="16"/>
  <c r="E89" i="16"/>
  <c r="D89" i="16"/>
  <c r="O87" i="16"/>
  <c r="N87" i="16"/>
  <c r="M87" i="16"/>
  <c r="L87" i="16"/>
  <c r="K87" i="16"/>
  <c r="J87" i="16"/>
  <c r="I87" i="16"/>
  <c r="H87" i="16"/>
  <c r="G87" i="16"/>
  <c r="F87" i="16"/>
  <c r="E87" i="16"/>
  <c r="D87" i="16"/>
  <c r="O85" i="16"/>
  <c r="N85" i="16"/>
  <c r="M85" i="16"/>
  <c r="L85" i="16"/>
  <c r="K85" i="16"/>
  <c r="J85" i="16"/>
  <c r="I85" i="16"/>
  <c r="H85" i="16"/>
  <c r="G85" i="16"/>
  <c r="F85" i="16"/>
  <c r="E85" i="16"/>
  <c r="D85" i="16"/>
  <c r="O82" i="16"/>
  <c r="N82" i="16"/>
  <c r="M82" i="16"/>
  <c r="L82" i="16"/>
  <c r="K82" i="16"/>
  <c r="J82" i="16"/>
  <c r="I82" i="16"/>
  <c r="H82" i="16"/>
  <c r="G82" i="16"/>
  <c r="F82" i="16"/>
  <c r="E82" i="16"/>
  <c r="D82" i="16"/>
  <c r="D80" i="16"/>
  <c r="P80" i="16" s="1"/>
  <c r="D71" i="16"/>
  <c r="E71" i="16"/>
  <c r="F71" i="16"/>
  <c r="G71" i="16"/>
  <c r="H71" i="16"/>
  <c r="I71" i="16"/>
  <c r="J71" i="16"/>
  <c r="K71" i="16"/>
  <c r="L71" i="16"/>
  <c r="M71" i="16"/>
  <c r="N71" i="16"/>
  <c r="O71" i="16"/>
  <c r="D72" i="16"/>
  <c r="E72" i="16"/>
  <c r="F72" i="16"/>
  <c r="G72" i="16"/>
  <c r="H72" i="16"/>
  <c r="I72" i="16"/>
  <c r="J72" i="16"/>
  <c r="K72" i="16"/>
  <c r="L72" i="16"/>
  <c r="M72" i="16"/>
  <c r="N72" i="16"/>
  <c r="O72" i="16"/>
  <c r="D73" i="16"/>
  <c r="E73" i="16"/>
  <c r="F73" i="16"/>
  <c r="G73" i="16"/>
  <c r="H73" i="16"/>
  <c r="I73" i="16"/>
  <c r="J73" i="16"/>
  <c r="K73" i="16"/>
  <c r="L73" i="16"/>
  <c r="M73" i="16"/>
  <c r="N73" i="16"/>
  <c r="O73" i="16"/>
  <c r="I74" i="16"/>
  <c r="J74" i="16"/>
  <c r="K74" i="16"/>
  <c r="L74" i="16"/>
  <c r="M74" i="16"/>
  <c r="N74" i="16"/>
  <c r="O74" i="16"/>
  <c r="D75" i="16"/>
  <c r="E75" i="16"/>
  <c r="F75" i="16"/>
  <c r="G75" i="16"/>
  <c r="H75" i="16"/>
  <c r="I75" i="16"/>
  <c r="J75" i="16"/>
  <c r="K75" i="16"/>
  <c r="L75" i="16"/>
  <c r="M75" i="16"/>
  <c r="N75" i="16"/>
  <c r="O75" i="16"/>
  <c r="D76" i="16"/>
  <c r="E76" i="16"/>
  <c r="F76" i="16"/>
  <c r="G76" i="16"/>
  <c r="H76" i="16"/>
  <c r="I76" i="16"/>
  <c r="J76" i="16"/>
  <c r="K76" i="16"/>
  <c r="L76" i="16"/>
  <c r="M76" i="16"/>
  <c r="N76" i="16"/>
  <c r="O76" i="16"/>
  <c r="D77" i="16"/>
  <c r="E77" i="16"/>
  <c r="F77" i="16"/>
  <c r="G77" i="16"/>
  <c r="H77" i="16"/>
  <c r="I77" i="16"/>
  <c r="J77" i="16"/>
  <c r="K77" i="16"/>
  <c r="L77" i="16"/>
  <c r="M77" i="16"/>
  <c r="N77" i="16"/>
  <c r="O77" i="16"/>
  <c r="D78" i="16"/>
  <c r="E78" i="16"/>
  <c r="F78" i="16"/>
  <c r="G78" i="16"/>
  <c r="H78" i="16"/>
  <c r="I78" i="16"/>
  <c r="J78" i="16"/>
  <c r="K78" i="16"/>
  <c r="L78" i="16"/>
  <c r="M78" i="16"/>
  <c r="N78" i="16"/>
  <c r="O78" i="16"/>
  <c r="O70" i="16"/>
  <c r="N70" i="16"/>
  <c r="M70" i="16"/>
  <c r="L70" i="16"/>
  <c r="K70" i="16"/>
  <c r="J70" i="16"/>
  <c r="I70" i="16"/>
  <c r="H70" i="16"/>
  <c r="G70" i="16"/>
  <c r="F70" i="16"/>
  <c r="E70" i="16"/>
  <c r="D70" i="16"/>
  <c r="O69" i="16"/>
  <c r="N69" i="16"/>
  <c r="M69" i="16"/>
  <c r="L69" i="16"/>
  <c r="K69" i="16"/>
  <c r="J69" i="16"/>
  <c r="I69" i="16"/>
  <c r="H69" i="16"/>
  <c r="G69" i="16"/>
  <c r="F69" i="16"/>
  <c r="E69" i="16"/>
  <c r="O68" i="16"/>
  <c r="N68" i="16"/>
  <c r="M68" i="16"/>
  <c r="L68" i="16"/>
  <c r="K68" i="16"/>
  <c r="J68" i="16"/>
  <c r="I68" i="16"/>
  <c r="H68" i="16"/>
  <c r="G68" i="16"/>
  <c r="F68" i="16"/>
  <c r="E68" i="16"/>
  <c r="D68" i="16"/>
  <c r="O65" i="16"/>
  <c r="N65" i="16"/>
  <c r="M65" i="16"/>
  <c r="L65" i="16"/>
  <c r="K65" i="16"/>
  <c r="J65" i="16"/>
  <c r="I65" i="16"/>
  <c r="H65" i="16"/>
  <c r="G65" i="16"/>
  <c r="F65" i="16"/>
  <c r="E65" i="16"/>
  <c r="D65" i="16"/>
  <c r="D63" i="16"/>
  <c r="O56" i="16"/>
  <c r="O58" i="16" s="1"/>
  <c r="N56" i="16"/>
  <c r="N58" i="16" s="1"/>
  <c r="M56" i="16"/>
  <c r="M58" i="16" s="1"/>
  <c r="L56" i="16"/>
  <c r="L58" i="16" s="1"/>
  <c r="K56" i="16"/>
  <c r="K58" i="16" s="1"/>
  <c r="J56" i="16"/>
  <c r="J58" i="16" s="1"/>
  <c r="I56" i="16"/>
  <c r="I58" i="16" s="1"/>
  <c r="H56" i="16"/>
  <c r="H58" i="16" s="1"/>
  <c r="G56" i="16"/>
  <c r="G58" i="16" s="1"/>
  <c r="F56" i="16"/>
  <c r="F58" i="16" s="1"/>
  <c r="E56" i="16"/>
  <c r="E58" i="16" s="1"/>
  <c r="D58" i="16"/>
  <c r="D32" i="16"/>
  <c r="E32" i="16"/>
  <c r="F32" i="16"/>
  <c r="G32" i="16"/>
  <c r="H32" i="16"/>
  <c r="I32" i="16"/>
  <c r="J32" i="16"/>
  <c r="K32" i="16"/>
  <c r="L32" i="16"/>
  <c r="M32" i="16"/>
  <c r="N32" i="16"/>
  <c r="O32" i="16"/>
  <c r="B75" i="24" l="1"/>
  <c r="B75" i="38"/>
  <c r="I75" i="24"/>
  <c r="I75" i="38"/>
  <c r="I81" i="38" s="1"/>
  <c r="J75" i="24"/>
  <c r="J75" i="38"/>
  <c r="J81" i="38" s="1"/>
  <c r="C75" i="24"/>
  <c r="C75" i="38"/>
  <c r="C81" i="38" s="1"/>
  <c r="K75" i="24"/>
  <c r="K75" i="38"/>
  <c r="K81" i="38" s="1"/>
  <c r="L75" i="24"/>
  <c r="L75" i="38"/>
  <c r="L81" i="38" s="1"/>
  <c r="M75" i="24"/>
  <c r="M75" i="38"/>
  <c r="M81" i="38" s="1"/>
  <c r="E75" i="24"/>
  <c r="E75" i="38"/>
  <c r="E81" i="38" s="1"/>
  <c r="F75" i="24"/>
  <c r="F75" i="38"/>
  <c r="F81" i="38" s="1"/>
  <c r="D75" i="24"/>
  <c r="D75" i="38"/>
  <c r="D81" i="38" s="1"/>
  <c r="G75" i="24"/>
  <c r="G75" i="38"/>
  <c r="G81" i="38" s="1"/>
  <c r="H75" i="24"/>
  <c r="H75" i="38"/>
  <c r="H81" i="38" s="1"/>
  <c r="G90" i="16"/>
  <c r="E77" i="38" s="1"/>
  <c r="P58" i="16"/>
  <c r="P82" i="16"/>
  <c r="P87" i="16"/>
  <c r="P78" i="16"/>
  <c r="P76" i="16"/>
  <c r="P74" i="16"/>
  <c r="P72" i="16"/>
  <c r="P68" i="16"/>
  <c r="P70" i="16"/>
  <c r="P85" i="16"/>
  <c r="P63" i="16"/>
  <c r="P77" i="16"/>
  <c r="P75" i="16"/>
  <c r="P73" i="16"/>
  <c r="P71" i="16"/>
  <c r="P65" i="16"/>
  <c r="P69" i="16"/>
  <c r="L99" i="16"/>
  <c r="J92" i="24" s="1"/>
  <c r="H99" i="16"/>
  <c r="F92" i="24" s="1"/>
  <c r="O99" i="16"/>
  <c r="M92" i="24" s="1"/>
  <c r="G99" i="16"/>
  <c r="E92" i="24" s="1"/>
  <c r="O90" i="16"/>
  <c r="M77" i="38" s="1"/>
  <c r="F90" i="16"/>
  <c r="D77" i="38" s="1"/>
  <c r="N90" i="16"/>
  <c r="L77" i="38" s="1"/>
  <c r="I99" i="16"/>
  <c r="G92" i="24" s="1"/>
  <c r="N99" i="16"/>
  <c r="L92" i="24" s="1"/>
  <c r="F99" i="16"/>
  <c r="D92" i="24" s="1"/>
  <c r="M99" i="16"/>
  <c r="K92" i="24" s="1"/>
  <c r="E99" i="16"/>
  <c r="C92" i="24" s="1"/>
  <c r="D99" i="16"/>
  <c r="B92" i="24" s="1"/>
  <c r="H90" i="16"/>
  <c r="F77" i="38" s="1"/>
  <c r="D90" i="16"/>
  <c r="B77" i="38" s="1"/>
  <c r="B78" i="38" s="1"/>
  <c r="K99" i="16"/>
  <c r="I92" i="24" s="1"/>
  <c r="J99" i="16"/>
  <c r="H92" i="24" s="1"/>
  <c r="I90" i="16"/>
  <c r="G77" i="38" s="1"/>
  <c r="J90" i="16"/>
  <c r="H77" i="38" s="1"/>
  <c r="K90" i="16"/>
  <c r="I77" i="38" s="1"/>
  <c r="L90" i="16"/>
  <c r="J77" i="38" s="1"/>
  <c r="E90" i="16"/>
  <c r="C77" i="38" s="1"/>
  <c r="M90" i="16"/>
  <c r="K77" i="38" s="1"/>
  <c r="K78" i="38" s="1"/>
  <c r="P52" i="16"/>
  <c r="Q23" i="14"/>
  <c r="Q22" i="14"/>
  <c r="P94" i="16"/>
  <c r="P89" i="16"/>
  <c r="P98" i="16"/>
  <c r="P96" i="16"/>
  <c r="P57" i="16"/>
  <c r="P56" i="16"/>
  <c r="P32" i="16"/>
  <c r="N92" i="24" l="1"/>
  <c r="E77" i="24"/>
  <c r="I78" i="38"/>
  <c r="J78" i="38"/>
  <c r="F78" i="38"/>
  <c r="L78" i="38"/>
  <c r="G78" i="38"/>
  <c r="M78" i="38"/>
  <c r="D78" i="38"/>
  <c r="H78" i="38"/>
  <c r="N75" i="38"/>
  <c r="B81" i="38"/>
  <c r="N81" i="38" s="1"/>
  <c r="E78" i="38"/>
  <c r="N77" i="38"/>
  <c r="C78" i="38"/>
  <c r="I77" i="24"/>
  <c r="H77" i="24"/>
  <c r="G77" i="24"/>
  <c r="K77" i="24"/>
  <c r="B77" i="24"/>
  <c r="L77" i="24"/>
  <c r="C77" i="24"/>
  <c r="F77" i="24"/>
  <c r="D77" i="24"/>
  <c r="J77" i="24"/>
  <c r="M77" i="24"/>
  <c r="P99" i="16"/>
  <c r="P90" i="16"/>
  <c r="D14" i="16"/>
  <c r="E14" i="16"/>
  <c r="F14" i="16"/>
  <c r="G14" i="16"/>
  <c r="H14" i="16"/>
  <c r="I14" i="16"/>
  <c r="J14" i="16"/>
  <c r="K14" i="16"/>
  <c r="L14" i="16"/>
  <c r="M14" i="16"/>
  <c r="N14" i="16"/>
  <c r="O14" i="16"/>
  <c r="D15" i="16"/>
  <c r="E15" i="16"/>
  <c r="F15" i="16"/>
  <c r="G15" i="16"/>
  <c r="H15" i="16"/>
  <c r="I15" i="16"/>
  <c r="J15" i="16"/>
  <c r="K15" i="16"/>
  <c r="L15" i="16"/>
  <c r="M15" i="16"/>
  <c r="N15" i="16"/>
  <c r="O15" i="16"/>
  <c r="D16" i="16"/>
  <c r="E16" i="16"/>
  <c r="F16" i="16"/>
  <c r="G16" i="16"/>
  <c r="H16" i="16"/>
  <c r="I16" i="16"/>
  <c r="J16" i="16"/>
  <c r="K16" i="16"/>
  <c r="L16" i="16"/>
  <c r="M16" i="16"/>
  <c r="N16" i="16"/>
  <c r="O16" i="16"/>
  <c r="D17" i="16"/>
  <c r="E17" i="16"/>
  <c r="F17" i="16"/>
  <c r="G17" i="16"/>
  <c r="H17" i="16"/>
  <c r="I17" i="16"/>
  <c r="J17" i="16"/>
  <c r="K17" i="16"/>
  <c r="L17" i="16"/>
  <c r="M17" i="16"/>
  <c r="N17" i="16"/>
  <c r="O17" i="16"/>
  <c r="D18" i="16"/>
  <c r="E18" i="16"/>
  <c r="F18" i="16"/>
  <c r="G18" i="16"/>
  <c r="H18" i="16"/>
  <c r="I18" i="16"/>
  <c r="J18" i="16"/>
  <c r="K18" i="16"/>
  <c r="L18" i="16"/>
  <c r="M18" i="16"/>
  <c r="N18" i="16"/>
  <c r="O18" i="16"/>
  <c r="D19" i="16"/>
  <c r="E19" i="16"/>
  <c r="F19" i="16"/>
  <c r="G19" i="16"/>
  <c r="H19" i="16"/>
  <c r="I19" i="16"/>
  <c r="J19" i="16"/>
  <c r="K19" i="16"/>
  <c r="L19" i="16"/>
  <c r="M19" i="16"/>
  <c r="N19" i="16"/>
  <c r="O19" i="16"/>
  <c r="D20" i="16"/>
  <c r="E20" i="16"/>
  <c r="D21" i="16"/>
  <c r="E21" i="16"/>
  <c r="F21" i="16"/>
  <c r="G21" i="16"/>
  <c r="H21" i="16"/>
  <c r="I21" i="16"/>
  <c r="J21" i="16"/>
  <c r="K21" i="16"/>
  <c r="L21" i="16"/>
  <c r="M21" i="16"/>
  <c r="N21" i="16"/>
  <c r="O21" i="16"/>
  <c r="D23" i="16"/>
  <c r="D26" i="16"/>
  <c r="E26" i="16"/>
  <c r="F26" i="16"/>
  <c r="G26" i="16"/>
  <c r="H26" i="16"/>
  <c r="I26" i="16"/>
  <c r="J26" i="16"/>
  <c r="K26" i="16"/>
  <c r="L26" i="16"/>
  <c r="M26" i="16"/>
  <c r="N26" i="16"/>
  <c r="O26" i="16"/>
  <c r="D28" i="16"/>
  <c r="E28" i="16"/>
  <c r="F28" i="16"/>
  <c r="G28" i="16"/>
  <c r="H28" i="16"/>
  <c r="I28" i="16"/>
  <c r="J28" i="16"/>
  <c r="K28" i="16"/>
  <c r="L28" i="16"/>
  <c r="M28" i="16"/>
  <c r="N28" i="16"/>
  <c r="O28" i="16"/>
  <c r="D29" i="16"/>
  <c r="E29" i="16"/>
  <c r="D30" i="16"/>
  <c r="E30" i="16"/>
  <c r="F30" i="16"/>
  <c r="G30" i="16"/>
  <c r="H30" i="16"/>
  <c r="I30" i="16"/>
  <c r="J30" i="16"/>
  <c r="K30" i="16"/>
  <c r="L30" i="16"/>
  <c r="M30" i="16"/>
  <c r="N30" i="16"/>
  <c r="O30" i="16"/>
  <c r="D33" i="16"/>
  <c r="E33" i="16"/>
  <c r="F33" i="16"/>
  <c r="G33" i="16"/>
  <c r="H33" i="16"/>
  <c r="I33" i="16"/>
  <c r="J33" i="16"/>
  <c r="K33" i="16"/>
  <c r="L33" i="16"/>
  <c r="M33" i="16"/>
  <c r="N33" i="16"/>
  <c r="O33" i="16"/>
  <c r="E38" i="16"/>
  <c r="F38" i="16"/>
  <c r="G38" i="16"/>
  <c r="H38" i="16"/>
  <c r="I38" i="16"/>
  <c r="J38" i="16"/>
  <c r="K38" i="16"/>
  <c r="L38" i="16"/>
  <c r="M38" i="16"/>
  <c r="N38" i="16"/>
  <c r="O38" i="16"/>
  <c r="D13" i="16"/>
  <c r="E13" i="16"/>
  <c r="F13" i="16"/>
  <c r="G13" i="16"/>
  <c r="H13" i="16"/>
  <c r="I13" i="16"/>
  <c r="J13" i="16"/>
  <c r="K13" i="16"/>
  <c r="L13" i="16"/>
  <c r="M13" i="16"/>
  <c r="N13" i="16"/>
  <c r="O13" i="16"/>
  <c r="P124" i="14"/>
  <c r="O124" i="14"/>
  <c r="N124" i="14"/>
  <c r="M124" i="14"/>
  <c r="L124" i="14"/>
  <c r="K124" i="14"/>
  <c r="J124" i="14"/>
  <c r="I124" i="14"/>
  <c r="H124" i="14"/>
  <c r="G124" i="14"/>
  <c r="F124" i="14"/>
  <c r="E124" i="14"/>
  <c r="F114" i="14"/>
  <c r="G114" i="14"/>
  <c r="H114" i="14"/>
  <c r="I114" i="14"/>
  <c r="J114" i="14"/>
  <c r="K114" i="14"/>
  <c r="L114" i="14"/>
  <c r="M114" i="14"/>
  <c r="N114" i="14"/>
  <c r="O114" i="14"/>
  <c r="P114" i="14"/>
  <c r="F115" i="14"/>
  <c r="G115" i="14"/>
  <c r="H115" i="14"/>
  <c r="I115" i="14"/>
  <c r="J115" i="14"/>
  <c r="K115" i="14"/>
  <c r="L115" i="14"/>
  <c r="M115" i="14"/>
  <c r="N115" i="14"/>
  <c r="O115" i="14"/>
  <c r="P115" i="14"/>
  <c r="F117" i="14"/>
  <c r="G117" i="14"/>
  <c r="H117" i="14"/>
  <c r="I117" i="14"/>
  <c r="J117" i="14"/>
  <c r="K117" i="14"/>
  <c r="L117" i="14"/>
  <c r="M117" i="14"/>
  <c r="N117" i="14"/>
  <c r="O117" i="14"/>
  <c r="P117" i="14"/>
  <c r="F118" i="14"/>
  <c r="G118" i="14"/>
  <c r="H118" i="14"/>
  <c r="I118" i="14"/>
  <c r="J118" i="14"/>
  <c r="K118" i="14"/>
  <c r="L118" i="14"/>
  <c r="M118" i="14"/>
  <c r="N118" i="14"/>
  <c r="O118" i="14"/>
  <c r="P118" i="14"/>
  <c r="F119" i="14"/>
  <c r="G119" i="14"/>
  <c r="H119" i="14"/>
  <c r="I119" i="14"/>
  <c r="J119" i="14"/>
  <c r="K119" i="14"/>
  <c r="L119" i="14"/>
  <c r="M119" i="14"/>
  <c r="N119" i="14"/>
  <c r="O119" i="14"/>
  <c r="P119" i="14"/>
  <c r="E119" i="14"/>
  <c r="E118" i="14"/>
  <c r="E117" i="14"/>
  <c r="E115" i="14"/>
  <c r="E114" i="14"/>
  <c r="D97" i="14"/>
  <c r="I97" i="14" s="1"/>
  <c r="M82" i="14"/>
  <c r="L81" i="14"/>
  <c r="N78" i="14"/>
  <c r="Q99" i="14"/>
  <c r="G98" i="14"/>
  <c r="H98" i="14"/>
  <c r="I98" i="14"/>
  <c r="J98" i="14"/>
  <c r="K98" i="14"/>
  <c r="L98" i="14"/>
  <c r="M98" i="14"/>
  <c r="N98" i="14"/>
  <c r="O98" i="14"/>
  <c r="P98" i="14"/>
  <c r="F98" i="14"/>
  <c r="E98" i="14"/>
  <c r="P130" i="14" l="1"/>
  <c r="Q115" i="14"/>
  <c r="H130" i="14"/>
  <c r="N78" i="38"/>
  <c r="Q117" i="14"/>
  <c r="O130" i="14"/>
  <c r="G130" i="14"/>
  <c r="Q118" i="14"/>
  <c r="N130" i="14"/>
  <c r="F130" i="14"/>
  <c r="M130" i="14"/>
  <c r="Q124" i="14"/>
  <c r="L130" i="14"/>
  <c r="K130" i="14"/>
  <c r="Q119" i="14"/>
  <c r="J130" i="14"/>
  <c r="E130" i="14"/>
  <c r="I130" i="14"/>
  <c r="E24" i="16"/>
  <c r="C31" i="38" s="1"/>
  <c r="M24" i="16"/>
  <c r="K31" i="38" s="1"/>
  <c r="D24" i="16"/>
  <c r="B31" i="38" s="1"/>
  <c r="K24" i="16"/>
  <c r="I31" i="38" s="1"/>
  <c r="L24" i="16"/>
  <c r="J31" i="38" s="1"/>
  <c r="J24" i="16"/>
  <c r="I24" i="16"/>
  <c r="H24" i="16"/>
  <c r="O24" i="16"/>
  <c r="M31" i="38" s="1"/>
  <c r="G24" i="16"/>
  <c r="E31" i="38" s="1"/>
  <c r="N24" i="16"/>
  <c r="L31" i="38" s="1"/>
  <c r="F24" i="16"/>
  <c r="D31" i="38" s="1"/>
  <c r="G39" i="16"/>
  <c r="B31" i="24"/>
  <c r="N39" i="16"/>
  <c r="F39" i="16"/>
  <c r="O39" i="16"/>
  <c r="M39" i="16"/>
  <c r="E39" i="16"/>
  <c r="D39" i="16"/>
  <c r="L39" i="16"/>
  <c r="K39" i="16"/>
  <c r="J39" i="16"/>
  <c r="I39" i="16"/>
  <c r="H39" i="16"/>
  <c r="E74" i="14"/>
  <c r="K74" i="14"/>
  <c r="H74" i="14"/>
  <c r="I74" i="14"/>
  <c r="P74" i="14"/>
  <c r="L97" i="14"/>
  <c r="L74" i="14"/>
  <c r="Q73" i="14"/>
  <c r="O97" i="14"/>
  <c r="O74" i="14"/>
  <c r="G74" i="14"/>
  <c r="J97" i="14"/>
  <c r="G97" i="14"/>
  <c r="Q98" i="14"/>
  <c r="P97" i="14"/>
  <c r="H97" i="14"/>
  <c r="J74" i="14"/>
  <c r="N97" i="14"/>
  <c r="F97" i="14"/>
  <c r="M74" i="14"/>
  <c r="M97" i="14"/>
  <c r="E97" i="14"/>
  <c r="K97" i="14"/>
  <c r="N74" i="14"/>
  <c r="F74" i="14"/>
  <c r="Q64" i="14"/>
  <c r="Q65" i="14"/>
  <c r="P57" i="14"/>
  <c r="O57" i="14"/>
  <c r="N57" i="14"/>
  <c r="M57" i="14"/>
  <c r="L57" i="14"/>
  <c r="K57" i="14"/>
  <c r="J57" i="14"/>
  <c r="I57" i="14"/>
  <c r="H57" i="14"/>
  <c r="G57" i="14"/>
  <c r="F57" i="14"/>
  <c r="E57" i="14"/>
  <c r="K31" i="24" l="1"/>
  <c r="D31" i="24"/>
  <c r="H31" i="24"/>
  <c r="H31" i="38"/>
  <c r="L31" i="24"/>
  <c r="F31" i="24"/>
  <c r="F31" i="38"/>
  <c r="J31" i="24"/>
  <c r="G31" i="24"/>
  <c r="G31" i="38"/>
  <c r="M33" i="38"/>
  <c r="M34" i="38" s="1"/>
  <c r="M112" i="38" s="1"/>
  <c r="O103" i="16"/>
  <c r="I33" i="38"/>
  <c r="I34" i="38" s="1"/>
  <c r="I35" i="38" s="1"/>
  <c r="I36" i="38" s="1"/>
  <c r="K103" i="16"/>
  <c r="D33" i="38"/>
  <c r="D34" i="38" s="1"/>
  <c r="D35" i="38" s="1"/>
  <c r="D36" i="38" s="1"/>
  <c r="F103" i="16"/>
  <c r="J33" i="38"/>
  <c r="J34" i="38" s="1"/>
  <c r="J35" i="38" s="1"/>
  <c r="J36" i="38" s="1"/>
  <c r="L103" i="16"/>
  <c r="H33" i="38"/>
  <c r="J103" i="16"/>
  <c r="F33" i="38"/>
  <c r="H103" i="16"/>
  <c r="E33" i="38"/>
  <c r="E34" i="38" s="1"/>
  <c r="E35" i="38" s="1"/>
  <c r="E36" i="38" s="1"/>
  <c r="G103" i="16"/>
  <c r="B33" i="38"/>
  <c r="B34" i="38" s="1"/>
  <c r="D103" i="16"/>
  <c r="C33" i="38"/>
  <c r="C34" i="38" s="1"/>
  <c r="C35" i="38" s="1"/>
  <c r="C36" i="38" s="1"/>
  <c r="E103" i="16"/>
  <c r="L33" i="38"/>
  <c r="L34" i="38" s="1"/>
  <c r="L35" i="38" s="1"/>
  <c r="L36" i="38" s="1"/>
  <c r="N103" i="16"/>
  <c r="G33" i="38"/>
  <c r="G34" i="38" s="1"/>
  <c r="G35" i="38" s="1"/>
  <c r="G36" i="38" s="1"/>
  <c r="I103" i="16"/>
  <c r="K33" i="38"/>
  <c r="K34" i="38" s="1"/>
  <c r="K112" i="38" s="1"/>
  <c r="M103" i="16"/>
  <c r="E10" i="24"/>
  <c r="B10" i="24"/>
  <c r="L10" i="24"/>
  <c r="H10" i="24"/>
  <c r="C10" i="24"/>
  <c r="K10" i="24"/>
  <c r="I10" i="24"/>
  <c r="M10" i="24"/>
  <c r="D10" i="24"/>
  <c r="G10" i="24"/>
  <c r="J10" i="24"/>
  <c r="F10" i="24"/>
  <c r="I33" i="24"/>
  <c r="C33" i="24"/>
  <c r="K33" i="24"/>
  <c r="F33" i="24"/>
  <c r="G33" i="24"/>
  <c r="E33" i="24"/>
  <c r="M31" i="24"/>
  <c r="M33" i="24"/>
  <c r="C31" i="24"/>
  <c r="I31" i="24"/>
  <c r="D33" i="24"/>
  <c r="L33" i="24"/>
  <c r="B33" i="24"/>
  <c r="J33" i="24"/>
  <c r="H33" i="24"/>
  <c r="E31" i="24"/>
  <c r="P39" i="16"/>
  <c r="P24" i="16"/>
  <c r="Q57" i="14"/>
  <c r="Q58" i="14"/>
  <c r="Q56" i="14"/>
  <c r="N31" i="38" l="1"/>
  <c r="H34" i="38"/>
  <c r="H35" i="38" s="1"/>
  <c r="H36" i="38" s="1"/>
  <c r="M35" i="38"/>
  <c r="M36" i="38" s="1"/>
  <c r="F34" i="38"/>
  <c r="F112" i="38" s="1"/>
  <c r="D112" i="38"/>
  <c r="E112" i="38"/>
  <c r="H112" i="38"/>
  <c r="C112" i="38"/>
  <c r="G112" i="38"/>
  <c r="I112" i="38"/>
  <c r="J112" i="38"/>
  <c r="N33" i="38"/>
  <c r="N34" i="38" s="1"/>
  <c r="K35" i="38"/>
  <c r="K36" i="38" s="1"/>
  <c r="L112" i="38"/>
  <c r="B35" i="38"/>
  <c r="B36" i="38" s="1"/>
  <c r="B112" i="38"/>
  <c r="Q39" i="14"/>
  <c r="Q40" i="14"/>
  <c r="F16" i="14"/>
  <c r="G16" i="14"/>
  <c r="H16" i="14"/>
  <c r="I16" i="14"/>
  <c r="I77" i="14" s="1"/>
  <c r="J16" i="14"/>
  <c r="K16" i="14"/>
  <c r="L16" i="14"/>
  <c r="M16" i="14"/>
  <c r="N16" i="14"/>
  <c r="O16" i="14"/>
  <c r="P16" i="14"/>
  <c r="E16" i="14"/>
  <c r="Q114" i="14"/>
  <c r="P103" i="14"/>
  <c r="M51" i="24" s="1"/>
  <c r="M61" i="24" s="1"/>
  <c r="O103" i="14"/>
  <c r="L51" i="24" s="1"/>
  <c r="L61" i="24" s="1"/>
  <c r="N103" i="14"/>
  <c r="K51" i="24" s="1"/>
  <c r="K61" i="24" s="1"/>
  <c r="M103" i="14"/>
  <c r="J51" i="24" s="1"/>
  <c r="J61" i="24" s="1"/>
  <c r="L103" i="14"/>
  <c r="I51" i="24" s="1"/>
  <c r="I61" i="24" s="1"/>
  <c r="K103" i="14"/>
  <c r="H51" i="24" s="1"/>
  <c r="H61" i="24" s="1"/>
  <c r="J103" i="14"/>
  <c r="G51" i="24" s="1"/>
  <c r="G61" i="24" s="1"/>
  <c r="I103" i="14"/>
  <c r="F51" i="24" s="1"/>
  <c r="F61" i="24" s="1"/>
  <c r="H103" i="14"/>
  <c r="E51" i="24" s="1"/>
  <c r="E61" i="24" s="1"/>
  <c r="G103" i="14"/>
  <c r="D51" i="24" s="1"/>
  <c r="D61" i="24" s="1"/>
  <c r="F103" i="14"/>
  <c r="C51" i="24" s="1"/>
  <c r="C61" i="24" s="1"/>
  <c r="E103" i="14"/>
  <c r="B51" i="24" s="1"/>
  <c r="B61" i="24" s="1"/>
  <c r="F101" i="14"/>
  <c r="G101" i="14"/>
  <c r="H101" i="14"/>
  <c r="I101" i="14"/>
  <c r="J101" i="14"/>
  <c r="K101" i="14"/>
  <c r="L101" i="14"/>
  <c r="M101" i="14"/>
  <c r="N101" i="14"/>
  <c r="O101" i="14"/>
  <c r="P101" i="14"/>
  <c r="E101" i="14"/>
  <c r="F89" i="14"/>
  <c r="F93" i="14" s="1"/>
  <c r="G89" i="14"/>
  <c r="H89" i="14"/>
  <c r="I89" i="14"/>
  <c r="J89" i="14"/>
  <c r="K89" i="14"/>
  <c r="L89" i="14"/>
  <c r="M89" i="14"/>
  <c r="N89" i="14"/>
  <c r="N93" i="14" s="1"/>
  <c r="O89" i="14"/>
  <c r="P89" i="14"/>
  <c r="F90" i="14"/>
  <c r="G90" i="14"/>
  <c r="H90" i="14"/>
  <c r="I90" i="14"/>
  <c r="J90" i="14"/>
  <c r="K90" i="14"/>
  <c r="L90" i="14"/>
  <c r="M90" i="14"/>
  <c r="N90" i="14"/>
  <c r="O90" i="14"/>
  <c r="P90" i="14"/>
  <c r="F91" i="14"/>
  <c r="G91" i="14"/>
  <c r="H91" i="14"/>
  <c r="I91" i="14"/>
  <c r="J91" i="14"/>
  <c r="K91" i="14"/>
  <c r="L91" i="14"/>
  <c r="M91" i="14"/>
  <c r="N91" i="14"/>
  <c r="O91" i="14"/>
  <c r="P91" i="14"/>
  <c r="E90" i="14"/>
  <c r="E91" i="14"/>
  <c r="E89" i="14"/>
  <c r="Q78" i="14"/>
  <c r="Q80" i="14"/>
  <c r="Q81" i="14"/>
  <c r="Q82" i="14"/>
  <c r="Q83" i="14"/>
  <c r="Q84" i="14"/>
  <c r="Q85" i="14"/>
  <c r="P79" i="14"/>
  <c r="J63" i="14"/>
  <c r="Q41" i="14"/>
  <c r="Q33" i="14"/>
  <c r="Q34" i="14"/>
  <c r="Q35" i="14"/>
  <c r="Q36" i="14"/>
  <c r="Q37" i="14"/>
  <c r="Q38" i="14"/>
  <c r="Q32" i="14"/>
  <c r="E50" i="14"/>
  <c r="F50" i="14"/>
  <c r="G50" i="14"/>
  <c r="H50" i="14"/>
  <c r="I50" i="14"/>
  <c r="E51" i="14"/>
  <c r="F51" i="14"/>
  <c r="G51" i="14"/>
  <c r="H51" i="14"/>
  <c r="I51" i="14"/>
  <c r="J51" i="14"/>
  <c r="K51" i="14"/>
  <c r="L51" i="14"/>
  <c r="M51" i="14"/>
  <c r="N51" i="14"/>
  <c r="O51" i="14"/>
  <c r="P51" i="14"/>
  <c r="F62" i="14"/>
  <c r="G62" i="14"/>
  <c r="H62" i="14"/>
  <c r="I62" i="14"/>
  <c r="J62" i="14"/>
  <c r="K62" i="14"/>
  <c r="L62" i="14"/>
  <c r="M62" i="14"/>
  <c r="N62" i="14"/>
  <c r="O62" i="14"/>
  <c r="P62" i="14"/>
  <c r="E62" i="14"/>
  <c r="F60" i="14"/>
  <c r="G60" i="14"/>
  <c r="G69" i="14" s="1"/>
  <c r="H60" i="14"/>
  <c r="I60" i="14"/>
  <c r="J60" i="14"/>
  <c r="K60" i="14"/>
  <c r="L60" i="14"/>
  <c r="L69" i="14" s="1"/>
  <c r="M60" i="14"/>
  <c r="M69" i="14" s="1"/>
  <c r="N60" i="14"/>
  <c r="N69" i="14" s="1"/>
  <c r="O60" i="14"/>
  <c r="O69" i="14" s="1"/>
  <c r="P60" i="14"/>
  <c r="E60" i="14"/>
  <c r="E48" i="14"/>
  <c r="F48" i="14"/>
  <c r="G48" i="14"/>
  <c r="H48" i="14"/>
  <c r="I48" i="14"/>
  <c r="J48" i="14"/>
  <c r="K48" i="14"/>
  <c r="L48" i="14"/>
  <c r="M48" i="14"/>
  <c r="N48" i="14"/>
  <c r="O48" i="14"/>
  <c r="P48" i="14"/>
  <c r="G42" i="14"/>
  <c r="H42" i="14"/>
  <c r="I42" i="14"/>
  <c r="J42" i="14"/>
  <c r="K42" i="14"/>
  <c r="L42" i="14"/>
  <c r="M42" i="14"/>
  <c r="N42" i="14"/>
  <c r="O42" i="14"/>
  <c r="P42" i="14"/>
  <c r="Q24" i="14"/>
  <c r="F15" i="14"/>
  <c r="F77" i="14" s="1"/>
  <c r="G15" i="14"/>
  <c r="G77" i="14" s="1"/>
  <c r="H15" i="14"/>
  <c r="H77" i="14" s="1"/>
  <c r="J15" i="14"/>
  <c r="L15" i="14"/>
  <c r="M15" i="14"/>
  <c r="N15" i="14"/>
  <c r="O15" i="14"/>
  <c r="P15" i="14"/>
  <c r="E15" i="14"/>
  <c r="E77" i="14" s="1"/>
  <c r="O77" i="14" l="1"/>
  <c r="P77" i="14"/>
  <c r="K77" i="14"/>
  <c r="L77" i="14"/>
  <c r="M77" i="14"/>
  <c r="P93" i="14"/>
  <c r="H93" i="14"/>
  <c r="O93" i="14"/>
  <c r="G93" i="14"/>
  <c r="N77" i="14"/>
  <c r="K69" i="14"/>
  <c r="L93" i="14"/>
  <c r="M93" i="14"/>
  <c r="J69" i="14"/>
  <c r="K93" i="14"/>
  <c r="E69" i="14"/>
  <c r="I69" i="14"/>
  <c r="J93" i="14"/>
  <c r="J77" i="14"/>
  <c r="P69" i="14"/>
  <c r="H69" i="14"/>
  <c r="E93" i="14"/>
  <c r="I93" i="14"/>
  <c r="E28" i="14"/>
  <c r="E27" i="14"/>
  <c r="E26" i="14"/>
  <c r="E25" i="14"/>
  <c r="E20" i="14"/>
  <c r="E21" i="14"/>
  <c r="H20" i="14"/>
  <c r="H26" i="14"/>
  <c r="H21" i="14"/>
  <c r="H27" i="14"/>
  <c r="H25" i="14"/>
  <c r="H28" i="14"/>
  <c r="G26" i="14"/>
  <c r="G21" i="14"/>
  <c r="G27" i="14"/>
  <c r="G20" i="14"/>
  <c r="G25" i="14"/>
  <c r="G28" i="14"/>
  <c r="P20" i="14"/>
  <c r="P26" i="14"/>
  <c r="P21" i="14"/>
  <c r="P27" i="14"/>
  <c r="P25" i="14"/>
  <c r="P28" i="14"/>
  <c r="O26" i="14"/>
  <c r="O21" i="14"/>
  <c r="O27" i="14"/>
  <c r="O25" i="14"/>
  <c r="O28" i="14"/>
  <c r="O20" i="14"/>
  <c r="F21" i="14"/>
  <c r="F27" i="14"/>
  <c r="F25" i="14"/>
  <c r="F28" i="14"/>
  <c r="F20" i="14"/>
  <c r="F26" i="14"/>
  <c r="I28" i="14"/>
  <c r="I27" i="14"/>
  <c r="I20" i="14"/>
  <c r="I26" i="14"/>
  <c r="I21" i="14"/>
  <c r="I25" i="14"/>
  <c r="J25" i="14"/>
  <c r="J28" i="14"/>
  <c r="J20" i="14"/>
  <c r="J26" i="14"/>
  <c r="J21" i="14"/>
  <c r="J27" i="14"/>
  <c r="M21" i="14"/>
  <c r="M27" i="14"/>
  <c r="M25" i="14"/>
  <c r="M28" i="14"/>
  <c r="M20" i="14"/>
  <c r="M26" i="14"/>
  <c r="L27" i="14"/>
  <c r="L25" i="14"/>
  <c r="L28" i="14"/>
  <c r="L20" i="14"/>
  <c r="L26" i="14"/>
  <c r="L21" i="14"/>
  <c r="N21" i="14"/>
  <c r="N27" i="14"/>
  <c r="N25" i="14"/>
  <c r="N28" i="14"/>
  <c r="N20" i="14"/>
  <c r="N26" i="14"/>
  <c r="K25" i="14"/>
  <c r="K28" i="14"/>
  <c r="K20" i="14"/>
  <c r="K26" i="14"/>
  <c r="K21" i="14"/>
  <c r="K27" i="14"/>
  <c r="F35" i="38"/>
  <c r="F36" i="38" s="1"/>
  <c r="J69" i="24"/>
  <c r="J82" i="24" s="1"/>
  <c r="G69" i="24"/>
  <c r="G82" i="24" s="1"/>
  <c r="K69" i="24"/>
  <c r="K82" i="24" s="1"/>
  <c r="C69" i="24"/>
  <c r="C82" i="24" s="1"/>
  <c r="I69" i="24"/>
  <c r="I82" i="24" s="1"/>
  <c r="H69" i="24"/>
  <c r="H82" i="24" s="1"/>
  <c r="B69" i="24"/>
  <c r="B82" i="24" s="1"/>
  <c r="F69" i="24"/>
  <c r="F82" i="24" s="1"/>
  <c r="M69" i="24"/>
  <c r="M82" i="24" s="1"/>
  <c r="E69" i="24"/>
  <c r="E82" i="24" s="1"/>
  <c r="L69" i="24"/>
  <c r="L82" i="24" s="1"/>
  <c r="D69" i="24"/>
  <c r="D82" i="24" s="1"/>
  <c r="G82" i="38"/>
  <c r="L8" i="24"/>
  <c r="L40" i="38"/>
  <c r="K82" i="38"/>
  <c r="G70" i="24"/>
  <c r="G83" i="38"/>
  <c r="H111" i="14"/>
  <c r="P111" i="14"/>
  <c r="H8" i="24"/>
  <c r="H40" i="38"/>
  <c r="B70" i="24"/>
  <c r="F70" i="24"/>
  <c r="F83" i="38"/>
  <c r="I111" i="14"/>
  <c r="G8" i="24"/>
  <c r="G40" i="38"/>
  <c r="F8" i="24"/>
  <c r="F40" i="38"/>
  <c r="M70" i="24"/>
  <c r="M83" i="38"/>
  <c r="E70" i="24"/>
  <c r="E83" i="38"/>
  <c r="J111" i="14"/>
  <c r="D8" i="24"/>
  <c r="Q31" i="37" s="1"/>
  <c r="D40" i="38"/>
  <c r="M8" i="24"/>
  <c r="M40" i="38"/>
  <c r="E8" i="24"/>
  <c r="E40" i="38"/>
  <c r="L70" i="24"/>
  <c r="L83" i="38"/>
  <c r="D70" i="24"/>
  <c r="D83" i="38"/>
  <c r="K111" i="14"/>
  <c r="K70" i="24"/>
  <c r="K83" i="38"/>
  <c r="C70" i="24"/>
  <c r="C83" i="38"/>
  <c r="L111" i="14"/>
  <c r="K8" i="24"/>
  <c r="K40" i="38"/>
  <c r="B82" i="38"/>
  <c r="J70" i="24"/>
  <c r="J83" i="38"/>
  <c r="E111" i="14"/>
  <c r="M111" i="14"/>
  <c r="J8" i="24"/>
  <c r="J40" i="38"/>
  <c r="I70" i="24"/>
  <c r="I83" i="38"/>
  <c r="F111" i="14"/>
  <c r="N111" i="14"/>
  <c r="I8" i="24"/>
  <c r="I40" i="38"/>
  <c r="H70" i="24"/>
  <c r="H83" i="38"/>
  <c r="G111" i="14"/>
  <c r="O111" i="14"/>
  <c r="O86" i="14"/>
  <c r="F86" i="14"/>
  <c r="N86" i="14"/>
  <c r="I86" i="14"/>
  <c r="L86" i="14"/>
  <c r="K86" i="14"/>
  <c r="J86" i="14"/>
  <c r="E86" i="14"/>
  <c r="H86" i="14"/>
  <c r="P86" i="14"/>
  <c r="G86" i="14"/>
  <c r="H53" i="14"/>
  <c r="Q79" i="14"/>
  <c r="Q101" i="14"/>
  <c r="Q103" i="14"/>
  <c r="Q89" i="14"/>
  <c r="Q90" i="14"/>
  <c r="Q48" i="14"/>
  <c r="F53" i="14"/>
  <c r="Q91" i="14"/>
  <c r="Q61" i="14"/>
  <c r="J53" i="14"/>
  <c r="Q66" i="14"/>
  <c r="Q59" i="14"/>
  <c r="Q47" i="14"/>
  <c r="Q45" i="14"/>
  <c r="Q62" i="14"/>
  <c r="N53" i="14"/>
  <c r="Q49" i="14"/>
  <c r="O53" i="14"/>
  <c r="K53" i="14"/>
  <c r="Q60" i="14"/>
  <c r="Q51" i="14"/>
  <c r="Q50" i="14"/>
  <c r="P53" i="14"/>
  <c r="L53" i="14"/>
  <c r="Q63" i="14"/>
  <c r="G53" i="14"/>
  <c r="Q72" i="14"/>
  <c r="Q74" i="14"/>
  <c r="M53" i="14"/>
  <c r="I53" i="14"/>
  <c r="E53" i="14"/>
  <c r="Q15" i="14"/>
  <c r="Q16" i="14"/>
  <c r="E42" i="14"/>
  <c r="F42" i="14"/>
  <c r="M86" i="14" l="1"/>
  <c r="I30" i="14"/>
  <c r="G30" i="14"/>
  <c r="P30" i="14"/>
  <c r="L30" i="14"/>
  <c r="O30" i="14"/>
  <c r="E30" i="14"/>
  <c r="E133" i="14" s="1"/>
  <c r="H30" i="14"/>
  <c r="F30" i="14"/>
  <c r="M30" i="14"/>
  <c r="N30" i="14"/>
  <c r="J30" i="14"/>
  <c r="N35" i="38"/>
  <c r="N36" i="38" s="1"/>
  <c r="M9" i="24"/>
  <c r="I61" i="38"/>
  <c r="I63" i="38" s="1"/>
  <c r="I53" i="38"/>
  <c r="H53" i="38"/>
  <c r="H61" i="38"/>
  <c r="H63" i="38" s="1"/>
  <c r="F61" i="38"/>
  <c r="F63" i="38" s="1"/>
  <c r="F53" i="38"/>
  <c r="I82" i="38"/>
  <c r="E53" i="38"/>
  <c r="E61" i="38"/>
  <c r="E63" i="38" s="1"/>
  <c r="J9" i="24"/>
  <c r="E9" i="24"/>
  <c r="D82" i="38"/>
  <c r="E82" i="38"/>
  <c r="F82" i="38"/>
  <c r="B8" i="24"/>
  <c r="B40" i="24" s="1"/>
  <c r="F9" i="24"/>
  <c r="L82" i="38"/>
  <c r="M82" i="38"/>
  <c r="N69" i="38"/>
  <c r="G53" i="38"/>
  <c r="G61" i="38"/>
  <c r="G63" i="38" s="1"/>
  <c r="H9" i="24"/>
  <c r="D9" i="24"/>
  <c r="L9" i="24"/>
  <c r="G9" i="24"/>
  <c r="L53" i="38"/>
  <c r="L61" i="38"/>
  <c r="L63" i="38" s="1"/>
  <c r="K53" i="38"/>
  <c r="K61" i="38"/>
  <c r="K63" i="38" s="1"/>
  <c r="J61" i="38"/>
  <c r="J63" i="38" s="1"/>
  <c r="J53" i="38"/>
  <c r="B83" i="38"/>
  <c r="N83" i="38" s="1"/>
  <c r="N70" i="38"/>
  <c r="C82" i="38"/>
  <c r="B9" i="24"/>
  <c r="B41" i="24" s="1"/>
  <c r="C8" i="24"/>
  <c r="C40" i="38"/>
  <c r="I9" i="24"/>
  <c r="K9" i="24"/>
  <c r="B71" i="24"/>
  <c r="D53" i="38"/>
  <c r="D61" i="38"/>
  <c r="D63" i="38" s="1"/>
  <c r="N51" i="38"/>
  <c r="C61" i="38"/>
  <c r="C63" i="38" s="1"/>
  <c r="C53" i="38"/>
  <c r="B53" i="38"/>
  <c r="B61" i="38"/>
  <c r="H82" i="38"/>
  <c r="J82" i="38"/>
  <c r="M53" i="38"/>
  <c r="M61" i="38"/>
  <c r="M63" i="38" s="1"/>
  <c r="Q111" i="14"/>
  <c r="Q93" i="14"/>
  <c r="Q77" i="14"/>
  <c r="Q53" i="14"/>
  <c r="Q42" i="14"/>
  <c r="Q21" i="14"/>
  <c r="Q20" i="14"/>
  <c r="Q28" i="14"/>
  <c r="Q25" i="14"/>
  <c r="Q27" i="14"/>
  <c r="Q26" i="14"/>
  <c r="D41" i="24" l="1"/>
  <c r="R31" i="37"/>
  <c r="N82" i="38"/>
  <c r="N53" i="38"/>
  <c r="B40" i="38"/>
  <c r="N40" i="38" s="1"/>
  <c r="N8" i="38"/>
  <c r="D71" i="24"/>
  <c r="B63" i="38"/>
  <c r="N61" i="38"/>
  <c r="B84" i="38"/>
  <c r="B72" i="38"/>
  <c r="C71" i="24"/>
  <c r="D7" i="24"/>
  <c r="L7" i="24"/>
  <c r="J7" i="24"/>
  <c r="G7" i="24"/>
  <c r="F7" i="24"/>
  <c r="M7" i="24"/>
  <c r="E7" i="24"/>
  <c r="I7" i="24"/>
  <c r="C7" i="24"/>
  <c r="K7" i="24"/>
  <c r="H7" i="24"/>
  <c r="H39" i="24" s="1"/>
  <c r="B7" i="24"/>
  <c r="D6" i="16"/>
  <c r="D101" i="16" s="1"/>
  <c r="Q86" i="14"/>
  <c r="G133" i="14"/>
  <c r="Q30" i="14"/>
  <c r="E84" i="38" l="1"/>
  <c r="E85" i="38" s="1"/>
  <c r="E72" i="38"/>
  <c r="D84" i="38"/>
  <c r="D85" i="38" s="1"/>
  <c r="D72" i="38"/>
  <c r="B85" i="38"/>
  <c r="N63" i="38"/>
  <c r="C84" i="38"/>
  <c r="C85" i="38" s="1"/>
  <c r="C72" i="38"/>
  <c r="E139" i="14"/>
  <c r="E135" i="14"/>
  <c r="E137" i="14" s="1"/>
  <c r="H133" i="14"/>
  <c r="H135" i="14" s="1"/>
  <c r="H137" i="14" s="1"/>
  <c r="E71" i="24"/>
  <c r="J11" i="24"/>
  <c r="C11" i="24"/>
  <c r="K11" i="24"/>
  <c r="D11" i="24"/>
  <c r="S31" i="37" s="1"/>
  <c r="L11" i="24"/>
  <c r="E11" i="24"/>
  <c r="M11" i="24"/>
  <c r="F11" i="24"/>
  <c r="B11" i="24"/>
  <c r="G11" i="24"/>
  <c r="H11" i="24"/>
  <c r="I11" i="24"/>
  <c r="G135" i="14"/>
  <c r="F6" i="16"/>
  <c r="F101" i="16" s="1"/>
  <c r="G139" i="14"/>
  <c r="B88" i="38" l="1"/>
  <c r="D88" i="38"/>
  <c r="H139" i="14"/>
  <c r="C88" i="38"/>
  <c r="F84" i="38"/>
  <c r="F72" i="38"/>
  <c r="E88" i="38"/>
  <c r="G6" i="16"/>
  <c r="G101" i="16" s="1"/>
  <c r="I133" i="14"/>
  <c r="I135" i="14" s="1"/>
  <c r="F71" i="24"/>
  <c r="G137" i="14"/>
  <c r="F85" i="38" l="1"/>
  <c r="G84" i="38"/>
  <c r="G85" i="38" s="1"/>
  <c r="G72" i="38"/>
  <c r="I139" i="14"/>
  <c r="H6" i="16"/>
  <c r="H101" i="16" s="1"/>
  <c r="J133" i="14"/>
  <c r="J135" i="14" s="1"/>
  <c r="G71" i="24"/>
  <c r="I137" i="14"/>
  <c r="G88" i="38" l="1"/>
  <c r="H84" i="38"/>
  <c r="H85" i="38" s="1"/>
  <c r="H72" i="38"/>
  <c r="I6" i="16"/>
  <c r="I101" i="16" s="1"/>
  <c r="F88" i="38"/>
  <c r="J139" i="14"/>
  <c r="K133" i="14"/>
  <c r="K135" i="14" s="1"/>
  <c r="H71" i="24"/>
  <c r="J137" i="14"/>
  <c r="J6" i="16" l="1"/>
  <c r="J101" i="16" s="1"/>
  <c r="H88" i="38"/>
  <c r="I84" i="38"/>
  <c r="I72" i="38"/>
  <c r="K139" i="14"/>
  <c r="L133" i="14"/>
  <c r="L135" i="14" s="1"/>
  <c r="I71" i="24"/>
  <c r="K137" i="14"/>
  <c r="I85" i="38" l="1"/>
  <c r="J84" i="38"/>
  <c r="J85" i="38" s="1"/>
  <c r="J72" i="38"/>
  <c r="K6" i="16"/>
  <c r="K101" i="16" s="1"/>
  <c r="L139" i="14"/>
  <c r="M133" i="14"/>
  <c r="M135" i="14" s="1"/>
  <c r="J71" i="24"/>
  <c r="L137" i="14"/>
  <c r="J88" i="38" l="1"/>
  <c r="K84" i="38"/>
  <c r="K85" i="38" s="1"/>
  <c r="K72" i="38"/>
  <c r="I88" i="38"/>
  <c r="M139" i="14"/>
  <c r="L6" i="16"/>
  <c r="L101" i="16" s="1"/>
  <c r="N133" i="14"/>
  <c r="N135" i="14" s="1"/>
  <c r="K71" i="24"/>
  <c r="M137" i="14"/>
  <c r="L84" i="38" l="1"/>
  <c r="L85" i="38" s="1"/>
  <c r="L72" i="38"/>
  <c r="K88" i="38"/>
  <c r="N139" i="14"/>
  <c r="M6" i="16"/>
  <c r="M101" i="16" s="1"/>
  <c r="O133" i="14"/>
  <c r="N6" i="16" s="1"/>
  <c r="N101" i="16" s="1"/>
  <c r="L71" i="24"/>
  <c r="N137" i="14"/>
  <c r="Q97" i="14"/>
  <c r="M84" i="38" l="1"/>
  <c r="M72" i="38"/>
  <c r="N71" i="38"/>
  <c r="L88" i="38"/>
  <c r="O139" i="14"/>
  <c r="O135" i="14"/>
  <c r="O137" i="14" s="1"/>
  <c r="P133" i="14"/>
  <c r="M71" i="24"/>
  <c r="Q130" i="14"/>
  <c r="N72" i="38" l="1"/>
  <c r="M85" i="38"/>
  <c r="N84" i="38"/>
  <c r="O6" i="16"/>
  <c r="O101" i="16" s="1"/>
  <c r="P139" i="14"/>
  <c r="P135" i="14"/>
  <c r="P137" i="14" s="1"/>
  <c r="N85" i="38" l="1"/>
  <c r="M88" i="38"/>
  <c r="N88" i="38" l="1"/>
  <c r="P5" i="16"/>
  <c r="P7" i="16"/>
  <c r="P9" i="16"/>
  <c r="P10" i="16"/>
  <c r="P12" i="16"/>
  <c r="P13" i="16"/>
  <c r="P14" i="16"/>
  <c r="P15" i="16"/>
  <c r="P16" i="16"/>
  <c r="P17" i="16"/>
  <c r="P18" i="16"/>
  <c r="P19" i="16"/>
  <c r="P20" i="16"/>
  <c r="P21" i="16"/>
  <c r="P23" i="16"/>
  <c r="P26" i="16"/>
  <c r="P28" i="16"/>
  <c r="P29" i="16"/>
  <c r="P30" i="16"/>
  <c r="P33" i="16"/>
  <c r="P38" i="16"/>
  <c r="P92" i="16"/>
  <c r="P93" i="16"/>
  <c r="P95" i="16"/>
  <c r="P97" i="16"/>
  <c r="P4" i="16"/>
  <c r="J3" i="29" l="1"/>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AH43" i="29" s="1"/>
  <c r="J44" i="29"/>
  <c r="AH44" i="29" s="1"/>
  <c r="J45" i="29"/>
  <c r="AH45" i="29" s="1"/>
  <c r="J46" i="29"/>
  <c r="AH46" i="29" s="1"/>
  <c r="J47" i="29"/>
  <c r="AH47" i="29" s="1"/>
  <c r="J48" i="29"/>
  <c r="AH48" i="29" s="1"/>
  <c r="J49" i="29"/>
  <c r="AH49" i="29" s="1"/>
  <c r="J2" i="29"/>
  <c r="AF43" i="29"/>
  <c r="AF44" i="29"/>
  <c r="AF45" i="29"/>
  <c r="AF46" i="29"/>
  <c r="AF47" i="29"/>
  <c r="AF48" i="29"/>
  <c r="AF49" i="29"/>
  <c r="AD43" i="29"/>
  <c r="AD44" i="29"/>
  <c r="AD45" i="29"/>
  <c r="AD46" i="29"/>
  <c r="AD47" i="29"/>
  <c r="AD48" i="29"/>
  <c r="AD49" i="29"/>
  <c r="AB43" i="29"/>
  <c r="AB44" i="29"/>
  <c r="AB45" i="29"/>
  <c r="AB46" i="29"/>
  <c r="AB47" i="29"/>
  <c r="AB48" i="29"/>
  <c r="AB49" i="29"/>
  <c r="Z43" i="29"/>
  <c r="Z44" i="29"/>
  <c r="Z45" i="29"/>
  <c r="Z46" i="29"/>
  <c r="Z47" i="29"/>
  <c r="Z48" i="29"/>
  <c r="Z49" i="29"/>
  <c r="X43" i="29"/>
  <c r="X44" i="29"/>
  <c r="X45" i="29"/>
  <c r="X46" i="29"/>
  <c r="X47" i="29"/>
  <c r="X48" i="29"/>
  <c r="X49" i="29"/>
  <c r="V43" i="29"/>
  <c r="V44" i="29"/>
  <c r="V45" i="29"/>
  <c r="V46" i="29"/>
  <c r="V47" i="29"/>
  <c r="V48" i="29"/>
  <c r="V49" i="29"/>
  <c r="T43" i="29"/>
  <c r="T44" i="29"/>
  <c r="T45" i="29"/>
  <c r="T46" i="29"/>
  <c r="T47" i="29"/>
  <c r="T48" i="29"/>
  <c r="T49" i="29"/>
  <c r="R43" i="29"/>
  <c r="R44" i="29"/>
  <c r="R45" i="29"/>
  <c r="R46" i="29"/>
  <c r="R47" i="29"/>
  <c r="R48" i="29"/>
  <c r="R49" i="29"/>
  <c r="P43" i="29"/>
  <c r="P44" i="29"/>
  <c r="P45" i="29"/>
  <c r="P46" i="29"/>
  <c r="P47" i="29"/>
  <c r="P48" i="29"/>
  <c r="P49" i="29"/>
  <c r="N43" i="29"/>
  <c r="N44" i="29"/>
  <c r="N45" i="29"/>
  <c r="N46" i="29"/>
  <c r="N47" i="29"/>
  <c r="N48" i="29"/>
  <c r="N49" i="29"/>
  <c r="L43" i="29"/>
  <c r="L44" i="29"/>
  <c r="L45" i="29"/>
  <c r="L46" i="29"/>
  <c r="L47" i="29"/>
  <c r="L48" i="29"/>
  <c r="L49" i="29"/>
  <c r="N2" i="29"/>
  <c r="N3" i="29"/>
  <c r="N4" i="29"/>
  <c r="N5" i="29"/>
  <c r="N6" i="29"/>
  <c r="N7" i="29"/>
  <c r="N8" i="29"/>
  <c r="N9" i="29"/>
  <c r="N10" i="29"/>
  <c r="N11" i="29"/>
  <c r="N12" i="29"/>
  <c r="N13" i="29"/>
  <c r="N14" i="29"/>
  <c r="N15" i="29"/>
  <c r="N16" i="29"/>
  <c r="N17" i="29"/>
  <c r="N18" i="29"/>
  <c r="N19" i="29"/>
  <c r="N20" i="29"/>
  <c r="N21" i="29"/>
  <c r="N22" i="29"/>
  <c r="N23" i="29"/>
  <c r="N24" i="29"/>
  <c r="N25" i="29"/>
  <c r="N26" i="29"/>
  <c r="N27" i="29"/>
  <c r="N28" i="29"/>
  <c r="N29" i="29"/>
  <c r="N30" i="29"/>
  <c r="N31" i="29"/>
  <c r="N32" i="29"/>
  <c r="N33" i="29"/>
  <c r="N34" i="29"/>
  <c r="N35" i="29"/>
  <c r="N36" i="29"/>
  <c r="N37" i="29"/>
  <c r="N38" i="29"/>
  <c r="N39" i="29"/>
  <c r="N40" i="29"/>
  <c r="N41" i="29"/>
  <c r="N42" i="29"/>
  <c r="P2" i="29"/>
  <c r="P3" i="29"/>
  <c r="P4" i="29"/>
  <c r="P5" i="29"/>
  <c r="P6" i="29"/>
  <c r="P7" i="29"/>
  <c r="P8" i="29"/>
  <c r="P9" i="29"/>
  <c r="P10" i="29"/>
  <c r="P11" i="29"/>
  <c r="P12" i="29"/>
  <c r="P13" i="29"/>
  <c r="P14" i="29"/>
  <c r="P15" i="29"/>
  <c r="P16" i="29"/>
  <c r="P17" i="29"/>
  <c r="P18" i="29"/>
  <c r="P19" i="29"/>
  <c r="P20" i="29"/>
  <c r="P21" i="29"/>
  <c r="P22" i="29"/>
  <c r="P23" i="29"/>
  <c r="P24" i="29"/>
  <c r="P25" i="29"/>
  <c r="P26" i="29"/>
  <c r="P27" i="29"/>
  <c r="P28" i="29"/>
  <c r="P29" i="29"/>
  <c r="P30" i="29"/>
  <c r="P31" i="29"/>
  <c r="P32" i="29"/>
  <c r="P33" i="29"/>
  <c r="P34" i="29"/>
  <c r="P35" i="29"/>
  <c r="P36" i="29"/>
  <c r="P37" i="29"/>
  <c r="P38" i="29"/>
  <c r="P39" i="29"/>
  <c r="P40" i="29"/>
  <c r="P41" i="29"/>
  <c r="P42" i="29"/>
  <c r="BL50" i="35"/>
  <c r="BM50" i="35" s="1"/>
  <c r="BJ50" i="35"/>
  <c r="BF50" i="35"/>
  <c r="BB50" i="35"/>
  <c r="AX50" i="35"/>
  <c r="AT50" i="35"/>
  <c r="AP50" i="35"/>
  <c r="AL50" i="35"/>
  <c r="AH50" i="35"/>
  <c r="AD50" i="35"/>
  <c r="Z50" i="35"/>
  <c r="V50" i="35"/>
  <c r="T50" i="35"/>
  <c r="R50" i="35"/>
  <c r="P50" i="35"/>
  <c r="N50" i="35"/>
  <c r="L50" i="35"/>
  <c r="J50" i="35"/>
  <c r="BJ49" i="35"/>
  <c r="BF49" i="35"/>
  <c r="BB49" i="35"/>
  <c r="AX49" i="35"/>
  <c r="AT49" i="35"/>
  <c r="AP49" i="35"/>
  <c r="AL49" i="35"/>
  <c r="AH49" i="35"/>
  <c r="AD49" i="35"/>
  <c r="Z49" i="35"/>
  <c r="V49" i="35"/>
  <c r="T49" i="35"/>
  <c r="R49" i="35"/>
  <c r="P49" i="35"/>
  <c r="N49" i="35"/>
  <c r="L49" i="35"/>
  <c r="J49" i="35"/>
  <c r="BL48" i="35"/>
  <c r="BM48" i="35" s="1"/>
  <c r="BJ48" i="35"/>
  <c r="BF48" i="35"/>
  <c r="BB48" i="35"/>
  <c r="AX48" i="35"/>
  <c r="AT48" i="35"/>
  <c r="AP48" i="35"/>
  <c r="AL48" i="35"/>
  <c r="AH48" i="35"/>
  <c r="AD48" i="35"/>
  <c r="Z48" i="35"/>
  <c r="V48" i="35"/>
  <c r="T48" i="35"/>
  <c r="R48" i="35"/>
  <c r="P48" i="35"/>
  <c r="N48" i="35"/>
  <c r="L48" i="35"/>
  <c r="J48" i="35"/>
  <c r="BL47" i="35"/>
  <c r="BM47" i="35" s="1"/>
  <c r="BJ47" i="35"/>
  <c r="BF47" i="35"/>
  <c r="BB47" i="35"/>
  <c r="AX47" i="35"/>
  <c r="AT47" i="35"/>
  <c r="AP47" i="35"/>
  <c r="AL47" i="35"/>
  <c r="AH47" i="35"/>
  <c r="AD47" i="35"/>
  <c r="Z47" i="35"/>
  <c r="V47" i="35"/>
  <c r="T47" i="35"/>
  <c r="R47" i="35"/>
  <c r="P47" i="35"/>
  <c r="N47" i="35"/>
  <c r="L47" i="35"/>
  <c r="J47" i="35"/>
  <c r="BL46" i="35"/>
  <c r="BM46" i="35" s="1"/>
  <c r="BJ46" i="35"/>
  <c r="BF46" i="35"/>
  <c r="BB46" i="35"/>
  <c r="AX46" i="35"/>
  <c r="AT46" i="35"/>
  <c r="AP46" i="35"/>
  <c r="AL46" i="35"/>
  <c r="AH46" i="35"/>
  <c r="AD46" i="35"/>
  <c r="Z46" i="35"/>
  <c r="V46" i="35"/>
  <c r="T46" i="35"/>
  <c r="R46" i="35"/>
  <c r="P46" i="35"/>
  <c r="N46" i="35"/>
  <c r="L46" i="35"/>
  <c r="J46" i="35"/>
  <c r="BL45" i="35"/>
  <c r="BM45" i="35" s="1"/>
  <c r="BJ45" i="35"/>
  <c r="BF45" i="35"/>
  <c r="BB45" i="35"/>
  <c r="AX45" i="35"/>
  <c r="AT45" i="35"/>
  <c r="AP45" i="35"/>
  <c r="AL45" i="35"/>
  <c r="AH45" i="35"/>
  <c r="AD45" i="35"/>
  <c r="Z45" i="35"/>
  <c r="V45" i="35"/>
  <c r="T45" i="35"/>
  <c r="R45" i="35"/>
  <c r="P45" i="35"/>
  <c r="N45" i="35"/>
  <c r="L45" i="35"/>
  <c r="J45" i="35"/>
  <c r="BL44" i="35"/>
  <c r="BM44" i="35" s="1"/>
  <c r="BJ44" i="35"/>
  <c r="BF44" i="35"/>
  <c r="BB44" i="35"/>
  <c r="AX44" i="35"/>
  <c r="AT44" i="35"/>
  <c r="AP44" i="35"/>
  <c r="AL44" i="35"/>
  <c r="AH44" i="35"/>
  <c r="AD44" i="35"/>
  <c r="Z44" i="35"/>
  <c r="V44" i="35"/>
  <c r="T44" i="35"/>
  <c r="R44" i="35"/>
  <c r="P44" i="35"/>
  <c r="N44" i="35"/>
  <c r="L44" i="35"/>
  <c r="J44" i="35"/>
  <c r="BL43" i="35"/>
  <c r="BM43" i="35" s="1"/>
  <c r="BJ43" i="35"/>
  <c r="BF43" i="35"/>
  <c r="BB43" i="35"/>
  <c r="AX43" i="35"/>
  <c r="AT43" i="35"/>
  <c r="AP43" i="35"/>
  <c r="AL43" i="35"/>
  <c r="AH43" i="35"/>
  <c r="AD43" i="35"/>
  <c r="Z43" i="35"/>
  <c r="V43" i="35"/>
  <c r="T43" i="35"/>
  <c r="R43" i="35"/>
  <c r="P43" i="35"/>
  <c r="N43" i="35"/>
  <c r="L43" i="35"/>
  <c r="J43" i="35"/>
  <c r="BL42" i="35"/>
  <c r="BM42" i="35" s="1"/>
  <c r="BJ42" i="35"/>
  <c r="BF42" i="35"/>
  <c r="BB42" i="35"/>
  <c r="AX42" i="35"/>
  <c r="AT42" i="35"/>
  <c r="AP42" i="35"/>
  <c r="AL42" i="35"/>
  <c r="AH42" i="35"/>
  <c r="AD42" i="35"/>
  <c r="Z42" i="35"/>
  <c r="V42" i="35"/>
  <c r="T42" i="35"/>
  <c r="R42" i="35"/>
  <c r="P42" i="35"/>
  <c r="N42" i="35"/>
  <c r="L42" i="35"/>
  <c r="J42" i="35"/>
  <c r="BL41" i="35"/>
  <c r="BM41" i="35" s="1"/>
  <c r="BJ41" i="35"/>
  <c r="BF41" i="35"/>
  <c r="BB41" i="35"/>
  <c r="AX41" i="35"/>
  <c r="AT41" i="35"/>
  <c r="AP41" i="35"/>
  <c r="AL41" i="35"/>
  <c r="AH41" i="35"/>
  <c r="AD41" i="35"/>
  <c r="Z41" i="35"/>
  <c r="V41" i="35"/>
  <c r="T41" i="35"/>
  <c r="R41" i="35"/>
  <c r="P41" i="35"/>
  <c r="N41" i="35"/>
  <c r="L41" i="35"/>
  <c r="J41" i="35"/>
  <c r="BL40" i="35"/>
  <c r="BM40" i="35" s="1"/>
  <c r="BJ40" i="35"/>
  <c r="BF40" i="35"/>
  <c r="BB40" i="35"/>
  <c r="AX40" i="35"/>
  <c r="AT40" i="35"/>
  <c r="AP40" i="35"/>
  <c r="AL40" i="35"/>
  <c r="AH40" i="35"/>
  <c r="AD40" i="35"/>
  <c r="Z40" i="35"/>
  <c r="V40" i="35"/>
  <c r="T40" i="35"/>
  <c r="R40" i="35"/>
  <c r="P40" i="35"/>
  <c r="N40" i="35"/>
  <c r="L40" i="35"/>
  <c r="J40" i="35"/>
  <c r="BM39" i="35"/>
  <c r="BL39" i="35"/>
  <c r="BJ39" i="35"/>
  <c r="BF39" i="35"/>
  <c r="BB39" i="35"/>
  <c r="AX39" i="35"/>
  <c r="AT39" i="35"/>
  <c r="AP39" i="35"/>
  <c r="AL39" i="35"/>
  <c r="AH39" i="35"/>
  <c r="AD39" i="35"/>
  <c r="Z39" i="35"/>
  <c r="V39" i="35"/>
  <c r="T39" i="35"/>
  <c r="R39" i="35"/>
  <c r="P39" i="35"/>
  <c r="N39" i="35"/>
  <c r="L39" i="35"/>
  <c r="J39" i="35"/>
  <c r="BL38" i="35"/>
  <c r="BM38" i="35" s="1"/>
  <c r="BJ38" i="35"/>
  <c r="BF38" i="35"/>
  <c r="BB38" i="35"/>
  <c r="AX38" i="35"/>
  <c r="AT38" i="35"/>
  <c r="AP38" i="35"/>
  <c r="AL38" i="35"/>
  <c r="AH38" i="35"/>
  <c r="AD38" i="35"/>
  <c r="Z38" i="35"/>
  <c r="V38" i="35"/>
  <c r="T38" i="35"/>
  <c r="R38" i="35"/>
  <c r="P38" i="35"/>
  <c r="N38" i="35"/>
  <c r="L38" i="35"/>
  <c r="J38" i="35"/>
  <c r="BL37" i="35"/>
  <c r="BM37" i="35" s="1"/>
  <c r="BJ37" i="35"/>
  <c r="BF37" i="35"/>
  <c r="BB37" i="35"/>
  <c r="AX37" i="35"/>
  <c r="AT37" i="35"/>
  <c r="AP37" i="35"/>
  <c r="AL37" i="35"/>
  <c r="AH37" i="35"/>
  <c r="AD37" i="35"/>
  <c r="Z37" i="35"/>
  <c r="V37" i="35"/>
  <c r="T37" i="35"/>
  <c r="R37" i="35"/>
  <c r="P37" i="35"/>
  <c r="N37" i="35"/>
  <c r="L37" i="35"/>
  <c r="J37" i="35"/>
  <c r="BL36" i="35"/>
  <c r="BM36" i="35" s="1"/>
  <c r="BJ36" i="35"/>
  <c r="BF36" i="35"/>
  <c r="BB36" i="35"/>
  <c r="AX36" i="35"/>
  <c r="AT36" i="35"/>
  <c r="AP36" i="35"/>
  <c r="AL36" i="35"/>
  <c r="AH36" i="35"/>
  <c r="AD36" i="35"/>
  <c r="Z36" i="35"/>
  <c r="V36" i="35"/>
  <c r="T36" i="35"/>
  <c r="R36" i="35"/>
  <c r="P36" i="35"/>
  <c r="N36" i="35"/>
  <c r="L36" i="35"/>
  <c r="J36" i="35"/>
  <c r="BM35" i="35"/>
  <c r="BL35" i="35"/>
  <c r="BJ35" i="35"/>
  <c r="BF35" i="35"/>
  <c r="BB35" i="35"/>
  <c r="AX35" i="35"/>
  <c r="AT35" i="35"/>
  <c r="AP35" i="35"/>
  <c r="AL35" i="35"/>
  <c r="AH35" i="35"/>
  <c r="AD35" i="35"/>
  <c r="Z35" i="35"/>
  <c r="V35" i="35"/>
  <c r="T35" i="35"/>
  <c r="R35" i="35"/>
  <c r="P35" i="35"/>
  <c r="N35" i="35"/>
  <c r="L35" i="35"/>
  <c r="J35" i="35"/>
  <c r="BL34" i="35"/>
  <c r="BM34" i="35" s="1"/>
  <c r="BJ34" i="35"/>
  <c r="BF34" i="35"/>
  <c r="BB34" i="35"/>
  <c r="AX34" i="35"/>
  <c r="AT34" i="35"/>
  <c r="AP34" i="35"/>
  <c r="AL34" i="35"/>
  <c r="AH34" i="35"/>
  <c r="AD34" i="35"/>
  <c r="Z34" i="35"/>
  <c r="V34" i="35"/>
  <c r="T34" i="35"/>
  <c r="R34" i="35"/>
  <c r="P34" i="35"/>
  <c r="N34" i="35"/>
  <c r="L34" i="35"/>
  <c r="J34" i="35"/>
  <c r="BL33" i="35"/>
  <c r="BM33" i="35" s="1"/>
  <c r="BJ33" i="35"/>
  <c r="BF33" i="35"/>
  <c r="BB33" i="35"/>
  <c r="AX33" i="35"/>
  <c r="AT33" i="35"/>
  <c r="AP33" i="35"/>
  <c r="AL33" i="35"/>
  <c r="AH33" i="35"/>
  <c r="AD33" i="35"/>
  <c r="Z33" i="35"/>
  <c r="V33" i="35"/>
  <c r="T33" i="35"/>
  <c r="R33" i="35"/>
  <c r="P33" i="35"/>
  <c r="N33" i="35"/>
  <c r="L33" i="35"/>
  <c r="J33" i="35"/>
  <c r="BJ32" i="35"/>
  <c r="BF32" i="35"/>
  <c r="BB32" i="35"/>
  <c r="AX32" i="35"/>
  <c r="AT32" i="35"/>
  <c r="AP32" i="35"/>
  <c r="AL32" i="35"/>
  <c r="AH32" i="35"/>
  <c r="AD32" i="35"/>
  <c r="Z32" i="35"/>
  <c r="V32" i="35"/>
  <c r="R32" i="35"/>
  <c r="N32" i="35"/>
  <c r="L32" i="35"/>
  <c r="J32" i="35"/>
  <c r="BL31" i="35"/>
  <c r="BM31" i="35" s="1"/>
  <c r="BJ31" i="35"/>
  <c r="BF31" i="35"/>
  <c r="BB31" i="35"/>
  <c r="AX31" i="35"/>
  <c r="AT31" i="35"/>
  <c r="AP31" i="35"/>
  <c r="AL31" i="35"/>
  <c r="AH31" i="35"/>
  <c r="AD31" i="35"/>
  <c r="Z31" i="35"/>
  <c r="V31" i="35"/>
  <c r="R31" i="35"/>
  <c r="N31" i="35"/>
  <c r="L31" i="35"/>
  <c r="J31" i="35"/>
  <c r="BL30" i="35"/>
  <c r="BM30" i="35" s="1"/>
  <c r="BJ30" i="35"/>
  <c r="BF30" i="35"/>
  <c r="BB30" i="35"/>
  <c r="AX30" i="35"/>
  <c r="AT30" i="35"/>
  <c r="AP30" i="35"/>
  <c r="AL30" i="35"/>
  <c r="AH30" i="35"/>
  <c r="AD30" i="35"/>
  <c r="Z30" i="35"/>
  <c r="V30" i="35"/>
  <c r="T30" i="35"/>
  <c r="R30" i="35"/>
  <c r="P30" i="35"/>
  <c r="N30" i="35"/>
  <c r="L30" i="35"/>
  <c r="J30" i="35"/>
  <c r="BL29" i="35"/>
  <c r="BM29" i="35" s="1"/>
  <c r="BJ29" i="35"/>
  <c r="BF29" i="35"/>
  <c r="BB29" i="35"/>
  <c r="AX29" i="35"/>
  <c r="AT29" i="35"/>
  <c r="AP29" i="35"/>
  <c r="AL29" i="35"/>
  <c r="AH29" i="35"/>
  <c r="AD29" i="35"/>
  <c r="Z29" i="35"/>
  <c r="V29" i="35"/>
  <c r="T29" i="35"/>
  <c r="R29" i="35"/>
  <c r="P29" i="35"/>
  <c r="N29" i="35"/>
  <c r="L29" i="35"/>
  <c r="J29" i="35"/>
  <c r="BL28" i="35"/>
  <c r="BM28" i="35" s="1"/>
  <c r="BJ28" i="35"/>
  <c r="BF28" i="35"/>
  <c r="BB28" i="35"/>
  <c r="AX28" i="35"/>
  <c r="AT28" i="35"/>
  <c r="AP28" i="35"/>
  <c r="AL28" i="35"/>
  <c r="AH28" i="35"/>
  <c r="AD28" i="35"/>
  <c r="Z28" i="35"/>
  <c r="V28" i="35"/>
  <c r="T28" i="35"/>
  <c r="R28" i="35"/>
  <c r="P28" i="35"/>
  <c r="N28" i="35"/>
  <c r="L28" i="35"/>
  <c r="J28" i="35"/>
  <c r="BL27" i="35"/>
  <c r="BM27" i="35" s="1"/>
  <c r="BJ27" i="35"/>
  <c r="BF27" i="35"/>
  <c r="BB27" i="35"/>
  <c r="AX27" i="35"/>
  <c r="AT27" i="35"/>
  <c r="AP27" i="35"/>
  <c r="AL27" i="35"/>
  <c r="AH27" i="35"/>
  <c r="AD27" i="35"/>
  <c r="Z27" i="35"/>
  <c r="V27" i="35"/>
  <c r="T27" i="35"/>
  <c r="R27" i="35"/>
  <c r="P27" i="35"/>
  <c r="N27" i="35"/>
  <c r="L27" i="35"/>
  <c r="J27" i="35"/>
  <c r="BL26" i="35"/>
  <c r="BM26" i="35" s="1"/>
  <c r="BJ26" i="35"/>
  <c r="BF26" i="35"/>
  <c r="BB26" i="35"/>
  <c r="AX26" i="35"/>
  <c r="AT26" i="35"/>
  <c r="AP26" i="35"/>
  <c r="AL26" i="35"/>
  <c r="AH26" i="35"/>
  <c r="AD26" i="35"/>
  <c r="Z26" i="35"/>
  <c r="V26" i="35"/>
  <c r="T26" i="35"/>
  <c r="R26" i="35"/>
  <c r="P26" i="35"/>
  <c r="N26" i="35"/>
  <c r="L26" i="35"/>
  <c r="J26" i="35"/>
  <c r="BL25" i="35"/>
  <c r="BM25" i="35" s="1"/>
  <c r="BJ25" i="35"/>
  <c r="BF25" i="35"/>
  <c r="BB25" i="35"/>
  <c r="AX25" i="35"/>
  <c r="AT25" i="35"/>
  <c r="AP25" i="35"/>
  <c r="AL25" i="35"/>
  <c r="AH25" i="35"/>
  <c r="AD25" i="35"/>
  <c r="Z25" i="35"/>
  <c r="V25" i="35"/>
  <c r="T25" i="35"/>
  <c r="R25" i="35"/>
  <c r="P25" i="35"/>
  <c r="N25" i="35"/>
  <c r="L25" i="35"/>
  <c r="J25" i="35"/>
  <c r="BL24" i="35"/>
  <c r="BM24" i="35" s="1"/>
  <c r="BJ24" i="35"/>
  <c r="BF24" i="35"/>
  <c r="BB24" i="35"/>
  <c r="AX24" i="35"/>
  <c r="AT24" i="35"/>
  <c r="AP24" i="35"/>
  <c r="AL24" i="35"/>
  <c r="AH24" i="35"/>
  <c r="AD24" i="35"/>
  <c r="Z24" i="35"/>
  <c r="V24" i="35"/>
  <c r="T24" i="35"/>
  <c r="R24" i="35"/>
  <c r="P24" i="35"/>
  <c r="N24" i="35"/>
  <c r="L24" i="35"/>
  <c r="J24" i="35"/>
  <c r="BL23" i="35"/>
  <c r="BM23" i="35" s="1"/>
  <c r="BJ23" i="35"/>
  <c r="BF23" i="35"/>
  <c r="BB23" i="35"/>
  <c r="AX23" i="35"/>
  <c r="AT23" i="35"/>
  <c r="AP23" i="35"/>
  <c r="AL23" i="35"/>
  <c r="AH23" i="35"/>
  <c r="AD23" i="35"/>
  <c r="Z23" i="35"/>
  <c r="V23" i="35"/>
  <c r="T23" i="35"/>
  <c r="R23" i="35"/>
  <c r="P23" i="35"/>
  <c r="N23" i="35"/>
  <c r="L23" i="35"/>
  <c r="J23" i="35"/>
  <c r="BL22" i="35"/>
  <c r="BM22" i="35" s="1"/>
  <c r="BJ22" i="35"/>
  <c r="BF22" i="35"/>
  <c r="BB22" i="35"/>
  <c r="AX22" i="35"/>
  <c r="AT22" i="35"/>
  <c r="AP22" i="35"/>
  <c r="AL22" i="35"/>
  <c r="AH22" i="35"/>
  <c r="AD22" i="35"/>
  <c r="Z22" i="35"/>
  <c r="V22" i="35"/>
  <c r="T22" i="35"/>
  <c r="R22" i="35"/>
  <c r="P22" i="35"/>
  <c r="N22" i="35"/>
  <c r="L22" i="35"/>
  <c r="J22" i="35"/>
  <c r="BL21" i="35"/>
  <c r="BM21" i="35" s="1"/>
  <c r="BJ21" i="35"/>
  <c r="BF21" i="35"/>
  <c r="BB21" i="35"/>
  <c r="AX21" i="35"/>
  <c r="AT21" i="35"/>
  <c r="AP21" i="35"/>
  <c r="AL21" i="35"/>
  <c r="AH21" i="35"/>
  <c r="AD21" i="35"/>
  <c r="Z21" i="35"/>
  <c r="V21" i="35"/>
  <c r="T21" i="35"/>
  <c r="R21" i="35"/>
  <c r="P21" i="35"/>
  <c r="N21" i="35"/>
  <c r="L21" i="35"/>
  <c r="J21" i="35"/>
  <c r="BL20" i="35"/>
  <c r="BM20" i="35" s="1"/>
  <c r="BJ20" i="35"/>
  <c r="BF20" i="35"/>
  <c r="BB20" i="35"/>
  <c r="AX20" i="35"/>
  <c r="AT20" i="35"/>
  <c r="AP20" i="35"/>
  <c r="AL20" i="35"/>
  <c r="AH20" i="35"/>
  <c r="AD20" i="35"/>
  <c r="Z20" i="35"/>
  <c r="V20" i="35"/>
  <c r="T20" i="35"/>
  <c r="R20" i="35"/>
  <c r="P20" i="35"/>
  <c r="N20" i="35"/>
  <c r="L20" i="35"/>
  <c r="J20" i="35"/>
  <c r="BL19" i="35"/>
  <c r="BM19" i="35" s="1"/>
  <c r="BJ19" i="35"/>
  <c r="BF19" i="35"/>
  <c r="BB19" i="35"/>
  <c r="AX19" i="35"/>
  <c r="AT19" i="35"/>
  <c r="AP19" i="35"/>
  <c r="AL19" i="35"/>
  <c r="AH19" i="35"/>
  <c r="AD19" i="35"/>
  <c r="Z19" i="35"/>
  <c r="V19" i="35"/>
  <c r="T19" i="35"/>
  <c r="R19" i="35"/>
  <c r="P19" i="35"/>
  <c r="N19" i="35"/>
  <c r="L19" i="35"/>
  <c r="J19" i="35"/>
  <c r="BL18" i="35"/>
  <c r="BM18" i="35" s="1"/>
  <c r="BJ18" i="35"/>
  <c r="BF18" i="35"/>
  <c r="BB18" i="35"/>
  <c r="AX18" i="35"/>
  <c r="AT18" i="35"/>
  <c r="AP18" i="35"/>
  <c r="AL18" i="35"/>
  <c r="AH18" i="35"/>
  <c r="AD18" i="35"/>
  <c r="Z18" i="35"/>
  <c r="V18" i="35"/>
  <c r="T18" i="35"/>
  <c r="R18" i="35"/>
  <c r="P18" i="35"/>
  <c r="N18" i="35"/>
  <c r="L18" i="35"/>
  <c r="J18" i="35"/>
  <c r="BM17" i="35"/>
  <c r="BL17" i="35"/>
  <c r="BJ17" i="35"/>
  <c r="BF17" i="35"/>
  <c r="BB17" i="35"/>
  <c r="AX17" i="35"/>
  <c r="AT17" i="35"/>
  <c r="AP17" i="35"/>
  <c r="AL17" i="35"/>
  <c r="AH17" i="35"/>
  <c r="AD17" i="35"/>
  <c r="Z17" i="35"/>
  <c r="V17" i="35"/>
  <c r="T17" i="35"/>
  <c r="R17" i="35"/>
  <c r="P17" i="35"/>
  <c r="N17" i="35"/>
  <c r="L17" i="35"/>
  <c r="J17" i="35"/>
  <c r="BL16" i="35"/>
  <c r="BM16" i="35" s="1"/>
  <c r="BJ16" i="35"/>
  <c r="BF16" i="35"/>
  <c r="BB16" i="35"/>
  <c r="AX16" i="35"/>
  <c r="AT16" i="35"/>
  <c r="AP16" i="35"/>
  <c r="AL16" i="35"/>
  <c r="AH16" i="35"/>
  <c r="AD16" i="35"/>
  <c r="Z16" i="35"/>
  <c r="V16" i="35"/>
  <c r="T16" i="35"/>
  <c r="R16" i="35"/>
  <c r="P16" i="35"/>
  <c r="N16" i="35"/>
  <c r="L16" i="35"/>
  <c r="J16" i="35"/>
  <c r="BL15" i="35"/>
  <c r="BM15" i="35" s="1"/>
  <c r="BJ15" i="35"/>
  <c r="BF15" i="35"/>
  <c r="BB15" i="35"/>
  <c r="AX15" i="35"/>
  <c r="AT15" i="35"/>
  <c r="AP15" i="35"/>
  <c r="AL15" i="35"/>
  <c r="AH15" i="35"/>
  <c r="AD15" i="35"/>
  <c r="Z15" i="35"/>
  <c r="V15" i="35"/>
  <c r="T15" i="35"/>
  <c r="R15" i="35"/>
  <c r="P15" i="35"/>
  <c r="N15" i="35"/>
  <c r="L15" i="35"/>
  <c r="J15" i="35"/>
  <c r="BL14" i="35"/>
  <c r="BM14" i="35" s="1"/>
  <c r="BJ14" i="35"/>
  <c r="BF14" i="35"/>
  <c r="BB14" i="35"/>
  <c r="AX14" i="35"/>
  <c r="AT14" i="35"/>
  <c r="AP14" i="35"/>
  <c r="AL14" i="35"/>
  <c r="AH14" i="35"/>
  <c r="AD14" i="35"/>
  <c r="Z14" i="35"/>
  <c r="V14" i="35"/>
  <c r="T14" i="35"/>
  <c r="R14" i="35"/>
  <c r="P14" i="35"/>
  <c r="N14" i="35"/>
  <c r="L14" i="35"/>
  <c r="J14" i="35"/>
  <c r="BL13" i="35"/>
  <c r="BM13" i="35" s="1"/>
  <c r="BJ13" i="35"/>
  <c r="BF13" i="35"/>
  <c r="BB13" i="35"/>
  <c r="AX13" i="35"/>
  <c r="AT13" i="35"/>
  <c r="AP13" i="35"/>
  <c r="AL13" i="35"/>
  <c r="AH13" i="35"/>
  <c r="AD13" i="35"/>
  <c r="Z13" i="35"/>
  <c r="V13" i="35"/>
  <c r="T13" i="35"/>
  <c r="R13" i="35"/>
  <c r="P13" i="35"/>
  <c r="N13" i="35"/>
  <c r="L13" i="35"/>
  <c r="J13" i="35"/>
  <c r="BL12" i="35"/>
  <c r="BM12" i="35" s="1"/>
  <c r="BJ12" i="35"/>
  <c r="BF12" i="35"/>
  <c r="BB12" i="35"/>
  <c r="AX12" i="35"/>
  <c r="AT12" i="35"/>
  <c r="AP12" i="35"/>
  <c r="AL12" i="35"/>
  <c r="AH12" i="35"/>
  <c r="AD12" i="35"/>
  <c r="Z12" i="35"/>
  <c r="V12" i="35"/>
  <c r="T12" i="35"/>
  <c r="R12" i="35"/>
  <c r="P12" i="35"/>
  <c r="N12" i="35"/>
  <c r="L12" i="35"/>
  <c r="J12" i="35"/>
  <c r="BL11" i="35"/>
  <c r="BM11" i="35" s="1"/>
  <c r="BJ11" i="35"/>
  <c r="BF11" i="35"/>
  <c r="BB11" i="35"/>
  <c r="AX11" i="35"/>
  <c r="AT11" i="35"/>
  <c r="AP11" i="35"/>
  <c r="AL11" i="35"/>
  <c r="AH11" i="35"/>
  <c r="AD11" i="35"/>
  <c r="Z11" i="35"/>
  <c r="V11" i="35"/>
  <c r="T11" i="35"/>
  <c r="R11" i="35"/>
  <c r="P11" i="35"/>
  <c r="N11" i="35"/>
  <c r="L11" i="35"/>
  <c r="J11" i="35"/>
  <c r="BL10" i="35"/>
  <c r="BM10" i="35" s="1"/>
  <c r="BJ10" i="35"/>
  <c r="BF10" i="35"/>
  <c r="BB10" i="35"/>
  <c r="AX10" i="35"/>
  <c r="AT10" i="35"/>
  <c r="AP10" i="35"/>
  <c r="AL10" i="35"/>
  <c r="AH10" i="35"/>
  <c r="AD10" i="35"/>
  <c r="Z10" i="35"/>
  <c r="V10" i="35"/>
  <c r="T10" i="35"/>
  <c r="R10" i="35"/>
  <c r="P10" i="35"/>
  <c r="N10" i="35"/>
  <c r="L10" i="35"/>
  <c r="J10" i="35"/>
  <c r="BL9" i="35"/>
  <c r="BM9" i="35" s="1"/>
  <c r="BJ9" i="35"/>
  <c r="BF9" i="35"/>
  <c r="BB9" i="35"/>
  <c r="AX9" i="35"/>
  <c r="AT9" i="35"/>
  <c r="AP9" i="35"/>
  <c r="AL9" i="35"/>
  <c r="AH9" i="35"/>
  <c r="AD9" i="35"/>
  <c r="Z9" i="35"/>
  <c r="V9" i="35"/>
  <c r="T9" i="35"/>
  <c r="R9" i="35"/>
  <c r="P9" i="35"/>
  <c r="N9" i="35"/>
  <c r="L9" i="35"/>
  <c r="J9" i="35"/>
  <c r="BL8" i="35"/>
  <c r="BM8" i="35" s="1"/>
  <c r="BJ8" i="35"/>
  <c r="BF8" i="35"/>
  <c r="BB8" i="35"/>
  <c r="AX8" i="35"/>
  <c r="AT8" i="35"/>
  <c r="AP8" i="35"/>
  <c r="AL8" i="35"/>
  <c r="AH8" i="35"/>
  <c r="AD8" i="35"/>
  <c r="Z8" i="35"/>
  <c r="V8" i="35"/>
  <c r="T8" i="35"/>
  <c r="R8" i="35"/>
  <c r="P8" i="35"/>
  <c r="N8" i="35"/>
  <c r="L8" i="35"/>
  <c r="J8" i="35"/>
  <c r="BL7" i="35"/>
  <c r="BM7" i="35" s="1"/>
  <c r="BJ7" i="35"/>
  <c r="BF7" i="35"/>
  <c r="BB7" i="35"/>
  <c r="AX7" i="35"/>
  <c r="AT7" i="35"/>
  <c r="AP7" i="35"/>
  <c r="AL7" i="35"/>
  <c r="AH7" i="35"/>
  <c r="AD7" i="35"/>
  <c r="Z7" i="35"/>
  <c r="V7" i="35"/>
  <c r="T7" i="35"/>
  <c r="R7" i="35"/>
  <c r="P7" i="35"/>
  <c r="N7" i="35"/>
  <c r="L7" i="35"/>
  <c r="J7" i="35"/>
  <c r="J1" i="35" s="1"/>
  <c r="BL6" i="35"/>
  <c r="BM6" i="35" s="1"/>
  <c r="BJ6" i="35"/>
  <c r="BF6" i="35"/>
  <c r="BF1" i="35" s="1"/>
  <c r="BB6" i="35"/>
  <c r="AX6" i="35"/>
  <c r="AT6" i="35"/>
  <c r="AP6" i="35"/>
  <c r="AL6" i="35"/>
  <c r="AH6" i="35"/>
  <c r="AD6" i="35"/>
  <c r="Z6" i="35"/>
  <c r="Z1" i="35" s="1"/>
  <c r="V6" i="35"/>
  <c r="T6" i="35"/>
  <c r="R6" i="35"/>
  <c r="P6" i="35"/>
  <c r="N6" i="35"/>
  <c r="L6" i="35"/>
  <c r="J6" i="35"/>
  <c r="BM5" i="35"/>
  <c r="BL5" i="35"/>
  <c r="BJ5" i="35"/>
  <c r="BF5" i="35"/>
  <c r="BB5" i="35"/>
  <c r="AX5" i="35"/>
  <c r="AT5" i="35"/>
  <c r="AP5" i="35"/>
  <c r="AL5" i="35"/>
  <c r="AL1" i="35" s="1"/>
  <c r="AH5" i="35"/>
  <c r="AD5" i="35"/>
  <c r="Z5" i="35"/>
  <c r="V5" i="35"/>
  <c r="T5" i="35"/>
  <c r="R5" i="35"/>
  <c r="P5" i="35"/>
  <c r="N5" i="35"/>
  <c r="L5" i="35"/>
  <c r="J5" i="35"/>
  <c r="BL4" i="35"/>
  <c r="BM4" i="35" s="1"/>
  <c r="BJ4" i="35"/>
  <c r="BF4" i="35"/>
  <c r="BB4" i="35"/>
  <c r="AX4" i="35"/>
  <c r="AT4" i="35"/>
  <c r="AP4" i="35"/>
  <c r="AL4" i="35"/>
  <c r="AH4" i="35"/>
  <c r="AD4" i="35"/>
  <c r="Z4" i="35"/>
  <c r="V4" i="35"/>
  <c r="V1" i="35" s="1"/>
  <c r="T4" i="35"/>
  <c r="R4" i="35"/>
  <c r="P4" i="35"/>
  <c r="N4" i="35"/>
  <c r="L4" i="35"/>
  <c r="J4" i="35"/>
  <c r="BB1" i="35"/>
  <c r="AX1" i="35" l="1"/>
  <c r="AD1" i="35"/>
  <c r="BJ1" i="35"/>
  <c r="N53" i="29"/>
  <c r="P53" i="29"/>
  <c r="R1" i="35"/>
  <c r="AP1" i="35"/>
  <c r="AT1" i="35"/>
  <c r="N1" i="35"/>
  <c r="AH1" i="35"/>
  <c r="J53" i="29"/>
  <c r="G104" i="34" l="1"/>
  <c r="H104" i="34"/>
  <c r="I104" i="34"/>
  <c r="J104" i="34"/>
  <c r="K104" i="34"/>
  <c r="L104" i="34"/>
  <c r="M104" i="34"/>
  <c r="N104" i="34"/>
  <c r="O104" i="34"/>
  <c r="P104" i="34"/>
  <c r="Q104" i="34"/>
  <c r="D98" i="34" l="1"/>
  <c r="C98" i="34"/>
  <c r="B98" i="34"/>
  <c r="E97" i="34"/>
  <c r="E96" i="34"/>
  <c r="E95" i="34"/>
  <c r="L86" i="34"/>
  <c r="M85" i="34"/>
  <c r="N85" i="34" s="1"/>
  <c r="M84" i="34"/>
  <c r="M83" i="34"/>
  <c r="K83" i="34"/>
  <c r="N82" i="34"/>
  <c r="N83" i="34" s="1"/>
  <c r="J82" i="34"/>
  <c r="J83" i="34" s="1"/>
  <c r="K80" i="34"/>
  <c r="M79" i="34"/>
  <c r="L78" i="34"/>
  <c r="K78" i="34"/>
  <c r="M76" i="34"/>
  <c r="J74" i="34"/>
  <c r="L72" i="34"/>
  <c r="K72" i="34"/>
  <c r="I70" i="34"/>
  <c r="L69" i="34"/>
  <c r="K69" i="34"/>
  <c r="M68" i="34"/>
  <c r="J68" i="34"/>
  <c r="M67" i="34"/>
  <c r="J67" i="34"/>
  <c r="M66" i="34"/>
  <c r="J66" i="34"/>
  <c r="M65" i="34"/>
  <c r="J65" i="34"/>
  <c r="M64" i="34"/>
  <c r="J64" i="34"/>
  <c r="M63" i="34"/>
  <c r="J63" i="34"/>
  <c r="M62" i="34"/>
  <c r="J62" i="34"/>
  <c r="M61" i="34"/>
  <c r="J61" i="34"/>
  <c r="M60" i="34"/>
  <c r="J60" i="34"/>
  <c r="M59" i="34"/>
  <c r="M58" i="34"/>
  <c r="J58" i="34"/>
  <c r="M57" i="34"/>
  <c r="J57" i="34"/>
  <c r="M56" i="34"/>
  <c r="J56" i="34"/>
  <c r="L55" i="34"/>
  <c r="K55" i="34"/>
  <c r="M54" i="34"/>
  <c r="I54" i="34"/>
  <c r="J54" i="34" s="1"/>
  <c r="M53" i="34"/>
  <c r="I53" i="34"/>
  <c r="J53" i="34" s="1"/>
  <c r="M52" i="34"/>
  <c r="I52" i="34"/>
  <c r="M51" i="34"/>
  <c r="M49" i="34"/>
  <c r="M50" i="34" s="1"/>
  <c r="L47" i="34"/>
  <c r="M46" i="34"/>
  <c r="M47" i="34" s="1"/>
  <c r="J47" i="34"/>
  <c r="L45" i="34"/>
  <c r="K45" i="34"/>
  <c r="M44" i="34"/>
  <c r="M43" i="34"/>
  <c r="M42" i="34"/>
  <c r="M41" i="34"/>
  <c r="M40" i="34"/>
  <c r="M39" i="34"/>
  <c r="I39" i="34"/>
  <c r="K38" i="34"/>
  <c r="I38" i="34"/>
  <c r="L36" i="34"/>
  <c r="K36" i="34"/>
  <c r="L32" i="34"/>
  <c r="K32" i="34"/>
  <c r="J22" i="34"/>
  <c r="O22" i="34" s="1"/>
  <c r="L21" i="34"/>
  <c r="K21" i="34"/>
  <c r="J6" i="34"/>
  <c r="O6" i="34" s="1"/>
  <c r="J9" i="34"/>
  <c r="O9" i="34" s="1"/>
  <c r="J4" i="34"/>
  <c r="L3" i="34"/>
  <c r="K3" i="34"/>
  <c r="M2" i="34"/>
  <c r="M3" i="34" s="1"/>
  <c r="AT46" i="2" l="1"/>
  <c r="AM46" i="2"/>
  <c r="AU46" i="2"/>
  <c r="AP46" i="2"/>
  <c r="AN46" i="2"/>
  <c r="AV46" i="2"/>
  <c r="AO46" i="2"/>
  <c r="E16" i="37" s="1"/>
  <c r="AW46" i="2"/>
  <c r="AQ46" i="2"/>
  <c r="AS46" i="2"/>
  <c r="AR46" i="2"/>
  <c r="I72" i="34"/>
  <c r="N70" i="34"/>
  <c r="N72" i="34" s="1"/>
  <c r="O4" i="34"/>
  <c r="O74" i="34"/>
  <c r="O75" i="34" s="1"/>
  <c r="J75" i="34"/>
  <c r="L90" i="34"/>
  <c r="O63" i="34"/>
  <c r="M80" i="34"/>
  <c r="N56" i="34"/>
  <c r="O68" i="34"/>
  <c r="I47" i="34"/>
  <c r="O65" i="34"/>
  <c r="N57" i="34"/>
  <c r="N76" i="34"/>
  <c r="N46" i="34"/>
  <c r="N47" i="34" s="1"/>
  <c r="O40" i="34"/>
  <c r="O44" i="34"/>
  <c r="M21" i="34"/>
  <c r="O61" i="34"/>
  <c r="E98" i="34"/>
  <c r="I78" i="34"/>
  <c r="O43" i="34"/>
  <c r="O67" i="34"/>
  <c r="O42" i="34"/>
  <c r="N42" i="34"/>
  <c r="J59" i="34"/>
  <c r="O59" i="34" s="1"/>
  <c r="N59" i="34"/>
  <c r="N67" i="34"/>
  <c r="M78" i="34"/>
  <c r="O56" i="34"/>
  <c r="J78" i="34"/>
  <c r="O57" i="34"/>
  <c r="O82" i="34"/>
  <c r="O83" i="34" s="1"/>
  <c r="N51" i="34"/>
  <c r="J5" i="34"/>
  <c r="O5" i="34" s="1"/>
  <c r="O60" i="34"/>
  <c r="M72" i="34"/>
  <c r="O85" i="34"/>
  <c r="M55" i="34"/>
  <c r="N63" i="34"/>
  <c r="J39" i="34"/>
  <c r="I45" i="34"/>
  <c r="N65" i="34"/>
  <c r="N44" i="34"/>
  <c r="I55" i="34"/>
  <c r="J51" i="34"/>
  <c r="O53" i="34"/>
  <c r="I69" i="34"/>
  <c r="O58" i="34"/>
  <c r="N58" i="34"/>
  <c r="M69" i="34"/>
  <c r="J38" i="34"/>
  <c r="O54" i="34"/>
  <c r="N61" i="34"/>
  <c r="O66" i="34"/>
  <c r="N66" i="34"/>
  <c r="J70" i="34"/>
  <c r="I21" i="34"/>
  <c r="N38" i="34"/>
  <c r="N40" i="34"/>
  <c r="J49" i="34"/>
  <c r="J50" i="34" s="1"/>
  <c r="J52" i="34"/>
  <c r="O52" i="34" s="1"/>
  <c r="N52" i="34"/>
  <c r="N54" i="34"/>
  <c r="J2" i="34"/>
  <c r="J3" i="34" s="1"/>
  <c r="I3" i="34"/>
  <c r="N2" i="34"/>
  <c r="N3" i="34" s="1"/>
  <c r="O64" i="34"/>
  <c r="M32" i="34"/>
  <c r="M38" i="34"/>
  <c r="O62" i="34"/>
  <c r="N62" i="34"/>
  <c r="J33" i="34"/>
  <c r="O33" i="34" s="1"/>
  <c r="O36" i="34" s="1"/>
  <c r="I36" i="34"/>
  <c r="O41" i="34"/>
  <c r="M45" i="34"/>
  <c r="N41" i="34"/>
  <c r="O46" i="34"/>
  <c r="O47" i="34" s="1"/>
  <c r="N39" i="34"/>
  <c r="N43" i="34"/>
  <c r="N60" i="34"/>
  <c r="N64" i="34"/>
  <c r="N68" i="34"/>
  <c r="M86" i="34"/>
  <c r="N49" i="34"/>
  <c r="N50" i="34" s="1"/>
  <c r="N53" i="34"/>
  <c r="N84" i="34"/>
  <c r="N86" i="34" s="1"/>
  <c r="I32" i="34"/>
  <c r="AL46" i="2" l="1"/>
  <c r="H16" i="37" s="1"/>
  <c r="AJ46" i="2"/>
  <c r="BM18" i="2" s="1"/>
  <c r="AM21" i="2"/>
  <c r="AN21" i="2"/>
  <c r="AV21" i="2"/>
  <c r="AU21" i="2"/>
  <c r="AO21" i="2"/>
  <c r="E22" i="37" s="1"/>
  <c r="AW21" i="2"/>
  <c r="AR21" i="2"/>
  <c r="AT21" i="2"/>
  <c r="AP21" i="2"/>
  <c r="AL21" i="2"/>
  <c r="AQ21" i="2"/>
  <c r="AS21" i="2"/>
  <c r="AL22" i="2"/>
  <c r="AQ22" i="2"/>
  <c r="AM22" i="2"/>
  <c r="AN22" i="2"/>
  <c r="AO22" i="2"/>
  <c r="E20" i="37" s="1"/>
  <c r="AR22" i="2"/>
  <c r="AT22" i="2"/>
  <c r="AV22" i="2"/>
  <c r="AS22" i="2"/>
  <c r="AU22" i="2"/>
  <c r="AW22" i="2"/>
  <c r="AP22" i="2"/>
  <c r="O19" i="34"/>
  <c r="AM24" i="2"/>
  <c r="AO24" i="2"/>
  <c r="E17" i="37" s="1"/>
  <c r="AW24" i="2"/>
  <c r="AQ24" i="2"/>
  <c r="AN24" i="2"/>
  <c r="AP24" i="2"/>
  <c r="AR24" i="2"/>
  <c r="AL24" i="2"/>
  <c r="AS24" i="2"/>
  <c r="AT24" i="2"/>
  <c r="AU24" i="2"/>
  <c r="AV24" i="2"/>
  <c r="J19" i="34"/>
  <c r="J72" i="34"/>
  <c r="O70" i="34"/>
  <c r="O72" i="34" s="1"/>
  <c r="AP6" i="2"/>
  <c r="AO6" i="2"/>
  <c r="E10" i="37" s="1"/>
  <c r="AQ6" i="2"/>
  <c r="AL6" i="2"/>
  <c r="AR6" i="2"/>
  <c r="AS6" i="2"/>
  <c r="AU6" i="2"/>
  <c r="AN6" i="2"/>
  <c r="AW6" i="2"/>
  <c r="M90" i="34"/>
  <c r="J36" i="34"/>
  <c r="J45" i="34"/>
  <c r="N78" i="34"/>
  <c r="O76" i="34"/>
  <c r="O78" i="34" s="1"/>
  <c r="J21" i="34"/>
  <c r="O84" i="34"/>
  <c r="O86" i="34" s="1"/>
  <c r="J69" i="34"/>
  <c r="O49" i="34"/>
  <c r="O50" i="34" s="1"/>
  <c r="N55" i="34"/>
  <c r="K90" i="34"/>
  <c r="N21" i="34"/>
  <c r="O69" i="34"/>
  <c r="J32" i="34"/>
  <c r="O39" i="34"/>
  <c r="O45" i="34" s="1"/>
  <c r="O32" i="34"/>
  <c r="J55" i="34"/>
  <c r="O51" i="34"/>
  <c r="O55" i="34" s="1"/>
  <c r="N32" i="34"/>
  <c r="O21" i="34"/>
  <c r="N69" i="34"/>
  <c r="O2" i="34"/>
  <c r="O3" i="34" s="1"/>
  <c r="O38" i="34"/>
  <c r="N45" i="34"/>
  <c r="H20" i="37" l="1"/>
  <c r="I20" i="37"/>
  <c r="H22" i="37"/>
  <c r="I22" i="37"/>
  <c r="I17" i="37"/>
  <c r="H17" i="37"/>
  <c r="X17" i="37"/>
  <c r="AP61" i="2"/>
  <c r="I8" i="37"/>
  <c r="H8" i="37"/>
  <c r="I7" i="37"/>
  <c r="H7" i="37"/>
  <c r="I10" i="37"/>
  <c r="H10" i="37"/>
  <c r="AW61" i="2"/>
  <c r="AU61" i="2"/>
  <c r="AO61" i="2"/>
  <c r="AX22" i="2"/>
  <c r="AY22" i="2" s="1"/>
  <c r="AX46" i="2"/>
  <c r="AY46" i="2" s="1"/>
  <c r="AX21" i="2"/>
  <c r="AY21" i="2" s="1"/>
  <c r="X61" i="2"/>
  <c r="D8" i="10" s="1"/>
  <c r="AL61" i="2"/>
  <c r="AS61" i="2"/>
  <c r="AR61" i="2"/>
  <c r="AN61" i="2"/>
  <c r="AQ61" i="2"/>
  <c r="P105" i="34"/>
  <c r="P8" i="13" s="1"/>
  <c r="Q105" i="34"/>
  <c r="Q8" i="13" s="1"/>
  <c r="AH61" i="2"/>
  <c r="N8" i="10" s="1"/>
  <c r="AV6" i="2"/>
  <c r="AV61" i="2" s="1"/>
  <c r="AX24" i="2"/>
  <c r="AY24" i="2" s="1"/>
  <c r="Y61" i="2"/>
  <c r="E8" i="10" s="1"/>
  <c r="AM6" i="2"/>
  <c r="AM61" i="2" s="1"/>
  <c r="I16" i="37"/>
  <c r="X16" i="37"/>
  <c r="AF61" i="2"/>
  <c r="L8" i="10" s="1"/>
  <c r="AT6" i="2"/>
  <c r="AT61" i="2" s="1"/>
  <c r="AE61" i="2"/>
  <c r="K8" i="10" s="1"/>
  <c r="X8" i="37"/>
  <c r="X7" i="37"/>
  <c r="X10" i="37"/>
  <c r="AJ22" i="2"/>
  <c r="BM9" i="2" s="1"/>
  <c r="AG61" i="2"/>
  <c r="M8" i="10" s="1"/>
  <c r="AD61" i="2"/>
  <c r="J8" i="10" s="1"/>
  <c r="AI61" i="2"/>
  <c r="O8" i="10" s="1"/>
  <c r="Z61" i="2"/>
  <c r="F8" i="10" s="1"/>
  <c r="AC61" i="2"/>
  <c r="I8" i="10" s="1"/>
  <c r="G8" i="10"/>
  <c r="AJ21" i="2"/>
  <c r="BM8" i="2" s="1"/>
  <c r="AB61" i="2"/>
  <c r="H8" i="10" s="1"/>
  <c r="AJ24" i="2"/>
  <c r="BM12" i="2" s="1"/>
  <c r="F105" i="34"/>
  <c r="F8" i="13" s="1"/>
  <c r="H105" i="34"/>
  <c r="H8" i="13" s="1"/>
  <c r="G105" i="34"/>
  <c r="G8" i="13" s="1"/>
  <c r="K105" i="34"/>
  <c r="K8" i="13" s="1"/>
  <c r="O105" i="34"/>
  <c r="O8" i="13" s="1"/>
  <c r="N105" i="34"/>
  <c r="N8" i="13" s="1"/>
  <c r="I105" i="34"/>
  <c r="I8" i="13" s="1"/>
  <c r="L105" i="34"/>
  <c r="L8" i="13" s="1"/>
  <c r="J105" i="34"/>
  <c r="J8" i="13" s="1"/>
  <c r="M105" i="34"/>
  <c r="M8" i="13" s="1"/>
  <c r="K91" i="34"/>
  <c r="BC24" i="2" l="1"/>
  <c r="BA24" i="2"/>
  <c r="BB24" i="2"/>
  <c r="BD24" i="2"/>
  <c r="BC21" i="2"/>
  <c r="BD21" i="2"/>
  <c r="BB21" i="2"/>
  <c r="BA21" i="2"/>
  <c r="BD46" i="2"/>
  <c r="BA46" i="2"/>
  <c r="BB46" i="2"/>
  <c r="BC46" i="2"/>
  <c r="I5" i="37"/>
  <c r="I28" i="37" s="1"/>
  <c r="H5" i="37"/>
  <c r="H28" i="37" s="1"/>
  <c r="BC22" i="2"/>
  <c r="BA22" i="2"/>
  <c r="BB22" i="2"/>
  <c r="BD22" i="2"/>
  <c r="X5" i="37"/>
  <c r="E28" i="37"/>
  <c r="AX6" i="2"/>
  <c r="F106" i="34"/>
  <c r="F107" i="34" s="1"/>
  <c r="K92" i="34"/>
  <c r="F33" i="33"/>
  <c r="F24" i="33"/>
  <c r="AG56" i="32"/>
  <c r="AE56" i="32"/>
  <c r="AC56" i="32"/>
  <c r="AA56" i="32"/>
  <c r="Y56" i="32"/>
  <c r="W56" i="32"/>
  <c r="U56" i="32"/>
  <c r="S56" i="32"/>
  <c r="P56" i="32"/>
  <c r="Q56" i="32" s="1"/>
  <c r="N56" i="32"/>
  <c r="L56" i="32"/>
  <c r="AG55" i="32"/>
  <c r="AE55" i="32"/>
  <c r="AC55" i="32"/>
  <c r="AA55" i="32"/>
  <c r="Y55" i="32"/>
  <c r="W55" i="32"/>
  <c r="U55" i="32"/>
  <c r="S55" i="32"/>
  <c r="P55" i="32"/>
  <c r="Q55" i="32" s="1"/>
  <c r="N55" i="32"/>
  <c r="L55" i="32"/>
  <c r="AG52" i="32"/>
  <c r="AE52" i="32"/>
  <c r="AC52" i="32"/>
  <c r="AA52" i="32"/>
  <c r="Y52" i="32"/>
  <c r="W52" i="32"/>
  <c r="U52" i="32"/>
  <c r="S52" i="32"/>
  <c r="P52" i="32"/>
  <c r="Q52" i="32" s="1"/>
  <c r="N52" i="32"/>
  <c r="AG50" i="32"/>
  <c r="AE50" i="32"/>
  <c r="AC50" i="32"/>
  <c r="AA50" i="32"/>
  <c r="Y50" i="32"/>
  <c r="W50" i="32"/>
  <c r="U50" i="32"/>
  <c r="S50" i="32"/>
  <c r="P50" i="32"/>
  <c r="Q50" i="32" s="1"/>
  <c r="N50" i="32"/>
  <c r="AG49" i="32"/>
  <c r="AE49" i="32"/>
  <c r="AC49" i="32"/>
  <c r="AA49" i="32"/>
  <c r="Y49" i="32"/>
  <c r="W49" i="32"/>
  <c r="U49" i="32"/>
  <c r="S49" i="32"/>
  <c r="P49" i="32"/>
  <c r="Q49" i="32" s="1"/>
  <c r="N49" i="32"/>
  <c r="L49" i="32"/>
  <c r="AG48" i="32"/>
  <c r="AE48" i="32"/>
  <c r="AC48" i="32"/>
  <c r="AA48" i="32"/>
  <c r="Y48" i="32"/>
  <c r="W48" i="32"/>
  <c r="U48" i="32"/>
  <c r="S48" i="32"/>
  <c r="P48" i="32"/>
  <c r="N48" i="32"/>
  <c r="L48" i="32"/>
  <c r="AG47" i="32"/>
  <c r="AE47" i="32"/>
  <c r="AC47" i="32"/>
  <c r="AA47" i="32"/>
  <c r="Y47" i="32"/>
  <c r="W47" i="32"/>
  <c r="U47" i="32"/>
  <c r="S47" i="32"/>
  <c r="P47" i="32"/>
  <c r="Q47" i="32" s="1"/>
  <c r="N47" i="32"/>
  <c r="L47" i="32"/>
  <c r="AG46" i="32"/>
  <c r="AE46" i="32"/>
  <c r="AC46" i="32"/>
  <c r="AA46" i="32"/>
  <c r="Y46" i="32"/>
  <c r="W46" i="32"/>
  <c r="U46" i="32"/>
  <c r="S46" i="32"/>
  <c r="P46" i="32"/>
  <c r="Q46" i="32" s="1"/>
  <c r="N46" i="32"/>
  <c r="L46" i="32"/>
  <c r="AG45" i="32"/>
  <c r="AE45" i="32"/>
  <c r="AC45" i="32"/>
  <c r="AA45" i="32"/>
  <c r="Y45" i="32"/>
  <c r="W45" i="32"/>
  <c r="U45" i="32"/>
  <c r="S45" i="32"/>
  <c r="P45" i="32"/>
  <c r="Q45" i="32" s="1"/>
  <c r="N45" i="32"/>
  <c r="L45" i="32"/>
  <c r="AG44" i="32"/>
  <c r="AE44" i="32"/>
  <c r="AC44" i="32"/>
  <c r="AA44" i="32"/>
  <c r="Y44" i="32"/>
  <c r="W44" i="32"/>
  <c r="U44" i="32"/>
  <c r="S44" i="32"/>
  <c r="P44" i="32"/>
  <c r="Q44" i="32" s="1"/>
  <c r="N44" i="32"/>
  <c r="L44" i="32"/>
  <c r="AG43" i="32"/>
  <c r="AE43" i="32"/>
  <c r="AC43" i="32"/>
  <c r="AA43" i="32"/>
  <c r="Y43" i="32"/>
  <c r="W43" i="32"/>
  <c r="U43" i="32"/>
  <c r="S43" i="32"/>
  <c r="P43" i="32"/>
  <c r="Q43" i="32" s="1"/>
  <c r="N43" i="32"/>
  <c r="L43" i="32"/>
  <c r="AG42" i="32"/>
  <c r="AE42" i="32"/>
  <c r="AC42" i="32"/>
  <c r="AA42" i="32"/>
  <c r="Y42" i="32"/>
  <c r="W42" i="32"/>
  <c r="U42" i="32"/>
  <c r="S42" i="32"/>
  <c r="P42" i="32"/>
  <c r="N42" i="32"/>
  <c r="L42" i="32"/>
  <c r="AG41" i="32"/>
  <c r="AE41" i="32"/>
  <c r="AC41" i="32"/>
  <c r="AA41" i="32"/>
  <c r="Y41" i="32"/>
  <c r="W41" i="32"/>
  <c r="U41" i="32"/>
  <c r="S41" i="32"/>
  <c r="P41" i="32"/>
  <c r="Q41" i="32" s="1"/>
  <c r="N41" i="32"/>
  <c r="L41" i="32"/>
  <c r="AG40" i="32"/>
  <c r="AE40" i="32"/>
  <c r="AC40" i="32"/>
  <c r="AA40" i="32"/>
  <c r="Y40" i="32"/>
  <c r="W40" i="32"/>
  <c r="U40" i="32"/>
  <c r="S40" i="32"/>
  <c r="P40" i="32"/>
  <c r="Q40" i="32" s="1"/>
  <c r="N40" i="32"/>
  <c r="L40" i="32"/>
  <c r="AG39" i="32"/>
  <c r="AE39" i="32"/>
  <c r="AC39" i="32"/>
  <c r="AA39" i="32"/>
  <c r="Y39" i="32"/>
  <c r="W39" i="32"/>
  <c r="U39" i="32"/>
  <c r="S39" i="32"/>
  <c r="P39" i="32"/>
  <c r="N39" i="32"/>
  <c r="L39" i="32"/>
  <c r="AG38" i="32"/>
  <c r="AE38" i="32"/>
  <c r="AC38" i="32"/>
  <c r="AA38" i="32"/>
  <c r="Y38" i="32"/>
  <c r="W38" i="32"/>
  <c r="U38" i="32"/>
  <c r="S38" i="32"/>
  <c r="P38" i="32"/>
  <c r="Q38" i="32" s="1"/>
  <c r="N38" i="32"/>
  <c r="L38" i="32"/>
  <c r="AG37" i="32"/>
  <c r="AE37" i="32"/>
  <c r="AC37" i="32"/>
  <c r="AA37" i="32"/>
  <c r="Y37" i="32"/>
  <c r="W37" i="32"/>
  <c r="U37" i="32"/>
  <c r="S37" i="32"/>
  <c r="P37" i="32"/>
  <c r="Q37" i="32" s="1"/>
  <c r="N37" i="32"/>
  <c r="L37" i="32"/>
  <c r="AG33" i="32"/>
  <c r="AE33" i="32"/>
  <c r="AC33" i="32"/>
  <c r="AA33" i="32"/>
  <c r="Y33" i="32"/>
  <c r="W33" i="32"/>
  <c r="U33" i="32"/>
  <c r="S33" i="32"/>
  <c r="P33" i="32"/>
  <c r="N33" i="32"/>
  <c r="L33" i="32"/>
  <c r="AG32" i="32"/>
  <c r="AE32" i="32"/>
  <c r="AC32" i="32"/>
  <c r="AA32" i="32"/>
  <c r="Y32" i="32"/>
  <c r="W32" i="32"/>
  <c r="U32" i="32"/>
  <c r="S32" i="32"/>
  <c r="P32" i="32"/>
  <c r="Q32" i="32" s="1"/>
  <c r="N32" i="32"/>
  <c r="L32" i="32"/>
  <c r="AG31" i="32"/>
  <c r="AE31" i="32"/>
  <c r="AC31" i="32"/>
  <c r="AA31" i="32"/>
  <c r="Y31" i="32"/>
  <c r="W31" i="32"/>
  <c r="U31" i="32"/>
  <c r="S31" i="32"/>
  <c r="P31" i="32"/>
  <c r="N31" i="32"/>
  <c r="L31" i="32"/>
  <c r="AG30" i="32"/>
  <c r="AE30" i="32"/>
  <c r="AC30" i="32"/>
  <c r="AA30" i="32"/>
  <c r="Y30" i="32"/>
  <c r="W30" i="32"/>
  <c r="U30" i="32"/>
  <c r="S30" i="32"/>
  <c r="P30" i="32"/>
  <c r="Q30" i="32" s="1"/>
  <c r="N30" i="32"/>
  <c r="L30" i="32"/>
  <c r="AG29" i="32"/>
  <c r="AE29" i="32"/>
  <c r="AC29" i="32"/>
  <c r="AA29" i="32"/>
  <c r="Y29" i="32"/>
  <c r="W29" i="32"/>
  <c r="U29" i="32"/>
  <c r="S29" i="32"/>
  <c r="P29" i="32"/>
  <c r="Q29" i="32" s="1"/>
  <c r="N29" i="32"/>
  <c r="L29" i="32"/>
  <c r="AG28" i="32"/>
  <c r="AE28" i="32"/>
  <c r="AC28" i="32"/>
  <c r="AA28" i="32"/>
  <c r="Y28" i="32"/>
  <c r="W28" i="32"/>
  <c r="U28" i="32"/>
  <c r="S28" i="32"/>
  <c r="P28" i="32"/>
  <c r="Q28" i="32" s="1"/>
  <c r="N28" i="32"/>
  <c r="L28" i="32"/>
  <c r="AG27" i="32"/>
  <c r="AE27" i="32"/>
  <c r="AC27" i="32"/>
  <c r="AA27" i="32"/>
  <c r="Y27" i="32"/>
  <c r="W27" i="32"/>
  <c r="U27" i="32"/>
  <c r="S27" i="32"/>
  <c r="P27" i="32"/>
  <c r="Q27" i="32" s="1"/>
  <c r="N27" i="32"/>
  <c r="L27" i="32"/>
  <c r="AG26" i="32"/>
  <c r="AE26" i="32"/>
  <c r="AC26" i="32"/>
  <c r="AA26" i="32"/>
  <c r="Y26" i="32"/>
  <c r="W26" i="32"/>
  <c r="U26" i="32"/>
  <c r="S26" i="32"/>
  <c r="P26" i="32"/>
  <c r="Q26" i="32" s="1"/>
  <c r="N26" i="32"/>
  <c r="L26" i="32"/>
  <c r="AG25" i="32"/>
  <c r="AE25" i="32"/>
  <c r="AC25" i="32"/>
  <c r="AA25" i="32"/>
  <c r="Y25" i="32"/>
  <c r="W25" i="32"/>
  <c r="U25" i="32"/>
  <c r="S25" i="32"/>
  <c r="P25" i="32"/>
  <c r="N25" i="32"/>
  <c r="L25" i="32"/>
  <c r="AG24" i="32"/>
  <c r="AE24" i="32"/>
  <c r="AC24" i="32"/>
  <c r="AA24" i="32"/>
  <c r="Y24" i="32"/>
  <c r="W24" i="32"/>
  <c r="U24" i="32"/>
  <c r="S24" i="32"/>
  <c r="P24" i="32"/>
  <c r="Q24" i="32" s="1"/>
  <c r="N24" i="32"/>
  <c r="L24" i="32"/>
  <c r="AG23" i="32"/>
  <c r="AE23" i="32"/>
  <c r="AC23" i="32"/>
  <c r="AA23" i="32"/>
  <c r="Y23" i="32"/>
  <c r="W23" i="32"/>
  <c r="U23" i="32"/>
  <c r="S23" i="32"/>
  <c r="P23" i="32"/>
  <c r="N23" i="32"/>
  <c r="L23" i="32"/>
  <c r="AG22" i="32"/>
  <c r="AE22" i="32"/>
  <c r="AC22" i="32"/>
  <c r="AA22" i="32"/>
  <c r="Y22" i="32"/>
  <c r="W22" i="32"/>
  <c r="U22" i="32"/>
  <c r="S22" i="32"/>
  <c r="P22" i="32"/>
  <c r="Q22" i="32" s="1"/>
  <c r="N22" i="32"/>
  <c r="L22" i="32"/>
  <c r="AG21" i="32"/>
  <c r="AE21" i="32"/>
  <c r="AC21" i="32"/>
  <c r="AA21" i="32"/>
  <c r="Y21" i="32"/>
  <c r="W21" i="32"/>
  <c r="U21" i="32"/>
  <c r="S21" i="32"/>
  <c r="P21" i="32"/>
  <c r="Q21" i="32" s="1"/>
  <c r="N21" i="32"/>
  <c r="L21" i="32"/>
  <c r="AG20" i="32"/>
  <c r="AE20" i="32"/>
  <c r="AC20" i="32"/>
  <c r="AA20" i="32"/>
  <c r="Y20" i="32"/>
  <c r="W20" i="32"/>
  <c r="U20" i="32"/>
  <c r="S20" i="32"/>
  <c r="P20" i="32"/>
  <c r="Q20" i="32" s="1"/>
  <c r="N20" i="32"/>
  <c r="L20" i="32"/>
  <c r="AG19" i="32"/>
  <c r="AE19" i="32"/>
  <c r="AC19" i="32"/>
  <c r="AA19" i="32"/>
  <c r="Y19" i="32"/>
  <c r="W19" i="32"/>
  <c r="U19" i="32"/>
  <c r="S19" i="32"/>
  <c r="P19" i="32"/>
  <c r="Q19" i="32" s="1"/>
  <c r="N19" i="32"/>
  <c r="L19" i="32"/>
  <c r="AG16" i="32"/>
  <c r="AE16" i="32"/>
  <c r="AC16" i="32"/>
  <c r="AA16" i="32"/>
  <c r="Y16" i="32"/>
  <c r="W16" i="32"/>
  <c r="U16" i="32"/>
  <c r="S16" i="32"/>
  <c r="P16" i="32"/>
  <c r="Q16" i="32" s="1"/>
  <c r="N16" i="32"/>
  <c r="L16" i="32"/>
  <c r="AG15" i="32"/>
  <c r="AE15" i="32"/>
  <c r="AC15" i="32"/>
  <c r="AA15" i="32"/>
  <c r="Y15" i="32"/>
  <c r="W15" i="32"/>
  <c r="U15" i="32"/>
  <c r="S15" i="32"/>
  <c r="P15" i="32"/>
  <c r="N15" i="32"/>
  <c r="L15" i="32"/>
  <c r="AG14" i="32"/>
  <c r="AE14" i="32"/>
  <c r="AC14" i="32"/>
  <c r="AA14" i="32"/>
  <c r="Y14" i="32"/>
  <c r="W14" i="32"/>
  <c r="U14" i="32"/>
  <c r="S14" i="32"/>
  <c r="P14" i="32"/>
  <c r="Q14" i="32" s="1"/>
  <c r="N14" i="32"/>
  <c r="L14" i="32"/>
  <c r="AG13" i="32"/>
  <c r="AE13" i="32"/>
  <c r="AC13" i="32"/>
  <c r="AA13" i="32"/>
  <c r="Y13" i="32"/>
  <c r="W13" i="32"/>
  <c r="U13" i="32"/>
  <c r="S13" i="32"/>
  <c r="P13" i="32"/>
  <c r="N13" i="32"/>
  <c r="L13" i="32"/>
  <c r="AG12" i="32"/>
  <c r="AE12" i="32"/>
  <c r="AC12" i="32"/>
  <c r="AA12" i="32"/>
  <c r="Y12" i="32"/>
  <c r="W12" i="32"/>
  <c r="U12" i="32"/>
  <c r="S12" i="32"/>
  <c r="P12" i="32"/>
  <c r="N12" i="32"/>
  <c r="L12" i="32"/>
  <c r="AG11" i="32"/>
  <c r="AE11" i="32"/>
  <c r="AC11" i="32"/>
  <c r="AA11" i="32"/>
  <c r="Y11" i="32"/>
  <c r="W11" i="32"/>
  <c r="U11" i="32"/>
  <c r="S11" i="32"/>
  <c r="P11" i="32"/>
  <c r="Q11" i="32" s="1"/>
  <c r="N11" i="32"/>
  <c r="L11" i="32"/>
  <c r="AG10" i="32"/>
  <c r="AE10" i="32"/>
  <c r="AC10" i="32"/>
  <c r="AA10" i="32"/>
  <c r="Y10" i="32"/>
  <c r="W10" i="32"/>
  <c r="U10" i="32"/>
  <c r="S10" i="32"/>
  <c r="P10" i="32"/>
  <c r="Q10" i="32" s="1"/>
  <c r="N10" i="32"/>
  <c r="L10" i="32"/>
  <c r="AG9" i="32"/>
  <c r="AE9" i="32"/>
  <c r="AC9" i="32"/>
  <c r="AA9" i="32"/>
  <c r="Y9" i="32"/>
  <c r="W9" i="32"/>
  <c r="U9" i="32"/>
  <c r="S9" i="32"/>
  <c r="P9" i="32"/>
  <c r="Q9" i="32" s="1"/>
  <c r="N9" i="32"/>
  <c r="L9" i="32"/>
  <c r="AG8" i="32"/>
  <c r="AE8" i="32"/>
  <c r="AC8" i="32"/>
  <c r="AA8" i="32"/>
  <c r="Y8" i="32"/>
  <c r="W8" i="32"/>
  <c r="U8" i="32"/>
  <c r="S8" i="32"/>
  <c r="P8" i="32"/>
  <c r="Q8" i="32" s="1"/>
  <c r="N8" i="32"/>
  <c r="L8" i="32"/>
  <c r="AG7" i="32"/>
  <c r="AE7" i="32"/>
  <c r="AC7" i="32"/>
  <c r="AA7" i="32"/>
  <c r="Y7" i="32"/>
  <c r="W7" i="32"/>
  <c r="U7" i="32"/>
  <c r="S7" i="32"/>
  <c r="P7" i="32"/>
  <c r="N7" i="32"/>
  <c r="L7" i="32"/>
  <c r="AG6" i="32"/>
  <c r="AE6" i="32"/>
  <c r="AC6" i="32"/>
  <c r="AA6" i="32"/>
  <c r="Y6" i="32"/>
  <c r="W6" i="32"/>
  <c r="U6" i="32"/>
  <c r="S6" i="32"/>
  <c r="P6" i="32"/>
  <c r="Q6" i="32" s="1"/>
  <c r="N6" i="32"/>
  <c r="L6" i="32"/>
  <c r="AG5" i="32"/>
  <c r="AE5" i="32"/>
  <c r="AC5" i="32"/>
  <c r="AA5" i="32"/>
  <c r="Y5" i="32"/>
  <c r="W5" i="32"/>
  <c r="U5" i="32"/>
  <c r="S5" i="32"/>
  <c r="P5" i="32"/>
  <c r="N5" i="32"/>
  <c r="L5" i="32"/>
  <c r="AG4" i="32"/>
  <c r="AE4" i="32"/>
  <c r="AC4" i="32"/>
  <c r="AA4" i="32"/>
  <c r="Y4" i="32"/>
  <c r="W4" i="32"/>
  <c r="U4" i="32"/>
  <c r="S4" i="32"/>
  <c r="P4" i="32"/>
  <c r="Q4" i="32" s="1"/>
  <c r="N4" i="32"/>
  <c r="L4" i="32"/>
  <c r="Q48" i="32" l="1"/>
  <c r="Q7" i="32"/>
  <c r="Q15" i="32"/>
  <c r="Q12" i="32"/>
  <c r="Q25" i="32"/>
  <c r="Q33" i="32"/>
  <c r="Q39" i="32"/>
  <c r="Q5" i="32"/>
  <c r="Q13" i="32"/>
  <c r="Q23" i="32"/>
  <c r="Q31" i="32"/>
  <c r="Q42" i="32"/>
  <c r="AX61" i="2"/>
  <c r="AY6" i="2"/>
  <c r="AI30" i="32"/>
  <c r="AI22" i="32"/>
  <c r="AI13" i="32"/>
  <c r="AI5" i="32"/>
  <c r="AI41" i="32"/>
  <c r="AI49" i="32"/>
  <c r="AI8" i="32"/>
  <c r="AI16" i="32"/>
  <c r="AI25" i="32"/>
  <c r="AI33" i="32"/>
  <c r="AI44" i="32"/>
  <c r="AI11" i="32"/>
  <c r="AI21" i="32"/>
  <c r="AI28" i="32"/>
  <c r="AI6" i="32"/>
  <c r="AI31" i="32"/>
  <c r="AI14" i="32"/>
  <c r="AI23" i="32"/>
  <c r="AI39" i="32"/>
  <c r="AI47" i="32"/>
  <c r="AI56" i="32"/>
  <c r="AI40" i="32"/>
  <c r="AI48" i="32"/>
  <c r="AI12" i="32"/>
  <c r="AI4" i="32"/>
  <c r="AI29" i="32"/>
  <c r="AI42" i="32"/>
  <c r="AI9" i="32"/>
  <c r="AI19" i="32"/>
  <c r="AI26" i="32"/>
  <c r="AI37" i="32"/>
  <c r="AI45" i="32"/>
  <c r="AI7" i="32"/>
  <c r="AI15" i="32"/>
  <c r="AI24" i="32"/>
  <c r="AI32" i="32"/>
  <c r="AI43" i="32"/>
  <c r="AI10" i="32"/>
  <c r="AI20" i="32"/>
  <c r="AI27" i="32"/>
  <c r="AI38" i="32"/>
  <c r="AI46" i="32"/>
  <c r="AI55" i="32"/>
  <c r="AI50" i="32"/>
  <c r="AI52" i="32"/>
  <c r="W59" i="32"/>
  <c r="J6" i="10" s="1"/>
  <c r="H6" i="38" s="1"/>
  <c r="H38" i="38" s="1"/>
  <c r="AE59" i="32"/>
  <c r="N6" i="10" s="1"/>
  <c r="L6" i="38" s="1"/>
  <c r="L38" i="38" s="1"/>
  <c r="Y59" i="32"/>
  <c r="K6" i="10" s="1"/>
  <c r="I6" i="38" s="1"/>
  <c r="I38" i="38" s="1"/>
  <c r="L59" i="32"/>
  <c r="E6" i="10" s="1"/>
  <c r="AG59" i="32"/>
  <c r="O6" i="10" s="1"/>
  <c r="M6" i="38" s="1"/>
  <c r="M38" i="38" s="1"/>
  <c r="AC59" i="32"/>
  <c r="M6" i="10" s="1"/>
  <c r="K6" i="38" s="1"/>
  <c r="K38" i="38" s="1"/>
  <c r="S59" i="32"/>
  <c r="H6" i="10" s="1"/>
  <c r="F6" i="38" s="1"/>
  <c r="F38" i="38" s="1"/>
  <c r="AA59" i="32"/>
  <c r="L6" i="10" s="1"/>
  <c r="J6" i="38" s="1"/>
  <c r="J38" i="38" s="1"/>
  <c r="U59" i="32"/>
  <c r="I6" i="10" s="1"/>
  <c r="G6" i="38" s="1"/>
  <c r="G38" i="38" s="1"/>
  <c r="N59" i="32"/>
  <c r="F6" i="10" s="1"/>
  <c r="D6" i="38" s="1"/>
  <c r="D38" i="38" s="1"/>
  <c r="P59" i="32"/>
  <c r="G6" i="10" s="1"/>
  <c r="E6" i="38" s="1"/>
  <c r="E38" i="38" s="1"/>
  <c r="C6" i="38" l="1"/>
  <c r="C38" i="38" s="1"/>
  <c r="BB6" i="2"/>
  <c r="BB61" i="2" s="1"/>
  <c r="BD6" i="2"/>
  <c r="BD61" i="2" s="1"/>
  <c r="AY61" i="2"/>
  <c r="BF6" i="2" s="1"/>
  <c r="BC6" i="2"/>
  <c r="BC61" i="2" s="1"/>
  <c r="BA6" i="2"/>
  <c r="C64" i="38"/>
  <c r="C86" i="38"/>
  <c r="E64" i="38"/>
  <c r="E86" i="38"/>
  <c r="I64" i="38"/>
  <c r="I86" i="38"/>
  <c r="L64" i="38"/>
  <c r="L86" i="38"/>
  <c r="H64" i="38"/>
  <c r="H86" i="38"/>
  <c r="J64" i="38"/>
  <c r="J86" i="38"/>
  <c r="G64" i="38"/>
  <c r="G86" i="38"/>
  <c r="D64" i="38"/>
  <c r="D86" i="38"/>
  <c r="F64" i="38"/>
  <c r="F86" i="38"/>
  <c r="K64" i="38"/>
  <c r="K86" i="38"/>
  <c r="M64" i="38"/>
  <c r="M86" i="38"/>
  <c r="K7" i="10"/>
  <c r="K13" i="10"/>
  <c r="I6" i="24" s="1"/>
  <c r="N7" i="10"/>
  <c r="N13" i="10"/>
  <c r="L6" i="24" s="1"/>
  <c r="I7" i="10"/>
  <c r="I13" i="10"/>
  <c r="G6" i="24" s="1"/>
  <c r="J7" i="10"/>
  <c r="J13" i="10"/>
  <c r="H6" i="24" s="1"/>
  <c r="L7" i="10"/>
  <c r="L13" i="10"/>
  <c r="J6" i="24" s="1"/>
  <c r="F7" i="10"/>
  <c r="F13" i="10"/>
  <c r="D6" i="24" s="1"/>
  <c r="H7" i="10"/>
  <c r="H13" i="10"/>
  <c r="F6" i="24" s="1"/>
  <c r="M7" i="10"/>
  <c r="M13" i="10"/>
  <c r="K6" i="24" s="1"/>
  <c r="G7" i="10"/>
  <c r="G13" i="10"/>
  <c r="E6" i="24" s="1"/>
  <c r="O7" i="10"/>
  <c r="O13" i="10"/>
  <c r="M6" i="24" s="1"/>
  <c r="E7" i="10"/>
  <c r="E13" i="10"/>
  <c r="C6" i="24" s="1"/>
  <c r="J59" i="32"/>
  <c r="D6" i="10" s="1"/>
  <c r="B6" i="38" s="1"/>
  <c r="AI59" i="32"/>
  <c r="M26" i="12"/>
  <c r="L26" i="12"/>
  <c r="K26" i="12"/>
  <c r="J26" i="12"/>
  <c r="I26" i="12"/>
  <c r="H26" i="12"/>
  <c r="G26" i="12"/>
  <c r="F26" i="12"/>
  <c r="E26" i="12"/>
  <c r="D26" i="12"/>
  <c r="C26" i="12"/>
  <c r="B26" i="12"/>
  <c r="F126" i="13"/>
  <c r="G126" i="13"/>
  <c r="H126" i="13"/>
  <c r="I126" i="13"/>
  <c r="J126" i="13"/>
  <c r="K126" i="13"/>
  <c r="L126" i="13"/>
  <c r="M126" i="13"/>
  <c r="N126" i="13"/>
  <c r="O126" i="13"/>
  <c r="P126" i="13"/>
  <c r="Q126" i="13"/>
  <c r="BE6" i="2" l="1"/>
  <c r="BF20" i="2"/>
  <c r="BG19" i="2"/>
  <c r="BG20" i="2"/>
  <c r="BE19" i="2"/>
  <c r="BF19" i="2"/>
  <c r="BE20" i="2"/>
  <c r="BF38" i="2"/>
  <c r="BG37" i="2"/>
  <c r="BE36" i="2"/>
  <c r="BG36" i="2"/>
  <c r="BG38" i="2"/>
  <c r="BF36" i="2"/>
  <c r="BE38" i="2"/>
  <c r="BE37" i="2"/>
  <c r="BF37" i="2"/>
  <c r="BE8" i="2"/>
  <c r="BG8" i="2"/>
  <c r="BG60" i="2"/>
  <c r="BG7" i="2"/>
  <c r="BF60" i="2"/>
  <c r="BF8" i="2"/>
  <c r="BE60" i="2"/>
  <c r="BF7" i="2"/>
  <c r="BE7" i="2"/>
  <c r="BE18" i="2"/>
  <c r="BE33" i="2"/>
  <c r="BG34" i="2"/>
  <c r="BF29" i="2"/>
  <c r="BF32" i="2"/>
  <c r="BE53" i="2"/>
  <c r="BG48" i="2"/>
  <c r="BF52" i="2"/>
  <c r="BE40" i="2"/>
  <c r="BG18" i="2"/>
  <c r="BE34" i="2"/>
  <c r="BG28" i="2"/>
  <c r="BE29" i="2"/>
  <c r="BF39" i="2"/>
  <c r="BE35" i="2"/>
  <c r="BG30" i="2"/>
  <c r="BF48" i="2"/>
  <c r="BG31" i="2"/>
  <c r="BG52" i="2"/>
  <c r="BF40" i="2"/>
  <c r="BF34" i="2"/>
  <c r="BG26" i="2"/>
  <c r="BG35" i="2"/>
  <c r="BE28" i="2"/>
  <c r="BE27" i="2"/>
  <c r="BE49" i="2"/>
  <c r="BE48" i="2"/>
  <c r="BF31" i="2"/>
  <c r="BE52" i="2"/>
  <c r="BE26" i="2"/>
  <c r="BF35" i="2"/>
  <c r="BF30" i="2"/>
  <c r="BG49" i="2"/>
  <c r="BE30" i="2"/>
  <c r="BE31" i="2"/>
  <c r="BG40" i="2"/>
  <c r="BG29" i="2"/>
  <c r="BG25" i="2"/>
  <c r="BG53" i="2"/>
  <c r="BF26" i="2"/>
  <c r="BF28" i="2"/>
  <c r="BG33" i="2"/>
  <c r="BG32" i="2"/>
  <c r="BG41" i="2"/>
  <c r="BF27" i="2"/>
  <c r="BF49" i="2"/>
  <c r="BF41" i="2"/>
  <c r="BG39" i="2"/>
  <c r="BE25" i="2"/>
  <c r="BF53" i="2"/>
  <c r="BG27" i="2"/>
  <c r="BF18" i="2"/>
  <c r="BF33" i="2"/>
  <c r="BE32" i="2"/>
  <c r="BE41" i="2"/>
  <c r="BE39" i="2"/>
  <c r="BF25" i="2"/>
  <c r="BG13" i="2"/>
  <c r="BE15" i="2"/>
  <c r="BE16" i="2"/>
  <c r="BF10" i="2"/>
  <c r="BG11" i="2"/>
  <c r="BF13" i="2"/>
  <c r="BG15" i="2"/>
  <c r="BG16" i="2"/>
  <c r="BF12" i="2"/>
  <c r="BE11" i="2"/>
  <c r="BF17" i="2"/>
  <c r="BF15" i="2"/>
  <c r="BG17" i="2"/>
  <c r="BE14" i="2"/>
  <c r="BG12" i="2"/>
  <c r="BE17" i="2"/>
  <c r="BF16" i="2"/>
  <c r="BE13" i="2"/>
  <c r="BE10" i="2"/>
  <c r="BF14" i="2"/>
  <c r="BE12" i="2"/>
  <c r="BF11" i="2"/>
  <c r="BG10" i="2"/>
  <c r="BG14" i="2"/>
  <c r="BF9" i="2"/>
  <c r="BF51" i="2"/>
  <c r="BE9" i="2"/>
  <c r="BE51" i="2"/>
  <c r="BG9" i="2"/>
  <c r="BG51" i="2"/>
  <c r="BF50" i="2"/>
  <c r="BG23" i="2"/>
  <c r="BG50" i="2"/>
  <c r="BF57" i="2"/>
  <c r="BG58" i="2"/>
  <c r="BF23" i="2"/>
  <c r="BE57" i="2"/>
  <c r="BE50" i="2"/>
  <c r="BE23" i="2"/>
  <c r="BG57" i="2"/>
  <c r="BE45" i="2"/>
  <c r="BF45" i="2"/>
  <c r="BE58" i="2"/>
  <c r="BF58" i="2"/>
  <c r="BG45" i="2"/>
  <c r="BE44" i="2"/>
  <c r="BE43" i="2"/>
  <c r="BF43" i="2"/>
  <c r="BF44" i="2"/>
  <c r="BG43" i="2"/>
  <c r="BG44" i="2"/>
  <c r="BF59" i="2"/>
  <c r="BG42" i="2"/>
  <c r="BG59" i="2"/>
  <c r="BE47" i="2"/>
  <c r="BE42" i="2"/>
  <c r="BG47" i="2"/>
  <c r="BF42" i="2"/>
  <c r="BE59" i="2"/>
  <c r="BF47" i="2"/>
  <c r="BE46" i="2"/>
  <c r="BG21" i="2"/>
  <c r="BG46" i="2"/>
  <c r="BF22" i="2"/>
  <c r="BG24" i="2"/>
  <c r="BE21" i="2"/>
  <c r="BF46" i="2"/>
  <c r="BG22" i="2"/>
  <c r="BF24" i="2"/>
  <c r="BF21" i="2"/>
  <c r="BE22" i="2"/>
  <c r="BE24" i="2"/>
  <c r="BA61" i="2"/>
  <c r="BG6" i="2"/>
  <c r="F21" i="10"/>
  <c r="D106" i="24" s="1"/>
  <c r="L21" i="10"/>
  <c r="J106" i="24" s="1"/>
  <c r="O21" i="10"/>
  <c r="M106" i="24" s="1"/>
  <c r="G21" i="10"/>
  <c r="E106" i="24" s="1"/>
  <c r="K21" i="10"/>
  <c r="I106" i="24" s="1"/>
  <c r="M21" i="10"/>
  <c r="K106" i="24" s="1"/>
  <c r="J21" i="10"/>
  <c r="H106" i="24" s="1"/>
  <c r="E21" i="10"/>
  <c r="C106" i="24" s="1"/>
  <c r="H21" i="10"/>
  <c r="F106" i="24" s="1"/>
  <c r="I21" i="10"/>
  <c r="G106" i="24" s="1"/>
  <c r="N6" i="38"/>
  <c r="O6" i="38" s="1"/>
  <c r="B38" i="38"/>
  <c r="N21" i="10"/>
  <c r="L106" i="24" s="1"/>
  <c r="M23" i="10"/>
  <c r="J23" i="10"/>
  <c r="H23" i="10"/>
  <c r="O23" i="10"/>
  <c r="G23" i="10"/>
  <c r="L23" i="10"/>
  <c r="I23" i="10"/>
  <c r="D7" i="10"/>
  <c r="D13" i="10"/>
  <c r="N23" i="10"/>
  <c r="F23" i="10"/>
  <c r="K23" i="10"/>
  <c r="P386" i="14"/>
  <c r="O386" i="14"/>
  <c r="N386" i="14"/>
  <c r="M386" i="14"/>
  <c r="L386" i="14"/>
  <c r="K386" i="14"/>
  <c r="I386" i="14"/>
  <c r="H386" i="14"/>
  <c r="G386" i="14"/>
  <c r="F386" i="14"/>
  <c r="P385" i="14"/>
  <c r="O385" i="14"/>
  <c r="N385" i="14"/>
  <c r="M385" i="14"/>
  <c r="L385" i="14"/>
  <c r="K385" i="14"/>
  <c r="I385" i="14"/>
  <c r="H385" i="14"/>
  <c r="G385" i="14"/>
  <c r="F385" i="14"/>
  <c r="P384" i="14"/>
  <c r="O384" i="14"/>
  <c r="N384" i="14"/>
  <c r="M384" i="14"/>
  <c r="L384" i="14"/>
  <c r="K384" i="14"/>
  <c r="J384" i="14"/>
  <c r="I384" i="14"/>
  <c r="H384" i="14"/>
  <c r="G384" i="14"/>
  <c r="F384" i="14"/>
  <c r="P383" i="14"/>
  <c r="O383" i="14"/>
  <c r="N383" i="14"/>
  <c r="M383" i="14"/>
  <c r="L383" i="14"/>
  <c r="K383" i="14"/>
  <c r="J383" i="14"/>
  <c r="I383" i="14"/>
  <c r="H383" i="14"/>
  <c r="G383" i="14"/>
  <c r="F383" i="14"/>
  <c r="E386" i="14"/>
  <c r="E385" i="14"/>
  <c r="S61" i="13"/>
  <c r="F127" i="13"/>
  <c r="G127" i="13"/>
  <c r="H127" i="13"/>
  <c r="I127" i="13"/>
  <c r="J127" i="13"/>
  <c r="K127" i="13"/>
  <c r="L127" i="13"/>
  <c r="M127" i="13"/>
  <c r="N127" i="13"/>
  <c r="O127" i="13"/>
  <c r="P127" i="13"/>
  <c r="Q127" i="13"/>
  <c r="F128" i="13"/>
  <c r="G128" i="13"/>
  <c r="H128" i="13"/>
  <c r="I128" i="13"/>
  <c r="J128" i="13"/>
  <c r="K128" i="13"/>
  <c r="L128" i="13"/>
  <c r="M128" i="13"/>
  <c r="N128" i="13"/>
  <c r="O128" i="13"/>
  <c r="P128" i="13"/>
  <c r="Q128" i="13"/>
  <c r="E23" i="10" l="1"/>
  <c r="B6" i="24"/>
  <c r="BH6" i="2"/>
  <c r="BH20" i="2"/>
  <c r="BH52" i="2"/>
  <c r="BH38" i="2"/>
  <c r="BH19" i="2"/>
  <c r="BH26" i="2"/>
  <c r="BH37" i="2"/>
  <c r="BH30" i="2"/>
  <c r="BH36" i="2"/>
  <c r="BF61" i="2"/>
  <c r="BH51" i="2"/>
  <c r="BH9" i="2"/>
  <c r="BH16" i="2"/>
  <c r="BH21" i="2"/>
  <c r="G7" i="37" s="1"/>
  <c r="D7" i="37" s="1"/>
  <c r="Z7" i="37" s="1"/>
  <c r="AA7" i="37" s="1"/>
  <c r="BH45" i="2"/>
  <c r="BH49" i="2"/>
  <c r="BH42" i="2"/>
  <c r="BH58" i="2"/>
  <c r="BH13" i="2"/>
  <c r="BH11" i="2"/>
  <c r="BH15" i="2"/>
  <c r="BH31" i="2"/>
  <c r="BH48" i="2"/>
  <c r="G17" i="37" s="1"/>
  <c r="D17" i="37" s="1"/>
  <c r="BH34" i="2"/>
  <c r="BG61" i="2"/>
  <c r="BH29" i="2"/>
  <c r="BH10" i="2"/>
  <c r="BH33" i="2"/>
  <c r="BH24" i="2"/>
  <c r="BH18" i="2"/>
  <c r="BH22" i="2"/>
  <c r="BH47" i="2"/>
  <c r="BH43" i="2"/>
  <c r="BH23" i="2"/>
  <c r="BH39" i="2"/>
  <c r="BH28" i="2"/>
  <c r="BH7" i="2"/>
  <c r="BH8" i="2"/>
  <c r="BH17" i="2"/>
  <c r="BH25" i="2"/>
  <c r="BH27" i="2"/>
  <c r="BH40" i="2"/>
  <c r="BH44" i="2"/>
  <c r="BH50" i="2"/>
  <c r="BH14" i="2"/>
  <c r="BH41" i="2"/>
  <c r="BH35" i="2"/>
  <c r="BE61" i="2"/>
  <c r="BH59" i="2"/>
  <c r="BH46" i="2"/>
  <c r="BH57" i="2"/>
  <c r="BH12" i="2"/>
  <c r="BH32" i="2"/>
  <c r="BH53" i="2"/>
  <c r="G21" i="37" s="1"/>
  <c r="D21" i="37" s="1"/>
  <c r="BH60" i="2"/>
  <c r="D21" i="10"/>
  <c r="B106" i="24" s="1"/>
  <c r="N38" i="38"/>
  <c r="B64" i="38"/>
  <c r="B86" i="38"/>
  <c r="P387" i="14"/>
  <c r="F387" i="14"/>
  <c r="G387" i="14"/>
  <c r="K387" i="14"/>
  <c r="O387" i="14"/>
  <c r="I387" i="14"/>
  <c r="M387" i="14"/>
  <c r="E387" i="14"/>
  <c r="N387" i="14"/>
  <c r="L387" i="14"/>
  <c r="H387" i="14"/>
  <c r="N73" i="12"/>
  <c r="E110" i="13"/>
  <c r="S60" i="13"/>
  <c r="M97" i="12"/>
  <c r="L97" i="12"/>
  <c r="K97" i="12"/>
  <c r="J97" i="12"/>
  <c r="I97" i="12"/>
  <c r="H97" i="12"/>
  <c r="G97" i="12"/>
  <c r="F97" i="12"/>
  <c r="E97" i="12"/>
  <c r="D97" i="12"/>
  <c r="C97" i="12"/>
  <c r="B97" i="12"/>
  <c r="P493" i="14"/>
  <c r="O493" i="14"/>
  <c r="N493" i="14"/>
  <c r="M493" i="14"/>
  <c r="L493" i="14"/>
  <c r="K493" i="14"/>
  <c r="J493" i="14"/>
  <c r="I493" i="14"/>
  <c r="H493" i="14"/>
  <c r="G493" i="14"/>
  <c r="M106" i="12"/>
  <c r="L106" i="12"/>
  <c r="K106" i="12"/>
  <c r="J106" i="12"/>
  <c r="I106" i="12"/>
  <c r="H106" i="12"/>
  <c r="G106" i="12"/>
  <c r="F106" i="12"/>
  <c r="E106" i="12"/>
  <c r="D106" i="12"/>
  <c r="C106" i="12"/>
  <c r="B106" i="12"/>
  <c r="G14" i="37" l="1"/>
  <c r="D14" i="37" s="1"/>
  <c r="Z14" i="37" s="1"/>
  <c r="AA14" i="37" s="1"/>
  <c r="G15" i="37"/>
  <c r="D15" i="37" s="1"/>
  <c r="AB15" i="37" s="1"/>
  <c r="G18" i="37"/>
  <c r="D18" i="37" s="1"/>
  <c r="AB18" i="37" s="1"/>
  <c r="G8" i="37"/>
  <c r="D8" i="37" s="1"/>
  <c r="Z8" i="37" s="1"/>
  <c r="AA8" i="37" s="1"/>
  <c r="G5" i="37"/>
  <c r="D5" i="37" s="1"/>
  <c r="G19" i="37"/>
  <c r="D19" i="37" s="1"/>
  <c r="AB19" i="37" s="1"/>
  <c r="G9" i="37"/>
  <c r="D9" i="37" s="1"/>
  <c r="Z9" i="37" s="1"/>
  <c r="AA9" i="37" s="1"/>
  <c r="G10" i="37"/>
  <c r="D10" i="37" s="1"/>
  <c r="Z10" i="37" s="1"/>
  <c r="AA10" i="37" s="1"/>
  <c r="G20" i="37"/>
  <c r="D20" i="37" s="1"/>
  <c r="Z20" i="37" s="1"/>
  <c r="AA20" i="37" s="1"/>
  <c r="G22" i="37"/>
  <c r="D22" i="37" s="1"/>
  <c r="AB22" i="37" s="1"/>
  <c r="G13" i="37"/>
  <c r="D13" i="37" s="1"/>
  <c r="Z13" i="37" s="1"/>
  <c r="AA13" i="37" s="1"/>
  <c r="G16" i="37"/>
  <c r="D16" i="37" s="1"/>
  <c r="AB16" i="37" s="1"/>
  <c r="BH61" i="2"/>
  <c r="G11" i="37"/>
  <c r="D11" i="37" s="1"/>
  <c r="Z11" i="37" s="1"/>
  <c r="AA11" i="37" s="1"/>
  <c r="AB7" i="37"/>
  <c r="G6" i="37"/>
  <c r="D6" i="37" s="1"/>
  <c r="AB6" i="37" s="1"/>
  <c r="AB21" i="37"/>
  <c r="Z21" i="37"/>
  <c r="AA21" i="37" s="1"/>
  <c r="G12" i="37"/>
  <c r="D12" i="37" s="1"/>
  <c r="AB17" i="37"/>
  <c r="Z17" i="37"/>
  <c r="AA17" i="37" s="1"/>
  <c r="O52" i="38"/>
  <c r="O56" i="38"/>
  <c r="O75" i="38"/>
  <c r="O57" i="38"/>
  <c r="O62" i="38"/>
  <c r="O68" i="38"/>
  <c r="O81" i="38"/>
  <c r="O77" i="38"/>
  <c r="O78" i="38"/>
  <c r="O69" i="38"/>
  <c r="O83" i="38"/>
  <c r="O70" i="38"/>
  <c r="O51" i="38"/>
  <c r="O82" i="38"/>
  <c r="O40" i="38"/>
  <c r="O61" i="38"/>
  <c r="N64" i="38"/>
  <c r="O71" i="38"/>
  <c r="O72" i="38"/>
  <c r="O84" i="38"/>
  <c r="O85" i="38"/>
  <c r="N86" i="38"/>
  <c r="O88" i="38"/>
  <c r="M27" i="12"/>
  <c r="E27" i="12"/>
  <c r="D27" i="12"/>
  <c r="L27" i="12"/>
  <c r="K27" i="12"/>
  <c r="C27" i="12"/>
  <c r="J27" i="12"/>
  <c r="B27" i="12"/>
  <c r="I27" i="12"/>
  <c r="H27" i="12"/>
  <c r="G27" i="12"/>
  <c r="F27" i="12"/>
  <c r="O4" i="25"/>
  <c r="P4" i="25" s="1"/>
  <c r="O3" i="25"/>
  <c r="P3" i="25" s="1"/>
  <c r="P500" i="14"/>
  <c r="O500" i="14"/>
  <c r="N500" i="14"/>
  <c r="M500" i="14"/>
  <c r="L500" i="14"/>
  <c r="K500" i="14"/>
  <c r="J500" i="14"/>
  <c r="I500" i="14"/>
  <c r="H500" i="14"/>
  <c r="G500" i="14"/>
  <c r="P494" i="14"/>
  <c r="O494" i="14"/>
  <c r="N494" i="14"/>
  <c r="M494" i="14"/>
  <c r="L494" i="14"/>
  <c r="K494" i="14"/>
  <c r="J494" i="14"/>
  <c r="I494" i="14"/>
  <c r="H494" i="14"/>
  <c r="G494" i="14"/>
  <c r="F494" i="14"/>
  <c r="E494" i="14"/>
  <c r="M33" i="31"/>
  <c r="L33" i="31"/>
  <c r="K33" i="31"/>
  <c r="J33" i="31"/>
  <c r="I33" i="31"/>
  <c r="H33" i="31"/>
  <c r="G33" i="31"/>
  <c r="F33" i="31"/>
  <c r="E33" i="31"/>
  <c r="D33" i="31"/>
  <c r="C33" i="31"/>
  <c r="B33" i="31"/>
  <c r="AB14" i="37" l="1"/>
  <c r="Z15" i="37"/>
  <c r="AA15" i="37" s="1"/>
  <c r="AB8" i="37"/>
  <c r="Z18" i="37"/>
  <c r="AA18" i="37" s="1"/>
  <c r="AB9" i="37"/>
  <c r="AB10" i="37"/>
  <c r="Z19" i="37"/>
  <c r="AA19" i="37" s="1"/>
  <c r="AB20" i="37"/>
  <c r="Z22" i="37"/>
  <c r="AA22" i="37" s="1"/>
  <c r="AB13" i="37"/>
  <c r="Z16" i="37"/>
  <c r="AA16" i="37" s="1"/>
  <c r="AB11" i="37"/>
  <c r="Z6" i="37"/>
  <c r="AA6" i="37" s="1"/>
  <c r="AB12" i="37"/>
  <c r="Z12" i="37"/>
  <c r="AA12" i="37" s="1"/>
  <c r="Z5" i="37"/>
  <c r="AB5" i="37"/>
  <c r="G28" i="37"/>
  <c r="D28" i="37" s="1"/>
  <c r="G514" i="14"/>
  <c r="H514" i="14"/>
  <c r="I514" i="14"/>
  <c r="J514" i="14"/>
  <c r="K514" i="14"/>
  <c r="L514" i="14"/>
  <c r="M514" i="14"/>
  <c r="N514" i="14"/>
  <c r="O514" i="14"/>
  <c r="P514" i="14"/>
  <c r="P457" i="14"/>
  <c r="O457" i="14"/>
  <c r="N457" i="14"/>
  <c r="M457" i="14"/>
  <c r="L457" i="14"/>
  <c r="K457" i="14"/>
  <c r="J457" i="14"/>
  <c r="I457" i="14"/>
  <c r="H457" i="14"/>
  <c r="G457" i="14"/>
  <c r="F457" i="14"/>
  <c r="E457" i="14"/>
  <c r="P456" i="14"/>
  <c r="O456" i="14"/>
  <c r="N456" i="14"/>
  <c r="M456" i="14"/>
  <c r="L456" i="14"/>
  <c r="K456" i="14"/>
  <c r="J456" i="14"/>
  <c r="I456" i="14"/>
  <c r="H456" i="14"/>
  <c r="G456" i="14"/>
  <c r="F456" i="14"/>
  <c r="E456" i="14"/>
  <c r="AA5" i="37" l="1"/>
  <c r="Z28" i="37"/>
  <c r="AA28" i="37" s="1"/>
  <c r="D29" i="37"/>
  <c r="P32" i="37"/>
  <c r="Q32" i="37"/>
  <c r="AG2" i="37"/>
  <c r="AB28" i="37"/>
  <c r="G461" i="14"/>
  <c r="M461" i="14"/>
  <c r="E461" i="14"/>
  <c r="O461" i="14"/>
  <c r="H461" i="14"/>
  <c r="P461" i="14"/>
  <c r="N461" i="14"/>
  <c r="Q457" i="14"/>
  <c r="J461" i="14"/>
  <c r="I461" i="14"/>
  <c r="L461" i="14"/>
  <c r="K461" i="14"/>
  <c r="Q456" i="14"/>
  <c r="F461" i="14"/>
  <c r="Q8" i="37" l="1"/>
  <c r="Q18" i="37"/>
  <c r="Q7" i="37"/>
  <c r="Q20" i="37"/>
  <c r="Q19" i="37"/>
  <c r="Q9" i="37"/>
  <c r="Q14" i="37"/>
  <c r="Q10" i="37"/>
  <c r="Q22" i="37"/>
  <c r="Q15" i="37"/>
  <c r="Q16" i="37"/>
  <c r="Q21" i="37"/>
  <c r="Q11" i="37"/>
  <c r="Q13" i="37"/>
  <c r="Q17" i="37"/>
  <c r="Q6" i="37"/>
  <c r="Q12" i="37"/>
  <c r="Q5" i="37"/>
  <c r="Q461" i="14"/>
  <c r="S461" i="14" s="1"/>
  <c r="T461" i="14" s="1"/>
  <c r="P28" i="37" l="1"/>
  <c r="Q28" i="37"/>
  <c r="D23" i="31"/>
  <c r="D24" i="31" s="1"/>
  <c r="D25" i="31" s="1"/>
  <c r="T88" i="31"/>
  <c r="T85" i="31"/>
  <c r="T84" i="31"/>
  <c r="T83" i="31"/>
  <c r="T82" i="31"/>
  <c r="T81" i="31"/>
  <c r="T78" i="31"/>
  <c r="T77" i="31"/>
  <c r="T75" i="31"/>
  <c r="M75" i="31"/>
  <c r="L75" i="31"/>
  <c r="K75" i="31"/>
  <c r="J75" i="31"/>
  <c r="I75" i="31"/>
  <c r="H75" i="31"/>
  <c r="G75" i="31"/>
  <c r="F75" i="31"/>
  <c r="E75" i="31"/>
  <c r="D75" i="31"/>
  <c r="C75" i="31"/>
  <c r="B75" i="31"/>
  <c r="T72" i="31"/>
  <c r="T71" i="31"/>
  <c r="T70" i="31"/>
  <c r="T69" i="31"/>
  <c r="T68" i="31"/>
  <c r="T62" i="31"/>
  <c r="T61" i="31"/>
  <c r="T57" i="31"/>
  <c r="T56" i="31"/>
  <c r="N56" i="31"/>
  <c r="T52" i="31"/>
  <c r="T51" i="31"/>
  <c r="T43" i="31"/>
  <c r="T42" i="31"/>
  <c r="T41" i="31"/>
  <c r="T40" i="31"/>
  <c r="T39" i="31"/>
  <c r="M34" i="31"/>
  <c r="M35" i="31" s="1"/>
  <c r="M36" i="31" s="1"/>
  <c r="L34" i="31"/>
  <c r="L35" i="31" s="1"/>
  <c r="L36" i="31" s="1"/>
  <c r="K34" i="31"/>
  <c r="K35" i="31" s="1"/>
  <c r="K36" i="31" s="1"/>
  <c r="J34" i="31"/>
  <c r="J35" i="31" s="1"/>
  <c r="J36" i="31" s="1"/>
  <c r="I34" i="31"/>
  <c r="I35" i="31" s="1"/>
  <c r="I36" i="31" s="1"/>
  <c r="H34" i="31"/>
  <c r="H35" i="31" s="1"/>
  <c r="H36" i="31" s="1"/>
  <c r="G34" i="31"/>
  <c r="G35" i="31" s="1"/>
  <c r="G36" i="31" s="1"/>
  <c r="F34" i="31"/>
  <c r="F35" i="31" s="1"/>
  <c r="F36" i="31" s="1"/>
  <c r="E34" i="31"/>
  <c r="E35" i="31" s="1"/>
  <c r="E36" i="31" s="1"/>
  <c r="D34" i="31"/>
  <c r="D35" i="31" s="1"/>
  <c r="D36" i="31" s="1"/>
  <c r="C34" i="31"/>
  <c r="C35" i="31" s="1"/>
  <c r="C36" i="31" s="1"/>
  <c r="B34" i="31"/>
  <c r="B35" i="31" s="1"/>
  <c r="N33" i="31"/>
  <c r="N32" i="31"/>
  <c r="N31" i="31"/>
  <c r="N30" i="31"/>
  <c r="N29" i="31"/>
  <c r="N28" i="31"/>
  <c r="M23" i="31"/>
  <c r="M24" i="31" s="1"/>
  <c r="M25" i="31" s="1"/>
  <c r="L23" i="31"/>
  <c r="L24" i="31" s="1"/>
  <c r="L25" i="31" s="1"/>
  <c r="K23" i="31"/>
  <c r="K24" i="31" s="1"/>
  <c r="K25" i="31" s="1"/>
  <c r="J23" i="31"/>
  <c r="J24" i="31" s="1"/>
  <c r="J25" i="31" s="1"/>
  <c r="I23" i="31"/>
  <c r="I24" i="31" s="1"/>
  <c r="I25" i="31" s="1"/>
  <c r="H23" i="31"/>
  <c r="H24" i="31" s="1"/>
  <c r="H25" i="31" s="1"/>
  <c r="G23" i="31"/>
  <c r="G24" i="31" s="1"/>
  <c r="G25" i="31" s="1"/>
  <c r="F23" i="31"/>
  <c r="F24" i="31" s="1"/>
  <c r="F25" i="31" s="1"/>
  <c r="E23" i="31"/>
  <c r="E24" i="31" s="1"/>
  <c r="E25" i="31" s="1"/>
  <c r="C23" i="31"/>
  <c r="C24" i="31" s="1"/>
  <c r="C25" i="31" s="1"/>
  <c r="B23" i="31"/>
  <c r="B24" i="31" s="1"/>
  <c r="N22" i="31"/>
  <c r="N21" i="31"/>
  <c r="N20" i="31"/>
  <c r="N19" i="31"/>
  <c r="N18" i="31"/>
  <c r="N17" i="31"/>
  <c r="N23" i="31" l="1"/>
  <c r="N34" i="31"/>
  <c r="B36" i="31"/>
  <c r="N35" i="31"/>
  <c r="N36" i="31" s="1"/>
  <c r="B25" i="31"/>
  <c r="N24" i="31"/>
  <c r="N25" i="31" s="1"/>
  <c r="N75" i="31"/>
  <c r="P529" i="14" l="1"/>
  <c r="E529" i="14"/>
  <c r="O529" i="14"/>
  <c r="N529" i="14"/>
  <c r="M529" i="14"/>
  <c r="L529" i="14"/>
  <c r="K529" i="14"/>
  <c r="J529" i="14"/>
  <c r="I529" i="14"/>
  <c r="H529" i="14"/>
  <c r="G529" i="14"/>
  <c r="F529" i="14"/>
  <c r="Q501" i="14"/>
  <c r="D76" i="28"/>
  <c r="D77" i="28" s="1"/>
  <c r="C69" i="28"/>
  <c r="C68" i="28"/>
  <c r="C67" i="28"/>
  <c r="D68" i="28"/>
  <c r="D69" i="28"/>
  <c r="E70" i="28"/>
  <c r="F70" i="28"/>
  <c r="G70" i="28"/>
  <c r="H70" i="28"/>
  <c r="I70" i="28"/>
  <c r="J70" i="28"/>
  <c r="K70" i="28"/>
  <c r="L70" i="28"/>
  <c r="M70" i="28"/>
  <c r="N70" i="28"/>
  <c r="O70" i="28"/>
  <c r="P70" i="28"/>
  <c r="E78" i="28"/>
  <c r="F78" i="28"/>
  <c r="G78" i="28"/>
  <c r="H78" i="28"/>
  <c r="I78" i="28"/>
  <c r="J78" i="28"/>
  <c r="K78" i="28"/>
  <c r="L78" i="28"/>
  <c r="M78" i="28"/>
  <c r="N78" i="28"/>
  <c r="O78" i="28"/>
  <c r="P78" i="28"/>
  <c r="B68" i="28"/>
  <c r="B69" i="28"/>
  <c r="B70" i="28"/>
  <c r="B71" i="28"/>
  <c r="B72" i="28"/>
  <c r="B73" i="28"/>
  <c r="B74" i="28"/>
  <c r="B75" i="28"/>
  <c r="B76" i="28"/>
  <c r="B77" i="28"/>
  <c r="B78" i="28"/>
  <c r="B67" i="28"/>
  <c r="B53" i="28"/>
  <c r="B54" i="28"/>
  <c r="B55" i="28"/>
  <c r="B56" i="28"/>
  <c r="B57" i="28"/>
  <c r="B58" i="28"/>
  <c r="B59" i="28"/>
  <c r="B60" i="28"/>
  <c r="B61" i="28"/>
  <c r="B62" i="28"/>
  <c r="B63" i="28"/>
  <c r="B52" i="28"/>
  <c r="P13" i="28"/>
  <c r="O13" i="28"/>
  <c r="N13" i="28"/>
  <c r="M13" i="28"/>
  <c r="L13" i="28"/>
  <c r="K13" i="28"/>
  <c r="J13" i="28"/>
  <c r="J22" i="28" s="1"/>
  <c r="J45" i="28" s="1"/>
  <c r="J75" i="28" s="1"/>
  <c r="I13" i="28"/>
  <c r="I22" i="28" s="1"/>
  <c r="I45" i="28" s="1"/>
  <c r="I75" i="28" s="1"/>
  <c r="H13" i="28"/>
  <c r="H22" i="28" s="1"/>
  <c r="H45" i="28" s="1"/>
  <c r="H75" i="28" s="1"/>
  <c r="G13" i="28"/>
  <c r="G22" i="28" s="1"/>
  <c r="G45" i="28" s="1"/>
  <c r="G75" i="28" s="1"/>
  <c r="F13" i="28"/>
  <c r="F22" i="28" s="1"/>
  <c r="F45" i="28" s="1"/>
  <c r="F75" i="28" s="1"/>
  <c r="P12" i="28"/>
  <c r="O12" i="28"/>
  <c r="N12" i="28"/>
  <c r="M12" i="28"/>
  <c r="L12" i="28"/>
  <c r="K12" i="28"/>
  <c r="J12" i="28"/>
  <c r="J19" i="28" s="1"/>
  <c r="J41" i="28" s="1"/>
  <c r="J71" i="28" s="1"/>
  <c r="I12" i="28"/>
  <c r="I19" i="28" s="1"/>
  <c r="I41" i="28" s="1"/>
  <c r="I71" i="28" s="1"/>
  <c r="H12" i="28"/>
  <c r="H19" i="28" s="1"/>
  <c r="H41" i="28" s="1"/>
  <c r="H71" i="28" s="1"/>
  <c r="G12" i="28"/>
  <c r="G19" i="28" s="1"/>
  <c r="G41" i="28" s="1"/>
  <c r="G71" i="28" s="1"/>
  <c r="F12" i="28"/>
  <c r="F19" i="28" s="1"/>
  <c r="F41" i="28" s="1"/>
  <c r="F71" i="28" s="1"/>
  <c r="P11" i="28"/>
  <c r="O11" i="28"/>
  <c r="N11" i="28"/>
  <c r="M11" i="28"/>
  <c r="L11" i="28"/>
  <c r="K11" i="28"/>
  <c r="J11" i="28"/>
  <c r="J16" i="28" s="1"/>
  <c r="J43" i="28" s="1"/>
  <c r="J73" i="28" s="1"/>
  <c r="I11" i="28"/>
  <c r="I16" i="28" s="1"/>
  <c r="I43" i="28" s="1"/>
  <c r="I73" i="28" s="1"/>
  <c r="H11" i="28"/>
  <c r="H16" i="28" s="1"/>
  <c r="H43" i="28" s="1"/>
  <c r="H73" i="28" s="1"/>
  <c r="G11" i="28"/>
  <c r="G16" i="28" s="1"/>
  <c r="G37" i="28" s="1"/>
  <c r="F11" i="28"/>
  <c r="F16" i="28" s="1"/>
  <c r="F43" i="28" s="1"/>
  <c r="F73" i="28" s="1"/>
  <c r="E13" i="28"/>
  <c r="E22" i="28" s="1"/>
  <c r="E47" i="28" s="1"/>
  <c r="E77" i="28" s="1"/>
  <c r="E12" i="28"/>
  <c r="E19" i="28" s="1"/>
  <c r="E41" i="28" s="1"/>
  <c r="E71" i="28" s="1"/>
  <c r="E11" i="28"/>
  <c r="E16" i="28" s="1"/>
  <c r="E43" i="28" s="1"/>
  <c r="E73" i="28" s="1"/>
  <c r="C32" i="10"/>
  <c r="M33" i="10"/>
  <c r="L33" i="10"/>
  <c r="K33" i="10"/>
  <c r="J33" i="10"/>
  <c r="I33" i="10"/>
  <c r="H33" i="10"/>
  <c r="G33" i="10"/>
  <c r="F33" i="10"/>
  <c r="E33" i="10"/>
  <c r="D33" i="10"/>
  <c r="O31" i="10"/>
  <c r="O36" i="10" l="1"/>
  <c r="O33" i="10"/>
  <c r="Q529" i="14"/>
  <c r="G43" i="28"/>
  <c r="G73" i="28" s="1"/>
  <c r="F44" i="28"/>
  <c r="F74" i="28" s="1"/>
  <c r="E46" i="28"/>
  <c r="E76" i="28" s="1"/>
  <c r="G44" i="28"/>
  <c r="G74" i="28" s="1"/>
  <c r="E44" i="28"/>
  <c r="E74" i="28" s="1"/>
  <c r="H44" i="28"/>
  <c r="H74" i="28" s="1"/>
  <c r="I44" i="28"/>
  <c r="I74" i="28" s="1"/>
  <c r="E45" i="28"/>
  <c r="E75" i="28" s="1"/>
  <c r="J44" i="28"/>
  <c r="J74" i="28" s="1"/>
  <c r="E37" i="28"/>
  <c r="F37" i="28"/>
  <c r="F46" i="28"/>
  <c r="F76" i="28" s="1"/>
  <c r="I42" i="28"/>
  <c r="I72" i="28" s="1"/>
  <c r="I47" i="28"/>
  <c r="I77" i="28" s="1"/>
  <c r="F47" i="28"/>
  <c r="F77" i="28" s="1"/>
  <c r="F42" i="28"/>
  <c r="F72" i="28" s="1"/>
  <c r="G47" i="28"/>
  <c r="G77" i="28" s="1"/>
  <c r="G42" i="28"/>
  <c r="G72" i="28" s="1"/>
  <c r="H47" i="28"/>
  <c r="H77" i="28" s="1"/>
  <c r="H42" i="28"/>
  <c r="H72" i="28" s="1"/>
  <c r="H37" i="28"/>
  <c r="H46" i="28"/>
  <c r="H76" i="28" s="1"/>
  <c r="J47" i="28"/>
  <c r="J77" i="28" s="1"/>
  <c r="J42" i="28"/>
  <c r="J72" i="28" s="1"/>
  <c r="I37" i="28"/>
  <c r="I46" i="28"/>
  <c r="I76" i="28" s="1"/>
  <c r="J46" i="28"/>
  <c r="J76" i="28" s="1"/>
  <c r="J37" i="28"/>
  <c r="E42" i="28"/>
  <c r="E72" i="28" s="1"/>
  <c r="G46" i="28"/>
  <c r="G76" i="28" s="1"/>
  <c r="C31" i="10"/>
  <c r="M102" i="24" l="1"/>
  <c r="M97" i="38"/>
  <c r="Q502" i="14"/>
  <c r="C33" i="10"/>
  <c r="L47" i="30" l="1"/>
  <c r="K47" i="30"/>
  <c r="J47" i="30"/>
  <c r="I47" i="30"/>
  <c r="H47" i="30"/>
  <c r="G47" i="30"/>
  <c r="F47" i="30"/>
  <c r="E47" i="30"/>
  <c r="D47" i="30"/>
  <c r="C47" i="30"/>
  <c r="B47" i="30"/>
  <c r="M18" i="30"/>
  <c r="M19" i="30"/>
  <c r="M20" i="30"/>
  <c r="M22" i="30"/>
  <c r="L73" i="30"/>
  <c r="K73" i="30"/>
  <c r="J73" i="30"/>
  <c r="I73" i="30"/>
  <c r="H73" i="30"/>
  <c r="G73" i="30"/>
  <c r="F73" i="30"/>
  <c r="E73" i="30"/>
  <c r="D73" i="30"/>
  <c r="C73" i="30"/>
  <c r="B73" i="30"/>
  <c r="L34" i="24"/>
  <c r="L35" i="24" s="1"/>
  <c r="L36" i="24" s="1"/>
  <c r="K34" i="24"/>
  <c r="K35" i="24" s="1"/>
  <c r="K36" i="24" s="1"/>
  <c r="J34" i="24"/>
  <c r="J35" i="24" s="1"/>
  <c r="J36" i="24" s="1"/>
  <c r="I34" i="24"/>
  <c r="I35" i="24" s="1"/>
  <c r="I36" i="24" s="1"/>
  <c r="H34" i="24"/>
  <c r="H35" i="24" s="1"/>
  <c r="H36" i="24" s="1"/>
  <c r="G34" i="24"/>
  <c r="G35" i="24" s="1"/>
  <c r="G36" i="24" s="1"/>
  <c r="F34" i="24"/>
  <c r="F35" i="24" s="1"/>
  <c r="F36" i="24" s="1"/>
  <c r="E34" i="24"/>
  <c r="E35" i="24" s="1"/>
  <c r="E36" i="24" s="1"/>
  <c r="D34" i="24"/>
  <c r="D35" i="24" s="1"/>
  <c r="D36" i="24" s="1"/>
  <c r="C34" i="24"/>
  <c r="C35" i="24" s="1"/>
  <c r="C36" i="24" s="1"/>
  <c r="B34" i="24"/>
  <c r="B35" i="24" s="1"/>
  <c r="B36" i="24" s="1"/>
  <c r="N33" i="24"/>
  <c r="N32" i="24"/>
  <c r="N31" i="24"/>
  <c r="N30" i="24"/>
  <c r="N28" i="24"/>
  <c r="M34" i="24" l="1"/>
  <c r="M35" i="24" s="1"/>
  <c r="M36" i="24" s="1"/>
  <c r="N29" i="24"/>
  <c r="N34" i="24" s="1"/>
  <c r="C93" i="31" l="1"/>
  <c r="D93" i="31"/>
  <c r="K93" i="31"/>
  <c r="F93" i="31"/>
  <c r="J93" i="31"/>
  <c r="E93" i="31"/>
  <c r="G93" i="31"/>
  <c r="B93" i="31"/>
  <c r="M93" i="31"/>
  <c r="H93" i="31"/>
  <c r="I93" i="31"/>
  <c r="L93" i="31"/>
  <c r="N35" i="24"/>
  <c r="N36" i="24" s="1"/>
  <c r="Q77" i="24" l="1"/>
  <c r="Q52" i="24"/>
  <c r="M67" i="30"/>
  <c r="M66" i="30"/>
  <c r="M65" i="30"/>
  <c r="M61" i="30"/>
  <c r="M60" i="30"/>
  <c r="M73" i="30" s="1"/>
  <c r="N73" i="30" s="1"/>
  <c r="M59" i="30"/>
  <c r="M62" i="30" s="1"/>
  <c r="M58" i="30"/>
  <c r="M47" i="30"/>
  <c r="M48" i="30" s="1"/>
  <c r="M46" i="30"/>
  <c r="M42" i="30"/>
  <c r="M41" i="30"/>
  <c r="M51" i="30" s="1"/>
  <c r="N66" i="30"/>
  <c r="M30" i="30"/>
  <c r="M8" i="30"/>
  <c r="M9" i="30"/>
  <c r="M10" i="30"/>
  <c r="M11" i="30"/>
  <c r="M33" i="30" s="1"/>
  <c r="M7" i="30"/>
  <c r="M29" i="30" s="1"/>
  <c r="M6" i="30"/>
  <c r="T78" i="30"/>
  <c r="T75" i="30"/>
  <c r="T74" i="30"/>
  <c r="T73" i="30"/>
  <c r="T72" i="30"/>
  <c r="T71" i="30"/>
  <c r="T68" i="30"/>
  <c r="L68" i="30"/>
  <c r="I68" i="30"/>
  <c r="H68" i="30"/>
  <c r="E68" i="30"/>
  <c r="D68" i="30"/>
  <c r="T67" i="30"/>
  <c r="K74" i="30"/>
  <c r="J74" i="30"/>
  <c r="H74" i="30"/>
  <c r="G74" i="30"/>
  <c r="F74" i="30"/>
  <c r="C74" i="30"/>
  <c r="N67" i="30"/>
  <c r="T65" i="30"/>
  <c r="L71" i="30"/>
  <c r="K68" i="30"/>
  <c r="J68" i="30"/>
  <c r="H71" i="30"/>
  <c r="G68" i="30"/>
  <c r="F68" i="30"/>
  <c r="D71" i="30"/>
  <c r="C68" i="30"/>
  <c r="B68" i="30"/>
  <c r="T62" i="30"/>
  <c r="F62" i="30"/>
  <c r="E62" i="30"/>
  <c r="T61" i="30"/>
  <c r="L74" i="30"/>
  <c r="I74" i="30"/>
  <c r="E74" i="30"/>
  <c r="D74" i="30"/>
  <c r="N61" i="30"/>
  <c r="T60" i="30"/>
  <c r="T59" i="30"/>
  <c r="L72" i="30"/>
  <c r="K72" i="30"/>
  <c r="J72" i="30"/>
  <c r="I72" i="30"/>
  <c r="H72" i="30"/>
  <c r="G72" i="30"/>
  <c r="F72" i="30"/>
  <c r="E72" i="30"/>
  <c r="D72" i="30"/>
  <c r="C72" i="30"/>
  <c r="B72" i="30"/>
  <c r="T58" i="30"/>
  <c r="M71" i="30"/>
  <c r="L62" i="30"/>
  <c r="K62" i="30"/>
  <c r="J62" i="30"/>
  <c r="I62" i="30"/>
  <c r="H62" i="30"/>
  <c r="G62" i="30"/>
  <c r="E71" i="30"/>
  <c r="D62" i="30"/>
  <c r="C62" i="30"/>
  <c r="B62" i="30"/>
  <c r="T52" i="30"/>
  <c r="K52" i="30"/>
  <c r="J52" i="30"/>
  <c r="G52" i="30"/>
  <c r="C52" i="30"/>
  <c r="B52" i="30"/>
  <c r="T51" i="30"/>
  <c r="J51" i="30"/>
  <c r="I51" i="30"/>
  <c r="E51" i="30"/>
  <c r="B51" i="30"/>
  <c r="K48" i="30"/>
  <c r="J48" i="30"/>
  <c r="G48" i="30"/>
  <c r="F48" i="30"/>
  <c r="C48" i="30"/>
  <c r="B48" i="30"/>
  <c r="T47" i="30"/>
  <c r="L48" i="30"/>
  <c r="I52" i="30"/>
  <c r="H52" i="30"/>
  <c r="F52" i="30"/>
  <c r="E48" i="30"/>
  <c r="D48" i="30"/>
  <c r="T46" i="30"/>
  <c r="N46" i="30"/>
  <c r="Q56" i="24" s="1"/>
  <c r="I43" i="30"/>
  <c r="F43" i="30"/>
  <c r="E43" i="30"/>
  <c r="T42" i="30"/>
  <c r="N42" i="30"/>
  <c r="T41" i="30"/>
  <c r="L43" i="30"/>
  <c r="K43" i="30"/>
  <c r="J43" i="30"/>
  <c r="H51" i="30"/>
  <c r="G51" i="30"/>
  <c r="F51" i="30"/>
  <c r="D43" i="30"/>
  <c r="C43" i="30"/>
  <c r="B43" i="30"/>
  <c r="T33" i="30"/>
  <c r="J33" i="30"/>
  <c r="I33" i="30"/>
  <c r="E33" i="30"/>
  <c r="B33" i="30"/>
  <c r="T32" i="30"/>
  <c r="T31" i="30"/>
  <c r="K31" i="30"/>
  <c r="G31" i="30"/>
  <c r="C31" i="30"/>
  <c r="T30" i="30"/>
  <c r="G30" i="30"/>
  <c r="F30" i="30"/>
  <c r="T29" i="30"/>
  <c r="I29" i="30"/>
  <c r="F29" i="30"/>
  <c r="E29" i="30"/>
  <c r="K28" i="30"/>
  <c r="J28" i="30"/>
  <c r="C28" i="30"/>
  <c r="B28" i="30"/>
  <c r="I23" i="30"/>
  <c r="L33" i="30"/>
  <c r="K33" i="30"/>
  <c r="H33" i="30"/>
  <c r="G33" i="30"/>
  <c r="N22" i="30"/>
  <c r="D33" i="30"/>
  <c r="C33" i="30"/>
  <c r="M32" i="30"/>
  <c r="L32" i="30"/>
  <c r="K32" i="30"/>
  <c r="J32" i="30"/>
  <c r="G32" i="30"/>
  <c r="F32" i="30"/>
  <c r="E32" i="30"/>
  <c r="D32" i="30"/>
  <c r="C32" i="30"/>
  <c r="N21" i="30"/>
  <c r="M31" i="30"/>
  <c r="L31" i="30"/>
  <c r="J31" i="30"/>
  <c r="I31" i="30"/>
  <c r="H31" i="30"/>
  <c r="F31" i="30"/>
  <c r="E31" i="30"/>
  <c r="N20" i="30"/>
  <c r="B31" i="30"/>
  <c r="L30" i="30"/>
  <c r="K30" i="30"/>
  <c r="I30" i="30"/>
  <c r="H30" i="30"/>
  <c r="E30" i="30"/>
  <c r="D30" i="30"/>
  <c r="C30" i="30"/>
  <c r="L29" i="30"/>
  <c r="K29" i="30"/>
  <c r="J29" i="30"/>
  <c r="H23" i="30"/>
  <c r="G23" i="30"/>
  <c r="F23" i="30"/>
  <c r="F24" i="30" s="1"/>
  <c r="F25" i="30" s="1"/>
  <c r="D29" i="30"/>
  <c r="C29" i="30"/>
  <c r="N18" i="30"/>
  <c r="L28" i="30"/>
  <c r="I28" i="30"/>
  <c r="H28" i="30"/>
  <c r="G28" i="30"/>
  <c r="E28" i="30"/>
  <c r="D28" i="30"/>
  <c r="N17" i="30"/>
  <c r="F12" i="30"/>
  <c r="F94" i="31" s="1"/>
  <c r="I32" i="30"/>
  <c r="H32" i="30"/>
  <c r="N10" i="30"/>
  <c r="N9" i="30"/>
  <c r="J30" i="30"/>
  <c r="N8" i="30"/>
  <c r="L12" i="30"/>
  <c r="L94" i="31" s="1"/>
  <c r="K12" i="30"/>
  <c r="K94" i="31" s="1"/>
  <c r="I12" i="30"/>
  <c r="H12" i="30"/>
  <c r="G12" i="30"/>
  <c r="G94" i="31" s="1"/>
  <c r="E12" i="30"/>
  <c r="D12" i="30"/>
  <c r="D94" i="31" s="1"/>
  <c r="C12" i="30"/>
  <c r="C94" i="31" s="1"/>
  <c r="N7" i="30"/>
  <c r="K13" i="30"/>
  <c r="K14" i="30" s="1"/>
  <c r="F28" i="30"/>
  <c r="C13" i="30"/>
  <c r="C14" i="30" s="1"/>
  <c r="T88" i="24"/>
  <c r="T85" i="24"/>
  <c r="T84" i="24"/>
  <c r="T83" i="24"/>
  <c r="T82" i="24"/>
  <c r="T81" i="24"/>
  <c r="T78" i="24"/>
  <c r="T77" i="24"/>
  <c r="T75" i="24"/>
  <c r="T72" i="24"/>
  <c r="T71" i="24"/>
  <c r="T70" i="24"/>
  <c r="T69" i="24"/>
  <c r="T68" i="24"/>
  <c r="T62" i="24"/>
  <c r="T61" i="24"/>
  <c r="T57" i="24"/>
  <c r="T56" i="24"/>
  <c r="T52" i="24"/>
  <c r="T51" i="24"/>
  <c r="T40" i="24"/>
  <c r="T41" i="24"/>
  <c r="T42" i="24"/>
  <c r="T43" i="24"/>
  <c r="T39" i="24"/>
  <c r="E13" i="30" l="1"/>
  <c r="E14" i="30" s="1"/>
  <c r="E94" i="31"/>
  <c r="Q52" i="38"/>
  <c r="Q52" i="31"/>
  <c r="Q76" i="38"/>
  <c r="Q76" i="31"/>
  <c r="Q83" i="38"/>
  <c r="Q83" i="31"/>
  <c r="Q71" i="38"/>
  <c r="Q71" i="31"/>
  <c r="Q76" i="24"/>
  <c r="H13" i="30"/>
  <c r="H14" i="30" s="1"/>
  <c r="H94" i="31"/>
  <c r="I13" i="30"/>
  <c r="I14" i="30" s="1"/>
  <c r="I94" i="31"/>
  <c r="M43" i="30"/>
  <c r="M68" i="30"/>
  <c r="N11" i="30"/>
  <c r="Q77" i="38"/>
  <c r="Q77" i="31"/>
  <c r="M74" i="30"/>
  <c r="Q56" i="38"/>
  <c r="Q56" i="31"/>
  <c r="Q71" i="24"/>
  <c r="H53" i="30"/>
  <c r="H54" i="30" s="1"/>
  <c r="M72" i="30"/>
  <c r="E75" i="30"/>
  <c r="E76" i="30" s="1"/>
  <c r="D75" i="30"/>
  <c r="D76" i="30" s="1"/>
  <c r="L75" i="30"/>
  <c r="L76" i="30" s="1"/>
  <c r="Q83" i="24"/>
  <c r="G53" i="30"/>
  <c r="G54" i="30" s="1"/>
  <c r="F53" i="30"/>
  <c r="F54" i="30" s="1"/>
  <c r="B53" i="30"/>
  <c r="B54" i="30" s="1"/>
  <c r="J53" i="30"/>
  <c r="J54" i="30" s="1"/>
  <c r="L34" i="30"/>
  <c r="L35" i="30" s="1"/>
  <c r="M12" i="30"/>
  <c r="M28" i="30"/>
  <c r="J34" i="30"/>
  <c r="J35" i="30" s="1"/>
  <c r="I34" i="30"/>
  <c r="I35" i="30" s="1"/>
  <c r="D13" i="30"/>
  <c r="D14" i="30" s="1"/>
  <c r="L13" i="30"/>
  <c r="L14" i="30" s="1"/>
  <c r="M34" i="30"/>
  <c r="M35" i="30" s="1"/>
  <c r="N12" i="30"/>
  <c r="N94" i="31" s="1"/>
  <c r="M75" i="30"/>
  <c r="G13" i="30"/>
  <c r="G14" i="30" s="1"/>
  <c r="N72" i="30"/>
  <c r="C34" i="30"/>
  <c r="C35" i="30" s="1"/>
  <c r="K34" i="30"/>
  <c r="K35" i="30" s="1"/>
  <c r="E34" i="30"/>
  <c r="E35" i="30" s="1"/>
  <c r="I53" i="30"/>
  <c r="I54" i="30" s="1"/>
  <c r="H75" i="30"/>
  <c r="N19" i="30"/>
  <c r="N23" i="30" s="1"/>
  <c r="J23" i="30"/>
  <c r="J24" i="30" s="1"/>
  <c r="J25" i="30" s="1"/>
  <c r="N47" i="30"/>
  <c r="Q57" i="38" s="1"/>
  <c r="B71" i="30"/>
  <c r="C23" i="30"/>
  <c r="C24" i="30" s="1"/>
  <c r="C25" i="30" s="1"/>
  <c r="K23" i="30"/>
  <c r="K24" i="30" s="1"/>
  <c r="K25" i="30" s="1"/>
  <c r="G29" i="30"/>
  <c r="G34" i="30" s="1"/>
  <c r="G35" i="30" s="1"/>
  <c r="B32" i="30"/>
  <c r="N32" i="30" s="1"/>
  <c r="G43" i="30"/>
  <c r="H48" i="30"/>
  <c r="C51" i="30"/>
  <c r="C53" i="30" s="1"/>
  <c r="C54" i="30" s="1"/>
  <c r="K51" i="30"/>
  <c r="K53" i="30" s="1"/>
  <c r="K54" i="30" s="1"/>
  <c r="D52" i="30"/>
  <c r="L52" i="30"/>
  <c r="C71" i="30"/>
  <c r="C75" i="30" s="1"/>
  <c r="K71" i="30"/>
  <c r="K75" i="30" s="1"/>
  <c r="N65" i="30"/>
  <c r="I71" i="30"/>
  <c r="I75" i="30" s="1"/>
  <c r="N6" i="30"/>
  <c r="B23" i="30"/>
  <c r="B24" i="30" s="1"/>
  <c r="J71" i="30"/>
  <c r="J75" i="30" s="1"/>
  <c r="D23" i="30"/>
  <c r="D24" i="30" s="1"/>
  <c r="D25" i="30" s="1"/>
  <c r="L23" i="30"/>
  <c r="L24" i="30" s="1"/>
  <c r="L25" i="30" s="1"/>
  <c r="G24" i="30"/>
  <c r="G25" i="30" s="1"/>
  <c r="H29" i="30"/>
  <c r="H34" i="30" s="1"/>
  <c r="H35" i="30" s="1"/>
  <c r="N41" i="30"/>
  <c r="H43" i="30"/>
  <c r="I48" i="30"/>
  <c r="D51" i="30"/>
  <c r="L51" i="30"/>
  <c r="E52" i="30"/>
  <c r="E53" i="30" s="1"/>
  <c r="M52" i="30"/>
  <c r="M53" i="30" s="1"/>
  <c r="M54" i="30" s="1"/>
  <c r="N60" i="30"/>
  <c r="B12" i="30"/>
  <c r="H24" i="30"/>
  <c r="H25" i="30" s="1"/>
  <c r="N28" i="30"/>
  <c r="O66" i="30" s="1"/>
  <c r="N59" i="30"/>
  <c r="F13" i="30"/>
  <c r="F14" i="30" s="1"/>
  <c r="I24" i="30"/>
  <c r="I25" i="30" s="1"/>
  <c r="B29" i="30"/>
  <c r="D31" i="30"/>
  <c r="N31" i="30" s="1"/>
  <c r="F33" i="30"/>
  <c r="N33" i="30" s="1"/>
  <c r="N58" i="30"/>
  <c r="F71" i="30"/>
  <c r="F75" i="30" s="1"/>
  <c r="J12" i="30"/>
  <c r="M23" i="30"/>
  <c r="M24" i="30" s="1"/>
  <c r="M25" i="30" s="1"/>
  <c r="B30" i="30"/>
  <c r="N30" i="30" s="1"/>
  <c r="G71" i="30"/>
  <c r="G75" i="30" s="1"/>
  <c r="B74" i="30"/>
  <c r="N74" i="30" s="1"/>
  <c r="E23" i="30"/>
  <c r="E24" i="30" s="1"/>
  <c r="E25" i="30" s="1"/>
  <c r="C27" i="10"/>
  <c r="C36" i="10" s="1"/>
  <c r="Q82" i="38" l="1"/>
  <c r="Q82" i="31"/>
  <c r="Q82" i="24"/>
  <c r="R76" i="31"/>
  <c r="Q43" i="24"/>
  <c r="Q43" i="38"/>
  <c r="Q43" i="31"/>
  <c r="B13" i="30"/>
  <c r="B14" i="30" s="1"/>
  <c r="B94" i="31"/>
  <c r="Q51" i="38"/>
  <c r="Q51" i="31"/>
  <c r="Q51" i="24"/>
  <c r="R76" i="38"/>
  <c r="Q42" i="24"/>
  <c r="Q42" i="38"/>
  <c r="Q42" i="31"/>
  <c r="R42" i="31" s="1"/>
  <c r="R52" i="31"/>
  <c r="Q40" i="24"/>
  <c r="Q40" i="38"/>
  <c r="R40" i="38" s="1"/>
  <c r="Q40" i="31"/>
  <c r="R71" i="31"/>
  <c r="O46" i="30"/>
  <c r="Q38" i="38"/>
  <c r="R83" i="38" s="1"/>
  <c r="Q38" i="31"/>
  <c r="R83" i="31" s="1"/>
  <c r="Q38" i="24"/>
  <c r="Q68" i="38"/>
  <c r="R68" i="38" s="1"/>
  <c r="Q68" i="31"/>
  <c r="Q68" i="24"/>
  <c r="Q41" i="24"/>
  <c r="Q41" i="38"/>
  <c r="Q41" i="31"/>
  <c r="R41" i="31" s="1"/>
  <c r="R77" i="31"/>
  <c r="R71" i="38"/>
  <c r="R57" i="38"/>
  <c r="Q84" i="38"/>
  <c r="Q84" i="31"/>
  <c r="R84" i="31" s="1"/>
  <c r="Q84" i="24"/>
  <c r="Q70" i="38"/>
  <c r="Q70" i="31"/>
  <c r="R70" i="31" s="1"/>
  <c r="Q70" i="24"/>
  <c r="Q75" i="38"/>
  <c r="R75" i="38" s="1"/>
  <c r="Q75" i="31"/>
  <c r="R75" i="31" s="1"/>
  <c r="Q75" i="24"/>
  <c r="M13" i="30"/>
  <c r="M14" i="30" s="1"/>
  <c r="M94" i="31"/>
  <c r="J13" i="30"/>
  <c r="J14" i="30" s="1"/>
  <c r="J94" i="31"/>
  <c r="Q69" i="38"/>
  <c r="Q69" i="31"/>
  <c r="R69" i="31" s="1"/>
  <c r="Q69" i="24"/>
  <c r="Q57" i="24"/>
  <c r="Q57" i="31"/>
  <c r="R57" i="31" s="1"/>
  <c r="N52" i="30"/>
  <c r="L53" i="30"/>
  <c r="L54" i="30" s="1"/>
  <c r="D53" i="30"/>
  <c r="D54" i="30" s="1"/>
  <c r="F34" i="30"/>
  <c r="F35" i="30" s="1"/>
  <c r="F36" i="30" s="1"/>
  <c r="O74" i="30"/>
  <c r="O59" i="30"/>
  <c r="O33" i="30"/>
  <c r="O31" i="30"/>
  <c r="E36" i="30"/>
  <c r="H36" i="30"/>
  <c r="E54" i="30"/>
  <c r="E78" i="30"/>
  <c r="E79" i="30" s="1"/>
  <c r="E80" i="30" s="1"/>
  <c r="K36" i="30"/>
  <c r="I36" i="30"/>
  <c r="B25" i="30"/>
  <c r="N24" i="30"/>
  <c r="N25" i="30" s="1"/>
  <c r="J76" i="30"/>
  <c r="J78" i="30"/>
  <c r="J79" i="30" s="1"/>
  <c r="J80" i="30" s="1"/>
  <c r="C36" i="30"/>
  <c r="O58" i="30"/>
  <c r="N62" i="30"/>
  <c r="B75" i="30"/>
  <c r="N71" i="30"/>
  <c r="D34" i="30"/>
  <c r="D35" i="30" s="1"/>
  <c r="L36" i="30"/>
  <c r="O73" i="30"/>
  <c r="N13" i="30"/>
  <c r="N14" i="30" s="1"/>
  <c r="O6" i="30"/>
  <c r="N48" i="30"/>
  <c r="Q58" i="38" s="1"/>
  <c r="R58" i="38" s="1"/>
  <c r="O47" i="30"/>
  <c r="G36" i="30"/>
  <c r="J36" i="30"/>
  <c r="F78" i="30"/>
  <c r="F76" i="30"/>
  <c r="G78" i="30"/>
  <c r="G79" i="30" s="1"/>
  <c r="G80" i="30" s="1"/>
  <c r="G76" i="30"/>
  <c r="O41" i="30"/>
  <c r="N43" i="30"/>
  <c r="I76" i="30"/>
  <c r="I78" i="30"/>
  <c r="I79" i="30" s="1"/>
  <c r="I80" i="30" s="1"/>
  <c r="H78" i="30"/>
  <c r="H79" i="30" s="1"/>
  <c r="H80" i="30" s="1"/>
  <c r="H76" i="30"/>
  <c r="M36" i="30"/>
  <c r="O60" i="30"/>
  <c r="N68" i="30"/>
  <c r="O65" i="30"/>
  <c r="O67" i="30"/>
  <c r="O30" i="30"/>
  <c r="B34" i="30"/>
  <c r="B35" i="30" s="1"/>
  <c r="N29" i="30"/>
  <c r="K76" i="30"/>
  <c r="K78" i="30"/>
  <c r="K79" i="30" s="1"/>
  <c r="K80" i="30" s="1"/>
  <c r="O32" i="30"/>
  <c r="O61" i="30"/>
  <c r="O42" i="30"/>
  <c r="O72" i="30"/>
  <c r="N51" i="30"/>
  <c r="C76" i="30"/>
  <c r="C78" i="30"/>
  <c r="C79" i="30" s="1"/>
  <c r="C80" i="30" s="1"/>
  <c r="M76" i="30"/>
  <c r="M78" i="30"/>
  <c r="M79" i="30" s="1"/>
  <c r="M80" i="30" s="1"/>
  <c r="R43" i="24" l="1"/>
  <c r="R69" i="24"/>
  <c r="O68" i="30"/>
  <c r="Q78" i="38"/>
  <c r="R78" i="38" s="1"/>
  <c r="Q78" i="31"/>
  <c r="R78" i="31" s="1"/>
  <c r="Q78" i="24"/>
  <c r="R78" i="24" s="1"/>
  <c r="O62" i="30"/>
  <c r="Q72" i="38"/>
  <c r="R72" i="38" s="1"/>
  <c r="Q72" i="31"/>
  <c r="R72" i="31" s="1"/>
  <c r="Q72" i="24"/>
  <c r="R72" i="24" s="1"/>
  <c r="R52" i="24"/>
  <c r="R77" i="24"/>
  <c r="R71" i="24"/>
  <c r="R56" i="24"/>
  <c r="R76" i="24"/>
  <c r="R40" i="24"/>
  <c r="R51" i="24"/>
  <c r="R69" i="38"/>
  <c r="R70" i="24"/>
  <c r="R56" i="31"/>
  <c r="R51" i="31"/>
  <c r="R56" i="38"/>
  <c r="Q61" i="38"/>
  <c r="R61" i="38" s="1"/>
  <c r="Q61" i="31"/>
  <c r="R61" i="31" s="1"/>
  <c r="Q61" i="24"/>
  <c r="R61" i="24" s="1"/>
  <c r="Q62" i="31"/>
  <c r="R62" i="31" s="1"/>
  <c r="Q62" i="38"/>
  <c r="R62" i="38" s="1"/>
  <c r="R70" i="38"/>
  <c r="R41" i="38"/>
  <c r="R77" i="38"/>
  <c r="R82" i="24"/>
  <c r="R84" i="24"/>
  <c r="R41" i="24"/>
  <c r="R52" i="38"/>
  <c r="R82" i="31"/>
  <c r="R83" i="24"/>
  <c r="R57" i="24"/>
  <c r="R68" i="24"/>
  <c r="R42" i="38"/>
  <c r="R43" i="31"/>
  <c r="R82" i="38"/>
  <c r="Q39" i="24"/>
  <c r="R39" i="24" s="1"/>
  <c r="Q39" i="38"/>
  <c r="R39" i="38" s="1"/>
  <c r="Q39" i="31"/>
  <c r="R39" i="31" s="1"/>
  <c r="R51" i="38"/>
  <c r="Q81" i="38"/>
  <c r="R81" i="38" s="1"/>
  <c r="Q81" i="31"/>
  <c r="R81" i="31" s="1"/>
  <c r="Q81" i="24"/>
  <c r="R81" i="24" s="1"/>
  <c r="Q53" i="38"/>
  <c r="R53" i="38" s="1"/>
  <c r="Q53" i="31"/>
  <c r="R53" i="31" s="1"/>
  <c r="Q53" i="24"/>
  <c r="R53" i="24" s="1"/>
  <c r="R75" i="24"/>
  <c r="R84" i="38"/>
  <c r="R68" i="31"/>
  <c r="R40" i="31"/>
  <c r="R42" i="24"/>
  <c r="R43" i="38"/>
  <c r="Q58" i="24"/>
  <c r="R58" i="24" s="1"/>
  <c r="Q58" i="31"/>
  <c r="R58" i="31" s="1"/>
  <c r="O52" i="30"/>
  <c r="Q62" i="24"/>
  <c r="R62" i="24" s="1"/>
  <c r="L78" i="30"/>
  <c r="L79" i="30" s="1"/>
  <c r="L80" i="30" s="1"/>
  <c r="D78" i="30"/>
  <c r="D79" i="30" s="1"/>
  <c r="D80" i="30" s="1"/>
  <c r="F79" i="30"/>
  <c r="F80" i="30" s="1"/>
  <c r="D36" i="30"/>
  <c r="B36" i="30"/>
  <c r="N35" i="30"/>
  <c r="O71" i="30"/>
  <c r="N75" i="30"/>
  <c r="O51" i="30"/>
  <c r="N53" i="30"/>
  <c r="B76" i="30"/>
  <c r="B78" i="30"/>
  <c r="B79" i="30" s="1"/>
  <c r="B80" i="30" s="1"/>
  <c r="N34" i="30"/>
  <c r="O29" i="30"/>
  <c r="Q44" i="24" l="1"/>
  <c r="Q44" i="38"/>
  <c r="Q44" i="31"/>
  <c r="Q63" i="31"/>
  <c r="R63" i="31" s="1"/>
  <c r="Q63" i="38"/>
  <c r="R63" i="38" s="1"/>
  <c r="Q85" i="24"/>
  <c r="R85" i="24" s="1"/>
  <c r="Q85" i="38"/>
  <c r="R85" i="38" s="1"/>
  <c r="Q85" i="31"/>
  <c r="R85" i="31" s="1"/>
  <c r="Q45" i="24"/>
  <c r="Q45" i="38"/>
  <c r="Q45" i="31"/>
  <c r="N54" i="30"/>
  <c r="Q63" i="24"/>
  <c r="R63" i="24" s="1"/>
  <c r="N36" i="30"/>
  <c r="N76" i="30"/>
  <c r="N78" i="30"/>
  <c r="O75" i="30"/>
  <c r="Q88" i="31" l="1"/>
  <c r="R88" i="31" s="1"/>
  <c r="Q88" i="38"/>
  <c r="R88" i="38" s="1"/>
  <c r="Q86" i="24"/>
  <c r="Q86" i="38"/>
  <c r="Q86" i="31"/>
  <c r="Q46" i="24"/>
  <c r="Q46" i="38"/>
  <c r="Q46" i="31"/>
  <c r="O78" i="30"/>
  <c r="Q88" i="24"/>
  <c r="R88" i="24" s="1"/>
  <c r="N79" i="30"/>
  <c r="Q89" i="31" l="1"/>
  <c r="Q89" i="38"/>
  <c r="N80" i="30"/>
  <c r="Q90" i="38" s="1"/>
  <c r="Q89" i="24"/>
  <c r="Q90" i="24" l="1"/>
  <c r="Q90" i="31"/>
  <c r="N93" i="31" l="1"/>
  <c r="N81" i="12"/>
  <c r="N80" i="12"/>
  <c r="D70" i="28"/>
  <c r="P26" i="28"/>
  <c r="O26" i="28"/>
  <c r="N26" i="28"/>
  <c r="M26" i="28"/>
  <c r="L26" i="28"/>
  <c r="K26" i="28"/>
  <c r="J26" i="28"/>
  <c r="I26" i="28"/>
  <c r="H26" i="28"/>
  <c r="G26" i="28"/>
  <c r="F26" i="28"/>
  <c r="O22" i="28"/>
  <c r="N22" i="28"/>
  <c r="M22" i="28"/>
  <c r="L22" i="28"/>
  <c r="P5" i="28"/>
  <c r="O5" i="28"/>
  <c r="N5" i="28"/>
  <c r="M5" i="28"/>
  <c r="L5" i="28"/>
  <c r="K5" i="28"/>
  <c r="J5" i="28"/>
  <c r="I5" i="28"/>
  <c r="H5" i="28"/>
  <c r="G5" i="28"/>
  <c r="F5" i="28"/>
  <c r="E5" i="28"/>
  <c r="N80" i="29"/>
  <c r="L80" i="29"/>
  <c r="AH68" i="29"/>
  <c r="AF63" i="29"/>
  <c r="AD63" i="29"/>
  <c r="AB63" i="29"/>
  <c r="Z63" i="29"/>
  <c r="X63" i="29"/>
  <c r="V63" i="29"/>
  <c r="T63" i="29"/>
  <c r="R63" i="29"/>
  <c r="P63" i="29"/>
  <c r="N63" i="29"/>
  <c r="L63" i="29"/>
  <c r="AF62" i="29"/>
  <c r="AD62" i="29"/>
  <c r="AB62" i="29"/>
  <c r="Z62" i="29"/>
  <c r="X62" i="29"/>
  <c r="V62" i="29"/>
  <c r="T62" i="29"/>
  <c r="R62" i="29"/>
  <c r="P62" i="29"/>
  <c r="N62" i="29"/>
  <c r="L62" i="29"/>
  <c r="H62" i="29"/>
  <c r="AF61" i="29"/>
  <c r="AD61" i="29"/>
  <c r="AB61" i="29"/>
  <c r="Z61" i="29"/>
  <c r="X61" i="29"/>
  <c r="V61" i="29"/>
  <c r="T61" i="29"/>
  <c r="R61" i="29"/>
  <c r="P61" i="29"/>
  <c r="N61" i="29"/>
  <c r="L61" i="29"/>
  <c r="AF60" i="29"/>
  <c r="AD60" i="29"/>
  <c r="AB60" i="29"/>
  <c r="Z60" i="29"/>
  <c r="X60" i="29"/>
  <c r="V60" i="29"/>
  <c r="T60" i="29"/>
  <c r="R60" i="29"/>
  <c r="P60" i="29"/>
  <c r="N60" i="29"/>
  <c r="L60" i="29"/>
  <c r="AF59" i="29"/>
  <c r="AD59" i="29"/>
  <c r="AB59" i="29"/>
  <c r="Z59" i="29"/>
  <c r="X59" i="29"/>
  <c r="V59" i="29"/>
  <c r="T59" i="29"/>
  <c r="R59" i="29"/>
  <c r="P59" i="29"/>
  <c r="N59" i="29"/>
  <c r="L59" i="29"/>
  <c r="AF42" i="29"/>
  <c r="AD42" i="29"/>
  <c r="AB42" i="29"/>
  <c r="Z42" i="29"/>
  <c r="X42" i="29"/>
  <c r="V42" i="29"/>
  <c r="T42" i="29"/>
  <c r="R42" i="29"/>
  <c r="L42" i="29"/>
  <c r="AF41" i="29"/>
  <c r="AD41" i="29"/>
  <c r="AB41" i="29"/>
  <c r="Z41" i="29"/>
  <c r="X41" i="29"/>
  <c r="V41" i="29"/>
  <c r="T41" i="29"/>
  <c r="R41" i="29"/>
  <c r="L41" i="29"/>
  <c r="AF40" i="29"/>
  <c r="AD40" i="29"/>
  <c r="AB40" i="29"/>
  <c r="Z40" i="29"/>
  <c r="X40" i="29"/>
  <c r="V40" i="29"/>
  <c r="T40" i="29"/>
  <c r="R40" i="29"/>
  <c r="L40" i="29"/>
  <c r="AF39" i="29"/>
  <c r="AD39" i="29"/>
  <c r="AB39" i="29"/>
  <c r="Z39" i="29"/>
  <c r="X39" i="29"/>
  <c r="V39" i="29"/>
  <c r="T39" i="29"/>
  <c r="R39" i="29"/>
  <c r="L39" i="29"/>
  <c r="AF38" i="29"/>
  <c r="AD38" i="29"/>
  <c r="AB38" i="29"/>
  <c r="Z38" i="29"/>
  <c r="X38" i="29"/>
  <c r="V38" i="29"/>
  <c r="T38" i="29"/>
  <c r="R38" i="29"/>
  <c r="L38" i="29"/>
  <c r="AF37" i="29"/>
  <c r="AD37" i="29"/>
  <c r="AB37" i="29"/>
  <c r="Z37" i="29"/>
  <c r="X37" i="29"/>
  <c r="V37" i="29"/>
  <c r="T37" i="29"/>
  <c r="R37" i="29"/>
  <c r="L37" i="29"/>
  <c r="AH37" i="29" s="1"/>
  <c r="AF36" i="29"/>
  <c r="AD36" i="29"/>
  <c r="AB36" i="29"/>
  <c r="Z36" i="29"/>
  <c r="X36" i="29"/>
  <c r="V36" i="29"/>
  <c r="T36" i="29"/>
  <c r="R36" i="29"/>
  <c r="L36" i="29"/>
  <c r="AF35" i="29"/>
  <c r="AD35" i="29"/>
  <c r="AB35" i="29"/>
  <c r="Z35" i="29"/>
  <c r="X35" i="29"/>
  <c r="V35" i="29"/>
  <c r="T35" i="29"/>
  <c r="R35" i="29"/>
  <c r="L35" i="29"/>
  <c r="AF34" i="29"/>
  <c r="AD34" i="29"/>
  <c r="AB34" i="29"/>
  <c r="Z34" i="29"/>
  <c r="X34" i="29"/>
  <c r="V34" i="29"/>
  <c r="T34" i="29"/>
  <c r="R34" i="29"/>
  <c r="L34" i="29"/>
  <c r="AF33" i="29"/>
  <c r="AD33" i="29"/>
  <c r="AB33" i="29"/>
  <c r="Z33" i="29"/>
  <c r="X33" i="29"/>
  <c r="V33" i="29"/>
  <c r="T33" i="29"/>
  <c r="R33" i="29"/>
  <c r="L33" i="29"/>
  <c r="AF32" i="29"/>
  <c r="AD32" i="29"/>
  <c r="AB32" i="29"/>
  <c r="Z32" i="29"/>
  <c r="X32" i="29"/>
  <c r="V32" i="29"/>
  <c r="T32" i="29"/>
  <c r="R32" i="29"/>
  <c r="L32" i="29"/>
  <c r="AF31" i="29"/>
  <c r="AD31" i="29"/>
  <c r="AB31" i="29"/>
  <c r="Z31" i="29"/>
  <c r="X31" i="29"/>
  <c r="V31" i="29"/>
  <c r="T31" i="29"/>
  <c r="R31" i="29"/>
  <c r="L31" i="29"/>
  <c r="AF30" i="29"/>
  <c r="AD30" i="29"/>
  <c r="AB30" i="29"/>
  <c r="Z30" i="29"/>
  <c r="X30" i="29"/>
  <c r="V30" i="29"/>
  <c r="T30" i="29"/>
  <c r="R30" i="29"/>
  <c r="L30" i="29"/>
  <c r="AF29" i="29"/>
  <c r="AD29" i="29"/>
  <c r="AB29" i="29"/>
  <c r="Z29" i="29"/>
  <c r="X29" i="29"/>
  <c r="V29" i="29"/>
  <c r="T29" i="29"/>
  <c r="R29" i="29"/>
  <c r="L29" i="29"/>
  <c r="AH29" i="29" s="1"/>
  <c r="AF28" i="29"/>
  <c r="AD28" i="29"/>
  <c r="AB28" i="29"/>
  <c r="Z28" i="29"/>
  <c r="X28" i="29"/>
  <c r="V28" i="29"/>
  <c r="T28" i="29"/>
  <c r="R28" i="29"/>
  <c r="L28" i="29"/>
  <c r="AF27" i="29"/>
  <c r="AD27" i="29"/>
  <c r="AB27" i="29"/>
  <c r="Z27" i="29"/>
  <c r="X27" i="29"/>
  <c r="V27" i="29"/>
  <c r="T27" i="29"/>
  <c r="R27" i="29"/>
  <c r="L27" i="29"/>
  <c r="AF26" i="29"/>
  <c r="AD26" i="29"/>
  <c r="AB26" i="29"/>
  <c r="Z26" i="29"/>
  <c r="X26" i="29"/>
  <c r="V26" i="29"/>
  <c r="T26" i="29"/>
  <c r="R26" i="29"/>
  <c r="L26" i="29"/>
  <c r="AF25" i="29"/>
  <c r="AD25" i="29"/>
  <c r="AB25" i="29"/>
  <c r="Z25" i="29"/>
  <c r="X25" i="29"/>
  <c r="V25" i="29"/>
  <c r="T25" i="29"/>
  <c r="R25" i="29"/>
  <c r="L25" i="29"/>
  <c r="AF24" i="29"/>
  <c r="AD24" i="29"/>
  <c r="AB24" i="29"/>
  <c r="Z24" i="29"/>
  <c r="X24" i="29"/>
  <c r="V24" i="29"/>
  <c r="T24" i="29"/>
  <c r="R24" i="29"/>
  <c r="L24" i="29"/>
  <c r="AF23" i="29"/>
  <c r="AD23" i="29"/>
  <c r="AB23" i="29"/>
  <c r="Z23" i="29"/>
  <c r="X23" i="29"/>
  <c r="V23" i="29"/>
  <c r="T23" i="29"/>
  <c r="R23" i="29"/>
  <c r="L23" i="29"/>
  <c r="AF22" i="29"/>
  <c r="AD22" i="29"/>
  <c r="AB22" i="29"/>
  <c r="Z22" i="29"/>
  <c r="X22" i="29"/>
  <c r="V22" i="29"/>
  <c r="T22" i="29"/>
  <c r="R22" i="29"/>
  <c r="L22" i="29"/>
  <c r="AF21" i="29"/>
  <c r="AD21" i="29"/>
  <c r="AB21" i="29"/>
  <c r="Z21" i="29"/>
  <c r="X21" i="29"/>
  <c r="V21" i="29"/>
  <c r="T21" i="29"/>
  <c r="R21" i="29"/>
  <c r="L21" i="29"/>
  <c r="AH21" i="29" s="1"/>
  <c r="AF20" i="29"/>
  <c r="AD20" i="29"/>
  <c r="AB20" i="29"/>
  <c r="Z20" i="29"/>
  <c r="X20" i="29"/>
  <c r="V20" i="29"/>
  <c r="T20" i="29"/>
  <c r="R20" i="29"/>
  <c r="L20" i="29"/>
  <c r="AF19" i="29"/>
  <c r="AD19" i="29"/>
  <c r="AB19" i="29"/>
  <c r="Z19" i="29"/>
  <c r="X19" i="29"/>
  <c r="V19" i="29"/>
  <c r="T19" i="29"/>
  <c r="R19" i="29"/>
  <c r="L19" i="29"/>
  <c r="AF18" i="29"/>
  <c r="AD18" i="29"/>
  <c r="AB18" i="29"/>
  <c r="Z18" i="29"/>
  <c r="X18" i="29"/>
  <c r="V18" i="29"/>
  <c r="T18" i="29"/>
  <c r="R18" i="29"/>
  <c r="L18" i="29"/>
  <c r="AF17" i="29"/>
  <c r="AD17" i="29"/>
  <c r="AB17" i="29"/>
  <c r="Z17" i="29"/>
  <c r="X17" i="29"/>
  <c r="V17" i="29"/>
  <c r="T17" i="29"/>
  <c r="R17" i="29"/>
  <c r="L17" i="29"/>
  <c r="AF16" i="29"/>
  <c r="AD16" i="29"/>
  <c r="AB16" i="29"/>
  <c r="Z16" i="29"/>
  <c r="X16" i="29"/>
  <c r="V16" i="29"/>
  <c r="T16" i="29"/>
  <c r="R16" i="29"/>
  <c r="L16" i="29"/>
  <c r="AF15" i="29"/>
  <c r="AD15" i="29"/>
  <c r="AB15" i="29"/>
  <c r="Z15" i="29"/>
  <c r="X15" i="29"/>
  <c r="V15" i="29"/>
  <c r="T15" i="29"/>
  <c r="R15" i="29"/>
  <c r="L15" i="29"/>
  <c r="AF14" i="29"/>
  <c r="AD14" i="29"/>
  <c r="AB14" i="29"/>
  <c r="Z14" i="29"/>
  <c r="X14" i="29"/>
  <c r="V14" i="29"/>
  <c r="T14" i="29"/>
  <c r="R14" i="29"/>
  <c r="L14" i="29"/>
  <c r="AF13" i="29"/>
  <c r="AD13" i="29"/>
  <c r="AB13" i="29"/>
  <c r="Z13" i="29"/>
  <c r="X13" i="29"/>
  <c r="V13" i="29"/>
  <c r="T13" i="29"/>
  <c r="R13" i="29"/>
  <c r="L13" i="29"/>
  <c r="AH13" i="29" s="1"/>
  <c r="AF12" i="29"/>
  <c r="AD12" i="29"/>
  <c r="AB12" i="29"/>
  <c r="Z12" i="29"/>
  <c r="X12" i="29"/>
  <c r="V12" i="29"/>
  <c r="T12" i="29"/>
  <c r="R12" i="29"/>
  <c r="L12" i="29"/>
  <c r="AF11" i="29"/>
  <c r="AD11" i="29"/>
  <c r="AB11" i="29"/>
  <c r="Z11" i="29"/>
  <c r="X11" i="29"/>
  <c r="V11" i="29"/>
  <c r="T11" i="29"/>
  <c r="R11" i="29"/>
  <c r="L11" i="29"/>
  <c r="AF10" i="29"/>
  <c r="AD10" i="29"/>
  <c r="AB10" i="29"/>
  <c r="Z10" i="29"/>
  <c r="X10" i="29"/>
  <c r="V10" i="29"/>
  <c r="T10" i="29"/>
  <c r="R10" i="29"/>
  <c r="L10" i="29"/>
  <c r="AF9" i="29"/>
  <c r="AD9" i="29"/>
  <c r="AB9" i="29"/>
  <c r="Z9" i="29"/>
  <c r="X9" i="29"/>
  <c r="V9" i="29"/>
  <c r="T9" i="29"/>
  <c r="R9" i="29"/>
  <c r="L9" i="29"/>
  <c r="AF8" i="29"/>
  <c r="AD8" i="29"/>
  <c r="AB8" i="29"/>
  <c r="Z8" i="29"/>
  <c r="X8" i="29"/>
  <c r="V8" i="29"/>
  <c r="T8" i="29"/>
  <c r="R8" i="29"/>
  <c r="L8" i="29"/>
  <c r="AF7" i="29"/>
  <c r="AD7" i="29"/>
  <c r="AB7" i="29"/>
  <c r="Z7" i="29"/>
  <c r="X7" i="29"/>
  <c r="V7" i="29"/>
  <c r="T7" i="29"/>
  <c r="R7" i="29"/>
  <c r="L7" i="29"/>
  <c r="AF6" i="29"/>
  <c r="AD6" i="29"/>
  <c r="AB6" i="29"/>
  <c r="Z6" i="29"/>
  <c r="X6" i="29"/>
  <c r="V6" i="29"/>
  <c r="T6" i="29"/>
  <c r="R6" i="29"/>
  <c r="L6" i="29"/>
  <c r="AF5" i="29"/>
  <c r="AD5" i="29"/>
  <c r="AB5" i="29"/>
  <c r="Z5" i="29"/>
  <c r="X5" i="29"/>
  <c r="V5" i="29"/>
  <c r="T5" i="29"/>
  <c r="R5" i="29"/>
  <c r="L5" i="29"/>
  <c r="AH5" i="29" s="1"/>
  <c r="AF4" i="29"/>
  <c r="AD4" i="29"/>
  <c r="AB4" i="29"/>
  <c r="Z4" i="29"/>
  <c r="X4" i="29"/>
  <c r="V4" i="29"/>
  <c r="T4" i="29"/>
  <c r="R4" i="29"/>
  <c r="L4" i="29"/>
  <c r="AF3" i="29"/>
  <c r="AD3" i="29"/>
  <c r="AB3" i="29"/>
  <c r="Z3" i="29"/>
  <c r="X3" i="29"/>
  <c r="V3" i="29"/>
  <c r="T3" i="29"/>
  <c r="R3" i="29"/>
  <c r="L3" i="29"/>
  <c r="AF2" i="29"/>
  <c r="AD2" i="29"/>
  <c r="AB2" i="29"/>
  <c r="Z2" i="29"/>
  <c r="X2" i="29"/>
  <c r="V2" i="29"/>
  <c r="T2" i="29"/>
  <c r="R2" i="29"/>
  <c r="L2" i="29"/>
  <c r="AH6" i="29" l="1"/>
  <c r="AH14" i="29"/>
  <c r="AH22" i="29"/>
  <c r="AH30" i="29"/>
  <c r="AH38" i="29"/>
  <c r="AH7" i="29"/>
  <c r="AH15" i="29"/>
  <c r="AH23" i="29"/>
  <c r="AH31" i="29"/>
  <c r="AH39" i="29"/>
  <c r="AH24" i="29"/>
  <c r="AH2" i="29"/>
  <c r="AH10" i="29"/>
  <c r="AH18" i="29"/>
  <c r="AH26" i="29"/>
  <c r="AH34" i="29"/>
  <c r="AH42" i="29"/>
  <c r="AB53" i="29"/>
  <c r="AH40" i="29"/>
  <c r="AH25" i="29"/>
  <c r="AH41" i="29"/>
  <c r="AH3" i="29"/>
  <c r="AH11" i="29"/>
  <c r="AH19" i="29"/>
  <c r="AH27" i="29"/>
  <c r="AH35" i="29"/>
  <c r="AH8" i="29"/>
  <c r="AH16" i="29"/>
  <c r="AH32" i="29"/>
  <c r="AH9" i="29"/>
  <c r="AH17" i="29"/>
  <c r="AH33" i="29"/>
  <c r="T53" i="29"/>
  <c r="AH4" i="29"/>
  <c r="AH12" i="29"/>
  <c r="AH20" i="29"/>
  <c r="AH28" i="29"/>
  <c r="AH36" i="29"/>
  <c r="V53" i="29"/>
  <c r="V78" i="29" s="1"/>
  <c r="AD53" i="29"/>
  <c r="AD78" i="29" s="1"/>
  <c r="P67" i="29"/>
  <c r="P79" i="29" s="1"/>
  <c r="X67" i="29"/>
  <c r="X79" i="29" s="1"/>
  <c r="AF67" i="29"/>
  <c r="AF79" i="29" s="1"/>
  <c r="X53" i="29"/>
  <c r="L53" i="29"/>
  <c r="AF53" i="29"/>
  <c r="AF78" i="29" s="1"/>
  <c r="AF81" i="29" s="1"/>
  <c r="R53" i="29"/>
  <c r="R78" i="29" s="1"/>
  <c r="Z53" i="29"/>
  <c r="Z78" i="29" s="1"/>
  <c r="T67" i="29"/>
  <c r="T79" i="29" s="1"/>
  <c r="AB78" i="29"/>
  <c r="T78" i="29"/>
  <c r="N67" i="29"/>
  <c r="N79" i="29" s="1"/>
  <c r="V67" i="29"/>
  <c r="V79" i="29" s="1"/>
  <c r="AD67" i="29"/>
  <c r="AD79" i="29" s="1"/>
  <c r="AH80" i="29"/>
  <c r="AH60" i="29"/>
  <c r="AH61" i="29"/>
  <c r="AH62" i="29"/>
  <c r="P78" i="29"/>
  <c r="P81" i="29" s="1"/>
  <c r="R67" i="29"/>
  <c r="R79" i="29" s="1"/>
  <c r="AB67" i="29"/>
  <c r="AB79" i="29" s="1"/>
  <c r="Z67" i="29"/>
  <c r="Z79" i="29" s="1"/>
  <c r="N78" i="29"/>
  <c r="X78" i="29"/>
  <c r="H39" i="28"/>
  <c r="H69" i="28" s="1"/>
  <c r="H38" i="28"/>
  <c r="H68" i="28" s="1"/>
  <c r="P39" i="28"/>
  <c r="P69" i="28" s="1"/>
  <c r="P38" i="28"/>
  <c r="P68" i="28" s="1"/>
  <c r="I38" i="28"/>
  <c r="I68" i="28" s="1"/>
  <c r="I39" i="28"/>
  <c r="I69" i="28" s="1"/>
  <c r="K39" i="28"/>
  <c r="K69" i="28" s="1"/>
  <c r="K38" i="28"/>
  <c r="K68" i="28" s="1"/>
  <c r="O39" i="28"/>
  <c r="O69" i="28" s="1"/>
  <c r="O38" i="28"/>
  <c r="O68" i="28" s="1"/>
  <c r="L38" i="28"/>
  <c r="L68" i="28" s="1"/>
  <c r="L39" i="28"/>
  <c r="L69" i="28" s="1"/>
  <c r="E39" i="28"/>
  <c r="E69" i="28" s="1"/>
  <c r="E38" i="28"/>
  <c r="E68" i="28" s="1"/>
  <c r="M39" i="28"/>
  <c r="M69" i="28" s="1"/>
  <c r="M38" i="28"/>
  <c r="M68" i="28" s="1"/>
  <c r="G38" i="28"/>
  <c r="G68" i="28" s="1"/>
  <c r="G39" i="28"/>
  <c r="G69" i="28" s="1"/>
  <c r="J38" i="28"/>
  <c r="J68" i="28" s="1"/>
  <c r="J39" i="28"/>
  <c r="J69" i="28" s="1"/>
  <c r="F39" i="28"/>
  <c r="F69" i="28" s="1"/>
  <c r="F38" i="28"/>
  <c r="F68" i="28" s="1"/>
  <c r="N39" i="28"/>
  <c r="N69" i="28" s="1"/>
  <c r="N38" i="28"/>
  <c r="N68" i="28" s="1"/>
  <c r="P22" i="28"/>
  <c r="K22" i="28"/>
  <c r="L78" i="29"/>
  <c r="AH59" i="29"/>
  <c r="L67" i="29"/>
  <c r="L79" i="29" s="1"/>
  <c r="AH63" i="29"/>
  <c r="AH53" i="29" l="1"/>
  <c r="AI62" i="29"/>
  <c r="X81" i="29"/>
  <c r="T81" i="29"/>
  <c r="N81" i="29"/>
  <c r="AB81" i="29"/>
  <c r="V81" i="29"/>
  <c r="AD81" i="29"/>
  <c r="Z81" i="29"/>
  <c r="L81" i="29"/>
  <c r="R81" i="29"/>
  <c r="AH78" i="29"/>
  <c r="AH79" i="29"/>
  <c r="AH67" i="29"/>
  <c r="AH81" i="29" l="1"/>
  <c r="P165" i="28"/>
  <c r="P356" i="14" s="1"/>
  <c r="O165" i="28"/>
  <c r="O356" i="14" s="1"/>
  <c r="N165" i="28"/>
  <c r="N356" i="14" s="1"/>
  <c r="M165" i="28"/>
  <c r="M356" i="14" s="1"/>
  <c r="L165" i="28"/>
  <c r="L356" i="14" s="1"/>
  <c r="K165" i="28"/>
  <c r="K356" i="14" s="1"/>
  <c r="J165" i="28"/>
  <c r="J356" i="14" s="1"/>
  <c r="I165" i="28"/>
  <c r="I356" i="14" s="1"/>
  <c r="H165" i="28"/>
  <c r="H356" i="14" s="1"/>
  <c r="G165" i="28"/>
  <c r="G356" i="14" s="1"/>
  <c r="F165" i="28"/>
  <c r="F356" i="14" s="1"/>
  <c r="E165" i="28"/>
  <c r="E356" i="14" s="1"/>
  <c r="P156" i="28"/>
  <c r="O156" i="28"/>
  <c r="N156" i="28"/>
  <c r="M156" i="28"/>
  <c r="L156" i="28"/>
  <c r="K156" i="28"/>
  <c r="J156" i="28"/>
  <c r="I156" i="28"/>
  <c r="H156" i="28"/>
  <c r="G156" i="28"/>
  <c r="F156" i="28"/>
  <c r="E156" i="28"/>
  <c r="P129" i="28"/>
  <c r="O129" i="28"/>
  <c r="N129" i="28"/>
  <c r="M129" i="28"/>
  <c r="L129" i="28"/>
  <c r="K129" i="28"/>
  <c r="J129" i="28"/>
  <c r="I129" i="28"/>
  <c r="H129" i="28"/>
  <c r="G129" i="28"/>
  <c r="F129" i="28"/>
  <c r="E129" i="28"/>
  <c r="P128" i="28"/>
  <c r="O128" i="28"/>
  <c r="N128" i="28"/>
  <c r="M128" i="28"/>
  <c r="L128" i="28"/>
  <c r="K128" i="28"/>
  <c r="J128" i="28"/>
  <c r="I128" i="28"/>
  <c r="H128" i="28"/>
  <c r="G128" i="28"/>
  <c r="F128" i="28"/>
  <c r="E128" i="28"/>
  <c r="P127" i="28"/>
  <c r="O127" i="28"/>
  <c r="N127" i="28"/>
  <c r="M127" i="28"/>
  <c r="L127" i="28"/>
  <c r="K127" i="28"/>
  <c r="J127" i="28"/>
  <c r="I127" i="28"/>
  <c r="H127" i="28"/>
  <c r="G127" i="28"/>
  <c r="F127" i="28"/>
  <c r="E127" i="28"/>
  <c r="P126" i="28"/>
  <c r="O126" i="28"/>
  <c r="N126" i="28"/>
  <c r="M126" i="28"/>
  <c r="L126" i="28"/>
  <c r="K126" i="28"/>
  <c r="J126" i="28"/>
  <c r="I126" i="28"/>
  <c r="H126" i="28"/>
  <c r="G126" i="28"/>
  <c r="F126" i="28"/>
  <c r="E126" i="28"/>
  <c r="P125" i="28"/>
  <c r="O125" i="28"/>
  <c r="N125" i="28"/>
  <c r="M125" i="28"/>
  <c r="L125" i="28"/>
  <c r="K125" i="28"/>
  <c r="J125" i="28"/>
  <c r="I125" i="28"/>
  <c r="H125" i="28"/>
  <c r="G125" i="28"/>
  <c r="F125" i="28"/>
  <c r="E125" i="28"/>
  <c r="P124" i="28"/>
  <c r="O124" i="28"/>
  <c r="N124" i="28"/>
  <c r="M124" i="28"/>
  <c r="L124" i="28"/>
  <c r="K124" i="28"/>
  <c r="J124" i="28"/>
  <c r="I124" i="28"/>
  <c r="H124" i="28"/>
  <c r="G124" i="28"/>
  <c r="F124" i="28"/>
  <c r="E124" i="28"/>
  <c r="P123" i="28"/>
  <c r="O123" i="28"/>
  <c r="N123" i="28"/>
  <c r="M123" i="28"/>
  <c r="L123" i="28"/>
  <c r="K123" i="28"/>
  <c r="J123" i="28"/>
  <c r="I123" i="28"/>
  <c r="H123" i="28"/>
  <c r="G123" i="28"/>
  <c r="F123" i="28"/>
  <c r="E123" i="28"/>
  <c r="P122" i="28"/>
  <c r="O122" i="28"/>
  <c r="N122" i="28"/>
  <c r="M122" i="28"/>
  <c r="L122" i="28"/>
  <c r="K122" i="28"/>
  <c r="J122" i="28"/>
  <c r="I122" i="28"/>
  <c r="H122" i="28"/>
  <c r="G122" i="28"/>
  <c r="F122" i="28"/>
  <c r="E122" i="28"/>
  <c r="P121" i="28"/>
  <c r="O121" i="28"/>
  <c r="N121" i="28"/>
  <c r="M121" i="28"/>
  <c r="L121" i="28"/>
  <c r="K121" i="28"/>
  <c r="J121" i="28"/>
  <c r="I121" i="28"/>
  <c r="H121" i="28"/>
  <c r="G121" i="28"/>
  <c r="F121" i="28"/>
  <c r="E121" i="28"/>
  <c r="P117" i="28"/>
  <c r="P139" i="28" s="1"/>
  <c r="O117" i="28"/>
  <c r="O139" i="28" s="1"/>
  <c r="N117" i="28"/>
  <c r="N139" i="28" s="1"/>
  <c r="M117" i="28"/>
  <c r="M139" i="28" s="1"/>
  <c r="L117" i="28"/>
  <c r="K117" i="28"/>
  <c r="J117" i="28"/>
  <c r="I117" i="28"/>
  <c r="H117" i="28"/>
  <c r="G117" i="28"/>
  <c r="G139" i="28" s="1"/>
  <c r="F117" i="28"/>
  <c r="F139" i="28" s="1"/>
  <c r="E117" i="28"/>
  <c r="E139" i="28" s="1"/>
  <c r="P116" i="28"/>
  <c r="P135" i="28" s="1"/>
  <c r="O116" i="28"/>
  <c r="O135" i="28" s="1"/>
  <c r="N116" i="28"/>
  <c r="N135" i="28" s="1"/>
  <c r="M116" i="28"/>
  <c r="M135" i="28" s="1"/>
  <c r="L116" i="28"/>
  <c r="L135" i="28" s="1"/>
  <c r="K116" i="28"/>
  <c r="K135" i="28" s="1"/>
  <c r="J116" i="28"/>
  <c r="J135" i="28" s="1"/>
  <c r="I116" i="28"/>
  <c r="I135" i="28" s="1"/>
  <c r="H116" i="28"/>
  <c r="H135" i="28" s="1"/>
  <c r="G116" i="28"/>
  <c r="G135" i="28" s="1"/>
  <c r="F116" i="28"/>
  <c r="F135" i="28" s="1"/>
  <c r="E116" i="28"/>
  <c r="E135" i="28" s="1"/>
  <c r="P102" i="28"/>
  <c r="P134" i="28" s="1"/>
  <c r="O102" i="28"/>
  <c r="O134" i="28" s="1"/>
  <c r="N102" i="28"/>
  <c r="N134" i="28" s="1"/>
  <c r="M102" i="28"/>
  <c r="M134" i="28" s="1"/>
  <c r="L102" i="28"/>
  <c r="L134" i="28" s="1"/>
  <c r="K102" i="28"/>
  <c r="K134" i="28" s="1"/>
  <c r="J102" i="28"/>
  <c r="J134" i="28" s="1"/>
  <c r="I102" i="28"/>
  <c r="I134" i="28" s="1"/>
  <c r="H102" i="28"/>
  <c r="H134" i="28" s="1"/>
  <c r="G102" i="28"/>
  <c r="G134" i="28" s="1"/>
  <c r="F102" i="28"/>
  <c r="F134" i="28" s="1"/>
  <c r="E102" i="28"/>
  <c r="E134" i="28" s="1"/>
  <c r="D67" i="28"/>
  <c r="P64" i="28"/>
  <c r="P82" i="28" s="1"/>
  <c r="O64" i="28"/>
  <c r="O82" i="28" s="1"/>
  <c r="N64" i="28"/>
  <c r="N82" i="28" s="1"/>
  <c r="M64" i="28"/>
  <c r="M82" i="28" s="1"/>
  <c r="L64" i="28"/>
  <c r="L82" i="28" s="1"/>
  <c r="K64" i="28"/>
  <c r="K82" i="28" s="1"/>
  <c r="J64" i="28"/>
  <c r="J82" i="28" s="1"/>
  <c r="I64" i="28"/>
  <c r="I82" i="28" s="1"/>
  <c r="H64" i="28"/>
  <c r="H82" i="28" s="1"/>
  <c r="G64" i="28"/>
  <c r="G82" i="28" s="1"/>
  <c r="F64" i="28"/>
  <c r="F82" i="28" s="1"/>
  <c r="E64" i="28"/>
  <c r="E82" i="28" s="1"/>
  <c r="P30" i="28"/>
  <c r="E26" i="28"/>
  <c r="H30" i="28"/>
  <c r="K130" i="28" l="1"/>
  <c r="H130" i="28"/>
  <c r="P130" i="28"/>
  <c r="G130" i="28"/>
  <c r="O130" i="28"/>
  <c r="I130" i="28"/>
  <c r="J130" i="28"/>
  <c r="L130" i="28"/>
  <c r="K30" i="28"/>
  <c r="L30" i="28"/>
  <c r="F30" i="28"/>
  <c r="E130" i="28"/>
  <c r="M130" i="28"/>
  <c r="F130" i="28"/>
  <c r="N130" i="28"/>
  <c r="J136" i="28"/>
  <c r="H139" i="28"/>
  <c r="O136" i="28"/>
  <c r="K136" i="28"/>
  <c r="I136" i="28"/>
  <c r="L136" i="28"/>
  <c r="G136" i="28"/>
  <c r="P136" i="28"/>
  <c r="E143" i="28"/>
  <c r="E136" i="28"/>
  <c r="M136" i="28"/>
  <c r="H136" i="28"/>
  <c r="J30" i="28"/>
  <c r="I30" i="28"/>
  <c r="O30" i="28"/>
  <c r="G30" i="28"/>
  <c r="M30" i="28"/>
  <c r="E30" i="28"/>
  <c r="N30" i="28"/>
  <c r="F143" i="28"/>
  <c r="F136" i="28"/>
  <c r="N136" i="28"/>
  <c r="I139" i="28"/>
  <c r="J139" i="28"/>
  <c r="K139" i="28"/>
  <c r="L139" i="28"/>
  <c r="Q403" i="14" l="1"/>
  <c r="E71" i="12"/>
  <c r="F71" i="12" s="1"/>
  <c r="G71" i="12" s="1"/>
  <c r="H71" i="12" s="1"/>
  <c r="I71" i="12" s="1"/>
  <c r="J71" i="12" s="1"/>
  <c r="K71" i="12" s="1"/>
  <c r="L71" i="12" s="1"/>
  <c r="M71" i="12" s="1"/>
  <c r="K72" i="12"/>
  <c r="L72" i="12" s="1"/>
  <c r="M72" i="12" s="1"/>
  <c r="K74" i="12"/>
  <c r="L74" i="12" s="1"/>
  <c r="M74" i="12" s="1"/>
  <c r="Q412" i="14"/>
  <c r="Q411" i="14"/>
  <c r="Q410" i="14"/>
  <c r="N69" i="12"/>
  <c r="N68" i="12"/>
  <c r="N71" i="12" l="1"/>
  <c r="V21" i="2" l="1"/>
  <c r="BL8" i="2" s="1"/>
  <c r="BN8" i="2" s="1"/>
  <c r="V22" i="2"/>
  <c r="BL9" i="2" s="1"/>
  <c r="BN9" i="2" s="1"/>
  <c r="V40" i="2"/>
  <c r="V32" i="2"/>
  <c r="V43" i="2"/>
  <c r="BL16" i="2" s="1"/>
  <c r="BN16" i="2" s="1"/>
  <c r="V33" i="2"/>
  <c r="V46" i="2"/>
  <c r="BL18" i="2" s="1"/>
  <c r="BN18" i="2" s="1"/>
  <c r="V18" i="2"/>
  <c r="V34" i="2"/>
  <c r="V47" i="2"/>
  <c r="V49" i="2"/>
  <c r="BL22" i="2" s="1"/>
  <c r="BN22" i="2" s="1"/>
  <c r="V39" i="2" l="1"/>
  <c r="V50" i="2"/>
  <c r="BL23" i="2" s="1"/>
  <c r="BN23" i="2" s="1"/>
  <c r="V41" i="2"/>
  <c r="BL11" i="2"/>
  <c r="BN11" i="2" s="1"/>
  <c r="BL14" i="2" l="1"/>
  <c r="BN14" i="2" s="1"/>
  <c r="K170" i="4"/>
  <c r="K181" i="4"/>
  <c r="D59" i="28" s="1"/>
  <c r="K180" i="4"/>
  <c r="D62" i="28" s="1"/>
  <c r="K179" i="4"/>
  <c r="D93" i="28" s="1"/>
  <c r="K178" i="4"/>
  <c r="D58" i="28" s="1"/>
  <c r="K177" i="4"/>
  <c r="K175" i="4"/>
  <c r="D63" i="28" s="1"/>
  <c r="D78" i="28" s="1"/>
  <c r="K174" i="4"/>
  <c r="D54" i="28" s="1"/>
  <c r="K173" i="4"/>
  <c r="D96" i="28" s="1"/>
  <c r="K172" i="4"/>
  <c r="D95" i="28" s="1"/>
  <c r="K171" i="4"/>
  <c r="D53" i="28" s="1"/>
  <c r="K169" i="4"/>
  <c r="D97" i="28" s="1"/>
  <c r="K168" i="4"/>
  <c r="K167" i="4"/>
  <c r="O103" i="28" l="1"/>
  <c r="K103" i="28"/>
  <c r="J103" i="28"/>
  <c r="N103" i="28"/>
  <c r="I103" i="28"/>
  <c r="G103" i="28"/>
  <c r="H103" i="28"/>
  <c r="F103" i="28"/>
  <c r="L103" i="28"/>
  <c r="P103" i="28"/>
  <c r="E103" i="28"/>
  <c r="M103" i="28"/>
  <c r="L181" i="4"/>
  <c r="L180" i="4"/>
  <c r="L179" i="4"/>
  <c r="L178" i="4"/>
  <c r="L177" i="4"/>
  <c r="L176" i="4"/>
  <c r="L175" i="4"/>
  <c r="L174" i="4"/>
  <c r="L173" i="4"/>
  <c r="L172" i="4"/>
  <c r="L171" i="4"/>
  <c r="L170" i="4"/>
  <c r="L169" i="4"/>
  <c r="L168" i="4"/>
  <c r="L167" i="4"/>
  <c r="K176" i="4"/>
  <c r="J155" i="4"/>
  <c r="N138" i="28" l="1"/>
  <c r="N140" i="28" s="1"/>
  <c r="N131" i="28"/>
  <c r="P138" i="28"/>
  <c r="P140" i="28" s="1"/>
  <c r="P131" i="28"/>
  <c r="K138" i="28"/>
  <c r="K140" i="28" s="1"/>
  <c r="K131" i="28"/>
  <c r="O138" i="28"/>
  <c r="O140" i="28" s="1"/>
  <c r="O131" i="28"/>
  <c r="F138" i="28"/>
  <c r="F140" i="28" s="1"/>
  <c r="F131" i="28"/>
  <c r="J138" i="28"/>
  <c r="J140" i="28" s="1"/>
  <c r="J131" i="28"/>
  <c r="H138" i="28"/>
  <c r="H140" i="28" s="1"/>
  <c r="H131" i="28"/>
  <c r="L138" i="28"/>
  <c r="L140" i="28" s="1"/>
  <c r="L131" i="28"/>
  <c r="G138" i="28"/>
  <c r="G140" i="28" s="1"/>
  <c r="G131" i="28"/>
  <c r="M138" i="28"/>
  <c r="M140" i="28" s="1"/>
  <c r="M131" i="28"/>
  <c r="E138" i="28"/>
  <c r="E140" i="28" s="1"/>
  <c r="E131" i="28"/>
  <c r="I138" i="28"/>
  <c r="I140" i="28" s="1"/>
  <c r="I131" i="28"/>
  <c r="L182" i="4"/>
  <c r="L183" i="4" s="1"/>
  <c r="L184" i="4" s="1"/>
  <c r="M520" i="14"/>
  <c r="N520" i="14"/>
  <c r="O520" i="14"/>
  <c r="K520" i="14"/>
  <c r="I15" i="27"/>
  <c r="E15" i="27"/>
  <c r="D8" i="26"/>
  <c r="D9" i="26" s="1"/>
  <c r="I520" i="14"/>
  <c r="H520" i="14"/>
  <c r="G520" i="14"/>
  <c r="F520" i="14"/>
  <c r="E520" i="14"/>
  <c r="L520" i="14"/>
  <c r="P519" i="14"/>
  <c r="P447" i="14" s="1"/>
  <c r="O519" i="14"/>
  <c r="O447" i="14" s="1"/>
  <c r="N519" i="14"/>
  <c r="N447" i="14" s="1"/>
  <c r="M519" i="14"/>
  <c r="M447" i="14" s="1"/>
  <c r="L519" i="14"/>
  <c r="L447" i="14" s="1"/>
  <c r="K519" i="14"/>
  <c r="K447" i="14" s="1"/>
  <c r="J519" i="14"/>
  <c r="J447" i="14" s="1"/>
  <c r="I519" i="14"/>
  <c r="I447" i="14" s="1"/>
  <c r="H519" i="14"/>
  <c r="H447" i="14" s="1"/>
  <c r="G519" i="14"/>
  <c r="G447" i="14" s="1"/>
  <c r="E519" i="14"/>
  <c r="E447" i="14" s="1"/>
  <c r="P521" i="14" a="1"/>
  <c r="O521" i="14" a="1"/>
  <c r="N521" i="14" a="1"/>
  <c r="M521" i="14" a="1"/>
  <c r="L521" i="14" a="1"/>
  <c r="K521" i="14" a="1"/>
  <c r="I521" i="14" a="1"/>
  <c r="H521" i="14" a="1"/>
  <c r="G521" i="14" a="1"/>
  <c r="F521" i="14" a="1"/>
  <c r="P517" i="14"/>
  <c r="P467" i="14" s="1"/>
  <c r="O517" i="14"/>
  <c r="O467" i="14" s="1"/>
  <c r="N517" i="14"/>
  <c r="N467" i="14" s="1"/>
  <c r="M517" i="14"/>
  <c r="M467" i="14" s="1"/>
  <c r="L517" i="14"/>
  <c r="L467" i="14" s="1"/>
  <c r="K517" i="14"/>
  <c r="K467" i="14" s="1"/>
  <c r="J517" i="14"/>
  <c r="J467" i="14" s="1"/>
  <c r="I517" i="14"/>
  <c r="I467" i="14" s="1"/>
  <c r="H517" i="14"/>
  <c r="H467" i="14" s="1"/>
  <c r="G517" i="14"/>
  <c r="G467" i="14" s="1"/>
  <c r="F517" i="14"/>
  <c r="F467" i="14" s="1"/>
  <c r="P516" i="14"/>
  <c r="O516" i="14"/>
  <c r="N516" i="14"/>
  <c r="M516" i="14"/>
  <c r="L516" i="14"/>
  <c r="K516" i="14"/>
  <c r="J516" i="14"/>
  <c r="I516" i="14"/>
  <c r="H516" i="14"/>
  <c r="G516" i="14"/>
  <c r="F516" i="14"/>
  <c r="E516" i="14"/>
  <c r="E503" i="14"/>
  <c r="F514" i="14"/>
  <c r="E514" i="14"/>
  <c r="E513" i="14"/>
  <c r="P439" i="14"/>
  <c r="O439" i="14"/>
  <c r="N439" i="14"/>
  <c r="M439" i="14"/>
  <c r="L439" i="14"/>
  <c r="K439" i="14"/>
  <c r="J439" i="14"/>
  <c r="I439" i="14"/>
  <c r="H439" i="14"/>
  <c r="G439" i="14"/>
  <c r="F439" i="14"/>
  <c r="E439" i="14"/>
  <c r="M90" i="12"/>
  <c r="L90" i="12"/>
  <c r="K90" i="12"/>
  <c r="J90" i="12"/>
  <c r="I90" i="12"/>
  <c r="H90" i="12"/>
  <c r="G90" i="12"/>
  <c r="F90" i="12"/>
  <c r="E90" i="12"/>
  <c r="D90" i="12"/>
  <c r="C90" i="12"/>
  <c r="B90" i="12"/>
  <c r="D10" i="26" l="1"/>
  <c r="N509" i="14"/>
  <c r="K104" i="12" s="1"/>
  <c r="H509" i="14"/>
  <c r="E104" i="12" s="1"/>
  <c r="I509" i="14"/>
  <c r="F104" i="12" s="1"/>
  <c r="G509" i="14"/>
  <c r="D104" i="12" s="1"/>
  <c r="N90" i="12"/>
  <c r="J520" i="14"/>
  <c r="P520" i="14"/>
  <c r="F509" i="14"/>
  <c r="C104" i="12" s="1"/>
  <c r="Q431" i="14"/>
  <c r="L509" i="14"/>
  <c r="I104" i="12" s="1"/>
  <c r="E515" i="14"/>
  <c r="E416" i="14" s="1"/>
  <c r="M509" i="14"/>
  <c r="J104" i="12" s="1"/>
  <c r="E509" i="14"/>
  <c r="B104" i="12" s="1"/>
  <c r="Q439" i="14"/>
  <c r="K509" i="14"/>
  <c r="H104" i="12" s="1"/>
  <c r="O509" i="14"/>
  <c r="L104" i="12" s="1"/>
  <c r="P509" i="14"/>
  <c r="M104" i="12" s="1"/>
  <c r="Q516" i="14"/>
  <c r="Q507" i="14"/>
  <c r="Q511" i="14"/>
  <c r="Q506" i="14"/>
  <c r="Q510" i="14"/>
  <c r="Q514" i="14"/>
  <c r="Q520" i="14" l="1"/>
  <c r="D4" i="26" l="1"/>
  <c r="D5" i="26" s="1"/>
  <c r="C4" i="26"/>
  <c r="P12" i="25" l="1"/>
  <c r="P13" i="25" s="1"/>
  <c r="C5" i="26"/>
  <c r="K105" i="12"/>
  <c r="C105" i="12"/>
  <c r="D105" i="12"/>
  <c r="J105" i="12"/>
  <c r="I105" i="12"/>
  <c r="E105" i="12"/>
  <c r="H105" i="12"/>
  <c r="F105" i="12"/>
  <c r="G105" i="12"/>
  <c r="M105" i="12"/>
  <c r="L105" i="12"/>
  <c r="O12" i="25"/>
  <c r="O13" i="25" s="1"/>
  <c r="E43" i="27"/>
  <c r="F519" i="14" s="1"/>
  <c r="O41" i="27"/>
  <c r="L41" i="27"/>
  <c r="I41" i="27"/>
  <c r="F41" i="27"/>
  <c r="I39" i="27"/>
  <c r="J386" i="14" s="1"/>
  <c r="Q386" i="14" s="1"/>
  <c r="I37" i="27"/>
  <c r="J385" i="14" s="1"/>
  <c r="D35" i="27"/>
  <c r="E384" i="14" s="1"/>
  <c r="Q384" i="14" s="1"/>
  <c r="D33" i="27"/>
  <c r="E383" i="14" s="1"/>
  <c r="Q383" i="14" s="1"/>
  <c r="E517" i="14"/>
  <c r="O25" i="27"/>
  <c r="P503" i="14" s="1"/>
  <c r="N25" i="27"/>
  <c r="O503" i="14" s="1"/>
  <c r="M25" i="27"/>
  <c r="N503" i="14" s="1"/>
  <c r="L25" i="27"/>
  <c r="M503" i="14" s="1"/>
  <c r="K25" i="27"/>
  <c r="L503" i="14" s="1"/>
  <c r="J25" i="27"/>
  <c r="K503" i="14" s="1"/>
  <c r="I25" i="27"/>
  <c r="J503" i="14" s="1"/>
  <c r="H25" i="27"/>
  <c r="I503" i="14" s="1"/>
  <c r="G25" i="27"/>
  <c r="F25" i="27"/>
  <c r="F503" i="14"/>
  <c r="O21" i="27"/>
  <c r="P515" i="14" s="1"/>
  <c r="P416" i="14" s="1"/>
  <c r="N21" i="27"/>
  <c r="O515" i="14" s="1"/>
  <c r="O416" i="14" s="1"/>
  <c r="M21" i="27"/>
  <c r="N515" i="14" s="1"/>
  <c r="N416" i="14" s="1"/>
  <c r="L21" i="27"/>
  <c r="M515" i="14" s="1"/>
  <c r="M416" i="14" s="1"/>
  <c r="K21" i="27"/>
  <c r="L515" i="14" s="1"/>
  <c r="L416" i="14" s="1"/>
  <c r="J21" i="27"/>
  <c r="K515" i="14" s="1"/>
  <c r="K416" i="14" s="1"/>
  <c r="I21" i="27"/>
  <c r="J515" i="14" s="1"/>
  <c r="J416" i="14" s="1"/>
  <c r="H21" i="27"/>
  <c r="I515" i="14" s="1"/>
  <c r="I416" i="14" s="1"/>
  <c r="G21" i="27"/>
  <c r="H515" i="14" s="1"/>
  <c r="H416" i="14" s="1"/>
  <c r="F21" i="27"/>
  <c r="G515" i="14" s="1"/>
  <c r="G416" i="14" s="1"/>
  <c r="F513" i="14"/>
  <c r="O11" i="27"/>
  <c r="N11" i="27"/>
  <c r="M11" i="27"/>
  <c r="L11" i="27"/>
  <c r="K11" i="27"/>
  <c r="J11" i="27"/>
  <c r="I11" i="27"/>
  <c r="H11" i="27"/>
  <c r="G11" i="27"/>
  <c r="F11" i="27"/>
  <c r="E11" i="27"/>
  <c r="D11" i="27"/>
  <c r="Q385" i="14" l="1"/>
  <c r="Q387" i="14" s="1"/>
  <c r="J387" i="14"/>
  <c r="J521" i="14" a="1"/>
  <c r="H107" i="12"/>
  <c r="H28" i="12" s="1"/>
  <c r="H52" i="31" s="1"/>
  <c r="F107" i="12"/>
  <c r="F28" i="12" s="1"/>
  <c r="F52" i="31" s="1"/>
  <c r="J107" i="12"/>
  <c r="J28" i="12" s="1"/>
  <c r="J52" i="31" s="1"/>
  <c r="M107" i="12"/>
  <c r="M28" i="12" s="1"/>
  <c r="M52" i="31" s="1"/>
  <c r="E107" i="12"/>
  <c r="E28" i="12" s="1"/>
  <c r="E52" i="31" s="1"/>
  <c r="L107" i="12"/>
  <c r="L28" i="12" s="1"/>
  <c r="L52" i="31" s="1"/>
  <c r="K107" i="12"/>
  <c r="K28" i="12" s="1"/>
  <c r="K52" i="31" s="1"/>
  <c r="I107" i="12"/>
  <c r="I28" i="12" s="1"/>
  <c r="I52" i="31" s="1"/>
  <c r="N496" i="14"/>
  <c r="I496" i="14"/>
  <c r="O496" i="14"/>
  <c r="K496" i="14"/>
  <c r="L496" i="14"/>
  <c r="E504" i="14"/>
  <c r="B105" i="12"/>
  <c r="Q494" i="14"/>
  <c r="Q517" i="14"/>
  <c r="E467" i="14"/>
  <c r="Q503" i="14"/>
  <c r="Q513" i="14"/>
  <c r="Q515" i="14" s="1"/>
  <c r="F515" i="14"/>
  <c r="F416" i="14" s="1"/>
  <c r="Q416" i="14" s="1"/>
  <c r="Q508" i="14"/>
  <c r="Q509" i="14" s="1"/>
  <c r="J509" i="14"/>
  <c r="G104" i="12" s="1"/>
  <c r="Q519" i="14"/>
  <c r="F447" i="14"/>
  <c r="Q447" i="14" s="1"/>
  <c r="D7" i="27"/>
  <c r="E521" i="14" a="1"/>
  <c r="E7" i="27"/>
  <c r="K7" i="27"/>
  <c r="N7" i="27"/>
  <c r="F7" i="27"/>
  <c r="J7" i="27"/>
  <c r="O7" i="27"/>
  <c r="G7" i="27"/>
  <c r="I7" i="27"/>
  <c r="L7" i="27"/>
  <c r="M7" i="27"/>
  <c r="H7" i="27"/>
  <c r="M57" i="31"/>
  <c r="M58" i="31" s="1"/>
  <c r="L57" i="31"/>
  <c r="L58" i="31" s="1"/>
  <c r="K57" i="31"/>
  <c r="K58" i="31" s="1"/>
  <c r="J57" i="31"/>
  <c r="J58" i="31" s="1"/>
  <c r="I57" i="31"/>
  <c r="I58" i="31" s="1"/>
  <c r="H57" i="31"/>
  <c r="H58" i="31" s="1"/>
  <c r="G57" i="31"/>
  <c r="G58" i="31" s="1"/>
  <c r="F57" i="31"/>
  <c r="F58" i="31" s="1"/>
  <c r="E57" i="31"/>
  <c r="E58" i="31" s="1"/>
  <c r="D57" i="31"/>
  <c r="D58" i="31" s="1"/>
  <c r="C57" i="31"/>
  <c r="C58" i="31" s="1"/>
  <c r="B57" i="31"/>
  <c r="M77" i="31"/>
  <c r="L77" i="31"/>
  <c r="K77" i="31"/>
  <c r="J77" i="31"/>
  <c r="I77" i="31"/>
  <c r="H77" i="31"/>
  <c r="G77" i="31"/>
  <c r="F77" i="31"/>
  <c r="E77" i="31"/>
  <c r="D77" i="31"/>
  <c r="C77" i="31"/>
  <c r="B77" i="31"/>
  <c r="N56" i="24"/>
  <c r="Q440" i="14"/>
  <c r="P405" i="14"/>
  <c r="O405" i="14"/>
  <c r="N405" i="14"/>
  <c r="M405" i="14"/>
  <c r="L405" i="14"/>
  <c r="K405" i="14"/>
  <c r="J405" i="14"/>
  <c r="I405" i="14"/>
  <c r="H405" i="14"/>
  <c r="G405" i="14"/>
  <c r="F405" i="14"/>
  <c r="E405" i="14"/>
  <c r="Q404" i="14"/>
  <c r="Q402" i="14"/>
  <c r="N77" i="12"/>
  <c r="Q25" i="13"/>
  <c r="P391" i="14" s="1"/>
  <c r="P25" i="13"/>
  <c r="O391" i="14" s="1"/>
  <c r="O25" i="13"/>
  <c r="N391" i="14" s="1"/>
  <c r="N25" i="13"/>
  <c r="M391" i="14" s="1"/>
  <c r="M25" i="13"/>
  <c r="L391" i="14" s="1"/>
  <c r="L25" i="13"/>
  <c r="K391" i="14" s="1"/>
  <c r="K25" i="13"/>
  <c r="J391" i="14" s="1"/>
  <c r="J25" i="13"/>
  <c r="I391" i="14" s="1"/>
  <c r="I25" i="13"/>
  <c r="H391" i="14" s="1"/>
  <c r="H25" i="13"/>
  <c r="G391" i="14" s="1"/>
  <c r="G25" i="13"/>
  <c r="F391" i="14" s="1"/>
  <c r="F25" i="13"/>
  <c r="E391" i="14" s="1"/>
  <c r="Q29" i="13"/>
  <c r="P29" i="13"/>
  <c r="O29" i="13"/>
  <c r="N29" i="13"/>
  <c r="M29" i="13"/>
  <c r="L29" i="13"/>
  <c r="K29" i="13"/>
  <c r="J29" i="13"/>
  <c r="I29" i="13"/>
  <c r="H29" i="13"/>
  <c r="G29" i="13"/>
  <c r="F29" i="13"/>
  <c r="Q104" i="13"/>
  <c r="Q145" i="13" s="1"/>
  <c r="P104" i="13"/>
  <c r="P145" i="13" s="1"/>
  <c r="O104" i="13"/>
  <c r="O145" i="13" s="1"/>
  <c r="N104" i="13"/>
  <c r="N145" i="13" s="1"/>
  <c r="M104" i="13"/>
  <c r="M145" i="13" s="1"/>
  <c r="L104" i="13"/>
  <c r="L145" i="13" s="1"/>
  <c r="K104" i="13"/>
  <c r="K145" i="13" s="1"/>
  <c r="J104" i="13"/>
  <c r="J145" i="13" s="1"/>
  <c r="I104" i="13"/>
  <c r="I145" i="13" s="1"/>
  <c r="H104" i="13"/>
  <c r="H145" i="13" s="1"/>
  <c r="G104" i="13"/>
  <c r="G145" i="13" s="1"/>
  <c r="F104" i="13"/>
  <c r="F145" i="13" s="1"/>
  <c r="Q121" i="13"/>
  <c r="Q146" i="13" s="1"/>
  <c r="P121" i="13"/>
  <c r="P146" i="13" s="1"/>
  <c r="O121" i="13"/>
  <c r="O146" i="13" s="1"/>
  <c r="N121" i="13"/>
  <c r="N146" i="13" s="1"/>
  <c r="M121" i="13"/>
  <c r="M146" i="13" s="1"/>
  <c r="L121" i="13"/>
  <c r="L146" i="13" s="1"/>
  <c r="K121" i="13"/>
  <c r="K146" i="13" s="1"/>
  <c r="J121" i="13"/>
  <c r="J146" i="13" s="1"/>
  <c r="I121" i="13"/>
  <c r="I146" i="13" s="1"/>
  <c r="H121" i="13"/>
  <c r="H146" i="13" s="1"/>
  <c r="G121" i="13"/>
  <c r="G146" i="13" s="1"/>
  <c r="F121" i="13"/>
  <c r="F146" i="13" s="1"/>
  <c r="Q136" i="13"/>
  <c r="P136" i="13"/>
  <c r="O136" i="13"/>
  <c r="N136" i="13"/>
  <c r="M136" i="13"/>
  <c r="L136" i="13"/>
  <c r="K136" i="13"/>
  <c r="J136" i="13"/>
  <c r="I136" i="13"/>
  <c r="H136" i="13"/>
  <c r="G136" i="13"/>
  <c r="F136" i="13"/>
  <c r="Q135" i="13"/>
  <c r="P135" i="13"/>
  <c r="O135" i="13"/>
  <c r="N135" i="13"/>
  <c r="M135" i="13"/>
  <c r="L135" i="13"/>
  <c r="K135" i="13"/>
  <c r="J135" i="13"/>
  <c r="I135" i="13"/>
  <c r="H135" i="13"/>
  <c r="G135" i="13"/>
  <c r="F135" i="13"/>
  <c r="Q134" i="13"/>
  <c r="P134" i="13"/>
  <c r="O134" i="13"/>
  <c r="N134" i="13"/>
  <c r="M134" i="13"/>
  <c r="L134" i="13"/>
  <c r="K134" i="13"/>
  <c r="J134" i="13"/>
  <c r="I134" i="13"/>
  <c r="H134" i="13"/>
  <c r="G134" i="13"/>
  <c r="F134" i="13"/>
  <c r="Q132" i="13"/>
  <c r="P132" i="13"/>
  <c r="O132" i="13"/>
  <c r="N132" i="13"/>
  <c r="M132" i="13"/>
  <c r="L132" i="13"/>
  <c r="K132" i="13"/>
  <c r="J132" i="13"/>
  <c r="I132" i="13"/>
  <c r="H132" i="13"/>
  <c r="G132" i="13"/>
  <c r="F132" i="13"/>
  <c r="Q130" i="13"/>
  <c r="P130" i="13"/>
  <c r="O130" i="13"/>
  <c r="N130" i="13"/>
  <c r="M130" i="13"/>
  <c r="L130" i="13"/>
  <c r="K130" i="13"/>
  <c r="J130" i="13"/>
  <c r="I130" i="13"/>
  <c r="H130" i="13"/>
  <c r="G130" i="13"/>
  <c r="F130" i="13"/>
  <c r="Q125" i="13"/>
  <c r="P125" i="13"/>
  <c r="O125" i="13"/>
  <c r="N125" i="13"/>
  <c r="M125" i="13"/>
  <c r="L125" i="13"/>
  <c r="K125" i="13"/>
  <c r="J125" i="13"/>
  <c r="I125" i="13"/>
  <c r="H125" i="13"/>
  <c r="G125" i="13"/>
  <c r="F125" i="13"/>
  <c r="Q103" i="13"/>
  <c r="Q141" i="13" s="1"/>
  <c r="P103" i="13"/>
  <c r="P141" i="13" s="1"/>
  <c r="O103" i="13"/>
  <c r="O141" i="13" s="1"/>
  <c r="N103" i="13"/>
  <c r="N141" i="13" s="1"/>
  <c r="M103" i="13"/>
  <c r="M141" i="13" s="1"/>
  <c r="L103" i="13"/>
  <c r="L141" i="13" s="1"/>
  <c r="K103" i="13"/>
  <c r="K141" i="13" s="1"/>
  <c r="J103" i="13"/>
  <c r="J141" i="13" s="1"/>
  <c r="I103" i="13"/>
  <c r="I141" i="13" s="1"/>
  <c r="H103" i="13"/>
  <c r="H141" i="13" s="1"/>
  <c r="G103" i="13"/>
  <c r="G141" i="13" s="1"/>
  <c r="F103" i="13"/>
  <c r="F141" i="13" s="1"/>
  <c r="Q120" i="13"/>
  <c r="Q142" i="13" s="1"/>
  <c r="P120" i="13"/>
  <c r="P142" i="13" s="1"/>
  <c r="O120" i="13"/>
  <c r="O142" i="13" s="1"/>
  <c r="N120" i="13"/>
  <c r="N142" i="13" s="1"/>
  <c r="M120" i="13"/>
  <c r="M142" i="13" s="1"/>
  <c r="L120" i="13"/>
  <c r="L142" i="13" s="1"/>
  <c r="K120" i="13"/>
  <c r="K142" i="13" s="1"/>
  <c r="J120" i="13"/>
  <c r="J142" i="13" s="1"/>
  <c r="I120" i="13"/>
  <c r="I142" i="13" s="1"/>
  <c r="H120" i="13"/>
  <c r="H142" i="13" s="1"/>
  <c r="G120" i="13"/>
  <c r="G142" i="13" s="1"/>
  <c r="F120" i="13"/>
  <c r="F142" i="13" s="1"/>
  <c r="S76" i="13"/>
  <c r="Q63" i="13"/>
  <c r="Q80" i="13" s="1"/>
  <c r="P63" i="13"/>
  <c r="P80" i="13" s="1"/>
  <c r="O63" i="13"/>
  <c r="O80" i="13" s="1"/>
  <c r="N63" i="13"/>
  <c r="N80" i="13" s="1"/>
  <c r="M63" i="13"/>
  <c r="M80" i="13" s="1"/>
  <c r="L63" i="13"/>
  <c r="L80" i="13" s="1"/>
  <c r="K63" i="13"/>
  <c r="K80" i="13" s="1"/>
  <c r="J63" i="13"/>
  <c r="J80" i="13" s="1"/>
  <c r="I63" i="13"/>
  <c r="I80" i="13" s="1"/>
  <c r="H63" i="13"/>
  <c r="H80" i="13" s="1"/>
  <c r="G63" i="13"/>
  <c r="G80" i="13" s="1"/>
  <c r="F63" i="13"/>
  <c r="F80" i="13" s="1"/>
  <c r="S47" i="13"/>
  <c r="S44" i="13"/>
  <c r="K62" i="31" l="1"/>
  <c r="I62" i="31"/>
  <c r="L62" i="31"/>
  <c r="E62" i="31"/>
  <c r="M62" i="31"/>
  <c r="N57" i="31"/>
  <c r="N58" i="31" s="1"/>
  <c r="B58" i="31"/>
  <c r="J62" i="31"/>
  <c r="F62" i="31"/>
  <c r="H62" i="31"/>
  <c r="B78" i="31"/>
  <c r="F78" i="31"/>
  <c r="G78" i="31"/>
  <c r="H78" i="31"/>
  <c r="I78" i="31"/>
  <c r="J78" i="31"/>
  <c r="C78" i="31"/>
  <c r="K78" i="31"/>
  <c r="N77" i="31"/>
  <c r="D78" i="31"/>
  <c r="L78" i="31"/>
  <c r="E78" i="31"/>
  <c r="M78" i="31"/>
  <c r="J496" i="14"/>
  <c r="B51" i="31"/>
  <c r="M496" i="14"/>
  <c r="H496" i="14"/>
  <c r="P496" i="14"/>
  <c r="C45" i="12"/>
  <c r="D45" i="12"/>
  <c r="F45" i="12"/>
  <c r="G45" i="12"/>
  <c r="E45" i="12"/>
  <c r="G107" i="12"/>
  <c r="G28" i="12" s="1"/>
  <c r="G52" i="31" s="1"/>
  <c r="G62" i="31" s="1"/>
  <c r="L150" i="13"/>
  <c r="K448" i="14" s="1"/>
  <c r="K452" i="14" s="1"/>
  <c r="M150" i="13"/>
  <c r="L448" i="14" s="1"/>
  <c r="L452" i="14" s="1"/>
  <c r="F150" i="13"/>
  <c r="N150" i="13"/>
  <c r="M448" i="14" s="1"/>
  <c r="G150" i="13"/>
  <c r="O150" i="13"/>
  <c r="N448" i="14" s="1"/>
  <c r="N452" i="14" s="1"/>
  <c r="H150" i="13"/>
  <c r="P150" i="13"/>
  <c r="O448" i="14" s="1"/>
  <c r="O452" i="14" s="1"/>
  <c r="I150" i="13"/>
  <c r="H448" i="14" s="1"/>
  <c r="H452" i="14" s="1"/>
  <c r="Q150" i="13"/>
  <c r="P448" i="14" s="1"/>
  <c r="J150" i="13"/>
  <c r="I448" i="14" s="1"/>
  <c r="I452" i="14" s="1"/>
  <c r="K150" i="13"/>
  <c r="J448" i="14" s="1"/>
  <c r="N105" i="12"/>
  <c r="Q493" i="14"/>
  <c r="E496" i="14"/>
  <c r="C107" i="12"/>
  <c r="C28" i="12" s="1"/>
  <c r="C52" i="31" s="1"/>
  <c r="C62" i="31" s="1"/>
  <c r="B107" i="12"/>
  <c r="B28" i="12" s="1"/>
  <c r="B52" i="31" s="1"/>
  <c r="B62" i="31" s="1"/>
  <c r="J33" i="12"/>
  <c r="J69" i="31" s="1"/>
  <c r="L33" i="12"/>
  <c r="L69" i="31" s="1"/>
  <c r="K33" i="12"/>
  <c r="K69" i="31" s="1"/>
  <c r="M33" i="12"/>
  <c r="M69" i="31" s="1"/>
  <c r="C33" i="12"/>
  <c r="C69" i="31" s="1"/>
  <c r="D33" i="12"/>
  <c r="D69" i="31" s="1"/>
  <c r="E33" i="12"/>
  <c r="E69" i="31" s="1"/>
  <c r="F33" i="12"/>
  <c r="F69" i="31" s="1"/>
  <c r="G33" i="12"/>
  <c r="G69" i="31" s="1"/>
  <c r="H45" i="12"/>
  <c r="I45" i="12"/>
  <c r="J45" i="12"/>
  <c r="K45" i="12"/>
  <c r="L45" i="12"/>
  <c r="M45" i="12"/>
  <c r="B45" i="12"/>
  <c r="H524" i="14"/>
  <c r="J524" i="14"/>
  <c r="N524" i="14"/>
  <c r="I524" i="14"/>
  <c r="M524" i="14"/>
  <c r="L524" i="14"/>
  <c r="G524" i="14"/>
  <c r="K524" i="14"/>
  <c r="F524" i="14"/>
  <c r="E524" i="14"/>
  <c r="P524" i="14"/>
  <c r="Q521" i="14"/>
  <c r="L504" i="14"/>
  <c r="N504" i="14"/>
  <c r="M504" i="14"/>
  <c r="F504" i="14"/>
  <c r="O504" i="14"/>
  <c r="K504" i="14"/>
  <c r="J504" i="14"/>
  <c r="I504" i="14"/>
  <c r="G504" i="14"/>
  <c r="P504" i="14"/>
  <c r="H504" i="14"/>
  <c r="Q500" i="14"/>
  <c r="E522" i="14"/>
  <c r="E523" i="14" s="1"/>
  <c r="P7" i="27"/>
  <c r="N26" i="12"/>
  <c r="H33" i="12"/>
  <c r="H69" i="31" s="1"/>
  <c r="I33" i="12"/>
  <c r="I69" i="31" s="1"/>
  <c r="B33" i="12"/>
  <c r="B69" i="31" s="1"/>
  <c r="Q405" i="14"/>
  <c r="N82" i="12"/>
  <c r="N83" i="12"/>
  <c r="G143" i="13"/>
  <c r="O143" i="13"/>
  <c r="L147" i="13"/>
  <c r="M143" i="13"/>
  <c r="K143" i="13"/>
  <c r="H147" i="13"/>
  <c r="P147" i="13"/>
  <c r="I143" i="13"/>
  <c r="Q143" i="13"/>
  <c r="M147" i="13"/>
  <c r="N143" i="13"/>
  <c r="J143" i="13"/>
  <c r="F147" i="13"/>
  <c r="N147" i="13"/>
  <c r="P143" i="13"/>
  <c r="G147" i="13"/>
  <c r="O147" i="13"/>
  <c r="H143" i="13"/>
  <c r="F143" i="13"/>
  <c r="J147" i="13"/>
  <c r="L143" i="13"/>
  <c r="K147" i="13"/>
  <c r="Q147" i="13"/>
  <c r="M138" i="13"/>
  <c r="I147" i="13"/>
  <c r="L138" i="13"/>
  <c r="I138" i="13"/>
  <c r="Q138" i="13"/>
  <c r="F138" i="13"/>
  <c r="K137" i="13"/>
  <c r="O137" i="13"/>
  <c r="G138" i="13"/>
  <c r="O138" i="13"/>
  <c r="K138" i="13"/>
  <c r="L137" i="13"/>
  <c r="P137" i="13"/>
  <c r="H138" i="13"/>
  <c r="P138" i="13"/>
  <c r="M137" i="13"/>
  <c r="Q137" i="13"/>
  <c r="J138" i="13"/>
  <c r="N138" i="13"/>
  <c r="N137" i="13"/>
  <c r="F137" i="13"/>
  <c r="G137" i="13"/>
  <c r="I137" i="13"/>
  <c r="J137" i="13"/>
  <c r="H137" i="13"/>
  <c r="S8" i="4"/>
  <c r="S7" i="4"/>
  <c r="T15" i="4"/>
  <c r="T12" i="4"/>
  <c r="U12" i="4"/>
  <c r="U15" i="4"/>
  <c r="S52" i="13"/>
  <c r="S53" i="13"/>
  <c r="S57" i="13"/>
  <c r="S58" i="13"/>
  <c r="S59" i="13"/>
  <c r="S62" i="13"/>
  <c r="S51" i="13"/>
  <c r="U72" i="13"/>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P475" i="14"/>
  <c r="O475" i="14"/>
  <c r="P441" i="14"/>
  <c r="M34" i="12" s="1"/>
  <c r="M70" i="31" s="1"/>
  <c r="M83" i="31" s="1"/>
  <c r="O441" i="14"/>
  <c r="L34" i="12" s="1"/>
  <c r="L70" i="31" s="1"/>
  <c r="L83" i="31" s="1"/>
  <c r="P433" i="14"/>
  <c r="P369" i="14" s="1"/>
  <c r="O433" i="14"/>
  <c r="O369" i="14" s="1"/>
  <c r="P424" i="14"/>
  <c r="O424" i="14"/>
  <c r="P417" i="14"/>
  <c r="P351" i="14" s="1"/>
  <c r="O417" i="14"/>
  <c r="O351" i="14" s="1"/>
  <c r="N43" i="12"/>
  <c r="N67" i="12"/>
  <c r="N87" i="12"/>
  <c r="N93" i="12"/>
  <c r="N95" i="12"/>
  <c r="N96" i="12"/>
  <c r="N97" i="12"/>
  <c r="N98" i="12"/>
  <c r="N99" i="12"/>
  <c r="N100" i="12"/>
  <c r="N102" i="12"/>
  <c r="N103" i="12"/>
  <c r="N108" i="12"/>
  <c r="N109" i="12"/>
  <c r="N111" i="12"/>
  <c r="N113" i="12"/>
  <c r="N489" i="14"/>
  <c r="M489" i="14"/>
  <c r="L489" i="14"/>
  <c r="K489" i="14"/>
  <c r="J489" i="14"/>
  <c r="I489" i="14"/>
  <c r="H489" i="14"/>
  <c r="G489" i="14"/>
  <c r="F489" i="14"/>
  <c r="E489" i="14"/>
  <c r="Q487" i="14"/>
  <c r="Q486" i="14"/>
  <c r="N482" i="14"/>
  <c r="M482" i="14"/>
  <c r="L482" i="14"/>
  <c r="K482" i="14"/>
  <c r="J482" i="14"/>
  <c r="I482" i="14"/>
  <c r="H482" i="14"/>
  <c r="G482" i="14"/>
  <c r="F482" i="14"/>
  <c r="E482" i="14"/>
  <c r="Q480" i="14"/>
  <c r="Q479" i="14"/>
  <c r="N475" i="14"/>
  <c r="M475" i="14"/>
  <c r="L475" i="14"/>
  <c r="K475" i="14"/>
  <c r="J475" i="14"/>
  <c r="I475" i="14"/>
  <c r="H475" i="14"/>
  <c r="G475" i="14"/>
  <c r="F475" i="14"/>
  <c r="E475" i="14"/>
  <c r="Q475" i="14"/>
  <c r="Q467" i="14"/>
  <c r="Q465" i="14"/>
  <c r="F452" i="14"/>
  <c r="E452" i="14"/>
  <c r="N441" i="14"/>
  <c r="K34" i="12" s="1"/>
  <c r="K70" i="31" s="1"/>
  <c r="K83" i="31" s="1"/>
  <c r="M441" i="14"/>
  <c r="J34" i="12" s="1"/>
  <c r="J70" i="31" s="1"/>
  <c r="J83" i="31" s="1"/>
  <c r="L441" i="14"/>
  <c r="I34" i="12" s="1"/>
  <c r="I70" i="31" s="1"/>
  <c r="I83" i="31" s="1"/>
  <c r="K441" i="14"/>
  <c r="H34" i="12" s="1"/>
  <c r="H70" i="31" s="1"/>
  <c r="H83" i="31" s="1"/>
  <c r="J441" i="14"/>
  <c r="G34" i="12" s="1"/>
  <c r="G70" i="31" s="1"/>
  <c r="G83" i="31" s="1"/>
  <c r="I441" i="14"/>
  <c r="F34" i="12" s="1"/>
  <c r="F70" i="31" s="1"/>
  <c r="H441" i="14"/>
  <c r="E34" i="12" s="1"/>
  <c r="E70" i="31" s="1"/>
  <c r="E83" i="31" s="1"/>
  <c r="E441" i="14"/>
  <c r="B34" i="12" s="1"/>
  <c r="B70" i="31" s="1"/>
  <c r="B83" i="31" s="1"/>
  <c r="F441" i="14"/>
  <c r="C34" i="12" s="1"/>
  <c r="C70" i="31" s="1"/>
  <c r="C83" i="31" s="1"/>
  <c r="Q438" i="14"/>
  <c r="N433" i="14"/>
  <c r="N369" i="14" s="1"/>
  <c r="M433" i="14"/>
  <c r="M369" i="14" s="1"/>
  <c r="L433" i="14"/>
  <c r="L369" i="14" s="1"/>
  <c r="K433" i="14"/>
  <c r="K369" i="14" s="1"/>
  <c r="J433" i="14"/>
  <c r="J369" i="14" s="1"/>
  <c r="I433" i="14"/>
  <c r="I369" i="14" s="1"/>
  <c r="H433" i="14"/>
  <c r="G433" i="14"/>
  <c r="F433" i="14"/>
  <c r="E433" i="14"/>
  <c r="Q432" i="14"/>
  <c r="Q430" i="14"/>
  <c r="Q429" i="14"/>
  <c r="Q428" i="14"/>
  <c r="N424" i="14"/>
  <c r="M424" i="14"/>
  <c r="L424" i="14"/>
  <c r="K424" i="14"/>
  <c r="J424" i="14"/>
  <c r="I424" i="14"/>
  <c r="H424" i="14"/>
  <c r="G424" i="14"/>
  <c r="F424" i="14"/>
  <c r="E424" i="14"/>
  <c r="Q423" i="14"/>
  <c r="Q422" i="14"/>
  <c r="Q421" i="14"/>
  <c r="N417" i="14"/>
  <c r="N351" i="14" s="1"/>
  <c r="M417" i="14"/>
  <c r="M351" i="14" s="1"/>
  <c r="L417" i="14"/>
  <c r="L351" i="14" s="1"/>
  <c r="K417" i="14"/>
  <c r="K351" i="14" s="1"/>
  <c r="J417" i="14"/>
  <c r="J351" i="14" s="1"/>
  <c r="I417" i="14"/>
  <c r="I351" i="14" s="1"/>
  <c r="H417" i="14"/>
  <c r="H351" i="14" s="1"/>
  <c r="G417" i="14"/>
  <c r="G351" i="14" s="1"/>
  <c r="F417" i="14"/>
  <c r="F351" i="14" s="1"/>
  <c r="Q415" i="14"/>
  <c r="Q414" i="14"/>
  <c r="Q413" i="14"/>
  <c r="K56" i="12" l="1"/>
  <c r="J56" i="12"/>
  <c r="G56" i="12"/>
  <c r="H56" i="12"/>
  <c r="E56" i="12"/>
  <c r="C56" i="12"/>
  <c r="I56" i="12"/>
  <c r="F56" i="12"/>
  <c r="B56" i="12"/>
  <c r="D56" i="12"/>
  <c r="M56" i="12"/>
  <c r="L56" i="12"/>
  <c r="K51" i="31"/>
  <c r="D51" i="31"/>
  <c r="I51" i="31"/>
  <c r="F51" i="31"/>
  <c r="G51" i="31"/>
  <c r="H51" i="31"/>
  <c r="F83" i="31"/>
  <c r="L51" i="31"/>
  <c r="B53" i="31"/>
  <c r="B61" i="31"/>
  <c r="C51" i="31"/>
  <c r="M51" i="31"/>
  <c r="E51" i="31"/>
  <c r="J51" i="31"/>
  <c r="E82" i="31"/>
  <c r="D82" i="31"/>
  <c r="C82" i="31"/>
  <c r="N69" i="31"/>
  <c r="B82" i="31"/>
  <c r="M82" i="31"/>
  <c r="I82" i="31"/>
  <c r="K82" i="31"/>
  <c r="H82" i="31"/>
  <c r="L82" i="31"/>
  <c r="G82" i="31"/>
  <c r="J82" i="31"/>
  <c r="F82" i="31"/>
  <c r="N78" i="31"/>
  <c r="F496" i="14"/>
  <c r="N27" i="12"/>
  <c r="F338" i="14"/>
  <c r="F342" i="14" s="1"/>
  <c r="E338" i="14"/>
  <c r="E342" i="14" s="1"/>
  <c r="D78" i="24"/>
  <c r="D111" i="24" s="1"/>
  <c r="H78" i="24"/>
  <c r="H111" i="24" s="1"/>
  <c r="L78" i="24"/>
  <c r="L111" i="24" s="1"/>
  <c r="E78" i="24"/>
  <c r="E111" i="24" s="1"/>
  <c r="F78" i="24"/>
  <c r="F111" i="24" s="1"/>
  <c r="J78" i="24"/>
  <c r="J111" i="24" s="1"/>
  <c r="M78" i="24"/>
  <c r="M111" i="24" s="1"/>
  <c r="B78" i="24"/>
  <c r="B111" i="24" s="1"/>
  <c r="G78" i="24"/>
  <c r="G111" i="24" s="1"/>
  <c r="I78" i="24"/>
  <c r="I111" i="24" s="1"/>
  <c r="H83" i="24"/>
  <c r="M83" i="24"/>
  <c r="C78" i="24"/>
  <c r="C111" i="24" s="1"/>
  <c r="G83" i="24"/>
  <c r="L83" i="24"/>
  <c r="I83" i="24"/>
  <c r="C83" i="24"/>
  <c r="K83" i="24"/>
  <c r="B83" i="24"/>
  <c r="F83" i="24"/>
  <c r="J83" i="24"/>
  <c r="E83" i="24"/>
  <c r="O524" i="14"/>
  <c r="BN41" i="2"/>
  <c r="BN44" i="2"/>
  <c r="BN33" i="2"/>
  <c r="BN45" i="2"/>
  <c r="BN34" i="2"/>
  <c r="BN43" i="2"/>
  <c r="BN32" i="2"/>
  <c r="BN46" i="2"/>
  <c r="BN35" i="2"/>
  <c r="BN40" i="2"/>
  <c r="G496" i="14"/>
  <c r="N77" i="24"/>
  <c r="U16" i="4"/>
  <c r="E434" i="14"/>
  <c r="E369" i="14"/>
  <c r="G434" i="14"/>
  <c r="G369" i="14"/>
  <c r="H434" i="14"/>
  <c r="H369" i="14"/>
  <c r="F434" i="14"/>
  <c r="F369" i="14"/>
  <c r="E417" i="14"/>
  <c r="E351" i="14" s="1"/>
  <c r="J522" i="14"/>
  <c r="F522" i="14"/>
  <c r="F523" i="14" s="1"/>
  <c r="F525" i="14" s="1"/>
  <c r="P522" i="14"/>
  <c r="K522" i="14"/>
  <c r="O522" i="14"/>
  <c r="M522" i="14"/>
  <c r="L522" i="14"/>
  <c r="G522" i="14"/>
  <c r="I522" i="14"/>
  <c r="I523" i="14" s="1"/>
  <c r="I525" i="14" s="1"/>
  <c r="N522" i="14"/>
  <c r="H522" i="14"/>
  <c r="Q504" i="14"/>
  <c r="Q522" i="14" s="1"/>
  <c r="E525" i="14"/>
  <c r="N33" i="12"/>
  <c r="C392" i="14"/>
  <c r="BN42" i="2"/>
  <c r="BN31" i="2"/>
  <c r="BN39" i="2"/>
  <c r="T16" i="4"/>
  <c r="S9" i="4"/>
  <c r="U63" i="13"/>
  <c r="Q489" i="14"/>
  <c r="Q482" i="14"/>
  <c r="N88" i="12"/>
  <c r="N104" i="12"/>
  <c r="Q433" i="14"/>
  <c r="C365" i="14" s="1"/>
  <c r="C366" i="14" s="1"/>
  <c r="Q424" i="14"/>
  <c r="N72" i="12"/>
  <c r="Q441" i="14"/>
  <c r="G441" i="14"/>
  <c r="D34" i="12" s="1"/>
  <c r="D70" i="31" s="1"/>
  <c r="D83" i="31" s="1"/>
  <c r="Q409" i="14"/>
  <c r="Q417" i="14" s="1"/>
  <c r="C347" i="14" s="1"/>
  <c r="N56" i="12" l="1"/>
  <c r="N61" i="24"/>
  <c r="N83" i="31"/>
  <c r="N51" i="24"/>
  <c r="L61" i="31"/>
  <c r="L63" i="31" s="1"/>
  <c r="L53" i="31"/>
  <c r="F53" i="31"/>
  <c r="F61" i="31"/>
  <c r="F63" i="31" s="1"/>
  <c r="M61" i="31"/>
  <c r="M63" i="31" s="1"/>
  <c r="M53" i="31"/>
  <c r="C61" i="31"/>
  <c r="C63" i="31" s="1"/>
  <c r="C53" i="31"/>
  <c r="N70" i="31"/>
  <c r="H53" i="31"/>
  <c r="H61" i="31"/>
  <c r="H63" i="31" s="1"/>
  <c r="D61" i="31"/>
  <c r="I53" i="31"/>
  <c r="I61" i="31"/>
  <c r="I63" i="31" s="1"/>
  <c r="J61" i="31"/>
  <c r="J63" i="31" s="1"/>
  <c r="J53" i="31"/>
  <c r="N51" i="31"/>
  <c r="B63" i="31"/>
  <c r="G53" i="31"/>
  <c r="G61" i="31"/>
  <c r="G63" i="31" s="1"/>
  <c r="K61" i="31"/>
  <c r="K63" i="31" s="1"/>
  <c r="K53" i="31"/>
  <c r="E53" i="31"/>
  <c r="E61" i="31"/>
  <c r="E63" i="31" s="1"/>
  <c r="N82" i="31"/>
  <c r="F347" i="14"/>
  <c r="F365" i="14" s="1"/>
  <c r="F374" i="14"/>
  <c r="F395" i="14" s="1"/>
  <c r="E374" i="14"/>
  <c r="E395" i="14" s="1"/>
  <c r="E347" i="14"/>
  <c r="E365" i="14" s="1"/>
  <c r="N58" i="24"/>
  <c r="C70" i="12"/>
  <c r="C75" i="12" s="1"/>
  <c r="C9" i="12" s="1"/>
  <c r="C8" i="31" s="1"/>
  <c r="C40" i="31" s="1"/>
  <c r="B70" i="12"/>
  <c r="B75" i="12" s="1"/>
  <c r="B9" i="12" s="1"/>
  <c r="B8" i="31" s="1"/>
  <c r="B40" i="31" s="1"/>
  <c r="N82" i="24"/>
  <c r="Q496" i="14"/>
  <c r="U17" i="4"/>
  <c r="N69" i="24"/>
  <c r="M523" i="14"/>
  <c r="M525" i="14" s="1"/>
  <c r="H523" i="14"/>
  <c r="H525" i="14" s="1"/>
  <c r="O523" i="14"/>
  <c r="O525" i="14" s="1"/>
  <c r="N523" i="14"/>
  <c r="N525" i="14" s="1"/>
  <c r="K523" i="14"/>
  <c r="K525" i="14" s="1"/>
  <c r="P523" i="14"/>
  <c r="P525" i="14" s="1"/>
  <c r="G523" i="14"/>
  <c r="G525" i="14" s="1"/>
  <c r="L523" i="14"/>
  <c r="L525" i="14" s="1"/>
  <c r="J523" i="14"/>
  <c r="J525" i="14" s="1"/>
  <c r="K11" i="12"/>
  <c r="K10" i="31" s="1"/>
  <c r="K42" i="31" s="1"/>
  <c r="B11" i="12"/>
  <c r="B10" i="31" s="1"/>
  <c r="J11" i="12"/>
  <c r="J10" i="31" s="1"/>
  <c r="J42" i="31" s="1"/>
  <c r="H11" i="12"/>
  <c r="H10" i="31" s="1"/>
  <c r="H42" i="31" s="1"/>
  <c r="G11" i="12"/>
  <c r="G10" i="31" s="1"/>
  <c r="G42" i="31" s="1"/>
  <c r="I11" i="12"/>
  <c r="I10" i="31" s="1"/>
  <c r="I42" i="31" s="1"/>
  <c r="F11" i="12"/>
  <c r="F10" i="31" s="1"/>
  <c r="F42" i="31" s="1"/>
  <c r="E11" i="12"/>
  <c r="D11" i="12"/>
  <c r="D10" i="31" s="1"/>
  <c r="D42" i="31" s="1"/>
  <c r="C11" i="12"/>
  <c r="C10" i="31" s="1"/>
  <c r="C42" i="31" s="1"/>
  <c r="M11" i="12"/>
  <c r="M10" i="31" s="1"/>
  <c r="M42" i="31" s="1"/>
  <c r="L11" i="12"/>
  <c r="L10" i="31" s="1"/>
  <c r="L42" i="31" s="1"/>
  <c r="N34" i="12"/>
  <c r="K78" i="24"/>
  <c r="K111" i="24" s="1"/>
  <c r="N75" i="24"/>
  <c r="C348" i="14"/>
  <c r="N91" i="12"/>
  <c r="N110" i="12"/>
  <c r="N74" i="12"/>
  <c r="N89" i="12"/>
  <c r="M112" i="12"/>
  <c r="L112" i="12"/>
  <c r="K112" i="12"/>
  <c r="J112" i="12"/>
  <c r="I112" i="12"/>
  <c r="H112" i="12"/>
  <c r="G112" i="12"/>
  <c r="F112" i="12"/>
  <c r="E112" i="12"/>
  <c r="D112" i="12"/>
  <c r="C112" i="12"/>
  <c r="B112" i="12"/>
  <c r="M101" i="12"/>
  <c r="M32" i="12" s="1"/>
  <c r="M68" i="31" s="1"/>
  <c r="M81" i="31" s="1"/>
  <c r="L101" i="12"/>
  <c r="L32" i="12" s="1"/>
  <c r="L68" i="31" s="1"/>
  <c r="L81" i="31" s="1"/>
  <c r="K101" i="12"/>
  <c r="K32" i="12" s="1"/>
  <c r="K68" i="31" s="1"/>
  <c r="K81" i="31" s="1"/>
  <c r="J101" i="12"/>
  <c r="J32" i="12" s="1"/>
  <c r="J68" i="31" s="1"/>
  <c r="J81" i="31" s="1"/>
  <c r="I101" i="12"/>
  <c r="I32" i="12" s="1"/>
  <c r="I68" i="31" s="1"/>
  <c r="I81" i="31" s="1"/>
  <c r="H101" i="12"/>
  <c r="H32" i="12" s="1"/>
  <c r="H68" i="31" s="1"/>
  <c r="H81" i="31" s="1"/>
  <c r="G101" i="12"/>
  <c r="G32" i="12" s="1"/>
  <c r="G68" i="31" s="1"/>
  <c r="G81" i="31" s="1"/>
  <c r="F101" i="12"/>
  <c r="F32" i="12" s="1"/>
  <c r="F68" i="31" s="1"/>
  <c r="F81" i="31" s="1"/>
  <c r="E101" i="12"/>
  <c r="E32" i="12" s="1"/>
  <c r="E68" i="31" s="1"/>
  <c r="E81" i="31" s="1"/>
  <c r="D101" i="12"/>
  <c r="D32" i="12" s="1"/>
  <c r="D68" i="31" s="1"/>
  <c r="D81" i="31" s="1"/>
  <c r="C101" i="12"/>
  <c r="C32" i="12" s="1"/>
  <c r="C68" i="31" s="1"/>
  <c r="C81" i="31" s="1"/>
  <c r="B101" i="12"/>
  <c r="B32" i="12" s="1"/>
  <c r="B68" i="31" s="1"/>
  <c r="M92" i="12"/>
  <c r="M35" i="12" s="1"/>
  <c r="M71" i="31" s="1"/>
  <c r="L92" i="12"/>
  <c r="L35" i="12" s="1"/>
  <c r="L71" i="31" s="1"/>
  <c r="K92" i="12"/>
  <c r="K35" i="12" s="1"/>
  <c r="K71" i="31" s="1"/>
  <c r="J92" i="12"/>
  <c r="J35" i="12" s="1"/>
  <c r="J71" i="31" s="1"/>
  <c r="I92" i="12"/>
  <c r="I35" i="12" s="1"/>
  <c r="I71" i="31" s="1"/>
  <c r="H92" i="12"/>
  <c r="H35" i="12" s="1"/>
  <c r="H71" i="31" s="1"/>
  <c r="G92" i="12"/>
  <c r="G35" i="12" s="1"/>
  <c r="G71" i="31" s="1"/>
  <c r="F92" i="12"/>
  <c r="F35" i="12" s="1"/>
  <c r="F71" i="31" s="1"/>
  <c r="E92" i="12"/>
  <c r="E35" i="12" s="1"/>
  <c r="E71" i="31" s="1"/>
  <c r="D92" i="12"/>
  <c r="D35" i="12" s="1"/>
  <c r="D71" i="31" s="1"/>
  <c r="D84" i="31" s="1"/>
  <c r="C92" i="12"/>
  <c r="C35" i="12" s="1"/>
  <c r="C71" i="31" s="1"/>
  <c r="B92" i="12"/>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85" i="4" s="1"/>
  <c r="D55" i="28" s="1"/>
  <c r="K110" i="4"/>
  <c r="K184" i="4" s="1"/>
  <c r="D57" i="28" s="1"/>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5" i="4"/>
  <c r="A7" i="5"/>
  <c r="A8" i="5" s="1"/>
  <c r="A9" i="5" s="1"/>
  <c r="A10" i="5" s="1"/>
  <c r="A11" i="5" s="1"/>
  <c r="A12" i="5" s="1"/>
  <c r="A13" i="5" s="1"/>
  <c r="A14" i="5" s="1"/>
  <c r="A15" i="5" s="1"/>
  <c r="A17" i="5"/>
  <c r="A18" i="5" s="1"/>
  <c r="A19" i="5" s="1"/>
  <c r="A20" i="5" s="1"/>
  <c r="A22" i="5"/>
  <c r="A25" i="5"/>
  <c r="A26" i="5" s="1"/>
  <c r="A27" i="5" s="1"/>
  <c r="A28" i="5" s="1"/>
  <c r="A31" i="5"/>
  <c r="A32" i="5" s="1"/>
  <c r="A34" i="5"/>
  <c r="A35" i="5" s="1"/>
  <c r="A36" i="5" s="1"/>
  <c r="A37" i="5" s="1"/>
  <c r="A38" i="5" s="1"/>
  <c r="A39" i="5" s="1"/>
  <c r="A41" i="5"/>
  <c r="A43" i="5"/>
  <c r="A45" i="5"/>
  <c r="A46" i="5" s="1"/>
  <c r="A47" i="5" s="1"/>
  <c r="A48" i="5" s="1"/>
  <c r="A49" i="5" s="1"/>
  <c r="A50" i="5" s="1"/>
  <c r="A52" i="5"/>
  <c r="A53" i="5" s="1"/>
  <c r="A54" i="5" s="1"/>
  <c r="A57" i="5"/>
  <c r="X91" i="5"/>
  <c r="Y91" i="5" s="1"/>
  <c r="Z91" i="5" s="1"/>
  <c r="AA91" i="5" s="1"/>
  <c r="AB91" i="5" s="1"/>
  <c r="AC91" i="5" s="1"/>
  <c r="AD91" i="5" s="1"/>
  <c r="AE91" i="5" s="1"/>
  <c r="AF91" i="5" s="1"/>
  <c r="AG91" i="5" s="1"/>
  <c r="AH91" i="5" s="1"/>
  <c r="W84" i="5"/>
  <c r="X82" i="5"/>
  <c r="Y82" i="5" s="1"/>
  <c r="Y84" i="5" s="1"/>
  <c r="AH60" i="5"/>
  <c r="AG60" i="5"/>
  <c r="AF60" i="5"/>
  <c r="AE60" i="5"/>
  <c r="AD60" i="5"/>
  <c r="AC60" i="5"/>
  <c r="AB60" i="5"/>
  <c r="AA60" i="5"/>
  <c r="Z60" i="5"/>
  <c r="Y60" i="5"/>
  <c r="X60" i="5"/>
  <c r="W60" i="5"/>
  <c r="AH59" i="5"/>
  <c r="AG59" i="5"/>
  <c r="AF59" i="5"/>
  <c r="AE59" i="5"/>
  <c r="AD59" i="5"/>
  <c r="AC59" i="5"/>
  <c r="AB59" i="5"/>
  <c r="AA59" i="5"/>
  <c r="Z59" i="5"/>
  <c r="Y59" i="5"/>
  <c r="X59" i="5"/>
  <c r="W59" i="5"/>
  <c r="AU58" i="5"/>
  <c r="AT58" i="5"/>
  <c r="AS58" i="5"/>
  <c r="AR58" i="5"/>
  <c r="AQ58" i="5"/>
  <c r="AP58" i="5"/>
  <c r="AO58" i="5"/>
  <c r="AN58" i="5"/>
  <c r="AM58" i="5"/>
  <c r="AL58" i="5"/>
  <c r="AK58" i="5"/>
  <c r="AJ58" i="5"/>
  <c r="AH58" i="5"/>
  <c r="AG58" i="5"/>
  <c r="AF58" i="5"/>
  <c r="AE58" i="5"/>
  <c r="AD58" i="5"/>
  <c r="AC58" i="5"/>
  <c r="AB58" i="5"/>
  <c r="AA58" i="5"/>
  <c r="Z58" i="5"/>
  <c r="Y58" i="5"/>
  <c r="X58" i="5"/>
  <c r="W58" i="5"/>
  <c r="AU55" i="5"/>
  <c r="AT55" i="5"/>
  <c r="AS55" i="5"/>
  <c r="AR55" i="5"/>
  <c r="AQ55" i="5"/>
  <c r="AP55" i="5"/>
  <c r="AO55" i="5"/>
  <c r="AN55" i="5"/>
  <c r="AM55" i="5"/>
  <c r="AL55" i="5"/>
  <c r="AK55" i="5"/>
  <c r="AJ55" i="5"/>
  <c r="AH54" i="5"/>
  <c r="AG54" i="5"/>
  <c r="AF54" i="5"/>
  <c r="AE54" i="5"/>
  <c r="AD54" i="5"/>
  <c r="AC54" i="5"/>
  <c r="AB54" i="5"/>
  <c r="AA54" i="5"/>
  <c r="Z54" i="5"/>
  <c r="Y54" i="5"/>
  <c r="X54" i="5"/>
  <c r="W54" i="5"/>
  <c r="AH53" i="5"/>
  <c r="AG53" i="5"/>
  <c r="AF53" i="5"/>
  <c r="AE53" i="5"/>
  <c r="AD53" i="5"/>
  <c r="AC53" i="5"/>
  <c r="AB53" i="5"/>
  <c r="AA53" i="5"/>
  <c r="Z53" i="5"/>
  <c r="Y53" i="5"/>
  <c r="X53" i="5"/>
  <c r="W53" i="5"/>
  <c r="AH52" i="5"/>
  <c r="AG52" i="5"/>
  <c r="AF52" i="5"/>
  <c r="AE52" i="5"/>
  <c r="AD52" i="5"/>
  <c r="AC52" i="5"/>
  <c r="AB52" i="5"/>
  <c r="AA52" i="5"/>
  <c r="Z52" i="5"/>
  <c r="Y52" i="5"/>
  <c r="X52" i="5"/>
  <c r="W52" i="5"/>
  <c r="AU51" i="5"/>
  <c r="AT51" i="5"/>
  <c r="AS51" i="5"/>
  <c r="AR51" i="5"/>
  <c r="AQ51" i="5"/>
  <c r="AP51" i="5"/>
  <c r="AO51" i="5"/>
  <c r="AN51" i="5"/>
  <c r="AM51" i="5"/>
  <c r="AL51" i="5"/>
  <c r="AK51" i="5"/>
  <c r="AJ51" i="5"/>
  <c r="AH51" i="5"/>
  <c r="AG51" i="5"/>
  <c r="AF51" i="5"/>
  <c r="AE51" i="5"/>
  <c r="AD51" i="5"/>
  <c r="AC51" i="5"/>
  <c r="AB51" i="5"/>
  <c r="AA51" i="5"/>
  <c r="Z51" i="5"/>
  <c r="Y51" i="5"/>
  <c r="X51" i="5"/>
  <c r="W51" i="5"/>
  <c r="K50" i="5"/>
  <c r="J50" i="5"/>
  <c r="AU31" i="5"/>
  <c r="AT31" i="5"/>
  <c r="AS31" i="5"/>
  <c r="AR31" i="5"/>
  <c r="AQ31" i="5"/>
  <c r="AP31" i="5"/>
  <c r="AO31" i="5"/>
  <c r="AN31" i="5"/>
  <c r="AM31" i="5"/>
  <c r="AL31" i="5"/>
  <c r="AK31" i="5"/>
  <c r="AJ31" i="5"/>
  <c r="AH31" i="5"/>
  <c r="AG31" i="5"/>
  <c r="AF31" i="5"/>
  <c r="AE31" i="5"/>
  <c r="AD31" i="5"/>
  <c r="AC31" i="5"/>
  <c r="AB31" i="5"/>
  <c r="AA31" i="5"/>
  <c r="Z31" i="5"/>
  <c r="Y31" i="5"/>
  <c r="X31" i="5"/>
  <c r="W31" i="5"/>
  <c r="AU30" i="5"/>
  <c r="AT30" i="5"/>
  <c r="AS30" i="5"/>
  <c r="AR30" i="5"/>
  <c r="AQ30" i="5"/>
  <c r="AP30" i="5"/>
  <c r="AO30" i="5"/>
  <c r="AN30" i="5"/>
  <c r="AM30" i="5"/>
  <c r="AL30" i="5"/>
  <c r="AK30" i="5"/>
  <c r="AJ30" i="5"/>
  <c r="AH30" i="5"/>
  <c r="AG30" i="5"/>
  <c r="AF30" i="5"/>
  <c r="AE30" i="5"/>
  <c r="AD30" i="5"/>
  <c r="AC30" i="5"/>
  <c r="AB30" i="5"/>
  <c r="AA30" i="5"/>
  <c r="Z30" i="5"/>
  <c r="Y30" i="5"/>
  <c r="X30" i="5"/>
  <c r="W30" i="5"/>
  <c r="AU29" i="5"/>
  <c r="AT29" i="5"/>
  <c r="AS29" i="5"/>
  <c r="AR29" i="5"/>
  <c r="AQ29" i="5"/>
  <c r="AP29" i="5"/>
  <c r="AO29" i="5"/>
  <c r="AN29" i="5"/>
  <c r="AM29" i="5"/>
  <c r="AL29" i="5"/>
  <c r="AK29" i="5"/>
  <c r="AJ29" i="5"/>
  <c r="AH29" i="5"/>
  <c r="AG29" i="5"/>
  <c r="AF29" i="5"/>
  <c r="AE29" i="5"/>
  <c r="AD29" i="5"/>
  <c r="AC29" i="5"/>
  <c r="AB29" i="5"/>
  <c r="AA29" i="5"/>
  <c r="Z29" i="5"/>
  <c r="Y29" i="5"/>
  <c r="X29" i="5"/>
  <c r="W29" i="5"/>
  <c r="I28" i="5"/>
  <c r="I27" i="5"/>
  <c r="I26" i="5"/>
  <c r="I25" i="5"/>
  <c r="I24" i="5"/>
  <c r="AU22" i="5"/>
  <c r="AT22" i="5"/>
  <c r="AS22" i="5"/>
  <c r="AR22" i="5"/>
  <c r="AQ22" i="5"/>
  <c r="AP22" i="5"/>
  <c r="AO22" i="5"/>
  <c r="AN22" i="5"/>
  <c r="AM22" i="5"/>
  <c r="AL22" i="5"/>
  <c r="AK22" i="5"/>
  <c r="AJ22" i="5"/>
  <c r="AH22" i="5"/>
  <c r="AG22" i="5"/>
  <c r="AF22" i="5"/>
  <c r="AE22" i="5"/>
  <c r="AD22" i="5"/>
  <c r="AC22" i="5"/>
  <c r="AB22" i="5"/>
  <c r="AA22" i="5"/>
  <c r="Z22" i="5"/>
  <c r="Y22" i="5"/>
  <c r="X22" i="5"/>
  <c r="W22" i="5"/>
  <c r="X19" i="5"/>
  <c r="W19" i="5"/>
  <c r="X18" i="5"/>
  <c r="W18" i="5"/>
  <c r="X17" i="5"/>
  <c r="W17" i="5"/>
  <c r="I16" i="5"/>
  <c r="I15" i="5"/>
  <c r="I14" i="5"/>
  <c r="I13" i="5"/>
  <c r="I12" i="5"/>
  <c r="I11" i="5"/>
  <c r="I10" i="5"/>
  <c r="I9" i="5"/>
  <c r="I8" i="5"/>
  <c r="AH7" i="5"/>
  <c r="AG7" i="5"/>
  <c r="AF7" i="5"/>
  <c r="AE7" i="5"/>
  <c r="AD7" i="5"/>
  <c r="AC7" i="5"/>
  <c r="AB7" i="5"/>
  <c r="AA7" i="5"/>
  <c r="Z7" i="5"/>
  <c r="Y7" i="5"/>
  <c r="X7" i="5"/>
  <c r="W7" i="5"/>
  <c r="AH6" i="5"/>
  <c r="AG6" i="5"/>
  <c r="AF6" i="5"/>
  <c r="AE6" i="5"/>
  <c r="AD6" i="5"/>
  <c r="AC6" i="5"/>
  <c r="AB6" i="5"/>
  <c r="AA6" i="5"/>
  <c r="Z6" i="5"/>
  <c r="Y6" i="5"/>
  <c r="X6" i="5"/>
  <c r="W6" i="5"/>
  <c r="U4" i="5"/>
  <c r="AU7" i="5" s="1"/>
  <c r="T4" i="5"/>
  <c r="S4" i="5"/>
  <c r="AS7" i="5" s="1"/>
  <c r="R4" i="5"/>
  <c r="Q4" i="5"/>
  <c r="AQ7" i="5" s="1"/>
  <c r="P4" i="5"/>
  <c r="O4" i="5"/>
  <c r="N4" i="5"/>
  <c r="M4" i="5"/>
  <c r="L4" i="5"/>
  <c r="K4" i="5"/>
  <c r="AK7" i="5" s="1"/>
  <c r="J4" i="5"/>
  <c r="AZ2" i="5"/>
  <c r="D85" i="31" l="1"/>
  <c r="B81" i="31"/>
  <c r="N81" i="31" s="1"/>
  <c r="N68" i="31"/>
  <c r="C84" i="31"/>
  <c r="C85" i="31" s="1"/>
  <c r="C88" i="31" s="1"/>
  <c r="C72" i="31"/>
  <c r="K84" i="31"/>
  <c r="K85" i="31" s="1"/>
  <c r="K88" i="31" s="1"/>
  <c r="K72" i="31"/>
  <c r="J84" i="31"/>
  <c r="J85" i="31" s="1"/>
  <c r="J88" i="31" s="1"/>
  <c r="J72" i="31"/>
  <c r="E84" i="31"/>
  <c r="E85" i="31" s="1"/>
  <c r="E88" i="31" s="1"/>
  <c r="E72" i="31"/>
  <c r="M84" i="31"/>
  <c r="M85" i="31" s="1"/>
  <c r="M88" i="31" s="1"/>
  <c r="M72" i="31"/>
  <c r="F84" i="31"/>
  <c r="F85" i="31" s="1"/>
  <c r="F88" i="31" s="1"/>
  <c r="F72" i="31"/>
  <c r="G84" i="31"/>
  <c r="G85" i="31" s="1"/>
  <c r="G88" i="31" s="1"/>
  <c r="G72" i="31"/>
  <c r="D72" i="31"/>
  <c r="L84" i="31"/>
  <c r="L85" i="31" s="1"/>
  <c r="L88" i="31" s="1"/>
  <c r="L72" i="31"/>
  <c r="N61" i="31"/>
  <c r="H84" i="31"/>
  <c r="H85" i="31" s="1"/>
  <c r="H88" i="31" s="1"/>
  <c r="H72" i="31"/>
  <c r="I84" i="31"/>
  <c r="I85" i="31" s="1"/>
  <c r="I88" i="31" s="1"/>
  <c r="I72" i="31"/>
  <c r="B42" i="31"/>
  <c r="E10" i="31"/>
  <c r="E42" i="31" s="1"/>
  <c r="N78" i="24"/>
  <c r="F81" i="24"/>
  <c r="E84" i="24"/>
  <c r="M84" i="24"/>
  <c r="I81" i="24"/>
  <c r="J84" i="24"/>
  <c r="K84" i="24"/>
  <c r="D84" i="24"/>
  <c r="H81" i="24"/>
  <c r="F84" i="24"/>
  <c r="J81" i="24"/>
  <c r="G84" i="24"/>
  <c r="C84" i="24"/>
  <c r="G81" i="24"/>
  <c r="L84" i="24"/>
  <c r="H84" i="24"/>
  <c r="D81" i="24"/>
  <c r="L81" i="24"/>
  <c r="I84" i="24"/>
  <c r="E81" i="24"/>
  <c r="M81" i="24"/>
  <c r="K9" i="5"/>
  <c r="AK9" i="5" s="1"/>
  <c r="K10" i="5"/>
  <c r="AK10" i="5" s="1"/>
  <c r="D107" i="12"/>
  <c r="D28" i="12" s="1"/>
  <c r="N106" i="12"/>
  <c r="N107" i="12" s="1"/>
  <c r="S54" i="13"/>
  <c r="K186" i="4"/>
  <c r="S56" i="13"/>
  <c r="C36" i="12"/>
  <c r="C29" i="12"/>
  <c r="H29" i="12"/>
  <c r="L29" i="12"/>
  <c r="M29" i="12"/>
  <c r="I29" i="12"/>
  <c r="E29" i="12"/>
  <c r="F29" i="12"/>
  <c r="J29" i="12"/>
  <c r="G29" i="12"/>
  <c r="K36" i="12"/>
  <c r="K29" i="12"/>
  <c r="C10" i="12"/>
  <c r="C9" i="31" s="1"/>
  <c r="C41" i="31" s="1"/>
  <c r="B10" i="12"/>
  <c r="B9" i="31" s="1"/>
  <c r="D83" i="24"/>
  <c r="N70" i="24"/>
  <c r="D36" i="12"/>
  <c r="L36" i="12"/>
  <c r="M36" i="12"/>
  <c r="F36" i="12"/>
  <c r="E36" i="12"/>
  <c r="G36" i="12"/>
  <c r="H36" i="12"/>
  <c r="I36" i="12"/>
  <c r="J36" i="12"/>
  <c r="N11" i="12"/>
  <c r="Q369" i="14"/>
  <c r="Q360" i="14"/>
  <c r="Q351" i="14"/>
  <c r="Q11" i="5"/>
  <c r="AQ11" i="5" s="1"/>
  <c r="K141" i="4"/>
  <c r="K142" i="4" s="1"/>
  <c r="M10" i="5"/>
  <c r="Z10" i="5" s="1"/>
  <c r="S24" i="5"/>
  <c r="AF24" i="5" s="1"/>
  <c r="Q25" i="5"/>
  <c r="AD25" i="5" s="1"/>
  <c r="O28" i="5"/>
  <c r="AB28" i="5" s="1"/>
  <c r="B35" i="12"/>
  <c r="B71" i="31" s="1"/>
  <c r="N92" i="12"/>
  <c r="N101" i="12"/>
  <c r="N112" i="12"/>
  <c r="P16" i="5"/>
  <c r="AC16" i="5" s="1"/>
  <c r="S10" i="5"/>
  <c r="AS10" i="5" s="1"/>
  <c r="S15" i="5"/>
  <c r="AS15" i="5" s="1"/>
  <c r="O15" i="5"/>
  <c r="AB15" i="5" s="1"/>
  <c r="O16" i="5"/>
  <c r="AB16" i="5" s="1"/>
  <c r="L27" i="5"/>
  <c r="Y27" i="5" s="1"/>
  <c r="T27" i="5"/>
  <c r="AT27" i="5" s="1"/>
  <c r="T12" i="5"/>
  <c r="AT12" i="5" s="1"/>
  <c r="O13" i="5"/>
  <c r="AB13" i="5" s="1"/>
  <c r="N24" i="5"/>
  <c r="AA24" i="5" s="1"/>
  <c r="R8" i="5"/>
  <c r="AE8" i="5" s="1"/>
  <c r="P13" i="5"/>
  <c r="AP13" i="5" s="1"/>
  <c r="O8" i="5"/>
  <c r="AB8" i="5" s="1"/>
  <c r="O9" i="5"/>
  <c r="P11" i="5"/>
  <c r="AC11" i="5" s="1"/>
  <c r="N13" i="5"/>
  <c r="AA13" i="5" s="1"/>
  <c r="K24" i="5"/>
  <c r="J28" i="5"/>
  <c r="W28" i="5" s="1"/>
  <c r="R15" i="5"/>
  <c r="AE15" i="5" s="1"/>
  <c r="P8" i="5"/>
  <c r="AC8" i="5" s="1"/>
  <c r="Q9" i="5"/>
  <c r="AQ9" i="5" s="1"/>
  <c r="K11" i="5"/>
  <c r="O27" i="5"/>
  <c r="AB27" i="5" s="1"/>
  <c r="S8" i="5"/>
  <c r="S9" i="5"/>
  <c r="AS9" i="5" s="1"/>
  <c r="N11" i="5"/>
  <c r="AA11" i="5" s="1"/>
  <c r="U8" i="5"/>
  <c r="AH8" i="5" s="1"/>
  <c r="T14" i="5"/>
  <c r="AG14" i="5" s="1"/>
  <c r="L141" i="4"/>
  <c r="O25" i="5"/>
  <c r="K8" i="5"/>
  <c r="M8" i="5"/>
  <c r="Z8" i="5" s="1"/>
  <c r="Q13" i="5"/>
  <c r="AQ13" i="5" s="1"/>
  <c r="AR6" i="5"/>
  <c r="AJ7" i="5"/>
  <c r="L15" i="5"/>
  <c r="L24" i="5"/>
  <c r="AJ6" i="5"/>
  <c r="AR7" i="5"/>
  <c r="T10" i="5"/>
  <c r="R12" i="5"/>
  <c r="J12" i="5"/>
  <c r="O12" i="5"/>
  <c r="R14" i="5"/>
  <c r="R28" i="5"/>
  <c r="AK6" i="5"/>
  <c r="AS6" i="5"/>
  <c r="N8" i="5"/>
  <c r="N9" i="5"/>
  <c r="R9" i="5"/>
  <c r="J10" i="5"/>
  <c r="U10" i="5"/>
  <c r="K12" i="5"/>
  <c r="U12" i="5"/>
  <c r="M15" i="5"/>
  <c r="S27" i="5"/>
  <c r="AT6" i="5"/>
  <c r="AT7" i="5"/>
  <c r="S14" i="5"/>
  <c r="P14" i="5"/>
  <c r="N14" i="5"/>
  <c r="U14" i="5"/>
  <c r="M14" i="5"/>
  <c r="S26" i="5"/>
  <c r="K26" i="5"/>
  <c r="R26" i="5"/>
  <c r="Q26" i="5"/>
  <c r="P26" i="5"/>
  <c r="O26" i="5"/>
  <c r="N26" i="5"/>
  <c r="U26" i="5"/>
  <c r="M26" i="5"/>
  <c r="M12" i="5"/>
  <c r="J14" i="5"/>
  <c r="T24" i="5"/>
  <c r="J26" i="5"/>
  <c r="N27" i="5"/>
  <c r="N15" i="5"/>
  <c r="AN6" i="5"/>
  <c r="AN7" i="5"/>
  <c r="Q8" i="5"/>
  <c r="L9" i="5"/>
  <c r="U9" i="5"/>
  <c r="N10" i="5"/>
  <c r="O11" i="5"/>
  <c r="T11" i="5"/>
  <c r="L11" i="5"/>
  <c r="S11" i="5"/>
  <c r="N12" i="5"/>
  <c r="U13" i="5"/>
  <c r="M13" i="5"/>
  <c r="S13" i="5"/>
  <c r="K13" i="5"/>
  <c r="R13" i="5"/>
  <c r="J13" i="5"/>
  <c r="K14" i="5"/>
  <c r="U15" i="5"/>
  <c r="L26" i="5"/>
  <c r="AL6" i="5"/>
  <c r="AM6" i="5"/>
  <c r="AM7" i="5"/>
  <c r="T9" i="5"/>
  <c r="R11" i="5"/>
  <c r="T15" i="5"/>
  <c r="AO6" i="5"/>
  <c r="AO7" i="5"/>
  <c r="J8" i="5"/>
  <c r="M9" i="5"/>
  <c r="O10" i="5"/>
  <c r="J11" i="5"/>
  <c r="U11" i="5"/>
  <c r="P12" i="5"/>
  <c r="L13" i="5"/>
  <c r="L14" i="5"/>
  <c r="P25" i="5"/>
  <c r="U25" i="5"/>
  <c r="M25" i="5"/>
  <c r="T25" i="5"/>
  <c r="L25" i="5"/>
  <c r="S25" i="5"/>
  <c r="K25" i="5"/>
  <c r="R25" i="5"/>
  <c r="J25" i="5"/>
  <c r="T26" i="5"/>
  <c r="Z82" i="5"/>
  <c r="AL7" i="5"/>
  <c r="J9" i="5"/>
  <c r="L12" i="5"/>
  <c r="R16" i="5"/>
  <c r="AE16" i="5" s="1"/>
  <c r="U24" i="5"/>
  <c r="U27" i="5"/>
  <c r="AU6" i="5"/>
  <c r="P28" i="5"/>
  <c r="P24" i="5"/>
  <c r="AP6" i="5"/>
  <c r="AP7" i="5"/>
  <c r="P10" i="5"/>
  <c r="Q12" i="5"/>
  <c r="O14" i="5"/>
  <c r="Q16" i="5"/>
  <c r="AD16" i="5" s="1"/>
  <c r="R24" i="5"/>
  <c r="N25" i="5"/>
  <c r="Q28" i="5"/>
  <c r="T13" i="5"/>
  <c r="M24" i="5"/>
  <c r="M27" i="5"/>
  <c r="AQ6" i="5"/>
  <c r="L8" i="5"/>
  <c r="T8" i="5"/>
  <c r="P9" i="5"/>
  <c r="R10" i="5"/>
  <c r="M11" i="5"/>
  <c r="S12" i="5"/>
  <c r="Q14" i="5"/>
  <c r="J15" i="5"/>
  <c r="J16" i="5"/>
  <c r="W16" i="5" s="1"/>
  <c r="Q10" i="5"/>
  <c r="P15" i="5"/>
  <c r="K16" i="5"/>
  <c r="X16" i="5" s="1"/>
  <c r="S16" i="5"/>
  <c r="AF16" i="5" s="1"/>
  <c r="O24" i="5"/>
  <c r="P27" i="5"/>
  <c r="K28" i="5"/>
  <c r="S28" i="5"/>
  <c r="Q15" i="5"/>
  <c r="L16" i="5"/>
  <c r="Y16" i="5" s="1"/>
  <c r="T16" i="5"/>
  <c r="AG16" i="5" s="1"/>
  <c r="Q27" i="5"/>
  <c r="L28" i="5"/>
  <c r="T28" i="5"/>
  <c r="X84" i="5"/>
  <c r="M16" i="5"/>
  <c r="Z16" i="5" s="1"/>
  <c r="U16" i="5"/>
  <c r="AH16" i="5" s="1"/>
  <c r="Q24" i="5"/>
  <c r="J27" i="5"/>
  <c r="R27" i="5"/>
  <c r="M28" i="5"/>
  <c r="U28" i="5"/>
  <c r="L10" i="5"/>
  <c r="K15" i="5"/>
  <c r="N16" i="5"/>
  <c r="AA16" i="5" s="1"/>
  <c r="J24" i="5"/>
  <c r="K27" i="5"/>
  <c r="N28" i="5"/>
  <c r="X10" i="5" l="1"/>
  <c r="N64" i="13"/>
  <c r="N84" i="13" s="1"/>
  <c r="D56" i="28"/>
  <c r="N71" i="31"/>
  <c r="N72" i="31" s="1"/>
  <c r="B84" i="31"/>
  <c r="B72" i="31"/>
  <c r="N28" i="12"/>
  <c r="N29" i="12" s="1"/>
  <c r="D52" i="31"/>
  <c r="N10" i="31"/>
  <c r="N42" i="31"/>
  <c r="B41" i="31"/>
  <c r="J72" i="24"/>
  <c r="AD11" i="5"/>
  <c r="G72" i="24"/>
  <c r="I72" i="24"/>
  <c r="E72" i="24"/>
  <c r="L72" i="24"/>
  <c r="X9" i="5"/>
  <c r="N10" i="24"/>
  <c r="B53" i="24"/>
  <c r="M72" i="24"/>
  <c r="H72" i="24"/>
  <c r="D29" i="12"/>
  <c r="D72" i="24"/>
  <c r="F72" i="24"/>
  <c r="B81" i="24"/>
  <c r="AO28" i="5"/>
  <c r="AC13" i="5"/>
  <c r="AQ25" i="5"/>
  <c r="AO15" i="5"/>
  <c r="D53" i="24"/>
  <c r="AR8" i="5"/>
  <c r="AS24" i="5"/>
  <c r="K64" i="13"/>
  <c r="K84" i="13" s="1"/>
  <c r="O64" i="13"/>
  <c r="O84" i="13" s="1"/>
  <c r="P64" i="13"/>
  <c r="P84" i="13" s="1"/>
  <c r="Q64" i="13"/>
  <c r="Q84" i="13" s="1"/>
  <c r="F64" i="13"/>
  <c r="F84" i="13" s="1"/>
  <c r="M18" i="5"/>
  <c r="Z18" i="5" s="1"/>
  <c r="G64" i="13"/>
  <c r="G84" i="13" s="1"/>
  <c r="AM10" i="5"/>
  <c r="AF10" i="5"/>
  <c r="H64" i="13"/>
  <c r="H84" i="13" s="1"/>
  <c r="I64" i="13"/>
  <c r="I84" i="13" s="1"/>
  <c r="AG12" i="5"/>
  <c r="J64" i="13"/>
  <c r="J84" i="13" s="1"/>
  <c r="L64" i="13"/>
  <c r="L84" i="13" s="1"/>
  <c r="M64" i="13"/>
  <c r="M84" i="13" s="1"/>
  <c r="S55" i="13"/>
  <c r="J49" i="12"/>
  <c r="E85" i="24"/>
  <c r="H85" i="24"/>
  <c r="M85" i="24"/>
  <c r="J85" i="24"/>
  <c r="I85" i="24"/>
  <c r="F85" i="24"/>
  <c r="L85" i="24"/>
  <c r="G85" i="24"/>
  <c r="I53" i="24"/>
  <c r="I62" i="24"/>
  <c r="I63" i="24" s="1"/>
  <c r="C53" i="24"/>
  <c r="C62" i="24"/>
  <c r="C63" i="24" s="1"/>
  <c r="K72" i="24"/>
  <c r="K81" i="24"/>
  <c r="G53" i="24"/>
  <c r="G62" i="24"/>
  <c r="G63" i="24" s="1"/>
  <c r="F62" i="24"/>
  <c r="F63" i="24" s="1"/>
  <c r="F53" i="24"/>
  <c r="M62" i="24"/>
  <c r="M63" i="24" s="1"/>
  <c r="M53" i="24"/>
  <c r="H62" i="24"/>
  <c r="H63" i="24" s="1"/>
  <c r="H53" i="24"/>
  <c r="C81" i="24"/>
  <c r="C72" i="24"/>
  <c r="J53" i="24"/>
  <c r="J62" i="24"/>
  <c r="J63" i="24" s="1"/>
  <c r="N35" i="12"/>
  <c r="K62" i="24"/>
  <c r="K63" i="24" s="1"/>
  <c r="K53" i="24"/>
  <c r="E53" i="24"/>
  <c r="E62" i="24"/>
  <c r="E63" i="24" s="1"/>
  <c r="L62" i="24"/>
  <c r="L63" i="24" s="1"/>
  <c r="L53" i="24"/>
  <c r="N83" i="24"/>
  <c r="D85" i="24"/>
  <c r="N32" i="12"/>
  <c r="B36" i="12"/>
  <c r="B29" i="12"/>
  <c r="AO13" i="5"/>
  <c r="AT14" i="5"/>
  <c r="AG27" i="5"/>
  <c r="AL27" i="5"/>
  <c r="AP11" i="5"/>
  <c r="AD13" i="5"/>
  <c r="AF15" i="5"/>
  <c r="N45" i="12"/>
  <c r="AO27" i="5"/>
  <c r="AR15" i="5"/>
  <c r="AU8" i="5"/>
  <c r="AN24" i="5"/>
  <c r="AN13" i="5"/>
  <c r="AJ28" i="5"/>
  <c r="AM8" i="5"/>
  <c r="AP8" i="5"/>
  <c r="AS8" i="5"/>
  <c r="AF8" i="5"/>
  <c r="X24" i="5"/>
  <c r="AK24" i="5"/>
  <c r="AB25" i="5"/>
  <c r="AO25" i="5"/>
  <c r="X11" i="5"/>
  <c r="AK11" i="5"/>
  <c r="AB9" i="5"/>
  <c r="AO9" i="5"/>
  <c r="AK8" i="5"/>
  <c r="X8" i="5"/>
  <c r="AF9" i="5"/>
  <c r="AD9" i="5"/>
  <c r="AO8" i="5"/>
  <c r="N19" i="5"/>
  <c r="AN11" i="5"/>
  <c r="W15" i="5"/>
  <c r="AJ15" i="5"/>
  <c r="AP25" i="5"/>
  <c r="AC25" i="5"/>
  <c r="AR25" i="5"/>
  <c r="AE25" i="5"/>
  <c r="AA12" i="5"/>
  <c r="AN12" i="5"/>
  <c r="AR12" i="5"/>
  <c r="AE12" i="5"/>
  <c r="Y28" i="5"/>
  <c r="AL28" i="5"/>
  <c r="W9" i="5"/>
  <c r="AJ9" i="5"/>
  <c r="AK25" i="5"/>
  <c r="X25" i="5"/>
  <c r="AJ8" i="5"/>
  <c r="W8" i="5"/>
  <c r="AR11" i="5"/>
  <c r="AE11" i="5"/>
  <c r="AK14" i="5"/>
  <c r="X14" i="5"/>
  <c r="AF11" i="5"/>
  <c r="AS11" i="5"/>
  <c r="AR26" i="5"/>
  <c r="AE26" i="5"/>
  <c r="AH12" i="5"/>
  <c r="AU12" i="5"/>
  <c r="Y24" i="5"/>
  <c r="AL24" i="5"/>
  <c r="AN28" i="5"/>
  <c r="AA28" i="5"/>
  <c r="AE27" i="5"/>
  <c r="AR27" i="5"/>
  <c r="AD27" i="5"/>
  <c r="AQ27" i="5"/>
  <c r="AF12" i="5"/>
  <c r="AS12" i="5"/>
  <c r="AR24" i="5"/>
  <c r="AE24" i="5"/>
  <c r="AP24" i="5"/>
  <c r="AC24" i="5"/>
  <c r="AS25" i="5"/>
  <c r="AF25" i="5"/>
  <c r="Y13" i="5"/>
  <c r="AL13" i="5"/>
  <c r="AT9" i="5"/>
  <c r="AG9" i="5"/>
  <c r="AJ13" i="5"/>
  <c r="W13" i="5"/>
  <c r="AL11" i="5"/>
  <c r="Y11" i="5"/>
  <c r="L19" i="5"/>
  <c r="AG24" i="5"/>
  <c r="AT24" i="5"/>
  <c r="AK26" i="5"/>
  <c r="X26" i="5"/>
  <c r="X12" i="5"/>
  <c r="AK12" i="5"/>
  <c r="Y15" i="5"/>
  <c r="AL15" i="5"/>
  <c r="AK27" i="5"/>
  <c r="X27" i="5"/>
  <c r="W27" i="5"/>
  <c r="AJ27" i="5"/>
  <c r="M19" i="5"/>
  <c r="AM11" i="5"/>
  <c r="Z11" i="5"/>
  <c r="AM27" i="5"/>
  <c r="Z27" i="5"/>
  <c r="AP28" i="5"/>
  <c r="AC28" i="5"/>
  <c r="Y25" i="5"/>
  <c r="AL25" i="5"/>
  <c r="AP12" i="5"/>
  <c r="AC12" i="5"/>
  <c r="AR13" i="5"/>
  <c r="AE13" i="5"/>
  <c r="AT11" i="5"/>
  <c r="AG11" i="5"/>
  <c r="Z26" i="5"/>
  <c r="AM26" i="5"/>
  <c r="AS26" i="5"/>
  <c r="AF26" i="5"/>
  <c r="AT10" i="5"/>
  <c r="AG10" i="5"/>
  <c r="AC10" i="5"/>
  <c r="AP10" i="5"/>
  <c r="AH15" i="5"/>
  <c r="AU15" i="5"/>
  <c r="Z15" i="5"/>
  <c r="AM15" i="5"/>
  <c r="X28" i="5"/>
  <c r="AK28" i="5"/>
  <c r="AG28" i="5"/>
  <c r="AT28" i="5"/>
  <c r="AQ28" i="5"/>
  <c r="AD28" i="5"/>
  <c r="Y14" i="5"/>
  <c r="AL14" i="5"/>
  <c r="AJ26" i="5"/>
  <c r="W26" i="5"/>
  <c r="AA8" i="5"/>
  <c r="AN8" i="5"/>
  <c r="Z28" i="5"/>
  <c r="AM28" i="5"/>
  <c r="AA25" i="5"/>
  <c r="AN25" i="5"/>
  <c r="AJ24" i="5"/>
  <c r="W24" i="5"/>
  <c r="AD24" i="5"/>
  <c r="AQ24" i="5"/>
  <c r="AP15" i="5"/>
  <c r="AC15" i="5"/>
  <c r="AR10" i="5"/>
  <c r="AE10" i="5"/>
  <c r="AM24" i="5"/>
  <c r="Z24" i="5"/>
  <c r="AB14" i="5"/>
  <c r="AO14" i="5"/>
  <c r="Z84" i="5"/>
  <c r="AA82" i="5"/>
  <c r="AG25" i="5"/>
  <c r="AT25" i="5"/>
  <c r="AU11" i="5"/>
  <c r="AH11" i="5"/>
  <c r="AK13" i="5"/>
  <c r="X13" i="5"/>
  <c r="AO11" i="5"/>
  <c r="AB11" i="5"/>
  <c r="W14" i="5"/>
  <c r="AJ14" i="5"/>
  <c r="AH26" i="5"/>
  <c r="AU26" i="5"/>
  <c r="AM14" i="5"/>
  <c r="Z14" i="5"/>
  <c r="AH10" i="5"/>
  <c r="AU10" i="5"/>
  <c r="AE28" i="5"/>
  <c r="AR28" i="5"/>
  <c r="AQ15" i="5"/>
  <c r="AD15" i="5"/>
  <c r="AQ10" i="5"/>
  <c r="AD10" i="5"/>
  <c r="AC9" i="5"/>
  <c r="AP9" i="5"/>
  <c r="AG13" i="5"/>
  <c r="AT13" i="5"/>
  <c r="AU27" i="5"/>
  <c r="AH27" i="5"/>
  <c r="AM25" i="5"/>
  <c r="Z25" i="5"/>
  <c r="AJ11" i="5"/>
  <c r="W11" i="5"/>
  <c r="AS13" i="5"/>
  <c r="AF13" i="5"/>
  <c r="N18" i="5"/>
  <c r="AN10" i="5"/>
  <c r="AA10" i="5"/>
  <c r="AM12" i="5"/>
  <c r="Z12" i="5"/>
  <c r="AA26" i="5"/>
  <c r="AN26" i="5"/>
  <c r="AU14" i="5"/>
  <c r="AH14" i="5"/>
  <c r="W10" i="5"/>
  <c r="AJ10" i="5"/>
  <c r="AE14" i="5"/>
  <c r="AR14" i="5"/>
  <c r="AK15" i="5"/>
  <c r="X15" i="5"/>
  <c r="AF28" i="5"/>
  <c r="AS28" i="5"/>
  <c r="AT8" i="5"/>
  <c r="AG8" i="5"/>
  <c r="AD12" i="5"/>
  <c r="AQ12" i="5"/>
  <c r="AU24" i="5"/>
  <c r="AH24" i="5"/>
  <c r="AG26" i="5"/>
  <c r="AT26" i="5"/>
  <c r="AU25" i="5"/>
  <c r="AH25" i="5"/>
  <c r="AO10" i="5"/>
  <c r="AB10" i="5"/>
  <c r="AM13" i="5"/>
  <c r="Z13" i="5"/>
  <c r="AN15" i="5"/>
  <c r="AA15" i="5"/>
  <c r="AB26" i="5"/>
  <c r="AO26" i="5"/>
  <c r="AN14" i="5"/>
  <c r="AA14" i="5"/>
  <c r="AS27" i="5"/>
  <c r="AF27" i="5"/>
  <c r="AE9" i="5"/>
  <c r="AR9" i="5"/>
  <c r="AO12" i="5"/>
  <c r="AB12" i="5"/>
  <c r="Y26" i="5"/>
  <c r="AL26" i="5"/>
  <c r="AU13" i="5"/>
  <c r="AH13" i="5"/>
  <c r="AH9" i="5"/>
  <c r="AU9" i="5"/>
  <c r="AN27" i="5"/>
  <c r="AA27" i="5"/>
  <c r="AP26" i="5"/>
  <c r="AC26" i="5"/>
  <c r="AP14" i="5"/>
  <c r="AC14" i="5"/>
  <c r="N17" i="5"/>
  <c r="AN9" i="5"/>
  <c r="AA9" i="5"/>
  <c r="AJ12" i="5"/>
  <c r="W12" i="5"/>
  <c r="AC27" i="5"/>
  <c r="AP27" i="5"/>
  <c r="AG15" i="5"/>
  <c r="AT15" i="5"/>
  <c r="AS14" i="5"/>
  <c r="AF14" i="5"/>
  <c r="L18" i="5"/>
  <c r="AL10" i="5"/>
  <c r="Y10" i="5"/>
  <c r="AL8" i="5"/>
  <c r="Y8" i="5"/>
  <c r="AJ25" i="5"/>
  <c r="W25" i="5"/>
  <c r="AH28" i="5"/>
  <c r="AU28" i="5"/>
  <c r="AD14" i="5"/>
  <c r="AQ14" i="5"/>
  <c r="Y12" i="5"/>
  <c r="AL12" i="5"/>
  <c r="M17" i="5"/>
  <c r="Z9" i="5"/>
  <c r="AM9" i="5"/>
  <c r="L17" i="5"/>
  <c r="Y9" i="5"/>
  <c r="AL9" i="5"/>
  <c r="AQ26" i="5"/>
  <c r="AD26" i="5"/>
  <c r="AO24" i="5"/>
  <c r="AB24" i="5"/>
  <c r="AQ8" i="5"/>
  <c r="AD8" i="5"/>
  <c r="K65" i="28" l="1"/>
  <c r="K86" i="28" s="1"/>
  <c r="M65" i="28"/>
  <c r="M86" i="28" s="1"/>
  <c r="G65" i="28"/>
  <c r="G86" i="28" s="1"/>
  <c r="F65" i="28"/>
  <c r="F86" i="28" s="1"/>
  <c r="J65" i="28"/>
  <c r="J86" i="28" s="1"/>
  <c r="P65" i="28"/>
  <c r="P86" i="28" s="1"/>
  <c r="I65" i="28"/>
  <c r="I86" i="28" s="1"/>
  <c r="O65" i="28"/>
  <c r="O86" i="28" s="1"/>
  <c r="L65" i="28"/>
  <c r="L86" i="28" s="1"/>
  <c r="N65" i="28"/>
  <c r="N86" i="28" s="1"/>
  <c r="E65" i="28"/>
  <c r="E86" i="28" s="1"/>
  <c r="H65" i="28"/>
  <c r="H86" i="28" s="1"/>
  <c r="D62" i="31"/>
  <c r="N52" i="31"/>
  <c r="N53" i="31" s="1"/>
  <c r="D53" i="31"/>
  <c r="B85" i="31"/>
  <c r="B88" i="31" s="1"/>
  <c r="N84" i="31"/>
  <c r="N85" i="31" s="1"/>
  <c r="J60" i="12"/>
  <c r="J7" i="12" s="1"/>
  <c r="N52" i="24"/>
  <c r="B62" i="24"/>
  <c r="B63" i="24" s="1"/>
  <c r="D62" i="24"/>
  <c r="M49" i="12"/>
  <c r="K49" i="12"/>
  <c r="N68" i="24"/>
  <c r="D49" i="12"/>
  <c r="B72" i="24"/>
  <c r="C49" i="12"/>
  <c r="H49" i="12"/>
  <c r="B49" i="12"/>
  <c r="G49" i="12"/>
  <c r="L49" i="12"/>
  <c r="P18" i="5"/>
  <c r="AC18" i="5" s="1"/>
  <c r="E49" i="12"/>
  <c r="I49" i="12"/>
  <c r="F49" i="12"/>
  <c r="M88" i="24"/>
  <c r="L88" i="24"/>
  <c r="J88" i="24"/>
  <c r="C85" i="24"/>
  <c r="I88" i="24"/>
  <c r="K85" i="24"/>
  <c r="K88" i="24" s="1"/>
  <c r="H88" i="24"/>
  <c r="G88" i="24"/>
  <c r="N36" i="12"/>
  <c r="E88" i="24"/>
  <c r="N81" i="24"/>
  <c r="B84" i="24"/>
  <c r="N71" i="24"/>
  <c r="F88" i="24"/>
  <c r="AT77" i="5"/>
  <c r="AG79" i="5" s="1"/>
  <c r="AN77" i="5"/>
  <c r="AA79" i="5" s="1"/>
  <c r="AP77" i="5"/>
  <c r="AC79" i="5" s="1"/>
  <c r="X77" i="5"/>
  <c r="AK77" i="5"/>
  <c r="X79" i="5" s="1"/>
  <c r="X86" i="5" s="1"/>
  <c r="X93" i="5" s="1"/>
  <c r="X97" i="5" s="1"/>
  <c r="AA19" i="5"/>
  <c r="Q19" i="5"/>
  <c r="AM77" i="5"/>
  <c r="Z79" i="5" s="1"/>
  <c r="Z86" i="5" s="1"/>
  <c r="Z93" i="5" s="1"/>
  <c r="AY1" i="5"/>
  <c r="BA2" i="5" s="1"/>
  <c r="BB2" i="5" s="1"/>
  <c r="AQ77" i="5"/>
  <c r="AD79" i="5" s="1"/>
  <c r="AO77" i="5"/>
  <c r="AB79" i="5" s="1"/>
  <c r="AU77" i="5"/>
  <c r="AH79" i="5" s="1"/>
  <c r="AS77" i="5"/>
  <c r="AF79" i="5" s="1"/>
  <c r="AR77" i="5"/>
  <c r="AE79" i="5" s="1"/>
  <c r="AL77" i="5"/>
  <c r="Y79" i="5" s="1"/>
  <c r="Y86" i="5" s="1"/>
  <c r="Y93" i="5" s="1"/>
  <c r="Y99" i="5" s="1"/>
  <c r="Q18" i="5"/>
  <c r="AA18" i="5"/>
  <c r="Y19" i="5"/>
  <c r="O19" i="5"/>
  <c r="AA17" i="5"/>
  <c r="Q17" i="5"/>
  <c r="O17" i="5"/>
  <c r="Y17" i="5"/>
  <c r="Y18" i="5"/>
  <c r="O18" i="5"/>
  <c r="Z17" i="5"/>
  <c r="P17" i="5"/>
  <c r="W77" i="5"/>
  <c r="Z19" i="5"/>
  <c r="P19" i="5"/>
  <c r="AA84" i="5"/>
  <c r="AB82" i="5"/>
  <c r="D63" i="24" l="1"/>
  <c r="D88" i="24" s="1"/>
  <c r="N62" i="31"/>
  <c r="N63" i="31" s="1"/>
  <c r="N88" i="31" s="1"/>
  <c r="D63" i="31"/>
  <c r="D88" i="31" s="1"/>
  <c r="K60" i="12"/>
  <c r="K7" i="12" s="1"/>
  <c r="B60" i="12"/>
  <c r="B7" i="12" s="1"/>
  <c r="H60" i="12"/>
  <c r="H7" i="12" s="1"/>
  <c r="L60" i="12"/>
  <c r="L7" i="12" s="1"/>
  <c r="M60" i="12"/>
  <c r="M7" i="12" s="1"/>
  <c r="F60" i="12"/>
  <c r="F7" i="12" s="1"/>
  <c r="C60" i="12"/>
  <c r="C7" i="12" s="1"/>
  <c r="G60" i="12"/>
  <c r="G7" i="12" s="1"/>
  <c r="E60" i="12"/>
  <c r="E7" i="12" s="1"/>
  <c r="D60" i="12"/>
  <c r="D7" i="12" s="1"/>
  <c r="I60" i="12"/>
  <c r="I7" i="12" s="1"/>
  <c r="N53" i="24"/>
  <c r="N72" i="24"/>
  <c r="S18" i="5"/>
  <c r="AF18" i="5" s="1"/>
  <c r="N49" i="12"/>
  <c r="AA86" i="5"/>
  <c r="AA93" i="5" s="1"/>
  <c r="AA102" i="5" s="1"/>
  <c r="C88" i="24"/>
  <c r="N84" i="24"/>
  <c r="N85" i="24" s="1"/>
  <c r="B85" i="24"/>
  <c r="B88" i="24" s="1"/>
  <c r="N78" i="12"/>
  <c r="AJ16" i="5"/>
  <c r="AJ77" i="5" s="1"/>
  <c r="W79" i="5" s="1"/>
  <c r="W86" i="5" s="1"/>
  <c r="W93" i="5" s="1"/>
  <c r="W101" i="5" s="1"/>
  <c r="X99" i="5"/>
  <c r="Y101" i="5"/>
  <c r="Y98" i="5"/>
  <c r="X102" i="5"/>
  <c r="X98" i="5"/>
  <c r="Y102" i="5"/>
  <c r="AA77" i="5"/>
  <c r="AA78" i="5" s="1"/>
  <c r="Y97" i="5"/>
  <c r="X101" i="5"/>
  <c r="AD19" i="5"/>
  <c r="T19" i="5"/>
  <c r="AG19" i="5" s="1"/>
  <c r="Z77" i="5"/>
  <c r="Z78" i="5" s="1"/>
  <c r="Y77" i="5"/>
  <c r="Y78" i="5" s="1"/>
  <c r="X78" i="5"/>
  <c r="AB19" i="5"/>
  <c r="R19" i="5"/>
  <c r="AB18" i="5"/>
  <c r="R18" i="5"/>
  <c r="R17" i="5"/>
  <c r="AB17" i="5"/>
  <c r="T18" i="5"/>
  <c r="AG18" i="5" s="1"/>
  <c r="AD18" i="5"/>
  <c r="AB84" i="5"/>
  <c r="AB86" i="5" s="1"/>
  <c r="AB93" i="5" s="1"/>
  <c r="AC82" i="5"/>
  <c r="AC17" i="5"/>
  <c r="S17" i="5"/>
  <c r="AF17" i="5" s="1"/>
  <c r="S19" i="5"/>
  <c r="AF19" i="5" s="1"/>
  <c r="AC19" i="5"/>
  <c r="AD17" i="5"/>
  <c r="T17" i="5"/>
  <c r="AG17" i="5" s="1"/>
  <c r="Z101" i="5"/>
  <c r="Z98" i="5"/>
  <c r="Z102" i="5"/>
  <c r="Z99" i="5"/>
  <c r="Z97" i="5"/>
  <c r="N62" i="24" l="1"/>
  <c r="N63" i="24" s="1"/>
  <c r="N88" i="24" s="1"/>
  <c r="N60" i="12"/>
  <c r="AA98" i="5"/>
  <c r="AA101" i="5"/>
  <c r="AA97" i="5"/>
  <c r="AA99" i="5"/>
  <c r="W102" i="5"/>
  <c r="W99" i="5"/>
  <c r="W97" i="5"/>
  <c r="W98" i="5"/>
  <c r="W78" i="5"/>
  <c r="X105" i="5"/>
  <c r="AC77" i="5"/>
  <c r="AC78" i="5" s="1"/>
  <c r="AG77" i="5"/>
  <c r="AG78" i="5" s="1"/>
  <c r="Y105" i="5"/>
  <c r="Z105" i="5"/>
  <c r="AF77" i="5"/>
  <c r="AF78" i="5" s="1"/>
  <c r="AE19" i="5"/>
  <c r="U19" i="5"/>
  <c r="AH19" i="5" s="1"/>
  <c r="AD77" i="5"/>
  <c r="AD78" i="5" s="1"/>
  <c r="AC84" i="5"/>
  <c r="AC86" i="5" s="1"/>
  <c r="AC93" i="5" s="1"/>
  <c r="AD82" i="5"/>
  <c r="AB102" i="5"/>
  <c r="AB99" i="5"/>
  <c r="AB97" i="5"/>
  <c r="AB101" i="5"/>
  <c r="AB98" i="5"/>
  <c r="AB77" i="5"/>
  <c r="AB78" i="5" s="1"/>
  <c r="AE18" i="5"/>
  <c r="U18" i="5"/>
  <c r="AH18" i="5" s="1"/>
  <c r="AE17" i="5"/>
  <c r="U17" i="5"/>
  <c r="AH17" i="5" s="1"/>
  <c r="B8" i="12" l="1"/>
  <c r="B7" i="31" s="1"/>
  <c r="N7" i="12"/>
  <c r="AA105" i="5"/>
  <c r="W105" i="5"/>
  <c r="AH77" i="5"/>
  <c r="AH78" i="5" s="1"/>
  <c r="N17" i="24"/>
  <c r="AB105" i="5"/>
  <c r="AC102" i="5"/>
  <c r="AC99" i="5"/>
  <c r="AC97" i="5"/>
  <c r="AC101" i="5"/>
  <c r="AC98" i="5"/>
  <c r="AE82" i="5"/>
  <c r="AD84" i="5"/>
  <c r="AD86" i="5" s="1"/>
  <c r="AD93" i="5" s="1"/>
  <c r="AE77" i="5"/>
  <c r="AE78" i="5" s="1"/>
  <c r="C8" i="12" l="1"/>
  <c r="B39" i="31"/>
  <c r="AC105" i="5"/>
  <c r="AD102" i="5"/>
  <c r="AD99" i="5"/>
  <c r="AD97" i="5"/>
  <c r="AD101" i="5"/>
  <c r="AD98" i="5"/>
  <c r="AF82" i="5"/>
  <c r="AE84" i="5"/>
  <c r="AE86" i="5" s="1"/>
  <c r="AE93" i="5" s="1"/>
  <c r="D8" i="12" l="1"/>
  <c r="C7" i="31"/>
  <c r="AD105" i="5"/>
  <c r="AG82" i="5"/>
  <c r="AF84" i="5"/>
  <c r="AF86" i="5" s="1"/>
  <c r="AF93" i="5" s="1"/>
  <c r="AE101" i="5"/>
  <c r="AE98" i="5"/>
  <c r="AE102" i="5"/>
  <c r="AE99" i="5"/>
  <c r="AE97" i="5"/>
  <c r="C39" i="31" l="1"/>
  <c r="E8" i="12"/>
  <c r="D7" i="31"/>
  <c r="D39" i="31" s="1"/>
  <c r="C9" i="10"/>
  <c r="AE105" i="5"/>
  <c r="AF101" i="5"/>
  <c r="AF98" i="5"/>
  <c r="AF102" i="5"/>
  <c r="AF99" i="5"/>
  <c r="AF97" i="5"/>
  <c r="AG84" i="5"/>
  <c r="AG86" i="5" s="1"/>
  <c r="AG93" i="5" s="1"/>
  <c r="AH82" i="5"/>
  <c r="AH84" i="5" s="1"/>
  <c r="AH86" i="5" s="1"/>
  <c r="AH93" i="5" s="1"/>
  <c r="F8" i="12" l="1"/>
  <c r="E7" i="31"/>
  <c r="E39" i="31" s="1"/>
  <c r="AF105" i="5"/>
  <c r="AH101" i="5"/>
  <c r="AH98" i="5"/>
  <c r="AH102" i="5"/>
  <c r="AH99" i="5"/>
  <c r="AH97" i="5"/>
  <c r="AG101" i="5"/>
  <c r="AG98" i="5"/>
  <c r="AG102" i="5"/>
  <c r="AG99" i="5"/>
  <c r="AG97" i="5"/>
  <c r="G8" i="12" l="1"/>
  <c r="F7" i="31"/>
  <c r="AH105" i="5"/>
  <c r="AG105" i="5"/>
  <c r="F39" i="31" l="1"/>
  <c r="H8" i="12"/>
  <c r="G7" i="31"/>
  <c r="G39" i="31" s="1"/>
  <c r="J37" i="1"/>
  <c r="K37" i="1"/>
  <c r="L37" i="1"/>
  <c r="M37" i="1"/>
  <c r="N37" i="1"/>
  <c r="O37" i="1"/>
  <c r="P37" i="1"/>
  <c r="Q37" i="1"/>
  <c r="R37" i="1"/>
  <c r="S37" i="1"/>
  <c r="T37" i="1"/>
  <c r="I37" i="1"/>
  <c r="H36" i="1"/>
  <c r="H35" i="1"/>
  <c r="H32" i="1"/>
  <c r="H34" i="1"/>
  <c r="H33" i="1"/>
  <c r="H19" i="1"/>
  <c r="H15" i="1"/>
  <c r="H14" i="1"/>
  <c r="H13" i="1"/>
  <c r="H12" i="1"/>
  <c r="H11" i="1"/>
  <c r="H10" i="1"/>
  <c r="H9" i="1"/>
  <c r="H8" i="1"/>
  <c r="I8" i="12" l="1"/>
  <c r="H7" i="31"/>
  <c r="H39" i="31" s="1"/>
  <c r="V6" i="2" l="1"/>
  <c r="J8" i="12"/>
  <c r="I7" i="31"/>
  <c r="V28" i="2"/>
  <c r="V42" i="2"/>
  <c r="BL15" i="2" s="1"/>
  <c r="BN15" i="2" s="1"/>
  <c r="V12" i="2"/>
  <c r="V14" i="2"/>
  <c r="V44" i="2"/>
  <c r="V7" i="2"/>
  <c r="V23" i="2"/>
  <c r="BL10" i="2" s="1"/>
  <c r="BN10" i="2" s="1"/>
  <c r="V27" i="2"/>
  <c r="V17" i="2"/>
  <c r="V8" i="2"/>
  <c r="V48" i="2"/>
  <c r="BL21" i="2" s="1"/>
  <c r="BN21" i="2" s="1"/>
  <c r="V11" i="2"/>
  <c r="V29" i="2"/>
  <c r="V31" i="2"/>
  <c r="V25" i="2"/>
  <c r="V9" i="2"/>
  <c r="V35" i="2"/>
  <c r="V10" i="2"/>
  <c r="V45" i="2"/>
  <c r="V30" i="2"/>
  <c r="V15" i="2"/>
  <c r="V24" i="2"/>
  <c r="BL12" i="2" s="1"/>
  <c r="BN12" i="2" s="1"/>
  <c r="T4" i="1"/>
  <c r="S4" i="1"/>
  <c r="R4" i="1"/>
  <c r="Q4" i="1"/>
  <c r="P4" i="1"/>
  <c r="O4" i="1"/>
  <c r="N4" i="1"/>
  <c r="M4" i="1"/>
  <c r="L4" i="1"/>
  <c r="K4" i="1"/>
  <c r="J4" i="1"/>
  <c r="I4" i="1"/>
  <c r="BL17" i="2" l="1"/>
  <c r="BN17" i="2" s="1"/>
  <c r="BL6" i="2"/>
  <c r="V26" i="2"/>
  <c r="BL13" i="2" s="1"/>
  <c r="BN13" i="2" s="1"/>
  <c r="V16" i="2"/>
  <c r="K8" i="12"/>
  <c r="J7" i="31"/>
  <c r="J39" i="31" s="1"/>
  <c r="I39" i="31"/>
  <c r="B6" i="31"/>
  <c r="B38" i="24"/>
  <c r="AJ6" i="2"/>
  <c r="BM6" i="2" s="1"/>
  <c r="Q15" i="1"/>
  <c r="Q34" i="1"/>
  <c r="Q14" i="1"/>
  <c r="Q11" i="1"/>
  <c r="Q19" i="1"/>
  <c r="Q13" i="1"/>
  <c r="Q12" i="1"/>
  <c r="Q33" i="1"/>
  <c r="Q32" i="1"/>
  <c r="Q36" i="1"/>
  <c r="Q10" i="1"/>
  <c r="Q9" i="1"/>
  <c r="Q35" i="1"/>
  <c r="Q8" i="1"/>
  <c r="S14" i="1"/>
  <c r="S32" i="1"/>
  <c r="S9" i="1"/>
  <c r="S11" i="1"/>
  <c r="S13" i="1"/>
  <c r="S10" i="1"/>
  <c r="S8" i="1"/>
  <c r="S33" i="1"/>
  <c r="S12" i="1"/>
  <c r="S35" i="1"/>
  <c r="S36" i="1"/>
  <c r="S34" i="1"/>
  <c r="S19" i="1"/>
  <c r="S15" i="1"/>
  <c r="I15" i="1"/>
  <c r="I34" i="1"/>
  <c r="I11" i="1"/>
  <c r="I32" i="1"/>
  <c r="I14" i="1"/>
  <c r="I36" i="1"/>
  <c r="I8" i="1"/>
  <c r="I10" i="1"/>
  <c r="I35" i="1"/>
  <c r="I9" i="1"/>
  <c r="I13" i="1"/>
  <c r="I19" i="1"/>
  <c r="I33" i="1"/>
  <c r="I12" i="1"/>
  <c r="K11" i="1"/>
  <c r="K22" i="1" s="1"/>
  <c r="K32" i="1"/>
  <c r="K14" i="1"/>
  <c r="K9" i="1"/>
  <c r="K20" i="1" s="1"/>
  <c r="K33" i="1"/>
  <c r="K12" i="1"/>
  <c r="K8" i="1"/>
  <c r="K35" i="1"/>
  <c r="K36" i="1"/>
  <c r="K34" i="1"/>
  <c r="K19" i="1"/>
  <c r="K15" i="1"/>
  <c r="K10" i="1"/>
  <c r="K21" i="1" s="1"/>
  <c r="K13" i="1"/>
  <c r="L33" i="1"/>
  <c r="L12" i="1"/>
  <c r="L9" i="1"/>
  <c r="L20" i="1" s="1"/>
  <c r="L32" i="1"/>
  <c r="L35" i="1"/>
  <c r="L14" i="1"/>
  <c r="L13" i="1"/>
  <c r="L15" i="1"/>
  <c r="L34" i="1"/>
  <c r="L11" i="1"/>
  <c r="L22" i="1" s="1"/>
  <c r="L36" i="1"/>
  <c r="L10" i="1"/>
  <c r="L21" i="1" s="1"/>
  <c r="L8" i="1"/>
  <c r="L19" i="1"/>
  <c r="T33" i="1"/>
  <c r="T9" i="1"/>
  <c r="T32" i="1"/>
  <c r="T12" i="1"/>
  <c r="T34" i="1"/>
  <c r="T19" i="1"/>
  <c r="T13" i="1"/>
  <c r="T8" i="1"/>
  <c r="T35" i="1"/>
  <c r="T14" i="1"/>
  <c r="T15" i="1"/>
  <c r="T11" i="1"/>
  <c r="T36" i="1"/>
  <c r="T10" i="1"/>
  <c r="J34" i="1"/>
  <c r="J15" i="1"/>
  <c r="J10" i="1"/>
  <c r="J11" i="1"/>
  <c r="J14" i="1"/>
  <c r="J33" i="1"/>
  <c r="J13" i="1"/>
  <c r="J9" i="1"/>
  <c r="J8" i="1"/>
  <c r="J12" i="1"/>
  <c r="J32" i="1"/>
  <c r="J35" i="1"/>
  <c r="J36" i="1"/>
  <c r="J19" i="1"/>
  <c r="M14" i="1"/>
  <c r="M11" i="1"/>
  <c r="M22" i="1" s="1"/>
  <c r="M34" i="1"/>
  <c r="M15" i="1"/>
  <c r="M32" i="1"/>
  <c r="M9" i="1"/>
  <c r="M20" i="1" s="1"/>
  <c r="M19" i="1"/>
  <c r="M33" i="1"/>
  <c r="M13" i="1"/>
  <c r="M35" i="1"/>
  <c r="M10" i="1"/>
  <c r="M21" i="1" s="1"/>
  <c r="M8" i="1"/>
  <c r="M12" i="1"/>
  <c r="M36" i="1"/>
  <c r="N14" i="1"/>
  <c r="N11" i="1"/>
  <c r="N34" i="1"/>
  <c r="N15" i="1"/>
  <c r="N10" i="1"/>
  <c r="N32" i="1"/>
  <c r="N9" i="1"/>
  <c r="N35" i="1"/>
  <c r="N33" i="1"/>
  <c r="N8" i="1"/>
  <c r="N13" i="1"/>
  <c r="N36" i="1"/>
  <c r="N12" i="1"/>
  <c r="N19" i="1"/>
  <c r="R10" i="1"/>
  <c r="R15" i="1"/>
  <c r="R34" i="1"/>
  <c r="R35" i="1"/>
  <c r="R11" i="1"/>
  <c r="R14" i="1"/>
  <c r="R9" i="1"/>
  <c r="R33" i="1"/>
  <c r="R19" i="1"/>
  <c r="R13" i="1"/>
  <c r="R12" i="1"/>
  <c r="R32" i="1"/>
  <c r="R8" i="1"/>
  <c r="R36" i="1"/>
  <c r="O32" i="1"/>
  <c r="O9" i="1"/>
  <c r="O10" i="1"/>
  <c r="O36" i="1"/>
  <c r="O13" i="1"/>
  <c r="O34" i="1"/>
  <c r="O15" i="1"/>
  <c r="O11" i="1"/>
  <c r="O8" i="1"/>
  <c r="O19" i="1"/>
  <c r="O33" i="1"/>
  <c r="O35" i="1"/>
  <c r="O14" i="1"/>
  <c r="O12" i="1"/>
  <c r="P32" i="1"/>
  <c r="P33" i="1"/>
  <c r="P19" i="1"/>
  <c r="P14" i="1"/>
  <c r="P9" i="1"/>
  <c r="P8" i="1"/>
  <c r="P11" i="1"/>
  <c r="P34" i="1"/>
  <c r="P36" i="1"/>
  <c r="P15" i="1"/>
  <c r="P10" i="1"/>
  <c r="P12" i="1"/>
  <c r="P35" i="1"/>
  <c r="P13" i="1"/>
  <c r="BN6" i="2" l="1"/>
  <c r="BL1" i="2"/>
  <c r="BN2" i="2" s="1"/>
  <c r="BO2" i="2" s="1"/>
  <c r="AJ61" i="2"/>
  <c r="L8" i="12"/>
  <c r="K7" i="31"/>
  <c r="K39" i="31" s="1"/>
  <c r="C6" i="31"/>
  <c r="C38" i="31" s="1"/>
  <c r="C38" i="24"/>
  <c r="B64" i="24"/>
  <c r="B86" i="24"/>
  <c r="B38" i="31"/>
  <c r="K9" i="28"/>
  <c r="G9" i="28"/>
  <c r="P9" i="28"/>
  <c r="H9" i="28"/>
  <c r="J9" i="28"/>
  <c r="F9" i="28"/>
  <c r="O9" i="28"/>
  <c r="N9" i="28"/>
  <c r="L9" i="28"/>
  <c r="M9" i="28"/>
  <c r="I9" i="28"/>
  <c r="N21" i="1"/>
  <c r="Q21" i="1" s="1"/>
  <c r="T21" i="1" s="1"/>
  <c r="BM28" i="2"/>
  <c r="P22" i="1"/>
  <c r="S22" i="1" s="1"/>
  <c r="N20" i="1"/>
  <c r="Q20" i="1" s="1"/>
  <c r="T20" i="1" s="1"/>
  <c r="P21" i="1"/>
  <c r="S21" i="1" s="1"/>
  <c r="O21" i="1"/>
  <c r="R21" i="1" s="1"/>
  <c r="O20" i="1"/>
  <c r="R20" i="1" s="1"/>
  <c r="N22" i="1"/>
  <c r="Q22" i="1" s="1"/>
  <c r="T22" i="1" s="1"/>
  <c r="O22" i="1"/>
  <c r="R22" i="1" s="1"/>
  <c r="P20" i="1"/>
  <c r="S20" i="1" s="1"/>
  <c r="M8" i="12" l="1"/>
  <c r="L7" i="31"/>
  <c r="L39" i="31" s="1"/>
  <c r="D6" i="31"/>
  <c r="D38" i="24"/>
  <c r="C64" i="24"/>
  <c r="C86" i="24"/>
  <c r="C64" i="31"/>
  <c r="C86" i="31"/>
  <c r="B64" i="31"/>
  <c r="B86" i="31"/>
  <c r="I49" i="28"/>
  <c r="I67" i="28"/>
  <c r="J67" i="28"/>
  <c r="J49" i="28"/>
  <c r="E9" i="28"/>
  <c r="F67" i="28"/>
  <c r="F49" i="28"/>
  <c r="G67" i="28"/>
  <c r="G49" i="28"/>
  <c r="H49" i="28"/>
  <c r="H67" i="28"/>
  <c r="D64" i="24" l="1"/>
  <c r="D86" i="24"/>
  <c r="M7" i="31"/>
  <c r="N7" i="24"/>
  <c r="N8" i="12"/>
  <c r="E6" i="31"/>
  <c r="E38" i="31" s="1"/>
  <c r="D38" i="31"/>
  <c r="L19" i="28"/>
  <c r="L16" i="28"/>
  <c r="P16" i="28"/>
  <c r="P19" i="28"/>
  <c r="G80" i="28"/>
  <c r="G87" i="28" s="1"/>
  <c r="G88" i="28" s="1"/>
  <c r="G79" i="28"/>
  <c r="G83" i="28" s="1"/>
  <c r="N19" i="28"/>
  <c r="N16" i="28"/>
  <c r="O16" i="28"/>
  <c r="O19" i="28"/>
  <c r="I79" i="28"/>
  <c r="I83" i="28" s="1"/>
  <c r="I80" i="28"/>
  <c r="I87" i="28" s="1"/>
  <c r="I88" i="28" s="1"/>
  <c r="H79" i="28"/>
  <c r="H83" i="28" s="1"/>
  <c r="H80" i="28"/>
  <c r="H87" i="28" s="1"/>
  <c r="H88" i="28" s="1"/>
  <c r="F80" i="28"/>
  <c r="F87" i="28" s="1"/>
  <c r="F88" i="28" s="1"/>
  <c r="F79" i="28"/>
  <c r="F83" i="28" s="1"/>
  <c r="K19" i="28"/>
  <c r="K16" i="28"/>
  <c r="E49" i="28"/>
  <c r="E67" i="28"/>
  <c r="J79" i="28"/>
  <c r="J83" i="28" s="1"/>
  <c r="J80" i="28"/>
  <c r="J87" i="28" s="1"/>
  <c r="J88" i="28" s="1"/>
  <c r="E38" i="24" l="1"/>
  <c r="E64" i="24" s="1"/>
  <c r="M39" i="31"/>
  <c r="N39" i="31" s="1"/>
  <c r="N7" i="31"/>
  <c r="D64" i="31"/>
  <c r="D86" i="31"/>
  <c r="F6" i="31"/>
  <c r="E64" i="31"/>
  <c r="E86" i="31"/>
  <c r="L20" i="28"/>
  <c r="L41" i="28" s="1"/>
  <c r="L71" i="28" s="1"/>
  <c r="M20" i="28"/>
  <c r="N20" i="28" s="1"/>
  <c r="N41" i="28" s="1"/>
  <c r="N71" i="28" s="1"/>
  <c r="E27" i="28"/>
  <c r="E28" i="28" s="1"/>
  <c r="E160" i="28"/>
  <c r="E166" i="28" s="1"/>
  <c r="E31" i="28"/>
  <c r="E32" i="28" s="1"/>
  <c r="N17" i="28"/>
  <c r="N37" i="28" s="1"/>
  <c r="J84" i="28"/>
  <c r="H84" i="28"/>
  <c r="E79" i="28"/>
  <c r="E83" i="28" s="1"/>
  <c r="E80" i="28"/>
  <c r="E87" i="28" s="1"/>
  <c r="E88" i="28" s="1"/>
  <c r="M17" i="28"/>
  <c r="G84" i="28"/>
  <c r="I84" i="28"/>
  <c r="M19" i="28"/>
  <c r="M16" i="28"/>
  <c r="F84" i="28"/>
  <c r="L17" i="28"/>
  <c r="J31" i="28"/>
  <c r="E86" i="24" l="1"/>
  <c r="F38" i="24"/>
  <c r="F86" i="24" s="1"/>
  <c r="M44" i="28"/>
  <c r="M74" i="28" s="1"/>
  <c r="K23" i="28"/>
  <c r="K45" i="28" s="1"/>
  <c r="K75" i="28" s="1"/>
  <c r="L46" i="28"/>
  <c r="L76" i="28" s="1"/>
  <c r="F38" i="31"/>
  <c r="G6" i="31"/>
  <c r="G38" i="31" s="1"/>
  <c r="G38" i="24"/>
  <c r="M43" i="28"/>
  <c r="M73" i="28" s="1"/>
  <c r="L43" i="28"/>
  <c r="L73" i="28" s="1"/>
  <c r="L44" i="28"/>
  <c r="L74" i="28" s="1"/>
  <c r="N44" i="28"/>
  <c r="N74" i="28" s="1"/>
  <c r="N43" i="28"/>
  <c r="N73" i="28" s="1"/>
  <c r="N67" i="28"/>
  <c r="K47" i="28"/>
  <c r="K77" i="28" s="1"/>
  <c r="K42" i="28"/>
  <c r="K72" i="28" s="1"/>
  <c r="N46" i="28"/>
  <c r="N76" i="28" s="1"/>
  <c r="L37" i="28"/>
  <c r="M37" i="28"/>
  <c r="M46" i="28"/>
  <c r="M76" i="28" s="1"/>
  <c r="K20" i="28"/>
  <c r="M41" i="28"/>
  <c r="M71" i="28" s="1"/>
  <c r="H31" i="28"/>
  <c r="H32" i="28" s="1"/>
  <c r="M160" i="28"/>
  <c r="M166" i="28" s="1"/>
  <c r="I160" i="28"/>
  <c r="I166" i="28" s="1"/>
  <c r="L160" i="28"/>
  <c r="L166" i="28" s="1"/>
  <c r="I31" i="28"/>
  <c r="I32" i="28" s="1"/>
  <c r="N160" i="28"/>
  <c r="N166" i="28" s="1"/>
  <c r="J160" i="28"/>
  <c r="J166" i="28" s="1"/>
  <c r="H160" i="28"/>
  <c r="H166" i="28" s="1"/>
  <c r="G160" i="28"/>
  <c r="G166" i="28" s="1"/>
  <c r="G31" i="28"/>
  <c r="G32" i="28" s="1"/>
  <c r="O17" i="28"/>
  <c r="O43" i="28" s="1"/>
  <c r="O73" i="28" s="1"/>
  <c r="G27" i="28"/>
  <c r="G144" i="28" s="1"/>
  <c r="H27" i="28"/>
  <c r="J27" i="28"/>
  <c r="O20" i="28"/>
  <c r="L23" i="28"/>
  <c r="L45" i="28" s="1"/>
  <c r="L75" i="28" s="1"/>
  <c r="I27" i="28"/>
  <c r="E144" i="28"/>
  <c r="E84" i="28"/>
  <c r="J32" i="28"/>
  <c r="K17" i="28"/>
  <c r="K43" i="28" s="1"/>
  <c r="K73" i="28" s="1"/>
  <c r="F64" i="24" l="1"/>
  <c r="H6" i="31"/>
  <c r="H38" i="31" s="1"/>
  <c r="G64" i="31"/>
  <c r="G86" i="31"/>
  <c r="F64" i="31"/>
  <c r="F86" i="31"/>
  <c r="G86" i="24"/>
  <c r="G64" i="24"/>
  <c r="K41" i="28"/>
  <c r="K71" i="28" s="1"/>
  <c r="K44" i="28"/>
  <c r="K74" i="28" s="1"/>
  <c r="O41" i="28"/>
  <c r="O71" i="28" s="1"/>
  <c r="O44" i="28"/>
  <c r="O74" i="28" s="1"/>
  <c r="M67" i="28"/>
  <c r="K46" i="28"/>
  <c r="K76" i="28" s="1"/>
  <c r="K37" i="28"/>
  <c r="P17" i="28"/>
  <c r="P43" i="28" s="1"/>
  <c r="P73" i="28" s="1"/>
  <c r="O37" i="28"/>
  <c r="O46" i="28"/>
  <c r="O76" i="28" s="1"/>
  <c r="L67" i="28"/>
  <c r="L27" i="28"/>
  <c r="L47" i="28"/>
  <c r="L77" i="28" s="1"/>
  <c r="L42" i="28"/>
  <c r="L72" i="28" s="1"/>
  <c r="F27" i="28"/>
  <c r="F160" i="28"/>
  <c r="F166" i="28" s="1"/>
  <c r="F31" i="28"/>
  <c r="F32" i="28" s="1"/>
  <c r="K27" i="28"/>
  <c r="K160" i="28"/>
  <c r="K166" i="28" s="1"/>
  <c r="K31" i="28"/>
  <c r="K32" i="28" s="1"/>
  <c r="O160" i="28"/>
  <c r="O166" i="28" s="1"/>
  <c r="L31" i="28"/>
  <c r="L32" i="28" s="1"/>
  <c r="P20" i="28"/>
  <c r="P44" i="28" s="1"/>
  <c r="P74" i="28" s="1"/>
  <c r="M23" i="28"/>
  <c r="M45" i="28" s="1"/>
  <c r="M75" i="28" s="1"/>
  <c r="G158" i="28"/>
  <c r="G161" i="28" s="1"/>
  <c r="J144" i="28"/>
  <c r="E158" i="28"/>
  <c r="E145" i="28"/>
  <c r="H144" i="28"/>
  <c r="I144" i="28"/>
  <c r="H38" i="24" l="1"/>
  <c r="H64" i="24" s="1"/>
  <c r="I6" i="31"/>
  <c r="I38" i="31" s="1"/>
  <c r="H64" i="31"/>
  <c r="H86" i="31"/>
  <c r="P160" i="28"/>
  <c r="P166" i="28" s="1"/>
  <c r="N23" i="28"/>
  <c r="N45" i="28" s="1"/>
  <c r="N75" i="28" s="1"/>
  <c r="P41" i="28"/>
  <c r="P71" i="28" s="1"/>
  <c r="O67" i="28"/>
  <c r="P37" i="28"/>
  <c r="P46" i="28"/>
  <c r="P76" i="28" s="1"/>
  <c r="K49" i="28"/>
  <c r="K67" i="28"/>
  <c r="L80" i="28"/>
  <c r="L87" i="28" s="1"/>
  <c r="L79" i="28"/>
  <c r="L83" i="28" s="1"/>
  <c r="M47" i="28"/>
  <c r="M77" i="28" s="1"/>
  <c r="M42" i="28"/>
  <c r="M72" i="28" s="1"/>
  <c r="L49" i="28"/>
  <c r="M27" i="28"/>
  <c r="M31" i="28"/>
  <c r="M32" i="28" s="1"/>
  <c r="G149" i="28"/>
  <c r="G150" i="28" s="1"/>
  <c r="H158" i="28"/>
  <c r="F28" i="28"/>
  <c r="F144" i="28"/>
  <c r="I158" i="28"/>
  <c r="J158" i="28"/>
  <c r="E149" i="28"/>
  <c r="E150" i="28" s="1"/>
  <c r="E161" i="28"/>
  <c r="H86" i="24" l="1"/>
  <c r="N27" i="28"/>
  <c r="O23" i="28"/>
  <c r="O45" i="28" s="1"/>
  <c r="O75" i="28" s="1"/>
  <c r="I38" i="24"/>
  <c r="I64" i="31"/>
  <c r="I86" i="31"/>
  <c r="J6" i="31"/>
  <c r="J38" i="31" s="1"/>
  <c r="J38" i="24"/>
  <c r="P67" i="28"/>
  <c r="O31" i="28"/>
  <c r="O32" i="28" s="1"/>
  <c r="O47" i="28"/>
  <c r="O77" i="28" s="1"/>
  <c r="O42" i="28"/>
  <c r="O72" i="28" s="1"/>
  <c r="M49" i="28"/>
  <c r="L84" i="28"/>
  <c r="L144" i="28"/>
  <c r="L158" i="28" s="1"/>
  <c r="K80" i="28"/>
  <c r="K87" i="28" s="1"/>
  <c r="K79" i="28"/>
  <c r="K83" i="28" s="1"/>
  <c r="L88" i="28"/>
  <c r="N31" i="28"/>
  <c r="N32" i="28" s="1"/>
  <c r="N47" i="28"/>
  <c r="N77" i="28" s="1"/>
  <c r="N42" i="28"/>
  <c r="N72" i="28" s="1"/>
  <c r="O27" i="28"/>
  <c r="G143" i="28"/>
  <c r="G28" i="28"/>
  <c r="H161" i="28"/>
  <c r="H149" i="28"/>
  <c r="H150" i="28" s="1"/>
  <c r="J149" i="28"/>
  <c r="J150" i="28" s="1"/>
  <c r="J161" i="28"/>
  <c r="I149" i="28"/>
  <c r="I150" i="28" s="1"/>
  <c r="I161" i="28"/>
  <c r="F145" i="28"/>
  <c r="F158" i="28"/>
  <c r="P23" i="28" l="1"/>
  <c r="P45" i="28" s="1"/>
  <c r="P75" i="28" s="1"/>
  <c r="J86" i="24"/>
  <c r="J64" i="24"/>
  <c r="I64" i="24"/>
  <c r="I86" i="24"/>
  <c r="K6" i="31"/>
  <c r="K38" i="31" s="1"/>
  <c r="J64" i="31"/>
  <c r="J86" i="31"/>
  <c r="G145" i="28"/>
  <c r="G338" i="14"/>
  <c r="M79" i="28"/>
  <c r="M83" i="28" s="1"/>
  <c r="M80" i="28"/>
  <c r="M87" i="28" s="1"/>
  <c r="N49" i="28"/>
  <c r="K84" i="28"/>
  <c r="K144" i="28"/>
  <c r="O49" i="28"/>
  <c r="P47" i="28"/>
  <c r="P77" i="28" s="1"/>
  <c r="P42" i="28"/>
  <c r="P72" i="28" s="1"/>
  <c r="K88" i="28"/>
  <c r="L149" i="28"/>
  <c r="L150" i="28" s="1"/>
  <c r="L161" i="28"/>
  <c r="P27" i="28"/>
  <c r="P31" i="28"/>
  <c r="P32" i="28" s="1"/>
  <c r="H143" i="28"/>
  <c r="H28" i="28"/>
  <c r="F161" i="28"/>
  <c r="F149" i="28"/>
  <c r="F150" i="28" s="1"/>
  <c r="K38" i="24" l="1"/>
  <c r="K86" i="24" s="1"/>
  <c r="K64" i="31"/>
  <c r="K86" i="31"/>
  <c r="V13" i="2"/>
  <c r="L6" i="31"/>
  <c r="L38" i="31" s="1"/>
  <c r="H145" i="28"/>
  <c r="H338" i="14"/>
  <c r="P49" i="28"/>
  <c r="N79" i="28"/>
  <c r="N83" i="28" s="1"/>
  <c r="N80" i="28"/>
  <c r="N87" i="28" s="1"/>
  <c r="M88" i="28"/>
  <c r="M84" i="28"/>
  <c r="M144" i="28"/>
  <c r="O80" i="28"/>
  <c r="O87" i="28" s="1"/>
  <c r="O79" i="28"/>
  <c r="O83" i="28" s="1"/>
  <c r="G342" i="14"/>
  <c r="G347" i="14"/>
  <c r="G374" i="14"/>
  <c r="G395" i="14" s="1"/>
  <c r="K158" i="28"/>
  <c r="I143" i="28"/>
  <c r="I28" i="28"/>
  <c r="K64" i="24" l="1"/>
  <c r="BL7" i="2"/>
  <c r="BN7" i="2" s="1"/>
  <c r="M6" i="31"/>
  <c r="M38" i="24"/>
  <c r="C6" i="10"/>
  <c r="N106" i="24" s="1"/>
  <c r="L38" i="24"/>
  <c r="L64" i="31"/>
  <c r="L86" i="31"/>
  <c r="N84" i="28"/>
  <c r="N144" i="28"/>
  <c r="D10" i="12"/>
  <c r="D9" i="31" s="1"/>
  <c r="G365" i="14"/>
  <c r="P80" i="28"/>
  <c r="P87" i="28" s="1"/>
  <c r="P79" i="28"/>
  <c r="P83" i="28" s="1"/>
  <c r="H342" i="14"/>
  <c r="H347" i="14"/>
  <c r="H365" i="14" s="1"/>
  <c r="H374" i="14"/>
  <c r="H395" i="14" s="1"/>
  <c r="E10" i="12" s="1"/>
  <c r="I145" i="28"/>
  <c r="I338" i="14"/>
  <c r="D70" i="12"/>
  <c r="O84" i="28"/>
  <c r="O144" i="28"/>
  <c r="O88" i="28"/>
  <c r="K149" i="28"/>
  <c r="K150" i="28" s="1"/>
  <c r="K161" i="28"/>
  <c r="M158" i="28"/>
  <c r="N88" i="28"/>
  <c r="J143" i="28"/>
  <c r="J28" i="28"/>
  <c r="BL28" i="2" l="1"/>
  <c r="BN28" i="2" s="1"/>
  <c r="N6" i="24"/>
  <c r="O6" i="24" s="1"/>
  <c r="L86" i="24"/>
  <c r="L64" i="24"/>
  <c r="N38" i="24"/>
  <c r="M64" i="24"/>
  <c r="M86" i="24"/>
  <c r="M38" i="31"/>
  <c r="N6" i="31"/>
  <c r="O6" i="31" s="1"/>
  <c r="D41" i="31"/>
  <c r="E9" i="31"/>
  <c r="E41" i="31" s="1"/>
  <c r="M161" i="28"/>
  <c r="M149" i="28"/>
  <c r="M150" i="28" s="1"/>
  <c r="O158" i="28"/>
  <c r="E70" i="12"/>
  <c r="E75" i="12" s="1"/>
  <c r="E9" i="12" s="1"/>
  <c r="P88" i="28"/>
  <c r="D75" i="12"/>
  <c r="N158" i="28"/>
  <c r="I342" i="14"/>
  <c r="I374" i="14"/>
  <c r="I395" i="14" s="1"/>
  <c r="F10" i="12" s="1"/>
  <c r="I347" i="14"/>
  <c r="J145" i="28"/>
  <c r="J338" i="14"/>
  <c r="P84" i="28"/>
  <c r="P144" i="28"/>
  <c r="K143" i="28"/>
  <c r="K28" i="28"/>
  <c r="M64" i="31" l="1"/>
  <c r="M86" i="31"/>
  <c r="N38" i="31"/>
  <c r="O85" i="24"/>
  <c r="O56" i="24"/>
  <c r="N64" i="24"/>
  <c r="O78" i="24"/>
  <c r="O71" i="24"/>
  <c r="O84" i="24"/>
  <c r="O77" i="24"/>
  <c r="O68" i="24"/>
  <c r="O83" i="24"/>
  <c r="N86" i="24"/>
  <c r="O82" i="24"/>
  <c r="O51" i="24"/>
  <c r="O72" i="24"/>
  <c r="O81" i="24"/>
  <c r="O75" i="24"/>
  <c r="O88" i="24"/>
  <c r="O62" i="24"/>
  <c r="O61" i="24"/>
  <c r="O57" i="24"/>
  <c r="O52" i="24"/>
  <c r="O69" i="24"/>
  <c r="O70" i="24"/>
  <c r="F9" i="31"/>
  <c r="F41" i="31" s="1"/>
  <c r="E8" i="31"/>
  <c r="I365" i="14"/>
  <c r="F70" i="12"/>
  <c r="O149" i="28"/>
  <c r="O150" i="28" s="1"/>
  <c r="O161" i="28"/>
  <c r="P158" i="28"/>
  <c r="J342" i="14"/>
  <c r="J347" i="14"/>
  <c r="J374" i="14"/>
  <c r="N149" i="28"/>
  <c r="N150" i="28" s="1"/>
  <c r="N161" i="28"/>
  <c r="K145" i="28"/>
  <c r="K338" i="14"/>
  <c r="D9" i="12"/>
  <c r="D8" i="31" s="1"/>
  <c r="L143" i="28"/>
  <c r="L28" i="28"/>
  <c r="G468" i="14"/>
  <c r="O75" i="31" l="1"/>
  <c r="O51" i="31"/>
  <c r="O68" i="31"/>
  <c r="O82" i="31"/>
  <c r="O62" i="31"/>
  <c r="O57" i="31"/>
  <c r="O72" i="31"/>
  <c r="O42" i="31"/>
  <c r="O70" i="31"/>
  <c r="O83" i="31"/>
  <c r="O56" i="31"/>
  <c r="O69" i="31"/>
  <c r="O71" i="31"/>
  <c r="O52" i="31"/>
  <c r="O81" i="31"/>
  <c r="O61" i="31"/>
  <c r="N64" i="31"/>
  <c r="O77" i="31"/>
  <c r="O78" i="31"/>
  <c r="O84" i="31"/>
  <c r="O85" i="31"/>
  <c r="N86" i="31"/>
  <c r="O88" i="31"/>
  <c r="O39" i="31"/>
  <c r="D40" i="31"/>
  <c r="E40" i="31"/>
  <c r="K347" i="14"/>
  <c r="K374" i="14"/>
  <c r="K342" i="14"/>
  <c r="P161" i="28"/>
  <c r="P149" i="28"/>
  <c r="P150" i="28" s="1"/>
  <c r="L145" i="28"/>
  <c r="L338" i="14"/>
  <c r="J365" i="14"/>
  <c r="G70" i="12"/>
  <c r="G75" i="12" s="1"/>
  <c r="G9" i="12" s="1"/>
  <c r="F75" i="12"/>
  <c r="M143" i="28"/>
  <c r="M28" i="28"/>
  <c r="E468" i="14"/>
  <c r="G452" i="14"/>
  <c r="G8" i="31" l="1"/>
  <c r="J452" i="14"/>
  <c r="J468" i="14"/>
  <c r="J395" i="14"/>
  <c r="F9" i="12"/>
  <c r="F8" i="31" s="1"/>
  <c r="L342" i="14"/>
  <c r="L374" i="14"/>
  <c r="L347" i="14"/>
  <c r="H70" i="12"/>
  <c r="K365" i="14"/>
  <c r="M145" i="28"/>
  <c r="M338" i="14"/>
  <c r="N143" i="28"/>
  <c r="N28" i="28"/>
  <c r="F40" i="31" l="1"/>
  <c r="G40" i="31"/>
  <c r="I70" i="12"/>
  <c r="I75" i="12" s="1"/>
  <c r="I9" i="12" s="1"/>
  <c r="N145" i="28"/>
  <c r="N338" i="14"/>
  <c r="H75" i="12"/>
  <c r="G10" i="12"/>
  <c r="G9" i="31" s="1"/>
  <c r="M347" i="14"/>
  <c r="M342" i="14"/>
  <c r="M374" i="14"/>
  <c r="K395" i="14"/>
  <c r="L365" i="14"/>
  <c r="O143" i="28"/>
  <c r="O28" i="28"/>
  <c r="G41" i="31" l="1"/>
  <c r="I8" i="31"/>
  <c r="L395" i="14"/>
  <c r="H9" i="12"/>
  <c r="H8" i="31" s="1"/>
  <c r="J70" i="12"/>
  <c r="M365" i="14"/>
  <c r="N342" i="14"/>
  <c r="N374" i="14"/>
  <c r="N347" i="14"/>
  <c r="O145" i="28"/>
  <c r="O338" i="14"/>
  <c r="H10" i="12"/>
  <c r="P143" i="28"/>
  <c r="P28" i="28"/>
  <c r="I40" i="31" l="1"/>
  <c r="H40" i="31"/>
  <c r="H9" i="31"/>
  <c r="O342" i="14"/>
  <c r="O374" i="14"/>
  <c r="O347" i="14"/>
  <c r="M395" i="14"/>
  <c r="N365" i="14"/>
  <c r="J75" i="12"/>
  <c r="P145" i="28"/>
  <c r="P338" i="14"/>
  <c r="K70" i="12"/>
  <c r="K75" i="12" s="1"/>
  <c r="K9" i="12" s="1"/>
  <c r="I10" i="12"/>
  <c r="H41" i="31" l="1"/>
  <c r="I9" i="31"/>
  <c r="K8" i="31"/>
  <c r="M452" i="14"/>
  <c r="J9" i="12"/>
  <c r="J8" i="31" s="1"/>
  <c r="N395" i="14"/>
  <c r="O365" i="14"/>
  <c r="P347" i="14"/>
  <c r="P342" i="14"/>
  <c r="P374" i="14"/>
  <c r="M468" i="14"/>
  <c r="L70" i="12"/>
  <c r="J10" i="12"/>
  <c r="K40" i="31" l="1"/>
  <c r="J40" i="31"/>
  <c r="J9" i="31"/>
  <c r="I41" i="31"/>
  <c r="M70" i="12"/>
  <c r="M75" i="12" s="1"/>
  <c r="M9" i="12" s="1"/>
  <c r="Q342" i="14"/>
  <c r="P365" i="14"/>
  <c r="L75" i="12"/>
  <c r="O395" i="14"/>
  <c r="K10" i="12"/>
  <c r="K9" i="31" l="1"/>
  <c r="M8" i="31"/>
  <c r="J41" i="31"/>
  <c r="L9" i="12"/>
  <c r="L8" i="31" s="1"/>
  <c r="N75" i="12"/>
  <c r="L10" i="12"/>
  <c r="P395" i="14"/>
  <c r="N70" i="12"/>
  <c r="M40" i="31" l="1"/>
  <c r="L40" i="31"/>
  <c r="N8" i="31"/>
  <c r="K41" i="31"/>
  <c r="L9" i="31"/>
  <c r="L41" i="31" s="1"/>
  <c r="M10" i="12"/>
  <c r="M9" i="31" s="1"/>
  <c r="Q395" i="14"/>
  <c r="N9" i="12"/>
  <c r="P452" i="14"/>
  <c r="Q448" i="14"/>
  <c r="Q452" i="14" s="1"/>
  <c r="P468" i="14"/>
  <c r="Q466" i="14"/>
  <c r="Q468" i="14" s="1"/>
  <c r="C374" i="14" l="1"/>
  <c r="M41" i="31"/>
  <c r="N41" i="31" s="1"/>
  <c r="O41" i="31" s="1"/>
  <c r="N9" i="31"/>
  <c r="N40" i="31"/>
  <c r="N8" i="24"/>
  <c r="N10" i="12"/>
  <c r="S452" i="14"/>
  <c r="T452" i="14" s="1"/>
  <c r="O40" i="31" l="1"/>
  <c r="N378" i="14"/>
  <c r="K12" i="12" s="1"/>
  <c r="I378" i="14"/>
  <c r="F12" i="12" s="1"/>
  <c r="K378" i="14"/>
  <c r="H12" i="12" s="1"/>
  <c r="G378" i="14"/>
  <c r="D12" i="12" s="1"/>
  <c r="E378" i="14"/>
  <c r="B12" i="12" s="1"/>
  <c r="H378" i="14"/>
  <c r="E12" i="12" s="1"/>
  <c r="L378" i="14"/>
  <c r="I12" i="12" s="1"/>
  <c r="C375" i="14"/>
  <c r="J378" i="14"/>
  <c r="G12" i="12" s="1"/>
  <c r="F378" i="14"/>
  <c r="C12" i="12" s="1"/>
  <c r="M378" i="14"/>
  <c r="J12" i="12" s="1"/>
  <c r="O378" i="14"/>
  <c r="L12" i="12" s="1"/>
  <c r="P378" i="14"/>
  <c r="M12" i="12" l="1"/>
  <c r="M11" i="31" s="1"/>
  <c r="M43" i="31" s="1"/>
  <c r="M44" i="31" s="1"/>
  <c r="M45" i="31" s="1"/>
  <c r="I11" i="31"/>
  <c r="E11" i="31"/>
  <c r="B11" i="31"/>
  <c r="Q378" i="14"/>
  <c r="D11" i="31"/>
  <c r="L11" i="31"/>
  <c r="J11" i="31"/>
  <c r="H11" i="31"/>
  <c r="C11" i="31"/>
  <c r="F11" i="31"/>
  <c r="G11" i="31"/>
  <c r="K11" i="31"/>
  <c r="M13" i="12" l="1"/>
  <c r="M12" i="24"/>
  <c r="M12" i="31"/>
  <c r="N11" i="31"/>
  <c r="N12" i="31" s="1"/>
  <c r="B43" i="31"/>
  <c r="B12" i="31"/>
  <c r="K43" i="31"/>
  <c r="K44" i="31" s="1"/>
  <c r="K45" i="31" s="1"/>
  <c r="K12" i="31"/>
  <c r="G43" i="31"/>
  <c r="G44" i="31" s="1"/>
  <c r="G45" i="31" s="1"/>
  <c r="G12" i="31"/>
  <c r="H43" i="31"/>
  <c r="H44" i="31" s="1"/>
  <c r="H45" i="31" s="1"/>
  <c r="H12" i="31"/>
  <c r="E43" i="31"/>
  <c r="E44" i="31" s="1"/>
  <c r="E45" i="31" s="1"/>
  <c r="E12" i="31"/>
  <c r="F43" i="31"/>
  <c r="F44" i="31" s="1"/>
  <c r="F45" i="31" s="1"/>
  <c r="F12" i="31"/>
  <c r="J43" i="31"/>
  <c r="J44" i="31" s="1"/>
  <c r="J45" i="31" s="1"/>
  <c r="J12" i="31"/>
  <c r="I43" i="31"/>
  <c r="I44" i="31" s="1"/>
  <c r="I45" i="31" s="1"/>
  <c r="I12" i="31"/>
  <c r="C43" i="31"/>
  <c r="C44" i="31" s="1"/>
  <c r="C45" i="31" s="1"/>
  <c r="C12" i="31"/>
  <c r="L43" i="31"/>
  <c r="L44" i="31" s="1"/>
  <c r="L45" i="31" s="1"/>
  <c r="L12" i="31"/>
  <c r="D43" i="31"/>
  <c r="D44" i="31" s="1"/>
  <c r="D45" i="31" s="1"/>
  <c r="D12" i="31"/>
  <c r="M46" i="31"/>
  <c r="M89" i="31"/>
  <c r="M90" i="31" s="1"/>
  <c r="K12" i="24"/>
  <c r="K13" i="12"/>
  <c r="J12" i="24"/>
  <c r="J13" i="12"/>
  <c r="N12" i="12"/>
  <c r="N13" i="12" s="1"/>
  <c r="B13" i="12"/>
  <c r="G12" i="24"/>
  <c r="G13" i="12"/>
  <c r="L12" i="24"/>
  <c r="L13" i="12"/>
  <c r="E12" i="24"/>
  <c r="E13" i="12"/>
  <c r="D12" i="24"/>
  <c r="D13" i="12"/>
  <c r="F12" i="24"/>
  <c r="F13" i="12"/>
  <c r="C13" i="12"/>
  <c r="H12" i="24"/>
  <c r="H13" i="12"/>
  <c r="I12" i="24"/>
  <c r="I13" i="12"/>
  <c r="J109" i="24" l="1"/>
  <c r="K109" i="24"/>
  <c r="G109" i="24"/>
  <c r="H109" i="24"/>
  <c r="E109" i="24"/>
  <c r="L109" i="24"/>
  <c r="F109" i="24"/>
  <c r="I109" i="24"/>
  <c r="D109" i="24"/>
  <c r="M13" i="24"/>
  <c r="M14" i="24" s="1"/>
  <c r="M109" i="24"/>
  <c r="M13" i="31"/>
  <c r="M14" i="31" s="1"/>
  <c r="H89" i="31"/>
  <c r="H90" i="31" s="1"/>
  <c r="H46" i="31"/>
  <c r="J13" i="31"/>
  <c r="J14" i="31" s="1"/>
  <c r="G13" i="31"/>
  <c r="G14" i="31" s="1"/>
  <c r="L13" i="31"/>
  <c r="L14" i="31" s="1"/>
  <c r="F13" i="31"/>
  <c r="F14" i="31" s="1"/>
  <c r="K13" i="31"/>
  <c r="K14" i="31" s="1"/>
  <c r="I89" i="31"/>
  <c r="I90" i="31" s="1"/>
  <c r="I46" i="31"/>
  <c r="L46" i="31"/>
  <c r="L89" i="31"/>
  <c r="L90" i="31" s="1"/>
  <c r="F46" i="31"/>
  <c r="F89" i="31"/>
  <c r="F90" i="31" s="1"/>
  <c r="K46" i="31"/>
  <c r="K89" i="31"/>
  <c r="K90" i="31" s="1"/>
  <c r="G46" i="31"/>
  <c r="G89" i="31"/>
  <c r="G90" i="31" s="1"/>
  <c r="C13" i="31"/>
  <c r="C14" i="31" s="1"/>
  <c r="E13" i="31"/>
  <c r="E14" i="31" s="1"/>
  <c r="B13" i="31"/>
  <c r="B14" i="31" s="1"/>
  <c r="D46" i="31"/>
  <c r="D89" i="31"/>
  <c r="D90" i="31" s="1"/>
  <c r="J89" i="31"/>
  <c r="J90" i="31" s="1"/>
  <c r="J46" i="31"/>
  <c r="C89" i="31"/>
  <c r="C90" i="31" s="1"/>
  <c r="C46" i="31"/>
  <c r="E46" i="31"/>
  <c r="E89" i="31"/>
  <c r="E90" i="31" s="1"/>
  <c r="N43" i="31"/>
  <c r="B44" i="31"/>
  <c r="B45" i="31" s="1"/>
  <c r="D13" i="31"/>
  <c r="D14" i="31" s="1"/>
  <c r="I13" i="31"/>
  <c r="I14" i="31" s="1"/>
  <c r="H13" i="31"/>
  <c r="H14" i="31" s="1"/>
  <c r="N13" i="31"/>
  <c r="N14" i="31" s="1"/>
  <c r="F13" i="24"/>
  <c r="F14" i="24" s="1"/>
  <c r="E13" i="24"/>
  <c r="E14" i="24" s="1"/>
  <c r="N11" i="24"/>
  <c r="B12" i="24"/>
  <c r="I13" i="24"/>
  <c r="I14" i="24" s="1"/>
  <c r="J13" i="24"/>
  <c r="J14" i="24" s="1"/>
  <c r="G13" i="24"/>
  <c r="G14" i="24" s="1"/>
  <c r="H13" i="24"/>
  <c r="H14" i="24" s="1"/>
  <c r="D13" i="24"/>
  <c r="D14" i="24" s="1"/>
  <c r="L13" i="24"/>
  <c r="L14" i="24" s="1"/>
  <c r="K13" i="24"/>
  <c r="K14" i="24" s="1"/>
  <c r="B109" i="24" l="1"/>
  <c r="O43" i="31"/>
  <c r="N44" i="31"/>
  <c r="N45" i="31"/>
  <c r="B46" i="31"/>
  <c r="B89" i="31"/>
  <c r="B90" i="31" s="1"/>
  <c r="B13" i="24"/>
  <c r="B14" i="24" s="1"/>
  <c r="N46" i="31" l="1"/>
  <c r="N89" i="31"/>
  <c r="N90" i="31" s="1"/>
  <c r="O468" i="14"/>
  <c r="N468" i="14"/>
  <c r="L468" i="14"/>
  <c r="K468" i="14"/>
  <c r="H468" i="14"/>
  <c r="I468" i="14"/>
  <c r="F468" i="14"/>
  <c r="J90" i="34"/>
  <c r="J80" i="34"/>
  <c r="I80" i="34"/>
  <c r="I90" i="34"/>
  <c r="D15" i="10" s="1"/>
  <c r="O79" i="34"/>
  <c r="O80" i="34" s="1"/>
  <c r="O90" i="34" s="1"/>
  <c r="N79" i="34"/>
  <c r="N80" i="34" s="1"/>
  <c r="N90" i="34" s="1"/>
  <c r="D19" i="10" l="1"/>
  <c r="D16" i="10"/>
  <c r="H15" i="10"/>
  <c r="F15" i="10"/>
  <c r="I15" i="10"/>
  <c r="G15" i="10"/>
  <c r="J15" i="10"/>
  <c r="K15" i="10"/>
  <c r="M15" i="10"/>
  <c r="L15" i="10"/>
  <c r="N15" i="10"/>
  <c r="O15" i="10"/>
  <c r="E15" i="10"/>
  <c r="I92" i="34"/>
  <c r="P15" i="10" l="1"/>
  <c r="F5" i="13"/>
  <c r="E150" i="14" s="1"/>
  <c r="D20" i="10"/>
  <c r="B101" i="38" s="1"/>
  <c r="K19" i="10"/>
  <c r="K16" i="10"/>
  <c r="M5" i="13" s="1"/>
  <c r="N19" i="10"/>
  <c r="N16" i="10"/>
  <c r="P5" i="13" s="1"/>
  <c r="E19" i="10"/>
  <c r="E16" i="10"/>
  <c r="G5" i="13" s="1"/>
  <c r="J19" i="10"/>
  <c r="J16" i="10"/>
  <c r="L5" i="13" s="1"/>
  <c r="G19" i="10"/>
  <c r="G16" i="10"/>
  <c r="I5" i="13" s="1"/>
  <c r="I19" i="10"/>
  <c r="I16" i="10"/>
  <c r="K5" i="13" s="1"/>
  <c r="O19" i="10"/>
  <c r="O16" i="10"/>
  <c r="Q5" i="13" s="1"/>
  <c r="F19" i="10"/>
  <c r="F16" i="10"/>
  <c r="H5" i="13" s="1"/>
  <c r="H19" i="10"/>
  <c r="H16" i="10"/>
  <c r="J5" i="13" s="1"/>
  <c r="L19" i="10"/>
  <c r="L16" i="10"/>
  <c r="N5" i="13" s="1"/>
  <c r="M19" i="10"/>
  <c r="M16" i="10"/>
  <c r="O5" i="13" s="1"/>
  <c r="J150" i="14" l="1"/>
  <c r="K37" i="13"/>
  <c r="K36" i="13"/>
  <c r="M150" i="14"/>
  <c r="N36" i="13"/>
  <c r="N66" i="13" s="1"/>
  <c r="N37" i="13"/>
  <c r="L150" i="14"/>
  <c r="M37" i="13"/>
  <c r="M67" i="13" s="1"/>
  <c r="M36" i="13"/>
  <c r="I150" i="14"/>
  <c r="J37" i="13"/>
  <c r="J67" i="13" s="1"/>
  <c r="J36" i="13"/>
  <c r="J66" i="13" s="1"/>
  <c r="K150" i="14"/>
  <c r="L36" i="13"/>
  <c r="L66" i="13" s="1"/>
  <c r="L37" i="13"/>
  <c r="L67" i="13" s="1"/>
  <c r="O150" i="14"/>
  <c r="P37" i="13"/>
  <c r="P36" i="13"/>
  <c r="P66" i="13" s="1"/>
  <c r="H150" i="14"/>
  <c r="I36" i="13"/>
  <c r="I66" i="13" s="1"/>
  <c r="I37" i="13"/>
  <c r="I67" i="13" s="1"/>
  <c r="G150" i="14"/>
  <c r="H36" i="13"/>
  <c r="H66" i="13" s="1"/>
  <c r="H37" i="13"/>
  <c r="H67" i="13" s="1"/>
  <c r="N150" i="14"/>
  <c r="O37" i="13"/>
  <c r="O67" i="13" s="1"/>
  <c r="O36" i="13"/>
  <c r="P150" i="14"/>
  <c r="Q36" i="13"/>
  <c r="Q66" i="13" s="1"/>
  <c r="Q37" i="13"/>
  <c r="Q67" i="13" s="1"/>
  <c r="F150" i="14"/>
  <c r="G37" i="13"/>
  <c r="G67" i="13" s="1"/>
  <c r="G36" i="13"/>
  <c r="G66" i="13" s="1"/>
  <c r="P42" i="13"/>
  <c r="P72" i="13" s="1"/>
  <c r="J42" i="13"/>
  <c r="J72" i="13" s="1"/>
  <c r="N42" i="13"/>
  <c r="N72" i="13" s="1"/>
  <c r="N67" i="13"/>
  <c r="M42" i="13"/>
  <c r="M72" i="13" s="1"/>
  <c r="H42" i="13"/>
  <c r="H72" i="13" s="1"/>
  <c r="I42" i="13"/>
  <c r="I72" i="13" s="1"/>
  <c r="L42" i="13"/>
  <c r="L72" i="13" s="1"/>
  <c r="K67" i="13"/>
  <c r="K66" i="13"/>
  <c r="K42" i="13"/>
  <c r="K72" i="13" s="1"/>
  <c r="Q42" i="13"/>
  <c r="Q72" i="13" s="1"/>
  <c r="G42" i="13"/>
  <c r="G72" i="13" s="1"/>
  <c r="P16" i="10"/>
  <c r="O42" i="13"/>
  <c r="O72" i="13" s="1"/>
  <c r="N101" i="38"/>
  <c r="F42" i="13"/>
  <c r="F72" i="13" s="1"/>
  <c r="O20" i="10"/>
  <c r="M101" i="38" s="1"/>
  <c r="N20" i="10"/>
  <c r="L101" i="38" s="1"/>
  <c r="L20" i="10"/>
  <c r="J101" i="38" s="1"/>
  <c r="H20" i="10"/>
  <c r="F101" i="38" s="1"/>
  <c r="G20" i="10"/>
  <c r="E101" i="38" s="1"/>
  <c r="K20" i="10"/>
  <c r="I101" i="38" s="1"/>
  <c r="M20" i="10"/>
  <c r="K101" i="38" s="1"/>
  <c r="E20" i="10"/>
  <c r="C101" i="38" s="1"/>
  <c r="I20" i="10"/>
  <c r="G101" i="38" s="1"/>
  <c r="F20" i="10"/>
  <c r="D101" i="38" s="1"/>
  <c r="J20" i="10"/>
  <c r="H101" i="38" s="1"/>
  <c r="O43" i="13"/>
  <c r="O73" i="13" s="1"/>
  <c r="O38" i="13"/>
  <c r="O68" i="13" s="1"/>
  <c r="O10" i="13"/>
  <c r="K97" i="31"/>
  <c r="K98" i="31"/>
  <c r="B98" i="31"/>
  <c r="N98" i="31"/>
  <c r="N97" i="31"/>
  <c r="B97" i="31"/>
  <c r="C98" i="31"/>
  <c r="C97" i="31"/>
  <c r="K10" i="13"/>
  <c r="K38" i="13"/>
  <c r="K68" i="13" s="1"/>
  <c r="K43" i="13"/>
  <c r="K73" i="13" s="1"/>
  <c r="J38" i="13"/>
  <c r="J68" i="13" s="1"/>
  <c r="J10" i="13"/>
  <c r="J43" i="13"/>
  <c r="J73" i="13" s="1"/>
  <c r="M98" i="31"/>
  <c r="M97" i="31"/>
  <c r="L38" i="13"/>
  <c r="L68" i="13" s="1"/>
  <c r="L10" i="13"/>
  <c r="L43" i="13"/>
  <c r="L73" i="13" s="1"/>
  <c r="J98" i="31"/>
  <c r="J97" i="31"/>
  <c r="G97" i="31"/>
  <c r="G98" i="31"/>
  <c r="H98" i="31"/>
  <c r="H97" i="31"/>
  <c r="I98" i="31"/>
  <c r="I97" i="31"/>
  <c r="F43" i="13"/>
  <c r="F38" i="13"/>
  <c r="F68" i="13" s="1"/>
  <c r="F36" i="13"/>
  <c r="F66" i="13" s="1"/>
  <c r="F10" i="13"/>
  <c r="F37" i="13"/>
  <c r="F67" i="13" s="1"/>
  <c r="Q43" i="13"/>
  <c r="Q73" i="13" s="1"/>
  <c r="Q38" i="13"/>
  <c r="Q68" i="13" s="1"/>
  <c r="Q10" i="13"/>
  <c r="G38" i="13"/>
  <c r="G68" i="13" s="1"/>
  <c r="G43" i="13"/>
  <c r="G73" i="13" s="1"/>
  <c r="G10" i="13"/>
  <c r="N38" i="13"/>
  <c r="N68" i="13" s="1"/>
  <c r="N43" i="13"/>
  <c r="N73" i="13" s="1"/>
  <c r="N10" i="13"/>
  <c r="D98" i="31"/>
  <c r="D97" i="31"/>
  <c r="I43" i="13"/>
  <c r="I73" i="13" s="1"/>
  <c r="I10" i="13"/>
  <c r="I38" i="13"/>
  <c r="I68" i="13" s="1"/>
  <c r="P10" i="13"/>
  <c r="P43" i="13"/>
  <c r="P73" i="13" s="1"/>
  <c r="P38" i="13"/>
  <c r="P68" i="13" s="1"/>
  <c r="P67" i="13"/>
  <c r="F98" i="31"/>
  <c r="F97" i="31"/>
  <c r="M10" i="13"/>
  <c r="M66" i="13"/>
  <c r="M43" i="13"/>
  <c r="M73" i="13" s="1"/>
  <c r="M38" i="13"/>
  <c r="M68" i="13" s="1"/>
  <c r="H10" i="13"/>
  <c r="H43" i="13"/>
  <c r="H73" i="13" s="1"/>
  <c r="H38" i="13"/>
  <c r="H68" i="13" s="1"/>
  <c r="E97" i="31"/>
  <c r="E98" i="31"/>
  <c r="L98" i="31"/>
  <c r="L97" i="31"/>
  <c r="O66" i="13" l="1"/>
  <c r="F152" i="14"/>
  <c r="F196" i="14"/>
  <c r="F193" i="14"/>
  <c r="F201" i="14"/>
  <c r="F191" i="14"/>
  <c r="J152" i="14"/>
  <c r="J201" i="14"/>
  <c r="J191" i="14"/>
  <c r="J196" i="14"/>
  <c r="J193" i="14"/>
  <c r="L152" i="14"/>
  <c r="L193" i="14"/>
  <c r="L201" i="14"/>
  <c r="L191" i="14"/>
  <c r="L196" i="14"/>
  <c r="H152" i="14"/>
  <c r="H191" i="14"/>
  <c r="H196" i="14"/>
  <c r="H193" i="14"/>
  <c r="H201" i="14"/>
  <c r="I152" i="14"/>
  <c r="I201" i="14"/>
  <c r="I191" i="14"/>
  <c r="I196" i="14"/>
  <c r="I193" i="14"/>
  <c r="N152" i="14"/>
  <c r="N196" i="14"/>
  <c r="N193" i="14"/>
  <c r="N201" i="14"/>
  <c r="N191" i="14"/>
  <c r="P152" i="14"/>
  <c r="P191" i="14"/>
  <c r="P196" i="14"/>
  <c r="P193" i="14"/>
  <c r="P201" i="14"/>
  <c r="G152" i="14"/>
  <c r="G196" i="14"/>
  <c r="G193" i="14"/>
  <c r="G201" i="14"/>
  <c r="G191" i="14"/>
  <c r="O152" i="14"/>
  <c r="O196" i="14"/>
  <c r="O193" i="14"/>
  <c r="O201" i="14"/>
  <c r="O191" i="14"/>
  <c r="M152" i="14"/>
  <c r="M193" i="14"/>
  <c r="M201" i="14"/>
  <c r="M191" i="14"/>
  <c r="M196" i="14"/>
  <c r="K152" i="14"/>
  <c r="K193" i="14"/>
  <c r="K201" i="14"/>
  <c r="K191" i="14"/>
  <c r="K196" i="14"/>
  <c r="E152" i="14"/>
  <c r="E196" i="14"/>
  <c r="E191" i="14"/>
  <c r="E201" i="14"/>
  <c r="E193" i="14"/>
  <c r="S74" i="13"/>
  <c r="F73" i="13"/>
  <c r="M48" i="13"/>
  <c r="L151" i="14" s="1"/>
  <c r="L153" i="14" s="1"/>
  <c r="G48" i="13"/>
  <c r="F151" i="14" s="1"/>
  <c r="F153" i="14" s="1"/>
  <c r="F12" i="13"/>
  <c r="F16" i="13" s="1"/>
  <c r="M12" i="13"/>
  <c r="M13" i="13" s="1"/>
  <c r="P48" i="13"/>
  <c r="O151" i="14" s="1"/>
  <c r="O153" i="14" s="1"/>
  <c r="I48" i="13"/>
  <c r="H151" i="14" s="1"/>
  <c r="H153" i="14" s="1"/>
  <c r="F48" i="13"/>
  <c r="E151" i="14" s="1"/>
  <c r="E153" i="14" s="1"/>
  <c r="J12" i="13"/>
  <c r="J13" i="13" s="1"/>
  <c r="Q12" i="13"/>
  <c r="H12" i="13"/>
  <c r="H13" i="13" s="1"/>
  <c r="P12" i="13"/>
  <c r="P13" i="13" s="1"/>
  <c r="G12" i="13"/>
  <c r="G13" i="13" s="1"/>
  <c r="L12" i="13"/>
  <c r="L13" i="13" s="1"/>
  <c r="K48" i="13"/>
  <c r="J151" i="14" s="1"/>
  <c r="J153" i="14" s="1"/>
  <c r="O12" i="13"/>
  <c r="O13" i="13" s="1"/>
  <c r="H48" i="13"/>
  <c r="G151" i="14" s="1"/>
  <c r="G153" i="14" s="1"/>
  <c r="K12" i="13"/>
  <c r="K13" i="13" s="1"/>
  <c r="L48" i="13"/>
  <c r="K151" i="14" s="1"/>
  <c r="K153" i="14" s="1"/>
  <c r="J48" i="13"/>
  <c r="I151" i="14" s="1"/>
  <c r="I153" i="14" s="1"/>
  <c r="N48" i="13"/>
  <c r="M151" i="14" s="1"/>
  <c r="M153" i="14" s="1"/>
  <c r="I12" i="13"/>
  <c r="I13" i="13" s="1"/>
  <c r="N12" i="13"/>
  <c r="Q48" i="13"/>
  <c r="P151" i="14" s="1"/>
  <c r="P153" i="14" s="1"/>
  <c r="O48" i="13"/>
  <c r="N151" i="14" s="1"/>
  <c r="N153" i="14" s="1"/>
  <c r="O158" i="14" l="1"/>
  <c r="O157" i="14"/>
  <c r="M158" i="14"/>
  <c r="M157" i="14"/>
  <c r="I157" i="14"/>
  <c r="I158" i="14"/>
  <c r="H157" i="14"/>
  <c r="H158" i="14"/>
  <c r="G158" i="14"/>
  <c r="G157" i="14"/>
  <c r="K157" i="14"/>
  <c r="K158" i="14"/>
  <c r="L157" i="14"/>
  <c r="L158" i="14"/>
  <c r="F158" i="14"/>
  <c r="F157" i="14"/>
  <c r="E163" i="14"/>
  <c r="E162" i="14"/>
  <c r="E161" i="14"/>
  <c r="E158" i="14"/>
  <c r="E160" i="14"/>
  <c r="E157" i="14"/>
  <c r="P157" i="14"/>
  <c r="P158" i="14"/>
  <c r="J157" i="14"/>
  <c r="J158" i="14"/>
  <c r="N158" i="14"/>
  <c r="N157" i="14"/>
  <c r="O204" i="14"/>
  <c r="L9" i="38" s="1"/>
  <c r="L41" i="38" s="1"/>
  <c r="F204" i="14"/>
  <c r="G204" i="14"/>
  <c r="D9" i="38" s="1"/>
  <c r="D41" i="38" s="1"/>
  <c r="Q193" i="14"/>
  <c r="Q153" i="14"/>
  <c r="K204" i="14"/>
  <c r="H9" i="38" s="1"/>
  <c r="H41" i="38" s="1"/>
  <c r="G143" i="14"/>
  <c r="H143" i="14"/>
  <c r="L204" i="14"/>
  <c r="I9" i="38" s="1"/>
  <c r="I41" i="38" s="1"/>
  <c r="M212" i="14"/>
  <c r="M160" i="14"/>
  <c r="M163" i="14"/>
  <c r="M162" i="14"/>
  <c r="M161" i="14"/>
  <c r="N212" i="14"/>
  <c r="N163" i="14"/>
  <c r="N162" i="14"/>
  <c r="N160" i="14"/>
  <c r="N161" i="14"/>
  <c r="Q201" i="14"/>
  <c r="O143" i="14"/>
  <c r="P204" i="14"/>
  <c r="M9" i="38" s="1"/>
  <c r="M41" i="38" s="1"/>
  <c r="I143" i="14"/>
  <c r="F143" i="14"/>
  <c r="P212" i="14"/>
  <c r="P162" i="14"/>
  <c r="P161" i="14"/>
  <c r="P163" i="14"/>
  <c r="P160" i="14"/>
  <c r="L212" i="14"/>
  <c r="L160" i="14"/>
  <c r="L162" i="14"/>
  <c r="L163" i="14"/>
  <c r="L161" i="14"/>
  <c r="Q196" i="14"/>
  <c r="M143" i="14"/>
  <c r="N143" i="14"/>
  <c r="H204" i="14"/>
  <c r="E9" i="38" s="1"/>
  <c r="E41" i="38" s="1"/>
  <c r="J143" i="14"/>
  <c r="K212" i="14"/>
  <c r="K162" i="14"/>
  <c r="K160" i="14"/>
  <c r="K161" i="14"/>
  <c r="K163" i="14"/>
  <c r="G163" i="14"/>
  <c r="G160" i="14"/>
  <c r="G162" i="14"/>
  <c r="G212" i="14"/>
  <c r="G161" i="14"/>
  <c r="N204" i="14"/>
  <c r="K9" i="38" s="1"/>
  <c r="K41" i="38" s="1"/>
  <c r="I204" i="14"/>
  <c r="F9" i="38" s="1"/>
  <c r="F41" i="38" s="1"/>
  <c r="H212" i="14"/>
  <c r="H163" i="14"/>
  <c r="H161" i="14"/>
  <c r="H162" i="14"/>
  <c r="H160" i="14"/>
  <c r="J212" i="14"/>
  <c r="J162" i="14"/>
  <c r="J163" i="14"/>
  <c r="J161" i="14"/>
  <c r="J160" i="14"/>
  <c r="K143" i="14"/>
  <c r="M204" i="14"/>
  <c r="J9" i="38" s="1"/>
  <c r="J41" i="38" s="1"/>
  <c r="P143" i="14"/>
  <c r="L143" i="14"/>
  <c r="O212" i="14"/>
  <c r="O161" i="14"/>
  <c r="O162" i="14"/>
  <c r="O163" i="14"/>
  <c r="O160" i="14"/>
  <c r="I212" i="14"/>
  <c r="I160" i="14"/>
  <c r="I162" i="14"/>
  <c r="I161" i="14"/>
  <c r="I163" i="14"/>
  <c r="J204" i="14"/>
  <c r="G9" i="38" s="1"/>
  <c r="G41" i="38" s="1"/>
  <c r="F212" i="14"/>
  <c r="F160" i="14"/>
  <c r="F163" i="14"/>
  <c r="F161" i="14"/>
  <c r="F162" i="14"/>
  <c r="E143" i="14"/>
  <c r="D214" i="14" s="1"/>
  <c r="Q191" i="14"/>
  <c r="E204" i="14"/>
  <c r="E212" i="14"/>
  <c r="Q152" i="14"/>
  <c r="J16" i="13"/>
  <c r="H17" i="13" s="1"/>
  <c r="J19" i="13"/>
  <c r="H20" i="13" s="1"/>
  <c r="G16" i="13"/>
  <c r="G19" i="13"/>
  <c r="O19" i="13"/>
  <c r="M20" i="13" s="1"/>
  <c r="O16" i="13"/>
  <c r="M17" i="13" s="1"/>
  <c r="M19" i="13"/>
  <c r="K20" i="13" s="1"/>
  <c r="M16" i="13"/>
  <c r="K17" i="13" s="1"/>
  <c r="H78" i="13"/>
  <c r="H85" i="13" s="1"/>
  <c r="H77" i="13"/>
  <c r="H81" i="13" s="1"/>
  <c r="F13" i="13"/>
  <c r="F19" i="13" s="1"/>
  <c r="Q77" i="13"/>
  <c r="Q81" i="13" s="1"/>
  <c r="Q78" i="13"/>
  <c r="Q85" i="13" s="1"/>
  <c r="P19" i="13"/>
  <c r="N20" i="13" s="1"/>
  <c r="O20" i="13" s="1"/>
  <c r="P20" i="13" s="1"/>
  <c r="Q20" i="13" s="1"/>
  <c r="P16" i="13"/>
  <c r="N17" i="13" s="1"/>
  <c r="K77" i="13"/>
  <c r="K81" i="13" s="1"/>
  <c r="K78" i="13"/>
  <c r="K85" i="13" s="1"/>
  <c r="G77" i="13"/>
  <c r="G81" i="13" s="1"/>
  <c r="G78" i="13"/>
  <c r="G85" i="13" s="1"/>
  <c r="H19" i="13"/>
  <c r="F20" i="13" s="1"/>
  <c r="H16" i="13"/>
  <c r="F17" i="13" s="1"/>
  <c r="I77" i="13"/>
  <c r="I81" i="13" s="1"/>
  <c r="I78" i="13"/>
  <c r="I85" i="13" s="1"/>
  <c r="F78" i="13"/>
  <c r="F85" i="13" s="1"/>
  <c r="F77" i="13"/>
  <c r="F81" i="13" s="1"/>
  <c r="J78" i="13"/>
  <c r="J85" i="13" s="1"/>
  <c r="J77" i="13"/>
  <c r="J81" i="13" s="1"/>
  <c r="L77" i="13"/>
  <c r="L81" i="13" s="1"/>
  <c r="L78" i="13"/>
  <c r="L85" i="13" s="1"/>
  <c r="I19" i="13"/>
  <c r="G20" i="13" s="1"/>
  <c r="I16" i="13"/>
  <c r="K19" i="13"/>
  <c r="I20" i="13" s="1"/>
  <c r="K16" i="13"/>
  <c r="L16" i="13"/>
  <c r="L19" i="13"/>
  <c r="J20" i="13" s="1"/>
  <c r="N77" i="13"/>
  <c r="N81" i="13" s="1"/>
  <c r="N78" i="13"/>
  <c r="N85" i="13" s="1"/>
  <c r="O78" i="13"/>
  <c r="O85" i="13" s="1"/>
  <c r="O77" i="13"/>
  <c r="O81" i="13" s="1"/>
  <c r="N13" i="13"/>
  <c r="Q13" i="13"/>
  <c r="P78" i="13"/>
  <c r="P85" i="13" s="1"/>
  <c r="P77" i="13"/>
  <c r="P81" i="13" s="1"/>
  <c r="M78" i="13"/>
  <c r="M85" i="13" s="1"/>
  <c r="M77" i="13"/>
  <c r="M81" i="13" s="1"/>
  <c r="M165" i="14" l="1"/>
  <c r="J7" i="38" s="1"/>
  <c r="J39" i="38" s="1"/>
  <c r="P165" i="14"/>
  <c r="M7" i="38" s="1"/>
  <c r="M39" i="38" s="1"/>
  <c r="N165" i="14"/>
  <c r="K7" i="38" s="1"/>
  <c r="K39" i="38" s="1"/>
  <c r="H165" i="14"/>
  <c r="K165" i="14"/>
  <c r="H7" i="38" s="1"/>
  <c r="H39" i="38" s="1"/>
  <c r="I165" i="14"/>
  <c r="F7" i="38" s="1"/>
  <c r="F39" i="38" s="1"/>
  <c r="L165" i="14"/>
  <c r="I7" i="38" s="1"/>
  <c r="I39" i="38" s="1"/>
  <c r="J165" i="14"/>
  <c r="G7" i="38" s="1"/>
  <c r="G39" i="38" s="1"/>
  <c r="G165" i="14"/>
  <c r="D7" i="38" s="1"/>
  <c r="D39" i="38" s="1"/>
  <c r="O165" i="14"/>
  <c r="L7" i="38" s="1"/>
  <c r="L39" i="38" s="1"/>
  <c r="F165" i="14"/>
  <c r="C7" i="38" s="1"/>
  <c r="C39" i="38" s="1"/>
  <c r="Q158" i="14"/>
  <c r="Q161" i="14"/>
  <c r="J206" i="14"/>
  <c r="J208" i="14" s="1"/>
  <c r="J209" i="14" s="1"/>
  <c r="G10" i="38" s="1"/>
  <c r="G42" i="38" s="1"/>
  <c r="J211" i="14"/>
  <c r="O206" i="14"/>
  <c r="O208" i="14" s="1"/>
  <c r="O209" i="14" s="1"/>
  <c r="L10" i="38" s="1"/>
  <c r="L42" i="38" s="1"/>
  <c r="O211" i="14"/>
  <c r="L206" i="14"/>
  <c r="L208" i="14" s="1"/>
  <c r="L209" i="14" s="1"/>
  <c r="I10" i="38" s="1"/>
  <c r="I42" i="38" s="1"/>
  <c r="L211" i="14"/>
  <c r="N206" i="14"/>
  <c r="N208" i="14" s="1"/>
  <c r="N209" i="14" s="1"/>
  <c r="K10" i="38" s="1"/>
  <c r="K42" i="38" s="1"/>
  <c r="N211" i="14"/>
  <c r="Q162" i="14"/>
  <c r="P206" i="14"/>
  <c r="P208" i="14" s="1"/>
  <c r="P209" i="14" s="1"/>
  <c r="M10" i="38" s="1"/>
  <c r="M42" i="38" s="1"/>
  <c r="P211" i="14"/>
  <c r="M206" i="14"/>
  <c r="M208" i="14" s="1"/>
  <c r="M209" i="14" s="1"/>
  <c r="J10" i="38" s="1"/>
  <c r="J42" i="38" s="1"/>
  <c r="M211" i="14"/>
  <c r="Q157" i="14"/>
  <c r="H206" i="14"/>
  <c r="H208" i="14" s="1"/>
  <c r="H209" i="14" s="1"/>
  <c r="E10" i="38" s="1"/>
  <c r="E42" i="38" s="1"/>
  <c r="H211" i="14"/>
  <c r="Q212" i="14"/>
  <c r="K206" i="14"/>
  <c r="K208" i="14" s="1"/>
  <c r="K209" i="14" s="1"/>
  <c r="H10" i="38" s="1"/>
  <c r="H42" i="38" s="1"/>
  <c r="K211" i="14"/>
  <c r="G206" i="14"/>
  <c r="G208" i="14" s="1"/>
  <c r="G209" i="14" s="1"/>
  <c r="D10" i="38" s="1"/>
  <c r="D42" i="38" s="1"/>
  <c r="G211" i="14"/>
  <c r="Q160" i="14"/>
  <c r="F180" i="14"/>
  <c r="F188" i="14" s="1"/>
  <c r="C9" i="38" s="1"/>
  <c r="C41" i="38" s="1"/>
  <c r="F211" i="14"/>
  <c r="F206" i="14"/>
  <c r="F208" i="14" s="1"/>
  <c r="F209" i="14" s="1"/>
  <c r="C10" i="38" s="1"/>
  <c r="C42" i="38" s="1"/>
  <c r="Q163" i="14"/>
  <c r="I206" i="14"/>
  <c r="I208" i="14" s="1"/>
  <c r="I209" i="14" s="1"/>
  <c r="F10" i="38" s="1"/>
  <c r="F42" i="38" s="1"/>
  <c r="I211" i="14"/>
  <c r="Q204" i="14"/>
  <c r="E165" i="14"/>
  <c r="E211" i="14"/>
  <c r="E180" i="14"/>
  <c r="D215" i="14"/>
  <c r="E206" i="14"/>
  <c r="E208" i="14" s="1"/>
  <c r="L357" i="14"/>
  <c r="E357" i="14"/>
  <c r="F26" i="13"/>
  <c r="F151" i="13" s="1"/>
  <c r="E396" i="14"/>
  <c r="F30" i="13"/>
  <c r="K82" i="13"/>
  <c r="L82" i="13"/>
  <c r="K50" i="12"/>
  <c r="O86" i="13"/>
  <c r="J82" i="13"/>
  <c r="H82" i="13"/>
  <c r="F50" i="12"/>
  <c r="J86" i="13"/>
  <c r="H86" i="13"/>
  <c r="D50" i="12"/>
  <c r="L361" i="14"/>
  <c r="L358" i="14"/>
  <c r="O82" i="13"/>
  <c r="N82" i="13"/>
  <c r="F82" i="13"/>
  <c r="G357" i="14"/>
  <c r="M50" i="12"/>
  <c r="Q86" i="13"/>
  <c r="J357" i="14"/>
  <c r="P86" i="13"/>
  <c r="L50" i="12"/>
  <c r="J17" i="13"/>
  <c r="B50" i="12"/>
  <c r="F86" i="13"/>
  <c r="C50" i="12"/>
  <c r="G86" i="13"/>
  <c r="Q82" i="13"/>
  <c r="L396" i="14"/>
  <c r="L397" i="14" s="1"/>
  <c r="M30" i="13"/>
  <c r="M26" i="13"/>
  <c r="M151" i="13" s="1"/>
  <c r="J50" i="12"/>
  <c r="N86" i="13"/>
  <c r="G17" i="13"/>
  <c r="M82" i="13"/>
  <c r="I86" i="13"/>
  <c r="E50" i="12"/>
  <c r="G82" i="13"/>
  <c r="P82" i="13"/>
  <c r="G396" i="14"/>
  <c r="G397" i="14" s="1"/>
  <c r="H30" i="13"/>
  <c r="H26" i="13"/>
  <c r="J396" i="14"/>
  <c r="J397" i="14" s="1"/>
  <c r="K26" i="13"/>
  <c r="K151" i="13" s="1"/>
  <c r="K30" i="13"/>
  <c r="Q16" i="13"/>
  <c r="Q19" i="13"/>
  <c r="I17" i="13"/>
  <c r="I50" i="12"/>
  <c r="M86" i="13"/>
  <c r="N16" i="13"/>
  <c r="N19" i="13"/>
  <c r="L20" i="13" s="1"/>
  <c r="H50" i="12"/>
  <c r="L86" i="13"/>
  <c r="I82" i="13"/>
  <c r="K86" i="13"/>
  <c r="G50" i="12"/>
  <c r="E7" i="38" l="1"/>
  <c r="E39" i="38" s="1"/>
  <c r="E209" i="14"/>
  <c r="Q208" i="14"/>
  <c r="Q180" i="14"/>
  <c r="E188" i="14"/>
  <c r="Q211" i="14"/>
  <c r="P214" i="14"/>
  <c r="M214" i="14"/>
  <c r="G214" i="14"/>
  <c r="J214" i="14"/>
  <c r="Q165" i="14"/>
  <c r="B7" i="38"/>
  <c r="L215" i="14"/>
  <c r="L221" i="14" s="1"/>
  <c r="L267" i="14" s="1"/>
  <c r="E215" i="14"/>
  <c r="E221" i="14" s="1"/>
  <c r="I215" i="14"/>
  <c r="I221" i="14" s="1"/>
  <c r="I267" i="14" s="1"/>
  <c r="N215" i="14"/>
  <c r="N221" i="14" s="1"/>
  <c r="N267" i="14" s="1"/>
  <c r="G215" i="14"/>
  <c r="P215" i="14"/>
  <c r="O215" i="14"/>
  <c r="O221" i="14" s="1"/>
  <c r="O267" i="14" s="1"/>
  <c r="M215" i="14"/>
  <c r="J215" i="14"/>
  <c r="F215" i="14"/>
  <c r="F221" i="14" s="1"/>
  <c r="F267" i="14" s="1"/>
  <c r="K215" i="14"/>
  <c r="K221" i="14" s="1"/>
  <c r="K267" i="14" s="1"/>
  <c r="H215" i="14"/>
  <c r="H221" i="14" s="1"/>
  <c r="H267" i="14" s="1"/>
  <c r="H357" i="14"/>
  <c r="I357" i="14"/>
  <c r="F357" i="14"/>
  <c r="I26" i="13"/>
  <c r="I151" i="13" s="1"/>
  <c r="I30" i="13"/>
  <c r="E46" i="12" s="1"/>
  <c r="H396" i="14"/>
  <c r="H397" i="14" s="1"/>
  <c r="J30" i="13"/>
  <c r="F46" i="12" s="1"/>
  <c r="J26" i="13"/>
  <c r="J151" i="13" s="1"/>
  <c r="I396" i="14"/>
  <c r="I397" i="14" s="1"/>
  <c r="G26" i="13"/>
  <c r="G151" i="13" s="1"/>
  <c r="L339" i="14"/>
  <c r="M152" i="13"/>
  <c r="K152" i="13"/>
  <c r="J339" i="14"/>
  <c r="G361" i="14"/>
  <c r="G358" i="14"/>
  <c r="K61" i="12"/>
  <c r="K62" i="12" s="1"/>
  <c r="K51" i="12"/>
  <c r="G392" i="14"/>
  <c r="G393" i="14" s="1"/>
  <c r="H27" i="13"/>
  <c r="L51" i="12"/>
  <c r="L61" i="12"/>
  <c r="L62" i="12" s="1"/>
  <c r="I51" i="12"/>
  <c r="I61" i="12"/>
  <c r="I62" i="12" s="1"/>
  <c r="H31" i="13"/>
  <c r="D46" i="12"/>
  <c r="F152" i="13"/>
  <c r="E339" i="14"/>
  <c r="F51" i="12"/>
  <c r="F61" i="12"/>
  <c r="F62" i="12" s="1"/>
  <c r="G30" i="13"/>
  <c r="B46" i="12"/>
  <c r="F31" i="13"/>
  <c r="H51" i="12"/>
  <c r="H61" i="12"/>
  <c r="H62" i="12" s="1"/>
  <c r="O17" i="13"/>
  <c r="C51" i="12"/>
  <c r="C61" i="12"/>
  <c r="C62" i="12" s="1"/>
  <c r="F396" i="14"/>
  <c r="F397" i="14" s="1"/>
  <c r="H151" i="13"/>
  <c r="E397" i="14"/>
  <c r="J61" i="12"/>
  <c r="J62" i="12" s="1"/>
  <c r="J51" i="12"/>
  <c r="J361" i="14"/>
  <c r="J358" i="14"/>
  <c r="E392" i="14"/>
  <c r="E393" i="14" s="1"/>
  <c r="F27" i="13"/>
  <c r="K31" i="13"/>
  <c r="G46" i="12"/>
  <c r="L392" i="14"/>
  <c r="L393" i="14" s="1"/>
  <c r="M27" i="13"/>
  <c r="B51" i="12"/>
  <c r="N50" i="12"/>
  <c r="N51" i="12" s="1"/>
  <c r="B61" i="12"/>
  <c r="I19" i="12"/>
  <c r="I42" i="24" s="1"/>
  <c r="L362" i="14"/>
  <c r="E358" i="14"/>
  <c r="E361" i="14"/>
  <c r="J392" i="14"/>
  <c r="J393" i="14" s="1"/>
  <c r="K27" i="13"/>
  <c r="G51" i="12"/>
  <c r="G61" i="12"/>
  <c r="G62" i="12" s="1"/>
  <c r="M396" i="14"/>
  <c r="M397" i="14" s="1"/>
  <c r="N26" i="13"/>
  <c r="N30" i="13"/>
  <c r="L17" i="13"/>
  <c r="E61" i="12"/>
  <c r="E62" i="12" s="1"/>
  <c r="E51" i="12"/>
  <c r="I46" i="12"/>
  <c r="M31" i="13"/>
  <c r="M61" i="12"/>
  <c r="M62" i="12" s="1"/>
  <c r="M51" i="12"/>
  <c r="D61" i="12"/>
  <c r="D62" i="12" s="1"/>
  <c r="D51" i="12"/>
  <c r="M357" i="14"/>
  <c r="H392" i="14" l="1"/>
  <c r="H393" i="14" s="1"/>
  <c r="E267" i="14"/>
  <c r="M221" i="14"/>
  <c r="M267" i="14" s="1"/>
  <c r="P221" i="14"/>
  <c r="P267" i="14" s="1"/>
  <c r="I27" i="13"/>
  <c r="I31" i="13"/>
  <c r="J27" i="13"/>
  <c r="Q215" i="14"/>
  <c r="B39" i="38"/>
  <c r="N39" i="38" s="1"/>
  <c r="N7" i="38"/>
  <c r="Q188" i="14"/>
  <c r="B9" i="38"/>
  <c r="R32" i="37" s="1"/>
  <c r="J221" i="14"/>
  <c r="J267" i="14" s="1"/>
  <c r="Q214" i="14"/>
  <c r="G221" i="14"/>
  <c r="B10" i="38"/>
  <c r="M31" i="37" s="1"/>
  <c r="M32" i="37" s="1"/>
  <c r="Q209" i="14"/>
  <c r="J31" i="13"/>
  <c r="I392" i="14"/>
  <c r="I393" i="14" s="1"/>
  <c r="I361" i="14"/>
  <c r="F19" i="12" s="1"/>
  <c r="F42" i="24" s="1"/>
  <c r="I358" i="14"/>
  <c r="F358" i="14"/>
  <c r="F361" i="14"/>
  <c r="F362" i="14" s="1"/>
  <c r="H361" i="14"/>
  <c r="H362" i="14" s="1"/>
  <c r="H358" i="14"/>
  <c r="I152" i="13"/>
  <c r="H339" i="14"/>
  <c r="H348" i="14" s="1"/>
  <c r="G152" i="13"/>
  <c r="F339" i="14"/>
  <c r="F348" i="14" s="1"/>
  <c r="G27" i="13"/>
  <c r="F392" i="14"/>
  <c r="F393" i="14" s="1"/>
  <c r="M361" i="14"/>
  <c r="M358" i="14"/>
  <c r="I57" i="12"/>
  <c r="I58" i="12" s="1"/>
  <c r="I63" i="12" s="1"/>
  <c r="I47" i="12"/>
  <c r="I52" i="12" s="1"/>
  <c r="P17" i="13"/>
  <c r="N357" i="14"/>
  <c r="N396" i="14"/>
  <c r="N397" i="14" s="1"/>
  <c r="O26" i="13"/>
  <c r="O30" i="13"/>
  <c r="D19" i="12"/>
  <c r="D42" i="24" s="1"/>
  <c r="G362" i="14"/>
  <c r="J375" i="14"/>
  <c r="J340" i="14"/>
  <c r="J348" i="14"/>
  <c r="G57" i="12"/>
  <c r="G58" i="12" s="1"/>
  <c r="G63" i="12" s="1"/>
  <c r="G47" i="12"/>
  <c r="G52" i="12" s="1"/>
  <c r="G339" i="14"/>
  <c r="H152" i="13"/>
  <c r="E343" i="14"/>
  <c r="E348" i="14"/>
  <c r="E340" i="14"/>
  <c r="E375" i="14"/>
  <c r="B62" i="12"/>
  <c r="N61" i="12"/>
  <c r="N62" i="12" s="1"/>
  <c r="K357" i="14"/>
  <c r="K396" i="14"/>
  <c r="K397" i="14" s="1"/>
  <c r="L30" i="13"/>
  <c r="L26" i="13"/>
  <c r="B19" i="12"/>
  <c r="Q361" i="14"/>
  <c r="Q362" i="14" s="1"/>
  <c r="E362" i="14"/>
  <c r="J152" i="13"/>
  <c r="I339" i="14"/>
  <c r="E57" i="12"/>
  <c r="E58" i="12" s="1"/>
  <c r="E63" i="12" s="1"/>
  <c r="E47" i="12"/>
  <c r="E52" i="12" s="1"/>
  <c r="B47" i="12"/>
  <c r="B52" i="12" s="1"/>
  <c r="B57" i="12"/>
  <c r="B16" i="12" s="1"/>
  <c r="F47" i="12"/>
  <c r="F52" i="12" s="1"/>
  <c r="F57" i="12"/>
  <c r="F58" i="12" s="1"/>
  <c r="F63" i="12" s="1"/>
  <c r="M392" i="14"/>
  <c r="M393" i="14" s="1"/>
  <c r="N27" i="13"/>
  <c r="N151" i="13"/>
  <c r="J362" i="14"/>
  <c r="G19" i="12"/>
  <c r="G42" i="24" s="1"/>
  <c r="D57" i="12"/>
  <c r="D58" i="12" s="1"/>
  <c r="D63" i="12" s="1"/>
  <c r="D47" i="12"/>
  <c r="D52" i="12" s="1"/>
  <c r="L375" i="14"/>
  <c r="L348" i="14"/>
  <c r="L340" i="14"/>
  <c r="G31" i="13"/>
  <c r="C46" i="12"/>
  <c r="N46" i="12" s="1"/>
  <c r="N47" i="12" s="1"/>
  <c r="N52" i="12" s="1"/>
  <c r="N31" i="13"/>
  <c r="J46" i="12"/>
  <c r="C19" i="12" l="1"/>
  <c r="C42" i="24" s="1"/>
  <c r="I362" i="14"/>
  <c r="R10" i="37"/>
  <c r="R8" i="37"/>
  <c r="R12" i="37"/>
  <c r="R14" i="37"/>
  <c r="R20" i="37"/>
  <c r="R6" i="37"/>
  <c r="R13" i="37"/>
  <c r="R22" i="37"/>
  <c r="R16" i="37"/>
  <c r="R18" i="37"/>
  <c r="R19" i="37"/>
  <c r="R9" i="37"/>
  <c r="R11" i="37"/>
  <c r="R5" i="37"/>
  <c r="R21" i="37"/>
  <c r="R15" i="37"/>
  <c r="R7" i="37"/>
  <c r="R17" i="37"/>
  <c r="N8" i="37"/>
  <c r="N10" i="37"/>
  <c r="N21" i="37"/>
  <c r="N12" i="37"/>
  <c r="N9" i="37"/>
  <c r="N19" i="37"/>
  <c r="N22" i="37"/>
  <c r="N20" i="37"/>
  <c r="N15" i="37"/>
  <c r="N6" i="37"/>
  <c r="N11" i="37"/>
  <c r="N17" i="37"/>
  <c r="N13" i="37"/>
  <c r="N14" i="37"/>
  <c r="N18" i="37"/>
  <c r="N16" i="37"/>
  <c r="N7" i="37"/>
  <c r="H340" i="14"/>
  <c r="F343" i="14"/>
  <c r="C79" i="12" s="1"/>
  <c r="C84" i="12" s="1"/>
  <c r="C17" i="12" s="1"/>
  <c r="C40" i="24" s="1"/>
  <c r="H375" i="14"/>
  <c r="H379" i="14" s="1"/>
  <c r="H343" i="14"/>
  <c r="E79" i="12" s="1"/>
  <c r="E84" i="12" s="1"/>
  <c r="E17" i="12" s="1"/>
  <c r="E40" i="24" s="1"/>
  <c r="F340" i="14"/>
  <c r="N9" i="38"/>
  <c r="B41" i="38"/>
  <c r="N41" i="38" s="1"/>
  <c r="O41" i="38" s="1"/>
  <c r="B42" i="38"/>
  <c r="N42" i="38" s="1"/>
  <c r="O42" i="38" s="1"/>
  <c r="N10" i="38"/>
  <c r="O39" i="38"/>
  <c r="Q221" i="14"/>
  <c r="G267" i="14"/>
  <c r="Q267" i="14" s="1"/>
  <c r="E19" i="12"/>
  <c r="E42" i="24" s="1"/>
  <c r="F375" i="14"/>
  <c r="F376" i="14" s="1"/>
  <c r="G16" i="12"/>
  <c r="J379" i="14"/>
  <c r="J376" i="14"/>
  <c r="L379" i="14"/>
  <c r="L376" i="14"/>
  <c r="N19" i="12"/>
  <c r="E352" i="14"/>
  <c r="E366" i="14"/>
  <c r="E349" i="14"/>
  <c r="K392" i="14"/>
  <c r="K393" i="14" s="1"/>
  <c r="L27" i="13"/>
  <c r="L151" i="13"/>
  <c r="H366" i="14"/>
  <c r="H349" i="14"/>
  <c r="B79" i="12"/>
  <c r="Q343" i="14"/>
  <c r="Q344" i="14" s="1"/>
  <c r="E344" i="14"/>
  <c r="M339" i="14"/>
  <c r="N152" i="13"/>
  <c r="K46" i="12"/>
  <c r="O31" i="13"/>
  <c r="J47" i="12"/>
  <c r="J52" i="12" s="1"/>
  <c r="J57" i="12"/>
  <c r="J58" i="12" s="1"/>
  <c r="J63" i="12" s="1"/>
  <c r="H46" i="12"/>
  <c r="L31" i="13"/>
  <c r="I348" i="14"/>
  <c r="J352" i="14" s="1"/>
  <c r="I340" i="14"/>
  <c r="I375" i="14"/>
  <c r="I343" i="14"/>
  <c r="N392" i="14"/>
  <c r="N393" i="14" s="1"/>
  <c r="O27" i="13"/>
  <c r="O151" i="13"/>
  <c r="I16" i="12"/>
  <c r="C57" i="12"/>
  <c r="C58" i="12" s="1"/>
  <c r="C63" i="12" s="1"/>
  <c r="C47" i="12"/>
  <c r="C52" i="12" s="1"/>
  <c r="F16" i="12"/>
  <c r="E16" i="12"/>
  <c r="K361" i="14"/>
  <c r="K358" i="14"/>
  <c r="G375" i="14"/>
  <c r="G348" i="14"/>
  <c r="G340" i="14"/>
  <c r="G343" i="14"/>
  <c r="J349" i="14"/>
  <c r="J366" i="14"/>
  <c r="D16" i="12"/>
  <c r="F366" i="14"/>
  <c r="F349" i="14"/>
  <c r="F352" i="14"/>
  <c r="B58" i="12"/>
  <c r="B63" i="12" s="1"/>
  <c r="N361" i="14"/>
  <c r="N358" i="14"/>
  <c r="J19" i="12"/>
  <c r="J42" i="24" s="1"/>
  <c r="M362" i="14"/>
  <c r="L349" i="14"/>
  <c r="L366" i="14"/>
  <c r="E376" i="14"/>
  <c r="E379" i="14"/>
  <c r="J343" i="14"/>
  <c r="O357" i="14"/>
  <c r="Q17" i="13"/>
  <c r="O396" i="14"/>
  <c r="O397" i="14" s="1"/>
  <c r="P30" i="13"/>
  <c r="P26" i="13"/>
  <c r="F344" i="14" l="1"/>
  <c r="H376" i="14"/>
  <c r="H344" i="14"/>
  <c r="F379" i="14"/>
  <c r="C20" i="12" s="1"/>
  <c r="C43" i="24" s="1"/>
  <c r="R28" i="37"/>
  <c r="O6" i="37"/>
  <c r="N5" i="37"/>
  <c r="M28" i="37"/>
  <c r="O18" i="37"/>
  <c r="O15" i="37"/>
  <c r="O14" i="37"/>
  <c r="O9" i="37"/>
  <c r="O12" i="37"/>
  <c r="O16" i="37"/>
  <c r="O13" i="37"/>
  <c r="O20" i="37"/>
  <c r="O21" i="37"/>
  <c r="O22" i="37"/>
  <c r="O10" i="37"/>
  <c r="O11" i="37"/>
  <c r="O7" i="37"/>
  <c r="O17" i="37"/>
  <c r="O19" i="37"/>
  <c r="O8" i="37"/>
  <c r="B11" i="38"/>
  <c r="S32" i="37" s="1"/>
  <c r="D11" i="38"/>
  <c r="L11" i="38"/>
  <c r="E11" i="38"/>
  <c r="M11" i="38"/>
  <c r="F11" i="38"/>
  <c r="G11" i="38"/>
  <c r="H11" i="38"/>
  <c r="I11" i="38"/>
  <c r="J11" i="38"/>
  <c r="C11" i="38"/>
  <c r="K11" i="38"/>
  <c r="N57" i="12"/>
  <c r="N58" i="12" s="1"/>
  <c r="N63" i="12" s="1"/>
  <c r="J16" i="12"/>
  <c r="C16" i="12"/>
  <c r="N16" i="12" s="1"/>
  <c r="N21" i="12" s="1"/>
  <c r="N37" i="12" s="1"/>
  <c r="O392" i="14"/>
  <c r="O393" i="14" s="1"/>
  <c r="P27" i="13"/>
  <c r="P151" i="13"/>
  <c r="N362" i="14"/>
  <c r="K19" i="12"/>
  <c r="K42" i="24" s="1"/>
  <c r="L367" i="14"/>
  <c r="L370" i="14"/>
  <c r="L371" i="14" s="1"/>
  <c r="D79" i="12"/>
  <c r="D84" i="12" s="1"/>
  <c r="D17" i="12" s="1"/>
  <c r="D40" i="24" s="1"/>
  <c r="G344" i="14"/>
  <c r="I349" i="14"/>
  <c r="I352" i="14"/>
  <c r="I366" i="14"/>
  <c r="B42" i="24"/>
  <c r="N339" i="14"/>
  <c r="O152" i="13"/>
  <c r="E21" i="12"/>
  <c r="E37" i="12" s="1"/>
  <c r="K57" i="12"/>
  <c r="K58" i="12" s="1"/>
  <c r="K63" i="12" s="1"/>
  <c r="K47" i="12"/>
  <c r="K52" i="12" s="1"/>
  <c r="H19" i="12"/>
  <c r="H42" i="24" s="1"/>
  <c r="K362" i="14"/>
  <c r="P357" i="14"/>
  <c r="P396" i="14"/>
  <c r="P397" i="14" s="1"/>
  <c r="Q26" i="13"/>
  <c r="Q30" i="13"/>
  <c r="F353" i="14"/>
  <c r="G39" i="24"/>
  <c r="N79" i="12"/>
  <c r="B84" i="12"/>
  <c r="E367" i="14"/>
  <c r="E370" i="14"/>
  <c r="B18" i="12" s="1"/>
  <c r="B39" i="24"/>
  <c r="L46" i="12"/>
  <c r="P31" i="13"/>
  <c r="O361" i="14"/>
  <c r="O358" i="14"/>
  <c r="G352" i="14"/>
  <c r="G366" i="14"/>
  <c r="G349" i="14"/>
  <c r="E380" i="14"/>
  <c r="B20" i="12"/>
  <c r="Q379" i="14"/>
  <c r="Q380" i="14" s="1"/>
  <c r="D21" i="12"/>
  <c r="D37" i="12" s="1"/>
  <c r="H57" i="12"/>
  <c r="H58" i="12" s="1"/>
  <c r="H63" i="12" s="1"/>
  <c r="H47" i="12"/>
  <c r="H52" i="12" s="1"/>
  <c r="E353" i="14"/>
  <c r="Q352" i="14"/>
  <c r="Q353" i="14" s="1"/>
  <c r="G79" i="12"/>
  <c r="G84" i="12" s="1"/>
  <c r="G17" i="12" s="1"/>
  <c r="J344" i="14"/>
  <c r="F370" i="14"/>
  <c r="F371" i="14" s="1"/>
  <c r="F367" i="14"/>
  <c r="G379" i="14"/>
  <c r="G376" i="14"/>
  <c r="J367" i="14"/>
  <c r="J370" i="14"/>
  <c r="J371" i="14" s="1"/>
  <c r="N23" i="24"/>
  <c r="F79" i="12"/>
  <c r="F84" i="12" s="1"/>
  <c r="F17" i="12" s="1"/>
  <c r="F40" i="24" s="1"/>
  <c r="I344" i="14"/>
  <c r="E20" i="12"/>
  <c r="E43" i="24" s="1"/>
  <c r="H380" i="14"/>
  <c r="H367" i="14"/>
  <c r="H370" i="14"/>
  <c r="H371" i="14" s="1"/>
  <c r="I20" i="12"/>
  <c r="I43" i="24" s="1"/>
  <c r="L380" i="14"/>
  <c r="J353" i="14"/>
  <c r="I379" i="14"/>
  <c r="I376" i="14"/>
  <c r="H352" i="14"/>
  <c r="M375" i="14"/>
  <c r="M343" i="14"/>
  <c r="M340" i="14"/>
  <c r="M348" i="14"/>
  <c r="K339" i="14"/>
  <c r="L152" i="13"/>
  <c r="J380" i="14"/>
  <c r="G20" i="12"/>
  <c r="G43" i="24" s="1"/>
  <c r="F380" i="14" l="1"/>
  <c r="S8" i="37"/>
  <c r="T8" i="37" s="1"/>
  <c r="U8" i="37" s="1"/>
  <c r="V8" i="37" s="1"/>
  <c r="S12" i="37"/>
  <c r="T12" i="37" s="1"/>
  <c r="U12" i="37" s="1"/>
  <c r="V12" i="37" s="1"/>
  <c r="S15" i="37"/>
  <c r="T15" i="37" s="1"/>
  <c r="U15" i="37" s="1"/>
  <c r="V15" i="37" s="1"/>
  <c r="S6" i="37"/>
  <c r="T6" i="37" s="1"/>
  <c r="U6" i="37" s="1"/>
  <c r="V6" i="37" s="1"/>
  <c r="S22" i="37"/>
  <c r="T22" i="37" s="1"/>
  <c r="U22" i="37" s="1"/>
  <c r="V22" i="37" s="1"/>
  <c r="S10" i="37"/>
  <c r="T10" i="37" s="1"/>
  <c r="U10" i="37" s="1"/>
  <c r="V10" i="37" s="1"/>
  <c r="S14" i="37"/>
  <c r="T14" i="37" s="1"/>
  <c r="U14" i="37" s="1"/>
  <c r="V14" i="37" s="1"/>
  <c r="S18" i="37"/>
  <c r="T18" i="37" s="1"/>
  <c r="U18" i="37" s="1"/>
  <c r="V18" i="37" s="1"/>
  <c r="S11" i="37"/>
  <c r="T11" i="37" s="1"/>
  <c r="U11" i="37" s="1"/>
  <c r="V11" i="37" s="1"/>
  <c r="S13" i="37"/>
  <c r="T13" i="37" s="1"/>
  <c r="U13" i="37" s="1"/>
  <c r="V13" i="37" s="1"/>
  <c r="S5" i="37"/>
  <c r="S7" i="37"/>
  <c r="T7" i="37" s="1"/>
  <c r="U7" i="37" s="1"/>
  <c r="V7" i="37" s="1"/>
  <c r="S21" i="37"/>
  <c r="T21" i="37" s="1"/>
  <c r="U21" i="37" s="1"/>
  <c r="V21" i="37" s="1"/>
  <c r="S17" i="37"/>
  <c r="T17" i="37" s="1"/>
  <c r="U17" i="37" s="1"/>
  <c r="V17" i="37" s="1"/>
  <c r="S16" i="37"/>
  <c r="T16" i="37" s="1"/>
  <c r="U16" i="37" s="1"/>
  <c r="V16" i="37" s="1"/>
  <c r="S19" i="37"/>
  <c r="T19" i="37" s="1"/>
  <c r="U19" i="37" s="1"/>
  <c r="V19" i="37" s="1"/>
  <c r="S9" i="37"/>
  <c r="T9" i="37" s="1"/>
  <c r="U9" i="37" s="1"/>
  <c r="V9" i="37" s="1"/>
  <c r="S20" i="37"/>
  <c r="T20" i="37" s="1"/>
  <c r="U20" i="37" s="1"/>
  <c r="V20" i="37" s="1"/>
  <c r="O5" i="37"/>
  <c r="N28" i="37"/>
  <c r="O28" i="37" s="1"/>
  <c r="C21" i="12"/>
  <c r="C37" i="12" s="1"/>
  <c r="H43" i="38"/>
  <c r="H44" i="38" s="1"/>
  <c r="H45" i="38" s="1"/>
  <c r="H12" i="38"/>
  <c r="F43" i="38"/>
  <c r="F44" i="38" s="1"/>
  <c r="F45" i="38" s="1"/>
  <c r="F12" i="38"/>
  <c r="M43" i="38"/>
  <c r="M44" i="38" s="1"/>
  <c r="M45" i="38" s="1"/>
  <c r="M12" i="38"/>
  <c r="E43" i="38"/>
  <c r="E44" i="38" s="1"/>
  <c r="E45" i="38" s="1"/>
  <c r="E12" i="38"/>
  <c r="K12" i="38"/>
  <c r="K43" i="38"/>
  <c r="K44" i="38" s="1"/>
  <c r="K45" i="38" s="1"/>
  <c r="C43" i="38"/>
  <c r="C44" i="38" s="1"/>
  <c r="C45" i="38" s="1"/>
  <c r="C12" i="38"/>
  <c r="L43" i="38"/>
  <c r="L44" i="38" s="1"/>
  <c r="L45" i="38" s="1"/>
  <c r="L12" i="38"/>
  <c r="J43" i="38"/>
  <c r="J44" i="38" s="1"/>
  <c r="J45" i="38" s="1"/>
  <c r="J12" i="38"/>
  <c r="D43" i="38"/>
  <c r="D44" i="38" s="1"/>
  <c r="D45" i="38" s="1"/>
  <c r="D12" i="38"/>
  <c r="G43" i="38"/>
  <c r="G44" i="38" s="1"/>
  <c r="G45" i="38" s="1"/>
  <c r="G12" i="38"/>
  <c r="I43" i="38"/>
  <c r="I44" i="38" s="1"/>
  <c r="I45" i="38" s="1"/>
  <c r="I12" i="38"/>
  <c r="N11" i="38"/>
  <c r="N12" i="38" s="1"/>
  <c r="B43" i="38"/>
  <c r="B12" i="38"/>
  <c r="Q396" i="14"/>
  <c r="Q397" i="14" s="1"/>
  <c r="H16" i="12"/>
  <c r="K16" i="12"/>
  <c r="M46" i="12"/>
  <c r="Q31" i="13"/>
  <c r="H353" i="14"/>
  <c r="H372" i="14" s="1"/>
  <c r="E18" i="12"/>
  <c r="E41" i="24" s="1"/>
  <c r="D39" i="24"/>
  <c r="D23" i="24"/>
  <c r="D107" i="24" s="1"/>
  <c r="P392" i="14"/>
  <c r="P393" i="14" s="1"/>
  <c r="Q27" i="13"/>
  <c r="Q151" i="13"/>
  <c r="F39" i="24"/>
  <c r="L19" i="12"/>
  <c r="L42" i="24" s="1"/>
  <c r="O362" i="14"/>
  <c r="B17" i="12"/>
  <c r="B21" i="12" s="1"/>
  <c r="B37" i="12" s="1"/>
  <c r="N84" i="12"/>
  <c r="E23" i="24"/>
  <c r="E107" i="24" s="1"/>
  <c r="E39" i="24"/>
  <c r="P361" i="14"/>
  <c r="P358" i="14"/>
  <c r="C39" i="24"/>
  <c r="C23" i="24"/>
  <c r="J79" i="12"/>
  <c r="J84" i="12" s="1"/>
  <c r="J17" i="12" s="1"/>
  <c r="M344" i="14"/>
  <c r="D20" i="12"/>
  <c r="D43" i="24" s="1"/>
  <c r="G380" i="14"/>
  <c r="N20" i="12"/>
  <c r="L57" i="12"/>
  <c r="L58" i="12" s="1"/>
  <c r="L63" i="12" s="1"/>
  <c r="L47" i="12"/>
  <c r="L52" i="12" s="1"/>
  <c r="N343" i="14"/>
  <c r="N375" i="14"/>
  <c r="N348" i="14"/>
  <c r="N340" i="14"/>
  <c r="I367" i="14"/>
  <c r="I370" i="14"/>
  <c r="I371" i="14" s="1"/>
  <c r="Q370" i="14"/>
  <c r="Q371" i="14" s="1"/>
  <c r="E371" i="14"/>
  <c r="M366" i="14"/>
  <c r="M352" i="14"/>
  <c r="M349" i="14"/>
  <c r="I380" i="14"/>
  <c r="F20" i="12"/>
  <c r="F43" i="24" s="1"/>
  <c r="I39" i="24"/>
  <c r="M379" i="14"/>
  <c r="M376" i="14"/>
  <c r="I353" i="14"/>
  <c r="P152" i="13"/>
  <c r="O339" i="14"/>
  <c r="K375" i="14"/>
  <c r="K343" i="14"/>
  <c r="K340" i="14"/>
  <c r="K348" i="14"/>
  <c r="L343" i="14"/>
  <c r="G353" i="14"/>
  <c r="G18" i="12"/>
  <c r="G41" i="24" s="1"/>
  <c r="J39" i="24"/>
  <c r="G370" i="14"/>
  <c r="G371" i="14" s="1"/>
  <c r="G367" i="14"/>
  <c r="C18" i="12"/>
  <c r="E44" i="24" l="1"/>
  <c r="E45" i="24" s="1"/>
  <c r="E89" i="24" s="1"/>
  <c r="S28" i="37"/>
  <c r="T5" i="37"/>
  <c r="E46" i="38"/>
  <c r="E89" i="38"/>
  <c r="E90" i="38" s="1"/>
  <c r="J46" i="38"/>
  <c r="J89" i="38"/>
  <c r="J90" i="38" s="1"/>
  <c r="I102" i="38"/>
  <c r="I13" i="38"/>
  <c r="I14" i="38" s="1"/>
  <c r="I110" i="38"/>
  <c r="L102" i="38"/>
  <c r="L13" i="38"/>
  <c r="L14" i="38" s="1"/>
  <c r="L110" i="38"/>
  <c r="M102" i="38"/>
  <c r="M13" i="38"/>
  <c r="M14" i="38" s="1"/>
  <c r="M110" i="38"/>
  <c r="N102" i="38"/>
  <c r="N13" i="38"/>
  <c r="N14" i="38" s="1"/>
  <c r="I46" i="38"/>
  <c r="I89" i="38"/>
  <c r="I90" i="38" s="1"/>
  <c r="M46" i="38"/>
  <c r="M89" i="38"/>
  <c r="M90" i="38" s="1"/>
  <c r="G102" i="38"/>
  <c r="G110" i="38"/>
  <c r="G13" i="38"/>
  <c r="G14" i="38" s="1"/>
  <c r="C102" i="38"/>
  <c r="C13" i="38"/>
  <c r="C14" i="38" s="1"/>
  <c r="C110" i="38"/>
  <c r="F102" i="38"/>
  <c r="F13" i="38"/>
  <c r="F14" i="38" s="1"/>
  <c r="F110" i="38"/>
  <c r="J102" i="38"/>
  <c r="J13" i="38"/>
  <c r="J14" i="38" s="1"/>
  <c r="J110" i="38"/>
  <c r="L46" i="38"/>
  <c r="L89" i="38"/>
  <c r="L90" i="38" s="1"/>
  <c r="G46" i="38"/>
  <c r="G89" i="38"/>
  <c r="G90" i="38" s="1"/>
  <c r="C89" i="38"/>
  <c r="C90" i="38" s="1"/>
  <c r="C46" i="38"/>
  <c r="F46" i="38"/>
  <c r="F89" i="38"/>
  <c r="F90" i="38" s="1"/>
  <c r="E102" i="38"/>
  <c r="E110" i="38"/>
  <c r="E13" i="38"/>
  <c r="E14" i="38" s="1"/>
  <c r="D102" i="38"/>
  <c r="D110" i="38"/>
  <c r="D13" i="38"/>
  <c r="D14" i="38" s="1"/>
  <c r="K46" i="38"/>
  <c r="K89" i="38"/>
  <c r="K90" i="38" s="1"/>
  <c r="H102" i="38"/>
  <c r="H13" i="38"/>
  <c r="H14" i="38" s="1"/>
  <c r="H110" i="38"/>
  <c r="B44" i="38"/>
  <c r="B45" i="38" s="1"/>
  <c r="B89" i="38" s="1"/>
  <c r="N43" i="38"/>
  <c r="B102" i="38"/>
  <c r="B110" i="38"/>
  <c r="B13" i="38"/>
  <c r="B14" i="38" s="1"/>
  <c r="D89" i="38"/>
  <c r="D90" i="38" s="1"/>
  <c r="D46" i="38"/>
  <c r="K102" i="38"/>
  <c r="K13" i="38"/>
  <c r="K14" i="38" s="1"/>
  <c r="K110" i="38"/>
  <c r="H46" i="38"/>
  <c r="H89" i="38"/>
  <c r="H90" i="38" s="1"/>
  <c r="N18" i="12"/>
  <c r="F18" i="12"/>
  <c r="E24" i="24"/>
  <c r="E25" i="24" s="1"/>
  <c r="G40" i="24"/>
  <c r="G23" i="24"/>
  <c r="G107" i="24" s="1"/>
  <c r="P339" i="14"/>
  <c r="Q152" i="13"/>
  <c r="L16" i="12"/>
  <c r="N17" i="12"/>
  <c r="B23" i="24"/>
  <c r="B107" i="24" s="1"/>
  <c r="C24" i="24"/>
  <c r="C25" i="24" s="1"/>
  <c r="K39" i="24"/>
  <c r="K344" i="14"/>
  <c r="H79" i="12"/>
  <c r="H84" i="12" s="1"/>
  <c r="H17" i="12" s="1"/>
  <c r="N349" i="14"/>
  <c r="N366" i="14"/>
  <c r="N352" i="14"/>
  <c r="B43" i="24"/>
  <c r="B44" i="24" s="1"/>
  <c r="D24" i="24"/>
  <c r="D25" i="24" s="1"/>
  <c r="D18" i="12"/>
  <c r="O343" i="14"/>
  <c r="O340" i="14"/>
  <c r="O375" i="14"/>
  <c r="O348" i="14"/>
  <c r="M353" i="14"/>
  <c r="N376" i="14"/>
  <c r="N379" i="14"/>
  <c r="M57" i="12"/>
  <c r="M58" i="12" s="1"/>
  <c r="M63" i="12" s="1"/>
  <c r="M47" i="12"/>
  <c r="M52" i="12" s="1"/>
  <c r="K379" i="14"/>
  <c r="K376" i="14"/>
  <c r="L344" i="14"/>
  <c r="I79" i="12"/>
  <c r="I84" i="12" s="1"/>
  <c r="I17" i="12" s="1"/>
  <c r="M19" i="12"/>
  <c r="M42" i="24" s="1"/>
  <c r="N42" i="24" s="1"/>
  <c r="O42" i="24" s="1"/>
  <c r="P362" i="14"/>
  <c r="M367" i="14"/>
  <c r="M370" i="14"/>
  <c r="M371" i="14" s="1"/>
  <c r="N344" i="14"/>
  <c r="K79" i="12"/>
  <c r="K84" i="12" s="1"/>
  <c r="K17" i="12" s="1"/>
  <c r="K366" i="14"/>
  <c r="K349" i="14"/>
  <c r="K352" i="14"/>
  <c r="L352" i="14"/>
  <c r="J20" i="12"/>
  <c r="J43" i="24" s="1"/>
  <c r="M380" i="14"/>
  <c r="G21" i="12"/>
  <c r="G37" i="12" s="1"/>
  <c r="G44" i="24" l="1"/>
  <c r="G45" i="24" s="1"/>
  <c r="D44" i="24"/>
  <c r="E90" i="24"/>
  <c r="E94" i="24"/>
  <c r="E46" i="24"/>
  <c r="T28" i="37"/>
  <c r="U5" i="37"/>
  <c r="O43" i="38"/>
  <c r="N44" i="38"/>
  <c r="B46" i="38"/>
  <c r="N45" i="38"/>
  <c r="B90" i="38"/>
  <c r="B24" i="24"/>
  <c r="B25" i="24" s="1"/>
  <c r="F21" i="12"/>
  <c r="F37" i="12" s="1"/>
  <c r="K367" i="14"/>
  <c r="K370" i="14"/>
  <c r="K371" i="14" s="1"/>
  <c r="G24" i="24"/>
  <c r="G25" i="24" s="1"/>
  <c r="O344" i="14"/>
  <c r="L79" i="12"/>
  <c r="L84" i="12" s="1"/>
  <c r="L17" i="12" s="1"/>
  <c r="L40" i="24" s="1"/>
  <c r="H20" i="12"/>
  <c r="H43" i="24" s="1"/>
  <c r="K380" i="14"/>
  <c r="N380" i="14"/>
  <c r="K20" i="12"/>
  <c r="K43" i="24" s="1"/>
  <c r="N353" i="14"/>
  <c r="L353" i="14"/>
  <c r="I18" i="12"/>
  <c r="I41" i="24" s="1"/>
  <c r="M16" i="12"/>
  <c r="J18" i="12"/>
  <c r="N370" i="14"/>
  <c r="N371" i="14" s="1"/>
  <c r="N367" i="14"/>
  <c r="J40" i="24"/>
  <c r="O349" i="14"/>
  <c r="O352" i="14"/>
  <c r="O366" i="14"/>
  <c r="K353" i="14"/>
  <c r="O379" i="14"/>
  <c r="O376" i="14"/>
  <c r="P340" i="14"/>
  <c r="P375" i="14"/>
  <c r="P343" i="14"/>
  <c r="P348" i="14"/>
  <c r="D45" i="24" l="1"/>
  <c r="D89" i="24" s="1"/>
  <c r="G46" i="24"/>
  <c r="G89" i="24"/>
  <c r="G90" i="24" s="1"/>
  <c r="U28" i="37"/>
  <c r="V28" i="37" s="1"/>
  <c r="V5" i="37"/>
  <c r="N46" i="38"/>
  <c r="N89" i="38"/>
  <c r="N90" i="38" s="1"/>
  <c r="H18" i="12"/>
  <c r="H41" i="24" s="1"/>
  <c r="B45" i="24"/>
  <c r="F41" i="24"/>
  <c r="F44" i="24" s="1"/>
  <c r="F23" i="24"/>
  <c r="F107" i="24" s="1"/>
  <c r="I21" i="12"/>
  <c r="I37" i="12" s="1"/>
  <c r="P379" i="14"/>
  <c r="P376" i="14"/>
  <c r="H21" i="12"/>
  <c r="H37" i="12" s="1"/>
  <c r="H40" i="24"/>
  <c r="H23" i="24"/>
  <c r="H107" i="24" s="1"/>
  <c r="O370" i="14"/>
  <c r="O371" i="14" s="1"/>
  <c r="O367" i="14"/>
  <c r="O353" i="14"/>
  <c r="J21" i="12"/>
  <c r="J37" i="12" s="1"/>
  <c r="L20" i="12"/>
  <c r="L43" i="24" s="1"/>
  <c r="O380" i="14"/>
  <c r="K40" i="24"/>
  <c r="P344" i="14"/>
  <c r="M79" i="12"/>
  <c r="M84" i="12" s="1"/>
  <c r="M17" i="12" s="1"/>
  <c r="M40" i="24" s="1"/>
  <c r="K18" i="12"/>
  <c r="I40" i="24"/>
  <c r="I44" i="24" s="1"/>
  <c r="I23" i="24"/>
  <c r="I107" i="24" s="1"/>
  <c r="P366" i="14"/>
  <c r="P352" i="14"/>
  <c r="P349" i="14"/>
  <c r="L39" i="24"/>
  <c r="D46" i="24" l="1"/>
  <c r="D94" i="24"/>
  <c r="D90" i="24"/>
  <c r="G94" i="24"/>
  <c r="H44" i="24"/>
  <c r="H45" i="24" s="1"/>
  <c r="H46" i="24" s="1"/>
  <c r="I45" i="24"/>
  <c r="I89" i="24" s="1"/>
  <c r="N40" i="24"/>
  <c r="O40" i="24" s="1"/>
  <c r="F45" i="24"/>
  <c r="F89" i="24" s="1"/>
  <c r="F24" i="24"/>
  <c r="F25" i="24" s="1"/>
  <c r="B46" i="24"/>
  <c r="B89" i="24"/>
  <c r="L18" i="12"/>
  <c r="P370" i="14"/>
  <c r="P371" i="14" s="1"/>
  <c r="P367" i="14"/>
  <c r="H24" i="24"/>
  <c r="H25" i="24" s="1"/>
  <c r="I24" i="24"/>
  <c r="I25" i="24" s="1"/>
  <c r="J41" i="24"/>
  <c r="J23" i="24"/>
  <c r="J107" i="24" s="1"/>
  <c r="K21" i="12"/>
  <c r="K37" i="12" s="1"/>
  <c r="M39" i="24"/>
  <c r="P353" i="14"/>
  <c r="M20" i="12"/>
  <c r="M43" i="24" s="1"/>
  <c r="N43" i="24" s="1"/>
  <c r="O43" i="24" s="1"/>
  <c r="P380" i="14"/>
  <c r="I46" i="24" l="1"/>
  <c r="J44" i="24"/>
  <c r="J45" i="24" s="1"/>
  <c r="N39" i="24"/>
  <c r="F90" i="24"/>
  <c r="F94" i="24"/>
  <c r="B90" i="24"/>
  <c r="B94" i="24"/>
  <c r="I90" i="24"/>
  <c r="I94" i="24"/>
  <c r="H89" i="24"/>
  <c r="F46" i="24"/>
  <c r="M18" i="12"/>
  <c r="M41" i="24" s="1"/>
  <c r="L21" i="12"/>
  <c r="L37" i="12" s="1"/>
  <c r="K41" i="24"/>
  <c r="K23" i="24"/>
  <c r="K107" i="24" s="1"/>
  <c r="J24" i="24"/>
  <c r="J25" i="24" s="1"/>
  <c r="M21" i="12"/>
  <c r="M37" i="12" s="1"/>
  <c r="M23" i="24"/>
  <c r="M107" i="24" s="1"/>
  <c r="L41" i="24"/>
  <c r="L23" i="24"/>
  <c r="L107" i="24" s="1"/>
  <c r="J89" i="24" l="1"/>
  <c r="J94" i="24" s="1"/>
  <c r="J46" i="24"/>
  <c r="K44" i="24"/>
  <c r="K45" i="24" s="1"/>
  <c r="M44" i="24"/>
  <c r="M45" i="24" s="1"/>
  <c r="L44" i="24"/>
  <c r="L45" i="24" s="1"/>
  <c r="O39" i="24"/>
  <c r="H90" i="24"/>
  <c r="H94" i="24"/>
  <c r="L24" i="24"/>
  <c r="L25" i="24" s="1"/>
  <c r="K24" i="24"/>
  <c r="K25" i="24" s="1"/>
  <c r="M24" i="24"/>
  <c r="M25" i="24" s="1"/>
  <c r="J90" i="24" l="1"/>
  <c r="L89" i="24"/>
  <c r="L90" i="24" s="1"/>
  <c r="L46" i="24"/>
  <c r="M89" i="24"/>
  <c r="M90" i="24" s="1"/>
  <c r="M46" i="24"/>
  <c r="K89" i="24"/>
  <c r="K90" i="24" s="1"/>
  <c r="K46" i="24"/>
  <c r="N24" i="24"/>
  <c r="N25" i="24" s="1"/>
  <c r="F69" i="14"/>
  <c r="Q69" i="14" s="1"/>
  <c r="C9" i="24" l="1"/>
  <c r="N9" i="24" s="1"/>
  <c r="N12" i="24" s="1"/>
  <c r="N107" i="24" s="1"/>
  <c r="F133" i="14"/>
  <c r="F135" i="14" s="1"/>
  <c r="Q135" i="14" s="1"/>
  <c r="K94" i="24"/>
  <c r="M94" i="24"/>
  <c r="L94" i="24"/>
  <c r="F137" i="14" l="1"/>
  <c r="N13" i="24"/>
  <c r="N14" i="24" s="1"/>
  <c r="Q133" i="14"/>
  <c r="R133" i="14" s="1"/>
  <c r="R134" i="14" s="1"/>
  <c r="S134" i="14" s="1"/>
  <c r="E6" i="16"/>
  <c r="P6" i="16" s="1"/>
  <c r="C41" i="24"/>
  <c r="C44" i="24" s="1"/>
  <c r="C45" i="24" s="1"/>
  <c r="F139" i="14"/>
  <c r="C12" i="24"/>
  <c r="C109" i="24" s="1"/>
  <c r="E101" i="16"/>
  <c r="P101" i="16" s="1"/>
  <c r="N41" i="24" l="1"/>
  <c r="N44" i="24" s="1"/>
  <c r="C13" i="24"/>
  <c r="C14" i="24" s="1"/>
  <c r="C107" i="24"/>
  <c r="C46" i="24"/>
  <c r="C89" i="24"/>
  <c r="N45" i="24"/>
  <c r="O41" i="24" l="1"/>
  <c r="N89" i="24"/>
  <c r="N90" i="24" s="1"/>
  <c r="N46" i="24"/>
  <c r="C90" i="24"/>
  <c r="C94" i="24"/>
  <c r="N94" i="24" s="1"/>
  <c r="P95"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tc={A70D6479-2899-410C-8B5C-6E10523EDB59}</author>
    <author>tc={0CA18BC5-25B3-4587-A801-0BD5216077D2}</author>
    <author>tc={21643B5C-7802-4EEA-B442-288CE1FA48EB}</author>
    <author>tc={E988747D-F2E9-4045-8499-B8AA3FEF5C19}</author>
    <author>tc={C1BE6A33-F1E1-49A3-8A51-1FA8D66FB7EA}</author>
    <author>tc={97653E2C-C2D2-41B7-BF84-0A8B9267B919}</author>
    <author>tc={A354D4C2-FE1C-4EF5-A47C-66DA4C8E1B5A}</author>
    <author>tc={AB579B96-9281-48DF-A8BC-A3C6F9D4AC33}</author>
    <author>tc={D731BECA-CF3B-42A8-9CB3-A92B8CA4EDC8}</author>
    <author>tc={C8E61C05-9917-47F9-9C12-34C8B1788DC6}</author>
    <author>tc={B763274B-67E8-4375-8785-9FEF1DB1CF46}</author>
    <author>tc={393F8A55-CA2E-4612-B568-0D445E818093}</author>
  </authors>
  <commentList>
    <comment ref="E43" authorId="0" shapeId="0" xr:uid="{A70D6479-2899-410C-8B5C-6E10523EDB59}">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F43" authorId="1" shapeId="0" xr:uid="{0CA18BC5-25B3-4587-A801-0BD5216077D2}">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G43" authorId="2" shapeId="0" xr:uid="{21643B5C-7802-4EEA-B442-288CE1FA48EB}">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H43" authorId="3" shapeId="0" xr:uid="{E988747D-F2E9-4045-8499-B8AA3FEF5C19}">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I43" authorId="4" shapeId="0" xr:uid="{C1BE6A33-F1E1-49A3-8A51-1FA8D66FB7EA}">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J43" authorId="5" shapeId="0" xr:uid="{97653E2C-C2D2-41B7-BF84-0A8B9267B919}">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K43" authorId="6" shapeId="0" xr:uid="{A354D4C2-FE1C-4EF5-A47C-66DA4C8E1B5A}">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L43" authorId="7" shapeId="0" xr:uid="{AB579B96-9281-48DF-A8BC-A3C6F9D4AC33}">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M43" authorId="8" shapeId="0" xr:uid="{D731BECA-CF3B-42A8-9CB3-A92B8CA4EDC8}">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N43" authorId="9" shapeId="0" xr:uid="{C8E61C05-9917-47F9-9C12-34C8B1788DC6}">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O43" authorId="10" shapeId="0" xr:uid="{B763274B-67E8-4375-8785-9FEF1DB1CF46}">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 ref="P43" authorId="11" shapeId="0" xr:uid="{393F8A55-CA2E-4612-B568-0D445E818093}">
      <text>
        <t>[Threaded comment]
Your version of Excel allows you to read this threaded comment; however, any edits to it will get removed if the file is opened in a newer version of Excel. Learn more: https://go.microsoft.com/fwlink/?linkid=870924
Comment:
    Actual requirement Is 11 but restricting to current headcount of 10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Vinay  Nulu</author>
  </authors>
  <commentList>
    <comment ref="E13" authorId="0" shapeId="0" xr:uid="{79F3F02A-9A66-48CB-A29E-D9D0007480B0}">
      <text>
        <r>
          <rPr>
            <b/>
            <sz val="9"/>
            <color indexed="81"/>
            <rFont val="Tahoma"/>
            <family val="2"/>
          </rPr>
          <t>Vinay  Nulu:</t>
        </r>
        <r>
          <rPr>
            <sz val="9"/>
            <color indexed="81"/>
            <rFont val="Tahoma"/>
            <family val="2"/>
          </rPr>
          <t xml:space="preserve">
28 reduced from YDI &amp;
10 reduced from the rampdown by Sathya sent on 29th Dec.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tc={107498C8-D895-4718-8894-97BAF2166463}</author>
  </authors>
  <commentList>
    <comment ref="K86" authorId="0" shapeId="0" xr:uid="{107498C8-D895-4718-8894-97BAF2166463}">
      <text>
        <t>[Threaded comment]
Your version of Excel allows you to read this threaded comment; however, any edits to it will get removed if the file is opened in a newer version of Excel. Learn more: https://go.microsoft.com/fwlink/?linkid=870924
Comment:
    From payroll sheet of Nov 2025 MIS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tc={10FF565D-FADC-490A-BC4C-511CA905B67E}</author>
  </authors>
  <commentList>
    <comment ref="J26" authorId="0" shapeId="0" xr:uid="{10FF565D-FADC-490A-BC4C-511CA905B67E}">
      <text>
        <t>[Threaded comment]
Your version of Excel allows you to read this threaded comment; however, any edits to it will get removed if the file is opened in a newer version of Excel. Learn more: https://go.microsoft.com/fwlink/?linkid=870924
Comment:
    Only Jan month it is 6% and once we move to AMD it will be at 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Vijaysarathy</author>
  </authors>
  <commentList>
    <comment ref="F24" authorId="0" shapeId="0" xr:uid="{90F450FC-5DAF-45D3-BA8A-BF46A4B6B71A}">
      <text>
        <r>
          <rPr>
            <b/>
            <sz val="9"/>
            <color indexed="81"/>
            <rFont val="Tahoma"/>
            <family val="2"/>
          </rPr>
          <t>Vijaysarathy:</t>
        </r>
        <r>
          <rPr>
            <sz val="9"/>
            <color indexed="81"/>
            <rFont val="Tahoma"/>
            <family val="2"/>
          </rPr>
          <t xml:space="preserve">
AR Follow-up = 40 Claims
AR Analysis = 64 Claims</t>
        </r>
      </text>
    </comment>
    <comment ref="F33" authorId="0" shapeId="0" xr:uid="{8D6A358E-5046-4693-BFD7-7AA23F855050}">
      <text>
        <r>
          <rPr>
            <b/>
            <sz val="9"/>
            <color indexed="81"/>
            <rFont val="Tahoma"/>
            <family val="2"/>
          </rPr>
          <t>Vijaysarathy:</t>
        </r>
        <r>
          <rPr>
            <sz val="9"/>
            <color indexed="81"/>
            <rFont val="Tahoma"/>
            <family val="2"/>
          </rPr>
          <t xml:space="preserve">
AR Follow-up = 40 Claims
AR Analysis = 64 Claims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tc={17C1FC49-5D1B-463A-8EB4-24F35D83DBFC}</author>
    <author>tc={D4573D17-09D1-4E90-8CBF-6AA8E39C9A26}</author>
    <author>Parameswaran N</author>
  </authors>
  <commentList>
    <comment ref="O14" authorId="0" shapeId="0" xr:uid="{00000000-0006-0000-0800-000001000000}">
      <text>
        <t xml:space="preserve">[Threaded comment]
Your version of Excel allows you to read this threaded comment; however, any edits to it will get removed if the file is opened in a newer version of Excel. Learn more: https://go.microsoft.com/fwlink/?linkid=870924
Comment:
    Planned for $10K, Based on Kasi's discussion with Prakash, no India travel cost </t>
      </text>
    </comment>
    <comment ref="A19" authorId="1" shapeId="0" xr:uid="{00000000-0006-0000-0800-000002000000}">
      <text>
        <t xml:space="preserve">[Threaded comment]
Your version of Excel allows you to read this threaded comment; however, any edits to it will get removed if the file is opened in a newer version of Excel. Learn more: https://go.microsoft.com/fwlink/?linkid=870924
Comment:
    Check in US exp before incorp.
</t>
      </text>
    </comment>
    <comment ref="D27" authorId="2" shapeId="0" xr:uid="{00000000-0006-0000-0800-000003000000}">
      <text>
        <r>
          <rPr>
            <b/>
            <sz val="9"/>
            <color rgb="FF000000"/>
            <rFont val="Tahoma"/>
            <family val="2"/>
          </rPr>
          <t>Parameswaran N:</t>
        </r>
        <r>
          <rPr>
            <sz val="9"/>
            <color rgb="FF000000"/>
            <rFont val="Tahoma"/>
            <family val="2"/>
          </rPr>
          <t xml:space="preserve">
</t>
        </r>
        <r>
          <rPr>
            <sz val="9"/>
            <color rgb="FF000000"/>
            <rFont val="Tahoma"/>
            <family val="2"/>
          </rPr>
          <t>Figured out a solution with current application, hence removed</t>
        </r>
      </text>
    </comment>
    <comment ref="O29" authorId="2" shapeId="0" xr:uid="{00000000-0006-0000-0800-000004000000}">
      <text>
        <r>
          <rPr>
            <b/>
            <sz val="9"/>
            <color indexed="81"/>
            <rFont val="Tahoma"/>
            <family val="2"/>
          </rPr>
          <t>Parameswaran N:</t>
        </r>
        <r>
          <rPr>
            <sz val="9"/>
            <color indexed="81"/>
            <rFont val="Tahoma"/>
            <family val="2"/>
          </rPr>
          <t xml:space="preserve">
Removed as of 18th Jan 2024</t>
        </r>
      </text>
    </comment>
    <comment ref="O31" authorId="2" shapeId="0" xr:uid="{00000000-0006-0000-0800-000005000000}">
      <text>
        <r>
          <rPr>
            <b/>
            <sz val="9"/>
            <color indexed="81"/>
            <rFont val="Tahoma"/>
            <family val="2"/>
          </rPr>
          <t>Parameswaran N:</t>
        </r>
        <r>
          <rPr>
            <sz val="9"/>
            <color indexed="81"/>
            <rFont val="Tahoma"/>
            <family val="2"/>
          </rPr>
          <t xml:space="preserve">
Removed as of 18th Jan 2024</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tc={CF531440-5669-4D1F-AE48-560242B17284}</author>
  </authors>
  <commentList>
    <comment ref="I45" authorId="0" shapeId="0" xr:uid="{CF531440-5669-4D1F-AE48-560242B17284}">
      <text>
        <t>[Threaded comment]
Your version of Excel allows you to read this threaded comment; however, any edits to it will get removed if the file is opened in a newer version of Excel. Learn more: https://go.microsoft.com/fwlink/?linkid=870924
Comment:
    Working only on 1 location (Jackson South)</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<sst xmlns="http://schemas.openxmlformats.org/spreadsheetml/2006/main" count="6825" uniqueCount="1696">
  <si>
    <t>Total Days</t>
  </si>
  <si>
    <t>Holidays</t>
  </si>
  <si>
    <t>Working Days</t>
  </si>
  <si>
    <t>Project</t>
  </si>
  <si>
    <t>Active/Inactive</t>
  </si>
  <si>
    <t>Scope</t>
  </si>
  <si>
    <t>EHR system</t>
  </si>
  <si>
    <t>Norms</t>
  </si>
  <si>
    <t>Billing Type</t>
  </si>
  <si>
    <t>Pricing</t>
  </si>
  <si>
    <t>Daily volume</t>
  </si>
  <si>
    <t>Jan</t>
  </si>
  <si>
    <t>Feb</t>
  </si>
  <si>
    <t>Mar</t>
  </si>
  <si>
    <t>Apr</t>
  </si>
  <si>
    <t>May</t>
  </si>
  <si>
    <t>Jun</t>
  </si>
  <si>
    <t>Jul</t>
  </si>
  <si>
    <t>Aug</t>
  </si>
  <si>
    <t>Sep</t>
  </si>
  <si>
    <t>Oct</t>
  </si>
  <si>
    <t>Nov</t>
  </si>
  <si>
    <t>Dec</t>
  </si>
  <si>
    <t>D'Souza</t>
  </si>
  <si>
    <t>Active</t>
  </si>
  <si>
    <t>Demographics  - Established patient</t>
  </si>
  <si>
    <t>Intergy</t>
  </si>
  <si>
    <t>Transcation</t>
  </si>
  <si>
    <t>Demographics  - New Patient</t>
  </si>
  <si>
    <t>Insurance Update - Established Patient</t>
  </si>
  <si>
    <t>Insurance Update - New Patient</t>
  </si>
  <si>
    <t>Charge entry</t>
  </si>
  <si>
    <t>Payment posting - Manual</t>
  </si>
  <si>
    <t>Payment posting ERA</t>
  </si>
  <si>
    <t>Medicare Calling</t>
  </si>
  <si>
    <t>AR Non - Calling</t>
  </si>
  <si>
    <t>AR Calling</t>
  </si>
  <si>
    <t>Biotek</t>
  </si>
  <si>
    <t>In-Active</t>
  </si>
  <si>
    <t>AR</t>
  </si>
  <si>
    <t>CPR +</t>
  </si>
  <si>
    <t>Collection</t>
  </si>
  <si>
    <t>Eligibility Verification</t>
  </si>
  <si>
    <t>FTE</t>
  </si>
  <si>
    <t>Payment Posting</t>
  </si>
  <si>
    <t>UGBZ</t>
  </si>
  <si>
    <t>Next Gen</t>
  </si>
  <si>
    <t>Auth</t>
  </si>
  <si>
    <t>Payment posting Manual</t>
  </si>
  <si>
    <t>Eligibility Benefits and Auth verification</t>
  </si>
  <si>
    <t xml:space="preserve">HCA </t>
  </si>
  <si>
    <t>Adjustment</t>
  </si>
  <si>
    <t>Primesuite</t>
  </si>
  <si>
    <t>AR Follow up</t>
  </si>
  <si>
    <t>BMMSA</t>
  </si>
  <si>
    <t>Nova GI</t>
  </si>
  <si>
    <t>Gastro Med</t>
  </si>
  <si>
    <t>Price change from 3% to 2.5% effective from. July 2023</t>
  </si>
  <si>
    <t>AR calling</t>
  </si>
  <si>
    <t>Patient Collection</t>
  </si>
  <si>
    <t>CMS</t>
  </si>
  <si>
    <t>Intergy / Advanced MD / eCw</t>
  </si>
  <si>
    <t>Transaction</t>
  </si>
  <si>
    <t>Demographics</t>
  </si>
  <si>
    <t xml:space="preserve">Open dental </t>
  </si>
  <si>
    <t>Payment posting</t>
  </si>
  <si>
    <t>Open Dental</t>
  </si>
  <si>
    <t>DDR</t>
  </si>
  <si>
    <t>Encore</t>
  </si>
  <si>
    <t>Raintree</t>
  </si>
  <si>
    <t>Price change from 4% to 6.5% effective from. October 2023</t>
  </si>
  <si>
    <t xml:space="preserve">EV </t>
  </si>
  <si>
    <t>Credentialling</t>
  </si>
  <si>
    <t>CredSimplify</t>
  </si>
  <si>
    <t>Eligibility &amp; Benefit Verification</t>
  </si>
  <si>
    <t>Hillmed</t>
  </si>
  <si>
    <t>MISS &amp; Dr. Tay</t>
  </si>
  <si>
    <t xml:space="preserve">ARMG </t>
  </si>
  <si>
    <t>eCw</t>
  </si>
  <si>
    <t>IVF Collection 0.43%</t>
  </si>
  <si>
    <t>Non-IVF Collection 2.55%</t>
  </si>
  <si>
    <t>Patient Collection 0.64%</t>
  </si>
  <si>
    <t>Print HCFA</t>
  </si>
  <si>
    <t>Patient statement</t>
  </si>
  <si>
    <t>AR Non calling</t>
  </si>
  <si>
    <t>Billpro</t>
  </si>
  <si>
    <t>Demo Verify</t>
  </si>
  <si>
    <t>Demo Entry</t>
  </si>
  <si>
    <t>Charges</t>
  </si>
  <si>
    <t xml:space="preserve">Von Marie </t>
  </si>
  <si>
    <t>SSP</t>
  </si>
  <si>
    <t>Comprehensive Sleep Care Center</t>
  </si>
  <si>
    <t>Dr Scott</t>
  </si>
  <si>
    <t>End to End</t>
  </si>
  <si>
    <t>Sasan PTSMC</t>
  </si>
  <si>
    <t>Visco Supplements</t>
  </si>
  <si>
    <t>HIS Special Project</t>
  </si>
  <si>
    <t>Payment Posing one time</t>
  </si>
  <si>
    <t xml:space="preserve">HIS OSIS </t>
  </si>
  <si>
    <t>Old AR Follow-up</t>
  </si>
  <si>
    <t>RCS7 IOSSM</t>
  </si>
  <si>
    <t>AR Follow-up</t>
  </si>
  <si>
    <t>IQMS</t>
  </si>
  <si>
    <t>Dr Debbas</t>
  </si>
  <si>
    <t>Falcon Er Urgent Care</t>
  </si>
  <si>
    <t>Credentialing</t>
  </si>
  <si>
    <t>Per Application</t>
  </si>
  <si>
    <t>Primepulmonarysleep
Dr Bansal</t>
  </si>
  <si>
    <t>Dr Henry</t>
  </si>
  <si>
    <t>Aloha Vein</t>
  </si>
  <si>
    <t>eCare</t>
  </si>
  <si>
    <t>Patient Payment</t>
  </si>
  <si>
    <t>Insurance Payment</t>
  </si>
  <si>
    <t>Patient Statement</t>
  </si>
  <si>
    <t>Collection Patients e-Message</t>
  </si>
  <si>
    <t xml:space="preserve">AR </t>
  </si>
  <si>
    <t>2024 Expected Volume</t>
  </si>
  <si>
    <t>Base</t>
  </si>
  <si>
    <t>Deployment</t>
  </si>
  <si>
    <t>Date Entry</t>
  </si>
  <si>
    <t>Absenteeism</t>
  </si>
  <si>
    <t>Coding</t>
  </si>
  <si>
    <t>Base FTEs</t>
  </si>
  <si>
    <t>Attrition</t>
  </si>
  <si>
    <t>Revenue in $</t>
  </si>
  <si>
    <t>Manpower Type</t>
  </si>
  <si>
    <t>Client Name</t>
  </si>
  <si>
    <t>Type of Manpower</t>
  </si>
  <si>
    <t>Required Headcount</t>
  </si>
  <si>
    <t>Base Revenue</t>
  </si>
  <si>
    <t>Price per FTE</t>
  </si>
  <si>
    <t>Base FTE</t>
  </si>
  <si>
    <t>New Revenue</t>
  </si>
  <si>
    <t>Total Base FTE</t>
  </si>
  <si>
    <t>DE</t>
  </si>
  <si>
    <t>Utilisation</t>
  </si>
  <si>
    <t>Current HC</t>
  </si>
  <si>
    <t>Deployed FTEs</t>
  </si>
  <si>
    <t>TL</t>
  </si>
  <si>
    <t>AM</t>
  </si>
  <si>
    <t>Manager</t>
  </si>
  <si>
    <t>QA</t>
  </si>
  <si>
    <t>Training</t>
  </si>
  <si>
    <t>Total Headcount - Operations</t>
  </si>
  <si>
    <t>Operational Expenses</t>
  </si>
  <si>
    <t>Salaries-Operations &amp; Support</t>
  </si>
  <si>
    <t>Facilities</t>
  </si>
  <si>
    <t>Telcom/Data &amp; others</t>
  </si>
  <si>
    <t>Transportation charges</t>
  </si>
  <si>
    <t>Total Operational expenses</t>
  </si>
  <si>
    <t>Gross Profit</t>
  </si>
  <si>
    <t xml:space="preserve">Gen &amp; Admin. Expenses </t>
  </si>
  <si>
    <t>Salaries-Management &amp; Others</t>
  </si>
  <si>
    <t>Sales &amp; Marketing expenses</t>
  </si>
  <si>
    <t>License/Subscription/Certification Charges</t>
  </si>
  <si>
    <t>Legal &amp; Professional fee</t>
  </si>
  <si>
    <t>Others G&amp;A</t>
  </si>
  <si>
    <t>Total G&amp;A Expenses</t>
  </si>
  <si>
    <t>EBIDTA</t>
  </si>
  <si>
    <t>Less: Interest Expenses</t>
  </si>
  <si>
    <t>EBDTA</t>
  </si>
  <si>
    <t>Less: Depreciation Expenses</t>
  </si>
  <si>
    <t>EBT</t>
  </si>
  <si>
    <t>Less: Tax Expenses</t>
  </si>
  <si>
    <t>EAT</t>
  </si>
  <si>
    <t>Electricity Expense</t>
  </si>
  <si>
    <t>Laptop Rental Charges</t>
  </si>
  <si>
    <t>Janani Property Maintenance Charges</t>
  </si>
  <si>
    <t>Janani Property Rental Charges</t>
  </si>
  <si>
    <t xml:space="preserve">Total </t>
  </si>
  <si>
    <t>Telecom Charges</t>
  </si>
  <si>
    <t>Telephone Charges</t>
  </si>
  <si>
    <t>Future Calls</t>
  </si>
  <si>
    <t>Telephone Rental Charges</t>
  </si>
  <si>
    <t>Total</t>
  </si>
  <si>
    <t>Travel Expenses</t>
  </si>
  <si>
    <t>Staff Transportation charges</t>
  </si>
  <si>
    <t>Selling Expenses</t>
  </si>
  <si>
    <t>Sales &amp; Marketing</t>
  </si>
  <si>
    <t>Travelling Exp</t>
  </si>
  <si>
    <t>Advertisements</t>
  </si>
  <si>
    <t>Business Promotion Expense</t>
  </si>
  <si>
    <t>Advertising and sales promotion</t>
  </si>
  <si>
    <t>Employee benefit expenses</t>
  </si>
  <si>
    <t>Salary</t>
  </si>
  <si>
    <t>Operation Salary</t>
  </si>
  <si>
    <t>Food Coupon-Happay Wallet</t>
  </si>
  <si>
    <t>Trainee Salary</t>
  </si>
  <si>
    <t>Managers Salary</t>
  </si>
  <si>
    <t>Managers EPF</t>
  </si>
  <si>
    <t>EPF</t>
  </si>
  <si>
    <t>ESI</t>
  </si>
  <si>
    <t>Prakash Salary</t>
  </si>
  <si>
    <t>Salary to Deepa</t>
  </si>
  <si>
    <t>Salary to Kasi</t>
  </si>
  <si>
    <t>Salaries-Others</t>
  </si>
  <si>
    <t>Contract Employee Salaries</t>
  </si>
  <si>
    <t>Privilege Salary</t>
  </si>
  <si>
    <t>Direct Salary Cost</t>
  </si>
  <si>
    <t>Bonus to Kasiraman K</t>
  </si>
  <si>
    <t>Bonus to Prakash S J</t>
  </si>
  <si>
    <t>EPF Admin Charges</t>
  </si>
  <si>
    <t>MGMT EPF</t>
  </si>
  <si>
    <t>Audit and other profl. chs</t>
  </si>
  <si>
    <t>FPO Charges-SMCS GLOBAL</t>
  </si>
  <si>
    <t>FPO Charges - SRF</t>
  </si>
  <si>
    <t>Legal Charges</t>
  </si>
  <si>
    <t>Consulting Charges-Others</t>
  </si>
  <si>
    <t>Membership Fee</t>
  </si>
  <si>
    <t>Maintenance Charges</t>
  </si>
  <si>
    <t>Office Expense</t>
  </si>
  <si>
    <t>Petty Office Expenses</t>
  </si>
  <si>
    <t>Leadership Engagement</t>
  </si>
  <si>
    <t>Office supplies</t>
  </si>
  <si>
    <t>Staff Welfare Expenses</t>
  </si>
  <si>
    <t>Housekeeping Charges</t>
  </si>
  <si>
    <t>Round-Off</t>
  </si>
  <si>
    <t>Interest on TDS</t>
  </si>
  <si>
    <t>Interior Decoration Expenses</t>
  </si>
  <si>
    <t>Kasiraman- Reimbursement</t>
  </si>
  <si>
    <t>Oasiss Salary</t>
  </si>
  <si>
    <t>Software development and Hosting charges</t>
  </si>
  <si>
    <t>Prakash-Reimbursements</t>
  </si>
  <si>
    <t>Employee Engagement</t>
  </si>
  <si>
    <t>General Insurance</t>
  </si>
  <si>
    <t>Gift Cards to Employees</t>
  </si>
  <si>
    <t>Rewards and Recognition</t>
  </si>
  <si>
    <t>Employee Welfare</t>
  </si>
  <si>
    <t>Client Engagement</t>
  </si>
  <si>
    <t>Delivery charges</t>
  </si>
  <si>
    <t>Visa Processing Charges</t>
  </si>
  <si>
    <t>Recruitment Expenses</t>
  </si>
  <si>
    <t>Food Expenses</t>
  </si>
  <si>
    <t>Donation</t>
  </si>
  <si>
    <t>Exchange Gain/loss</t>
  </si>
  <si>
    <t>IT &amp; Internet charges</t>
  </si>
  <si>
    <t>Software development &amp; Hosting charges</t>
  </si>
  <si>
    <t>Travel Insurance</t>
  </si>
  <si>
    <t>Finance expenses</t>
  </si>
  <si>
    <t>Interest Expenses- Non operating</t>
  </si>
  <si>
    <t>Credit Card Bill</t>
  </si>
  <si>
    <t>Citi Bank Card Expenses</t>
  </si>
  <si>
    <t>Bank Charges</t>
  </si>
  <si>
    <t>Credit Card Charges</t>
  </si>
  <si>
    <t>Amex Card</t>
  </si>
  <si>
    <t>Interest Expense - Anita Mohan</t>
  </si>
  <si>
    <t>Depreciation</t>
  </si>
  <si>
    <t>BSI Audit fees</t>
  </si>
  <si>
    <t>SOC 2 Type 2 Certification Cost</t>
  </si>
  <si>
    <t xml:space="preserve">Certification courses for leaders </t>
  </si>
  <si>
    <t>Great place to work</t>
  </si>
  <si>
    <t>BSI Group</t>
  </si>
  <si>
    <t>Adobe</t>
  </si>
  <si>
    <t>Godaddy</t>
  </si>
  <si>
    <t>Linkedin</t>
  </si>
  <si>
    <t>Canva</t>
  </si>
  <si>
    <t>Coral E-Secure</t>
  </si>
  <si>
    <t>Amazon</t>
  </si>
  <si>
    <t>Dropbox</t>
  </si>
  <si>
    <t>Esoftsol Infocom Private Limited</t>
  </si>
  <si>
    <t>E2E Networks Limited</t>
  </si>
  <si>
    <t>Stellair</t>
  </si>
  <si>
    <t>Udemy</t>
  </si>
  <si>
    <t>Credit Card bill</t>
  </si>
  <si>
    <t>Cash</t>
  </si>
  <si>
    <t>Imagnum India Private Limited</t>
  </si>
  <si>
    <t>Revenue Buildup</t>
  </si>
  <si>
    <t>Revenue Summary - 2026 (Budgeted)</t>
  </si>
  <si>
    <t>Particulars</t>
  </si>
  <si>
    <t>Base Revenue + New confirmed</t>
  </si>
  <si>
    <t>Additional FTE</t>
  </si>
  <si>
    <t>Total Revenue</t>
  </si>
  <si>
    <t>Deployed FTEs for Total Revenue</t>
  </si>
  <si>
    <t>Deployed FTEs @ 85% Utilization</t>
  </si>
  <si>
    <t>Current Deployed FTEs</t>
  </si>
  <si>
    <t>Rev/FTE</t>
  </si>
  <si>
    <t>Rev/FTE @ 85% Utilization</t>
  </si>
  <si>
    <t>Rev/FTE @ Current headcount</t>
  </si>
  <si>
    <t>% growth</t>
  </si>
  <si>
    <t>Actual Scenario for CY 2025 for comparison</t>
  </si>
  <si>
    <t>Directs</t>
  </si>
  <si>
    <t>FTE generated</t>
  </si>
  <si>
    <t>Actual Utilisation</t>
  </si>
  <si>
    <t>Rev/ FTE (Operational HC)</t>
  </si>
  <si>
    <t>Price/ FTE (based on budgeted utilisation for FTE generated)</t>
  </si>
  <si>
    <t>Cost/FTE</t>
  </si>
  <si>
    <t>Data Input</t>
  </si>
  <si>
    <t>Headcount Buildup</t>
  </si>
  <si>
    <t>Partiuclars</t>
  </si>
  <si>
    <t>Salaries</t>
  </si>
  <si>
    <t>Deployed as per Revenue Plan</t>
  </si>
  <si>
    <t>Existing Headcount</t>
  </si>
  <si>
    <t>Available AR</t>
  </si>
  <si>
    <t>New Headcount to be Hired</t>
  </si>
  <si>
    <t>3.a</t>
  </si>
  <si>
    <t>AR Required</t>
  </si>
  <si>
    <t>3.b</t>
  </si>
  <si>
    <t>DE Required</t>
  </si>
  <si>
    <t>3.a.1</t>
  </si>
  <si>
    <t>%ge</t>
  </si>
  <si>
    <t>Experience</t>
  </si>
  <si>
    <t>Fresher</t>
  </si>
  <si>
    <t>Adjusted the AR people here</t>
  </si>
  <si>
    <t>3.a.2</t>
  </si>
  <si>
    <t>3.a.3</t>
  </si>
  <si>
    <t>Coder</t>
  </si>
  <si>
    <t>Headcount</t>
  </si>
  <si>
    <t>Existing</t>
  </si>
  <si>
    <t>Additons</t>
  </si>
  <si>
    <t>Cost</t>
  </si>
  <si>
    <t>6 month training</t>
  </si>
  <si>
    <t>Indirect</t>
  </si>
  <si>
    <t>Required as per the plan</t>
  </si>
  <si>
    <t>Month</t>
  </si>
  <si>
    <t>Ops Support</t>
  </si>
  <si>
    <t>Span</t>
  </si>
  <si>
    <t>a</t>
  </si>
  <si>
    <t>AM &amp; MT</t>
  </si>
  <si>
    <t>b</t>
  </si>
  <si>
    <t>DM</t>
  </si>
  <si>
    <t>c</t>
  </si>
  <si>
    <t>d</t>
  </si>
  <si>
    <t>SM</t>
  </si>
  <si>
    <t>Fixed</t>
  </si>
  <si>
    <t>e</t>
  </si>
  <si>
    <t>GM</t>
  </si>
  <si>
    <t>f</t>
  </si>
  <si>
    <t>SD</t>
  </si>
  <si>
    <t>g</t>
  </si>
  <si>
    <t>h</t>
  </si>
  <si>
    <t>i</t>
  </si>
  <si>
    <t>SWAT (Business Excellence)</t>
  </si>
  <si>
    <t>j</t>
  </si>
  <si>
    <t>MIS</t>
  </si>
  <si>
    <t>k</t>
  </si>
  <si>
    <t>Development(Internal Tech)</t>
  </si>
  <si>
    <t>l</t>
  </si>
  <si>
    <t>R&amp;D Team</t>
  </si>
  <si>
    <t>Actual as of Dec 2025</t>
  </si>
  <si>
    <t>AGM</t>
  </si>
  <si>
    <t>Total Ops Support &amp; Management</t>
  </si>
  <si>
    <t>Excess Headcount</t>
  </si>
  <si>
    <t>Dvelopment(Internal Tech)</t>
  </si>
  <si>
    <t>Count</t>
  </si>
  <si>
    <t>Current</t>
  </si>
  <si>
    <t>excess Headcount</t>
  </si>
  <si>
    <t>SG&amp;A Headcount</t>
  </si>
  <si>
    <t>Sales</t>
  </si>
  <si>
    <t>S&amp;M</t>
  </si>
  <si>
    <t>S&amp;M - Leadership</t>
  </si>
  <si>
    <t>Business development</t>
  </si>
  <si>
    <t>Lead Gen</t>
  </si>
  <si>
    <t>G&amp;A</t>
  </si>
  <si>
    <t>HR &amp; Admin</t>
  </si>
  <si>
    <t>HR Manager</t>
  </si>
  <si>
    <t>IT Support</t>
  </si>
  <si>
    <t>Finance &amp; Legal</t>
  </si>
  <si>
    <t>SMCS Global</t>
  </si>
  <si>
    <t>Prashanth BM-Ekam Legal</t>
  </si>
  <si>
    <t>SRF</t>
  </si>
  <si>
    <t>Additions</t>
  </si>
  <si>
    <t>Lead Gen - Manager</t>
  </si>
  <si>
    <t>To be Hired</t>
  </si>
  <si>
    <t>3.c</t>
  </si>
  <si>
    <t>Coding Required</t>
  </si>
  <si>
    <t>Till June, the hiring of experience will  be only done, and later on the 50:50 ratio of exp and fresher ratio</t>
  </si>
  <si>
    <t>Billing</t>
  </si>
  <si>
    <t>Coders</t>
  </si>
  <si>
    <t>AM &amp; MT (AR)</t>
  </si>
  <si>
    <t>requirement to be arrived considering the span and also lining thaat to the line of department (say AR&lt; DE, coding etc)</t>
  </si>
  <si>
    <t>AM &amp; MT (Coding)</t>
  </si>
  <si>
    <t>AM &amp; MT (Billing)</t>
  </si>
  <si>
    <t>QA (AR)</t>
  </si>
  <si>
    <t>QA (Billing)</t>
  </si>
  <si>
    <t>QA (Coding)</t>
  </si>
  <si>
    <t>Training (Billing &amp; AR)</t>
  </si>
  <si>
    <t>Training (Coding)</t>
  </si>
  <si>
    <t>remove Jan and Feb costing</t>
  </si>
  <si>
    <t>Actual as of Nov 2024</t>
  </si>
  <si>
    <t>Seats</t>
  </si>
  <si>
    <t>Existing Seats</t>
  </si>
  <si>
    <t>Required Seats</t>
  </si>
  <si>
    <t>Shortfall</t>
  </si>
  <si>
    <t>Dayshift</t>
  </si>
  <si>
    <t>WFH</t>
  </si>
  <si>
    <t>Night Shift</t>
  </si>
  <si>
    <t xml:space="preserve">90% of AR </t>
  </si>
  <si>
    <t>Transport is being provided only for women in night shift and currently 50% of night shift is women</t>
  </si>
  <si>
    <t>Women employee count-Current</t>
  </si>
  <si>
    <t>Women employee count-New</t>
  </si>
  <si>
    <t>Imagnum Health</t>
  </si>
  <si>
    <t>Consolidated Income Statement</t>
  </si>
  <si>
    <t>USD/INR</t>
  </si>
  <si>
    <t>2024  Actuals</t>
  </si>
  <si>
    <t>%</t>
  </si>
  <si>
    <t>2024 Budget</t>
  </si>
  <si>
    <t>Bud Variance</t>
  </si>
  <si>
    <t>Actual Variance</t>
  </si>
  <si>
    <t>Revenue</t>
  </si>
  <si>
    <t>Transport</t>
  </si>
  <si>
    <t>Other Cogs</t>
  </si>
  <si>
    <t>Total Cogs</t>
  </si>
  <si>
    <t>GM%</t>
  </si>
  <si>
    <t>Incremental P&amp;L</t>
  </si>
  <si>
    <t>Includes mBMS insurance as well</t>
  </si>
  <si>
    <t>US</t>
  </si>
  <si>
    <t>Telecom</t>
  </si>
  <si>
    <t>Headcount buildup comparison by dept level</t>
  </si>
  <si>
    <t>SG&amp;A</t>
  </si>
  <si>
    <t>India</t>
  </si>
  <si>
    <t>Overall S&amp;M expenses</t>
  </si>
  <si>
    <t>Selling &amp; Marketing</t>
  </si>
  <si>
    <t>G&amp;A Expenses</t>
  </si>
  <si>
    <t>Management Salaries</t>
  </si>
  <si>
    <t>Legal &amp; Professional Expenses</t>
  </si>
  <si>
    <t>Legal and Professional Fees</t>
  </si>
  <si>
    <t>Other G&amp;A Expenses</t>
  </si>
  <si>
    <t>Overall G&amp;A expenses</t>
  </si>
  <si>
    <t>Legal &amp; Professinal Expenses</t>
  </si>
  <si>
    <t>Total G&amp;A</t>
  </si>
  <si>
    <t>Overall SG&amp;A</t>
  </si>
  <si>
    <t>Ebidta</t>
  </si>
  <si>
    <t>Ebidta %</t>
  </si>
  <si>
    <t>Rev/ FTE</t>
  </si>
  <si>
    <t>Revenue/Operational Directs</t>
  </si>
  <si>
    <t>Cost/ FTE</t>
  </si>
  <si>
    <t>Indian costs/Operational Directs</t>
  </si>
  <si>
    <t>Break it into clients</t>
  </si>
  <si>
    <t>Average of facility costs for CY 2024, $75 per month will be the amount</t>
  </si>
  <si>
    <t>Average of telecom costs for CY 2024, we pay to $300 change it</t>
  </si>
  <si>
    <t>MangoBD, advanced MD, Obo healh</t>
  </si>
  <si>
    <t>made changes</t>
  </si>
  <si>
    <t>incorporate based on Rajesh and Thomas numbers</t>
  </si>
  <si>
    <t>Last Year Actuals</t>
  </si>
  <si>
    <t>$ 100k is for advanced MD</t>
  </si>
  <si>
    <t>Overall</t>
  </si>
  <si>
    <t xml:space="preserve"> </t>
  </si>
  <si>
    <t>Insurance</t>
  </si>
  <si>
    <t>Show incremental GM and existing business GM seperately</t>
  </si>
  <si>
    <t>Expenses in INR</t>
  </si>
  <si>
    <t xml:space="preserve"> Costs </t>
  </si>
  <si>
    <t>Salaries - Increment</t>
  </si>
  <si>
    <t>Total COGS</t>
  </si>
  <si>
    <t>Need to understand how we arrived at the 8 headcount</t>
  </si>
  <si>
    <t>Digital Marketing</t>
  </si>
  <si>
    <t>this includes digial marketing current expenses, proposes 2 people and from May 6 tech people inhouse at 50K salary per person</t>
  </si>
  <si>
    <t>Updated the numbers here as well</t>
  </si>
  <si>
    <t>Breakup of Expenses</t>
  </si>
  <si>
    <t>Jan-24</t>
  </si>
  <si>
    <t>Feb-24</t>
  </si>
  <si>
    <t>Mar-24</t>
  </si>
  <si>
    <t>Apr-24</t>
  </si>
  <si>
    <t>May-24</t>
  </si>
  <si>
    <t>Jun-24</t>
  </si>
  <si>
    <t>Jul-24</t>
  </si>
  <si>
    <t>Aug-24</t>
  </si>
  <si>
    <t>Sep-24</t>
  </si>
  <si>
    <t>Oct-24</t>
  </si>
  <si>
    <t>Nov-24</t>
  </si>
  <si>
    <t>Dec-24</t>
  </si>
  <si>
    <t>New</t>
  </si>
  <si>
    <t>Emp - Statutory Liablity</t>
  </si>
  <si>
    <t>Current Expenses</t>
  </si>
  <si>
    <t>Facility Cost</t>
  </si>
  <si>
    <t>Electricity Expense - Chennai</t>
  </si>
  <si>
    <t>Electricity Expense - Tiruttani</t>
  </si>
  <si>
    <t>Tiruttani</t>
  </si>
  <si>
    <t>Truecare Security</t>
  </si>
  <si>
    <t>New Facility Cost (Taken at 1.5x of current cost, considering we are moving to a tier 2 city)</t>
  </si>
  <si>
    <t>New Facility Cost</t>
  </si>
  <si>
    <t>New Facility Rent</t>
  </si>
  <si>
    <t>New Facility Electricity expenses</t>
  </si>
  <si>
    <t>This is stemming from the previous files of 2024, when the house keeping is on leave we use houskeeping people ad-hoc and could be those charges.</t>
  </si>
  <si>
    <t>Prakash - This is the cost that we have earmarked for any internal travel, conferences, or taking people out , This is just a placeholder. If this funds are not utilized then we need to track and do something usefully.</t>
  </si>
  <si>
    <t>Conferences</t>
  </si>
  <si>
    <t>All sttationaries that we buy, this is the cost we incurr approximately</t>
  </si>
  <si>
    <t>increased additional 60K from Jan 2025 onwards</t>
  </si>
  <si>
    <t>Moved this cost under Operational Salary</t>
  </si>
  <si>
    <t>This is the EPF cost related to the Management salaries only, employee salary related EPF already in the salary section on the top</t>
  </si>
  <si>
    <t>Vijay's wife kalpana cost has been included to Vijay salary to this is removed from ger for 36.450</t>
  </si>
  <si>
    <t xml:space="preserve">Selling expenses </t>
  </si>
  <si>
    <t>Advertisement &amp; Marketing (Digital Mktg)</t>
  </si>
  <si>
    <t>This sheet is updated as the source links has been updated with the correct numbrs</t>
  </si>
  <si>
    <t>New Tools and Accesses - Needed</t>
  </si>
  <si>
    <t>This sheet is updated as the source klinks has been updated with the correct numbrs</t>
  </si>
  <si>
    <t xml:space="preserve">Finance cost </t>
  </si>
  <si>
    <t xml:space="preserve">Bank charges </t>
  </si>
  <si>
    <t>Not sure what is this so deleted the 5K per month</t>
  </si>
  <si>
    <t>Amex Card charges</t>
  </si>
  <si>
    <t>Operational Cost</t>
  </si>
  <si>
    <t>Price</t>
  </si>
  <si>
    <t>India Cost</t>
  </si>
  <si>
    <t>Contractors</t>
  </si>
  <si>
    <t>Lynx Realty</t>
  </si>
  <si>
    <t>Telecom Data &amp; Others</t>
  </si>
  <si>
    <t>Dues and Subscriptions</t>
  </si>
  <si>
    <t>Amex - Cloudways</t>
  </si>
  <si>
    <t>Check with Kasi</t>
  </si>
  <si>
    <t>A2Webhost</t>
  </si>
  <si>
    <t>Adobe Systems</t>
  </si>
  <si>
    <t>Calendly</t>
  </si>
  <si>
    <t>Chatgpt</t>
  </si>
  <si>
    <t>DROPBOX</t>
  </si>
  <si>
    <t>READ - MEETING</t>
  </si>
  <si>
    <t>QuickBooks Payments</t>
  </si>
  <si>
    <t>IT and Internet Expenses</t>
  </si>
  <si>
    <t>Figma</t>
  </si>
  <si>
    <t>Semrush</t>
  </si>
  <si>
    <t>Telephone Expense</t>
  </si>
  <si>
    <t>Verizon</t>
  </si>
  <si>
    <t>Other COGS</t>
  </si>
  <si>
    <t>Software Expenses</t>
  </si>
  <si>
    <t>AdvancedMD</t>
  </si>
  <si>
    <t>Availity</t>
  </si>
  <si>
    <t>Foxyproxy</t>
  </si>
  <si>
    <t>Moet Advisors LLC</t>
  </si>
  <si>
    <t>Cair Health Software</t>
  </si>
  <si>
    <t>AHREFS* AHREFS</t>
  </si>
  <si>
    <t>Claim.MD</t>
  </si>
  <si>
    <t>Contabo.com</t>
  </si>
  <si>
    <t>MongoDB</t>
  </si>
  <si>
    <t>6.Other COGS</t>
  </si>
  <si>
    <t>S&amp;M Salaries</t>
  </si>
  <si>
    <t>Travel Expense</t>
  </si>
  <si>
    <t>Travel/Hotel Charges</t>
  </si>
  <si>
    <t>Hubspot</t>
  </si>
  <si>
    <t>Medsource AI LLP( Von Marie Gastello)</t>
  </si>
  <si>
    <t>Total S&amp;M</t>
  </si>
  <si>
    <t>Payroll Taxes - ADP</t>
  </si>
  <si>
    <t>Management salaries - ADP</t>
  </si>
  <si>
    <t>Total Management Salaries</t>
  </si>
  <si>
    <t>G&amp;A Cost</t>
  </si>
  <si>
    <t>Consultancy Fees</t>
  </si>
  <si>
    <t>CLEARME.COM</t>
  </si>
  <si>
    <t>Fuel/Mileage Expenses</t>
  </si>
  <si>
    <t>Fuel Charges</t>
  </si>
  <si>
    <t>Insurance Expense</t>
  </si>
  <si>
    <t>Do we also have a separate first insurance for Cyber security?</t>
  </si>
  <si>
    <t>At Bay - Cyber Security Insurance</t>
  </si>
  <si>
    <t>Mihir</t>
  </si>
  <si>
    <t>Prakash</t>
  </si>
  <si>
    <t>ICHRA</t>
  </si>
  <si>
    <t>HSA</t>
  </si>
  <si>
    <t>Meals and Entertainment</t>
  </si>
  <si>
    <t>Payroll Processing Fees</t>
  </si>
  <si>
    <t>ADP</t>
  </si>
  <si>
    <t>Postage</t>
  </si>
  <si>
    <t>Ipostal</t>
  </si>
  <si>
    <t>Rates &amp; Taxes</t>
  </si>
  <si>
    <t>Federal tax processing fee - One Time</t>
  </si>
  <si>
    <t>BOA 7456</t>
  </si>
  <si>
    <t>Toll Fee</t>
  </si>
  <si>
    <t>Bancpass</t>
  </si>
  <si>
    <t>Legal &amp; Professional Services</t>
  </si>
  <si>
    <t>AATRALAI TECH SOLUTIONS PVT. LTD.</t>
  </si>
  <si>
    <t>Ekam Legal</t>
  </si>
  <si>
    <t>Office Supplies</t>
  </si>
  <si>
    <t>Parking</t>
  </si>
  <si>
    <t>Finance Cost</t>
  </si>
  <si>
    <t>Bank Fees and Charges</t>
  </si>
  <si>
    <t>Interest on Car loan</t>
  </si>
  <si>
    <t>Interest Paid</t>
  </si>
  <si>
    <t>Interest for ECL Loan</t>
  </si>
  <si>
    <t>BOA 7456 (Loan)</t>
  </si>
  <si>
    <t>Total Finance costs</t>
  </si>
  <si>
    <t>Grand Total</t>
  </si>
  <si>
    <t>Imagnum India</t>
  </si>
  <si>
    <t>With</t>
  </si>
  <si>
    <t>Without</t>
  </si>
  <si>
    <t>New Hires</t>
  </si>
  <si>
    <t>Total Headcount</t>
  </si>
  <si>
    <t>Savings from Cair Health</t>
  </si>
  <si>
    <t>No of Resources ramp down</t>
  </si>
  <si>
    <t>No of new resources at lower cost</t>
  </si>
  <si>
    <t>differential Headcount = Savings</t>
  </si>
  <si>
    <t>Manpower</t>
  </si>
  <si>
    <t>Category</t>
  </si>
  <si>
    <t>YTD</t>
  </si>
  <si>
    <t>Operations Headcount</t>
  </si>
  <si>
    <t>Opations Support</t>
  </si>
  <si>
    <t>1.Manpower</t>
  </si>
  <si>
    <t>Operation Salaries</t>
  </si>
  <si>
    <t>Ops Support Salaries</t>
  </si>
  <si>
    <t>New Hires - Coders</t>
  </si>
  <si>
    <t>New Hires - Freshers</t>
  </si>
  <si>
    <t>Employer PF</t>
  </si>
  <si>
    <t>Employee PF</t>
  </si>
  <si>
    <t>New Hires Employer PF</t>
  </si>
  <si>
    <t>New Hires Employee PF</t>
  </si>
  <si>
    <t>Bonus and Incentives</t>
  </si>
  <si>
    <t>Professional Tax</t>
  </si>
  <si>
    <t>Employer ESI</t>
  </si>
  <si>
    <t>Employee ESI</t>
  </si>
  <si>
    <t>Org Restructuring</t>
  </si>
  <si>
    <t>1.Manpower Total</t>
  </si>
  <si>
    <t>2.Facility cost</t>
  </si>
  <si>
    <t>JANANI PROPERTY &amp; ESTATES PVT LTD</t>
  </si>
  <si>
    <t>TAMILNADU GENERATION AND DISTRIBUTION CORPORATION LIMITED</t>
  </si>
  <si>
    <t>M.R. INFOTECH</t>
  </si>
  <si>
    <t>Max Office</t>
  </si>
  <si>
    <t>Balaji Towers</t>
  </si>
  <si>
    <t>Amutha Trichy Rental House</t>
  </si>
  <si>
    <t>Chennai New Facility Cost</t>
  </si>
  <si>
    <t>Chennai New Facility Cost - Maint</t>
  </si>
  <si>
    <t>2.Facility Total</t>
  </si>
  <si>
    <t>3.Telecom Data &amp; others</t>
  </si>
  <si>
    <t>Cloud server costs</t>
  </si>
  <si>
    <t>E2E Networks  Limited - Ending from March and added cloudways from March under US exp</t>
  </si>
  <si>
    <t>Azure Cloud</t>
  </si>
  <si>
    <t>SYSVEL TECHNOLOGY</t>
  </si>
  <si>
    <t>TATA TELESERVICES LIMITED</t>
  </si>
  <si>
    <t>UNIFIED VOICE COMMUNICATION PRIVATE LIMITED</t>
  </si>
  <si>
    <t>BHARTI AIRTEL LIMITED</t>
  </si>
  <si>
    <t>4.Licenses &amp; Subscriptions</t>
  </si>
  <si>
    <t>Adobe Systems Software Ireland Ltd</t>
  </si>
  <si>
    <t>LinkedIn</t>
  </si>
  <si>
    <t>Futurecalls Technology</t>
  </si>
  <si>
    <t>Info Edge (India) Ltd</t>
  </si>
  <si>
    <t>GAMMA.APP</t>
  </si>
  <si>
    <t>Clauritus Management consulting PVT. LTD</t>
  </si>
  <si>
    <t>Zillion Enterprises</t>
  </si>
  <si>
    <t>Misc</t>
  </si>
  <si>
    <t>Chennai - Headcount</t>
  </si>
  <si>
    <t>Trichy - Headcount</t>
  </si>
  <si>
    <t>5.Transport Cost</t>
  </si>
  <si>
    <t>Chennai</t>
  </si>
  <si>
    <t>VKS Travels</t>
  </si>
  <si>
    <t>Trichy</t>
  </si>
  <si>
    <t>Select cabs</t>
  </si>
  <si>
    <t>Staff Welfare</t>
  </si>
  <si>
    <t>Yearly fee - Mediclaim renewal</t>
  </si>
  <si>
    <t>Rs750 per emp per quarter</t>
  </si>
  <si>
    <t>Rs100 per emp per Month</t>
  </si>
  <si>
    <t>Rs10000 - Per year in Aug</t>
  </si>
  <si>
    <t>commercial gen liability - Rs 68K per annum in Sep-26</t>
  </si>
  <si>
    <t>Fuel expenses</t>
  </si>
  <si>
    <t>7.Other Salaries</t>
  </si>
  <si>
    <t>Admin Salaries</t>
  </si>
  <si>
    <t>IT Salaries</t>
  </si>
  <si>
    <t>HR Salaries</t>
  </si>
  <si>
    <t>8.Legal &amp; Professional Fees</t>
  </si>
  <si>
    <t>Coding charges</t>
  </si>
  <si>
    <t>Professional services</t>
  </si>
  <si>
    <t>Spice Route Finance</t>
  </si>
  <si>
    <t>Banyan Management Support Services Pvt. Ltd.</t>
  </si>
  <si>
    <t>N V Balaji and Co. - Legal &amp; Income tax</t>
  </si>
  <si>
    <t>9.Sales &amp; Marketing</t>
  </si>
  <si>
    <t>S&amp;M Manager</t>
  </si>
  <si>
    <t>Conference &amp; Events</t>
  </si>
  <si>
    <t>Quarterly</t>
  </si>
  <si>
    <t>Kasi's travel in March</t>
  </si>
  <si>
    <t>Travelling Expenses</t>
  </si>
  <si>
    <t>Accommodation Charges</t>
  </si>
  <si>
    <t xml:space="preserve">Advertisement &amp; Promotional </t>
  </si>
  <si>
    <t>10.General &amp; Administration</t>
  </si>
  <si>
    <t>Rainbow Office Solutions - Chennai</t>
  </si>
  <si>
    <t>Office Supplies - TPJ/TTN</t>
  </si>
  <si>
    <t>Consultant Expense</t>
  </si>
  <si>
    <t>TRUE CARE SECURITY SERVICES</t>
  </si>
  <si>
    <t>Tiger Protective Services</t>
  </si>
  <si>
    <t>Customs Duty</t>
  </si>
  <si>
    <t>FEDEX EXPRESS</t>
  </si>
  <si>
    <t xml:space="preserve">Whizc </t>
  </si>
  <si>
    <t>Interest on OD</t>
  </si>
  <si>
    <t>HDFC OD Account</t>
  </si>
  <si>
    <t>Pooja expense</t>
  </si>
  <si>
    <t>Printing and Stationery</t>
  </si>
  <si>
    <t>Annual Day</t>
  </si>
  <si>
    <t>Referral Bonus</t>
  </si>
  <si>
    <t>Misc Expenses</t>
  </si>
  <si>
    <t>India Expenses Total</t>
  </si>
  <si>
    <t>India Expenses Including TP</t>
  </si>
  <si>
    <t>Check this exp and give the breakup</t>
  </si>
  <si>
    <t>MT &amp;above - laptop else desktop</t>
  </si>
  <si>
    <t>Amount in INR</t>
  </si>
  <si>
    <t>Computer Rental</t>
  </si>
  <si>
    <t>x</t>
  </si>
  <si>
    <t>Link it to no of desktops and laptops</t>
  </si>
  <si>
    <t>Current headcount</t>
  </si>
  <si>
    <t>This is based on an average of 800 INR per system- formula driven rather than exactly matching the numbers. if we match it to the penny we would have some issues when there is any spike in expenses. Moreover there are multiple cost here 640 for old. 800 for new and laptop is separate so we took the 800 INR as the average. actual cost is 136800 but we have taken higher amount the diff is 25K per month which we shall use for buying laptops or own systems</t>
  </si>
  <si>
    <t>License/Subscription/Certification charges</t>
  </si>
  <si>
    <t>Transportation Costs</t>
  </si>
  <si>
    <t xml:space="preserve">Changed this to 2.75Lakhs </t>
  </si>
  <si>
    <t>Software Dev &amp; Hosting Charges</t>
  </si>
  <si>
    <t>Employee Related Expenses</t>
  </si>
  <si>
    <t>Audits</t>
  </si>
  <si>
    <t>SOC TYPE II</t>
  </si>
  <si>
    <t>HIPAA AUDIT</t>
  </si>
  <si>
    <t>ISO</t>
  </si>
  <si>
    <t>ISMS</t>
  </si>
  <si>
    <t>Telecom &amp; Data</t>
  </si>
  <si>
    <t>fixed</t>
  </si>
  <si>
    <t>Faxline</t>
  </si>
  <si>
    <t>get a new fax line if there are more than 20 AR people added</t>
  </si>
  <si>
    <t>span - 4 AR single license / 750</t>
  </si>
  <si>
    <t>Move to Other COGS</t>
  </si>
  <si>
    <t>training</t>
  </si>
  <si>
    <t>GUVI GEEK NETWORK PRIVATE LIMITED</t>
  </si>
  <si>
    <t>for support team - 5 people single license (frontline - MIS team)</t>
  </si>
  <si>
    <t>Business standard - 22 licensse - MT &amp; above - 6000 per annum
Bus basic - 25 license - new client - 1350 per annm</t>
  </si>
  <si>
    <t>Operations</t>
  </si>
  <si>
    <t>OBO health</t>
  </si>
  <si>
    <t>Naukri+Others</t>
  </si>
  <si>
    <t>Access 2000 CV's , 20000 mails and 5 hot postings - 60000+18% gst</t>
  </si>
  <si>
    <t>average headcount and amount so that it can be linked to budgeted headcount</t>
  </si>
  <si>
    <t>Other travels</t>
  </si>
  <si>
    <t xml:space="preserve">VKS Travels </t>
  </si>
  <si>
    <t>avg 3 employees per trip. Trip-1600/ day/ cab. Currently we have 8 cabs. Add annual day transport expense seperately</t>
  </si>
  <si>
    <t>Credit card bill</t>
  </si>
  <si>
    <t>Advanced MD White Label</t>
  </si>
  <si>
    <t>Bridgehouse Integrated Solutions</t>
  </si>
  <si>
    <t>Forecast-check with Kasi</t>
  </si>
  <si>
    <t>Audit Fee</t>
  </si>
  <si>
    <t>Board Advisory</t>
  </si>
  <si>
    <t xml:space="preserve">Prashant </t>
  </si>
  <si>
    <t>Link it to employee</t>
  </si>
  <si>
    <t>Engagement Activity</t>
  </si>
  <si>
    <t>500 per quarter</t>
  </si>
  <si>
    <t>Employee Engagement (Incremental)</t>
  </si>
  <si>
    <t xml:space="preserve">UPI - Imprest </t>
  </si>
  <si>
    <t>Employee Insurance</t>
  </si>
  <si>
    <t>this is 5.20 Lak in 2024 but incrwased to 6L for safer side for 2025</t>
  </si>
  <si>
    <t>Swipe Device</t>
  </si>
  <si>
    <t>Food Coupon Wallet - this should go as CTC accrual in the manpower cost</t>
  </si>
  <si>
    <t xml:space="preserve">Is it part of CTC or ? </t>
  </si>
  <si>
    <t xml:space="preserve">General Liability Insurance </t>
  </si>
  <si>
    <t>House Keeping charges</t>
  </si>
  <si>
    <t>Moved to Facility costs</t>
  </si>
  <si>
    <t>Salary Cost</t>
  </si>
  <si>
    <t>Updated this numbers based on the current salary, information on the people is atached to the email I have sent, includes 2 more people and their combines salary is $369 and converted at $84 from mar'25</t>
  </si>
  <si>
    <t>Advertisement &amp; Marketing</t>
  </si>
  <si>
    <t>This includes exising cost and new cost approved - information in Digitsal marketing sheet</t>
  </si>
  <si>
    <t>Various additional costs:</t>
  </si>
  <si>
    <t>Hiring of Lead Gen - Manager</t>
  </si>
  <si>
    <t>Indirect Salary</t>
  </si>
  <si>
    <t>hiring of one BD person at 50K with 2.5 yrs expeeienced approced by Prakasj</t>
  </si>
  <si>
    <t>Adding 6 more Tech people</t>
  </si>
  <si>
    <t>This has to be included to the Ops cost including the AdvancedMD + MongoDB + OBO Cost + e2e cost which we have already accounted under Operations cost including Availity (6500+500+4000+1500)</t>
  </si>
  <si>
    <t>Travel Cost (Marketing)</t>
  </si>
  <si>
    <t>Travelling Costs</t>
  </si>
  <si>
    <t>India Travel Cost</t>
  </si>
  <si>
    <t>India Centre Travel to US  cost</t>
  </si>
  <si>
    <t>Directly captured</t>
  </si>
  <si>
    <t>Legal &amp; Professional</t>
  </si>
  <si>
    <t>Recruitment charges -HR Recruiter</t>
  </si>
  <si>
    <t>Software/subscriptions</t>
  </si>
  <si>
    <t>Removed 20K from Mar till Dec</t>
  </si>
  <si>
    <t>Recruitment charges - Naukri</t>
  </si>
  <si>
    <t>New facility</t>
  </si>
  <si>
    <t>Not considered</t>
  </si>
  <si>
    <t>Various Compliances</t>
  </si>
  <si>
    <t>Compliance</t>
  </si>
  <si>
    <t>MBMS Insurance</t>
  </si>
  <si>
    <t>Cyber insurance &amp; errors and omissions insurance</t>
  </si>
  <si>
    <t>Target</t>
  </si>
  <si>
    <t>October</t>
  </si>
  <si>
    <t>Norm</t>
  </si>
  <si>
    <t>FTE Required 100%</t>
  </si>
  <si>
    <t>FTE Required 85%</t>
  </si>
  <si>
    <t>Billing AR</t>
  </si>
  <si>
    <t>Over All</t>
  </si>
  <si>
    <t>Deficit / Excess 100%</t>
  </si>
  <si>
    <t>Deficit / Excess 85%</t>
  </si>
  <si>
    <t>Comments</t>
  </si>
  <si>
    <t>Source It Dental</t>
  </si>
  <si>
    <t>-</t>
  </si>
  <si>
    <t>Benefits Verification</t>
  </si>
  <si>
    <t>OOPC</t>
  </si>
  <si>
    <t>SS Auth</t>
  </si>
  <si>
    <t>CIF Email</t>
  </si>
  <si>
    <t>DME CMN</t>
  </si>
  <si>
    <t>DME OOPC Estimate</t>
  </si>
  <si>
    <t>AASM</t>
  </si>
  <si>
    <t>SS coordinator</t>
  </si>
  <si>
    <t>DME Admin</t>
  </si>
  <si>
    <t>Patient Calling(Call Centre)</t>
  </si>
  <si>
    <t>Patient Calling(Provider Scheduling)</t>
  </si>
  <si>
    <t>Patient Soft Collections</t>
  </si>
  <si>
    <t>Medical Records</t>
  </si>
  <si>
    <t>Referral Cooridinater</t>
  </si>
  <si>
    <t>OA Authorization</t>
  </si>
  <si>
    <t>MBMS</t>
  </si>
  <si>
    <t>D'Souza &amp; Associates, Inc</t>
  </si>
  <si>
    <t>IV Entry</t>
  </si>
  <si>
    <t>IV Verify</t>
  </si>
  <si>
    <t>AR Followup</t>
  </si>
  <si>
    <t>HCA &amp; Intergy Charge Entry</t>
  </si>
  <si>
    <t>Payment Posting Manual</t>
  </si>
  <si>
    <t>HCA AR Follow-up</t>
  </si>
  <si>
    <t>FTE &amp; Transaction</t>
  </si>
  <si>
    <t>eC3 LLC</t>
  </si>
  <si>
    <t>IVF Collection</t>
  </si>
  <si>
    <t>Non-IVF Collection</t>
  </si>
  <si>
    <t>Nova Physician Wellness</t>
  </si>
  <si>
    <t>Primetime Physical Therapy</t>
  </si>
  <si>
    <t>AR non Calling</t>
  </si>
  <si>
    <t>Charge Transmission</t>
  </si>
  <si>
    <t>Patient calling</t>
  </si>
  <si>
    <t>Staff a Dental LLC</t>
  </si>
  <si>
    <t xml:space="preserve">The Physical Therapy Institute </t>
  </si>
  <si>
    <t>Authorization</t>
  </si>
  <si>
    <t>Demo &amp; Eligibility Verification</t>
  </si>
  <si>
    <t>Univ. Of Delaware</t>
  </si>
  <si>
    <t>Account Receivalble</t>
  </si>
  <si>
    <t>Your Docs In</t>
  </si>
  <si>
    <t>Charge Entry</t>
  </si>
  <si>
    <t>Credit Balance</t>
  </si>
  <si>
    <t>Occmed correction</t>
  </si>
  <si>
    <t>FTE &amp; Collection</t>
  </si>
  <si>
    <t>Premier Sleep Center</t>
  </si>
  <si>
    <t>Procle Healthworks</t>
  </si>
  <si>
    <t>BayLife</t>
  </si>
  <si>
    <t>Emergence Health Holdings</t>
  </si>
  <si>
    <t>Medrina Document Retrival</t>
  </si>
  <si>
    <t>Document Retrival</t>
  </si>
  <si>
    <t>Medrina Coding</t>
  </si>
  <si>
    <t>Medrina IP Coding</t>
  </si>
  <si>
    <t>All Medical Revenue Solutions</t>
  </si>
  <si>
    <t>Credentials</t>
  </si>
  <si>
    <t>Department</t>
  </si>
  <si>
    <t>Leaders</t>
  </si>
  <si>
    <t>Users</t>
  </si>
  <si>
    <t>Trainee</t>
  </si>
  <si>
    <t>Revshield Q n Q Productivity Improvement</t>
  </si>
  <si>
    <t>Business Development</t>
  </si>
  <si>
    <t>Q1</t>
  </si>
  <si>
    <t>Support</t>
  </si>
  <si>
    <t>Q2</t>
  </si>
  <si>
    <t>Q3</t>
  </si>
  <si>
    <t>Q4</t>
  </si>
  <si>
    <t>Efficiency improvement</t>
  </si>
  <si>
    <t>FTE decrease</t>
  </si>
  <si>
    <t>I Magnum</t>
  </si>
  <si>
    <t>Base FTEs @85% Utlization</t>
  </si>
  <si>
    <t>Client Code</t>
  </si>
  <si>
    <t>Status2</t>
  </si>
  <si>
    <t>Client</t>
  </si>
  <si>
    <t>Total Volume</t>
  </si>
  <si>
    <t>Rev</t>
  </si>
  <si>
    <t>Physical Therapy &amp; Sports Medicine Center</t>
  </si>
  <si>
    <t>Payment Posting - ERA</t>
  </si>
  <si>
    <t>Payment Posting - Manual</t>
  </si>
  <si>
    <t>Collections</t>
  </si>
  <si>
    <t>Serenity Bay Hospice</t>
  </si>
  <si>
    <t>Data Entry</t>
  </si>
  <si>
    <t>SS Coordinatior</t>
  </si>
  <si>
    <t>Referral Coordinator</t>
  </si>
  <si>
    <t>OA Auth</t>
  </si>
  <si>
    <t>DME OOPC</t>
  </si>
  <si>
    <t>Patient AR Caller</t>
  </si>
  <si>
    <t>AMD Pay Feature</t>
  </si>
  <si>
    <t>AR Calling &amp; Denials</t>
  </si>
  <si>
    <t xml:space="preserve">Insurance </t>
  </si>
  <si>
    <t>Budget</t>
  </si>
  <si>
    <t>YTD Volumes</t>
  </si>
  <si>
    <t>YTD Revenue</t>
  </si>
  <si>
    <t>Y/N</t>
  </si>
  <si>
    <t>Type</t>
  </si>
  <si>
    <t>Owner</t>
  </si>
  <si>
    <t>Volume/ FTE</t>
  </si>
  <si>
    <t>Budgeted</t>
  </si>
  <si>
    <t>Iswarea</t>
  </si>
  <si>
    <t>Nandha</t>
  </si>
  <si>
    <t>Ejas</t>
  </si>
  <si>
    <t>Mani</t>
  </si>
  <si>
    <t>Murugan/Ejas</t>
  </si>
  <si>
    <t>Kumar</t>
  </si>
  <si>
    <t>Amar</t>
  </si>
  <si>
    <t>Arun</t>
  </si>
  <si>
    <t>iMagnum</t>
  </si>
  <si>
    <t xml:space="preserve">Gross Margins </t>
  </si>
  <si>
    <t>Amount in USD</t>
  </si>
  <si>
    <t>Generated</t>
  </si>
  <si>
    <t>Direct</t>
  </si>
  <si>
    <t>Ops Leadership</t>
  </si>
  <si>
    <t>Quality</t>
  </si>
  <si>
    <t>Direct salary - cost</t>
  </si>
  <si>
    <t>QA + Ops Support Sal</t>
  </si>
  <si>
    <t>QA FTE</t>
  </si>
  <si>
    <t>Dedicated QA</t>
  </si>
  <si>
    <t>CM</t>
  </si>
  <si>
    <t>CM %</t>
  </si>
  <si>
    <t>Ops Leadership (till Sr Dr)</t>
  </si>
  <si>
    <t>Total expenses</t>
  </si>
  <si>
    <t>Deployed</t>
  </si>
  <si>
    <t xml:space="preserve">Rev per employee </t>
  </si>
  <si>
    <t>Price per Employee</t>
  </si>
  <si>
    <t>Cost to be apportioned</t>
  </si>
  <si>
    <t>Volumes / No. of FTEs as per SOW</t>
  </si>
  <si>
    <t>Norms Per Day/ FTE</t>
  </si>
  <si>
    <t>Accounts Receivable</t>
  </si>
  <si>
    <t>Charge</t>
  </si>
  <si>
    <t>Payment Postings Era</t>
  </si>
  <si>
    <t>Payment Postings Manual</t>
  </si>
  <si>
    <t>Genesis Care</t>
  </si>
  <si>
    <t>New AR Follow-up</t>
  </si>
  <si>
    <t>Transmission</t>
  </si>
  <si>
    <t>Custom Medical Services Obgyn Inc,</t>
  </si>
  <si>
    <t>Demo entry</t>
  </si>
  <si>
    <t>Payment Postings</t>
  </si>
  <si>
    <t>A/R - Non calling</t>
  </si>
  <si>
    <t xml:space="preserve">Demo </t>
  </si>
  <si>
    <t>IV</t>
  </si>
  <si>
    <t>Moxie Healthcare Solutions</t>
  </si>
  <si>
    <t>Monarch End to End</t>
  </si>
  <si>
    <t xml:space="preserve">Healthcare Information Services </t>
  </si>
  <si>
    <t>Rejections</t>
  </si>
  <si>
    <t>Einstein Genius Care</t>
  </si>
  <si>
    <t>Northshore</t>
  </si>
  <si>
    <t>New 2024</t>
  </si>
  <si>
    <t>Sales Projections</t>
  </si>
  <si>
    <t>Additional Cost Expected</t>
  </si>
  <si>
    <t>Dept</t>
  </si>
  <si>
    <t xml:space="preserve">Hiring of Lead Gen </t>
  </si>
  <si>
    <t>Compulsory</t>
  </si>
  <si>
    <t>Ajit</t>
  </si>
  <si>
    <t>Travel Cost</t>
  </si>
  <si>
    <t>Marketing</t>
  </si>
  <si>
    <t>per year</t>
  </si>
  <si>
    <t>TBD</t>
  </si>
  <si>
    <t>2 travels by Prakash and Mihir</t>
  </si>
  <si>
    <t>Client Meet, conference this includes Vijay, Karthi and 2 more if required - we can split the 6L into 4 for each quarter</t>
  </si>
  <si>
    <t xml:space="preserve">Per quarter $5k </t>
  </si>
  <si>
    <t>per month for Jerry</t>
  </si>
  <si>
    <t>HR Recruiter</t>
  </si>
  <si>
    <t>HR</t>
  </si>
  <si>
    <t>Naukri</t>
  </si>
  <si>
    <t>Technology</t>
  </si>
  <si>
    <t>EPR, RevShield Enhancement, CredPro Enhancement, PMS development</t>
  </si>
  <si>
    <t>IT Infra</t>
  </si>
  <si>
    <t>New Facility Chennai</t>
  </si>
  <si>
    <t>FACILITY</t>
  </si>
  <si>
    <t>4000 SQFT AT 80 INR</t>
  </si>
  <si>
    <t>New Facility TIER II</t>
  </si>
  <si>
    <t>4000 SQFT AT 60 INR</t>
  </si>
  <si>
    <t>COMPLIANCE</t>
  </si>
  <si>
    <t>2.75 LAK SPLIT INTO 2 PARTS</t>
  </si>
  <si>
    <t>CHECK IF THIS IS PART OF THE BUDGET WORKING FILE</t>
  </si>
  <si>
    <t>NEW TECHNOLOGY LEARNING PURCHASES</t>
  </si>
  <si>
    <t>ANY TECHNOLOGY LEARNING COURSE MATERIAL</t>
  </si>
  <si>
    <t>ANNUAL DAY</t>
  </si>
  <si>
    <t>Staff Related Costs</t>
  </si>
  <si>
    <t>THIS IS PART OF EMPLOYEE ENGAGEMENT</t>
  </si>
  <si>
    <t>ROI</t>
  </si>
  <si>
    <t>For any AR client implementation of RevShield our AR Tech will have a ROI</t>
  </si>
  <si>
    <t>This includes the existing clients as well</t>
  </si>
  <si>
    <t>ROI in terms of productivity Improvement is shown below month on month keeping the existing clients</t>
  </si>
  <si>
    <t>so all AR clients basis this approach you can improve the norm by the % shown below</t>
  </si>
  <si>
    <t>Norm Improvement for AR scopes</t>
  </si>
  <si>
    <t>Existing Tools and Accesses</t>
  </si>
  <si>
    <t>Sno</t>
  </si>
  <si>
    <t>Purpose</t>
  </si>
  <si>
    <t>Product Name</t>
  </si>
  <si>
    <t>Per Month</t>
  </si>
  <si>
    <t>Yearly Price</t>
  </si>
  <si>
    <t>existing tools</t>
  </si>
  <si>
    <t>New tools</t>
  </si>
  <si>
    <t>New sheet per 2026</t>
  </si>
  <si>
    <t>Overall Cost 2026</t>
  </si>
  <si>
    <t>New Tools and Accesses</t>
  </si>
  <si>
    <t>from Jan new tools and systems to be purchased</t>
  </si>
  <si>
    <t>New 2 Resource Cost</t>
  </si>
  <si>
    <t>2 resources for SEO to be hired from Feb</t>
  </si>
  <si>
    <t>Marketing Advertisement Cost</t>
  </si>
  <si>
    <t>From Jan onwards</t>
  </si>
  <si>
    <t>1 Business Development Exe (Sr/Jr) (2 - 6 yrs exp Medical Billing BD exp)</t>
  </si>
  <si>
    <t>1 BD person to be hired from Mar onwards at 50K per month</t>
  </si>
  <si>
    <t>RingCentral (8 User)</t>
  </si>
  <si>
    <t>revised price for ring central from Jan onwards</t>
  </si>
  <si>
    <t>This is the overall cost however the business development cost is not considered in Jan and Feb and starts only from Mar 2025</t>
  </si>
  <si>
    <t>Resource Needed Cost</t>
  </si>
  <si>
    <t>to be discussed with prakash to decide on the timeline for implementation</t>
  </si>
  <si>
    <t>BD Team Members</t>
  </si>
  <si>
    <t>CTC Per Month</t>
  </si>
  <si>
    <t>CTC Per Year</t>
  </si>
  <si>
    <t>Digital Marketing OBO</t>
  </si>
  <si>
    <t>Digital Marketing Linkedin Activity (OBO)</t>
  </si>
  <si>
    <t>OBO marketing cost not included in the budget file</t>
  </si>
  <si>
    <t>Employee Name</t>
  </si>
  <si>
    <t>ID</t>
  </si>
  <si>
    <t>DOJ</t>
  </si>
  <si>
    <t>Remarks</t>
  </si>
  <si>
    <t>Eligible for EPF</t>
  </si>
  <si>
    <t>Eligible for ESI</t>
  </si>
  <si>
    <t>Designation</t>
  </si>
  <si>
    <t>EPF Number</t>
  </si>
  <si>
    <t>ESIC Number</t>
  </si>
  <si>
    <t>Leave</t>
  </si>
  <si>
    <t>Net Working Days</t>
  </si>
  <si>
    <t>Overall Salary</t>
  </si>
  <si>
    <t>Basic</t>
  </si>
  <si>
    <t>HRA</t>
  </si>
  <si>
    <t>Phone Reimbursment</t>
  </si>
  <si>
    <t>Travel Allowance</t>
  </si>
  <si>
    <t>Other Allowance</t>
  </si>
  <si>
    <t>Special Allowance</t>
  </si>
  <si>
    <t>Gross Earnings</t>
  </si>
  <si>
    <t>EPS</t>
  </si>
  <si>
    <t>Fixed Salary</t>
  </si>
  <si>
    <t>Food Coupon</t>
  </si>
  <si>
    <t>Gift Coupon</t>
  </si>
  <si>
    <t>One Time Bonus</t>
  </si>
  <si>
    <t>Performance Based Incentives</t>
  </si>
  <si>
    <t>Earned Leave Credit</t>
  </si>
  <si>
    <t>Salary Arrears</t>
  </si>
  <si>
    <t>LOP Days</t>
  </si>
  <si>
    <t xml:space="preserve">LOP </t>
  </si>
  <si>
    <t xml:space="preserve">Referral bonus </t>
  </si>
  <si>
    <t>Over Time</t>
  </si>
  <si>
    <t>TDS</t>
  </si>
  <si>
    <t>Total Earnings</t>
  </si>
  <si>
    <t>Total Deductions</t>
  </si>
  <si>
    <t>Take Home</t>
  </si>
  <si>
    <t>Rounding Off</t>
  </si>
  <si>
    <t>PF Base</t>
  </si>
  <si>
    <t>EPS Base</t>
  </si>
  <si>
    <t>EDLI Base</t>
  </si>
  <si>
    <t>Rajeshwaran Raja</t>
  </si>
  <si>
    <t>Retained</t>
  </si>
  <si>
    <t>Assistant Manager</t>
  </si>
  <si>
    <t>Gokul kumar Durai Raj M</t>
  </si>
  <si>
    <t>Senior Process Associate</t>
  </si>
  <si>
    <t>Krishnaveni Santhana Krishnan</t>
  </si>
  <si>
    <t>Senior Seo Analyst</t>
  </si>
  <si>
    <t>Raveena Kulanthaivel</t>
  </si>
  <si>
    <t>Process Associate</t>
  </si>
  <si>
    <t>Swathi S</t>
  </si>
  <si>
    <t>Lavanya Vallemma</t>
  </si>
  <si>
    <t>Varun Thulasiram</t>
  </si>
  <si>
    <t>102108944737</t>
  </si>
  <si>
    <t>Sujith Ravi</t>
  </si>
  <si>
    <t>Manikandan Senathipathi</t>
  </si>
  <si>
    <t>Cold Calling (6 months to 2 yrs US caling exp)</t>
  </si>
  <si>
    <t>15th Jan</t>
  </si>
  <si>
    <t>Aircall (8 User)</t>
  </si>
  <si>
    <t>Cold Calling (2 - 6 yrs exp medical billing BD exp)</t>
  </si>
  <si>
    <t>Cost not inclusive of GST</t>
  </si>
  <si>
    <t>Budget could vary based on needs</t>
  </si>
  <si>
    <t>Nov-25 Forecast</t>
  </si>
  <si>
    <t>Nov-25 Actuals</t>
  </si>
  <si>
    <t>Dec-25 Forecast</t>
  </si>
  <si>
    <t>Dec-25 Actuals</t>
  </si>
  <si>
    <t>Jan-26 Forecast</t>
  </si>
  <si>
    <t>Jan-26 Actuals</t>
  </si>
  <si>
    <t>Feb-26 Forecast</t>
  </si>
  <si>
    <t>Feb-26 Actuals</t>
  </si>
  <si>
    <t>Mar-26 Forecast</t>
  </si>
  <si>
    <t>Mar-26 Actuals</t>
  </si>
  <si>
    <t>Apr-26 Forecast</t>
  </si>
  <si>
    <t>Apr-26 Actuals</t>
  </si>
  <si>
    <t>May-26 Forecast</t>
  </si>
  <si>
    <t>May-26 Actuals</t>
  </si>
  <si>
    <t>Jun-26 Forecast</t>
  </si>
  <si>
    <t>Jun-26 Actuals</t>
  </si>
  <si>
    <t>July-26 Forecast</t>
  </si>
  <si>
    <t>July-26 Actuals</t>
  </si>
  <si>
    <t>Aug-26 Forecast</t>
  </si>
  <si>
    <t>Aug-26 Actuals</t>
  </si>
  <si>
    <t>Sep-26 Forecast</t>
  </si>
  <si>
    <t>Sep-26 Actuals</t>
  </si>
  <si>
    <t>Oct-26 Forecast</t>
  </si>
  <si>
    <t>Oct-26 Actuals</t>
  </si>
  <si>
    <t>Nov-26 Forecast</t>
  </si>
  <si>
    <t>Nov-26 Actuals</t>
  </si>
  <si>
    <t>Dec-26 Forecast</t>
  </si>
  <si>
    <t>Dec-26 Actuals</t>
  </si>
  <si>
    <t>Budgetted</t>
  </si>
  <si>
    <t>FTE Required</t>
  </si>
  <si>
    <t>Jan'26-Budgeted-Volume</t>
  </si>
  <si>
    <t>Jan'26-Budgeted-Revenue</t>
  </si>
  <si>
    <t>Feb'26-Budgeted-Volume</t>
  </si>
  <si>
    <t>Feb'26-Budgeted-Revenue</t>
  </si>
  <si>
    <t>Mar'26-Budgeted-Volume</t>
  </si>
  <si>
    <t>Mar'26-Budgeted-Revenue</t>
  </si>
  <si>
    <t>Apr'26-Budgeted-Volume</t>
  </si>
  <si>
    <t>Apr'26-Budgeted-Rev</t>
  </si>
  <si>
    <t>May'26-Budgeted-Volume</t>
  </si>
  <si>
    <t>May'26-Budgeted-Rev</t>
  </si>
  <si>
    <t>June'26-Budgeted-Volume</t>
  </si>
  <si>
    <t>June'26-Budgeted-Rev</t>
  </si>
  <si>
    <t>July'26-Budgeted-Volume</t>
  </si>
  <si>
    <t>July'26-Budgeted-Rev</t>
  </si>
  <si>
    <t>Aug'26-Budgeted-Volume</t>
  </si>
  <si>
    <t>Aug'26-Budgeted-Rev</t>
  </si>
  <si>
    <t>Sep'26-Budgeted-Volume</t>
  </si>
  <si>
    <t>Sep'26-Budgeted-Rev</t>
  </si>
  <si>
    <t>oct'26-Budgeted-Volume</t>
  </si>
  <si>
    <t>oct'26-Budgeted-Rev</t>
  </si>
  <si>
    <t>Nov'26-Budgeted-Volume</t>
  </si>
  <si>
    <t>Nov'26-Budgeted-Rev</t>
  </si>
  <si>
    <t>Dec'26-Budgeted-Volume</t>
  </si>
  <si>
    <t>Dec'26-Budgeted-Rev</t>
  </si>
  <si>
    <t>2025-Budgeted-Rev</t>
  </si>
  <si>
    <t xml:space="preserve">Anticipated </t>
  </si>
  <si>
    <t>Pipeline</t>
  </si>
  <si>
    <t>ECLAT Health Solutions - EPR (SaaS)</t>
  </si>
  <si>
    <t>SaaS</t>
  </si>
  <si>
    <t>MBMS RCM Services</t>
  </si>
  <si>
    <t>Interim Work - AR &amp; Denial</t>
  </si>
  <si>
    <t>MBMS - Credentialing Services</t>
  </si>
  <si>
    <t>New Logo Sales</t>
  </si>
  <si>
    <t>Base - 2025</t>
  </si>
  <si>
    <t>Expected close to 100% probablity New Logo 2025</t>
  </si>
  <si>
    <t>New sales logo sales plan</t>
  </si>
  <si>
    <t>Total - 2025</t>
  </si>
  <si>
    <t xml:space="preserve">CTC should include food coupons etc </t>
  </si>
  <si>
    <t>#</t>
  </si>
  <si>
    <t>Emp ID</t>
  </si>
  <si>
    <t>Emp Name</t>
  </si>
  <si>
    <t>Date of Joining</t>
  </si>
  <si>
    <t>Experience/Fresher</t>
  </si>
  <si>
    <t>MIS Grouping</t>
  </si>
  <si>
    <t>Shift</t>
  </si>
  <si>
    <t>DOB</t>
  </si>
  <si>
    <t>Revised
Salary</t>
  </si>
  <si>
    <t>EXPERIENCE</t>
  </si>
  <si>
    <t>DAY SHIFT 2</t>
  </si>
  <si>
    <t>Row Labels</t>
  </si>
  <si>
    <t>Count of Revised</t>
  </si>
  <si>
    <t>Sum of Revised
Salary</t>
  </si>
  <si>
    <t>Average of Revised</t>
  </si>
  <si>
    <t>Appavu Rajudurai Jayabalan</t>
  </si>
  <si>
    <t>Manager - Pre-Sales</t>
  </si>
  <si>
    <t>NIGHT SHIFT</t>
  </si>
  <si>
    <t>DAY SHIFT</t>
  </si>
  <si>
    <t>Anthony Iwin Decinder</t>
  </si>
  <si>
    <t>DAY SHIFT 1</t>
  </si>
  <si>
    <t>Marilla Fonceca</t>
  </si>
  <si>
    <t>Business Development Specialist</t>
  </si>
  <si>
    <t>MID SHIFT</t>
  </si>
  <si>
    <t>Melanie P E Vardon</t>
  </si>
  <si>
    <t>MID SHIFT 1</t>
  </si>
  <si>
    <t>FRESHER</t>
  </si>
  <si>
    <t>Hafiz Mohammed Mazhar</t>
  </si>
  <si>
    <t>Senior AR Caller</t>
  </si>
  <si>
    <t>Shabana Mohammed Shahnawaz</t>
  </si>
  <si>
    <t>AR Analyst</t>
  </si>
  <si>
    <t>Hari Ragul Sridhar</t>
  </si>
  <si>
    <t>Ijazahmed Shahul Hameed</t>
  </si>
  <si>
    <t>AR Caller</t>
  </si>
  <si>
    <t>Yuvaraj Sai Saravanan</t>
  </si>
  <si>
    <t>Rajeshkumar Mannu</t>
  </si>
  <si>
    <t>Vivek Narayanan Vijayan</t>
  </si>
  <si>
    <t>Mohammed Sayeeth Shah</t>
  </si>
  <si>
    <t>Monisha Sundar</t>
  </si>
  <si>
    <t>Senior AR Analyst</t>
  </si>
  <si>
    <t>Raghavendhra Ramesh</t>
  </si>
  <si>
    <t>Yazar Basheer</t>
  </si>
  <si>
    <t>Pavithra Sukumar</t>
  </si>
  <si>
    <t>Yuvaraju Hanumantha Reddy</t>
  </si>
  <si>
    <t>Janani Narayanasamy</t>
  </si>
  <si>
    <t>Rekha Ramachandra Raju</t>
  </si>
  <si>
    <t>Janani Murali</t>
  </si>
  <si>
    <t>Manoj Vijayaseelan Manohar N</t>
  </si>
  <si>
    <t>Rani bhuvanesh Murugaiya</t>
  </si>
  <si>
    <t>Mukesh Kumar Kesavan</t>
  </si>
  <si>
    <t>Aarthi Kesavan R</t>
  </si>
  <si>
    <t>Yuvapriya Vinayagamoorthy</t>
  </si>
  <si>
    <t>Gayathri Muniyappan</t>
  </si>
  <si>
    <t>Jothika Perumal</t>
  </si>
  <si>
    <t>Vijaya Pandian Baskaran</t>
  </si>
  <si>
    <t>Gurumurthi Dhandapani</t>
  </si>
  <si>
    <t>Feminasha Sathick Basha</t>
  </si>
  <si>
    <t>Ganga Kowsalya Udhaya kumar</t>
  </si>
  <si>
    <t>Prince Yesuraj Ravi</t>
  </si>
  <si>
    <t>Muthu Jothi</t>
  </si>
  <si>
    <t>Siji Chandran</t>
  </si>
  <si>
    <t>Siva Kumar Sundaram</t>
  </si>
  <si>
    <t>Subash Subramani</t>
  </si>
  <si>
    <t>Dhanush Senthilvel</t>
  </si>
  <si>
    <t>MD Althmash Shamsudeen Ghouse Mohideen</t>
  </si>
  <si>
    <t>Pugazhendhi Kamalakannan</t>
  </si>
  <si>
    <t>Balaji Deventhiran</t>
  </si>
  <si>
    <t>Pavithra Kabali</t>
  </si>
  <si>
    <t>Jebez Richard</t>
  </si>
  <si>
    <t>Dhivyabharathi Veerasami</t>
  </si>
  <si>
    <t>Leena Steffina Gunasekaran</t>
  </si>
  <si>
    <t>Vijay Rathakrishnan</t>
  </si>
  <si>
    <t>Harish Babu</t>
  </si>
  <si>
    <t>Madhivanan Sundar</t>
  </si>
  <si>
    <t>Karan Suresh</t>
  </si>
  <si>
    <t>Sandiya Bavalalith Prasath</t>
  </si>
  <si>
    <t>Pandiammal Thirugnanasambandam</t>
  </si>
  <si>
    <t>Janani Ravi</t>
  </si>
  <si>
    <t>Keerthiga Kothandan</t>
  </si>
  <si>
    <t>Thilagavathi Elumalai</t>
  </si>
  <si>
    <t>Mohamed Ejas Ali Muhamed Hussain</t>
  </si>
  <si>
    <t>Muthamizhan Kumar</t>
  </si>
  <si>
    <t>Priya Munusamy Raju</t>
  </si>
  <si>
    <t>Rajesh Murugesan M</t>
  </si>
  <si>
    <t>Mahalakshmi Sekar</t>
  </si>
  <si>
    <t>Latha Murthy</t>
  </si>
  <si>
    <t>Tamilmani Velayutham</t>
  </si>
  <si>
    <t>Abinaya Udhayasuriyan</t>
  </si>
  <si>
    <t>Arockia Infant Ansan Gabriel</t>
  </si>
  <si>
    <t>Fazal Abbas Reyas Hussian</t>
  </si>
  <si>
    <t>Muthukumar Mathan</t>
  </si>
  <si>
    <t>Domesan Kumar</t>
  </si>
  <si>
    <t>Lokesh Narasimmanraju</t>
  </si>
  <si>
    <t>Vasu Markandya Raju</t>
  </si>
  <si>
    <t>Priyanka Arumugam</t>
  </si>
  <si>
    <t>Vinothraj Anthonisamy</t>
  </si>
  <si>
    <t>Priyanka Kumar</t>
  </si>
  <si>
    <t>Arul Jothi Murugesan</t>
  </si>
  <si>
    <t>Jawahar Franklin Arockiya Raju</t>
  </si>
  <si>
    <t>Sangeetha Gunasekaran</t>
  </si>
  <si>
    <t>Nandhini Sasi kumar</t>
  </si>
  <si>
    <t>Asma Shajahan</t>
  </si>
  <si>
    <t>Rameez Raja Rafi</t>
  </si>
  <si>
    <t>Naresh Chandar Srinivasan</t>
  </si>
  <si>
    <t>Hemavarshini Ramesh</t>
  </si>
  <si>
    <t>Rekha Janarthanan</t>
  </si>
  <si>
    <t>Muthu Krishnan Perumal</t>
  </si>
  <si>
    <t>Divyasri Kumaravel</t>
  </si>
  <si>
    <t>Devapriya Samsanraj</t>
  </si>
  <si>
    <t>Flaviya Stephen</t>
  </si>
  <si>
    <t>Tamilarasan Paranthaman</t>
  </si>
  <si>
    <t>Jayasri Dhinakaran</t>
  </si>
  <si>
    <t>Monish Ramesh</t>
  </si>
  <si>
    <t>Elamparithi Elangovan</t>
  </si>
  <si>
    <t>Anandraj Joseph</t>
  </si>
  <si>
    <t>Deva Bakthavachalam</t>
  </si>
  <si>
    <t>Ajith Thomas</t>
  </si>
  <si>
    <t>Jacob Stephen</t>
  </si>
  <si>
    <t>Logeshwaran Kannan</t>
  </si>
  <si>
    <t>Yuvaraj Dilli</t>
  </si>
  <si>
    <t>Deputy Manager</t>
  </si>
  <si>
    <t>Naveen Kumar Khalid</t>
  </si>
  <si>
    <t>Nandakumar Chandran</t>
  </si>
  <si>
    <t>Purnima Ramesh</t>
  </si>
  <si>
    <t>MT</t>
  </si>
  <si>
    <t>Management Trainee</t>
  </si>
  <si>
    <t>Sureshkumar Ekambaram</t>
  </si>
  <si>
    <t>Bhuvanesh Nagarajan</t>
  </si>
  <si>
    <t>Manikandan K K Perumal</t>
  </si>
  <si>
    <t>Karthikeyan Sekar</t>
  </si>
  <si>
    <t>Ops Management</t>
  </si>
  <si>
    <t>Sanjith Jayachandran</t>
  </si>
  <si>
    <t>Rajkumar Mothiramrao</t>
  </si>
  <si>
    <t>Senior Manager</t>
  </si>
  <si>
    <t>Vijayasarathy S</t>
  </si>
  <si>
    <t>Senior Director</t>
  </si>
  <si>
    <t>Venkataramana Chittibabu</t>
  </si>
  <si>
    <t>House Keeping Incharge</t>
  </si>
  <si>
    <t>Kokila Murugan</t>
  </si>
  <si>
    <t>Raja Arutselvan Prathaban</t>
  </si>
  <si>
    <t>HR Executive</t>
  </si>
  <si>
    <t>Harikrishna Muralidharan</t>
  </si>
  <si>
    <t>Ranganathan Ravi</t>
  </si>
  <si>
    <t>MIS Executive</t>
  </si>
  <si>
    <t>Ashok Kumar Pazhani</t>
  </si>
  <si>
    <t>Senior Developer</t>
  </si>
  <si>
    <t>Albert Benjamin Anil kumar</t>
  </si>
  <si>
    <t>Shalini Rajan k</t>
  </si>
  <si>
    <t>Junior Web developer</t>
  </si>
  <si>
    <t>Dinesh Kumar Prasanth</t>
  </si>
  <si>
    <t>Akash Aravind Anil kumar</t>
  </si>
  <si>
    <t>SivaKumar Subramanian</t>
  </si>
  <si>
    <t>Quality Analyst</t>
  </si>
  <si>
    <t>Krishna Raj Vasudevan R</t>
  </si>
  <si>
    <t>Aruna Gayathri Seetharaman</t>
  </si>
  <si>
    <t>Ravi Kumar Thirunavukarasu</t>
  </si>
  <si>
    <t>Sridhar Srinivasan</t>
  </si>
  <si>
    <t>Martin Raj Iruthaya Raj</t>
  </si>
  <si>
    <t>Vijaya Anandhi Bilavendran A</t>
  </si>
  <si>
    <t>Vamsi Krishna Reddy Sriram Reddy</t>
  </si>
  <si>
    <t>Hari Haran Kanna R</t>
  </si>
  <si>
    <t>Sindhuja Sathyanarayanan</t>
  </si>
  <si>
    <t>SriRamachandran Levan R</t>
  </si>
  <si>
    <t>SWAT</t>
  </si>
  <si>
    <t>Vasudevan Perumal</t>
  </si>
  <si>
    <t>Sivagnanam Rajendran</t>
  </si>
  <si>
    <t>Sakthivel Arumugam</t>
  </si>
  <si>
    <t>Kavitha Singaravelan</t>
  </si>
  <si>
    <t>Jenifer Mary Francis Xavier</t>
  </si>
  <si>
    <t>Lavanya Veerasami</t>
  </si>
  <si>
    <t>Vijay Selvaraj</t>
  </si>
  <si>
    <t>Rubavathy Essikial Raj</t>
  </si>
  <si>
    <t>Umamaheswari Prakash</t>
  </si>
  <si>
    <t>In $'s</t>
  </si>
  <si>
    <t>Count of Salary2</t>
  </si>
  <si>
    <t>Sum of Salary</t>
  </si>
  <si>
    <t>Average of Salary2</t>
  </si>
  <si>
    <t>Ops support</t>
  </si>
  <si>
    <t>TL&amp; AM</t>
  </si>
  <si>
    <t>M</t>
  </si>
  <si>
    <t>Count of Emp ID</t>
  </si>
  <si>
    <t>Average of Salary</t>
  </si>
  <si>
    <t>Monthly impact</t>
  </si>
  <si>
    <t>Description</t>
  </si>
  <si>
    <t>Rate</t>
  </si>
  <si>
    <t>Quantity</t>
  </si>
  <si>
    <t>HP I5 SYSTEM</t>
  </si>
  <si>
    <t>HP DESIGNER SYST</t>
  </si>
  <si>
    <t>HP/LENOVO/DELL LTOP I5/I7</t>
  </si>
  <si>
    <t>24 LED</t>
  </si>
  <si>
    <t>18.5" LED</t>
  </si>
  <si>
    <t>SERVER SYST</t>
  </si>
  <si>
    <t>Hp I7 /16GB/Graphics Laptop</t>
  </si>
  <si>
    <t>Hp I7 Without Monitor</t>
  </si>
  <si>
    <t>Sum of Total</t>
  </si>
  <si>
    <t>Sum of Total2</t>
  </si>
  <si>
    <t>HCA</t>
  </si>
  <si>
    <t>(blank)</t>
  </si>
  <si>
    <t>Operations Support</t>
  </si>
  <si>
    <t>standard 17.5K for 2026 - Removed the expense as we lost YDI</t>
  </si>
  <si>
    <t xml:space="preserve">$0.06 </t>
  </si>
  <si>
    <t xml:space="preserve">$1,750.00 </t>
  </si>
  <si>
    <t xml:space="preserve">$1,350.00 </t>
  </si>
  <si>
    <t>Development</t>
  </si>
  <si>
    <t>Monthly Avg</t>
  </si>
  <si>
    <t>Total Earnings - Dec 2025</t>
  </si>
  <si>
    <t>CTC</t>
  </si>
  <si>
    <t>Senior Quality Analyst</t>
  </si>
  <si>
    <t>Admin</t>
  </si>
  <si>
    <t>IT</t>
  </si>
  <si>
    <t>Junior IT Executive</t>
  </si>
  <si>
    <t>Manikandan K k Perumal</t>
  </si>
  <si>
    <t>Business Excellence Analyst</t>
  </si>
  <si>
    <t>Group Coordinator</t>
  </si>
  <si>
    <t>Senior MIS Executive</t>
  </si>
  <si>
    <t>Sai Sarrvesh Gopalakrishnan</t>
  </si>
  <si>
    <t>Siva Bala Sivasubramanian</t>
  </si>
  <si>
    <t>Subhasri Mathi</t>
  </si>
  <si>
    <t>Rajesh kumar Joseph</t>
  </si>
  <si>
    <t>Sriram Sundaramoorthy</t>
  </si>
  <si>
    <t>Gayathri Loganthan</t>
  </si>
  <si>
    <t>Muthu Sekar</t>
  </si>
  <si>
    <t>Partheeban Karunakaran</t>
  </si>
  <si>
    <t>Sivakumar Kannan</t>
  </si>
  <si>
    <t>Gnanaprakash Gollakandriga</t>
  </si>
  <si>
    <t>Sharmiya Sankari Nagendran</t>
  </si>
  <si>
    <t>Madhumitha Murugesan</t>
  </si>
  <si>
    <t>Meenakshi Sundaram</t>
  </si>
  <si>
    <t>Kalaivani Kumar</t>
  </si>
  <si>
    <t>Panbarasu Sambath</t>
  </si>
  <si>
    <t>Charulatha Ganapathy</t>
  </si>
  <si>
    <t>Thilak Elangovan</t>
  </si>
  <si>
    <t>Arun Sureshkumar</t>
  </si>
  <si>
    <t>Sanjai Vinothkumar</t>
  </si>
  <si>
    <t>Mohanaprasath Thirunavukkarasu</t>
  </si>
  <si>
    <t>Thirunavukarasu Thiyagamannan</t>
  </si>
  <si>
    <t>Ismath Badhusha</t>
  </si>
  <si>
    <t>Sivasankari Nagarajan</t>
  </si>
  <si>
    <t>Jaya Seelan</t>
  </si>
  <si>
    <t>Murugan Jothi</t>
  </si>
  <si>
    <t>Jayasridhar Sellamuthu</t>
  </si>
  <si>
    <t>Gopiraj Munisamy</t>
  </si>
  <si>
    <t>Madhumitha Anbalagan</t>
  </si>
  <si>
    <t>Patient Calling Associate</t>
  </si>
  <si>
    <t>Sangeethapriya Selvaganeshan</t>
  </si>
  <si>
    <t>Lokesh Kannan</t>
  </si>
  <si>
    <t>Iswarea Laxmi Muralidharan</t>
  </si>
  <si>
    <t>Kavitha Varadharajan</t>
  </si>
  <si>
    <t>Preethi Mariya Navamani</t>
  </si>
  <si>
    <t>Dillirani Sampath</t>
  </si>
  <si>
    <t>Renuka Devi Sitharthan</t>
  </si>
  <si>
    <t>Senior Recruiter</t>
  </si>
  <si>
    <t>Leanne Maria Robson</t>
  </si>
  <si>
    <t>Prabu Bose</t>
  </si>
  <si>
    <t>Senior Network Engineer</t>
  </si>
  <si>
    <t>Prem Kumar Easwaran</t>
  </si>
  <si>
    <t>Ravali Siva</t>
  </si>
  <si>
    <t>Vijayakumar sankar</t>
  </si>
  <si>
    <t>Suriyaprakash Devaraj</t>
  </si>
  <si>
    <t>Dhanapal Katturaja</t>
  </si>
  <si>
    <t>Yogananthan Srinivasan</t>
  </si>
  <si>
    <t>Anushya Subramaniyan</t>
  </si>
  <si>
    <t>Deborah Sharon McLeod Ralph McLeod</t>
  </si>
  <si>
    <t>Abishek Thangavel</t>
  </si>
  <si>
    <t>Suresh Debnath</t>
  </si>
  <si>
    <t>Raja Siva</t>
  </si>
  <si>
    <t>Sanjay Balaji</t>
  </si>
  <si>
    <t>Pradeep Rajendran</t>
  </si>
  <si>
    <t>Mohammed Fiyaz Syed Mohammed Umar</t>
  </si>
  <si>
    <t>Bharath Thirumalai</t>
  </si>
  <si>
    <t>Errol Douglas Rogers Sinclair Rogers</t>
  </si>
  <si>
    <t>Sasikumar Manikandan</t>
  </si>
  <si>
    <t>Sharmila Suhesh kumar</t>
  </si>
  <si>
    <t>Udayamalar Kannan</t>
  </si>
  <si>
    <t>Mohanvel Baskar</t>
  </si>
  <si>
    <t>Prathyusha Kumaran</t>
  </si>
  <si>
    <t>Sandhiya Gandhi</t>
  </si>
  <si>
    <t>Eswar Sivakumar</t>
  </si>
  <si>
    <t>Clement Johnson Vincent Johnson</t>
  </si>
  <si>
    <t>Stafford Martin Sean Jerome Martin</t>
  </si>
  <si>
    <t>Surya Karthikeyan</t>
  </si>
  <si>
    <t>Madan Kumar Guna sekar</t>
  </si>
  <si>
    <t>06/01/2025</t>
  </si>
  <si>
    <t>Senior Patient Calling Associate</t>
  </si>
  <si>
    <t>Edward Bosco Pereira</t>
  </si>
  <si>
    <t>13/01/2025</t>
  </si>
  <si>
    <t>Dhanapal Govindan</t>
  </si>
  <si>
    <t>03/02/2025</t>
  </si>
  <si>
    <t>Kumar Mohandoss</t>
  </si>
  <si>
    <t>10/02/2025</t>
  </si>
  <si>
    <t>Manohar Mandolla</t>
  </si>
  <si>
    <t>12/02/2025</t>
  </si>
  <si>
    <t>Sai Charan Suresh Babu</t>
  </si>
  <si>
    <t>Sakthivel Rammoorthi</t>
  </si>
  <si>
    <t>Ananth Rajalingam</t>
  </si>
  <si>
    <t>17/02/2025</t>
  </si>
  <si>
    <t>Charlotte D'cruz Wallace D'silva</t>
  </si>
  <si>
    <t>Mohana Priyanka Sivakumar</t>
  </si>
  <si>
    <t>25/02/2025</t>
  </si>
  <si>
    <t>Gerald Thomas Mcleod M J Mcleod</t>
  </si>
  <si>
    <t>26/02/2025</t>
  </si>
  <si>
    <t>Madhan Kumar Ravikumar</t>
  </si>
  <si>
    <t>03/03/2025</t>
  </si>
  <si>
    <t>Kannan Mannar</t>
  </si>
  <si>
    <t>Kathavarayan Perumal</t>
  </si>
  <si>
    <t>05/03/2025</t>
  </si>
  <si>
    <t>Bharathi Arjunan</t>
  </si>
  <si>
    <t>19/03/2025</t>
  </si>
  <si>
    <t>Kanimozhi Kumar</t>
  </si>
  <si>
    <t>Monesh Kumar Suresh kumar</t>
  </si>
  <si>
    <t>Swetha Chidambaram</t>
  </si>
  <si>
    <t>24/03/2025</t>
  </si>
  <si>
    <t>Hemanthkumar Bhaskaaran</t>
  </si>
  <si>
    <t>01/04/2025</t>
  </si>
  <si>
    <t>Uma Dhamodaran kundasi</t>
  </si>
  <si>
    <t>03/04/2025</t>
  </si>
  <si>
    <t>Liza Saravanan</t>
  </si>
  <si>
    <t>07/04/2025</t>
  </si>
  <si>
    <t>Yuvaraj Sukumaran</t>
  </si>
  <si>
    <t>16/04/2025</t>
  </si>
  <si>
    <t>Saicharan Nagarathnam Raj</t>
  </si>
  <si>
    <t>21/04/2025</t>
  </si>
  <si>
    <t>Chandravathi Devendiran</t>
  </si>
  <si>
    <t>Narmadha Thirumalraj</t>
  </si>
  <si>
    <t>sangeetha Ellappan</t>
  </si>
  <si>
    <t>Vijitha Govindraj</t>
  </si>
  <si>
    <t>Sudha Palani</t>
  </si>
  <si>
    <t>Vijayalakshmi Kumar</t>
  </si>
  <si>
    <t>Nandakumar perumal</t>
  </si>
  <si>
    <t>23/04/2025</t>
  </si>
  <si>
    <t>Angel Sundarraj</t>
  </si>
  <si>
    <t>24/04/2025</t>
  </si>
  <si>
    <t>Jennifer Victorraj</t>
  </si>
  <si>
    <t>Harini Sowmiyan</t>
  </si>
  <si>
    <t>28/04/2025</t>
  </si>
  <si>
    <t>Rufus Ryan Fraser Maxieal Fraser</t>
  </si>
  <si>
    <t>Venkatesh Rajkumar</t>
  </si>
  <si>
    <t>Bruce Christopher Abraham Lincoln</t>
  </si>
  <si>
    <t>05/05/2025</t>
  </si>
  <si>
    <t>Ponnuraman Gopal</t>
  </si>
  <si>
    <t>12/05/2025</t>
  </si>
  <si>
    <t>Aarthi Kesavan</t>
  </si>
  <si>
    <t>Manisha Paulraj</t>
  </si>
  <si>
    <t>15/05/2025</t>
  </si>
  <si>
    <t>Prabanjan Moorthy</t>
  </si>
  <si>
    <t>Chandrasekar Arunachalam</t>
  </si>
  <si>
    <t>19/05/2025</t>
  </si>
  <si>
    <t>Arun Ravindran</t>
  </si>
  <si>
    <t>Vignesh Rajakumaran</t>
  </si>
  <si>
    <t>John Fredrick Wellington</t>
  </si>
  <si>
    <t>21/05/2025</t>
  </si>
  <si>
    <t>Iyappan Arulinbam</t>
  </si>
  <si>
    <t>26/05/2025</t>
  </si>
  <si>
    <t>Priyanga Baskar Setrock</t>
  </si>
  <si>
    <t>02/06/2025</t>
  </si>
  <si>
    <t>Goldwin Nesaraj Gnanaraj</t>
  </si>
  <si>
    <t>Sunil Kumar Anandan</t>
  </si>
  <si>
    <t>03/06/2025</t>
  </si>
  <si>
    <t>Merlin Suja Siluvai dass</t>
  </si>
  <si>
    <t>04/06/2025</t>
  </si>
  <si>
    <t>Alroy Meyer Trevor</t>
  </si>
  <si>
    <t>05/06/2025</t>
  </si>
  <si>
    <t>Vignesh Kumar Saravanan</t>
  </si>
  <si>
    <t>09/06/2025</t>
  </si>
  <si>
    <t>Mukesh Govindaraj</t>
  </si>
  <si>
    <t>12/06/2025</t>
  </si>
  <si>
    <t>Aisheca Anita</t>
  </si>
  <si>
    <t>Pavithra Selvaraj</t>
  </si>
  <si>
    <t>16/06/2025</t>
  </si>
  <si>
    <t>Joe David Josephraj</t>
  </si>
  <si>
    <t>Birudolu Manjusree Birudolu Nagaraju</t>
  </si>
  <si>
    <t>Sridhar Harikrishnan</t>
  </si>
  <si>
    <t>17/06/2025</t>
  </si>
  <si>
    <t>Monish Kumar Venugopal</t>
  </si>
  <si>
    <t>18/06/2025</t>
  </si>
  <si>
    <t>Khadar Oli Shahul Hameed</t>
  </si>
  <si>
    <t>19/06/2025</t>
  </si>
  <si>
    <t>Elango Mahendran</t>
  </si>
  <si>
    <t>23/06/2025</t>
  </si>
  <si>
    <t>Pethuselvi Pethuraja</t>
  </si>
  <si>
    <t>30/06/2025</t>
  </si>
  <si>
    <t>Ganesh Govindhan</t>
  </si>
  <si>
    <t>Gowthami Suresh</t>
  </si>
  <si>
    <t>Naresh Kumar Gunasekaran</t>
  </si>
  <si>
    <t>Jude Robinson Samson</t>
  </si>
  <si>
    <t>03/07/2025</t>
  </si>
  <si>
    <t>Lakshmi Priya Kannappan</t>
  </si>
  <si>
    <t>07/07/2025</t>
  </si>
  <si>
    <t>Sathyaraj Balasubramanian</t>
  </si>
  <si>
    <t>Dominic Rajesh</t>
  </si>
  <si>
    <t>Lokesh Arumugam</t>
  </si>
  <si>
    <t>Arokiaraj Lesly Adaikalaraj</t>
  </si>
  <si>
    <t>10/07/2025</t>
  </si>
  <si>
    <t>Pavithra Perumal</t>
  </si>
  <si>
    <t>15/07/2025</t>
  </si>
  <si>
    <t>Suresh Narayanan</t>
  </si>
  <si>
    <t>16/07/2025</t>
  </si>
  <si>
    <t>Priyanka Arunagiri</t>
  </si>
  <si>
    <t>21/07/2025</t>
  </si>
  <si>
    <t>Suresh Gunasekaran</t>
  </si>
  <si>
    <t>25/07/2025</t>
  </si>
  <si>
    <t>Elizabeth Sudalai</t>
  </si>
  <si>
    <t>28/07/2025</t>
  </si>
  <si>
    <t>Saranya Mani</t>
  </si>
  <si>
    <t>Sweena Selvakumar</t>
  </si>
  <si>
    <t>Surutheen Balaji</t>
  </si>
  <si>
    <t>Rishikesh Priyadharshini Sachithanantham</t>
  </si>
  <si>
    <t>Gopinath Devadass</t>
  </si>
  <si>
    <t>Adnan Ahamed Abdul Jaleel</t>
  </si>
  <si>
    <t>Sivasakthi Badmanaban</t>
  </si>
  <si>
    <t>Ahamed Abdul Subhan Mahaboob Basha</t>
  </si>
  <si>
    <t>Besilia Immanuvel</t>
  </si>
  <si>
    <t>Visalatchi Somasundaram</t>
  </si>
  <si>
    <t>Latha Bharathidasan</t>
  </si>
  <si>
    <t>04/08/2025</t>
  </si>
  <si>
    <t>Prakash Sivakumar</t>
  </si>
  <si>
    <t>Sanjeev Govind</t>
  </si>
  <si>
    <t>Senior Graphic Designer</t>
  </si>
  <si>
    <t>Joshua Sundar Alexander</t>
  </si>
  <si>
    <t>Naveen Jamuna</t>
  </si>
  <si>
    <t>Deebak Ravi</t>
  </si>
  <si>
    <t>05/08/2025</t>
  </si>
  <si>
    <t>Bhuvana Dharshini Chandrasekaran</t>
  </si>
  <si>
    <t>06/08/2025</t>
  </si>
  <si>
    <t>Nikthunnisa Farook Beig</t>
  </si>
  <si>
    <t>08/08/2025</t>
  </si>
  <si>
    <t>Soniya Shankar</t>
  </si>
  <si>
    <t>11/08/2025</t>
  </si>
  <si>
    <t>Martino Gomes Claude</t>
  </si>
  <si>
    <t>Alister Durand Alfred Durand</t>
  </si>
  <si>
    <t>Gopi Kannan Raja</t>
  </si>
  <si>
    <t>12/08/2025</t>
  </si>
  <si>
    <t>Gowri Kulasekaran</t>
  </si>
  <si>
    <t>Joy Jacob Leo Jayaseelan</t>
  </si>
  <si>
    <t>13/08/2025</t>
  </si>
  <si>
    <t>Kavithalaya Pandiyan</t>
  </si>
  <si>
    <t>18/08/2025</t>
  </si>
  <si>
    <t>Moses Donald Lourdusamy</t>
  </si>
  <si>
    <t>Jeyaprakash Sowndarajan</t>
  </si>
  <si>
    <t>Venkataraman Hari</t>
  </si>
  <si>
    <t>Ramprasath Murugan</t>
  </si>
  <si>
    <t>Karthiga Shanmugam</t>
  </si>
  <si>
    <t>Rajkumar Selvam</t>
  </si>
  <si>
    <t>Darkshiya Amarnath Palani Manicka velu</t>
  </si>
  <si>
    <t>25/08/2025</t>
  </si>
  <si>
    <t>Vayyana Sankar Chellasamy</t>
  </si>
  <si>
    <t>Varsha Shankar</t>
  </si>
  <si>
    <t>26/08/2025</t>
  </si>
  <si>
    <t>Arif Jakir Hussain</t>
  </si>
  <si>
    <t>01/09/2025</t>
  </si>
  <si>
    <t>Daniel Sharon David</t>
  </si>
  <si>
    <t>02/09/2025</t>
  </si>
  <si>
    <t>Visvanathan Theagarajan</t>
  </si>
  <si>
    <t>08/09/2025</t>
  </si>
  <si>
    <t>Ananthakumar selvam</t>
  </si>
  <si>
    <t>15/09/2025</t>
  </si>
  <si>
    <t>Ashok Kumar Kannaiyan</t>
  </si>
  <si>
    <t>General Manager</t>
  </si>
  <si>
    <t>Sherline Kiruba Baskar</t>
  </si>
  <si>
    <t>16/09/2025</t>
  </si>
  <si>
    <t>Senthil Kumar Selvamani</t>
  </si>
  <si>
    <t>17/09/2025</t>
  </si>
  <si>
    <t>Priyanka Shanmugavel</t>
  </si>
  <si>
    <t>22/09/2025</t>
  </si>
  <si>
    <t>Harish Sitharthan</t>
  </si>
  <si>
    <t>Kevin Jude Dcruz Orlando Dcruz</t>
  </si>
  <si>
    <t>Santhosh Sarathkumar</t>
  </si>
  <si>
    <t>24/09/2025</t>
  </si>
  <si>
    <t>Ranjith Kumar Rajaram</t>
  </si>
  <si>
    <t>29/09/2025</t>
  </si>
  <si>
    <t>Sunitha Sivaraman</t>
  </si>
  <si>
    <t>01/10/2025</t>
  </si>
  <si>
    <t>Maglin Vijay</t>
  </si>
  <si>
    <t>Process Coach</t>
  </si>
  <si>
    <t>Shameem Liyahathali</t>
  </si>
  <si>
    <t>03/10/2025</t>
  </si>
  <si>
    <t>Ranjith Rajendran</t>
  </si>
  <si>
    <t>Trainer</t>
  </si>
  <si>
    <t>Chelastin Sutharsan Raja Devasagayaraj</t>
  </si>
  <si>
    <t>06/10/2025</t>
  </si>
  <si>
    <t>Fathima Bebi Mohamed kashim</t>
  </si>
  <si>
    <t>Deepthi Jeganathan</t>
  </si>
  <si>
    <t>Prem Kumar Narayanan</t>
  </si>
  <si>
    <t>Balagurunath Sekaran</t>
  </si>
  <si>
    <t>08/10/2025</t>
  </si>
  <si>
    <t>Abhilash Muralidharan</t>
  </si>
  <si>
    <t>09/10/2025</t>
  </si>
  <si>
    <t>Stella Mary Aldridge</t>
  </si>
  <si>
    <t>Ashwin Jude Draviam Antony</t>
  </si>
  <si>
    <t>Christopher Rozario Eamalore</t>
  </si>
  <si>
    <t>13/10/2025</t>
  </si>
  <si>
    <t>Abijith Thiagarajan</t>
  </si>
  <si>
    <t>14/10/2025</t>
  </si>
  <si>
    <t>Caroline Lydia Rajwanthy David</t>
  </si>
  <si>
    <t>15/10/2025</t>
  </si>
  <si>
    <t>Sakthi Kolanchi</t>
  </si>
  <si>
    <t>23/10/2025</t>
  </si>
  <si>
    <t>Adithya Vasudevan</t>
  </si>
  <si>
    <t>Ganesh Irulappan</t>
  </si>
  <si>
    <t>Cyril James</t>
  </si>
  <si>
    <t>Muthuraju Anandakumar</t>
  </si>
  <si>
    <t>Jason chatelier Richard chatelier</t>
  </si>
  <si>
    <t>Saravanan Murthy</t>
  </si>
  <si>
    <t>Rudolph Dominic Anderson Ralph Anthony Anderson</t>
  </si>
  <si>
    <t>Prisilla Jenifer Ravindran</t>
  </si>
  <si>
    <t>19/11/2025</t>
  </si>
  <si>
    <t>Muralikrishnan Rajendran</t>
  </si>
  <si>
    <t>Samantha Steven Sedrick William steven</t>
  </si>
  <si>
    <t>24/11/2025</t>
  </si>
  <si>
    <t>Ranjith Raghavan</t>
  </si>
  <si>
    <t>01/12/2025</t>
  </si>
  <si>
    <t>Senior IT Executive</t>
  </si>
  <si>
    <t>Mokksha Kalyanasundaram</t>
  </si>
  <si>
    <t>02/12/2025</t>
  </si>
  <si>
    <t>Karthikeyan Selvam</t>
  </si>
  <si>
    <t>04/12/2025</t>
  </si>
  <si>
    <t>Karthick Rao Mohan</t>
  </si>
  <si>
    <t>08/12/2025</t>
  </si>
  <si>
    <t>Rakesh Selvam Thiravida Selvam</t>
  </si>
  <si>
    <t>Kalyan Kumar Mohan Babu</t>
  </si>
  <si>
    <t>Mohamed Halith Mohaideen Meeran</t>
  </si>
  <si>
    <t>Senior Coder</t>
  </si>
  <si>
    <t>Periyakaruppan Murugan</t>
  </si>
  <si>
    <t>Sudershan Vairaval Ramnath</t>
  </si>
  <si>
    <t>10/12/2025</t>
  </si>
  <si>
    <t>Antony Prasanna Mathiselvam</t>
  </si>
  <si>
    <t>15/12/2025</t>
  </si>
  <si>
    <t>Aravind Sachithananthan</t>
  </si>
  <si>
    <t>Enoch Godwill Moses</t>
  </si>
  <si>
    <t>Kayalvizhi Kalirethinam</t>
  </si>
  <si>
    <t>Lingesh Kumara Subramani</t>
  </si>
  <si>
    <t>Jude Carlos Williams</t>
  </si>
  <si>
    <t>Mathan John peter</t>
  </si>
  <si>
    <t>Sathya saravanan</t>
  </si>
  <si>
    <t>Shobana Moorthy</t>
  </si>
  <si>
    <t>Esther Lourdhu Mary Karunakaran</t>
  </si>
  <si>
    <t>Vinisha Sonal Arumugam</t>
  </si>
  <si>
    <t>Prasanna Nayaki Manivannan</t>
  </si>
  <si>
    <t>Vennila Chellakkannu</t>
  </si>
  <si>
    <t>Sharmila Banu Syed Meeranji</t>
  </si>
  <si>
    <t>Danie Rebecca Joshua</t>
  </si>
  <si>
    <t>Lenin Rajesh Raj</t>
  </si>
  <si>
    <t>Hari Sanjay Manikandan</t>
  </si>
  <si>
    <t>Manoj Kandan</t>
  </si>
  <si>
    <t>Abdullah Mohamed Kasim</t>
  </si>
  <si>
    <t>Ramya Selvakannan</t>
  </si>
  <si>
    <t>16/12/2025</t>
  </si>
  <si>
    <t>Prema Kumarasamy</t>
  </si>
  <si>
    <t>Shakila Govindaswamy</t>
  </si>
  <si>
    <t>Deepa Shri Ramalingasamy</t>
  </si>
  <si>
    <t>Premkumar Senthilkumar</t>
  </si>
  <si>
    <t>22/12/2025</t>
  </si>
  <si>
    <t>MBMS Cloud - Atlantic</t>
  </si>
  <si>
    <t>Notice for Vignesh</t>
  </si>
  <si>
    <t>Patient Calling</t>
  </si>
  <si>
    <t>Account Manager</t>
  </si>
  <si>
    <t>Athena</t>
  </si>
  <si>
    <t>Cair Health</t>
  </si>
  <si>
    <t>Biller</t>
  </si>
  <si>
    <t>New Addition</t>
  </si>
  <si>
    <t>New Additions for CSCC</t>
  </si>
  <si>
    <t>IVR Coding</t>
  </si>
  <si>
    <t>Backlog Volume (Non-End to End)</t>
  </si>
  <si>
    <t>N V Balaji and Co. - Legal &amp; Income tax(SMCS sister concern - Tax filing)</t>
  </si>
  <si>
    <t>Kasi's travel in July</t>
  </si>
  <si>
    <t>Emergent (Dottie)</t>
  </si>
  <si>
    <t>IT Software(MBMS Development)</t>
  </si>
  <si>
    <t>Existing Headcount as on Dec-25</t>
  </si>
  <si>
    <t>Total Headcount as on Feb 26th</t>
  </si>
  <si>
    <t>reduced from 889 to 570</t>
  </si>
  <si>
    <t>US Salaries</t>
  </si>
  <si>
    <t>Backops Team - Medrina</t>
  </si>
  <si>
    <t>Total US Salaries</t>
  </si>
  <si>
    <t>Interest/Finance Charges</t>
  </si>
  <si>
    <t>PBT</t>
  </si>
  <si>
    <t>Chase Credit card</t>
  </si>
  <si>
    <t>Org Restructuring Fees</t>
  </si>
  <si>
    <t>Telecom/Data &amp; others</t>
  </si>
  <si>
    <t>April</t>
  </si>
  <si>
    <t>New Revenue Workings( 7FTE * 1450) starting in May</t>
  </si>
  <si>
    <t>2650 Rev for 2months only - No headcount increase</t>
  </si>
  <si>
    <t>1000 Rev for 2months only - No headcount increase</t>
  </si>
  <si>
    <t>New Revenue Calculations Breakdown</t>
  </si>
  <si>
    <t xml:space="preserve">32400 Rev per month from August </t>
  </si>
  <si>
    <t>200000 collections @ 2% from July till Dec and increase in Sep and Nov</t>
  </si>
  <si>
    <t>3000 Rev from June till Dec</t>
  </si>
  <si>
    <t>FTE Required for the increased Rev</t>
  </si>
  <si>
    <t>1450*7 FTEs</t>
  </si>
  <si>
    <t>Added 5 FTEs every month from July till Dec</t>
  </si>
  <si>
    <t>FTEs for 32.4K 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</si>
</sst>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quot;$&quot;#,##0_);[Red]\(&quot;$&quot;#,##0\)"/>
    <numFmt numFmtId="165" formatCode="&quot;$&quot;#,##0.00_);\(&quot;$&quot;#,##0.00\)"/>
    <numFmt numFmtId="166" formatCode="&quot;$&quot;#,##0.00_);[Red]\(&quot;$&quot;#,##0.00\)"/>
    <numFmt numFmtId="167" formatCode="_(&quot;$&quot;* #,##0.00_);_(&quot;$&quot;* \(#,##0.00\);_(&quot;$&quot;* &quot;-&quot;??_);_(@_)"/>
    <numFmt numFmtId="168" formatCode="_(* #,##0.00_);_(* \(#,##0.00\);_(* &quot;-&quot;??_);_(@_)"/>
    <numFmt numFmtId="169" formatCode="_ * #,##0.00_ ;_ * \-#,##0.00_ ;_ * &quot;-&quot;??_ ;_ @_ "/>
    <numFmt numFmtId="170" formatCode="&quot;$&quot;#,##0.00"/>
    <numFmt numFmtId="171" formatCode="&quot;$&quot;#,##0"/>
    <numFmt numFmtId="172" formatCode="0.0%"/>
    <numFmt numFmtId="173" formatCode="_(* #,##0_);_(* \(#,##0\);_(* &quot;-&quot;??_);_(@_)"/>
    <numFmt numFmtId="174" formatCode="_(&quot;$&quot;* #,##0_);_(&quot;$&quot;* \(#,##0\);_(&quot;$&quot;* &quot;-&quot;??_);_(@_)"/>
    <numFmt numFmtId="175" formatCode="_ * #,##0_ ;_ * \-#,##0_ ;_ * &quot;-&quot;??_ ;_ @_ "/>
    <numFmt numFmtId="176" formatCode="_([$$-409]* #,##0_);_([$$-409]* \(#,##0\);_([$$-409]* &quot;-&quot;??_);_(@_)"/>
    <numFmt numFmtId="177" formatCode="_([$$-409]* #,##0.00_);_([$$-409]* \(#,##0.00\);_([$$-409]* &quot;-&quot;??_);_(@_)"/>
    <numFmt numFmtId="178" formatCode="_ [$₹-449]\ * #,##0_ ;_ [$₹-449]\ * \-#,##0_ ;_ [$₹-449]\ * &quot;-&quot;??_ ;_ @_ "/>
    <numFmt numFmtId="179" formatCode="[$INR]\ #,##0"/>
    <numFmt numFmtId="180" formatCode="&quot;$&quot;#,##0.000_);[Red]\(&quot;$&quot;#,##0.000\)"/>
    <numFmt numFmtId="181" formatCode="_-* #,##0_-;\-* #,##0_-;_-* &quot;-&quot;??_-;_-@_-"/>
    <numFmt numFmtId="182" formatCode="_-* #,##0.0_-;\-* #,##0.0_-;_-* &quot;-&quot;??_-;_-@_-"/>
    <numFmt numFmtId="183" formatCode="0.0"/>
    <numFmt numFmtId="184" formatCode="&quot;USD&quot;\ 0"/>
    <numFmt numFmtId="185" formatCode="&quot;INR&quot;\ 0"/>
    <numFmt numFmtId="186" formatCode="&quot;INR&quot;\ 0\ &quot;Per Employee&quot;"/>
    <numFmt numFmtId="187" formatCode="&quot;USD&quot;\ 0\ &quot;Per Paycycle&quot;"/>
    <numFmt numFmtId="188" formatCode="_-[$$-409]* #,##0_ ;_-[$$-409]* \-#,##0\ ;_-[$$-409]* &quot;-&quot;??_ ;_-@_ "/>
  </numFmts>
  <fonts count="8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0"/>
      <color rgb="FFFFFFFF"/>
      <name val="Calibri"/>
      <family val="2"/>
    </font>
    <font>
      <sz val="10"/>
      <color rgb="FF000000"/>
      <name val="Calibri"/>
      <family val="2"/>
    </font>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
      <sz val="11"/>
      <color indexed="8"/>
      <name val="Calibri"/>
      <family val="2"/>
      <scheme val="minor"/>
    </font>
    <font>
      <sz val="12"/>
      <color theme="1"/>
      <name val="Calibri"/>
      <family val="2"/>
      <scheme val="minor"/>
    </font>
    <font>
      <sz val="10"/>
      <name val="Arial"/>
      <family val="2"/>
    </font>
    <font>
      <b/>
      <sz val="16"/>
      <name val="Calibri"/>
      <family val="2"/>
      <scheme val="minor"/>
    </font>
    <font>
      <b/>
      <sz val="12"/>
      <name val="Calibri"/>
      <family val="2"/>
      <scheme val="minor"/>
    </font>
    <font>
      <b/>
      <sz val="12"/>
      <color theme="1"/>
      <name val="Calibri"/>
      <family val="2"/>
      <scheme val="minor"/>
    </font>
    <font>
      <b/>
      <sz val="11"/>
      <color theme="0"/>
      <name val="Calibri"/>
      <family val="2"/>
    </font>
    <font>
      <b/>
      <sz val="14"/>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b/>
      <sz val="11"/>
      <color theme="4" tint="-0.499984740745262"/>
      <name val="Calibri"/>
      <family val="2"/>
      <scheme val="minor"/>
    </font>
    <font>
      <sz val="11"/>
      <name val="Calibri"/>
      <family val="2"/>
    </font>
    <font>
      <sz val="11"/>
      <color rgb="FF000000"/>
      <name val="Arial"/>
      <family val="2"/>
    </font>
    <font>
      <sz val="12"/>
      <name val="Calibri"/>
      <family val="2"/>
      <scheme val="minor"/>
    </font>
    <font>
      <sz val="10"/>
      <color rgb="FF000000"/>
      <name val="Calibri"/>
      <family val="2"/>
      <scheme val="minor"/>
    </font>
    <font>
      <sz val="11"/>
      <color theme="0"/>
      <name val="Calibri"/>
      <family val="2"/>
      <scheme val="minor"/>
    </font>
    <font>
      <b/>
      <sz val="10"/>
      <color theme="1"/>
      <name val="Times New Roman"/>
      <family val="1"/>
    </font>
    <font>
      <b/>
      <sz val="10"/>
      <color rgb="FF212529"/>
      <name val="Times New Roman"/>
      <family val="1"/>
    </font>
    <font>
      <sz val="10"/>
      <color theme="1"/>
      <name val="Times New Roman"/>
      <family val="1"/>
    </font>
    <font>
      <sz val="10"/>
      <color rgb="FF000000"/>
      <name val="Times New Roman"/>
      <family val="1"/>
    </font>
    <font>
      <i/>
      <sz val="10"/>
      <color indexed="8"/>
      <name val="Times New Roman"/>
      <family val="1"/>
    </font>
    <font>
      <b/>
      <sz val="10"/>
      <color theme="5" tint="-0.499984740745262"/>
      <name val="Times New Roman"/>
      <family val="1"/>
    </font>
    <font>
      <b/>
      <sz val="10"/>
      <color rgb="FF000000"/>
      <name val="Times New Roman"/>
      <family val="1"/>
    </font>
    <font>
      <b/>
      <sz val="11"/>
      <name val="Calibri"/>
      <family val="2"/>
    </font>
    <font>
      <sz val="11"/>
      <color rgb="FF000000"/>
      <name val="Calibri"/>
      <family val="2"/>
    </font>
    <font>
      <b/>
      <sz val="9"/>
      <color indexed="81"/>
      <name val="Tahoma"/>
      <family val="2"/>
    </font>
    <font>
      <sz val="11"/>
      <color rgb="FFFF0000"/>
      <name val="Calibri"/>
      <family val="2"/>
      <scheme val="minor"/>
    </font>
    <font>
      <b/>
      <sz val="12"/>
      <color theme="0"/>
      <name val="Calibri"/>
      <family val="2"/>
      <scheme val="minor"/>
    </font>
    <font>
      <b/>
      <sz val="12"/>
      <color rgb="FFFF0000"/>
      <name val="Calibri"/>
      <family val="2"/>
      <scheme val="minor"/>
    </font>
    <font>
      <sz val="8"/>
      <name val="Calibri"/>
      <family val="2"/>
      <scheme val="minor"/>
    </font>
    <font>
      <i/>
      <sz val="10"/>
      <name val="Calibri"/>
      <family val="2"/>
      <scheme val="minor"/>
    </font>
    <font>
      <i/>
      <sz val="10"/>
      <color theme="1"/>
      <name val="Calibri"/>
      <family val="2"/>
      <scheme val="minor"/>
    </font>
    <font>
      <b/>
      <sz val="12"/>
      <color theme="1"/>
      <name val="Times New Roman"/>
      <family val="1"/>
    </font>
    <font>
      <sz val="12"/>
      <color theme="1"/>
      <name val="Times New Roman"/>
      <family val="1"/>
    </font>
    <font>
      <b/>
      <sz val="12"/>
      <color theme="0"/>
      <name val="Times New Roman"/>
      <family val="1"/>
    </font>
    <font>
      <sz val="10"/>
      <color theme="1"/>
      <name val="Calibri"/>
      <family val="2"/>
      <scheme val="minor"/>
    </font>
    <font>
      <b/>
      <sz val="10"/>
      <color theme="1"/>
      <name val="Calibri"/>
      <family val="2"/>
      <scheme val="minor"/>
    </font>
    <font>
      <sz val="9"/>
      <color indexed="81"/>
      <name val="Tahoma"/>
      <family val="2"/>
    </font>
    <font>
      <sz val="11"/>
      <color theme="1"/>
      <name val="Calibri"/>
      <family val="2"/>
    </font>
    <font>
      <b/>
      <sz val="11"/>
      <color theme="1"/>
      <name val="Calibri"/>
      <family val="2"/>
    </font>
    <font>
      <sz val="11"/>
      <color theme="0"/>
      <name val="Calibri"/>
      <family val="2"/>
    </font>
    <font>
      <sz val="12"/>
      <name val="Times New Roman"/>
      <family val="1"/>
    </font>
    <font>
      <sz val="12"/>
      <color theme="0"/>
      <name val="Calibri"/>
      <family val="2"/>
      <scheme val="minor"/>
    </font>
    <font>
      <sz val="12"/>
      <color rgb="FFFF0000"/>
      <name val="Calibri"/>
      <family val="2"/>
      <scheme val="minor"/>
    </font>
    <font>
      <b/>
      <sz val="9"/>
      <color rgb="FF000000"/>
      <name val="Tahoma"/>
      <family val="2"/>
    </font>
    <font>
      <sz val="9"/>
      <color rgb="FF000000"/>
      <name val="Tahoma"/>
      <family val="2"/>
    </font>
    <font>
      <sz val="11"/>
      <color rgb="FF000000"/>
      <name val="Aptos Narrow"/>
      <family val="2"/>
    </font>
    <font>
      <b/>
      <sz val="12"/>
      <color rgb="FFFFFFFF"/>
      <name val="Calibri Light"/>
      <family val="2"/>
    </font>
    <font>
      <sz val="11"/>
      <color rgb="FF000000"/>
      <name val="Calibri"/>
      <family val="2"/>
      <scheme val="minor"/>
    </font>
    <font>
      <sz val="12"/>
      <color rgb="FF000000"/>
      <name val="Calibri"/>
      <family val="2"/>
      <scheme val="minor"/>
    </font>
    <font>
      <b/>
      <sz val="11"/>
      <color rgb="FF000000"/>
      <name val="Calibri"/>
      <family val="2"/>
      <scheme val="minor"/>
    </font>
    <font>
      <b/>
      <sz val="12"/>
      <color rgb="FF000000"/>
      <name val="Calibri Light"/>
      <family val="2"/>
    </font>
    <font>
      <b/>
      <sz val="12"/>
      <color rgb="FFFFFFFF"/>
      <name val="Calibri"/>
      <family val="2"/>
      <scheme val="minor"/>
    </font>
    <font>
      <b/>
      <sz val="12"/>
      <color rgb="FF000000"/>
      <name val="Calibri"/>
      <family val="2"/>
      <scheme val="minor"/>
    </font>
    <font>
      <b/>
      <sz val="12"/>
      <name val="Calibri"/>
      <family val="2"/>
    </font>
    <font>
      <b/>
      <i/>
      <sz val="11"/>
      <color theme="1"/>
      <name val="Calibri"/>
      <family val="2"/>
      <scheme val="minor"/>
    </font>
    <font>
      <sz val="10.5"/>
      <color theme="1"/>
      <name val="Calibri"/>
      <family val="2"/>
      <scheme val="minor"/>
    </font>
    <font>
      <sz val="10.5"/>
      <color rgb="FF000000"/>
      <name val="Calibri"/>
      <family val="2"/>
      <scheme val="minor"/>
    </font>
    <font>
      <sz val="10.5"/>
      <name val="Calibri"/>
      <family val="2"/>
      <scheme val="minor"/>
    </font>
    <font>
      <b/>
      <sz val="10.5"/>
      <color theme="1"/>
      <name val="Calibri"/>
      <family val="2"/>
      <scheme val="minor"/>
    </font>
    <font>
      <b/>
      <i/>
      <sz val="10"/>
      <color theme="0"/>
      <name val="Calibri"/>
      <family val="2"/>
    </font>
    <font>
      <sz val="10"/>
      <color theme="0"/>
      <name val="Calibri"/>
      <family val="2"/>
    </font>
    <font>
      <sz val="10"/>
      <color theme="1"/>
      <name val="Calibri"/>
      <family val="2"/>
    </font>
    <font>
      <sz val="10"/>
      <color rgb="FFFF0000"/>
      <name val="Calibri"/>
      <family val="2"/>
    </font>
    <font>
      <sz val="10"/>
      <color rgb="FF212529"/>
      <name val="Times New Roman"/>
      <family val="1"/>
    </font>
    <font>
      <sz val="10"/>
      <color rgb="FF212529"/>
      <name val="Calibri"/>
      <family val="2"/>
      <scheme val="minor"/>
    </font>
    <font>
      <b/>
      <sz val="12"/>
      <color theme="1"/>
      <name val="Calibri"/>
      <family val="2"/>
    </font>
    <font>
      <sz val="12"/>
      <color theme="1"/>
      <name val="Calibri"/>
      <family val="2"/>
    </font>
    <font>
      <i/>
      <sz val="12"/>
      <color theme="1"/>
      <name val="Calibri"/>
      <family val="2"/>
    </font>
    <font>
      <b/>
      <sz val="12"/>
      <color theme="0"/>
      <name val="Calibri"/>
      <family val="2"/>
    </font>
    <font>
      <b/>
      <i/>
      <sz val="12"/>
      <color theme="1"/>
      <name val="Calibri"/>
      <family val="2"/>
    </font>
    <font>
      <b/>
      <sz val="10"/>
      <color theme="0"/>
      <name val="Times New Roman"/>
      <family val="1"/>
    </font>
    <font>
      <sz val="10"/>
      <color theme="0"/>
      <name val="Times New Roman"/>
      <family val="1"/>
    </font>
    <font>
      <b/>
      <sz val="11"/>
      <color rgb="FFFF0000"/>
      <name val="Calibri"/>
      <family val="2"/>
      <scheme val="minor"/>
    </font>
  </fonts>
  <fills count="33">
    <fill>
      <patternFill patternType="none"/>
    </fill>
    <fill>
      <patternFill patternType="gray125"/>
    </fill>
    <fill>
      <patternFill patternType="solid">
        <fgColor rgb="FF002060"/>
        <bgColor indexed="64"/>
      </patternFill>
    </fill>
    <fill>
      <patternFill patternType="solid">
        <fgColor rgb="FFFFFFFF"/>
        <bgColor indexed="64"/>
      </patternFill>
    </fill>
    <fill>
      <patternFill patternType="solid">
        <fgColor rgb="FFFFFF00"/>
        <bgColor indexed="64"/>
      </patternFill>
    </fill>
    <fill>
      <patternFill patternType="solid">
        <fgColor theme="4" tint="0.79998168889431442"/>
        <bgColor rgb="FFF5F5F5"/>
      </patternFill>
    </fill>
    <fill>
      <patternFill patternType="solid">
        <fgColor rgb="FFFFC0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1"/>
        <bgColor theme="1"/>
      </patternFill>
    </fill>
    <fill>
      <patternFill patternType="solid">
        <fgColor theme="2"/>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2060"/>
        <bgColor rgb="FF000000"/>
      </patternFill>
    </fill>
    <fill>
      <patternFill patternType="solid">
        <fgColor rgb="FFFFC000"/>
        <bgColor rgb="FF000000"/>
      </patternFill>
    </fill>
    <fill>
      <patternFill patternType="solid">
        <fgColor rgb="FF4ABFF8"/>
        <bgColor indexed="64"/>
      </patternFill>
    </fill>
    <fill>
      <patternFill patternType="solid">
        <fgColor rgb="FFFFCC66"/>
        <bgColor indexed="64"/>
      </patternFill>
    </fill>
    <fill>
      <patternFill patternType="solid">
        <fgColor rgb="FF99FF99"/>
        <bgColor indexed="64"/>
      </patternFill>
    </fill>
    <fill>
      <patternFill patternType="solid">
        <fgColor rgb="FFFFCC00"/>
        <bgColor indexed="64"/>
      </patternFill>
    </fill>
    <fill>
      <patternFill patternType="solid">
        <fgColor rgb="FFFF99FF"/>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002060"/>
        <bgColor theme="4" tint="0.79998168889431442"/>
      </patternFill>
    </fill>
    <fill>
      <patternFill patternType="solid">
        <fgColor rgb="FF00B0F0"/>
        <bgColor indexed="64"/>
      </patternFill>
    </fill>
    <fill>
      <patternFill patternType="solid">
        <fgColor theme="7" tint="0.39997558519241921"/>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top/>
      <bottom/>
      <diagonal/>
    </border>
    <border>
      <left style="thin">
        <color indexed="64"/>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right style="thin">
        <color rgb="FF000000"/>
      </right>
      <top/>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thin">
        <color theme="1"/>
      </top>
      <bottom/>
      <diagonal/>
    </border>
    <border>
      <left/>
      <right/>
      <top style="thin">
        <color theme="4" tint="0.39997558519241921"/>
      </top>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dashDot">
        <color indexed="64"/>
      </left>
      <right style="medium">
        <color indexed="64"/>
      </right>
      <top/>
      <bottom style="dashDot">
        <color indexed="64"/>
      </bottom>
      <diagonal/>
    </border>
    <border>
      <left style="medium">
        <color indexed="64"/>
      </left>
      <right style="dashDot">
        <color indexed="64"/>
      </right>
      <top style="medium">
        <color indexed="64"/>
      </top>
      <bottom style="dashDot">
        <color indexed="64"/>
      </bottom>
      <diagonal/>
    </border>
    <border>
      <left style="dashDot">
        <color indexed="64"/>
      </left>
      <right style="dashDot">
        <color indexed="64"/>
      </right>
      <top style="medium">
        <color indexed="64"/>
      </top>
      <bottom style="dashDot">
        <color indexed="64"/>
      </bottom>
      <diagonal/>
    </border>
    <border>
      <left style="dashDot">
        <color indexed="64"/>
      </left>
      <right/>
      <top style="medium">
        <color indexed="64"/>
      </top>
      <bottom/>
      <diagonal/>
    </border>
    <border>
      <left style="dashDot">
        <color indexed="64"/>
      </left>
      <right style="medium">
        <color indexed="64"/>
      </right>
      <top style="medium">
        <color indexed="64"/>
      </top>
      <bottom/>
      <diagonal/>
    </border>
    <border>
      <left style="medium">
        <color indexed="64"/>
      </left>
      <right style="dashDot">
        <color indexed="64"/>
      </right>
      <top style="dashDot">
        <color indexed="64"/>
      </top>
      <bottom style="medium">
        <color indexed="64"/>
      </bottom>
      <diagonal/>
    </border>
    <border>
      <left style="dashDot">
        <color indexed="64"/>
      </left>
      <right style="dashDot">
        <color indexed="64"/>
      </right>
      <top style="dashDot">
        <color indexed="64"/>
      </top>
      <bottom style="medium">
        <color indexed="64"/>
      </bottom>
      <diagonal/>
    </border>
    <border>
      <left style="dashDot">
        <color indexed="64"/>
      </left>
      <right/>
      <top/>
      <bottom style="medium">
        <color indexed="64"/>
      </bottom>
      <diagonal/>
    </border>
    <border>
      <left style="dashDot">
        <color indexed="64"/>
      </left>
      <right style="medium">
        <color indexed="64"/>
      </right>
      <top/>
      <bottom style="medium">
        <color indexed="64"/>
      </bottom>
      <diagonal/>
    </border>
    <border>
      <left style="medium">
        <color indexed="64"/>
      </left>
      <right style="dashDot">
        <color indexed="64"/>
      </right>
      <top style="medium">
        <color indexed="64"/>
      </top>
      <bottom/>
      <diagonal/>
    </border>
    <border>
      <left style="dashDot">
        <color indexed="64"/>
      </left>
      <right style="dashDot">
        <color indexed="64"/>
      </right>
      <top style="medium">
        <color indexed="64"/>
      </top>
      <bottom/>
      <diagonal/>
    </border>
    <border>
      <left style="dashDot">
        <color indexed="64"/>
      </left>
      <right style="dashDot">
        <color indexed="64"/>
      </right>
      <top/>
      <bottom style="dashDot">
        <color indexed="64"/>
      </bottom>
      <diagonal/>
    </border>
    <border>
      <left style="medium">
        <color indexed="64"/>
      </left>
      <right style="dashDot">
        <color indexed="64"/>
      </right>
      <top/>
      <bottom/>
      <diagonal/>
    </border>
    <border>
      <left style="dashDot">
        <color indexed="64"/>
      </left>
      <right style="dashDot">
        <color indexed="64"/>
      </right>
      <top/>
      <bottom/>
      <diagonal/>
    </border>
    <border>
      <left style="dashDot">
        <color indexed="64"/>
      </left>
      <right style="dashDot">
        <color indexed="64"/>
      </right>
      <top style="dashDot">
        <color indexed="64"/>
      </top>
      <bottom style="dashDot">
        <color indexed="64"/>
      </bottom>
      <diagonal/>
    </border>
    <border>
      <left style="medium">
        <color indexed="64"/>
      </left>
      <right style="dashDot">
        <color indexed="64"/>
      </right>
      <top/>
      <bottom style="dashDot">
        <color indexed="64"/>
      </bottom>
      <diagonal/>
    </border>
    <border>
      <left style="medium">
        <color indexed="64"/>
      </left>
      <right style="dashDot">
        <color indexed="64"/>
      </right>
      <top style="dashDot">
        <color indexed="64"/>
      </top>
      <bottom style="dashDot">
        <color indexed="64"/>
      </bottom>
      <diagonal/>
    </border>
    <border>
      <left style="medium">
        <color indexed="64"/>
      </left>
      <right style="dashDot">
        <color indexed="64"/>
      </right>
      <top style="dashDot">
        <color indexed="64"/>
      </top>
      <bottom/>
      <diagonal/>
    </border>
    <border>
      <left style="dashDot">
        <color indexed="64"/>
      </left>
      <right style="dashDot">
        <color indexed="64"/>
      </right>
      <top style="dashDot">
        <color indexed="64"/>
      </top>
      <bottom/>
      <diagonal/>
    </border>
    <border>
      <left style="dashDot">
        <color indexed="64"/>
      </left>
      <right style="medium">
        <color indexed="64"/>
      </right>
      <top style="dashDot">
        <color indexed="64"/>
      </top>
      <bottom/>
      <diagonal/>
    </border>
    <border>
      <left style="dashDot">
        <color indexed="64"/>
      </left>
      <right style="dashDot">
        <color indexed="64"/>
      </right>
      <top/>
      <bottom style="medium">
        <color indexed="64"/>
      </bottom>
      <diagonal/>
    </border>
    <border>
      <left/>
      <right/>
      <top style="thin">
        <color theme="4"/>
      </top>
      <bottom style="thin">
        <color theme="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7">
    <xf numFmtId="0" fontId="0" fillId="0" borderId="0"/>
    <xf numFmtId="168" fontId="7" fillId="0" borderId="0" applyFont="0" applyFill="0" applyBorder="0" applyAlignment="0" applyProtection="0"/>
    <xf numFmtId="9" fontId="7" fillId="0" borderId="0" applyFont="0" applyFill="0" applyBorder="0" applyAlignment="0" applyProtection="0"/>
    <xf numFmtId="167" fontId="14" fillId="0" borderId="0" applyFont="0" applyFill="0" applyBorder="0" applyAlignment="0" applyProtection="0"/>
    <xf numFmtId="0" fontId="25" fillId="0" borderId="0"/>
    <xf numFmtId="169" fontId="25" fillId="0" borderId="0" applyFont="0" applyFill="0" applyBorder="0" applyAlignment="0" applyProtection="0"/>
    <xf numFmtId="0" fontId="37" fillId="0" borderId="0"/>
    <xf numFmtId="169" fontId="7" fillId="0" borderId="0" applyFont="0" applyFill="0" applyBorder="0" applyAlignment="0" applyProtection="0"/>
    <xf numFmtId="167" fontId="14" fillId="0" borderId="0" applyFont="0" applyFill="0" applyBorder="0" applyAlignment="0" applyProtection="0"/>
    <xf numFmtId="169" fontId="7" fillId="0" borderId="0" applyFont="0" applyFill="0" applyBorder="0" applyAlignment="0" applyProtection="0"/>
    <xf numFmtId="167" fontId="7" fillId="0" borderId="0" applyFont="0" applyFill="0" applyBorder="0" applyAlignment="0" applyProtection="0"/>
    <xf numFmtId="0" fontId="3" fillId="0" borderId="0"/>
    <xf numFmtId="9" fontId="3" fillId="0" borderId="0" applyFont="0" applyFill="0" applyBorder="0" applyAlignment="0" applyProtection="0"/>
    <xf numFmtId="168" fontId="3" fillId="0" borderId="0" applyFont="0" applyFill="0" applyBorder="0" applyAlignment="0" applyProtection="0"/>
    <xf numFmtId="167" fontId="7" fillId="0" borderId="0" applyFont="0" applyFill="0" applyBorder="0" applyAlignment="0" applyProtection="0"/>
    <xf numFmtId="0" fontId="12" fillId="0" borderId="0"/>
    <xf numFmtId="168" fontId="7" fillId="0" borderId="0" applyFont="0" applyFill="0" applyBorder="0" applyAlignment="0" applyProtection="0"/>
  </cellStyleXfs>
  <cellXfs count="802">
    <xf numFmtId="0" fontId="0" fillId="0" borderId="0" xfId="0"/>
    <xf numFmtId="0" fontId="6" fillId="0" borderId="1" xfId="0" applyFont="1" applyBorder="1" applyAlignment="1">
      <alignment horizontal="center" vertical="center"/>
    </xf>
    <xf numFmtId="0" fontId="0" fillId="0" borderId="1" xfId="0" applyBorder="1" applyAlignment="1">
      <alignment horizontal="center"/>
    </xf>
    <xf numFmtId="164" fontId="6" fillId="0" borderId="3" xfId="0" applyNumberFormat="1" applyFont="1" applyBorder="1" applyAlignment="1">
      <alignment horizontal="center" vertical="center"/>
    </xf>
    <xf numFmtId="0" fontId="0" fillId="0" borderId="2" xfId="0" applyBorder="1" applyAlignment="1">
      <alignment horizontal="center"/>
    </xf>
    <xf numFmtId="170" fontId="6" fillId="0" borderId="0" xfId="0" applyNumberFormat="1" applyFont="1" applyAlignment="1">
      <alignment horizontal="center" vertical="center"/>
    </xf>
    <xf numFmtId="164" fontId="6" fillId="0" borderId="0" xfId="0" applyNumberFormat="1" applyFont="1" applyAlignment="1">
      <alignment horizontal="center" vertical="center"/>
    </xf>
    <xf numFmtId="0" fontId="6" fillId="0" borderId="0" xfId="0" applyFont="1" applyAlignment="1">
      <alignment horizontal="center" vertical="center"/>
    </xf>
    <xf numFmtId="0" fontId="6" fillId="0" borderId="2" xfId="0" applyFont="1" applyBorder="1" applyAlignment="1">
      <alignment horizontal="center" vertical="center"/>
    </xf>
    <xf numFmtId="0" fontId="0" fillId="0" borderId="0" xfId="0" applyAlignment="1">
      <alignment horizontal="center"/>
    </xf>
    <xf numFmtId="0" fontId="6" fillId="3" borderId="1" xfId="0" applyFont="1" applyFill="1" applyBorder="1" applyAlignment="1">
      <alignment horizontal="center" vertical="center" wrapText="1"/>
    </xf>
    <xf numFmtId="170" fontId="6"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10" fontId="6" fillId="0" borderId="1" xfId="0" applyNumberFormat="1" applyFont="1" applyBorder="1" applyAlignment="1">
      <alignment horizontal="center" vertical="center"/>
    </xf>
    <xf numFmtId="0" fontId="0" fillId="0" borderId="1" xfId="0" applyBorder="1"/>
    <xf numFmtId="164"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9" fontId="6" fillId="0" borderId="1" xfId="0" applyNumberFormat="1" applyFont="1" applyBorder="1" applyAlignment="1">
      <alignment horizontal="center" vertical="center"/>
    </xf>
    <xf numFmtId="0" fontId="6" fillId="4" borderId="1" xfId="0" applyFont="1" applyFill="1" applyBorder="1" applyAlignment="1">
      <alignment horizontal="center" vertical="center"/>
    </xf>
    <xf numFmtId="164" fontId="0" fillId="0" borderId="1" xfId="0" applyNumberFormat="1" applyBorder="1" applyAlignment="1">
      <alignment horizontal="center"/>
    </xf>
    <xf numFmtId="0" fontId="6" fillId="0" borderId="3" xfId="0" applyFont="1" applyBorder="1" applyAlignment="1">
      <alignment horizontal="center" vertical="center"/>
    </xf>
    <xf numFmtId="1" fontId="6" fillId="0" borderId="3" xfId="0" applyNumberFormat="1" applyFont="1" applyBorder="1" applyAlignment="1">
      <alignment horizontal="center" vertical="center"/>
    </xf>
    <xf numFmtId="0" fontId="0" fillId="0" borderId="3" xfId="0" applyBorder="1"/>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3" borderId="5" xfId="0" applyFont="1" applyFill="1" applyBorder="1" applyAlignment="1">
      <alignment horizontal="center" vertical="center" wrapText="1"/>
    </xf>
    <xf numFmtId="164" fontId="6" fillId="0" borderId="5" xfId="0" applyNumberFormat="1" applyFont="1" applyBorder="1" applyAlignment="1">
      <alignment horizontal="center" vertical="center"/>
    </xf>
    <xf numFmtId="0" fontId="0" fillId="0" borderId="5" xfId="0" applyBorder="1"/>
    <xf numFmtId="0" fontId="0" fillId="0" borderId="6" xfId="0" applyBorder="1"/>
    <xf numFmtId="0" fontId="6" fillId="3" borderId="8" xfId="0" applyFont="1" applyFill="1" applyBorder="1" applyAlignment="1">
      <alignment horizontal="center" vertical="center" wrapText="1"/>
    </xf>
    <xf numFmtId="0" fontId="6" fillId="0" borderId="8" xfId="0" applyFont="1" applyBorder="1" applyAlignment="1">
      <alignment horizontal="center" vertical="center"/>
    </xf>
    <xf numFmtId="170"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6" fillId="4" borderId="2" xfId="0" applyFont="1" applyFill="1" applyBorder="1" applyAlignment="1">
      <alignment horizontal="center" vertical="center"/>
    </xf>
    <xf numFmtId="0" fontId="6" fillId="4" borderId="1" xfId="0" applyFont="1" applyFill="1" applyBorder="1" applyAlignment="1">
      <alignment horizontal="center" vertical="center" wrapText="1"/>
    </xf>
    <xf numFmtId="10" fontId="6" fillId="4" borderId="1" xfId="0" applyNumberFormat="1" applyFont="1" applyFill="1" applyBorder="1" applyAlignment="1">
      <alignment horizontal="center" vertical="center"/>
    </xf>
    <xf numFmtId="0" fontId="0" fillId="4" borderId="1" xfId="0" applyFill="1" applyBorder="1"/>
    <xf numFmtId="0" fontId="0" fillId="4" borderId="3" xfId="0" applyFill="1" applyBorder="1"/>
    <xf numFmtId="0" fontId="0" fillId="4" borderId="0" xfId="0" applyFill="1"/>
    <xf numFmtId="164" fontId="6" fillId="4" borderId="1" xfId="0" applyNumberFormat="1" applyFont="1" applyFill="1" applyBorder="1" applyAlignment="1">
      <alignment horizontal="center" vertical="center"/>
    </xf>
    <xf numFmtId="171" fontId="6" fillId="0" borderId="8" xfId="0" applyNumberFormat="1" applyFont="1" applyBorder="1" applyAlignment="1">
      <alignment horizontal="center" vertical="center"/>
    </xf>
    <xf numFmtId="168" fontId="6" fillId="0" borderId="8" xfId="1" applyFont="1" applyBorder="1" applyAlignment="1">
      <alignment horizontal="center" vertical="center"/>
    </xf>
    <xf numFmtId="168" fontId="0" fillId="0" borderId="0" xfId="0" applyNumberFormat="1" applyAlignment="1">
      <alignment horizontal="center"/>
    </xf>
    <xf numFmtId="9" fontId="0" fillId="0" borderId="0" xfId="0" applyNumberFormat="1" applyAlignment="1">
      <alignment horizontal="center"/>
    </xf>
    <xf numFmtId="168" fontId="6" fillId="4" borderId="8" xfId="1" applyFont="1" applyFill="1" applyBorder="1" applyAlignment="1">
      <alignment horizontal="center" vertical="center"/>
    </xf>
    <xf numFmtId="168" fontId="6" fillId="0" borderId="1" xfId="1" applyFont="1" applyBorder="1" applyAlignment="1">
      <alignment horizontal="center" vertical="center"/>
    </xf>
    <xf numFmtId="10" fontId="6" fillId="0" borderId="1" xfId="2" applyNumberFormat="1" applyFont="1" applyBorder="1" applyAlignment="1">
      <alignment horizontal="center" vertical="center"/>
    </xf>
    <xf numFmtId="9" fontId="6" fillId="4" borderId="1" xfId="2" applyFont="1" applyFill="1" applyBorder="1" applyAlignment="1">
      <alignment horizontal="center" vertical="center"/>
    </xf>
    <xf numFmtId="0" fontId="0" fillId="4" borderId="2" xfId="0" applyFill="1" applyBorder="1" applyAlignment="1">
      <alignment horizontal="center"/>
    </xf>
    <xf numFmtId="0" fontId="0" fillId="4" borderId="1" xfId="0" applyFill="1" applyBorder="1" applyAlignment="1">
      <alignment horizontal="center"/>
    </xf>
    <xf numFmtId="9" fontId="6" fillId="4" borderId="1" xfId="0" applyNumberFormat="1" applyFont="1" applyFill="1" applyBorder="1" applyAlignment="1">
      <alignment horizontal="center" vertical="center"/>
    </xf>
    <xf numFmtId="164" fontId="0" fillId="4" borderId="1" xfId="0" applyNumberFormat="1" applyFill="1" applyBorder="1" applyAlignment="1">
      <alignment horizont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5" xfId="0" applyFont="1" applyFill="1" applyBorder="1" applyAlignment="1">
      <alignment horizontal="center" vertical="center" wrapText="1"/>
    </xf>
    <xf numFmtId="164" fontId="6" fillId="4" borderId="5" xfId="0" applyNumberFormat="1" applyFont="1" applyFill="1" applyBorder="1" applyAlignment="1">
      <alignment horizontal="center" vertical="center"/>
    </xf>
    <xf numFmtId="0" fontId="0" fillId="4" borderId="5" xfId="0" applyFill="1" applyBorder="1"/>
    <xf numFmtId="0" fontId="0" fillId="4" borderId="6" xfId="0" applyFill="1" applyBorder="1"/>
    <xf numFmtId="164" fontId="6" fillId="4" borderId="3" xfId="0" applyNumberFormat="1" applyFont="1" applyFill="1" applyBorder="1" applyAlignment="1">
      <alignment horizontal="center" vertical="center"/>
    </xf>
    <xf numFmtId="2" fontId="6" fillId="4" borderId="1" xfId="0" applyNumberFormat="1" applyFont="1" applyFill="1" applyBorder="1" applyAlignment="1">
      <alignment horizontal="center" vertical="center"/>
    </xf>
    <xf numFmtId="171" fontId="0" fillId="0" borderId="0" xfId="0" applyNumberFormat="1"/>
    <xf numFmtId="164" fontId="6" fillId="0" borderId="1" xfId="0" applyNumberFormat="1" applyFont="1" applyBorder="1" applyAlignment="1">
      <alignment vertical="center"/>
    </xf>
    <xf numFmtId="164" fontId="6" fillId="0" borderId="3" xfId="0" applyNumberFormat="1" applyFont="1" applyBorder="1" applyAlignment="1">
      <alignment vertical="center"/>
    </xf>
    <xf numFmtId="173" fontId="0" fillId="0" borderId="0" xfId="1" applyNumberFormat="1" applyFont="1"/>
    <xf numFmtId="173" fontId="0" fillId="0" borderId="0" xfId="0" applyNumberFormat="1"/>
    <xf numFmtId="168" fontId="0" fillId="0" borderId="0" xfId="0" applyNumberFormat="1"/>
    <xf numFmtId="1" fontId="0" fillId="0" borderId="0" xfId="0" applyNumberFormat="1"/>
    <xf numFmtId="9" fontId="0" fillId="0" borderId="0" xfId="0" applyNumberFormat="1"/>
    <xf numFmtId="172" fontId="0" fillId="0" borderId="0" xfId="0" applyNumberFormat="1"/>
    <xf numFmtId="173" fontId="10" fillId="0" borderId="0" xfId="1" applyNumberFormat="1" applyFont="1" applyFill="1" applyBorder="1"/>
    <xf numFmtId="173" fontId="11" fillId="0" borderId="0" xfId="1" applyNumberFormat="1" applyFont="1" applyFill="1" applyBorder="1"/>
    <xf numFmtId="173" fontId="12" fillId="0" borderId="0" xfId="1" applyNumberFormat="1" applyFont="1" applyFill="1" applyBorder="1"/>
    <xf numFmtId="174" fontId="0" fillId="0" borderId="0" xfId="3" applyNumberFormat="1" applyFont="1" applyFill="1" applyBorder="1" applyAlignment="1"/>
    <xf numFmtId="0" fontId="9" fillId="0" borderId="0" xfId="0" applyFont="1" applyAlignment="1">
      <alignment horizontal="center"/>
    </xf>
    <xf numFmtId="0" fontId="18" fillId="2" borderId="1" xfId="0" applyFont="1" applyFill="1" applyBorder="1" applyAlignment="1">
      <alignment horizontal="center" vertical="center"/>
    </xf>
    <xf numFmtId="0" fontId="8" fillId="2" borderId="1" xfId="0" applyFont="1" applyFill="1" applyBorder="1" applyAlignment="1">
      <alignment horizontal="center" vertical="center"/>
    </xf>
    <xf numFmtId="175" fontId="18" fillId="2" borderId="1" xfId="1" applyNumberFormat="1" applyFont="1" applyFill="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75" fontId="0" fillId="0" borderId="1" xfId="1" applyNumberFormat="1" applyFont="1" applyBorder="1" applyAlignment="1">
      <alignment horizontal="center" vertical="center"/>
    </xf>
    <xf numFmtId="175" fontId="0" fillId="0" borderId="0" xfId="1" applyNumberFormat="1" applyFont="1"/>
    <xf numFmtId="0" fontId="0" fillId="0" borderId="0" xfId="0" applyAlignment="1">
      <alignment horizontal="left"/>
    </xf>
    <xf numFmtId="175" fontId="0" fillId="0" borderId="0" xfId="0" applyNumberFormat="1"/>
    <xf numFmtId="0" fontId="0" fillId="0" borderId="0" xfId="0" pivotButton="1"/>
    <xf numFmtId="0" fontId="6" fillId="0" borderId="2" xfId="0" applyFont="1" applyBorder="1" applyAlignment="1">
      <alignment vertical="center"/>
    </xf>
    <xf numFmtId="0" fontId="6" fillId="4" borderId="2" xfId="0" applyFont="1" applyFill="1" applyBorder="1" applyAlignment="1">
      <alignment vertical="center"/>
    </xf>
    <xf numFmtId="0" fontId="6" fillId="3" borderId="7" xfId="0" applyFont="1" applyFill="1" applyBorder="1" applyAlignment="1">
      <alignment vertical="center" wrapText="1"/>
    </xf>
    <xf numFmtId="0" fontId="6" fillId="3" borderId="2" xfId="0" applyFont="1" applyFill="1" applyBorder="1" applyAlignment="1">
      <alignment vertical="center" wrapText="1"/>
    </xf>
    <xf numFmtId="0" fontId="5" fillId="2" borderId="15" xfId="0" applyFont="1" applyFill="1" applyBorder="1" applyAlignment="1">
      <alignment vertical="center" wrapText="1"/>
    </xf>
    <xf numFmtId="0" fontId="6" fillId="0" borderId="1" xfId="0" applyFont="1" applyBorder="1" applyAlignment="1">
      <alignment vertical="center" wrapText="1"/>
    </xf>
    <xf numFmtId="0" fontId="6" fillId="3" borderId="1" xfId="0" applyFont="1" applyFill="1" applyBorder="1" applyAlignment="1">
      <alignment vertical="center" wrapText="1"/>
    </xf>
    <xf numFmtId="0" fontId="6" fillId="4" borderId="1" xfId="0" applyFont="1" applyFill="1" applyBorder="1" applyAlignment="1">
      <alignment vertical="center" wrapText="1"/>
    </xf>
    <xf numFmtId="0" fontId="6" fillId="4" borderId="1" xfId="0" applyFont="1" applyFill="1" applyBorder="1" applyAlignment="1">
      <alignment vertical="center"/>
    </xf>
    <xf numFmtId="0" fontId="6" fillId="0" borderId="1" xfId="0" applyFont="1" applyBorder="1" applyAlignment="1">
      <alignment vertical="center"/>
    </xf>
    <xf numFmtId="9" fontId="0" fillId="0" borderId="0" xfId="2" applyFont="1"/>
    <xf numFmtId="168" fontId="6" fillId="0" borderId="1" xfId="1" applyFont="1" applyFill="1" applyBorder="1" applyAlignment="1">
      <alignment horizontal="center" vertical="center"/>
    </xf>
    <xf numFmtId="0" fontId="9" fillId="0" borderId="0" xfId="0" applyFont="1"/>
    <xf numFmtId="0" fontId="5" fillId="2" borderId="1" xfId="0" applyFont="1" applyFill="1" applyBorder="1" applyAlignment="1">
      <alignment horizontal="center" vertical="center" wrapText="1"/>
    </xf>
    <xf numFmtId="164" fontId="0" fillId="0" borderId="1" xfId="0" applyNumberFormat="1" applyBorder="1"/>
    <xf numFmtId="168" fontId="0" fillId="0" borderId="1" xfId="0" applyNumberFormat="1" applyBorder="1"/>
    <xf numFmtId="173" fontId="0" fillId="0" borderId="1" xfId="1" applyNumberFormat="1" applyFont="1" applyFill="1" applyBorder="1"/>
    <xf numFmtId="171" fontId="0" fillId="0" borderId="1" xfId="0" applyNumberFormat="1" applyBorder="1"/>
    <xf numFmtId="0" fontId="31" fillId="0" borderId="0" xfId="0" applyFont="1"/>
    <xf numFmtId="0" fontId="32" fillId="0" borderId="0" xfId="4" applyFont="1"/>
    <xf numFmtId="9" fontId="33" fillId="0" borderId="0" xfId="2" applyFont="1" applyAlignment="1">
      <alignment horizontal="right"/>
    </xf>
    <xf numFmtId="17" fontId="29" fillId="5" borderId="19" xfId="4" applyNumberFormat="1" applyFont="1" applyFill="1" applyBorder="1" applyAlignment="1">
      <alignment horizontal="center"/>
    </xf>
    <xf numFmtId="17" fontId="29" fillId="5" borderId="20" xfId="4" applyNumberFormat="1" applyFont="1" applyFill="1" applyBorder="1" applyAlignment="1">
      <alignment horizontal="center"/>
    </xf>
    <xf numFmtId="0" fontId="34" fillId="5" borderId="20" xfId="4" applyFont="1" applyFill="1" applyBorder="1" applyAlignment="1">
      <alignment horizontal="center"/>
    </xf>
    <xf numFmtId="175" fontId="32" fillId="0" borderId="21" xfId="5" applyNumberFormat="1" applyFont="1" applyBorder="1" applyAlignment="1">
      <alignment horizontal="center" vertical="center"/>
    </xf>
    <xf numFmtId="175" fontId="32" fillId="0" borderId="22" xfId="5" applyNumberFormat="1" applyFont="1" applyBorder="1" applyAlignment="1">
      <alignment horizontal="center" vertical="center"/>
    </xf>
    <xf numFmtId="175" fontId="32" fillId="0" borderId="23" xfId="5" applyNumberFormat="1" applyFont="1" applyBorder="1" applyAlignment="1">
      <alignment horizontal="center" vertical="center"/>
    </xf>
    <xf numFmtId="175" fontId="32" fillId="0" borderId="24" xfId="5" applyNumberFormat="1" applyFont="1" applyBorder="1" applyAlignment="1">
      <alignment horizontal="center" vertical="center"/>
    </xf>
    <xf numFmtId="175" fontId="32" fillId="0" borderId="25" xfId="5" applyNumberFormat="1" applyFont="1" applyBorder="1" applyAlignment="1">
      <alignment horizontal="center" vertical="center"/>
    </xf>
    <xf numFmtId="175" fontId="32" fillId="0" borderId="26" xfId="5" applyNumberFormat="1" applyFont="1" applyBorder="1" applyAlignment="1">
      <alignment horizontal="center" vertical="center"/>
    </xf>
    <xf numFmtId="0" fontId="32" fillId="0" borderId="21" xfId="4" applyFont="1" applyBorder="1" applyAlignment="1">
      <alignment horizontal="center" vertical="center"/>
    </xf>
    <xf numFmtId="0" fontId="32" fillId="0" borderId="23" xfId="4" applyFont="1" applyBorder="1" applyAlignment="1">
      <alignment horizontal="center" vertical="center"/>
    </xf>
    <xf numFmtId="0" fontId="32" fillId="0" borderId="26" xfId="4" applyFont="1" applyBorder="1" applyAlignment="1">
      <alignment horizontal="center" vertical="center"/>
    </xf>
    <xf numFmtId="175" fontId="35" fillId="0" borderId="1" xfId="5" applyNumberFormat="1" applyFont="1" applyBorder="1" applyAlignment="1">
      <alignment horizontal="center" vertical="center"/>
    </xf>
    <xf numFmtId="175" fontId="35" fillId="0" borderId="0" xfId="5" applyNumberFormat="1" applyFont="1" applyBorder="1" applyAlignment="1">
      <alignment horizontal="center" vertical="center"/>
    </xf>
    <xf numFmtId="173" fontId="31" fillId="0" borderId="23" xfId="1" applyNumberFormat="1" applyFont="1" applyBorder="1" applyAlignment="1">
      <alignment horizontal="right" vertical="top"/>
    </xf>
    <xf numFmtId="173" fontId="32" fillId="0" borderId="23" xfId="1" applyNumberFormat="1" applyFont="1" applyBorder="1" applyAlignment="1">
      <alignment horizontal="center" vertical="center"/>
    </xf>
    <xf numFmtId="173" fontId="35" fillId="0" borderId="1" xfId="1" applyNumberFormat="1" applyFont="1" applyBorder="1" applyAlignment="1">
      <alignment horizontal="center" vertical="center"/>
    </xf>
    <xf numFmtId="169" fontId="31" fillId="0" borderId="0" xfId="0" applyNumberFormat="1" applyFont="1"/>
    <xf numFmtId="173" fontId="32" fillId="0" borderId="23" xfId="1" applyNumberFormat="1" applyFont="1" applyFill="1" applyBorder="1" applyAlignment="1">
      <alignment horizontal="center" vertical="center"/>
    </xf>
    <xf numFmtId="173" fontId="32" fillId="0" borderId="23" xfId="1" applyNumberFormat="1" applyFont="1" applyBorder="1" applyAlignment="1">
      <alignment horizontal="right" vertical="center"/>
    </xf>
    <xf numFmtId="173" fontId="35" fillId="0" borderId="1" xfId="1" applyNumberFormat="1" applyFont="1" applyBorder="1" applyAlignment="1">
      <alignment horizontal="right" vertical="center"/>
    </xf>
    <xf numFmtId="175" fontId="32" fillId="0" borderId="0" xfId="5" applyNumberFormat="1" applyFont="1" applyBorder="1" applyAlignment="1">
      <alignment horizontal="center" vertical="center"/>
    </xf>
    <xf numFmtId="175" fontId="32" fillId="0" borderId="26" xfId="5" applyNumberFormat="1" applyFont="1" applyFill="1" applyBorder="1" applyAlignment="1">
      <alignment horizontal="center" vertical="center"/>
    </xf>
    <xf numFmtId="0" fontId="32" fillId="0" borderId="22" xfId="4" applyFont="1" applyBorder="1" applyAlignment="1">
      <alignment horizontal="center" vertical="center"/>
    </xf>
    <xf numFmtId="175" fontId="35" fillId="0" borderId="27" xfId="5" applyNumberFormat="1" applyFont="1" applyBorder="1" applyAlignment="1">
      <alignment horizontal="center" vertical="center"/>
    </xf>
    <xf numFmtId="175" fontId="35" fillId="0" borderId="16" xfId="5" applyNumberFormat="1" applyFont="1" applyBorder="1" applyAlignment="1">
      <alignment horizontal="center" vertical="center"/>
    </xf>
    <xf numFmtId="0" fontId="29" fillId="0" borderId="0" xfId="0" applyFont="1"/>
    <xf numFmtId="168" fontId="31" fillId="0" borderId="0" xfId="0" applyNumberFormat="1" applyFont="1"/>
    <xf numFmtId="0" fontId="9" fillId="0" borderId="0" xfId="0" applyFont="1" applyAlignment="1">
      <alignment horizontal="left" wrapText="1"/>
    </xf>
    <xf numFmtId="0" fontId="9" fillId="0" borderId="0" xfId="0" applyFont="1" applyAlignment="1">
      <alignment horizontal="left"/>
    </xf>
    <xf numFmtId="0" fontId="0" fillId="0" borderId="0" xfId="0" applyAlignment="1">
      <alignment horizontal="left" wrapText="1"/>
    </xf>
    <xf numFmtId="0" fontId="0" fillId="0" borderId="0" xfId="0" applyAlignment="1">
      <alignment horizontal="left" indent="1"/>
    </xf>
    <xf numFmtId="168" fontId="6" fillId="0" borderId="0" xfId="1" applyFont="1" applyFill="1" applyBorder="1" applyAlignment="1">
      <alignment horizontal="center" vertical="center"/>
    </xf>
    <xf numFmtId="173" fontId="6" fillId="0" borderId="0" xfId="1" applyNumberFormat="1" applyFont="1" applyFill="1" applyBorder="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171" fontId="6" fillId="0" borderId="0" xfId="0" applyNumberFormat="1" applyFont="1" applyAlignment="1">
      <alignment horizontal="center" vertical="center"/>
    </xf>
    <xf numFmtId="173" fontId="27" fillId="0" borderId="0" xfId="0" applyNumberFormat="1" applyFont="1" applyAlignment="1">
      <alignment horizontal="center" vertical="center"/>
    </xf>
    <xf numFmtId="173" fontId="0" fillId="0" borderId="0" xfId="1" applyNumberFormat="1" applyFont="1" applyFill="1" applyBorder="1"/>
    <xf numFmtId="173" fontId="6" fillId="0" borderId="0" xfId="1" applyNumberFormat="1" applyFont="1" applyFill="1" applyBorder="1" applyAlignment="1">
      <alignment horizontal="center" vertical="center" wrapText="1"/>
    </xf>
    <xf numFmtId="0" fontId="9" fillId="0" borderId="1" xfId="0" applyFont="1" applyBorder="1"/>
    <xf numFmtId="173" fontId="0" fillId="0" borderId="1" xfId="0" applyNumberFormat="1" applyBorder="1"/>
    <xf numFmtId="17" fontId="29" fillId="5" borderId="19" xfId="4" applyNumberFormat="1" applyFont="1" applyFill="1" applyBorder="1" applyAlignment="1">
      <alignment horizontal="left"/>
    </xf>
    <xf numFmtId="175" fontId="32" fillId="0" borderId="21" xfId="5" applyNumberFormat="1" applyFont="1" applyBorder="1" applyAlignment="1">
      <alignment horizontal="left" vertical="center"/>
    </xf>
    <xf numFmtId="0" fontId="32" fillId="0" borderId="21" xfId="4" applyFont="1" applyBorder="1" applyAlignment="1">
      <alignment horizontal="left" vertical="center"/>
    </xf>
    <xf numFmtId="175" fontId="35" fillId="0" borderId="1" xfId="5" applyNumberFormat="1" applyFont="1" applyBorder="1" applyAlignment="1">
      <alignment horizontal="left" vertical="center"/>
    </xf>
    <xf numFmtId="175" fontId="35" fillId="0" borderId="0" xfId="5" applyNumberFormat="1" applyFont="1" applyBorder="1" applyAlignment="1">
      <alignment horizontal="left" vertical="center"/>
    </xf>
    <xf numFmtId="0" fontId="32" fillId="0" borderId="0" xfId="4" applyFont="1" applyAlignment="1">
      <alignment horizontal="left"/>
    </xf>
    <xf numFmtId="0" fontId="31" fillId="0" borderId="0" xfId="0" applyFont="1" applyAlignment="1">
      <alignment horizontal="left"/>
    </xf>
    <xf numFmtId="173" fontId="31" fillId="0" borderId="23" xfId="1" applyNumberFormat="1" applyFont="1" applyBorder="1" applyAlignment="1">
      <alignment horizontal="left" vertical="top"/>
    </xf>
    <xf numFmtId="173" fontId="32" fillId="0" borderId="23" xfId="1" applyNumberFormat="1" applyFont="1" applyBorder="1" applyAlignment="1">
      <alignment horizontal="left" vertical="center"/>
    </xf>
    <xf numFmtId="173" fontId="35" fillId="0" borderId="1" xfId="1" applyNumberFormat="1" applyFont="1" applyBorder="1" applyAlignment="1">
      <alignment horizontal="left" vertical="center"/>
    </xf>
    <xf numFmtId="175" fontId="32" fillId="0" borderId="23" xfId="5" applyNumberFormat="1" applyFont="1" applyBorder="1" applyAlignment="1">
      <alignment horizontal="left" vertical="center"/>
    </xf>
    <xf numFmtId="0" fontId="32" fillId="0" borderId="23" xfId="4" applyFont="1" applyBorder="1" applyAlignment="1">
      <alignment horizontal="left" vertical="center"/>
    </xf>
    <xf numFmtId="0" fontId="30" fillId="0" borderId="17" xfId="4" applyFont="1" applyBorder="1" applyAlignment="1">
      <alignment vertical="center"/>
    </xf>
    <xf numFmtId="0" fontId="30" fillId="0" borderId="18" xfId="4" applyFont="1" applyBorder="1" applyAlignment="1">
      <alignment vertical="center"/>
    </xf>
    <xf numFmtId="0" fontId="30" fillId="0" borderId="17" xfId="4" applyFont="1" applyBorder="1" applyAlignment="1">
      <alignment horizontal="left" vertical="center"/>
    </xf>
    <xf numFmtId="173" fontId="0" fillId="0" borderId="1" xfId="1" applyNumberFormat="1" applyFont="1" applyBorder="1"/>
    <xf numFmtId="168" fontId="0" fillId="0" borderId="0" xfId="1" applyFont="1"/>
    <xf numFmtId="0" fontId="11" fillId="0" borderId="0" xfId="0" applyFont="1"/>
    <xf numFmtId="173" fontId="9" fillId="0" borderId="0" xfId="0" applyNumberFormat="1" applyFont="1"/>
    <xf numFmtId="173" fontId="31" fillId="0" borderId="22" xfId="1" applyNumberFormat="1" applyFont="1" applyBorder="1" applyAlignment="1">
      <alignment horizontal="right" vertical="top"/>
    </xf>
    <xf numFmtId="173" fontId="32" fillId="0" borderId="0" xfId="1" applyNumberFormat="1" applyFont="1" applyBorder="1" applyAlignment="1">
      <alignment horizontal="right" vertical="center"/>
    </xf>
    <xf numFmtId="173" fontId="31" fillId="0" borderId="0" xfId="1" applyNumberFormat="1" applyFont="1" applyBorder="1" applyAlignment="1">
      <alignment horizontal="right" vertical="top"/>
    </xf>
    <xf numFmtId="0" fontId="32" fillId="3" borderId="1" xfId="0" applyFont="1" applyFill="1" applyBorder="1" applyAlignment="1">
      <alignment horizontal="center" vertical="center" wrapText="1"/>
    </xf>
    <xf numFmtId="0" fontId="35" fillId="3" borderId="1" xfId="0" applyFont="1" applyFill="1" applyBorder="1" applyAlignment="1">
      <alignment horizontal="center" vertical="center" wrapText="1"/>
    </xf>
    <xf numFmtId="0" fontId="0" fillId="0" borderId="0" xfId="0" applyAlignment="1">
      <alignment wrapText="1"/>
    </xf>
    <xf numFmtId="0" fontId="11" fillId="0" borderId="0" xfId="0" applyFont="1" applyAlignment="1">
      <alignment horizontal="center"/>
    </xf>
    <xf numFmtId="173" fontId="9" fillId="0" borderId="0" xfId="1" applyNumberFormat="1" applyFont="1"/>
    <xf numFmtId="17" fontId="8" fillId="2" borderId="14" xfId="0" applyNumberFormat="1" applyFont="1" applyFill="1" applyBorder="1"/>
    <xf numFmtId="173" fontId="0" fillId="0" borderId="0" xfId="1" applyNumberFormat="1" applyFont="1" applyBorder="1"/>
    <xf numFmtId="173" fontId="9" fillId="0" borderId="0" xfId="1" applyNumberFormat="1" applyFont="1" applyBorder="1"/>
    <xf numFmtId="17" fontId="8" fillId="2" borderId="0" xfId="0" applyNumberFormat="1" applyFont="1" applyFill="1"/>
    <xf numFmtId="17" fontId="8" fillId="2" borderId="14" xfId="0" applyNumberFormat="1" applyFont="1" applyFill="1" applyBorder="1" applyAlignment="1">
      <alignment horizontal="center"/>
    </xf>
    <xf numFmtId="17" fontId="8" fillId="2" borderId="0" xfId="0" applyNumberFormat="1" applyFont="1" applyFill="1" applyAlignment="1">
      <alignment horizontal="center"/>
    </xf>
    <xf numFmtId="9" fontId="9" fillId="0" borderId="0" xfId="0" applyNumberFormat="1" applyFont="1" applyAlignment="1">
      <alignment horizontal="center"/>
    </xf>
    <xf numFmtId="17" fontId="8" fillId="2" borderId="1" xfId="0" applyNumberFormat="1" applyFont="1" applyFill="1" applyBorder="1" applyAlignment="1">
      <alignment horizontal="center"/>
    </xf>
    <xf numFmtId="9" fontId="33" fillId="0" borderId="0" xfId="2" applyFont="1" applyBorder="1" applyAlignment="1">
      <alignment horizontal="right"/>
    </xf>
    <xf numFmtId="17" fontId="29" fillId="5" borderId="0" xfId="4" applyNumberFormat="1" applyFont="1" applyFill="1" applyAlignment="1">
      <alignment horizontal="left"/>
    </xf>
    <xf numFmtId="17" fontId="29" fillId="5" borderId="0" xfId="4" applyNumberFormat="1" applyFont="1" applyFill="1" applyAlignment="1">
      <alignment horizontal="center"/>
    </xf>
    <xf numFmtId="0" fontId="34" fillId="5" borderId="0" xfId="4" applyFont="1" applyFill="1" applyAlignment="1">
      <alignment horizontal="center"/>
    </xf>
    <xf numFmtId="175" fontId="32" fillId="0" borderId="0" xfId="5" applyNumberFormat="1" applyFont="1" applyBorder="1" applyAlignment="1">
      <alignment horizontal="left" vertical="center"/>
    </xf>
    <xf numFmtId="0" fontId="19" fillId="0" borderId="0" xfId="0" applyFont="1" applyAlignment="1">
      <alignment vertical="center"/>
    </xf>
    <xf numFmtId="173" fontId="15" fillId="0" borderId="0" xfId="1" applyNumberFormat="1" applyFont="1" applyFill="1" applyBorder="1" applyAlignment="1">
      <alignment vertical="center"/>
    </xf>
    <xf numFmtId="0" fontId="26" fillId="0" borderId="0" xfId="0" applyFont="1" applyAlignment="1">
      <alignment vertical="center"/>
    </xf>
    <xf numFmtId="0" fontId="20" fillId="0" borderId="0" xfId="0" applyFont="1" applyAlignment="1">
      <alignment vertical="center"/>
    </xf>
    <xf numFmtId="173" fontId="21" fillId="0" borderId="0" xfId="1" applyNumberFormat="1" applyFont="1" applyFill="1" applyBorder="1" applyAlignment="1">
      <alignment vertical="center"/>
    </xf>
    <xf numFmtId="0" fontId="13" fillId="0" borderId="0" xfId="0" applyFont="1" applyAlignment="1">
      <alignment vertical="center"/>
    </xf>
    <xf numFmtId="0" fontId="22" fillId="0" borderId="0" xfId="0" applyFont="1" applyAlignment="1">
      <alignment horizontal="left" vertical="center"/>
    </xf>
    <xf numFmtId="173" fontId="23" fillId="0" borderId="0" xfId="1" applyNumberFormat="1" applyFont="1" applyFill="1" applyBorder="1" applyAlignment="1">
      <alignment horizontal="center" vertical="center"/>
    </xf>
    <xf numFmtId="17" fontId="16" fillId="0" borderId="0" xfId="0" applyNumberFormat="1" applyFont="1" applyAlignment="1">
      <alignment horizontal="center" vertical="center" wrapText="1"/>
    </xf>
    <xf numFmtId="173" fontId="10" fillId="0" borderId="0" xfId="1" applyNumberFormat="1" applyFont="1" applyFill="1" applyBorder="1" applyAlignment="1">
      <alignment vertical="center"/>
    </xf>
    <xf numFmtId="173" fontId="11" fillId="0" borderId="0" xfId="1" applyNumberFormat="1" applyFont="1" applyFill="1" applyBorder="1" applyAlignment="1">
      <alignment vertical="center"/>
    </xf>
    <xf numFmtId="173" fontId="11" fillId="0" borderId="0" xfId="1" applyNumberFormat="1" applyFont="1" applyFill="1" applyBorder="1" applyAlignment="1">
      <alignment horizontal="right" vertical="center"/>
    </xf>
    <xf numFmtId="173" fontId="10" fillId="0" borderId="0" xfId="1" applyNumberFormat="1" applyFont="1" applyFill="1" applyBorder="1" applyAlignment="1">
      <alignment horizontal="right" vertical="center"/>
    </xf>
    <xf numFmtId="0" fontId="17" fillId="0" borderId="0" xfId="0" applyFont="1" applyAlignment="1">
      <alignment vertical="center"/>
    </xf>
    <xf numFmtId="173" fontId="17" fillId="0" borderId="0" xfId="1" applyNumberFormat="1" applyFont="1" applyFill="1" applyBorder="1" applyAlignment="1">
      <alignment vertical="center"/>
    </xf>
    <xf numFmtId="173" fontId="12" fillId="0" borderId="0" xfId="1" applyNumberFormat="1" applyFont="1" applyFill="1" applyBorder="1" applyAlignment="1">
      <alignment vertical="center"/>
    </xf>
    <xf numFmtId="0" fontId="0" fillId="0" borderId="0" xfId="0" applyAlignment="1">
      <alignment horizontal="center" vertical="center"/>
    </xf>
    <xf numFmtId="17" fontId="8" fillId="2" borderId="14" xfId="0" applyNumberFormat="1" applyFont="1" applyFill="1" applyBorder="1" applyAlignment="1">
      <alignment horizontal="center" vertical="center"/>
    </xf>
    <xf numFmtId="0" fontId="41" fillId="0" borderId="0" xfId="0" applyFont="1" applyAlignment="1">
      <alignment vertical="center"/>
    </xf>
    <xf numFmtId="0" fontId="4" fillId="0" borderId="0" xfId="0" applyFont="1" applyAlignment="1">
      <alignment vertical="center"/>
    </xf>
    <xf numFmtId="176" fontId="16" fillId="0" borderId="0" xfId="0" applyNumberFormat="1" applyFont="1" applyAlignment="1">
      <alignment horizontal="center" vertical="center" wrapText="1"/>
    </xf>
    <xf numFmtId="9" fontId="17" fillId="0" borderId="0" xfId="2" applyFont="1" applyFill="1" applyBorder="1" applyAlignment="1">
      <alignment vertical="center"/>
    </xf>
    <xf numFmtId="0" fontId="28" fillId="0" borderId="0" xfId="0" applyFont="1"/>
    <xf numFmtId="169" fontId="0" fillId="0" borderId="0" xfId="0" applyNumberFormat="1"/>
    <xf numFmtId="173" fontId="43" fillId="0" borderId="0" xfId="1" applyNumberFormat="1" applyFont="1" applyFill="1" applyBorder="1" applyAlignment="1">
      <alignment vertical="center"/>
    </xf>
    <xf numFmtId="168" fontId="43" fillId="0" borderId="0" xfId="1" applyFont="1" applyFill="1" applyBorder="1" applyAlignment="1">
      <alignment horizontal="right" vertical="center"/>
    </xf>
    <xf numFmtId="173" fontId="43" fillId="0" borderId="0" xfId="1" applyNumberFormat="1" applyFont="1" applyFill="1" applyBorder="1" applyAlignment="1">
      <alignment horizontal="right" vertical="center"/>
    </xf>
    <xf numFmtId="0" fontId="44" fillId="0" borderId="0" xfId="0" applyFont="1" applyAlignment="1">
      <alignment vertical="center"/>
    </xf>
    <xf numFmtId="177" fontId="9" fillId="6" borderId="1" xfId="0" applyNumberFormat="1" applyFont="1" applyFill="1" applyBorder="1"/>
    <xf numFmtId="178" fontId="0" fillId="0" borderId="0" xfId="0" applyNumberFormat="1"/>
    <xf numFmtId="178" fontId="0" fillId="0" borderId="1" xfId="0" applyNumberFormat="1" applyBorder="1" applyAlignment="1">
      <alignment horizontal="center" vertical="center"/>
    </xf>
    <xf numFmtId="177" fontId="9" fillId="6" borderId="1" xfId="0" applyNumberFormat="1" applyFont="1" applyFill="1" applyBorder="1" applyAlignment="1">
      <alignment horizontal="center" vertical="center"/>
    </xf>
    <xf numFmtId="0" fontId="17" fillId="0" borderId="0" xfId="0" applyFont="1"/>
    <xf numFmtId="171" fontId="9" fillId="6" borderId="1" xfId="0" applyNumberFormat="1" applyFont="1" applyFill="1" applyBorder="1" applyAlignment="1">
      <alignment horizontal="center" vertical="center"/>
    </xf>
    <xf numFmtId="171" fontId="0" fillId="0" borderId="1" xfId="10" applyNumberFormat="1" applyFont="1" applyBorder="1" applyAlignment="1">
      <alignment horizontal="center" vertical="center"/>
    </xf>
    <xf numFmtId="0" fontId="46" fillId="0" borderId="1" xfId="0" applyFont="1" applyBorder="1" applyAlignment="1">
      <alignment horizontal="center" vertical="center"/>
    </xf>
    <xf numFmtId="0" fontId="47" fillId="2" borderId="1" xfId="0" applyFont="1" applyFill="1" applyBorder="1" applyAlignment="1">
      <alignment horizontal="center" vertical="center"/>
    </xf>
    <xf numFmtId="177" fontId="47" fillId="2" borderId="1" xfId="0" applyNumberFormat="1" applyFont="1" applyFill="1" applyBorder="1" applyAlignment="1">
      <alignment horizontal="center" vertical="center"/>
    </xf>
    <xf numFmtId="0" fontId="0" fillId="9" borderId="0" xfId="0" applyFill="1" applyAlignment="1">
      <alignment horizontal="center"/>
    </xf>
    <xf numFmtId="0" fontId="0" fillId="9" borderId="0" xfId="0" applyFill="1"/>
    <xf numFmtId="173" fontId="0" fillId="9" borderId="0" xfId="1" applyNumberFormat="1" applyFont="1" applyFill="1"/>
    <xf numFmtId="173" fontId="32" fillId="9" borderId="23" xfId="1" applyNumberFormat="1" applyFont="1" applyFill="1" applyBorder="1" applyAlignment="1">
      <alignment horizontal="left" vertical="center"/>
    </xf>
    <xf numFmtId="175" fontId="32" fillId="9" borderId="24" xfId="5" applyNumberFormat="1" applyFont="1" applyFill="1" applyBorder="1" applyAlignment="1">
      <alignment horizontal="center" vertical="center"/>
    </xf>
    <xf numFmtId="173" fontId="32" fillId="9" borderId="22" xfId="1" applyNumberFormat="1" applyFont="1" applyFill="1" applyBorder="1" applyAlignment="1">
      <alignment horizontal="right" vertical="center"/>
    </xf>
    <xf numFmtId="173" fontId="31" fillId="9" borderId="0" xfId="1" applyNumberFormat="1" applyFont="1" applyFill="1" applyBorder="1" applyAlignment="1">
      <alignment horizontal="right" vertical="top"/>
    </xf>
    <xf numFmtId="173" fontId="32" fillId="9" borderId="0" xfId="1" applyNumberFormat="1" applyFont="1" applyFill="1" applyBorder="1" applyAlignment="1">
      <alignment horizontal="right" vertical="center"/>
    </xf>
    <xf numFmtId="0" fontId="31" fillId="9" borderId="0" xfId="0" applyFont="1" applyFill="1"/>
    <xf numFmtId="175" fontId="32" fillId="9" borderId="23" xfId="5" applyNumberFormat="1" applyFont="1" applyFill="1" applyBorder="1" applyAlignment="1">
      <alignment horizontal="left" vertical="center"/>
    </xf>
    <xf numFmtId="175" fontId="32" fillId="9" borderId="23" xfId="5" applyNumberFormat="1" applyFont="1" applyFill="1" applyBorder="1" applyAlignment="1">
      <alignment horizontal="center" vertical="center"/>
    </xf>
    <xf numFmtId="169" fontId="31" fillId="9" borderId="0" xfId="0" applyNumberFormat="1" applyFont="1" applyFill="1"/>
    <xf numFmtId="0" fontId="32" fillId="9" borderId="0" xfId="4" applyFont="1" applyFill="1" applyAlignment="1">
      <alignment horizontal="left"/>
    </xf>
    <xf numFmtId="0" fontId="32" fillId="9" borderId="0" xfId="4" applyFont="1" applyFill="1"/>
    <xf numFmtId="9" fontId="33" fillId="9" borderId="0" xfId="2" applyFont="1" applyFill="1" applyAlignment="1">
      <alignment horizontal="right"/>
    </xf>
    <xf numFmtId="0" fontId="39" fillId="9" borderId="0" xfId="0" applyFont="1" applyFill="1"/>
    <xf numFmtId="173" fontId="31" fillId="9" borderId="23" xfId="1" applyNumberFormat="1" applyFont="1" applyFill="1" applyBorder="1" applyAlignment="1">
      <alignment horizontal="left" vertical="top"/>
    </xf>
    <xf numFmtId="173" fontId="31" fillId="9" borderId="22" xfId="1" applyNumberFormat="1" applyFont="1" applyFill="1" applyBorder="1" applyAlignment="1">
      <alignment horizontal="right" vertical="top"/>
    </xf>
    <xf numFmtId="0" fontId="48" fillId="0" borderId="0" xfId="11" applyFont="1" applyAlignment="1">
      <alignment horizontal="center" vertical="center"/>
    </xf>
    <xf numFmtId="0" fontId="48" fillId="7" borderId="0" xfId="11" applyFont="1" applyFill="1" applyAlignment="1">
      <alignment horizontal="center" vertical="center"/>
    </xf>
    <xf numFmtId="14" fontId="49" fillId="7" borderId="0" xfId="11" applyNumberFormat="1" applyFont="1" applyFill="1" applyAlignment="1">
      <alignment horizontal="center" vertical="center"/>
    </xf>
    <xf numFmtId="14" fontId="49" fillId="7" borderId="0" xfId="11" applyNumberFormat="1" applyFont="1" applyFill="1" applyAlignment="1">
      <alignment horizontal="center" vertical="center" wrapText="1"/>
    </xf>
    <xf numFmtId="171" fontId="48" fillId="7" borderId="0" xfId="11" applyNumberFormat="1" applyFont="1" applyFill="1" applyAlignment="1">
      <alignment horizontal="center" vertical="center"/>
    </xf>
    <xf numFmtId="171" fontId="48" fillId="7" borderId="0" xfId="11" applyNumberFormat="1" applyFont="1" applyFill="1" applyAlignment="1">
      <alignment horizontal="center" vertical="center" wrapText="1"/>
    </xf>
    <xf numFmtId="171" fontId="48" fillId="0" borderId="0" xfId="11" applyNumberFormat="1" applyFont="1" applyAlignment="1">
      <alignment horizontal="center" vertical="center"/>
    </xf>
    <xf numFmtId="0" fontId="49" fillId="0" borderId="0" xfId="11" applyFont="1" applyAlignment="1">
      <alignment horizontal="center" vertical="center"/>
    </xf>
    <xf numFmtId="14" fontId="49" fillId="0" borderId="0" xfId="11" applyNumberFormat="1" applyFont="1" applyAlignment="1">
      <alignment horizontal="center" vertical="center"/>
    </xf>
    <xf numFmtId="14" fontId="49" fillId="0" borderId="0" xfId="11" applyNumberFormat="1" applyFont="1" applyAlignment="1">
      <alignment horizontal="center" vertical="center" wrapText="1"/>
    </xf>
    <xf numFmtId="0" fontId="48" fillId="0" borderId="0" xfId="11" applyFont="1" applyAlignment="1">
      <alignment horizontal="center" vertical="center" wrapText="1"/>
    </xf>
    <xf numFmtId="179" fontId="48" fillId="0" borderId="0" xfId="11" applyNumberFormat="1" applyFont="1" applyAlignment="1">
      <alignment horizontal="center" vertical="center"/>
    </xf>
    <xf numFmtId="171" fontId="48" fillId="0" borderId="0" xfId="11" applyNumberFormat="1" applyFont="1" applyAlignment="1">
      <alignment horizontal="center" vertical="center" wrapText="1"/>
    </xf>
    <xf numFmtId="0" fontId="48" fillId="0" borderId="0" xfId="11" applyFont="1" applyAlignment="1">
      <alignment horizontal="left" vertical="center"/>
    </xf>
    <xf numFmtId="9" fontId="48" fillId="0" borderId="0" xfId="12" applyFont="1" applyAlignment="1">
      <alignment horizontal="center" vertical="center"/>
    </xf>
    <xf numFmtId="9" fontId="48" fillId="0" borderId="0" xfId="12" applyFont="1" applyAlignment="1">
      <alignment horizontal="center" vertical="center" wrapText="1"/>
    </xf>
    <xf numFmtId="175" fontId="31" fillId="0" borderId="0" xfId="0" applyNumberFormat="1" applyFont="1"/>
    <xf numFmtId="0" fontId="48" fillId="10" borderId="0" xfId="11" applyFont="1" applyFill="1" applyAlignment="1">
      <alignment horizontal="center" vertical="center"/>
    </xf>
    <xf numFmtId="171" fontId="48" fillId="10" borderId="0" xfId="11" applyNumberFormat="1" applyFont="1" applyFill="1" applyAlignment="1">
      <alignment horizontal="center" vertical="center"/>
    </xf>
    <xf numFmtId="175" fontId="32" fillId="11" borderId="23" xfId="5" applyNumberFormat="1" applyFont="1" applyFill="1" applyBorder="1" applyAlignment="1">
      <alignment horizontal="left" vertical="center"/>
    </xf>
    <xf numFmtId="175" fontId="32" fillId="11" borderId="23" xfId="5" applyNumberFormat="1" applyFont="1" applyFill="1" applyBorder="1" applyAlignment="1">
      <alignment horizontal="center" vertical="center"/>
    </xf>
    <xf numFmtId="175" fontId="32" fillId="11" borderId="24" xfId="5" applyNumberFormat="1" applyFont="1" applyFill="1" applyBorder="1" applyAlignment="1">
      <alignment horizontal="center" vertical="center"/>
    </xf>
    <xf numFmtId="0" fontId="31" fillId="11" borderId="0" xfId="0" applyFont="1" applyFill="1" applyAlignment="1">
      <alignment horizontal="left"/>
    </xf>
    <xf numFmtId="175" fontId="32" fillId="0" borderId="23" xfId="4" applyNumberFormat="1" applyFont="1" applyBorder="1" applyAlignment="1">
      <alignment horizontal="center" vertical="center"/>
    </xf>
    <xf numFmtId="175" fontId="32" fillId="0" borderId="23" xfId="5" applyNumberFormat="1" applyFont="1" applyFill="1" applyBorder="1" applyAlignment="1">
      <alignment horizontal="left" vertical="center"/>
    </xf>
    <xf numFmtId="175" fontId="32" fillId="0" borderId="23" xfId="5" applyNumberFormat="1" applyFont="1" applyFill="1" applyBorder="1" applyAlignment="1">
      <alignment horizontal="center" vertical="center"/>
    </xf>
    <xf numFmtId="175" fontId="32" fillId="0" borderId="24" xfId="5" applyNumberFormat="1" applyFont="1" applyFill="1" applyBorder="1" applyAlignment="1">
      <alignment horizontal="center" vertical="center"/>
    </xf>
    <xf numFmtId="175" fontId="35" fillId="0" borderId="1" xfId="5" applyNumberFormat="1" applyFont="1" applyFill="1" applyBorder="1" applyAlignment="1">
      <alignment horizontal="left" vertical="center"/>
    </xf>
    <xf numFmtId="175" fontId="35" fillId="0" borderId="1" xfId="5" applyNumberFormat="1" applyFont="1" applyFill="1" applyBorder="1" applyAlignment="1">
      <alignment horizontal="center" vertical="center"/>
    </xf>
    <xf numFmtId="17" fontId="0" fillId="0" borderId="0" xfId="0" applyNumberFormat="1"/>
    <xf numFmtId="175" fontId="32" fillId="0" borderId="0" xfId="5" applyNumberFormat="1" applyFont="1" applyFill="1" applyBorder="1" applyAlignment="1">
      <alignment horizontal="left" vertical="center"/>
    </xf>
    <xf numFmtId="175" fontId="35" fillId="0" borderId="0" xfId="5" applyNumberFormat="1" applyFont="1" applyFill="1" applyBorder="1" applyAlignment="1">
      <alignment horizontal="center" vertical="center"/>
    </xf>
    <xf numFmtId="175" fontId="35" fillId="0" borderId="0" xfId="5" applyNumberFormat="1" applyFont="1" applyFill="1" applyBorder="1" applyAlignment="1">
      <alignment horizontal="left" vertical="center"/>
    </xf>
    <xf numFmtId="175" fontId="32" fillId="0" borderId="0" xfId="5" applyNumberFormat="1" applyFont="1" applyFill="1" applyBorder="1" applyAlignment="1">
      <alignment horizontal="center" vertical="center"/>
    </xf>
    <xf numFmtId="173" fontId="0" fillId="12" borderId="0" xfId="0" applyNumberFormat="1" applyFill="1"/>
    <xf numFmtId="173" fontId="0" fillId="12" borderId="0" xfId="1" applyNumberFormat="1" applyFont="1" applyFill="1"/>
    <xf numFmtId="175" fontId="9" fillId="0" borderId="0" xfId="1" applyNumberFormat="1" applyFont="1"/>
    <xf numFmtId="168" fontId="16" fillId="0" borderId="0" xfId="1" applyFont="1" applyAlignment="1">
      <alignment horizontal="center" vertical="center" wrapText="1"/>
    </xf>
    <xf numFmtId="173" fontId="39" fillId="4" borderId="0" xfId="1" applyNumberFormat="1" applyFont="1" applyFill="1"/>
    <xf numFmtId="173" fontId="18" fillId="2" borderId="1" xfId="1" applyNumberFormat="1" applyFont="1" applyFill="1" applyBorder="1" applyAlignment="1">
      <alignment horizontal="center" vertical="center" wrapText="1"/>
    </xf>
    <xf numFmtId="173" fontId="0" fillId="0" borderId="1" xfId="1" applyNumberFormat="1" applyFont="1" applyBorder="1" applyAlignment="1">
      <alignment horizontal="center" vertical="center"/>
    </xf>
    <xf numFmtId="173" fontId="0" fillId="4" borderId="0" xfId="0" applyNumberFormat="1" applyFill="1"/>
    <xf numFmtId="173" fontId="0" fillId="4" borderId="0" xfId="1" applyNumberFormat="1" applyFont="1" applyFill="1"/>
    <xf numFmtId="173" fontId="32" fillId="4" borderId="23" xfId="1" applyNumberFormat="1" applyFont="1" applyFill="1" applyBorder="1" applyAlignment="1">
      <alignment horizontal="right" vertical="center"/>
    </xf>
    <xf numFmtId="168" fontId="32" fillId="0" borderId="0" xfId="4" applyNumberFormat="1" applyFont="1"/>
    <xf numFmtId="0" fontId="18" fillId="13" borderId="13" xfId="0" applyFont="1" applyFill="1" applyBorder="1" applyAlignment="1">
      <alignment horizontal="center" vertical="center"/>
    </xf>
    <xf numFmtId="0" fontId="51" fillId="0" borderId="13" xfId="0" applyFont="1" applyBorder="1"/>
    <xf numFmtId="0" fontId="51" fillId="0" borderId="13" xfId="0" applyFont="1" applyBorder="1" applyAlignment="1">
      <alignment horizontal="left"/>
    </xf>
    <xf numFmtId="0" fontId="51" fillId="0" borderId="1" xfId="0" applyFont="1" applyBorder="1" applyAlignment="1">
      <alignment horizontal="center"/>
    </xf>
    <xf numFmtId="173" fontId="6" fillId="0" borderId="1" xfId="1" applyNumberFormat="1" applyFont="1" applyBorder="1" applyAlignment="1">
      <alignment horizontal="center" vertical="center"/>
    </xf>
    <xf numFmtId="0" fontId="18" fillId="13" borderId="13" xfId="0" applyFont="1" applyFill="1" applyBorder="1" applyAlignment="1">
      <alignment horizontal="left" vertical="center"/>
    </xf>
    <xf numFmtId="173" fontId="10" fillId="0" borderId="0" xfId="1" applyNumberFormat="1" applyFont="1" applyFill="1" applyBorder="1" applyAlignment="1">
      <alignment horizontal="left"/>
    </xf>
    <xf numFmtId="173" fontId="11" fillId="0" borderId="0" xfId="1" applyNumberFormat="1" applyFont="1" applyFill="1" applyBorder="1" applyAlignment="1">
      <alignment horizontal="left"/>
    </xf>
    <xf numFmtId="173" fontId="12" fillId="0" borderId="0" xfId="1" applyNumberFormat="1" applyFont="1" applyFill="1" applyBorder="1" applyAlignment="1">
      <alignment horizontal="left"/>
    </xf>
    <xf numFmtId="174" fontId="0" fillId="0" borderId="0" xfId="3" applyNumberFormat="1" applyFont="1" applyFill="1" applyBorder="1" applyAlignment="1">
      <alignment horizontal="left"/>
    </xf>
    <xf numFmtId="173" fontId="6" fillId="0" borderId="8" xfId="1" applyNumberFormat="1" applyFont="1" applyBorder="1" applyAlignment="1">
      <alignment horizontal="center" vertical="center"/>
    </xf>
    <xf numFmtId="173" fontId="11" fillId="10" borderId="0" xfId="1" applyNumberFormat="1" applyFont="1" applyFill="1" applyBorder="1" applyAlignment="1">
      <alignment horizontal="right" vertical="center"/>
    </xf>
    <xf numFmtId="175" fontId="32" fillId="10" borderId="0" xfId="5" applyNumberFormat="1" applyFont="1" applyFill="1" applyBorder="1" applyAlignment="1">
      <alignment horizontal="center" vertical="center"/>
    </xf>
    <xf numFmtId="173" fontId="32" fillId="10" borderId="23" xfId="1" applyNumberFormat="1" applyFont="1" applyFill="1" applyBorder="1" applyAlignment="1">
      <alignment horizontal="right" vertical="center"/>
    </xf>
    <xf numFmtId="173" fontId="32" fillId="10" borderId="23" xfId="1" applyNumberFormat="1" applyFont="1" applyFill="1" applyBorder="1" applyAlignment="1">
      <alignment horizontal="left" vertical="center"/>
    </xf>
    <xf numFmtId="173" fontId="31" fillId="10" borderId="23" xfId="1" applyNumberFormat="1" applyFont="1" applyFill="1" applyBorder="1" applyAlignment="1">
      <alignment horizontal="right" vertical="top"/>
    </xf>
    <xf numFmtId="173" fontId="31" fillId="10" borderId="23" xfId="1" applyNumberFormat="1" applyFont="1" applyFill="1" applyBorder="1" applyAlignment="1">
      <alignment horizontal="left" vertical="top"/>
    </xf>
    <xf numFmtId="173" fontId="31" fillId="0" borderId="23" xfId="1" applyNumberFormat="1" applyFont="1" applyFill="1" applyBorder="1" applyAlignment="1">
      <alignment horizontal="left" vertical="top"/>
    </xf>
    <xf numFmtId="173" fontId="31" fillId="0" borderId="23" xfId="1" applyNumberFormat="1" applyFont="1" applyFill="1" applyBorder="1" applyAlignment="1">
      <alignment horizontal="right" vertical="top"/>
    </xf>
    <xf numFmtId="173" fontId="31" fillId="0" borderId="22" xfId="1" applyNumberFormat="1" applyFont="1" applyFill="1" applyBorder="1" applyAlignment="1">
      <alignment horizontal="right" vertical="top"/>
    </xf>
    <xf numFmtId="173" fontId="32" fillId="0" borderId="0" xfId="1" applyNumberFormat="1" applyFont="1" applyFill="1" applyBorder="1" applyAlignment="1">
      <alignment horizontal="right" vertical="center"/>
    </xf>
    <xf numFmtId="175" fontId="32" fillId="10" borderId="0" xfId="5" applyNumberFormat="1" applyFont="1" applyFill="1" applyBorder="1" applyAlignment="1">
      <alignment horizontal="left" vertical="center"/>
    </xf>
    <xf numFmtId="173" fontId="31" fillId="4" borderId="23" xfId="1" applyNumberFormat="1" applyFont="1" applyFill="1" applyBorder="1" applyAlignment="1">
      <alignment horizontal="left" vertical="top"/>
    </xf>
    <xf numFmtId="173" fontId="31" fillId="4" borderId="23" xfId="1" applyNumberFormat="1" applyFont="1" applyFill="1" applyBorder="1" applyAlignment="1">
      <alignment horizontal="right" vertical="top"/>
    </xf>
    <xf numFmtId="173" fontId="31" fillId="4" borderId="23" xfId="1" applyNumberFormat="1" applyFont="1" applyFill="1" applyBorder="1" applyAlignment="1">
      <alignment horizontal="left" vertical="top" wrapText="1"/>
    </xf>
    <xf numFmtId="173" fontId="32" fillId="4" borderId="23" xfId="1" applyNumberFormat="1" applyFont="1" applyFill="1" applyBorder="1" applyAlignment="1">
      <alignment horizontal="left" vertical="center"/>
    </xf>
    <xf numFmtId="173" fontId="0" fillId="10" borderId="0" xfId="1" applyNumberFormat="1" applyFont="1" applyFill="1" applyBorder="1"/>
    <xf numFmtId="1" fontId="0" fillId="0" borderId="1" xfId="0" applyNumberFormat="1" applyBorder="1"/>
    <xf numFmtId="9" fontId="0" fillId="0" borderId="1" xfId="0" applyNumberFormat="1" applyBorder="1"/>
    <xf numFmtId="173" fontId="0" fillId="10" borderId="0" xfId="1" applyNumberFormat="1" applyFont="1" applyFill="1"/>
    <xf numFmtId="0" fontId="18" fillId="13" borderId="13" xfId="11" applyFont="1" applyFill="1" applyBorder="1" applyAlignment="1">
      <alignment horizontal="center" vertical="center"/>
    </xf>
    <xf numFmtId="0" fontId="18" fillId="15" borderId="0" xfId="11" applyFont="1" applyFill="1" applyAlignment="1">
      <alignment horizontal="center"/>
    </xf>
    <xf numFmtId="0" fontId="18" fillId="13" borderId="13" xfId="11" applyFont="1" applyFill="1" applyBorder="1" applyAlignment="1">
      <alignment horizontal="center" vertical="center" wrapText="1"/>
    </xf>
    <xf numFmtId="0" fontId="53" fillId="0" borderId="0" xfId="11" applyFont="1" applyAlignment="1">
      <alignment horizontal="center"/>
    </xf>
    <xf numFmtId="0" fontId="51" fillId="0" borderId="13" xfId="11" applyFont="1" applyBorder="1"/>
    <xf numFmtId="0" fontId="51" fillId="0" borderId="13" xfId="11" applyFont="1" applyBorder="1" applyAlignment="1">
      <alignment horizontal="left"/>
    </xf>
    <xf numFmtId="0" fontId="51" fillId="0" borderId="13" xfId="11" applyFont="1" applyBorder="1" applyAlignment="1">
      <alignment horizontal="center"/>
    </xf>
    <xf numFmtId="0" fontId="51" fillId="0" borderId="0" xfId="11" applyFont="1" applyAlignment="1">
      <alignment horizontal="center"/>
    </xf>
    <xf numFmtId="170" fontId="51" fillId="0" borderId="0" xfId="11" applyNumberFormat="1" applyFont="1" applyAlignment="1">
      <alignment horizontal="center"/>
    </xf>
    <xf numFmtId="0" fontId="51" fillId="0" borderId="0" xfId="11" applyFont="1" applyAlignment="1">
      <alignment horizontal="center" wrapText="1"/>
    </xf>
    <xf numFmtId="170" fontId="51" fillId="14" borderId="0" xfId="11" applyNumberFormat="1" applyFont="1" applyFill="1" applyAlignment="1">
      <alignment horizontal="center" wrapText="1"/>
    </xf>
    <xf numFmtId="170" fontId="51" fillId="14" borderId="0" xfId="11" applyNumberFormat="1" applyFont="1" applyFill="1" applyAlignment="1">
      <alignment horizontal="center"/>
    </xf>
    <xf numFmtId="0" fontId="51" fillId="0" borderId="0" xfId="11" applyFont="1"/>
    <xf numFmtId="170" fontId="51" fillId="0" borderId="0" xfId="11" applyNumberFormat="1" applyFont="1"/>
    <xf numFmtId="166" fontId="51" fillId="0" borderId="13" xfId="11" applyNumberFormat="1" applyFont="1" applyBorder="1" applyAlignment="1">
      <alignment horizontal="center"/>
    </xf>
    <xf numFmtId="0" fontId="51" fillId="0" borderId="0" xfId="11" applyFont="1" applyAlignment="1">
      <alignment wrapText="1"/>
    </xf>
    <xf numFmtId="0" fontId="52" fillId="0" borderId="13" xfId="11" applyFont="1" applyBorder="1" applyAlignment="1">
      <alignment horizontal="left"/>
    </xf>
    <xf numFmtId="0" fontId="52" fillId="0" borderId="13" xfId="11" applyFont="1" applyBorder="1" applyAlignment="1">
      <alignment horizontal="center"/>
    </xf>
    <xf numFmtId="0" fontId="51" fillId="0" borderId="28" xfId="11" applyFont="1" applyBorder="1"/>
    <xf numFmtId="0" fontId="51" fillId="0" borderId="28" xfId="11" applyFont="1" applyBorder="1" applyAlignment="1">
      <alignment horizontal="left"/>
    </xf>
    <xf numFmtId="0" fontId="51" fillId="0" borderId="28" xfId="11" applyFont="1" applyBorder="1" applyAlignment="1">
      <alignment horizontal="center"/>
    </xf>
    <xf numFmtId="0" fontId="51" fillId="0" borderId="30" xfId="11" applyFont="1" applyBorder="1"/>
    <xf numFmtId="0" fontId="51" fillId="0" borderId="30" xfId="11" applyFont="1" applyBorder="1" applyAlignment="1">
      <alignment horizontal="left"/>
    </xf>
    <xf numFmtId="0" fontId="51" fillId="0" borderId="30" xfId="11" applyFont="1" applyBorder="1" applyAlignment="1">
      <alignment horizontal="center"/>
    </xf>
    <xf numFmtId="0" fontId="51" fillId="10" borderId="13" xfId="11" applyFont="1" applyFill="1" applyBorder="1"/>
    <xf numFmtId="0" fontId="51" fillId="10" borderId="13" xfId="11" applyFont="1" applyFill="1" applyBorder="1" applyAlignment="1">
      <alignment horizontal="left"/>
    </xf>
    <xf numFmtId="0" fontId="51" fillId="10" borderId="13" xfId="11" applyFont="1" applyFill="1" applyBorder="1" applyAlignment="1">
      <alignment horizontal="center"/>
    </xf>
    <xf numFmtId="166" fontId="51" fillId="10" borderId="13" xfId="11" applyNumberFormat="1" applyFont="1" applyFill="1" applyBorder="1" applyAlignment="1">
      <alignment horizontal="center"/>
    </xf>
    <xf numFmtId="0" fontId="51" fillId="10" borderId="0" xfId="11" applyFont="1" applyFill="1" applyAlignment="1">
      <alignment horizontal="center"/>
    </xf>
    <xf numFmtId="170" fontId="51" fillId="10" borderId="0" xfId="11" applyNumberFormat="1" applyFont="1" applyFill="1" applyAlignment="1">
      <alignment horizontal="center"/>
    </xf>
    <xf numFmtId="170" fontId="51" fillId="10" borderId="0" xfId="11" applyNumberFormat="1" applyFont="1" applyFill="1" applyAlignment="1">
      <alignment horizontal="center" wrapText="1"/>
    </xf>
    <xf numFmtId="0" fontId="51" fillId="10" borderId="0" xfId="11" applyFont="1" applyFill="1" applyAlignment="1">
      <alignment horizontal="center" wrapText="1"/>
    </xf>
    <xf numFmtId="0" fontId="51" fillId="10" borderId="0" xfId="11" applyFont="1" applyFill="1"/>
    <xf numFmtId="170" fontId="51" fillId="10" borderId="0" xfId="11" applyNumberFormat="1" applyFont="1" applyFill="1"/>
    <xf numFmtId="173" fontId="51" fillId="10" borderId="0" xfId="13" applyNumberFormat="1" applyFont="1" applyFill="1"/>
    <xf numFmtId="0" fontId="51" fillId="0" borderId="0" xfId="11" applyFont="1" applyAlignment="1">
      <alignment horizontal="left"/>
    </xf>
    <xf numFmtId="170" fontId="51" fillId="0" borderId="0" xfId="11" applyNumberFormat="1" applyFont="1" applyAlignment="1">
      <alignment horizontal="center" wrapText="1"/>
    </xf>
    <xf numFmtId="0" fontId="51" fillId="0" borderId="1" xfId="11" applyFont="1" applyBorder="1"/>
    <xf numFmtId="0" fontId="51" fillId="0" borderId="1" xfId="11" applyFont="1" applyBorder="1" applyAlignment="1">
      <alignment horizontal="left"/>
    </xf>
    <xf numFmtId="0" fontId="51" fillId="0" borderId="1" xfId="11" applyFont="1" applyBorder="1" applyAlignment="1">
      <alignment horizontal="center"/>
    </xf>
    <xf numFmtId="0" fontId="5" fillId="2" borderId="11" xfId="11" applyFont="1" applyFill="1" applyBorder="1" applyAlignment="1">
      <alignment horizontal="center" vertical="center" wrapText="1"/>
    </xf>
    <xf numFmtId="173" fontId="0" fillId="10" borderId="0" xfId="0" applyNumberFormat="1" applyFill="1"/>
    <xf numFmtId="173" fontId="9" fillId="0" borderId="0" xfId="1" applyNumberFormat="1" applyFont="1" applyFill="1" applyBorder="1"/>
    <xf numFmtId="173" fontId="0" fillId="0" borderId="0" xfId="1" applyNumberFormat="1" applyFont="1" applyFill="1"/>
    <xf numFmtId="175" fontId="35" fillId="10" borderId="1" xfId="5" applyNumberFormat="1" applyFont="1" applyFill="1" applyBorder="1" applyAlignment="1">
      <alignment horizontal="center" vertical="center"/>
    </xf>
    <xf numFmtId="175" fontId="35" fillId="10" borderId="16" xfId="5" applyNumberFormat="1" applyFont="1" applyFill="1" applyBorder="1" applyAlignment="1">
      <alignment horizontal="center" vertical="center"/>
    </xf>
    <xf numFmtId="175" fontId="35" fillId="10" borderId="27" xfId="5" applyNumberFormat="1" applyFont="1" applyFill="1" applyBorder="1" applyAlignment="1">
      <alignment horizontal="center" vertical="center"/>
    </xf>
    <xf numFmtId="175" fontId="35" fillId="10" borderId="0" xfId="5" applyNumberFormat="1" applyFont="1" applyFill="1" applyBorder="1" applyAlignment="1">
      <alignment horizontal="center" vertical="center"/>
    </xf>
    <xf numFmtId="0" fontId="0" fillId="10" borderId="0" xfId="0" applyFill="1"/>
    <xf numFmtId="17" fontId="16" fillId="0" borderId="14" xfId="0" applyNumberFormat="1" applyFont="1" applyBorder="1" applyAlignment="1">
      <alignment horizontal="center" vertical="center" wrapText="1"/>
    </xf>
    <xf numFmtId="173" fontId="10" fillId="0" borderId="23" xfId="1" applyNumberFormat="1" applyFont="1" applyFill="1" applyBorder="1" applyAlignment="1">
      <alignment vertical="center"/>
    </xf>
    <xf numFmtId="17" fontId="16" fillId="0" borderId="23" xfId="0" applyNumberFormat="1" applyFont="1" applyBorder="1" applyAlignment="1">
      <alignment horizontal="center" vertical="center" wrapText="1"/>
    </xf>
    <xf numFmtId="176" fontId="16" fillId="0" borderId="23" xfId="0" applyNumberFormat="1" applyFont="1" applyBorder="1" applyAlignment="1">
      <alignment horizontal="center" vertical="center" wrapText="1"/>
    </xf>
    <xf numFmtId="173" fontId="11" fillId="0" borderId="23" xfId="1" applyNumberFormat="1" applyFont="1" applyFill="1" applyBorder="1" applyAlignment="1">
      <alignment vertical="center"/>
    </xf>
    <xf numFmtId="176" fontId="11" fillId="0" borderId="23" xfId="1" applyNumberFormat="1" applyFont="1" applyFill="1" applyBorder="1" applyAlignment="1">
      <alignment horizontal="right" vertical="center"/>
    </xf>
    <xf numFmtId="176" fontId="10" fillId="0" borderId="23" xfId="1" applyNumberFormat="1" applyFont="1" applyFill="1" applyBorder="1" applyAlignment="1">
      <alignment horizontal="right" vertical="center"/>
    </xf>
    <xf numFmtId="173" fontId="10" fillId="0" borderId="23" xfId="1" applyNumberFormat="1" applyFont="1" applyFill="1" applyBorder="1" applyAlignment="1">
      <alignment horizontal="right" vertical="center"/>
    </xf>
    <xf numFmtId="9" fontId="10" fillId="0" borderId="23" xfId="2" applyFont="1" applyFill="1" applyBorder="1" applyAlignment="1">
      <alignment horizontal="right" vertical="center"/>
    </xf>
    <xf numFmtId="176" fontId="10" fillId="0" borderId="23" xfId="2" applyNumberFormat="1" applyFont="1" applyFill="1" applyBorder="1" applyAlignment="1">
      <alignment horizontal="right" vertical="center"/>
    </xf>
    <xf numFmtId="9" fontId="10" fillId="0" borderId="23" xfId="2" applyFont="1" applyFill="1" applyBorder="1" applyAlignment="1">
      <alignment vertical="center"/>
    </xf>
    <xf numFmtId="173" fontId="10" fillId="0" borderId="8" xfId="1" applyNumberFormat="1" applyFont="1" applyFill="1" applyBorder="1" applyAlignment="1">
      <alignment vertical="center"/>
    </xf>
    <xf numFmtId="9" fontId="26" fillId="0" borderId="0" xfId="2" applyFont="1" applyAlignment="1">
      <alignment horizontal="center" vertical="center" wrapText="1"/>
    </xf>
    <xf numFmtId="175" fontId="9" fillId="0" borderId="32" xfId="0" applyNumberFormat="1" applyFont="1" applyBorder="1" applyAlignment="1">
      <alignment horizontal="left"/>
    </xf>
    <xf numFmtId="175" fontId="9" fillId="0" borderId="0" xfId="0" applyNumberFormat="1" applyFont="1" applyAlignment="1">
      <alignment horizontal="left" indent="1"/>
    </xf>
    <xf numFmtId="175" fontId="0" fillId="0" borderId="0" xfId="0" applyNumberFormat="1" applyAlignment="1">
      <alignment horizontal="left" indent="2"/>
    </xf>
    <xf numFmtId="174" fontId="0" fillId="0" borderId="0" xfId="0" applyNumberFormat="1"/>
    <xf numFmtId="175" fontId="0" fillId="0" borderId="0" xfId="0" applyNumberFormat="1" applyAlignment="1">
      <alignment horizontal="left" indent="3"/>
    </xf>
    <xf numFmtId="175" fontId="9" fillId="16" borderId="31" xfId="0" applyNumberFormat="1" applyFont="1" applyFill="1" applyBorder="1" applyAlignment="1">
      <alignment horizontal="left"/>
    </xf>
    <xf numFmtId="171" fontId="9" fillId="0" borderId="0" xfId="0" applyNumberFormat="1" applyFont="1"/>
    <xf numFmtId="9" fontId="0" fillId="0" borderId="0" xfId="2" applyFont="1" applyBorder="1"/>
    <xf numFmtId="173" fontId="15" fillId="0" borderId="0" xfId="1" applyNumberFormat="1" applyFont="1" applyFill="1" applyBorder="1" applyAlignment="1">
      <alignment horizontal="center" vertical="center"/>
    </xf>
    <xf numFmtId="173" fontId="21" fillId="0" borderId="0" xfId="1" applyNumberFormat="1" applyFont="1" applyFill="1" applyBorder="1" applyAlignment="1">
      <alignment horizontal="center" vertical="center"/>
    </xf>
    <xf numFmtId="173" fontId="43" fillId="0" borderId="0" xfId="1" applyNumberFormat="1" applyFont="1" applyFill="1" applyBorder="1" applyAlignment="1">
      <alignment horizontal="center" vertical="center"/>
    </xf>
    <xf numFmtId="176" fontId="11" fillId="0" borderId="23" xfId="1" applyNumberFormat="1" applyFont="1" applyFill="1" applyBorder="1" applyAlignment="1">
      <alignment horizontal="center" vertical="center"/>
    </xf>
    <xf numFmtId="176" fontId="10" fillId="0" borderId="23" xfId="1" applyNumberFormat="1" applyFont="1" applyFill="1" applyBorder="1" applyAlignment="1">
      <alignment horizontal="center" vertical="center"/>
    </xf>
    <xf numFmtId="173" fontId="10" fillId="0" borderId="23" xfId="1" applyNumberFormat="1" applyFont="1" applyFill="1" applyBorder="1" applyAlignment="1">
      <alignment horizontal="center" vertical="center"/>
    </xf>
    <xf numFmtId="9" fontId="10" fillId="0" borderId="23" xfId="2" applyFont="1" applyFill="1" applyBorder="1" applyAlignment="1">
      <alignment horizontal="center" vertical="center"/>
    </xf>
    <xf numFmtId="9" fontId="11" fillId="0" borderId="23" xfId="2" applyFont="1" applyFill="1" applyBorder="1" applyAlignment="1">
      <alignment horizontal="center" vertical="center"/>
    </xf>
    <xf numFmtId="173" fontId="54" fillId="0" borderId="22" xfId="8" applyNumberFormat="1" applyFont="1" applyFill="1" applyBorder="1"/>
    <xf numFmtId="173" fontId="11" fillId="4" borderId="0" xfId="1" applyNumberFormat="1" applyFont="1" applyFill="1" applyBorder="1" applyAlignment="1">
      <alignment horizontal="right" vertical="center"/>
    </xf>
    <xf numFmtId="173" fontId="11" fillId="4" borderId="0" xfId="1" quotePrefix="1" applyNumberFormat="1" applyFont="1" applyFill="1" applyBorder="1" applyAlignment="1">
      <alignment horizontal="right" vertical="center"/>
    </xf>
    <xf numFmtId="175" fontId="0" fillId="0" borderId="0" xfId="7" applyNumberFormat="1" applyFont="1"/>
    <xf numFmtId="0" fontId="17" fillId="0" borderId="0" xfId="0" applyFont="1" applyAlignment="1">
      <alignment horizontal="left" vertical="center"/>
    </xf>
    <xf numFmtId="9" fontId="0" fillId="0" borderId="1" xfId="2" applyFont="1" applyFill="1" applyBorder="1"/>
    <xf numFmtId="0" fontId="9" fillId="0" borderId="23" xfId="0" applyFont="1" applyBorder="1"/>
    <xf numFmtId="175" fontId="35" fillId="0" borderId="23" xfId="5" applyNumberFormat="1" applyFont="1" applyFill="1" applyBorder="1" applyAlignment="1">
      <alignment horizontal="left" vertical="center"/>
    </xf>
    <xf numFmtId="175" fontId="35" fillId="0" borderId="23" xfId="5" applyNumberFormat="1" applyFont="1" applyFill="1" applyBorder="1" applyAlignment="1">
      <alignment horizontal="center" vertical="center"/>
    </xf>
    <xf numFmtId="0" fontId="40" fillId="17" borderId="0" xfId="0" applyFont="1" applyFill="1" applyAlignment="1">
      <alignment vertical="center"/>
    </xf>
    <xf numFmtId="176" fontId="28" fillId="17" borderId="23" xfId="1" applyNumberFormat="1" applyFont="1" applyFill="1" applyBorder="1" applyAlignment="1">
      <alignment horizontal="right" vertical="center"/>
    </xf>
    <xf numFmtId="9" fontId="55" fillId="17" borderId="0" xfId="2" applyFont="1" applyFill="1" applyAlignment="1">
      <alignment horizontal="center" vertical="center" wrapText="1"/>
    </xf>
    <xf numFmtId="0" fontId="55" fillId="17" borderId="0" xfId="0" applyFont="1" applyFill="1" applyAlignment="1">
      <alignment vertical="center"/>
    </xf>
    <xf numFmtId="9" fontId="28" fillId="17" borderId="23" xfId="2" applyFont="1" applyFill="1" applyBorder="1" applyAlignment="1">
      <alignment horizontal="center" vertical="center"/>
    </xf>
    <xf numFmtId="173" fontId="10" fillId="18" borderId="23" xfId="1" applyNumberFormat="1" applyFont="1" applyFill="1" applyBorder="1" applyAlignment="1">
      <alignment vertical="center"/>
    </xf>
    <xf numFmtId="176" fontId="16" fillId="18" borderId="23" xfId="0" applyNumberFormat="1" applyFont="1" applyFill="1" applyBorder="1" applyAlignment="1">
      <alignment horizontal="center" vertical="center" wrapText="1"/>
    </xf>
    <xf numFmtId="173" fontId="11" fillId="18" borderId="23" xfId="1" applyNumberFormat="1" applyFont="1" applyFill="1" applyBorder="1" applyAlignment="1">
      <alignment vertical="center"/>
    </xf>
    <xf numFmtId="176" fontId="11" fillId="18" borderId="23" xfId="1" applyNumberFormat="1" applyFont="1" applyFill="1" applyBorder="1" applyAlignment="1">
      <alignment horizontal="right" vertical="center"/>
    </xf>
    <xf numFmtId="176" fontId="10" fillId="18" borderId="23" xfId="1" applyNumberFormat="1" applyFont="1" applyFill="1" applyBorder="1" applyAlignment="1">
      <alignment horizontal="right" vertical="center"/>
    </xf>
    <xf numFmtId="9" fontId="10" fillId="18" borderId="23" xfId="2" applyFont="1" applyFill="1" applyBorder="1" applyAlignment="1">
      <alignment vertical="center"/>
    </xf>
    <xf numFmtId="9" fontId="10" fillId="18" borderId="23" xfId="2" applyFont="1" applyFill="1" applyBorder="1" applyAlignment="1">
      <alignment horizontal="right" vertical="center"/>
    </xf>
    <xf numFmtId="9" fontId="17" fillId="4" borderId="0" xfId="2" applyFont="1" applyFill="1" applyBorder="1" applyAlignment="1">
      <alignment vertical="center"/>
    </xf>
    <xf numFmtId="9" fontId="10" fillId="4" borderId="23" xfId="2" applyFont="1" applyFill="1" applyBorder="1" applyAlignment="1">
      <alignment horizontal="right" vertical="center"/>
    </xf>
    <xf numFmtId="9" fontId="10" fillId="4" borderId="23" xfId="2" applyFont="1" applyFill="1" applyBorder="1" applyAlignment="1">
      <alignment horizontal="center" vertical="center"/>
    </xf>
    <xf numFmtId="9" fontId="26" fillId="4" borderId="0" xfId="2" applyFont="1" applyFill="1" applyAlignment="1">
      <alignment horizontal="center" vertical="center" wrapText="1"/>
    </xf>
    <xf numFmtId="0" fontId="2" fillId="0" borderId="0" xfId="0" applyFont="1" applyAlignment="1">
      <alignment vertical="center"/>
    </xf>
    <xf numFmtId="173" fontId="39" fillId="17" borderId="23" xfId="1" applyNumberFormat="1" applyFont="1" applyFill="1" applyBorder="1" applyAlignment="1">
      <alignment vertical="center"/>
    </xf>
    <xf numFmtId="176" fontId="39" fillId="17" borderId="23" xfId="1" applyNumberFormat="1" applyFont="1" applyFill="1" applyBorder="1" applyAlignment="1">
      <alignment horizontal="right" vertical="center"/>
    </xf>
    <xf numFmtId="9" fontId="56" fillId="17" borderId="0" xfId="2" applyFont="1" applyFill="1" applyAlignment="1">
      <alignment horizontal="center" vertical="center" wrapText="1"/>
    </xf>
    <xf numFmtId="173" fontId="39" fillId="17" borderId="0" xfId="1" applyNumberFormat="1" applyFont="1" applyFill="1" applyBorder="1" applyAlignment="1">
      <alignment vertical="center"/>
    </xf>
    <xf numFmtId="173" fontId="39" fillId="17" borderId="0" xfId="1" applyNumberFormat="1" applyFont="1" applyFill="1" applyBorder="1" applyAlignment="1">
      <alignment horizontal="right" vertical="center"/>
    </xf>
    <xf numFmtId="176" fontId="39" fillId="0" borderId="23" xfId="1" applyNumberFormat="1" applyFont="1" applyFill="1" applyBorder="1" applyAlignment="1">
      <alignment horizontal="right" vertical="center"/>
    </xf>
    <xf numFmtId="173" fontId="35" fillId="19" borderId="1" xfId="1" applyNumberFormat="1" applyFont="1" applyFill="1" applyBorder="1" applyAlignment="1">
      <alignment horizontal="right" vertical="center"/>
    </xf>
    <xf numFmtId="173" fontId="35" fillId="19" borderId="1" xfId="1" applyNumberFormat="1" applyFont="1" applyFill="1" applyBorder="1" applyAlignment="1">
      <alignment horizontal="center" vertical="center"/>
    </xf>
    <xf numFmtId="0" fontId="17" fillId="20" borderId="0" xfId="0" applyFont="1" applyFill="1" applyAlignment="1">
      <alignment vertical="center"/>
    </xf>
    <xf numFmtId="175" fontId="32" fillId="20" borderId="23" xfId="5" applyNumberFormat="1" applyFont="1" applyFill="1" applyBorder="1" applyAlignment="1">
      <alignment horizontal="center" vertical="center"/>
    </xf>
    <xf numFmtId="0" fontId="31" fillId="20" borderId="0" xfId="0" applyFont="1" applyFill="1"/>
    <xf numFmtId="173" fontId="10" fillId="0" borderId="23" xfId="2" applyNumberFormat="1" applyFont="1" applyFill="1" applyBorder="1" applyAlignment="1">
      <alignment horizontal="right" vertical="center"/>
    </xf>
    <xf numFmtId="176" fontId="11" fillId="20" borderId="23" xfId="1" applyNumberFormat="1" applyFont="1" applyFill="1" applyBorder="1" applyAlignment="1">
      <alignment horizontal="right" vertical="center"/>
    </xf>
    <xf numFmtId="175" fontId="32" fillId="20" borderId="24" xfId="5" applyNumberFormat="1" applyFont="1" applyFill="1" applyBorder="1" applyAlignment="1">
      <alignment horizontal="center" vertical="center"/>
    </xf>
    <xf numFmtId="177" fontId="0" fillId="0" borderId="0" xfId="0" applyNumberFormat="1"/>
    <xf numFmtId="0" fontId="59" fillId="0" borderId="0" xfId="0" applyFont="1"/>
    <xf numFmtId="0" fontId="60" fillId="21" borderId="36" xfId="0" applyFont="1" applyFill="1" applyBorder="1" applyAlignment="1">
      <alignment horizontal="center" vertical="center" wrapText="1" readingOrder="1"/>
    </xf>
    <xf numFmtId="0" fontId="60" fillId="21" borderId="37" xfId="0" applyFont="1" applyFill="1" applyBorder="1" applyAlignment="1">
      <alignment horizontal="center" vertical="center" wrapText="1" readingOrder="1"/>
    </xf>
    <xf numFmtId="0" fontId="61" fillId="0" borderId="36" xfId="0" applyFont="1" applyBorder="1" applyAlignment="1">
      <alignment horizontal="center" vertical="center" wrapText="1" readingOrder="1"/>
    </xf>
    <xf numFmtId="166" fontId="61" fillId="0" borderId="37" xfId="0" applyNumberFormat="1" applyFont="1" applyBorder="1" applyAlignment="1">
      <alignment horizontal="center" vertical="center" wrapText="1" readingOrder="1"/>
    </xf>
    <xf numFmtId="0" fontId="62" fillId="0" borderId="36" xfId="0" applyFont="1" applyBorder="1" applyAlignment="1">
      <alignment horizontal="center" vertical="center" wrapText="1" readingOrder="1"/>
    </xf>
    <xf numFmtId="164" fontId="62" fillId="0" borderId="37" xfId="0" applyNumberFormat="1" applyFont="1" applyBorder="1" applyAlignment="1">
      <alignment horizontal="center" vertical="center" wrapText="1" readingOrder="1"/>
    </xf>
    <xf numFmtId="0" fontId="63" fillId="0" borderId="36" xfId="0" applyFont="1" applyBorder="1" applyAlignment="1">
      <alignment horizontal="center" vertical="center" wrapText="1" readingOrder="1"/>
    </xf>
    <xf numFmtId="166" fontId="64" fillId="22" borderId="37" xfId="0" applyNumberFormat="1" applyFont="1" applyFill="1" applyBorder="1" applyAlignment="1">
      <alignment horizontal="center" vertical="center" wrapText="1" readingOrder="1"/>
    </xf>
    <xf numFmtId="0" fontId="65" fillId="21" borderId="36" xfId="0" applyFont="1" applyFill="1" applyBorder="1" applyAlignment="1">
      <alignment horizontal="center" vertical="center" wrapText="1" readingOrder="1"/>
    </xf>
    <xf numFmtId="0" fontId="65" fillId="21" borderId="37" xfId="0" applyFont="1" applyFill="1" applyBorder="1" applyAlignment="1">
      <alignment horizontal="center" vertical="center" wrapText="1" readingOrder="1"/>
    </xf>
    <xf numFmtId="0" fontId="62" fillId="0" borderId="37" xfId="0" applyFont="1" applyBorder="1" applyAlignment="1">
      <alignment horizontal="center" vertical="center" wrapText="1" readingOrder="1"/>
    </xf>
    <xf numFmtId="166" fontId="62" fillId="0" borderId="37" xfId="0" applyNumberFormat="1" applyFont="1" applyBorder="1" applyAlignment="1">
      <alignment horizontal="center" vertical="center" wrapText="1" readingOrder="1"/>
    </xf>
    <xf numFmtId="166" fontId="66" fillId="22" borderId="37" xfId="0" applyNumberFormat="1" applyFont="1" applyFill="1" applyBorder="1" applyAlignment="1">
      <alignment horizontal="center" vertical="center" wrapText="1" readingOrder="1"/>
    </xf>
    <xf numFmtId="181" fontId="67" fillId="23" borderId="1" xfId="0" applyNumberFormat="1" applyFont="1" applyFill="1" applyBorder="1" applyAlignment="1">
      <alignment horizontal="center" vertical="center"/>
    </xf>
    <xf numFmtId="181" fontId="67" fillId="23" borderId="0" xfId="0" applyNumberFormat="1" applyFont="1" applyFill="1" applyAlignment="1">
      <alignment horizontal="center" vertical="center"/>
    </xf>
    <xf numFmtId="182" fontId="67" fillId="23" borderId="1" xfId="0" applyNumberFormat="1" applyFont="1" applyFill="1" applyBorder="1" applyAlignment="1">
      <alignment horizontal="center" vertical="center"/>
    </xf>
    <xf numFmtId="181" fontId="67" fillId="0" borderId="0" xfId="0" applyNumberFormat="1" applyFont="1" applyAlignment="1">
      <alignment horizontal="center" vertical="center"/>
    </xf>
    <xf numFmtId="181" fontId="36" fillId="4" borderId="1" xfId="0" applyNumberFormat="1" applyFont="1" applyFill="1" applyBorder="1" applyAlignment="1">
      <alignment horizontal="center" vertical="center"/>
    </xf>
    <xf numFmtId="1" fontId="24" fillId="0" borderId="1" xfId="0" applyNumberFormat="1" applyFont="1" applyBorder="1" applyAlignment="1">
      <alignment horizontal="center" vertical="center"/>
    </xf>
    <xf numFmtId="14" fontId="7" fillId="0" borderId="1" xfId="0" applyNumberFormat="1" applyFont="1" applyBorder="1" applyAlignment="1">
      <alignment horizontal="center"/>
    </xf>
    <xf numFmtId="181" fontId="24" fillId="0" borderId="1" xfId="0" applyNumberFormat="1" applyFont="1" applyBorder="1" applyAlignment="1">
      <alignment horizontal="center" vertical="center"/>
    </xf>
    <xf numFmtId="182" fontId="24" fillId="0" borderId="1" xfId="1" applyNumberFormat="1" applyFont="1" applyFill="1" applyBorder="1" applyAlignment="1">
      <alignment horizontal="center" vertical="center"/>
    </xf>
    <xf numFmtId="168" fontId="24" fillId="0" borderId="1" xfId="1" applyFont="1" applyFill="1" applyBorder="1" applyAlignment="1">
      <alignment horizontal="center" vertical="center"/>
    </xf>
    <xf numFmtId="181" fontId="24" fillId="0" borderId="1" xfId="1" applyNumberFormat="1" applyFont="1" applyFill="1" applyBorder="1" applyAlignment="1">
      <alignment horizontal="center" vertical="center"/>
    </xf>
    <xf numFmtId="181" fontId="0" fillId="0" borderId="0" xfId="1" applyNumberFormat="1" applyFont="1"/>
    <xf numFmtId="49" fontId="7" fillId="0" borderId="1" xfId="0" applyNumberFormat="1" applyFont="1" applyBorder="1" applyAlignment="1">
      <alignment horizontal="center"/>
    </xf>
    <xf numFmtId="1" fontId="24" fillId="4" borderId="1" xfId="0" applyNumberFormat="1" applyFont="1" applyFill="1" applyBorder="1" applyAlignment="1">
      <alignment horizontal="center" vertical="center"/>
    </xf>
    <xf numFmtId="14" fontId="7" fillId="4" borderId="1" xfId="0" applyNumberFormat="1" applyFont="1" applyFill="1" applyBorder="1" applyAlignment="1">
      <alignment horizontal="center"/>
    </xf>
    <xf numFmtId="14" fontId="24" fillId="4" borderId="1" xfId="1" applyNumberFormat="1" applyFont="1" applyFill="1" applyBorder="1" applyAlignment="1">
      <alignment horizontal="center" vertical="center"/>
    </xf>
    <xf numFmtId="181" fontId="24" fillId="4" borderId="1" xfId="0" applyNumberFormat="1" applyFont="1" applyFill="1" applyBorder="1" applyAlignment="1">
      <alignment horizontal="center" vertical="center"/>
    </xf>
    <xf numFmtId="182" fontId="24" fillId="4" borderId="1" xfId="1" applyNumberFormat="1" applyFont="1" applyFill="1" applyBorder="1" applyAlignment="1">
      <alignment horizontal="center" vertical="center"/>
    </xf>
    <xf numFmtId="168" fontId="24" fillId="4" borderId="1" xfId="1" applyFont="1" applyFill="1" applyBorder="1" applyAlignment="1">
      <alignment horizontal="center" vertical="center"/>
    </xf>
    <xf numFmtId="181" fontId="24" fillId="4" borderId="1" xfId="1" applyNumberFormat="1" applyFont="1" applyFill="1" applyBorder="1" applyAlignment="1">
      <alignment horizontal="center" vertical="center"/>
    </xf>
    <xf numFmtId="181" fontId="0" fillId="4" borderId="0" xfId="1" applyNumberFormat="1" applyFont="1" applyFill="1"/>
    <xf numFmtId="49" fontId="24" fillId="4" borderId="1" xfId="0" applyNumberFormat="1" applyFont="1" applyFill="1" applyBorder="1" applyAlignment="1">
      <alignment horizontal="center" vertical="center"/>
    </xf>
    <xf numFmtId="43" fontId="24" fillId="4" borderId="1" xfId="0" applyNumberFormat="1" applyFont="1" applyFill="1" applyBorder="1" applyAlignment="1">
      <alignment horizontal="center" vertical="center"/>
    </xf>
    <xf numFmtId="49" fontId="0" fillId="4" borderId="1" xfId="0" applyNumberFormat="1" applyFill="1" applyBorder="1" applyAlignment="1">
      <alignment horizontal="center" vertical="center"/>
    </xf>
    <xf numFmtId="0" fontId="0" fillId="4" borderId="1" xfId="0" applyFill="1" applyBorder="1" applyAlignment="1">
      <alignment horizontal="center" vertical="center"/>
    </xf>
    <xf numFmtId="181" fontId="0" fillId="4" borderId="1" xfId="1" applyNumberFormat="1" applyFont="1" applyFill="1" applyBorder="1"/>
    <xf numFmtId="181" fontId="0" fillId="4" borderId="1" xfId="0" applyNumberFormat="1" applyFill="1" applyBorder="1"/>
    <xf numFmtId="182" fontId="0" fillId="4" borderId="1" xfId="0" applyNumberFormat="1" applyFill="1" applyBorder="1"/>
    <xf numFmtId="173" fontId="11" fillId="0" borderId="0" xfId="1" applyNumberFormat="1" applyFont="1" applyFill="1" applyBorder="1" applyAlignment="1">
      <alignment vertical="center" wrapText="1"/>
    </xf>
    <xf numFmtId="173" fontId="0" fillId="4" borderId="0" xfId="1" applyNumberFormat="1" applyFont="1" applyFill="1" applyBorder="1"/>
    <xf numFmtId="0" fontId="17" fillId="10" borderId="0" xfId="0" applyFont="1" applyFill="1" applyAlignment="1">
      <alignment vertical="center"/>
    </xf>
    <xf numFmtId="175" fontId="32" fillId="4" borderId="23" xfId="5" applyNumberFormat="1" applyFont="1" applyFill="1" applyBorder="1" applyAlignment="1">
      <alignment horizontal="center" vertical="center"/>
    </xf>
    <xf numFmtId="9" fontId="39" fillId="17" borderId="23" xfId="2" applyFont="1" applyFill="1" applyBorder="1" applyAlignment="1">
      <alignment horizontal="center" vertical="center"/>
    </xf>
    <xf numFmtId="0" fontId="56" fillId="17" borderId="0" xfId="0" applyFont="1" applyFill="1" applyAlignment="1">
      <alignment vertical="center"/>
    </xf>
    <xf numFmtId="0" fontId="51" fillId="0" borderId="1" xfId="0" applyFont="1" applyBorder="1" applyAlignment="1">
      <alignment horizontal="center" vertical="center"/>
    </xf>
    <xf numFmtId="0" fontId="68" fillId="0" borderId="1" xfId="0" applyFont="1" applyBorder="1" applyAlignment="1">
      <alignment horizontal="center" vertical="center"/>
    </xf>
    <xf numFmtId="167" fontId="0" fillId="0" borderId="1" xfId="14" applyFont="1" applyBorder="1"/>
    <xf numFmtId="167" fontId="0" fillId="0" borderId="0" xfId="0" applyNumberFormat="1"/>
    <xf numFmtId="167" fontId="0" fillId="0" borderId="0" xfId="14" applyFont="1"/>
    <xf numFmtId="0" fontId="69" fillId="24" borderId="49" xfId="0" applyFont="1" applyFill="1" applyBorder="1" applyAlignment="1">
      <alignment horizontal="center" vertical="center"/>
    </xf>
    <xf numFmtId="0" fontId="69" fillId="0" borderId="49" xfId="0" applyFont="1" applyBorder="1" applyAlignment="1">
      <alignment horizontal="center" vertical="center"/>
    </xf>
    <xf numFmtId="0" fontId="69" fillId="0" borderId="38" xfId="0" applyFont="1" applyBorder="1" applyAlignment="1">
      <alignment horizontal="center" vertical="center"/>
    </xf>
    <xf numFmtId="0" fontId="69" fillId="24" borderId="52" xfId="0" applyFont="1" applyFill="1" applyBorder="1" applyAlignment="1">
      <alignment horizontal="center" vertical="center"/>
    </xf>
    <xf numFmtId="0" fontId="0" fillId="0" borderId="54" xfId="0" applyBorder="1" applyAlignment="1">
      <alignment horizontal="center" vertical="center"/>
    </xf>
    <xf numFmtId="0" fontId="69" fillId="25" borderId="52" xfId="0" applyFont="1" applyFill="1" applyBorder="1" applyAlignment="1">
      <alignment horizontal="center" vertical="center"/>
    </xf>
    <xf numFmtId="0" fontId="69" fillId="6" borderId="52" xfId="0" applyFont="1" applyFill="1" applyBorder="1" applyAlignment="1">
      <alignment horizontal="center" vertical="center"/>
    </xf>
    <xf numFmtId="0" fontId="69" fillId="27" borderId="52" xfId="0" applyFont="1" applyFill="1" applyBorder="1" applyAlignment="1">
      <alignment horizontal="center" vertical="center"/>
    </xf>
    <xf numFmtId="0" fontId="70" fillId="27" borderId="52" xfId="0" applyFont="1" applyFill="1" applyBorder="1" applyAlignment="1">
      <alignment horizontal="center" vertical="center"/>
    </xf>
    <xf numFmtId="0" fontId="0" fillId="17" borderId="54" xfId="0" applyFill="1" applyBorder="1" applyAlignment="1">
      <alignment horizontal="center" vertical="center"/>
    </xf>
    <xf numFmtId="0" fontId="71" fillId="6" borderId="52" xfId="0" applyFont="1" applyFill="1" applyBorder="1" applyAlignment="1">
      <alignment horizontal="center" vertical="center"/>
    </xf>
    <xf numFmtId="0" fontId="69" fillId="14" borderId="49" xfId="0" applyFont="1" applyFill="1" applyBorder="1" applyAlignment="1">
      <alignment horizontal="center" vertical="center"/>
    </xf>
    <xf numFmtId="0" fontId="69" fillId="14" borderId="38" xfId="0" applyFont="1" applyFill="1" applyBorder="1" applyAlignment="1">
      <alignment horizontal="center" vertical="center"/>
    </xf>
    <xf numFmtId="0" fontId="0" fillId="0" borderId="43" xfId="0" applyBorder="1" applyAlignment="1">
      <alignment horizontal="center" vertical="center"/>
    </xf>
    <xf numFmtId="0" fontId="69" fillId="6" borderId="44" xfId="0" applyFont="1" applyFill="1" applyBorder="1" applyAlignment="1">
      <alignment horizontal="center" vertical="center"/>
    </xf>
    <xf numFmtId="0" fontId="69" fillId="14" borderId="58" xfId="0" applyFont="1" applyFill="1" applyBorder="1" applyAlignment="1">
      <alignment horizontal="center" vertical="center"/>
    </xf>
    <xf numFmtId="0" fontId="69" fillId="14" borderId="46" xfId="0" applyFont="1" applyFill="1" applyBorder="1" applyAlignment="1">
      <alignment horizontal="center" vertical="center"/>
    </xf>
    <xf numFmtId="183" fontId="8" fillId="2" borderId="1" xfId="0" applyNumberFormat="1" applyFont="1" applyFill="1" applyBorder="1" applyAlignment="1">
      <alignment horizontal="center" vertical="center"/>
    </xf>
    <xf numFmtId="2" fontId="8" fillId="2" borderId="1" xfId="0" applyNumberFormat="1" applyFont="1" applyFill="1" applyBorder="1" applyAlignment="1">
      <alignment horizontal="center" vertical="center"/>
    </xf>
    <xf numFmtId="183" fontId="69" fillId="0" borderId="1" xfId="0" applyNumberFormat="1" applyFont="1" applyBorder="1" applyAlignment="1">
      <alignment horizontal="center" vertical="center"/>
    </xf>
    <xf numFmtId="165" fontId="69" fillId="0" borderId="1" xfId="14" applyNumberFormat="1" applyFont="1" applyBorder="1" applyAlignment="1">
      <alignment horizontal="center" vertical="center"/>
    </xf>
    <xf numFmtId="183" fontId="0" fillId="0" borderId="1" xfId="0" applyNumberFormat="1" applyBorder="1" applyAlignment="1">
      <alignment horizontal="center" vertical="center"/>
    </xf>
    <xf numFmtId="2" fontId="0" fillId="0" borderId="1" xfId="0" applyNumberFormat="1" applyBorder="1" applyAlignment="1">
      <alignment horizontal="center" vertical="center"/>
    </xf>
    <xf numFmtId="183" fontId="72" fillId="28" borderId="1" xfId="0" applyNumberFormat="1" applyFont="1" applyFill="1" applyBorder="1" applyAlignment="1">
      <alignment horizontal="center" vertical="center"/>
    </xf>
    <xf numFmtId="183" fontId="9" fillId="28" borderId="1" xfId="0" applyNumberFormat="1" applyFont="1" applyFill="1" applyBorder="1" applyAlignment="1">
      <alignment horizontal="center" vertical="center"/>
    </xf>
    <xf numFmtId="2" fontId="9" fillId="28" borderId="1" xfId="0" applyNumberFormat="1" applyFont="1" applyFill="1" applyBorder="1" applyAlignment="1">
      <alignment horizontal="center" vertical="center"/>
    </xf>
    <xf numFmtId="1" fontId="69" fillId="0" borderId="1" xfId="0" applyNumberFormat="1" applyFont="1" applyBorder="1" applyAlignment="1">
      <alignment horizontal="center" vertical="center"/>
    </xf>
    <xf numFmtId="0" fontId="69" fillId="0" borderId="1" xfId="0" applyFont="1" applyBorder="1" applyAlignment="1">
      <alignment horizontal="center" vertical="center"/>
    </xf>
    <xf numFmtId="164" fontId="69" fillId="0" borderId="1" xfId="0" applyNumberFormat="1" applyFont="1" applyBorder="1" applyAlignment="1">
      <alignment horizontal="center" vertical="center"/>
    </xf>
    <xf numFmtId="170" fontId="0" fillId="0" borderId="1" xfId="0" applyNumberFormat="1" applyBorder="1" applyAlignment="1">
      <alignment horizontal="center" vertical="center"/>
    </xf>
    <xf numFmtId="10" fontId="0" fillId="0" borderId="1" xfId="0" applyNumberFormat="1" applyBorder="1" applyAlignment="1">
      <alignment horizontal="center" vertical="center"/>
    </xf>
    <xf numFmtId="166" fontId="69" fillId="0" borderId="1" xfId="0" applyNumberFormat="1" applyFont="1" applyBorder="1" applyAlignment="1">
      <alignment horizontal="center" vertical="center"/>
    </xf>
    <xf numFmtId="9" fontId="0" fillId="0" borderId="1" xfId="0" applyNumberFormat="1" applyBorder="1" applyAlignment="1">
      <alignment horizontal="center" vertical="center"/>
    </xf>
    <xf numFmtId="2" fontId="0" fillId="0" borderId="0" xfId="0" applyNumberFormat="1" applyAlignment="1">
      <alignment horizontal="center" vertical="center"/>
    </xf>
    <xf numFmtId="0" fontId="59" fillId="9" borderId="0" xfId="0" applyFont="1" applyFill="1"/>
    <xf numFmtId="9" fontId="26" fillId="20" borderId="0" xfId="2" applyFont="1" applyFill="1" applyAlignment="1">
      <alignment horizontal="left" vertical="center" wrapText="1"/>
    </xf>
    <xf numFmtId="0" fontId="31" fillId="0" borderId="0" xfId="0" applyFont="1" applyAlignment="1">
      <alignment wrapText="1"/>
    </xf>
    <xf numFmtId="0" fontId="9" fillId="0" borderId="0" xfId="0" applyFont="1" applyAlignment="1">
      <alignment horizontal="center" vertical="center"/>
    </xf>
    <xf numFmtId="9" fontId="9" fillId="0" borderId="0" xfId="0" applyNumberFormat="1" applyFont="1" applyAlignment="1">
      <alignment horizontal="center" vertical="center"/>
    </xf>
    <xf numFmtId="0" fontId="9" fillId="0" borderId="0" xfId="0" applyFont="1" applyAlignment="1">
      <alignment horizontal="left" vertical="center"/>
    </xf>
    <xf numFmtId="0" fontId="1" fillId="9" borderId="0" xfId="0" applyFont="1" applyFill="1" applyAlignment="1">
      <alignment vertical="center"/>
    </xf>
    <xf numFmtId="173" fontId="0" fillId="0" borderId="0" xfId="1" applyNumberFormat="1" applyFont="1" applyAlignment="1">
      <alignment horizontal="center" vertical="center"/>
    </xf>
    <xf numFmtId="173" fontId="0" fillId="0" borderId="0" xfId="0" applyNumberFormat="1" applyAlignment="1">
      <alignment horizontal="center" vertical="center"/>
    </xf>
    <xf numFmtId="0" fontId="73" fillId="2" borderId="1" xfId="0" applyFont="1" applyFill="1" applyBorder="1" applyAlignment="1">
      <alignment horizontal="center" vertical="center"/>
    </xf>
    <xf numFmtId="0" fontId="73" fillId="2" borderId="1" xfId="0" applyFont="1" applyFill="1" applyBorder="1" applyAlignment="1">
      <alignment vertical="center"/>
    </xf>
    <xf numFmtId="0" fontId="74" fillId="2" borderId="1" xfId="0" applyFont="1" applyFill="1" applyBorder="1" applyAlignment="1">
      <alignment horizontal="center" vertical="center"/>
    </xf>
    <xf numFmtId="0" fontId="75" fillId="0" borderId="1" xfId="0" applyFont="1" applyBorder="1" applyAlignment="1">
      <alignment horizontal="center" vertical="center"/>
    </xf>
    <xf numFmtId="10" fontId="75" fillId="0" borderId="1" xfId="0" applyNumberFormat="1" applyFont="1" applyBorder="1" applyAlignment="1">
      <alignment horizontal="center" vertical="center"/>
    </xf>
    <xf numFmtId="174" fontId="75" fillId="0" borderId="1" xfId="14" applyNumberFormat="1" applyFont="1" applyFill="1" applyBorder="1" applyAlignment="1">
      <alignment horizontal="center" vertical="center"/>
    </xf>
    <xf numFmtId="167" fontId="75" fillId="0" borderId="1" xfId="14" applyFont="1" applyFill="1" applyBorder="1" applyAlignment="1">
      <alignment horizontal="center" vertical="center"/>
    </xf>
    <xf numFmtId="166" fontId="75" fillId="0" borderId="1" xfId="0" applyNumberFormat="1" applyFont="1" applyBorder="1" applyAlignment="1">
      <alignment horizontal="center" vertical="center"/>
    </xf>
    <xf numFmtId="167" fontId="75" fillId="0" borderId="1" xfId="0" applyNumberFormat="1" applyFont="1" applyBorder="1" applyAlignment="1">
      <alignment horizontal="center" vertical="center"/>
    </xf>
    <xf numFmtId="1" fontId="75" fillId="0" borderId="1" xfId="0" applyNumberFormat="1" applyFont="1" applyBorder="1" applyAlignment="1">
      <alignment horizontal="center" vertical="center"/>
    </xf>
    <xf numFmtId="180" fontId="75" fillId="0" borderId="1" xfId="0" applyNumberFormat="1" applyFont="1" applyBorder="1" applyAlignment="1">
      <alignment horizontal="center" vertical="center"/>
    </xf>
    <xf numFmtId="164" fontId="75" fillId="0" borderId="1" xfId="0" applyNumberFormat="1" applyFont="1" applyBorder="1" applyAlignment="1">
      <alignment horizontal="center" vertical="center"/>
    </xf>
    <xf numFmtId="0" fontId="75" fillId="17" borderId="1" xfId="0" applyFont="1" applyFill="1" applyBorder="1" applyAlignment="1">
      <alignment horizontal="center" vertical="center"/>
    </xf>
    <xf numFmtId="9" fontId="75" fillId="0" borderId="1" xfId="0" applyNumberFormat="1" applyFont="1" applyBorder="1" applyAlignment="1">
      <alignment horizontal="center" vertical="center"/>
    </xf>
    <xf numFmtId="0" fontId="76" fillId="0" borderId="1" xfId="0" applyFont="1" applyBorder="1" applyAlignment="1">
      <alignment horizontal="center" vertical="center"/>
    </xf>
    <xf numFmtId="0" fontId="75" fillId="10" borderId="1" xfId="0" applyFont="1" applyFill="1" applyBorder="1" applyAlignment="1">
      <alignment horizontal="center" vertical="center"/>
    </xf>
    <xf numFmtId="175" fontId="11" fillId="0" borderId="0" xfId="0" applyNumberFormat="1" applyFont="1" applyAlignment="1">
      <alignment horizontal="left" indent="2"/>
    </xf>
    <xf numFmtId="175" fontId="11" fillId="0" borderId="0" xfId="0" applyNumberFormat="1" applyFont="1" applyAlignment="1">
      <alignment horizontal="left" indent="3"/>
    </xf>
    <xf numFmtId="0" fontId="30" fillId="0" borderId="0" xfId="4" applyFont="1" applyAlignment="1">
      <alignment horizontal="left" vertical="center"/>
    </xf>
    <xf numFmtId="0" fontId="30" fillId="0" borderId="0" xfId="4" applyFont="1" applyAlignment="1">
      <alignment vertical="center"/>
    </xf>
    <xf numFmtId="0" fontId="17" fillId="29" borderId="59" xfId="0" applyFont="1" applyFill="1" applyBorder="1"/>
    <xf numFmtId="0" fontId="30" fillId="0" borderId="60" xfId="4" applyFont="1" applyBorder="1" applyAlignment="1">
      <alignment horizontal="left" vertical="center"/>
    </xf>
    <xf numFmtId="0" fontId="30" fillId="0" borderId="60" xfId="4" applyFont="1" applyBorder="1" applyAlignment="1">
      <alignment vertical="center"/>
    </xf>
    <xf numFmtId="10" fontId="31" fillId="0" borderId="0" xfId="2" applyNumberFormat="1" applyFont="1" applyAlignment="1">
      <alignment horizontal="left"/>
    </xf>
    <xf numFmtId="173" fontId="31" fillId="0" borderId="0" xfId="1" applyNumberFormat="1" applyFont="1"/>
    <xf numFmtId="173" fontId="30" fillId="0" borderId="0" xfId="4" applyNumberFormat="1" applyFont="1" applyAlignment="1">
      <alignment vertical="center"/>
    </xf>
    <xf numFmtId="0" fontId="48" fillId="0" borderId="0" xfId="0" applyFont="1"/>
    <xf numFmtId="173" fontId="48" fillId="0" borderId="0" xfId="0" applyNumberFormat="1" applyFont="1"/>
    <xf numFmtId="173" fontId="9" fillId="29" borderId="59" xfId="0" applyNumberFormat="1" applyFont="1" applyFill="1" applyBorder="1"/>
    <xf numFmtId="173" fontId="32" fillId="0" borderId="0" xfId="1" applyNumberFormat="1" applyFont="1" applyBorder="1" applyAlignment="1">
      <alignment horizontal="left" vertical="center"/>
    </xf>
    <xf numFmtId="0" fontId="49" fillId="0" borderId="0" xfId="0" applyFont="1"/>
    <xf numFmtId="0" fontId="77" fillId="0" borderId="0" xfId="4" applyFont="1" applyAlignment="1">
      <alignment vertical="center"/>
    </xf>
    <xf numFmtId="173" fontId="77" fillId="0" borderId="0" xfId="1" applyNumberFormat="1" applyFont="1" applyBorder="1" applyAlignment="1">
      <alignment vertical="center"/>
    </xf>
    <xf numFmtId="2" fontId="77" fillId="0" borderId="0" xfId="1" applyNumberFormat="1" applyFont="1" applyBorder="1" applyAlignment="1">
      <alignment horizontal="left" vertical="center"/>
    </xf>
    <xf numFmtId="9" fontId="77" fillId="0" borderId="0" xfId="4" applyNumberFormat="1" applyFont="1" applyAlignment="1">
      <alignment horizontal="left" vertical="center"/>
    </xf>
    <xf numFmtId="9" fontId="17" fillId="29" borderId="59" xfId="0" applyNumberFormat="1" applyFont="1" applyFill="1" applyBorder="1"/>
    <xf numFmtId="0" fontId="48" fillId="4" borderId="0" xfId="0" applyFont="1" applyFill="1"/>
    <xf numFmtId="173" fontId="77" fillId="0" borderId="0" xfId="1" applyNumberFormat="1" applyFont="1" applyAlignment="1">
      <alignment vertical="center"/>
    </xf>
    <xf numFmtId="0" fontId="17" fillId="0" borderId="32" xfId="0" applyFont="1" applyBorder="1"/>
    <xf numFmtId="184" fontId="31" fillId="0" borderId="0" xfId="0" applyNumberFormat="1" applyFont="1" applyAlignment="1">
      <alignment horizontal="left"/>
    </xf>
    <xf numFmtId="186" fontId="78" fillId="0" borderId="0" xfId="1" applyNumberFormat="1" applyFont="1" applyBorder="1" applyAlignment="1">
      <alignment horizontal="left" vertical="center"/>
    </xf>
    <xf numFmtId="185" fontId="78" fillId="0" borderId="0" xfId="1" applyNumberFormat="1" applyFont="1" applyBorder="1" applyAlignment="1">
      <alignment horizontal="left" vertical="center"/>
    </xf>
    <xf numFmtId="2" fontId="78" fillId="0" borderId="0" xfId="1" applyNumberFormat="1" applyFont="1" applyBorder="1" applyAlignment="1">
      <alignment horizontal="left" vertical="center"/>
    </xf>
    <xf numFmtId="175" fontId="9" fillId="0" borderId="0" xfId="0" applyNumberFormat="1" applyFont="1" applyAlignment="1">
      <alignment horizontal="left" indent="2"/>
    </xf>
    <xf numFmtId="175" fontId="9" fillId="0" borderId="0" xfId="0" applyNumberFormat="1" applyFont="1" applyAlignment="1">
      <alignment horizontal="left" indent="3"/>
    </xf>
    <xf numFmtId="187" fontId="78" fillId="0" borderId="0" xfId="1" applyNumberFormat="1" applyFont="1" applyBorder="1" applyAlignment="1">
      <alignment horizontal="left" vertical="center"/>
    </xf>
    <xf numFmtId="173" fontId="31" fillId="0" borderId="0" xfId="0" applyNumberFormat="1" applyFont="1"/>
    <xf numFmtId="0" fontId="73" fillId="2" borderId="14" xfId="0" applyFont="1" applyFill="1" applyBorder="1" applyAlignment="1">
      <alignment vertical="center"/>
    </xf>
    <xf numFmtId="1" fontId="51" fillId="0" borderId="1" xfId="0" applyNumberFormat="1" applyFont="1" applyBorder="1" applyAlignment="1">
      <alignment horizontal="center"/>
    </xf>
    <xf numFmtId="9" fontId="0" fillId="0" borderId="0" xfId="2" applyFont="1" applyAlignment="1">
      <alignment horizontal="center"/>
    </xf>
    <xf numFmtId="0" fontId="5" fillId="2" borderId="14" xfId="0" applyFont="1" applyFill="1" applyBorder="1" applyAlignment="1">
      <alignment horizontal="center" vertical="center" wrapText="1"/>
    </xf>
    <xf numFmtId="0" fontId="5" fillId="2" borderId="61" xfId="0" applyFont="1" applyFill="1" applyBorder="1" applyAlignment="1">
      <alignment horizontal="center" vertical="center" wrapText="1"/>
    </xf>
    <xf numFmtId="0" fontId="51" fillId="0" borderId="27" xfId="0" applyFont="1" applyBorder="1"/>
    <xf numFmtId="0" fontId="51" fillId="0" borderId="27" xfId="0" applyFont="1" applyBorder="1" applyAlignment="1">
      <alignment horizontal="left"/>
    </xf>
    <xf numFmtId="0" fontId="69" fillId="10" borderId="1" xfId="0" applyFont="1" applyFill="1" applyBorder="1" applyAlignment="1">
      <alignment horizontal="center" vertical="center"/>
    </xf>
    <xf numFmtId="183" fontId="69" fillId="10" borderId="1" xfId="0" applyNumberFormat="1" applyFont="1" applyFill="1" applyBorder="1" applyAlignment="1">
      <alignment horizontal="center" vertical="center"/>
    </xf>
    <xf numFmtId="0" fontId="0" fillId="10" borderId="1" xfId="0" applyFill="1" applyBorder="1" applyAlignment="1">
      <alignment horizontal="center" vertical="center"/>
    </xf>
    <xf numFmtId="170" fontId="0" fillId="0" borderId="1" xfId="0" applyNumberFormat="1" applyBorder="1" applyAlignment="1">
      <alignment vertical="center"/>
    </xf>
    <xf numFmtId="10" fontId="0" fillId="0" borderId="1" xfId="0" applyNumberFormat="1" applyBorder="1" applyAlignment="1">
      <alignment vertical="center"/>
    </xf>
    <xf numFmtId="0" fontId="0" fillId="0" borderId="1" xfId="0" applyBorder="1" applyAlignment="1">
      <alignment vertical="center"/>
    </xf>
    <xf numFmtId="9" fontId="0" fillId="0" borderId="0" xfId="2" applyFont="1" applyAlignment="1">
      <alignment horizontal="center" vertical="center"/>
    </xf>
    <xf numFmtId="17" fontId="8" fillId="2" borderId="1" xfId="0" applyNumberFormat="1" applyFont="1" applyFill="1" applyBorder="1" applyAlignment="1">
      <alignment horizontal="center" vertical="center"/>
    </xf>
    <xf numFmtId="0" fontId="0" fillId="0" borderId="1" xfId="0" applyBorder="1" applyAlignment="1">
      <alignment vertical="center" wrapText="1"/>
    </xf>
    <xf numFmtId="1" fontId="69" fillId="0" borderId="1" xfId="0" applyNumberFormat="1" applyFont="1" applyBorder="1" applyAlignment="1">
      <alignment vertical="center"/>
    </xf>
    <xf numFmtId="183" fontId="69" fillId="12" borderId="1" xfId="0" applyNumberFormat="1" applyFont="1" applyFill="1" applyBorder="1" applyAlignment="1">
      <alignment horizontal="center" vertical="center"/>
    </xf>
    <xf numFmtId="183"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0" fontId="69" fillId="12" borderId="1" xfId="0" applyFont="1" applyFill="1" applyBorder="1" applyAlignment="1">
      <alignment horizontal="center" vertical="center"/>
    </xf>
    <xf numFmtId="175" fontId="7" fillId="0" borderId="0" xfId="0" applyNumberFormat="1" applyFont="1" applyAlignment="1">
      <alignment horizontal="left" indent="3"/>
    </xf>
    <xf numFmtId="0" fontId="30" fillId="19" borderId="0" xfId="4" applyFont="1" applyFill="1" applyAlignment="1">
      <alignment horizontal="left" vertical="center"/>
    </xf>
    <xf numFmtId="2" fontId="0" fillId="0" borderId="1" xfId="0" applyNumberFormat="1" applyBorder="1" applyAlignment="1">
      <alignment vertical="center"/>
    </xf>
    <xf numFmtId="0" fontId="30" fillId="0" borderId="28" xfId="4" applyFont="1" applyBorder="1" applyAlignment="1">
      <alignment horizontal="left" vertical="center"/>
    </xf>
    <xf numFmtId="0" fontId="30" fillId="0" borderId="28" xfId="4" applyFont="1" applyBorder="1" applyAlignment="1">
      <alignment vertical="center"/>
    </xf>
    <xf numFmtId="0" fontId="1" fillId="0" borderId="0" xfId="0" applyFont="1"/>
    <xf numFmtId="2" fontId="51" fillId="0" borderId="1" xfId="0" applyNumberFormat="1" applyFont="1" applyBorder="1" applyAlignment="1">
      <alignment horizontal="center"/>
    </xf>
    <xf numFmtId="183" fontId="69" fillId="9" borderId="1" xfId="0" applyNumberFormat="1" applyFont="1" applyFill="1" applyBorder="1" applyAlignment="1">
      <alignment horizontal="center" vertical="center"/>
    </xf>
    <xf numFmtId="169" fontId="75" fillId="0" borderId="1" xfId="0" applyNumberFormat="1" applyFont="1" applyBorder="1" applyAlignment="1">
      <alignment horizontal="center" vertical="center"/>
    </xf>
    <xf numFmtId="168" fontId="0" fillId="0" borderId="1" xfId="0" applyNumberFormat="1" applyBorder="1" applyAlignment="1">
      <alignment horizontal="left" indent="1"/>
    </xf>
    <xf numFmtId="0" fontId="17" fillId="18" borderId="59" xfId="0" applyFont="1" applyFill="1" applyBorder="1"/>
    <xf numFmtId="173" fontId="9" fillId="18" borderId="59" xfId="0" applyNumberFormat="1" applyFont="1" applyFill="1" applyBorder="1"/>
    <xf numFmtId="175" fontId="0" fillId="18" borderId="0" xfId="0" applyNumberFormat="1" applyFill="1" applyAlignment="1">
      <alignment horizontal="left" indent="3"/>
    </xf>
    <xf numFmtId="184" fontId="31" fillId="18" borderId="0" xfId="0" applyNumberFormat="1" applyFont="1" applyFill="1" applyAlignment="1">
      <alignment horizontal="left"/>
    </xf>
    <xf numFmtId="175" fontId="9" fillId="18" borderId="0" xfId="0" applyNumberFormat="1" applyFont="1" applyFill="1" applyAlignment="1">
      <alignment horizontal="left" indent="3"/>
    </xf>
    <xf numFmtId="176" fontId="0" fillId="0" borderId="0" xfId="0" applyNumberFormat="1"/>
    <xf numFmtId="2" fontId="0" fillId="0" borderId="0" xfId="0" applyNumberFormat="1"/>
    <xf numFmtId="0" fontId="79" fillId="0" borderId="0" xfId="0" applyFont="1"/>
    <xf numFmtId="0" fontId="80" fillId="0" borderId="0" xfId="0" applyFont="1"/>
    <xf numFmtId="0" fontId="81" fillId="0" borderId="0" xfId="0" applyFont="1"/>
    <xf numFmtId="9" fontId="82" fillId="0" borderId="0" xfId="0" applyNumberFormat="1" applyFont="1"/>
    <xf numFmtId="9" fontId="80" fillId="0" borderId="0" xfId="0" applyNumberFormat="1" applyFont="1"/>
    <xf numFmtId="9" fontId="80" fillId="0" borderId="0" xfId="0" applyNumberFormat="1" applyFont="1" applyAlignment="1">
      <alignment horizontal="center"/>
    </xf>
    <xf numFmtId="9" fontId="81" fillId="0" borderId="0" xfId="0" applyNumberFormat="1" applyFont="1" applyAlignment="1">
      <alignment horizontal="right"/>
    </xf>
    <xf numFmtId="188" fontId="80" fillId="0" borderId="0" xfId="0" applyNumberFormat="1" applyFont="1"/>
    <xf numFmtId="175" fontId="80" fillId="0" borderId="0" xfId="7" applyNumberFormat="1" applyFont="1"/>
    <xf numFmtId="0" fontId="82" fillId="30" borderId="8" xfId="0" applyFont="1" applyFill="1" applyBorder="1" applyAlignment="1">
      <alignment horizontal="center" vertical="top" wrapText="1"/>
    </xf>
    <xf numFmtId="17" fontId="82" fillId="30" borderId="8" xfId="0" applyNumberFormat="1" applyFont="1" applyFill="1" applyBorder="1" applyAlignment="1">
      <alignment horizontal="center" vertical="top" wrapText="1"/>
    </xf>
    <xf numFmtId="17" fontId="82" fillId="30" borderId="1" xfId="0" applyNumberFormat="1" applyFont="1" applyFill="1" applyBorder="1" applyAlignment="1">
      <alignment horizontal="center" vertical="top" wrapText="1"/>
    </xf>
    <xf numFmtId="17" fontId="82" fillId="30" borderId="22" xfId="0" applyNumberFormat="1" applyFont="1" applyFill="1" applyBorder="1" applyAlignment="1">
      <alignment horizontal="center" vertical="top" wrapText="1"/>
    </xf>
    <xf numFmtId="17" fontId="82" fillId="30" borderId="0" xfId="0" applyNumberFormat="1" applyFont="1" applyFill="1" applyAlignment="1">
      <alignment horizontal="center" vertical="top" wrapText="1"/>
    </xf>
    <xf numFmtId="0" fontId="80" fillId="0" borderId="1" xfId="0" applyFont="1" applyBorder="1" applyAlignment="1">
      <alignment horizontal="left"/>
    </xf>
    <xf numFmtId="173" fontId="80" fillId="0" borderId="1" xfId="16" applyNumberFormat="1" applyFont="1" applyFill="1" applyBorder="1"/>
    <xf numFmtId="168" fontId="80" fillId="0" borderId="1" xfId="16" applyFont="1" applyFill="1" applyBorder="1"/>
    <xf numFmtId="168" fontId="80" fillId="0" borderId="1" xfId="16" applyFont="1" applyBorder="1"/>
    <xf numFmtId="173" fontId="80" fillId="0" borderId="1" xfId="16" applyNumberFormat="1" applyFont="1" applyBorder="1"/>
    <xf numFmtId="9" fontId="80" fillId="0" borderId="1" xfId="2" applyFont="1" applyBorder="1"/>
    <xf numFmtId="175" fontId="80" fillId="0" borderId="1" xfId="7" applyNumberFormat="1" applyFont="1" applyBorder="1"/>
    <xf numFmtId="9" fontId="81" fillId="0" borderId="1" xfId="2" applyFont="1" applyFill="1" applyBorder="1"/>
    <xf numFmtId="173" fontId="9" fillId="0" borderId="1" xfId="0" applyNumberFormat="1" applyFont="1" applyBorder="1"/>
    <xf numFmtId="168" fontId="79" fillId="0" borderId="1" xfId="16" applyFont="1" applyBorder="1"/>
    <xf numFmtId="9" fontId="79" fillId="0" borderId="1" xfId="2" applyFont="1" applyBorder="1"/>
    <xf numFmtId="9" fontId="83" fillId="0" borderId="1" xfId="2" applyFont="1" applyFill="1" applyBorder="1"/>
    <xf numFmtId="175" fontId="9" fillId="0" borderId="0" xfId="7" applyNumberFormat="1" applyFont="1"/>
    <xf numFmtId="2" fontId="9" fillId="0" borderId="0" xfId="0" applyNumberFormat="1" applyFont="1"/>
    <xf numFmtId="9" fontId="80" fillId="0" borderId="23" xfId="2" applyFont="1" applyFill="1" applyBorder="1"/>
    <xf numFmtId="0" fontId="80" fillId="0" borderId="0" xfId="0" applyFont="1" applyAlignment="1">
      <alignment horizontal="left"/>
    </xf>
    <xf numFmtId="1" fontId="9" fillId="16" borderId="1" xfId="0" applyNumberFormat="1" applyFont="1" applyFill="1" applyBorder="1" applyAlignment="1">
      <alignment horizontal="center"/>
    </xf>
    <xf numFmtId="169" fontId="9" fillId="0" borderId="0" xfId="0" applyNumberFormat="1" applyFont="1"/>
    <xf numFmtId="1" fontId="30" fillId="0" borderId="0" xfId="4" applyNumberFormat="1" applyFont="1" applyAlignment="1">
      <alignment vertical="center"/>
    </xf>
    <xf numFmtId="1" fontId="31" fillId="0" borderId="0" xfId="0" applyNumberFormat="1" applyFont="1"/>
    <xf numFmtId="0" fontId="5" fillId="2" borderId="0" xfId="0" applyFont="1" applyFill="1" applyAlignment="1">
      <alignment horizontal="center" vertical="center" wrapText="1"/>
    </xf>
    <xf numFmtId="173" fontId="6" fillId="0" borderId="0" xfId="1" applyNumberFormat="1" applyFont="1" applyBorder="1" applyAlignment="1">
      <alignment horizontal="center" vertical="center"/>
    </xf>
    <xf numFmtId="9" fontId="0" fillId="0" borderId="0" xfId="0" applyNumberFormat="1" applyAlignment="1">
      <alignment horizontal="left"/>
    </xf>
    <xf numFmtId="168" fontId="9" fillId="0" borderId="1" xfId="0" applyNumberFormat="1" applyFont="1" applyBorder="1"/>
    <xf numFmtId="0" fontId="31" fillId="0" borderId="62" xfId="0" applyFont="1" applyBorder="1"/>
    <xf numFmtId="0" fontId="84" fillId="0" borderId="0" xfId="4" applyFont="1" applyAlignment="1">
      <alignment horizontal="left" vertical="center"/>
    </xf>
    <xf numFmtId="184" fontId="85" fillId="0" borderId="0" xfId="0" applyNumberFormat="1" applyFont="1" applyAlignment="1">
      <alignment horizontal="left"/>
    </xf>
    <xf numFmtId="0" fontId="85" fillId="0" borderId="0" xfId="4" applyFont="1" applyAlignment="1">
      <alignment vertical="center"/>
    </xf>
    <xf numFmtId="173" fontId="84" fillId="0" borderId="0" xfId="4" applyNumberFormat="1" applyFont="1" applyAlignment="1">
      <alignment vertical="center"/>
    </xf>
    <xf numFmtId="0" fontId="40" fillId="0" borderId="59" xfId="0" applyFont="1" applyBorder="1"/>
    <xf numFmtId="173" fontId="28" fillId="17" borderId="23" xfId="1" applyNumberFormat="1" applyFont="1" applyFill="1" applyBorder="1" applyAlignment="1">
      <alignment vertical="center"/>
    </xf>
    <xf numFmtId="187" fontId="48" fillId="0" borderId="0" xfId="1" applyNumberFormat="1" applyFont="1" applyFill="1" applyBorder="1" applyAlignment="1">
      <alignment horizontal="left" vertical="center"/>
    </xf>
    <xf numFmtId="0" fontId="1" fillId="0" borderId="0" xfId="0" applyFont="1" applyAlignment="1">
      <alignment vertical="center"/>
    </xf>
    <xf numFmtId="176" fontId="1" fillId="0" borderId="0" xfId="0" applyNumberFormat="1" applyFont="1" applyAlignment="1">
      <alignment vertical="center"/>
    </xf>
    <xf numFmtId="9" fontId="1" fillId="0" borderId="0" xfId="2" applyFont="1" applyFill="1" applyBorder="1" applyAlignment="1">
      <alignment vertical="center"/>
    </xf>
    <xf numFmtId="9" fontId="1" fillId="0" borderId="8" xfId="2" applyFont="1" applyFill="1" applyBorder="1" applyAlignment="1">
      <alignment vertical="center"/>
    </xf>
    <xf numFmtId="9" fontId="1" fillId="0" borderId="8" xfId="2" applyFont="1" applyFill="1" applyBorder="1" applyAlignment="1">
      <alignment horizontal="center" vertical="center"/>
    </xf>
    <xf numFmtId="173" fontId="1" fillId="0" borderId="0" xfId="1" applyNumberFormat="1" applyFont="1" applyFill="1" applyBorder="1" applyAlignment="1">
      <alignment vertical="center"/>
    </xf>
    <xf numFmtId="173" fontId="1" fillId="0" borderId="0" xfId="1" applyNumberFormat="1" applyFont="1" applyFill="1" applyBorder="1" applyAlignment="1">
      <alignment horizontal="center" vertical="center"/>
    </xf>
    <xf numFmtId="0" fontId="1" fillId="0" borderId="1" xfId="0" applyFont="1" applyBorder="1" applyAlignment="1">
      <alignment vertical="center"/>
    </xf>
    <xf numFmtId="9" fontId="1" fillId="4" borderId="0" xfId="2" applyFont="1" applyFill="1" applyBorder="1" applyAlignment="1">
      <alignment vertical="center"/>
    </xf>
    <xf numFmtId="0" fontId="1" fillId="0" borderId="0" xfId="0" applyFont="1" applyAlignment="1">
      <alignment horizontal="left" vertical="center" wrapText="1"/>
    </xf>
    <xf numFmtId="0" fontId="1" fillId="20" borderId="0" xfId="0" applyFont="1" applyFill="1" applyAlignment="1">
      <alignment vertical="center"/>
    </xf>
    <xf numFmtId="173" fontId="1" fillId="10" borderId="0" xfId="1" applyNumberFormat="1" applyFont="1" applyFill="1" applyBorder="1" applyAlignment="1">
      <alignment vertical="center"/>
    </xf>
    <xf numFmtId="168" fontId="1" fillId="4" borderId="0" xfId="1" applyFont="1" applyFill="1" applyBorder="1" applyAlignment="1">
      <alignment vertical="center"/>
    </xf>
    <xf numFmtId="173" fontId="1" fillId="4" borderId="0" xfId="1" applyNumberFormat="1" applyFont="1" applyFill="1" applyBorder="1" applyAlignment="1">
      <alignment vertical="center"/>
    </xf>
    <xf numFmtId="173" fontId="1" fillId="9" borderId="0" xfId="0" applyNumberFormat="1" applyFont="1" applyFill="1" applyAlignment="1">
      <alignment vertical="center"/>
    </xf>
    <xf numFmtId="169" fontId="1" fillId="0" borderId="0" xfId="0" applyNumberFormat="1" applyFont="1" applyAlignment="1">
      <alignment vertical="center"/>
    </xf>
    <xf numFmtId="0" fontId="1" fillId="0" borderId="0" xfId="0" applyFont="1" applyAlignment="1">
      <alignment horizontal="left"/>
    </xf>
    <xf numFmtId="0" fontId="9" fillId="0" borderId="1" xfId="0" applyFont="1" applyBorder="1" applyAlignment="1">
      <alignment horizontal="center" vertical="center"/>
    </xf>
    <xf numFmtId="181" fontId="36" fillId="0" borderId="1" xfId="0" applyNumberFormat="1" applyFont="1" applyBorder="1" applyAlignment="1">
      <alignment horizontal="center" vertical="center"/>
    </xf>
    <xf numFmtId="181" fontId="36" fillId="31" borderId="1" xfId="0" applyNumberFormat="1" applyFont="1" applyFill="1" applyBorder="1" applyAlignment="1">
      <alignment horizontal="center" vertical="center"/>
    </xf>
    <xf numFmtId="49" fontId="24" fillId="0" borderId="1" xfId="1" applyNumberFormat="1" applyFont="1" applyFill="1" applyBorder="1" applyAlignment="1">
      <alignment horizontal="center" vertical="center"/>
    </xf>
    <xf numFmtId="14" fontId="24" fillId="0" borderId="1" xfId="1" applyNumberFormat="1" applyFont="1" applyFill="1" applyBorder="1" applyAlignment="1">
      <alignment horizontal="center" vertical="center"/>
    </xf>
    <xf numFmtId="49" fontId="24" fillId="0" borderId="1" xfId="0" applyNumberFormat="1" applyFont="1" applyBorder="1" applyAlignment="1">
      <alignment horizontal="center" vertical="center"/>
    </xf>
    <xf numFmtId="49" fontId="0" fillId="0" borderId="1" xfId="0" applyNumberFormat="1" applyBorder="1" applyAlignment="1">
      <alignment horizontal="center" vertical="center"/>
    </xf>
    <xf numFmtId="181" fontId="36" fillId="8" borderId="1" xfId="0" applyNumberFormat="1" applyFont="1" applyFill="1" applyBorder="1" applyAlignment="1">
      <alignment horizontal="center" vertical="center"/>
    </xf>
    <xf numFmtId="1" fontId="24" fillId="8" borderId="1" xfId="0" applyNumberFormat="1" applyFont="1" applyFill="1" applyBorder="1" applyAlignment="1">
      <alignment horizontal="center" vertical="center"/>
    </xf>
    <xf numFmtId="14" fontId="24" fillId="8" borderId="1" xfId="1" applyNumberFormat="1" applyFont="1" applyFill="1" applyBorder="1" applyAlignment="1">
      <alignment horizontal="center" vertical="center"/>
    </xf>
    <xf numFmtId="49" fontId="0" fillId="8" borderId="1" xfId="0" applyNumberFormat="1" applyFill="1" applyBorder="1" applyAlignment="1">
      <alignment horizontal="center" vertical="center"/>
    </xf>
    <xf numFmtId="0" fontId="0" fillId="8" borderId="1" xfId="0" applyFill="1" applyBorder="1" applyAlignment="1">
      <alignment horizontal="center" vertical="center"/>
    </xf>
    <xf numFmtId="181" fontId="0" fillId="8" borderId="1" xfId="0" applyNumberFormat="1" applyFill="1" applyBorder="1"/>
    <xf numFmtId="181" fontId="0" fillId="0" borderId="1" xfId="0" applyNumberFormat="1" applyBorder="1"/>
    <xf numFmtId="49" fontId="7" fillId="0" borderId="1" xfId="0" applyNumberFormat="1" applyFont="1" applyBorder="1" applyAlignment="1">
      <alignment horizontal="center" vertical="center"/>
    </xf>
    <xf numFmtId="49" fontId="7" fillId="8" borderId="1" xfId="0" applyNumberFormat="1" applyFont="1" applyFill="1" applyBorder="1" applyAlignment="1">
      <alignment horizontal="center" vertical="center"/>
    </xf>
    <xf numFmtId="181" fontId="36" fillId="32" borderId="1" xfId="0" applyNumberFormat="1" applyFont="1" applyFill="1" applyBorder="1" applyAlignment="1">
      <alignment horizontal="center" vertical="center"/>
    </xf>
    <xf numFmtId="181" fontId="36" fillId="10" borderId="1" xfId="0" applyNumberFormat="1" applyFont="1" applyFill="1" applyBorder="1" applyAlignment="1">
      <alignment horizontal="center" vertical="center"/>
    </xf>
    <xf numFmtId="1" fontId="24" fillId="10" borderId="1" xfId="0" applyNumberFormat="1" applyFont="1" applyFill="1" applyBorder="1" applyAlignment="1">
      <alignment horizontal="center" vertical="center"/>
    </xf>
    <xf numFmtId="14" fontId="24" fillId="10" borderId="1" xfId="1" applyNumberFormat="1" applyFont="1" applyFill="1" applyBorder="1" applyAlignment="1">
      <alignment horizontal="center" vertical="center"/>
    </xf>
    <xf numFmtId="49" fontId="7" fillId="10" borderId="1" xfId="0" applyNumberFormat="1" applyFont="1" applyFill="1" applyBorder="1" applyAlignment="1">
      <alignment horizontal="center" vertical="center"/>
    </xf>
    <xf numFmtId="181" fontId="0" fillId="10" borderId="1" xfId="0" applyNumberFormat="1" applyFill="1" applyBorder="1"/>
    <xf numFmtId="181" fontId="0" fillId="0" borderId="27" xfId="0" applyNumberFormat="1" applyBorder="1"/>
    <xf numFmtId="181" fontId="0" fillId="0" borderId="16" xfId="0" applyNumberFormat="1" applyBorder="1"/>
    <xf numFmtId="0" fontId="17" fillId="4" borderId="0" xfId="0" applyFont="1" applyFill="1"/>
    <xf numFmtId="0" fontId="6" fillId="10" borderId="1" xfId="0" applyFont="1" applyFill="1" applyBorder="1" applyAlignment="1">
      <alignment horizontal="center" vertical="center"/>
    </xf>
    <xf numFmtId="164" fontId="75" fillId="10" borderId="1" xfId="0" applyNumberFormat="1" applyFont="1" applyFill="1" applyBorder="1" applyAlignment="1">
      <alignment horizontal="center" vertical="center"/>
    </xf>
    <xf numFmtId="173" fontId="31" fillId="0" borderId="0" xfId="1" applyNumberFormat="1" applyFont="1" applyFill="1"/>
    <xf numFmtId="185" fontId="78" fillId="0" borderId="0" xfId="1" applyNumberFormat="1" applyFont="1" applyFill="1" applyBorder="1" applyAlignment="1">
      <alignment horizontal="left" vertical="center"/>
    </xf>
    <xf numFmtId="175" fontId="39" fillId="0" borderId="0" xfId="0" applyNumberFormat="1" applyFont="1" applyAlignment="1">
      <alignment horizontal="left" indent="2"/>
    </xf>
    <xf numFmtId="175" fontId="86" fillId="0" borderId="0" xfId="0" applyNumberFormat="1" applyFont="1" applyAlignment="1">
      <alignment horizontal="left" indent="3"/>
    </xf>
    <xf numFmtId="175" fontId="0" fillId="17" borderId="0" xfId="0" applyNumberFormat="1" applyFill="1" applyAlignment="1">
      <alignment horizontal="left" indent="3"/>
    </xf>
    <xf numFmtId="173" fontId="77" fillId="0" borderId="0" xfId="1" applyNumberFormat="1" applyFont="1" applyFill="1" applyBorder="1" applyAlignment="1">
      <alignment vertical="center"/>
    </xf>
    <xf numFmtId="186" fontId="78" fillId="0" borderId="0" xfId="1" applyNumberFormat="1" applyFont="1" applyFill="1" applyBorder="1" applyAlignment="1">
      <alignment horizontal="left" vertical="center"/>
    </xf>
    <xf numFmtId="175" fontId="0" fillId="0" borderId="0" xfId="0" applyNumberFormat="1" applyAlignment="1">
      <alignment horizontal="left" indent="1"/>
    </xf>
    <xf numFmtId="173" fontId="11" fillId="0" borderId="23" xfId="1" applyNumberFormat="1" applyFont="1" applyFill="1" applyBorder="1" applyAlignment="1">
      <alignment horizontal="right" vertical="center"/>
    </xf>
    <xf numFmtId="0" fontId="40" fillId="0" borderId="0" xfId="0" applyFont="1"/>
    <xf numFmtId="0" fontId="85" fillId="0" borderId="0" xfId="0" applyFont="1"/>
    <xf numFmtId="168" fontId="30" fillId="0" borderId="0" xfId="4" applyNumberFormat="1" applyFont="1" applyAlignment="1">
      <alignment vertical="center"/>
    </xf>
    <xf numFmtId="168" fontId="30" fillId="0" borderId="0" xfId="4" applyNumberFormat="1" applyFont="1" applyAlignment="1">
      <alignment horizontal="left" vertical="center"/>
    </xf>
    <xf numFmtId="9" fontId="17" fillId="0" borderId="0" xfId="0" applyNumberFormat="1" applyFont="1" applyAlignment="1">
      <alignment vertical="center"/>
    </xf>
    <xf numFmtId="177" fontId="1" fillId="0" borderId="0" xfId="0" applyNumberFormat="1" applyFont="1" applyAlignment="1">
      <alignment vertical="center"/>
    </xf>
    <xf numFmtId="174" fontId="54" fillId="0" borderId="23" xfId="14" applyNumberFormat="1" applyFont="1" applyFill="1" applyBorder="1"/>
    <xf numFmtId="10" fontId="10" fillId="0" borderId="23" xfId="2" applyNumberFormat="1" applyFont="1" applyFill="1" applyBorder="1" applyAlignment="1">
      <alignment horizontal="right" vertical="center"/>
    </xf>
    <xf numFmtId="2" fontId="80" fillId="0" borderId="0" xfId="0" applyNumberFormat="1" applyFont="1" applyAlignment="1">
      <alignment horizontal="center"/>
    </xf>
    <xf numFmtId="164" fontId="6" fillId="0" borderId="1" xfId="0" applyNumberFormat="1" applyFont="1" applyBorder="1" applyAlignment="1">
      <alignment horizontal="center" vertical="center"/>
    </xf>
    <xf numFmtId="164" fontId="6" fillId="0" borderId="3" xfId="0" applyNumberFormat="1" applyFont="1" applyBorder="1" applyAlignment="1">
      <alignment horizontal="center" vertical="center"/>
    </xf>
    <xf numFmtId="170" fontId="6" fillId="0" borderId="1" xfId="0" applyNumberFormat="1" applyFont="1" applyBorder="1" applyAlignment="1">
      <alignment horizontal="center" vertical="center"/>
    </xf>
    <xf numFmtId="170" fontId="6" fillId="0" borderId="3" xfId="0" applyNumberFormat="1" applyFont="1" applyBorder="1" applyAlignment="1">
      <alignment horizontal="center" vertical="center"/>
    </xf>
    <xf numFmtId="10" fontId="6" fillId="0" borderId="1" xfId="0" applyNumberFormat="1" applyFont="1" applyBorder="1" applyAlignment="1">
      <alignment horizontal="center" vertical="center"/>
    </xf>
    <xf numFmtId="0" fontId="6" fillId="0" borderId="2" xfId="0" applyFont="1" applyBorder="1" applyAlignment="1">
      <alignment horizontal="center" vertical="center"/>
    </xf>
    <xf numFmtId="9" fontId="6" fillId="0" borderId="1" xfId="0" applyNumberFormat="1" applyFont="1" applyBorder="1" applyAlignment="1">
      <alignment horizontal="center" vertical="center"/>
    </xf>
    <xf numFmtId="10" fontId="6" fillId="4" borderId="1" xfId="0" applyNumberFormat="1" applyFont="1" applyFill="1" applyBorder="1" applyAlignment="1">
      <alignment horizontal="center" vertical="center"/>
    </xf>
    <xf numFmtId="0" fontId="6" fillId="3" borderId="7"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4" borderId="2" xfId="0" applyFont="1" applyFill="1" applyBorder="1" applyAlignment="1">
      <alignment horizontal="center" vertical="center"/>
    </xf>
    <xf numFmtId="164" fontId="6" fillId="4" borderId="1" xfId="0" applyNumberFormat="1" applyFont="1" applyFill="1" applyBorder="1" applyAlignment="1">
      <alignment horizontal="center" vertical="center"/>
    </xf>
    <xf numFmtId="164" fontId="6" fillId="4" borderId="3" xfId="0" applyNumberFormat="1" applyFont="1" applyFill="1" applyBorder="1" applyAlignment="1">
      <alignment horizontal="center" vertical="center"/>
    </xf>
    <xf numFmtId="0" fontId="0" fillId="4" borderId="0" xfId="0" applyFill="1" applyAlignment="1">
      <alignment horizontal="center" vertical="center" wrapText="1"/>
    </xf>
    <xf numFmtId="0" fontId="11" fillId="4" borderId="0" xfId="0" applyFont="1" applyFill="1" applyAlignment="1">
      <alignment horizontal="center" wrapText="1"/>
    </xf>
    <xf numFmtId="2" fontId="0" fillId="0" borderId="14" xfId="0" applyNumberFormat="1" applyBorder="1" applyAlignment="1">
      <alignment horizontal="center" vertical="center"/>
    </xf>
    <xf numFmtId="2" fontId="0" fillId="0" borderId="23" xfId="0" applyNumberFormat="1" applyBorder="1" applyAlignment="1">
      <alignment horizontal="center" vertical="center"/>
    </xf>
    <xf numFmtId="2" fontId="0" fillId="0" borderId="8" xfId="0" applyNumberFormat="1" applyBorder="1" applyAlignment="1">
      <alignment horizontal="center" vertical="center"/>
    </xf>
    <xf numFmtId="183" fontId="0" fillId="0" borderId="14" xfId="0" applyNumberFormat="1" applyBorder="1" applyAlignment="1">
      <alignment horizontal="center" vertical="center"/>
    </xf>
    <xf numFmtId="183" fontId="0" fillId="0" borderId="23" xfId="0" applyNumberFormat="1" applyBorder="1" applyAlignment="1">
      <alignment horizontal="center" vertical="center"/>
    </xf>
    <xf numFmtId="183" fontId="0" fillId="0" borderId="8" xfId="0" applyNumberFormat="1" applyBorder="1" applyAlignment="1">
      <alignment horizontal="center" vertical="center"/>
    </xf>
    <xf numFmtId="0" fontId="0" fillId="0" borderId="14" xfId="0" applyBorder="1" applyAlignment="1">
      <alignment horizontal="center" vertical="center"/>
    </xf>
    <xf numFmtId="0" fontId="0" fillId="0" borderId="23" xfId="0" applyBorder="1" applyAlignment="1">
      <alignment horizontal="center" vertical="center"/>
    </xf>
    <xf numFmtId="0" fontId="0" fillId="0" borderId="8" xfId="0" applyBorder="1" applyAlignment="1">
      <alignment horizontal="center" vertical="center"/>
    </xf>
    <xf numFmtId="17" fontId="68" fillId="0" borderId="1" xfId="0" applyNumberFormat="1" applyFont="1" applyBorder="1" applyAlignment="1">
      <alignment horizontal="center" vertical="center"/>
    </xf>
    <xf numFmtId="0" fontId="68" fillId="0" borderId="1" xfId="0" applyFont="1" applyBorder="1" applyAlignment="1">
      <alignment horizontal="center" vertical="center"/>
    </xf>
    <xf numFmtId="0" fontId="68" fillId="0" borderId="39" xfId="0" applyFont="1" applyBorder="1" applyAlignment="1">
      <alignment horizontal="center" vertical="center"/>
    </xf>
    <xf numFmtId="0" fontId="68" fillId="0" borderId="43" xfId="0" applyFont="1" applyBorder="1" applyAlignment="1">
      <alignment horizontal="center" vertical="center"/>
    </xf>
    <xf numFmtId="0" fontId="68" fillId="0" borderId="40" xfId="0" applyFont="1" applyBorder="1" applyAlignment="1">
      <alignment horizontal="center" vertical="center"/>
    </xf>
    <xf numFmtId="0" fontId="68" fillId="0" borderId="44" xfId="0" applyFont="1" applyBorder="1" applyAlignment="1">
      <alignment horizontal="center" vertical="center"/>
    </xf>
    <xf numFmtId="0" fontId="68" fillId="0" borderId="41" xfId="0" applyFont="1" applyBorder="1" applyAlignment="1">
      <alignment horizontal="center" vertical="center" wrapText="1"/>
    </xf>
    <xf numFmtId="0" fontId="68" fillId="0" borderId="45" xfId="0" applyFont="1" applyBorder="1" applyAlignment="1">
      <alignment horizontal="center" vertical="center" wrapText="1"/>
    </xf>
    <xf numFmtId="0" fontId="68" fillId="0" borderId="42" xfId="0" applyFont="1" applyBorder="1" applyAlignment="1">
      <alignment horizontal="center" vertical="center"/>
    </xf>
    <xf numFmtId="0" fontId="68" fillId="0" borderId="46" xfId="0" applyFont="1" applyBorder="1" applyAlignment="1">
      <alignment horizontal="center" vertical="center"/>
    </xf>
    <xf numFmtId="0" fontId="0" fillId="0" borderId="55" xfId="0" applyBorder="1" applyAlignment="1">
      <alignment horizontal="center" vertical="center"/>
    </xf>
    <xf numFmtId="0" fontId="0" fillId="0" borderId="50" xfId="0" applyBorder="1" applyAlignment="1">
      <alignment horizontal="center" vertical="center"/>
    </xf>
    <xf numFmtId="0" fontId="0" fillId="0" borderId="53" xfId="0" applyBorder="1" applyAlignment="1">
      <alignment horizontal="center" vertical="center"/>
    </xf>
    <xf numFmtId="0" fontId="69" fillId="6" borderId="56" xfId="0" applyFont="1" applyFill="1" applyBorder="1" applyAlignment="1">
      <alignment horizontal="center" vertical="center"/>
    </xf>
    <xf numFmtId="0" fontId="69" fillId="6" borderId="51" xfId="0" applyFont="1" applyFill="1" applyBorder="1" applyAlignment="1">
      <alignment horizontal="center" vertical="center"/>
    </xf>
    <xf numFmtId="0" fontId="69" fillId="6" borderId="49" xfId="0" applyFont="1" applyFill="1" applyBorder="1" applyAlignment="1">
      <alignment horizontal="center" vertical="center"/>
    </xf>
    <xf numFmtId="0" fontId="69" fillId="26" borderId="56" xfId="0" applyFont="1" applyFill="1" applyBorder="1" applyAlignment="1">
      <alignment horizontal="center" vertical="center"/>
    </xf>
    <xf numFmtId="0" fontId="69" fillId="26" borderId="51" xfId="0" applyFont="1" applyFill="1" applyBorder="1" applyAlignment="1">
      <alignment horizontal="center" vertical="center"/>
    </xf>
    <xf numFmtId="0" fontId="0" fillId="17" borderId="55" xfId="0" applyFill="1" applyBorder="1" applyAlignment="1">
      <alignment horizontal="center" vertical="center"/>
    </xf>
    <xf numFmtId="0" fontId="0" fillId="17" borderId="50" xfId="0" applyFill="1" applyBorder="1" applyAlignment="1">
      <alignment horizontal="center" vertical="center"/>
    </xf>
    <xf numFmtId="0" fontId="0" fillId="17" borderId="53" xfId="0" applyFill="1" applyBorder="1" applyAlignment="1">
      <alignment horizontal="center" vertical="center"/>
    </xf>
    <xf numFmtId="0" fontId="69" fillId="0" borderId="57" xfId="0" applyFont="1" applyBorder="1" applyAlignment="1">
      <alignment horizontal="center" vertical="center"/>
    </xf>
    <xf numFmtId="0" fontId="69" fillId="0" borderId="38" xfId="0" applyFont="1" applyBorder="1" applyAlignment="1">
      <alignment horizontal="center" vertical="center"/>
    </xf>
    <xf numFmtId="0" fontId="0" fillId="0" borderId="47" xfId="0" applyBorder="1" applyAlignment="1">
      <alignment horizontal="center" vertical="center"/>
    </xf>
    <xf numFmtId="0" fontId="69" fillId="24" borderId="48" xfId="0" applyFont="1" applyFill="1" applyBorder="1" applyAlignment="1">
      <alignment horizontal="center" vertical="center"/>
    </xf>
    <xf numFmtId="0" fontId="69" fillId="24" borderId="51" xfId="0" applyFont="1" applyFill="1" applyBorder="1" applyAlignment="1">
      <alignment horizontal="center" vertical="center"/>
    </xf>
    <xf numFmtId="0" fontId="69" fillId="24" borderId="49" xfId="0" applyFont="1" applyFill="1" applyBorder="1" applyAlignment="1">
      <alignment horizontal="center" vertical="center"/>
    </xf>
    <xf numFmtId="0" fontId="49" fillId="8" borderId="0" xfId="11" applyFont="1" applyFill="1" applyAlignment="1">
      <alignment horizontal="center" vertical="center"/>
    </xf>
    <xf numFmtId="0" fontId="60" fillId="21" borderId="33" xfId="0" applyFont="1" applyFill="1" applyBorder="1" applyAlignment="1">
      <alignment horizontal="center" vertical="center" wrapText="1" readingOrder="1"/>
    </xf>
    <xf numFmtId="0" fontId="60" fillId="21" borderId="34" xfId="0" applyFont="1" applyFill="1" applyBorder="1" applyAlignment="1">
      <alignment horizontal="center" vertical="center" wrapText="1" readingOrder="1"/>
    </xf>
    <xf numFmtId="0" fontId="60" fillId="21" borderId="35" xfId="0" applyFont="1" applyFill="1" applyBorder="1" applyAlignment="1">
      <alignment horizontal="center" vertical="center" wrapText="1" readingOrder="1"/>
    </xf>
    <xf numFmtId="0" fontId="65" fillId="21" borderId="33" xfId="0" applyFont="1" applyFill="1" applyBorder="1" applyAlignment="1">
      <alignment horizontal="center" vertical="center" wrapText="1" readingOrder="1"/>
    </xf>
    <xf numFmtId="0" fontId="65" fillId="21" borderId="34" xfId="0" applyFont="1" applyFill="1" applyBorder="1" applyAlignment="1">
      <alignment horizontal="center" vertical="center" wrapText="1" readingOrder="1"/>
    </xf>
    <xf numFmtId="0" fontId="65" fillId="21" borderId="35" xfId="0" applyFont="1" applyFill="1" applyBorder="1" applyAlignment="1">
      <alignment horizontal="center" vertical="center" wrapText="1" readingOrder="1"/>
    </xf>
    <xf numFmtId="0" fontId="66" fillId="0" borderId="33" xfId="0" applyFont="1" applyBorder="1" applyAlignment="1">
      <alignment horizontal="center" vertical="center" wrapText="1" readingOrder="1"/>
    </xf>
    <xf numFmtId="0" fontId="66" fillId="0" borderId="35" xfId="0" applyFont="1" applyBorder="1" applyAlignment="1">
      <alignment horizontal="center" vertical="center" wrapText="1" readingOrder="1"/>
    </xf>
    <xf numFmtId="0" fontId="9" fillId="0" borderId="1" xfId="0" applyFont="1" applyBorder="1" applyAlignment="1">
      <alignment horizontal="center" vertical="center"/>
    </xf>
    <xf numFmtId="0" fontId="8" fillId="2" borderId="1" xfId="0" applyFont="1" applyFill="1" applyBorder="1" applyAlignment="1">
      <alignment horizontal="center" vertical="center"/>
    </xf>
    <xf numFmtId="0" fontId="45" fillId="0" borderId="1" xfId="0" applyFont="1" applyBorder="1" applyAlignment="1">
      <alignment horizontal="center" vertical="center"/>
    </xf>
    <xf numFmtId="0" fontId="17" fillId="0" borderId="29" xfId="0" applyFont="1" applyBorder="1" applyAlignment="1">
      <alignment horizontal="center"/>
    </xf>
    <xf numFmtId="0" fontId="17" fillId="0" borderId="17" xfId="0" applyFont="1" applyBorder="1" applyAlignment="1">
      <alignment horizontal="center"/>
    </xf>
    <xf numFmtId="0" fontId="17" fillId="0" borderId="18" xfId="0" applyFont="1" applyBorder="1" applyAlignment="1">
      <alignment horizontal="center"/>
    </xf>
    <xf numFmtId="0" fontId="73" fillId="2" borderId="1" xfId="0" applyFont="1" applyFill="1" applyBorder="1" applyAlignment="1">
      <alignment horizontal="center" vertical="center"/>
    </xf>
    <xf numFmtId="17" fontId="73" fillId="2" borderId="1" xfId="0" applyNumberFormat="1" applyFont="1" applyFill="1" applyBorder="1" applyAlignment="1">
      <alignment horizontal="center" vertical="center"/>
    </xf>
    <xf numFmtId="0" fontId="51" fillId="0" borderId="0" xfId="11" applyFont="1" applyAlignment="1">
      <alignment horizontal="center" vertical="center"/>
    </xf>
    <xf numFmtId="164" fontId="6" fillId="0" borderId="0" xfId="0" applyNumberFormat="1" applyFont="1" applyAlignment="1">
      <alignment horizontal="center" vertical="center"/>
    </xf>
  </cellXfs>
  <cellStyles count="17">
    <cellStyle name="Comma" xfId="1" builtinId="3"/>
    <cellStyle name="Comma 17" xfId="5" xr:uid="{00000000-0005-0000-0000-000001000000}"/>
    <cellStyle name="Comma 2" xfId="8" xr:uid="{00000000-0005-0000-0000-000002000000}"/>
    <cellStyle name="Comma 2 2" xfId="16" xr:uid="{8368370E-8A13-45E0-8BCF-50D1B0FB225A}"/>
    <cellStyle name="Comma 3" xfId="13" xr:uid="{196A4166-BD68-45ED-A33C-14EDF73354B5}"/>
    <cellStyle name="Comma 6 2" xfId="7" xr:uid="{00000000-0005-0000-0000-000003000000}"/>
    <cellStyle name="Comma 9" xfId="9" xr:uid="{00000000-0005-0000-0000-000004000000}"/>
    <cellStyle name="Currency" xfId="14" builtinId="4"/>
    <cellStyle name="Currency 2" xfId="10" xr:uid="{00000000-0005-0000-0000-000005000000}"/>
    <cellStyle name="Currency 3" xfId="3" xr:uid="{00000000-0005-0000-0000-000006000000}"/>
    <cellStyle name="Normal" xfId="0" builtinId="0"/>
    <cellStyle name="Normal 18" xfId="4" xr:uid="{00000000-0005-0000-0000-000008000000}"/>
    <cellStyle name="Normal 2" xfId="6" xr:uid="{00000000-0005-0000-0000-000009000000}"/>
    <cellStyle name="Normal 3" xfId="11" xr:uid="{00000000-0005-0000-0000-00000A000000}"/>
    <cellStyle name="Normal 3 2" xfId="15" xr:uid="{1193C9FD-170F-44F3-8AC5-3E072282BFA3}"/>
    <cellStyle name="Per cent 2" xfId="12" xr:uid="{00000000-0005-0000-0000-00000B000000}"/>
    <cellStyle name="Percent" xfId="2" builtinId="5"/>
  </cellStyles>
  <dxfs count="3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numFmt numFmtId="173" formatCode="_(* #,##0_);_(* \(#,##0\);_(* &quot;-&quot;??_);_(@_)"/>
    </dxf>
    <dxf>
      <numFmt numFmtId="168" formatCode="_(* #,##0.00_);_(* \(#,##0.00\);_(* &quot;-&quot;??_);_(@_)"/>
    </dxf>
    <dxf>
      <numFmt numFmtId="17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piceroutefinanc.sharepoint.com/sites/SRFClientDatabase/Shared%20Documents/Active/CFO/SP-27-CFO-Imagnum/2025-2026/04-July%202025/FP&amp;A/Workings/Imagnum%20GM%20-%20Jul%20V1.xlsx" TargetMode="External"/><Relationship Id="rId1" Type="http://schemas.openxmlformats.org/officeDocument/2006/relationships/externalLinkPath" Target="https://spiceroutefinanc.sharepoint.com/sites/SRFClientDatabase/Shared%20Documents/Active/CFO/SP-27-CFO-Imagnum/2025-2026/04-July%202025/FP&amp;A/Workings/Imagnum%20GM%20-%20Jul%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enue"/>
      <sheetName val="GM - Jan"/>
      <sheetName val="GM - Feb"/>
      <sheetName val="GM - Mar"/>
      <sheetName val="GM - Apr"/>
      <sheetName val="GM - May"/>
      <sheetName val="GM - Jun"/>
      <sheetName val="GM - Jul"/>
      <sheetName val="GM - Apr 26"/>
      <sheetName val="Step - 1 Pivot Dump"/>
      <sheetName val="Pivot"/>
      <sheetName val="Sheet4 (2)"/>
      <sheetName val="Revenue YTD"/>
      <sheetName val="Sheet4"/>
      <sheetName val="Client code"/>
      <sheetName val="GM - Oct"/>
      <sheetName val="GM - Feb (2)"/>
      <sheetName val="Oct - Emp"/>
      <sheetName val="GM - Sep"/>
      <sheetName val="GM - Aug"/>
      <sheetName val="GM - July"/>
      <sheetName val="GM - June"/>
      <sheetName val="Step - 2Salary dump mom"/>
      <sheetName val="Salary"/>
      <sheetName val="FTE &amp; Salary"/>
      <sheetName val="Emp Performance - Productivity"/>
      <sheetName val="Emp Performance - Cost &amp; Rev"/>
      <sheetName val="Employee Performance"/>
      <sheetName val="Price Mapping"/>
      <sheetName val="Sheet2"/>
      <sheetName val="Sheet6"/>
      <sheetName val="Manpower Details"/>
    </sheetNames>
    <sheetDataSet>
      <sheetData sheetId="0"/>
      <sheetData sheetId="1"/>
      <sheetData sheetId="2"/>
      <sheetData sheetId="3"/>
      <sheetData sheetId="4"/>
      <sheetData sheetId="5"/>
      <sheetData sheetId="6"/>
      <sheetData sheetId="7"/>
      <sheetData sheetId="8"/>
      <sheetData sheetId="9">
        <row r="1625">
          <cell r="A1625">
            <v>602</v>
          </cell>
          <cell r="B1625" t="str">
            <v>Ravali Siva</v>
          </cell>
          <cell r="C1625" t="str">
            <v>1Bios</v>
          </cell>
          <cell r="D1625" t="str">
            <v>451B</v>
          </cell>
          <cell r="E1625" t="str">
            <v>Eligibility Verification</v>
          </cell>
          <cell r="F1625" t="str">
            <v>Operations</v>
          </cell>
          <cell r="G1625" t="str">
            <v>Senior AR Analyst</v>
          </cell>
          <cell r="H1625" t="str">
            <v>Operations</v>
          </cell>
          <cell r="I1625" t="str">
            <v>Direct</v>
          </cell>
          <cell r="J1625" t="str">
            <v>Experience</v>
          </cell>
          <cell r="K1625"/>
          <cell r="L1625">
            <v>3445</v>
          </cell>
          <cell r="M1625">
            <v>120</v>
          </cell>
          <cell r="N1625">
            <v>23</v>
          </cell>
          <cell r="O1625">
            <v>1.2481884057971013</v>
          </cell>
          <cell r="P1625">
            <v>1</v>
          </cell>
          <cell r="Q1625">
            <v>45839</v>
          </cell>
          <cell r="R1625">
            <v>34600</v>
          </cell>
          <cell r="S1625">
            <v>1</v>
          </cell>
          <cell r="T1625">
            <v>34600</v>
          </cell>
        </row>
        <row r="1626">
          <cell r="A1626">
            <v>250</v>
          </cell>
          <cell r="B1626" t="str">
            <v>Rameez Raja Rafi</v>
          </cell>
          <cell r="C1626" t="str">
            <v>Primetime Physical Therapy</v>
          </cell>
          <cell r="D1626" t="str">
            <v>32DS</v>
          </cell>
          <cell r="E1626" t="str">
            <v>Ar Non Calling</v>
          </cell>
          <cell r="F1626" t="str">
            <v>Operations</v>
          </cell>
          <cell r="G1626" t="str">
            <v>Senior AR Analyst</v>
          </cell>
          <cell r="H1626" t="str">
            <v>Operations</v>
          </cell>
          <cell r="I1626" t="str">
            <v>Direct</v>
          </cell>
          <cell r="J1626" t="str">
            <v>Experience</v>
          </cell>
          <cell r="K1626"/>
          <cell r="L1626">
            <v>61</v>
          </cell>
          <cell r="M1626">
            <v>64</v>
          </cell>
          <cell r="N1626">
            <v>23</v>
          </cell>
          <cell r="O1626">
            <v>4.1440217391304345E-2</v>
          </cell>
          <cell r="P1626">
            <v>5.3138974388756602E-2</v>
          </cell>
          <cell r="Q1626">
            <v>45839</v>
          </cell>
          <cell r="R1626">
            <v>23653</v>
          </cell>
          <cell r="S1626">
            <v>5.3138974388756602E-2</v>
          </cell>
          <cell r="T1626">
            <v>1256.89616121726</v>
          </cell>
        </row>
        <row r="1627">
          <cell r="A1627">
            <v>250</v>
          </cell>
          <cell r="B1627" t="str">
            <v>Rameez Raja Rafi</v>
          </cell>
          <cell r="C1627" t="str">
            <v>Primetime Physical Therapy</v>
          </cell>
          <cell r="D1627" t="str">
            <v>32DS</v>
          </cell>
          <cell r="E1627" t="str">
            <v>Eligibility Verification</v>
          </cell>
          <cell r="F1627" t="str">
            <v>Operations</v>
          </cell>
          <cell r="G1627" t="str">
            <v>Senior AR Analyst</v>
          </cell>
          <cell r="H1627" t="str">
            <v>Operations</v>
          </cell>
          <cell r="I1627" t="str">
            <v>Direct</v>
          </cell>
          <cell r="J1627" t="str">
            <v>Experience</v>
          </cell>
          <cell r="K1627"/>
          <cell r="L1627">
            <v>2038</v>
          </cell>
          <cell r="M1627">
            <v>120</v>
          </cell>
          <cell r="N1627">
            <v>23</v>
          </cell>
          <cell r="O1627">
            <v>0.73840579710144927</v>
          </cell>
          <cell r="P1627">
            <v>0.94686102561124341</v>
          </cell>
          <cell r="Q1627">
            <v>45839</v>
          </cell>
          <cell r="R1627">
            <v>23653</v>
          </cell>
          <cell r="S1627">
            <v>0.94686102561124341</v>
          </cell>
          <cell r="T1627">
            <v>22396.103838782739</v>
          </cell>
        </row>
        <row r="1628">
          <cell r="A1628">
            <v>290</v>
          </cell>
          <cell r="B1628" t="str">
            <v>Hemavarshini Ramesh</v>
          </cell>
          <cell r="C1628" t="str">
            <v>Your Docs In</v>
          </cell>
          <cell r="D1628" t="str">
            <v>38YD</v>
          </cell>
          <cell r="E1628" t="str">
            <v>Charges</v>
          </cell>
          <cell r="F1628" t="str">
            <v>Operations</v>
          </cell>
          <cell r="G1628" t="str">
            <v>Senior Process Associate</v>
          </cell>
          <cell r="H1628" t="str">
            <v>Operations</v>
          </cell>
          <cell r="I1628" t="str">
            <v>Direct</v>
          </cell>
          <cell r="J1628" t="str">
            <v>Experience</v>
          </cell>
          <cell r="K1628"/>
          <cell r="L1628">
            <v>2602</v>
          </cell>
          <cell r="M1628">
            <v>150</v>
          </cell>
          <cell r="N1628">
            <v>23</v>
          </cell>
          <cell r="O1628">
            <v>0.75420289855072464</v>
          </cell>
          <cell r="P1628">
            <v>0.82111159323103622</v>
          </cell>
          <cell r="Q1628">
            <v>45839</v>
          </cell>
          <cell r="R1628">
            <v>23829</v>
          </cell>
          <cell r="S1628">
            <v>0.82111159323103622</v>
          </cell>
          <cell r="T1628">
            <v>19566.268155102363</v>
          </cell>
        </row>
        <row r="1629">
          <cell r="A1629">
            <v>290</v>
          </cell>
          <cell r="B1629" t="str">
            <v>Hemavarshini Ramesh</v>
          </cell>
          <cell r="C1629" t="str">
            <v>Your Docs In</v>
          </cell>
          <cell r="D1629" t="str">
            <v>38YD</v>
          </cell>
          <cell r="E1629" t="str">
            <v>Demo Entry</v>
          </cell>
          <cell r="F1629" t="str">
            <v>Operations</v>
          </cell>
          <cell r="G1629" t="str">
            <v>Senior Process Associate</v>
          </cell>
          <cell r="H1629" t="str">
            <v>Operations</v>
          </cell>
          <cell r="I1629" t="str">
            <v>Direct</v>
          </cell>
          <cell r="J1629" t="str">
            <v>Experience</v>
          </cell>
          <cell r="K1629"/>
          <cell r="L1629">
            <v>296</v>
          </cell>
          <cell r="M1629">
            <v>120</v>
          </cell>
          <cell r="N1629">
            <v>23</v>
          </cell>
          <cell r="O1629">
            <v>0.10724637681159421</v>
          </cell>
          <cell r="P1629">
            <v>0.11676068005206897</v>
          </cell>
          <cell r="Q1629">
            <v>45839</v>
          </cell>
          <cell r="R1629">
            <v>23829</v>
          </cell>
          <cell r="S1629">
            <v>0.11676068005206897</v>
          </cell>
          <cell r="T1629">
            <v>2782.2902449607514</v>
          </cell>
        </row>
        <row r="1630">
          <cell r="A1630">
            <v>290</v>
          </cell>
          <cell r="B1630" t="str">
            <v>Hemavarshini Ramesh</v>
          </cell>
          <cell r="C1630" t="str">
            <v>Your Docs In</v>
          </cell>
          <cell r="D1630" t="str">
            <v>38YD</v>
          </cell>
          <cell r="E1630" t="str">
            <v>Demo Entry</v>
          </cell>
          <cell r="F1630" t="str">
            <v>Operations</v>
          </cell>
          <cell r="G1630" t="str">
            <v>Senior Process Associate</v>
          </cell>
          <cell r="H1630" t="str">
            <v>Operations</v>
          </cell>
          <cell r="I1630" t="str">
            <v>Direct</v>
          </cell>
          <cell r="J1630" t="str">
            <v>Experience</v>
          </cell>
          <cell r="K1630"/>
          <cell r="L1630">
            <v>210</v>
          </cell>
          <cell r="M1630">
            <v>160</v>
          </cell>
          <cell r="N1630">
            <v>23</v>
          </cell>
          <cell r="O1630">
            <v>5.7065217391304345E-2</v>
          </cell>
          <cell r="P1630">
            <v>6.2127726716894795E-2</v>
          </cell>
          <cell r="Q1630">
            <v>45839</v>
          </cell>
          <cell r="R1630">
            <v>23829</v>
          </cell>
          <cell r="S1630">
            <v>6.2127726716894795E-2</v>
          </cell>
          <cell r="T1630">
            <v>1480.441599936886</v>
          </cell>
        </row>
        <row r="1631">
          <cell r="A1631">
            <v>584</v>
          </cell>
          <cell r="B1631" t="str">
            <v>Dillirani Sampath</v>
          </cell>
          <cell r="C1631" t="str">
            <v>Monarch End to End</v>
          </cell>
          <cell r="D1631" t="str">
            <v>39MP</v>
          </cell>
          <cell r="E1631" t="str">
            <v>Payment Posting - Manual</v>
          </cell>
          <cell r="F1631" t="str">
            <v>Operations</v>
          </cell>
          <cell r="G1631" t="str">
            <v>Senior AR Analyst</v>
          </cell>
          <cell r="H1631" t="str">
            <v>Operations</v>
          </cell>
          <cell r="I1631" t="str">
            <v>Direct</v>
          </cell>
          <cell r="J1631" t="str">
            <v>Experience</v>
          </cell>
          <cell r="K1631"/>
          <cell r="L1631">
            <v>186</v>
          </cell>
          <cell r="M1631">
            <v>350</v>
          </cell>
          <cell r="N1631">
            <v>23</v>
          </cell>
          <cell r="O1631">
            <v>2.3105590062111804E-2</v>
          </cell>
          <cell r="P1631">
            <v>2.1325934227837798E-2</v>
          </cell>
          <cell r="Q1631">
            <v>45839</v>
          </cell>
          <cell r="R1631">
            <v>35100</v>
          </cell>
          <cell r="S1631">
            <v>2.1325934227837798E-2</v>
          </cell>
          <cell r="T1631">
            <v>748.54029139710667</v>
          </cell>
        </row>
        <row r="1632">
          <cell r="A1632">
            <v>584</v>
          </cell>
          <cell r="B1632" t="str">
            <v>Dillirani Sampath</v>
          </cell>
          <cell r="C1632" t="str">
            <v>PHW (Procle Healthworks)</v>
          </cell>
          <cell r="D1632" t="str">
            <v>PHW</v>
          </cell>
          <cell r="E1632" t="str">
            <v>Charges</v>
          </cell>
          <cell r="F1632" t="str">
            <v>Operations</v>
          </cell>
          <cell r="G1632" t="str">
            <v>Senior AR Analyst</v>
          </cell>
          <cell r="H1632" t="str">
            <v>Operations</v>
          </cell>
          <cell r="I1632" t="str">
            <v>Direct</v>
          </cell>
          <cell r="J1632" t="str">
            <v>Experience</v>
          </cell>
          <cell r="K1632"/>
          <cell r="L1632">
            <v>586</v>
          </cell>
          <cell r="M1632">
            <v>200</v>
          </cell>
          <cell r="N1632">
            <v>23</v>
          </cell>
          <cell r="O1632">
            <v>0.12739130434782608</v>
          </cell>
          <cell r="P1632">
            <v>0.11757927715401967</v>
          </cell>
          <cell r="Q1632">
            <v>45839</v>
          </cell>
          <cell r="R1632">
            <v>35100</v>
          </cell>
          <cell r="S1632">
            <v>0.11757927715401967</v>
          </cell>
          <cell r="T1632">
            <v>4127.0326281060907</v>
          </cell>
        </row>
        <row r="1633">
          <cell r="A1633">
            <v>584</v>
          </cell>
          <cell r="B1633" t="str">
            <v>Dillirani Sampath</v>
          </cell>
          <cell r="C1633" t="str">
            <v>Univ. Of Delaware</v>
          </cell>
          <cell r="D1633" t="str">
            <v>26UG</v>
          </cell>
          <cell r="E1633" t="str">
            <v>Payment Posting - ERA</v>
          </cell>
          <cell r="F1633" t="str">
            <v>Operations</v>
          </cell>
          <cell r="G1633" t="str">
            <v>Senior AR Analyst</v>
          </cell>
          <cell r="H1633" t="str">
            <v>Operations</v>
          </cell>
          <cell r="I1633" t="str">
            <v>Direct</v>
          </cell>
          <cell r="J1633" t="str">
            <v>Experience</v>
          </cell>
          <cell r="K1633"/>
          <cell r="L1633">
            <v>2333</v>
          </cell>
          <cell r="M1633">
            <v>2000</v>
          </cell>
          <cell r="N1633">
            <v>23</v>
          </cell>
          <cell r="O1633">
            <v>5.0717391304347832E-2</v>
          </cell>
          <cell r="P1633">
            <v>4.6810998907905792E-2</v>
          </cell>
          <cell r="Q1633">
            <v>45839</v>
          </cell>
          <cell r="R1633">
            <v>35100</v>
          </cell>
          <cell r="S1633">
            <v>4.6810998907905792E-2</v>
          </cell>
          <cell r="T1633">
            <v>1643.0660616674934</v>
          </cell>
        </row>
        <row r="1634">
          <cell r="A1634">
            <v>584</v>
          </cell>
          <cell r="B1634" t="str">
            <v>Dillirani Sampath</v>
          </cell>
          <cell r="C1634" t="str">
            <v>Univ. Of Delaware</v>
          </cell>
          <cell r="D1634" t="str">
            <v>26UG</v>
          </cell>
          <cell r="E1634" t="str">
            <v>Payment Posting - Manual</v>
          </cell>
          <cell r="F1634" t="str">
            <v>Operations</v>
          </cell>
          <cell r="G1634" t="str">
            <v>Senior AR Analyst</v>
          </cell>
          <cell r="H1634" t="str">
            <v>Operations</v>
          </cell>
          <cell r="I1634" t="str">
            <v>Direct</v>
          </cell>
          <cell r="J1634" t="str">
            <v>Experience</v>
          </cell>
          <cell r="K1634"/>
          <cell r="L1634">
            <v>7102</v>
          </cell>
          <cell r="M1634">
            <v>350</v>
          </cell>
          <cell r="N1634">
            <v>23</v>
          </cell>
          <cell r="O1634">
            <v>0.88223602484472052</v>
          </cell>
          <cell r="P1634">
            <v>0.81428378971023663</v>
          </cell>
          <cell r="Q1634">
            <v>45839</v>
          </cell>
          <cell r="R1634">
            <v>35100</v>
          </cell>
          <cell r="S1634">
            <v>0.81428378971023663</v>
          </cell>
          <cell r="T1634">
            <v>28581.361018829306</v>
          </cell>
        </row>
        <row r="1635">
          <cell r="A1635">
            <v>613</v>
          </cell>
          <cell r="B1635" t="str">
            <v>Anushya Subramaniyan</v>
          </cell>
          <cell r="C1635" t="str">
            <v>Comprehensive Sleep Care Center</v>
          </cell>
          <cell r="D1635" t="str">
            <v>34CS</v>
          </cell>
          <cell r="E1635" t="str">
            <v>Benefits Verification</v>
          </cell>
          <cell r="F1635" t="str">
            <v>Operations</v>
          </cell>
          <cell r="G1635" t="str">
            <v>Senior Process Associate</v>
          </cell>
          <cell r="H1635" t="str">
            <v>Operations</v>
          </cell>
          <cell r="I1635" t="str">
            <v>Direct</v>
          </cell>
          <cell r="J1635" t="str">
            <v>Experience</v>
          </cell>
          <cell r="K1635"/>
          <cell r="L1635">
            <v>140</v>
          </cell>
          <cell r="M1635">
            <v>60</v>
          </cell>
          <cell r="N1635">
            <v>23</v>
          </cell>
          <cell r="O1635">
            <v>0.10144927536231885</v>
          </cell>
          <cell r="P1635">
            <v>0.10301692420897719</v>
          </cell>
          <cell r="Q1635">
            <v>45839</v>
          </cell>
          <cell r="R1635">
            <v>29120</v>
          </cell>
          <cell r="S1635">
            <v>0.10301692420897719</v>
          </cell>
          <cell r="T1635">
            <v>2999.8528329654159</v>
          </cell>
        </row>
        <row r="1636">
          <cell r="A1636">
            <v>613</v>
          </cell>
          <cell r="B1636" t="str">
            <v>Anushya Subramaniyan</v>
          </cell>
          <cell r="C1636" t="str">
            <v>Comprehensive Sleep Care Center</v>
          </cell>
          <cell r="D1636" t="str">
            <v>34CS</v>
          </cell>
          <cell r="E1636" t="str">
            <v>Eligibility Verification</v>
          </cell>
          <cell r="F1636" t="str">
            <v>Operations</v>
          </cell>
          <cell r="G1636" t="str">
            <v>Senior Process Associate</v>
          </cell>
          <cell r="H1636" t="str">
            <v>Operations</v>
          </cell>
          <cell r="I1636" t="str">
            <v>Direct</v>
          </cell>
          <cell r="J1636" t="str">
            <v>Experience</v>
          </cell>
          <cell r="K1636"/>
          <cell r="L1636">
            <v>1219</v>
          </cell>
          <cell r="M1636">
            <v>60</v>
          </cell>
          <cell r="N1636">
            <v>23</v>
          </cell>
          <cell r="O1636">
            <v>0.8833333333333333</v>
          </cell>
          <cell r="P1636">
            <v>0.89698307579102277</v>
          </cell>
          <cell r="Q1636">
            <v>45839</v>
          </cell>
          <cell r="R1636">
            <v>29120</v>
          </cell>
          <cell r="S1636">
            <v>0.89698307579102277</v>
          </cell>
          <cell r="T1636">
            <v>26120.147167034582</v>
          </cell>
        </row>
        <row r="1637">
          <cell r="A1637">
            <v>395</v>
          </cell>
          <cell r="B1637" t="str">
            <v>Domesan Kumar</v>
          </cell>
          <cell r="C1637" t="str">
            <v>Primetime Physical Therapy</v>
          </cell>
          <cell r="D1637" t="str">
            <v>32DS</v>
          </cell>
          <cell r="E1637" t="str">
            <v>Charges</v>
          </cell>
          <cell r="F1637" t="str">
            <v>Operations</v>
          </cell>
          <cell r="G1637" t="str">
            <v>Senior Process Associate</v>
          </cell>
          <cell r="H1637" t="str">
            <v>Operations</v>
          </cell>
          <cell r="I1637" t="str">
            <v>Direct</v>
          </cell>
          <cell r="J1637" t="str">
            <v>Experience</v>
          </cell>
          <cell r="K1637"/>
          <cell r="L1637">
            <v>1498</v>
          </cell>
          <cell r="M1637">
            <v>200</v>
          </cell>
          <cell r="N1637">
            <v>23</v>
          </cell>
          <cell r="O1637">
            <v>0.32565217391304346</v>
          </cell>
          <cell r="P1637">
            <v>0.57297415441779131</v>
          </cell>
          <cell r="Q1637">
            <v>45839</v>
          </cell>
          <cell r="R1637">
            <v>40562</v>
          </cell>
          <cell r="S1637">
            <v>0.57297415441779131</v>
          </cell>
          <cell r="T1637">
            <v>23240.97765149445</v>
          </cell>
        </row>
        <row r="1638">
          <cell r="A1638">
            <v>395</v>
          </cell>
          <cell r="B1638" t="str">
            <v>Domesan Kumar</v>
          </cell>
          <cell r="C1638" t="str">
            <v>Primetime Physical Therapy</v>
          </cell>
          <cell r="D1638" t="str">
            <v>32DS</v>
          </cell>
          <cell r="E1638" t="str">
            <v>Payment Posting - ERA</v>
          </cell>
          <cell r="F1638" t="str">
            <v>Operations</v>
          </cell>
          <cell r="G1638" t="str">
            <v>Senior Process Associate</v>
          </cell>
          <cell r="H1638" t="str">
            <v>Operations</v>
          </cell>
          <cell r="I1638" t="str">
            <v>Direct</v>
          </cell>
          <cell r="J1638" t="str">
            <v>Experience</v>
          </cell>
          <cell r="K1638"/>
          <cell r="L1638">
            <v>1898</v>
          </cell>
          <cell r="M1638">
            <v>400</v>
          </cell>
          <cell r="N1638">
            <v>23</v>
          </cell>
          <cell r="O1638">
            <v>0.20630434782608695</v>
          </cell>
          <cell r="P1638">
            <v>0.36298562920059008</v>
          </cell>
          <cell r="Q1638">
            <v>45839</v>
          </cell>
          <cell r="R1638">
            <v>40562</v>
          </cell>
          <cell r="S1638">
            <v>0.36298562920059008</v>
          </cell>
          <cell r="T1638">
            <v>14723.423091634335</v>
          </cell>
        </row>
        <row r="1639">
          <cell r="A1639">
            <v>395</v>
          </cell>
          <cell r="B1639" t="str">
            <v>Domesan Kumar</v>
          </cell>
          <cell r="C1639" t="str">
            <v>Primetime Physical Therapy</v>
          </cell>
          <cell r="D1639" t="str">
            <v>32DS</v>
          </cell>
          <cell r="E1639" t="str">
            <v>Payment Posting - Manual</v>
          </cell>
          <cell r="F1639" t="str">
            <v>Operations</v>
          </cell>
          <cell r="G1639" t="str">
            <v>Senior Process Associate</v>
          </cell>
          <cell r="H1639" t="str">
            <v>Operations</v>
          </cell>
          <cell r="I1639" t="str">
            <v>Direct</v>
          </cell>
          <cell r="J1639" t="str">
            <v>Experience</v>
          </cell>
          <cell r="K1639"/>
          <cell r="L1639">
            <v>293</v>
          </cell>
          <cell r="M1639">
            <v>350</v>
          </cell>
          <cell r="N1639">
            <v>23</v>
          </cell>
          <cell r="O1639">
            <v>3.6397515527950314E-2</v>
          </cell>
          <cell r="P1639">
            <v>6.4040216381618498E-2</v>
          </cell>
          <cell r="Q1639">
            <v>45839</v>
          </cell>
          <cell r="R1639">
            <v>40562</v>
          </cell>
          <cell r="S1639">
            <v>6.4040216381618498E-2</v>
          </cell>
          <cell r="T1639">
            <v>2597.5992568712095</v>
          </cell>
        </row>
        <row r="1640">
          <cell r="A1640">
            <v>600</v>
          </cell>
          <cell r="B1640" t="str">
            <v>Prem Kumar Easwaran</v>
          </cell>
          <cell r="C1640" t="str">
            <v>The Physical Therapy Institute</v>
          </cell>
          <cell r="D1640" t="str">
            <v>41PT</v>
          </cell>
          <cell r="E1640" t="str">
            <v>Authorization</v>
          </cell>
          <cell r="F1640" t="str">
            <v>Operations</v>
          </cell>
          <cell r="G1640" t="str">
            <v>Senior AR Analyst</v>
          </cell>
          <cell r="H1640" t="str">
            <v>Operations</v>
          </cell>
          <cell r="I1640" t="str">
            <v>Direct</v>
          </cell>
          <cell r="J1640" t="str">
            <v>Experience</v>
          </cell>
          <cell r="K1640"/>
          <cell r="L1640">
            <v>1150</v>
          </cell>
          <cell r="M1640">
            <v>40</v>
          </cell>
          <cell r="N1640">
            <v>23</v>
          </cell>
          <cell r="O1640">
            <v>1.25</v>
          </cell>
          <cell r="P1640">
            <v>1</v>
          </cell>
          <cell r="Q1640">
            <v>45839</v>
          </cell>
          <cell r="R1640">
            <v>37100</v>
          </cell>
          <cell r="S1640">
            <v>1</v>
          </cell>
          <cell r="T1640">
            <v>37100</v>
          </cell>
        </row>
        <row r="1641">
          <cell r="A1641">
            <v>576</v>
          </cell>
          <cell r="B1641" t="str">
            <v>Ellamma Jayaramaraju</v>
          </cell>
          <cell r="C1641" t="str">
            <v>D'Souza &amp; Associates, Inc</v>
          </cell>
          <cell r="D1641" t="str">
            <v>9D</v>
          </cell>
          <cell r="E1641" t="str">
            <v>Charges</v>
          </cell>
          <cell r="F1641" t="str">
            <v>Operations</v>
          </cell>
          <cell r="G1641" t="str">
            <v>Process Associate</v>
          </cell>
          <cell r="H1641" t="str">
            <v>Operations</v>
          </cell>
          <cell r="I1641" t="str">
            <v>Direct</v>
          </cell>
          <cell r="J1641" t="str">
            <v>Fresher</v>
          </cell>
          <cell r="K1641"/>
          <cell r="L1641">
            <v>374</v>
          </cell>
          <cell r="M1641">
            <v>380</v>
          </cell>
          <cell r="N1641">
            <v>23</v>
          </cell>
          <cell r="O1641">
            <v>4.2791762013729973E-2</v>
          </cell>
          <cell r="P1641">
            <v>4.2415169660678639E-2</v>
          </cell>
          <cell r="Q1641">
            <v>45839</v>
          </cell>
          <cell r="R1641">
            <v>13920</v>
          </cell>
          <cell r="S1641">
            <v>4.2415169660678639E-2</v>
          </cell>
          <cell r="T1641">
            <v>590.4191616766467</v>
          </cell>
        </row>
        <row r="1642">
          <cell r="A1642">
            <v>576</v>
          </cell>
          <cell r="B1642" t="str">
            <v>Ellamma Jayaramaraju</v>
          </cell>
          <cell r="C1642" t="str">
            <v>D'Souza &amp; Associates, Inc</v>
          </cell>
          <cell r="D1642" t="str">
            <v>9D</v>
          </cell>
          <cell r="E1642" t="str">
            <v>Demo Entry</v>
          </cell>
          <cell r="F1642" t="str">
            <v>Operations</v>
          </cell>
          <cell r="G1642" t="str">
            <v>Process Associate</v>
          </cell>
          <cell r="H1642" t="str">
            <v>Operations</v>
          </cell>
          <cell r="I1642" t="str">
            <v>Direct</v>
          </cell>
          <cell r="J1642" t="str">
            <v>Fresher</v>
          </cell>
          <cell r="K1642"/>
          <cell r="L1642">
            <v>748</v>
          </cell>
          <cell r="M1642">
            <v>300</v>
          </cell>
          <cell r="N1642">
            <v>23</v>
          </cell>
          <cell r="O1642">
            <v>0.10840579710144926</v>
          </cell>
          <cell r="P1642">
            <v>0.10745176314038589</v>
          </cell>
          <cell r="Q1642">
            <v>45839</v>
          </cell>
          <cell r="R1642">
            <v>13920</v>
          </cell>
          <cell r="S1642">
            <v>0.10745176314038589</v>
          </cell>
          <cell r="T1642">
            <v>1495.7285429141716</v>
          </cell>
        </row>
        <row r="1643">
          <cell r="A1643">
            <v>576</v>
          </cell>
          <cell r="B1643" t="str">
            <v>Ellamma Jayaramaraju</v>
          </cell>
          <cell r="C1643" t="str">
            <v>D'Souza &amp; Associates, Inc</v>
          </cell>
          <cell r="D1643" t="str">
            <v>9D</v>
          </cell>
          <cell r="E1643" t="str">
            <v>Eligibility Verification</v>
          </cell>
          <cell r="F1643" t="str">
            <v>Operations</v>
          </cell>
          <cell r="G1643" t="str">
            <v>Process Associate</v>
          </cell>
          <cell r="H1643" t="str">
            <v>Operations</v>
          </cell>
          <cell r="I1643" t="str">
            <v>Direct</v>
          </cell>
          <cell r="J1643" t="str">
            <v>Fresher</v>
          </cell>
          <cell r="K1643"/>
          <cell r="L1643">
            <v>2959</v>
          </cell>
          <cell r="M1643">
            <v>150</v>
          </cell>
          <cell r="N1643">
            <v>23</v>
          </cell>
          <cell r="O1643">
            <v>0.85768115942028988</v>
          </cell>
          <cell r="P1643">
            <v>0.85013306719893555</v>
          </cell>
          <cell r="Q1643">
            <v>45839</v>
          </cell>
          <cell r="R1643">
            <v>13920</v>
          </cell>
          <cell r="S1643">
            <v>0.85013306719893555</v>
          </cell>
          <cell r="T1643">
            <v>11833.852295409182</v>
          </cell>
        </row>
        <row r="1644">
          <cell r="A1644">
            <v>721</v>
          </cell>
          <cell r="B1644" t="str">
            <v>Jothika Raghupathi</v>
          </cell>
          <cell r="C1644" t="str">
            <v>D'Souza &amp; Associates, Inc</v>
          </cell>
          <cell r="D1644" t="str">
            <v>9D</v>
          </cell>
          <cell r="E1644" t="str">
            <v>Payment Posting - ERA</v>
          </cell>
          <cell r="F1644" t="str">
            <v>Operations</v>
          </cell>
          <cell r="G1644" t="str">
            <v>Process Associate</v>
          </cell>
          <cell r="H1644" t="str">
            <v>Operations</v>
          </cell>
          <cell r="I1644" t="str">
            <v>Direct</v>
          </cell>
          <cell r="J1644" t="str">
            <v>Fresher</v>
          </cell>
          <cell r="K1644"/>
          <cell r="L1644">
            <v>1010</v>
          </cell>
          <cell r="M1644">
            <v>2000</v>
          </cell>
          <cell r="N1644">
            <v>23</v>
          </cell>
          <cell r="O1644">
            <v>2.1956521739130434E-2</v>
          </cell>
          <cell r="P1644">
            <v>0.11293328363771897</v>
          </cell>
          <cell r="Q1644">
            <v>45839</v>
          </cell>
          <cell r="R1644">
            <v>0</v>
          </cell>
          <cell r="S1644">
            <v>0.11293328363771897</v>
          </cell>
          <cell r="T1644">
            <v>0</v>
          </cell>
        </row>
        <row r="1645">
          <cell r="A1645">
            <v>721</v>
          </cell>
          <cell r="B1645" t="str">
            <v>Jothika Raghupathi</v>
          </cell>
          <cell r="C1645" t="str">
            <v>D'Souza &amp; Associates, Inc</v>
          </cell>
          <cell r="D1645" t="str">
            <v>9D</v>
          </cell>
          <cell r="E1645" t="str">
            <v>Payment Posting - Manual</v>
          </cell>
          <cell r="F1645" t="str">
            <v>Operations</v>
          </cell>
          <cell r="G1645" t="str">
            <v>Process Associate</v>
          </cell>
          <cell r="H1645" t="str">
            <v>Operations</v>
          </cell>
          <cell r="I1645" t="str">
            <v>Direct</v>
          </cell>
          <cell r="J1645" t="str">
            <v>Fresher</v>
          </cell>
          <cell r="K1645"/>
          <cell r="L1645">
            <v>1785</v>
          </cell>
          <cell r="M1645">
            <v>450</v>
          </cell>
          <cell r="N1645">
            <v>23</v>
          </cell>
          <cell r="O1645">
            <v>0.17246376811594202</v>
          </cell>
          <cell r="P1645">
            <v>0.88706671636228107</v>
          </cell>
          <cell r="Q1645">
            <v>45839</v>
          </cell>
          <cell r="R1645">
            <v>0</v>
          </cell>
          <cell r="S1645">
            <v>0.88706671636228107</v>
          </cell>
          <cell r="T1645">
            <v>0</v>
          </cell>
        </row>
        <row r="1646">
          <cell r="A1646">
            <v>430</v>
          </cell>
          <cell r="B1646" t="str">
            <v>Priya Munusamy Raju</v>
          </cell>
          <cell r="C1646" t="str">
            <v>Your Docs In</v>
          </cell>
          <cell r="D1646" t="str">
            <v>38YD</v>
          </cell>
          <cell r="E1646" t="str">
            <v>Coding</v>
          </cell>
          <cell r="F1646" t="str">
            <v>Operations</v>
          </cell>
          <cell r="G1646" t="str">
            <v>Coder</v>
          </cell>
          <cell r="H1646" t="str">
            <v>Operations</v>
          </cell>
          <cell r="I1646" t="str">
            <v>Direct</v>
          </cell>
          <cell r="J1646" t="str">
            <v>Experience</v>
          </cell>
          <cell r="K1646"/>
          <cell r="L1646">
            <v>2346</v>
          </cell>
          <cell r="M1646">
            <v>135</v>
          </cell>
          <cell r="N1646">
            <v>23</v>
          </cell>
          <cell r="O1646">
            <v>0.75555555555555554</v>
          </cell>
          <cell r="P1646">
            <v>1</v>
          </cell>
          <cell r="Q1646">
            <v>45839</v>
          </cell>
          <cell r="R1646">
            <v>20369</v>
          </cell>
          <cell r="S1646">
            <v>1</v>
          </cell>
          <cell r="T1646">
            <v>20369</v>
          </cell>
        </row>
        <row r="1647">
          <cell r="A1647">
            <v>358</v>
          </cell>
          <cell r="B1647" t="str">
            <v>Monish Ramesh</v>
          </cell>
          <cell r="C1647" t="str">
            <v>Physical Therapy &amp; Sports Medicine Center</v>
          </cell>
          <cell r="D1647" t="str">
            <v>31PT</v>
          </cell>
          <cell r="E1647" t="str">
            <v>Payment Posting - Manual</v>
          </cell>
          <cell r="F1647" t="str">
            <v>Operations</v>
          </cell>
          <cell r="G1647" t="str">
            <v>Senior Process Associate</v>
          </cell>
          <cell r="H1647" t="str">
            <v>Operations</v>
          </cell>
          <cell r="I1647" t="str">
            <v>Direct</v>
          </cell>
          <cell r="J1647" t="str">
            <v>Experience</v>
          </cell>
          <cell r="K1647"/>
          <cell r="L1647">
            <v>3992</v>
          </cell>
          <cell r="M1647">
            <v>220</v>
          </cell>
          <cell r="N1647">
            <v>23</v>
          </cell>
          <cell r="O1647">
            <v>0.78893280632411067</v>
          </cell>
          <cell r="P1647">
            <v>0.9211680083334981</v>
          </cell>
          <cell r="Q1647">
            <v>45839</v>
          </cell>
          <cell r="R1647">
            <v>22846</v>
          </cell>
          <cell r="S1647">
            <v>0.9211680083334981</v>
          </cell>
          <cell r="T1647">
            <v>21045.004318387098</v>
          </cell>
        </row>
        <row r="1648">
          <cell r="A1648">
            <v>358</v>
          </cell>
          <cell r="B1648" t="str">
            <v>Monish Ramesh</v>
          </cell>
          <cell r="C1648" t="str">
            <v>Univ. Of Delaware</v>
          </cell>
          <cell r="D1648" t="str">
            <v>26UG</v>
          </cell>
          <cell r="E1648" t="str">
            <v>Payment Posting - ERA</v>
          </cell>
          <cell r="F1648" t="str">
            <v>Operations</v>
          </cell>
          <cell r="G1648" t="str">
            <v>Senior Process Associate</v>
          </cell>
          <cell r="H1648" t="str">
            <v>Operations</v>
          </cell>
          <cell r="I1648" t="str">
            <v>Direct</v>
          </cell>
          <cell r="J1648" t="str">
            <v>Experience</v>
          </cell>
          <cell r="K1648"/>
          <cell r="L1648">
            <v>420</v>
          </cell>
          <cell r="M1648">
            <v>2000</v>
          </cell>
          <cell r="N1648">
            <v>23</v>
          </cell>
          <cell r="O1648">
            <v>9.1304347826086946E-3</v>
          </cell>
          <cell r="P1648">
            <v>1.0660812120492889E-2</v>
          </cell>
          <cell r="Q1648">
            <v>45839</v>
          </cell>
          <cell r="R1648">
            <v>22846</v>
          </cell>
          <cell r="S1648">
            <v>1.0660812120492889E-2</v>
          </cell>
          <cell r="T1648">
            <v>243.55691370478053</v>
          </cell>
        </row>
        <row r="1649">
          <cell r="A1649">
            <v>358</v>
          </cell>
          <cell r="B1649" t="str">
            <v>Monish Ramesh</v>
          </cell>
          <cell r="C1649" t="str">
            <v>Univ. Of Delaware</v>
          </cell>
          <cell r="D1649" t="str">
            <v>26UG</v>
          </cell>
          <cell r="E1649" t="str">
            <v>Payment Posting - Manual</v>
          </cell>
          <cell r="F1649" t="str">
            <v>Operations</v>
          </cell>
          <cell r="G1649" t="str">
            <v>Senior Process Associate</v>
          </cell>
          <cell r="H1649" t="str">
            <v>Operations</v>
          </cell>
          <cell r="I1649" t="str">
            <v>Direct</v>
          </cell>
          <cell r="J1649" t="str">
            <v>Experience</v>
          </cell>
          <cell r="K1649"/>
          <cell r="L1649">
            <v>470</v>
          </cell>
          <cell r="M1649">
            <v>350</v>
          </cell>
          <cell r="N1649">
            <v>23</v>
          </cell>
          <cell r="O1649">
            <v>5.8385093167701858E-2</v>
          </cell>
          <cell r="P1649">
            <v>6.8171179546008945E-2</v>
          </cell>
          <cell r="Q1649">
            <v>45839</v>
          </cell>
          <cell r="R1649">
            <v>22846</v>
          </cell>
          <cell r="S1649">
            <v>6.8171179546008945E-2</v>
          </cell>
          <cell r="T1649">
            <v>1557.4387679081203</v>
          </cell>
        </row>
        <row r="1650">
          <cell r="A1650">
            <v>663</v>
          </cell>
          <cell r="B1650" t="str">
            <v>Surya Karthikeyan</v>
          </cell>
          <cell r="C1650" t="str">
            <v>Your Docs In</v>
          </cell>
          <cell r="D1650" t="str">
            <v>38YD</v>
          </cell>
          <cell r="E1650" t="str">
            <v>Coding</v>
          </cell>
          <cell r="F1650" t="str">
            <v>Operations</v>
          </cell>
          <cell r="G1650" t="str">
            <v>Coder</v>
          </cell>
          <cell r="H1650" t="str">
            <v>Operations</v>
          </cell>
          <cell r="I1650" t="str">
            <v>Direct</v>
          </cell>
          <cell r="J1650" t="str">
            <v>Experience</v>
          </cell>
          <cell r="K1650"/>
          <cell r="L1650">
            <v>2513</v>
          </cell>
          <cell r="M1650">
            <v>135</v>
          </cell>
          <cell r="N1650">
            <v>23</v>
          </cell>
          <cell r="O1650">
            <v>0.80933977455716577</v>
          </cell>
          <cell r="P1650">
            <v>1</v>
          </cell>
          <cell r="Q1650">
            <v>45839</v>
          </cell>
          <cell r="R1650">
            <v>33600</v>
          </cell>
          <cell r="S1650">
            <v>1</v>
          </cell>
          <cell r="T1650">
            <v>33600</v>
          </cell>
        </row>
        <row r="1651">
          <cell r="A1651">
            <v>725</v>
          </cell>
          <cell r="B1651" t="str">
            <v>Narmadha Thirumalraj</v>
          </cell>
          <cell r="C1651" t="str">
            <v>D'Souza &amp; Associates, Inc</v>
          </cell>
          <cell r="D1651" t="str">
            <v>9D</v>
          </cell>
          <cell r="E1651" t="str">
            <v>Charges</v>
          </cell>
          <cell r="F1651" t="str">
            <v>Operations</v>
          </cell>
          <cell r="G1651" t="str">
            <v>Process Associate</v>
          </cell>
          <cell r="H1651" t="str">
            <v>Operations</v>
          </cell>
          <cell r="I1651" t="str">
            <v>Direct</v>
          </cell>
          <cell r="J1651" t="str">
            <v>Fresher</v>
          </cell>
          <cell r="K1651"/>
          <cell r="L1651">
            <v>6716</v>
          </cell>
          <cell r="M1651">
            <v>380</v>
          </cell>
          <cell r="N1651">
            <v>23</v>
          </cell>
          <cell r="O1651">
            <v>0.76842105263157889</v>
          </cell>
          <cell r="P1651">
            <v>1</v>
          </cell>
          <cell r="Q1651">
            <v>45839</v>
          </cell>
          <cell r="R1651">
            <v>13920</v>
          </cell>
          <cell r="S1651">
            <v>1</v>
          </cell>
          <cell r="T1651">
            <v>13920</v>
          </cell>
        </row>
        <row r="1652">
          <cell r="A1652">
            <v>494</v>
          </cell>
          <cell r="B1652" t="str">
            <v>Kalaivani Kumar</v>
          </cell>
          <cell r="C1652" t="str">
            <v>D'Souza &amp; Associates, Inc</v>
          </cell>
          <cell r="D1652" t="str">
            <v>9D</v>
          </cell>
          <cell r="E1652" t="str">
            <v>Charges</v>
          </cell>
          <cell r="F1652" t="str">
            <v>Operations</v>
          </cell>
          <cell r="G1652" t="str">
            <v>Process Associate</v>
          </cell>
          <cell r="H1652" t="str">
            <v>Operations</v>
          </cell>
          <cell r="I1652" t="str">
            <v>Direct</v>
          </cell>
          <cell r="J1652" t="str">
            <v>Fresher</v>
          </cell>
          <cell r="K1652"/>
          <cell r="L1652">
            <v>2071</v>
          </cell>
          <cell r="M1652">
            <v>380</v>
          </cell>
          <cell r="N1652">
            <v>23</v>
          </cell>
          <cell r="O1652">
            <v>0.23695652173913045</v>
          </cell>
          <cell r="P1652">
            <v>0.37954408282650076</v>
          </cell>
          <cell r="Q1652">
            <v>45839</v>
          </cell>
          <cell r="R1652">
            <v>21789</v>
          </cell>
          <cell r="S1652">
            <v>0.37954408282650076</v>
          </cell>
          <cell r="T1652">
            <v>8269.8860207066245</v>
          </cell>
        </row>
        <row r="1653">
          <cell r="A1653">
            <v>494</v>
          </cell>
          <cell r="B1653" t="str">
            <v>Kalaivani Kumar</v>
          </cell>
          <cell r="C1653" t="str">
            <v>D'Souza &amp; Associates, Inc</v>
          </cell>
          <cell r="D1653" t="str">
            <v>9D</v>
          </cell>
          <cell r="E1653" t="str">
            <v>Payment Posting - ERA</v>
          </cell>
          <cell r="F1653" t="str">
            <v>Operations</v>
          </cell>
          <cell r="G1653" t="str">
            <v>Process Associate</v>
          </cell>
          <cell r="H1653" t="str">
            <v>Operations</v>
          </cell>
          <cell r="I1653" t="str">
            <v>Direct</v>
          </cell>
          <cell r="J1653" t="str">
            <v>Fresher</v>
          </cell>
          <cell r="K1653"/>
          <cell r="L1653">
            <v>8752</v>
          </cell>
          <cell r="M1653">
            <v>2000</v>
          </cell>
          <cell r="N1653">
            <v>23</v>
          </cell>
          <cell r="O1653">
            <v>0.1902608695652174</v>
          </cell>
          <cell r="P1653">
            <v>0.30474952411903988</v>
          </cell>
          <cell r="Q1653">
            <v>45839</v>
          </cell>
          <cell r="R1653">
            <v>21789</v>
          </cell>
          <cell r="S1653">
            <v>0.30474952411903988</v>
          </cell>
          <cell r="T1653">
            <v>6640.1873810297602</v>
          </cell>
        </row>
        <row r="1654">
          <cell r="A1654">
            <v>494</v>
          </cell>
          <cell r="B1654" t="str">
            <v>Kalaivani Kumar</v>
          </cell>
          <cell r="C1654" t="str">
            <v>D'Souza &amp; Associates, Inc</v>
          </cell>
          <cell r="D1654" t="str">
            <v>9D</v>
          </cell>
          <cell r="E1654" t="str">
            <v>Payment Posting - Manual</v>
          </cell>
          <cell r="F1654" t="str">
            <v>Operations</v>
          </cell>
          <cell r="G1654" t="str">
            <v>Process Associate</v>
          </cell>
          <cell r="H1654" t="str">
            <v>Operations</v>
          </cell>
          <cell r="I1654" t="str">
            <v>Direct</v>
          </cell>
          <cell r="J1654" t="str">
            <v>Fresher</v>
          </cell>
          <cell r="K1654"/>
          <cell r="L1654">
            <v>2040</v>
          </cell>
          <cell r="M1654">
            <v>450</v>
          </cell>
          <cell r="N1654">
            <v>23</v>
          </cell>
          <cell r="O1654">
            <v>0.1971014492753623</v>
          </cell>
          <cell r="P1654">
            <v>0.3157063930544593</v>
          </cell>
          <cell r="Q1654">
            <v>45839</v>
          </cell>
          <cell r="R1654">
            <v>21789</v>
          </cell>
          <cell r="S1654">
            <v>0.3157063930544593</v>
          </cell>
          <cell r="T1654">
            <v>6878.9265982636134</v>
          </cell>
        </row>
        <row r="1655">
          <cell r="A1655">
            <v>706</v>
          </cell>
          <cell r="B1655" t="str">
            <v>Swetha Chidambaram</v>
          </cell>
          <cell r="C1655" t="str">
            <v>Physical Therapy &amp; Sports Medicine Center</v>
          </cell>
          <cell r="D1655" t="str">
            <v>31PT</v>
          </cell>
          <cell r="E1655" t="str">
            <v>Eligibility Verification</v>
          </cell>
          <cell r="F1655" t="str">
            <v>Operations</v>
          </cell>
          <cell r="G1655" t="str">
            <v>Process Associate</v>
          </cell>
          <cell r="H1655" t="str">
            <v>Operations</v>
          </cell>
          <cell r="I1655" t="str">
            <v>Direct</v>
          </cell>
          <cell r="J1655" t="str">
            <v>Fresher</v>
          </cell>
          <cell r="K1655"/>
          <cell r="L1655">
            <v>240</v>
          </cell>
          <cell r="M1655">
            <v>140</v>
          </cell>
          <cell r="N1655">
            <v>23</v>
          </cell>
          <cell r="O1655">
            <v>7.4534161490683232E-2</v>
          </cell>
          <cell r="P1655">
            <v>1</v>
          </cell>
          <cell r="Q1655">
            <v>45839</v>
          </cell>
          <cell r="R1655">
            <v>20774.387096774193</v>
          </cell>
          <cell r="S1655">
            <v>1</v>
          </cell>
          <cell r="T1655">
            <v>20774.387096774193</v>
          </cell>
        </row>
        <row r="1656">
          <cell r="A1656">
            <v>727</v>
          </cell>
          <cell r="B1656" t="str">
            <v>Vijitha Govindraj</v>
          </cell>
          <cell r="C1656" t="str">
            <v>D'Souza &amp; Associates, Inc</v>
          </cell>
          <cell r="D1656" t="str">
            <v>9D</v>
          </cell>
          <cell r="E1656" t="str">
            <v>Charges</v>
          </cell>
          <cell r="F1656" t="str">
            <v>Operations</v>
          </cell>
          <cell r="G1656" t="str">
            <v>Process Associate</v>
          </cell>
          <cell r="H1656" t="str">
            <v>Operations</v>
          </cell>
          <cell r="I1656" t="str">
            <v>Direct</v>
          </cell>
          <cell r="J1656" t="str">
            <v>Fresher</v>
          </cell>
          <cell r="K1656"/>
          <cell r="L1656">
            <v>400</v>
          </cell>
          <cell r="M1656">
            <v>380</v>
          </cell>
          <cell r="N1656">
            <v>23</v>
          </cell>
          <cell r="O1656">
            <v>4.5766590389016017E-2</v>
          </cell>
          <cell r="P1656">
            <v>5.3744177714080972E-2</v>
          </cell>
          <cell r="Q1656">
            <v>45839</v>
          </cell>
          <cell r="R1656">
            <v>13920</v>
          </cell>
          <cell r="S1656">
            <v>5.3744177714080972E-2</v>
          </cell>
          <cell r="T1656">
            <v>748.11895378000713</v>
          </cell>
        </row>
        <row r="1657">
          <cell r="A1657">
            <v>727</v>
          </cell>
          <cell r="B1657" t="str">
            <v>Vijitha Govindraj</v>
          </cell>
          <cell r="C1657" t="str">
            <v>D'Souza &amp; Associates, Inc</v>
          </cell>
          <cell r="D1657" t="str">
            <v>9D</v>
          </cell>
          <cell r="E1657" t="str">
            <v>Eligibility Verification</v>
          </cell>
          <cell r="F1657" t="str">
            <v>Operations</v>
          </cell>
          <cell r="G1657" t="str">
            <v>Process Associate</v>
          </cell>
          <cell r="H1657" t="str">
            <v>Operations</v>
          </cell>
          <cell r="I1657" t="str">
            <v>Direct</v>
          </cell>
          <cell r="J1657" t="str">
            <v>Fresher</v>
          </cell>
          <cell r="K1657"/>
          <cell r="L1657">
            <v>2780</v>
          </cell>
          <cell r="M1657">
            <v>150</v>
          </cell>
          <cell r="N1657">
            <v>23</v>
          </cell>
          <cell r="O1657">
            <v>0.80579710144927541</v>
          </cell>
          <cell r="P1657">
            <v>0.94625582228591909</v>
          </cell>
          <cell r="Q1657">
            <v>45839</v>
          </cell>
          <cell r="R1657">
            <v>13920</v>
          </cell>
          <cell r="S1657">
            <v>0.94625582228591909</v>
          </cell>
          <cell r="T1657">
            <v>13171.881046219994</v>
          </cell>
        </row>
        <row r="1658">
          <cell r="A1658">
            <v>357</v>
          </cell>
          <cell r="B1658" t="str">
            <v>Jayasri Dhinakaran</v>
          </cell>
          <cell r="C1658" t="str">
            <v>Your Docs In</v>
          </cell>
          <cell r="D1658" t="str">
            <v>38YD</v>
          </cell>
          <cell r="E1658" t="str">
            <v>Charges</v>
          </cell>
          <cell r="F1658" t="str">
            <v>Operations</v>
          </cell>
          <cell r="G1658" t="str">
            <v>Senior Process Associate</v>
          </cell>
          <cell r="H1658" t="str">
            <v>Operations</v>
          </cell>
          <cell r="I1658" t="str">
            <v>Direct</v>
          </cell>
          <cell r="J1658" t="str">
            <v>Experience</v>
          </cell>
          <cell r="K1658"/>
          <cell r="L1658">
            <v>2667</v>
          </cell>
          <cell r="M1658">
            <v>150</v>
          </cell>
          <cell r="N1658">
            <v>23</v>
          </cell>
          <cell r="O1658">
            <v>0.77304347826086961</v>
          </cell>
          <cell r="P1658">
            <v>0.8952105230033357</v>
          </cell>
          <cell r="Q1658">
            <v>45839</v>
          </cell>
          <cell r="R1658">
            <v>20625</v>
          </cell>
          <cell r="S1658">
            <v>0.8952105230033357</v>
          </cell>
          <cell r="T1658">
            <v>18463.717036943799</v>
          </cell>
        </row>
        <row r="1659">
          <cell r="A1659">
            <v>357</v>
          </cell>
          <cell r="B1659" t="str">
            <v>Jayasri Dhinakaran</v>
          </cell>
          <cell r="C1659" t="str">
            <v>Your Docs In</v>
          </cell>
          <cell r="D1659" t="str">
            <v>38YD</v>
          </cell>
          <cell r="E1659" t="str">
            <v>Demo Entry</v>
          </cell>
          <cell r="F1659" t="str">
            <v>Operations</v>
          </cell>
          <cell r="G1659" t="str">
            <v>Senior Process Associate</v>
          </cell>
          <cell r="H1659" t="str">
            <v>Operations</v>
          </cell>
          <cell r="I1659" t="str">
            <v>Direct</v>
          </cell>
          <cell r="J1659" t="str">
            <v>Experience</v>
          </cell>
          <cell r="K1659"/>
          <cell r="L1659">
            <v>126</v>
          </cell>
          <cell r="M1659">
            <v>120</v>
          </cell>
          <cell r="N1659">
            <v>23</v>
          </cell>
          <cell r="O1659">
            <v>4.5652173913043478E-2</v>
          </cell>
          <cell r="P1659">
            <v>5.2866763169488323E-2</v>
          </cell>
          <cell r="Q1659">
            <v>45839</v>
          </cell>
          <cell r="R1659">
            <v>20625</v>
          </cell>
          <cell r="S1659">
            <v>5.2866763169488323E-2</v>
          </cell>
          <cell r="T1659">
            <v>1090.3769903706966</v>
          </cell>
        </row>
        <row r="1660">
          <cell r="A1660">
            <v>357</v>
          </cell>
          <cell r="B1660" t="str">
            <v>Jayasri Dhinakaran</v>
          </cell>
          <cell r="C1660" t="str">
            <v>Your Docs In</v>
          </cell>
          <cell r="D1660" t="str">
            <v>38YD</v>
          </cell>
          <cell r="E1660" t="str">
            <v>Demo Entry</v>
          </cell>
          <cell r="F1660" t="str">
            <v>Operations</v>
          </cell>
          <cell r="G1660" t="str">
            <v>Senior Process Associate</v>
          </cell>
          <cell r="H1660" t="str">
            <v>Operations</v>
          </cell>
          <cell r="I1660" t="str">
            <v>Direct</v>
          </cell>
          <cell r="J1660" t="str">
            <v>Experience</v>
          </cell>
          <cell r="K1660"/>
          <cell r="L1660">
            <v>165</v>
          </cell>
          <cell r="M1660">
            <v>160</v>
          </cell>
          <cell r="N1660">
            <v>23</v>
          </cell>
          <cell r="O1660">
            <v>4.4836956521739128E-2</v>
          </cell>
          <cell r="P1660">
            <v>5.1922713827176031E-2</v>
          </cell>
          <cell r="Q1660">
            <v>45839</v>
          </cell>
          <cell r="R1660">
            <v>20625</v>
          </cell>
          <cell r="S1660">
            <v>5.1922713827176031E-2</v>
          </cell>
          <cell r="T1660">
            <v>1070.9059726855057</v>
          </cell>
        </row>
        <row r="1661">
          <cell r="A1661">
            <v>684</v>
          </cell>
          <cell r="B1661" t="str">
            <v>Manohar Mandolla</v>
          </cell>
          <cell r="C1661" t="str">
            <v>Your Docs In</v>
          </cell>
          <cell r="D1661" t="str">
            <v>38YD</v>
          </cell>
          <cell r="E1661" t="str">
            <v>Coding</v>
          </cell>
          <cell r="F1661" t="str">
            <v>Operations</v>
          </cell>
          <cell r="G1661" t="str">
            <v>Coder</v>
          </cell>
          <cell r="H1661" t="str">
            <v>Operations</v>
          </cell>
          <cell r="I1661" t="str">
            <v>Direct</v>
          </cell>
          <cell r="J1661" t="str">
            <v>Experience</v>
          </cell>
          <cell r="K1661"/>
          <cell r="L1661">
            <v>1883</v>
          </cell>
          <cell r="M1661">
            <v>135</v>
          </cell>
          <cell r="N1661">
            <v>23</v>
          </cell>
          <cell r="O1661">
            <v>0.60644122383252819</v>
          </cell>
          <cell r="P1661">
            <v>1</v>
          </cell>
          <cell r="Q1661">
            <v>45839</v>
          </cell>
          <cell r="R1661">
            <v>52100</v>
          </cell>
          <cell r="S1661">
            <v>1</v>
          </cell>
          <cell r="T1661">
            <v>52100</v>
          </cell>
        </row>
        <row r="1662">
          <cell r="A1662">
            <v>289</v>
          </cell>
          <cell r="B1662" t="str">
            <v>Naresh Chandar Srinivasan</v>
          </cell>
          <cell r="C1662" t="str">
            <v>D'Souza &amp; Associates, Inc</v>
          </cell>
          <cell r="D1662" t="str">
            <v>9D</v>
          </cell>
          <cell r="E1662" t="str">
            <v>Charges</v>
          </cell>
          <cell r="F1662" t="str">
            <v>Operations</v>
          </cell>
          <cell r="G1662" t="str">
            <v>Senior Process Associate</v>
          </cell>
          <cell r="H1662" t="str">
            <v>Operations</v>
          </cell>
          <cell r="I1662" t="str">
            <v>Direct</v>
          </cell>
          <cell r="J1662" t="str">
            <v>Experience</v>
          </cell>
          <cell r="K1662"/>
          <cell r="L1662">
            <v>0</v>
          </cell>
          <cell r="M1662">
            <v>380</v>
          </cell>
          <cell r="N1662">
            <v>23</v>
          </cell>
          <cell r="O1662">
            <v>0</v>
          </cell>
          <cell r="P1662">
            <v>0</v>
          </cell>
          <cell r="Q1662">
            <v>45839</v>
          </cell>
          <cell r="R1662">
            <v>24903</v>
          </cell>
          <cell r="S1662">
            <v>0</v>
          </cell>
          <cell r="T1662">
            <v>0</v>
          </cell>
        </row>
        <row r="1663">
          <cell r="A1663">
            <v>289</v>
          </cell>
          <cell r="B1663" t="str">
            <v>Naresh Chandar Srinivasan</v>
          </cell>
          <cell r="C1663" t="str">
            <v>Your Docs In</v>
          </cell>
          <cell r="D1663" t="str">
            <v>38YD</v>
          </cell>
          <cell r="E1663" t="str">
            <v>Demo Entry</v>
          </cell>
          <cell r="F1663" t="str">
            <v>Operations</v>
          </cell>
          <cell r="G1663" t="str">
            <v>Senior Process Associate</v>
          </cell>
          <cell r="H1663" t="str">
            <v>Operations</v>
          </cell>
          <cell r="I1663" t="str">
            <v>Direct</v>
          </cell>
          <cell r="J1663" t="str">
            <v>Experience</v>
          </cell>
          <cell r="K1663"/>
          <cell r="L1663">
            <v>678</v>
          </cell>
          <cell r="M1663">
            <v>120</v>
          </cell>
          <cell r="N1663">
            <v>23</v>
          </cell>
          <cell r="O1663">
            <v>0.2456521739130435</v>
          </cell>
          <cell r="P1663">
            <v>0.24988021965871818</v>
          </cell>
          <cell r="Q1663">
            <v>45839</v>
          </cell>
          <cell r="R1663">
            <v>24903</v>
          </cell>
          <cell r="S1663">
            <v>0.24988021965871818</v>
          </cell>
          <cell r="T1663">
            <v>6222.7671101610586</v>
          </cell>
        </row>
        <row r="1664">
          <cell r="A1664">
            <v>289</v>
          </cell>
          <cell r="B1664" t="str">
            <v>Naresh Chandar Srinivasan</v>
          </cell>
          <cell r="C1664" t="str">
            <v>Your Docs In</v>
          </cell>
          <cell r="D1664" t="str">
            <v>38YD</v>
          </cell>
          <cell r="E1664" t="str">
            <v>Demo Entry</v>
          </cell>
          <cell r="F1664" t="str">
            <v>Operations</v>
          </cell>
          <cell r="G1664" t="str">
            <v>Senior Process Associate</v>
          </cell>
          <cell r="H1664" t="str">
            <v>Operations</v>
          </cell>
          <cell r="I1664" t="str">
            <v>Direct</v>
          </cell>
          <cell r="J1664" t="str">
            <v>Experience</v>
          </cell>
          <cell r="K1664"/>
          <cell r="L1664">
            <v>734</v>
          </cell>
          <cell r="M1664">
            <v>160</v>
          </cell>
          <cell r="N1664">
            <v>23</v>
          </cell>
          <cell r="O1664">
            <v>0.19945652173913045</v>
          </cell>
          <cell r="P1664">
            <v>0.20288947038661409</v>
          </cell>
          <cell r="Q1664">
            <v>45839</v>
          </cell>
          <cell r="R1664">
            <v>24903</v>
          </cell>
          <cell r="S1664">
            <v>0.20288947038661409</v>
          </cell>
          <cell r="T1664">
            <v>5052.556481037851</v>
          </cell>
        </row>
        <row r="1665">
          <cell r="A1665">
            <v>289</v>
          </cell>
          <cell r="B1665" t="str">
            <v>Naresh Chandar Srinivasan</v>
          </cell>
          <cell r="C1665" t="str">
            <v>Your Docs In</v>
          </cell>
          <cell r="D1665" t="str">
            <v>38YD</v>
          </cell>
          <cell r="E1665" t="str">
            <v>Eligibility Verification</v>
          </cell>
          <cell r="F1665" t="str">
            <v>Operations</v>
          </cell>
          <cell r="G1665" t="str">
            <v>Senior Process Associate</v>
          </cell>
          <cell r="H1665" t="str">
            <v>Operations</v>
          </cell>
          <cell r="I1665" t="str">
            <v>Direct</v>
          </cell>
          <cell r="J1665" t="str">
            <v>Experience</v>
          </cell>
          <cell r="K1665"/>
          <cell r="L1665">
            <v>1856</v>
          </cell>
          <cell r="M1665">
            <v>150</v>
          </cell>
          <cell r="N1665">
            <v>23</v>
          </cell>
          <cell r="O1665">
            <v>0.53797101449275364</v>
          </cell>
          <cell r="P1665">
            <v>0.5472303099546677</v>
          </cell>
          <cell r="Q1665">
            <v>45839</v>
          </cell>
          <cell r="R1665">
            <v>24903</v>
          </cell>
          <cell r="S1665">
            <v>0.5472303099546677</v>
          </cell>
          <cell r="T1665">
            <v>13627.67640880109</v>
          </cell>
        </row>
        <row r="1666">
          <cell r="A1666">
            <v>449</v>
          </cell>
          <cell r="B1666" t="str">
            <v>Subhasri Mathi</v>
          </cell>
          <cell r="C1666" t="str">
            <v>Your Docs In</v>
          </cell>
          <cell r="D1666" t="str">
            <v>38YD</v>
          </cell>
          <cell r="E1666" t="str">
            <v>Charges</v>
          </cell>
          <cell r="F1666" t="str">
            <v>Operations</v>
          </cell>
          <cell r="G1666" t="str">
            <v>Process Associate</v>
          </cell>
          <cell r="H1666" t="str">
            <v>Operations</v>
          </cell>
          <cell r="I1666" t="str">
            <v>Direct</v>
          </cell>
          <cell r="J1666" t="str">
            <v>Fresher</v>
          </cell>
          <cell r="K1666"/>
          <cell r="L1666">
            <v>535</v>
          </cell>
          <cell r="M1666">
            <v>150</v>
          </cell>
          <cell r="N1666">
            <v>23</v>
          </cell>
          <cell r="O1666">
            <v>0.15507246376811595</v>
          </cell>
          <cell r="P1666">
            <v>0.15819334331281995</v>
          </cell>
          <cell r="Q1666">
            <v>45839</v>
          </cell>
          <cell r="R1666">
            <v>19044</v>
          </cell>
          <cell r="S1666">
            <v>0.15819334331281995</v>
          </cell>
          <cell r="T1666">
            <v>3012.634030049343</v>
          </cell>
        </row>
        <row r="1667">
          <cell r="A1667">
            <v>449</v>
          </cell>
          <cell r="B1667" t="str">
            <v>Subhasri Mathi</v>
          </cell>
          <cell r="C1667" t="str">
            <v>Your Docs In</v>
          </cell>
          <cell r="D1667" t="str">
            <v>38YD</v>
          </cell>
          <cell r="E1667" t="str">
            <v>Demo Entry</v>
          </cell>
          <cell r="F1667" t="str">
            <v>Operations</v>
          </cell>
          <cell r="G1667" t="str">
            <v>Process Associate</v>
          </cell>
          <cell r="H1667" t="str">
            <v>Operations</v>
          </cell>
          <cell r="I1667" t="str">
            <v>Direct</v>
          </cell>
          <cell r="J1667" t="str">
            <v>Fresher</v>
          </cell>
          <cell r="K1667"/>
          <cell r="L1667">
            <v>658</v>
          </cell>
          <cell r="M1667">
            <v>120</v>
          </cell>
          <cell r="N1667">
            <v>23</v>
          </cell>
          <cell r="O1667">
            <v>0.23840579710144927</v>
          </cell>
          <cell r="P1667">
            <v>0.2432037848126998</v>
          </cell>
          <cell r="Q1667">
            <v>45839</v>
          </cell>
          <cell r="R1667">
            <v>19044</v>
          </cell>
          <cell r="S1667">
            <v>0.2432037848126998</v>
          </cell>
          <cell r="T1667">
            <v>4631.5728779730553</v>
          </cell>
        </row>
        <row r="1668">
          <cell r="A1668">
            <v>449</v>
          </cell>
          <cell r="B1668" t="str">
            <v>Subhasri Mathi</v>
          </cell>
          <cell r="C1668" t="str">
            <v>Your Docs In</v>
          </cell>
          <cell r="D1668" t="str">
            <v>38YD</v>
          </cell>
          <cell r="E1668" t="str">
            <v>Demo Entry</v>
          </cell>
          <cell r="F1668" t="str">
            <v>Operations</v>
          </cell>
          <cell r="G1668" t="str">
            <v>Process Associate</v>
          </cell>
          <cell r="H1668" t="str">
            <v>Operations</v>
          </cell>
          <cell r="I1668" t="str">
            <v>Direct</v>
          </cell>
          <cell r="J1668" t="str">
            <v>Fresher</v>
          </cell>
          <cell r="K1668"/>
          <cell r="L1668">
            <v>441</v>
          </cell>
          <cell r="M1668">
            <v>160</v>
          </cell>
          <cell r="N1668">
            <v>23</v>
          </cell>
          <cell r="O1668">
            <v>0.11983695652173913</v>
          </cell>
          <cell r="P1668">
            <v>0.12224871098297942</v>
          </cell>
          <cell r="Q1668">
            <v>45839</v>
          </cell>
          <cell r="R1668">
            <v>19044</v>
          </cell>
          <cell r="S1668">
            <v>0.12224871098297942</v>
          </cell>
          <cell r="T1668">
            <v>2328.1044519598599</v>
          </cell>
        </row>
        <row r="1669">
          <cell r="A1669">
            <v>449</v>
          </cell>
          <cell r="B1669" t="str">
            <v>Subhasri Mathi</v>
          </cell>
          <cell r="C1669" t="str">
            <v>Your Docs In</v>
          </cell>
          <cell r="D1669" t="str">
            <v>38YD</v>
          </cell>
          <cell r="E1669" t="str">
            <v>Eligibility Verification</v>
          </cell>
          <cell r="F1669" t="str">
            <v>Operations</v>
          </cell>
          <cell r="G1669" t="str">
            <v>Process Associate</v>
          </cell>
          <cell r="H1669" t="str">
            <v>Operations</v>
          </cell>
          <cell r="I1669" t="str">
            <v>Direct</v>
          </cell>
          <cell r="J1669" t="str">
            <v>Fresher</v>
          </cell>
          <cell r="K1669"/>
          <cell r="L1669">
            <v>1533</v>
          </cell>
          <cell r="M1669">
            <v>150</v>
          </cell>
          <cell r="N1669">
            <v>23</v>
          </cell>
          <cell r="O1669">
            <v>0.44434782608695655</v>
          </cell>
          <cell r="P1669">
            <v>0.4532904585019682</v>
          </cell>
          <cell r="Q1669">
            <v>45839</v>
          </cell>
          <cell r="R1669">
            <v>19044</v>
          </cell>
          <cell r="S1669">
            <v>0.4532904585019682</v>
          </cell>
          <cell r="T1669">
            <v>8632.4634917114818</v>
          </cell>
        </row>
        <row r="1670">
          <cell r="A1670">
            <v>449</v>
          </cell>
          <cell r="B1670" t="str">
            <v>Subhasri Mathi</v>
          </cell>
          <cell r="C1670" t="str">
            <v>Your Docs In</v>
          </cell>
          <cell r="D1670" t="str">
            <v>38YD</v>
          </cell>
          <cell r="E1670" t="str">
            <v>Occmed Correction</v>
          </cell>
          <cell r="F1670" t="str">
            <v>Operations</v>
          </cell>
          <cell r="G1670" t="str">
            <v>Process Associate</v>
          </cell>
          <cell r="H1670" t="str">
            <v>Operations</v>
          </cell>
          <cell r="I1670" t="str">
            <v>Direct</v>
          </cell>
          <cell r="J1670" t="str">
            <v>Fresher</v>
          </cell>
          <cell r="K1670"/>
          <cell r="L1670">
            <v>78</v>
          </cell>
          <cell r="M1670">
            <v>150</v>
          </cell>
          <cell r="N1670">
            <v>23</v>
          </cell>
          <cell r="O1670">
            <v>2.2608695652173914E-2</v>
          </cell>
          <cell r="P1670">
            <v>2.3063702389532627E-2</v>
          </cell>
          <cell r="Q1670">
            <v>45839</v>
          </cell>
          <cell r="R1670">
            <v>19044</v>
          </cell>
          <cell r="S1670">
            <v>2.3063702389532627E-2</v>
          </cell>
          <cell r="T1670">
            <v>439.22514830625937</v>
          </cell>
        </row>
        <row r="1671">
          <cell r="A1671">
            <v>421</v>
          </cell>
          <cell r="B1671" t="str">
            <v>Logeshwaran Kannan</v>
          </cell>
          <cell r="C1671" t="str">
            <v>HIS (Modmed)</v>
          </cell>
          <cell r="D1671" t="str">
            <v>47MOD</v>
          </cell>
          <cell r="E1671" t="str">
            <v>Charges</v>
          </cell>
          <cell r="F1671" t="str">
            <v>Operations</v>
          </cell>
          <cell r="G1671" t="str">
            <v>Process Associate</v>
          </cell>
          <cell r="H1671" t="str">
            <v>Operations</v>
          </cell>
          <cell r="I1671" t="str">
            <v>Direct</v>
          </cell>
          <cell r="J1671" t="str">
            <v>Fresher</v>
          </cell>
          <cell r="K1671"/>
          <cell r="L1671">
            <v>831</v>
          </cell>
          <cell r="M1671">
            <v>150</v>
          </cell>
          <cell r="N1671">
            <v>23</v>
          </cell>
          <cell r="O1671">
            <v>0.24086956521739131</v>
          </cell>
          <cell r="P1671">
            <v>0.67077952029520294</v>
          </cell>
          <cell r="Q1671">
            <v>45839</v>
          </cell>
          <cell r="R1671">
            <v>20720</v>
          </cell>
          <cell r="S1671">
            <v>0.67077952029520294</v>
          </cell>
          <cell r="T1671">
            <v>13898.551660516605</v>
          </cell>
        </row>
        <row r="1672">
          <cell r="A1672">
            <v>421</v>
          </cell>
          <cell r="B1672" t="str">
            <v>Logeshwaran Kannan</v>
          </cell>
          <cell r="C1672" t="str">
            <v>Medrina IP Coding</v>
          </cell>
          <cell r="D1672" t="str">
            <v>51M</v>
          </cell>
          <cell r="E1672" t="str">
            <v>Demo &amp; Charge entry</v>
          </cell>
          <cell r="F1672" t="str">
            <v>Operations</v>
          </cell>
          <cell r="G1672" t="str">
            <v>Process Associate</v>
          </cell>
          <cell r="H1672" t="str">
            <v>Operations</v>
          </cell>
          <cell r="I1672" t="str">
            <v>Direct</v>
          </cell>
          <cell r="J1672" t="str">
            <v>Fresher</v>
          </cell>
          <cell r="K1672"/>
          <cell r="L1672">
            <v>58</v>
          </cell>
          <cell r="M1672">
            <v>350</v>
          </cell>
          <cell r="N1672">
            <v>23</v>
          </cell>
          <cell r="O1672">
            <v>7.2049689440993785E-3</v>
          </cell>
          <cell r="P1672">
            <v>2.0064575645756453E-2</v>
          </cell>
          <cell r="Q1672">
            <v>45839</v>
          </cell>
          <cell r="R1672">
            <v>20720</v>
          </cell>
          <cell r="S1672">
            <v>2.0064575645756453E-2</v>
          </cell>
          <cell r="T1672">
            <v>415.73800738007373</v>
          </cell>
        </row>
        <row r="1673">
          <cell r="A1673">
            <v>421</v>
          </cell>
          <cell r="B1673" t="str">
            <v>Logeshwaran Kannan</v>
          </cell>
          <cell r="C1673" t="str">
            <v>Your Docs In</v>
          </cell>
          <cell r="D1673" t="str">
            <v>38YD</v>
          </cell>
          <cell r="E1673" t="str">
            <v>Checked Patient Payment</v>
          </cell>
          <cell r="F1673" t="str">
            <v>Operations</v>
          </cell>
          <cell r="G1673" t="str">
            <v>Process Associate</v>
          </cell>
          <cell r="H1673" t="str">
            <v>Operations</v>
          </cell>
          <cell r="I1673" t="str">
            <v>Direct</v>
          </cell>
          <cell r="J1673" t="str">
            <v>Fresher</v>
          </cell>
          <cell r="K1673"/>
          <cell r="L1673">
            <v>383</v>
          </cell>
          <cell r="M1673">
            <v>150</v>
          </cell>
          <cell r="N1673">
            <v>23</v>
          </cell>
          <cell r="O1673">
            <v>0.11101449275362318</v>
          </cell>
          <cell r="P1673">
            <v>0.30915590405904053</v>
          </cell>
          <cell r="Q1673">
            <v>45839</v>
          </cell>
          <cell r="R1673">
            <v>20720</v>
          </cell>
          <cell r="S1673">
            <v>0.30915590405904053</v>
          </cell>
          <cell r="T1673">
            <v>6405.7103321033201</v>
          </cell>
        </row>
        <row r="1674">
          <cell r="A1674">
            <v>362</v>
          </cell>
          <cell r="B1674" t="str">
            <v>Anandraj Joseph</v>
          </cell>
          <cell r="C1674" t="str">
            <v>Your Docs In</v>
          </cell>
          <cell r="D1674" t="str">
            <v>38YD</v>
          </cell>
          <cell r="E1674" t="str">
            <v>Checked Patient Payment</v>
          </cell>
          <cell r="F1674" t="str">
            <v>Operations</v>
          </cell>
          <cell r="G1674" t="str">
            <v>Senior Process Associate</v>
          </cell>
          <cell r="H1674" t="str">
            <v>Operations</v>
          </cell>
          <cell r="I1674" t="str">
            <v>Direct</v>
          </cell>
          <cell r="J1674" t="str">
            <v>Experience</v>
          </cell>
          <cell r="K1674"/>
          <cell r="L1674">
            <v>2878</v>
          </cell>
          <cell r="M1674">
            <v>150</v>
          </cell>
          <cell r="N1674">
            <v>23</v>
          </cell>
          <cell r="O1674">
            <v>0.83420289855072471</v>
          </cell>
          <cell r="P1674">
            <v>0.96037373821640104</v>
          </cell>
          <cell r="Q1674">
            <v>45839</v>
          </cell>
          <cell r="R1674">
            <v>23387</v>
          </cell>
          <cell r="S1674">
            <v>0.96037373821640104</v>
          </cell>
          <cell r="T1674">
            <v>22460.260615666972</v>
          </cell>
        </row>
        <row r="1675">
          <cell r="A1675">
            <v>362</v>
          </cell>
          <cell r="B1675" t="str">
            <v>Anandraj Joseph</v>
          </cell>
          <cell r="C1675" t="str">
            <v>Your Docs In</v>
          </cell>
          <cell r="D1675" t="str">
            <v>38YD</v>
          </cell>
          <cell r="E1675" t="str">
            <v>Demo Entry</v>
          </cell>
          <cell r="F1675" t="str">
            <v>Operations</v>
          </cell>
          <cell r="G1675" t="str">
            <v>Senior Process Associate</v>
          </cell>
          <cell r="H1675" t="str">
            <v>Operations</v>
          </cell>
          <cell r="I1675" t="str">
            <v>Direct</v>
          </cell>
          <cell r="J1675" t="str">
            <v>Experience</v>
          </cell>
          <cell r="K1675"/>
          <cell r="L1675">
            <v>95</v>
          </cell>
          <cell r="M1675">
            <v>120</v>
          </cell>
          <cell r="N1675">
            <v>23</v>
          </cell>
          <cell r="O1675">
            <v>3.4420289855072464E-2</v>
          </cell>
          <cell r="P1675">
            <v>3.9626261783598897E-2</v>
          </cell>
          <cell r="Q1675">
            <v>45839</v>
          </cell>
          <cell r="R1675">
            <v>23387</v>
          </cell>
          <cell r="S1675">
            <v>3.9626261783598897E-2</v>
          </cell>
          <cell r="T1675">
            <v>926.73938433302737</v>
          </cell>
        </row>
        <row r="1676">
          <cell r="A1676">
            <v>31</v>
          </cell>
          <cell r="B1676" t="str">
            <v>Rajesh Murugesan M</v>
          </cell>
          <cell r="C1676" t="str">
            <v>eC3 LLC</v>
          </cell>
          <cell r="D1676" t="str">
            <v>3E</v>
          </cell>
          <cell r="E1676" t="str">
            <v>Charges</v>
          </cell>
          <cell r="F1676" t="str">
            <v>Operations</v>
          </cell>
          <cell r="G1676" t="str">
            <v>Senior Process Associate</v>
          </cell>
          <cell r="H1676" t="str">
            <v>Operations</v>
          </cell>
          <cell r="I1676" t="str">
            <v>Direct</v>
          </cell>
          <cell r="J1676" t="str">
            <v>Experience</v>
          </cell>
          <cell r="K1676"/>
          <cell r="L1676">
            <v>1747</v>
          </cell>
          <cell r="M1676">
            <v>150</v>
          </cell>
          <cell r="N1676">
            <v>23</v>
          </cell>
          <cell r="O1676">
            <v>0.50637681159420289</v>
          </cell>
          <cell r="P1676">
            <v>0.68580882146762756</v>
          </cell>
          <cell r="Q1676">
            <v>45839</v>
          </cell>
          <cell r="R1676">
            <v>40558</v>
          </cell>
          <cell r="S1676">
            <v>0.68580882146762756</v>
          </cell>
          <cell r="T1676">
            <v>27815.03418108404</v>
          </cell>
        </row>
        <row r="1677">
          <cell r="A1677">
            <v>31</v>
          </cell>
          <cell r="B1677" t="str">
            <v>Rajesh Murugesan M</v>
          </cell>
          <cell r="C1677" t="str">
            <v>eC3 LLC</v>
          </cell>
          <cell r="D1677" t="str">
            <v>3E</v>
          </cell>
          <cell r="E1677" t="str">
            <v>Patient Statement</v>
          </cell>
          <cell r="F1677" t="str">
            <v>Operations</v>
          </cell>
          <cell r="G1677" t="str">
            <v>Senior Process Associate</v>
          </cell>
          <cell r="H1677" t="str">
            <v>Operations</v>
          </cell>
          <cell r="I1677" t="str">
            <v>Direct</v>
          </cell>
          <cell r="J1677" t="str">
            <v>Experience</v>
          </cell>
          <cell r="K1677"/>
          <cell r="L1677">
            <v>458</v>
          </cell>
          <cell r="M1677">
            <v>200</v>
          </cell>
          <cell r="N1677">
            <v>23</v>
          </cell>
          <cell r="O1677">
            <v>9.9565217391304348E-2</v>
          </cell>
          <cell r="P1677">
            <v>0.13484563833665145</v>
          </cell>
          <cell r="Q1677">
            <v>45839</v>
          </cell>
          <cell r="R1677">
            <v>40558</v>
          </cell>
          <cell r="S1677">
            <v>0.13484563833665145</v>
          </cell>
          <cell r="T1677">
            <v>5469.0693996579093</v>
          </cell>
        </row>
        <row r="1678">
          <cell r="A1678">
            <v>31</v>
          </cell>
          <cell r="B1678" t="str">
            <v>Rajesh Murugesan M</v>
          </cell>
          <cell r="C1678" t="str">
            <v>eC3 LLC</v>
          </cell>
          <cell r="D1678" t="str">
            <v>3E</v>
          </cell>
          <cell r="E1678" t="str">
            <v>Payment Posting - Manual</v>
          </cell>
          <cell r="F1678" t="str">
            <v>Operations</v>
          </cell>
          <cell r="G1678" t="str">
            <v>Senior Process Associate</v>
          </cell>
          <cell r="H1678" t="str">
            <v>Operations</v>
          </cell>
          <cell r="I1678" t="str">
            <v>Direct</v>
          </cell>
          <cell r="J1678" t="str">
            <v>Experience</v>
          </cell>
          <cell r="K1678"/>
          <cell r="L1678">
            <v>323</v>
          </cell>
          <cell r="M1678">
            <v>175</v>
          </cell>
          <cell r="N1678">
            <v>23</v>
          </cell>
          <cell r="O1678">
            <v>8.0248447204968945E-2</v>
          </cell>
          <cell r="P1678">
            <v>0.10868407032498668</v>
          </cell>
          <cell r="Q1678">
            <v>45839</v>
          </cell>
          <cell r="R1678">
            <v>40558</v>
          </cell>
          <cell r="S1678">
            <v>0.10868407032498668</v>
          </cell>
          <cell r="T1678">
            <v>4408.0085242408095</v>
          </cell>
        </row>
        <row r="1679">
          <cell r="A1679">
            <v>31</v>
          </cell>
          <cell r="B1679" t="str">
            <v>Rajesh Murugesan M</v>
          </cell>
          <cell r="C1679" t="str">
            <v>eC3 LLC</v>
          </cell>
          <cell r="D1679" t="str">
            <v>3E</v>
          </cell>
          <cell r="E1679" t="str">
            <v>Print Hcfa</v>
          </cell>
          <cell r="F1679" t="str">
            <v>Operations</v>
          </cell>
          <cell r="G1679" t="str">
            <v>Senior Process Associate</v>
          </cell>
          <cell r="H1679" t="str">
            <v>Operations</v>
          </cell>
          <cell r="I1679" t="str">
            <v>Direct</v>
          </cell>
          <cell r="J1679" t="str">
            <v>Experience</v>
          </cell>
          <cell r="K1679"/>
          <cell r="L1679">
            <v>120</v>
          </cell>
          <cell r="M1679">
            <v>100</v>
          </cell>
          <cell r="N1679">
            <v>23</v>
          </cell>
          <cell r="O1679">
            <v>5.2173913043478258E-2</v>
          </cell>
          <cell r="P1679">
            <v>7.0661469870734378E-2</v>
          </cell>
          <cell r="Q1679">
            <v>45839</v>
          </cell>
          <cell r="R1679">
            <v>40558</v>
          </cell>
          <cell r="S1679">
            <v>7.0661469870734378E-2</v>
          </cell>
          <cell r="T1679">
            <v>2865.8878950172448</v>
          </cell>
        </row>
        <row r="1680">
          <cell r="A1680">
            <v>240</v>
          </cell>
          <cell r="B1680" t="str">
            <v>Arul Jothi Murugesan</v>
          </cell>
          <cell r="C1680" t="str">
            <v>D'Souza &amp; Associates, Inc</v>
          </cell>
          <cell r="D1680" t="str">
            <v>9D</v>
          </cell>
          <cell r="E1680" t="str">
            <v>Charges</v>
          </cell>
          <cell r="F1680" t="str">
            <v>Operations</v>
          </cell>
          <cell r="G1680" t="str">
            <v>Senior Process Associate</v>
          </cell>
          <cell r="H1680" t="str">
            <v>Operations</v>
          </cell>
          <cell r="I1680" t="str">
            <v>Direct</v>
          </cell>
          <cell r="J1680" t="str">
            <v>Experience</v>
          </cell>
          <cell r="K1680"/>
          <cell r="L1680">
            <v>8372</v>
          </cell>
          <cell r="M1680">
            <v>380</v>
          </cell>
          <cell r="N1680">
            <v>23</v>
          </cell>
          <cell r="O1680">
            <v>0.95789473684210524</v>
          </cell>
          <cell r="P1680">
            <v>1</v>
          </cell>
          <cell r="Q1680">
            <v>45839</v>
          </cell>
          <cell r="R1680">
            <v>27473</v>
          </cell>
          <cell r="S1680">
            <v>1</v>
          </cell>
          <cell r="T1680">
            <v>27473</v>
          </cell>
        </row>
        <row r="1681">
          <cell r="A1681">
            <v>642</v>
          </cell>
          <cell r="B1681" t="str">
            <v>Mohanvel Baskar</v>
          </cell>
          <cell r="C1681" t="str">
            <v>D'Souza &amp; Associates, Inc</v>
          </cell>
          <cell r="D1681" t="str">
            <v>9D</v>
          </cell>
          <cell r="E1681" t="str">
            <v>Ar Non Calling</v>
          </cell>
          <cell r="F1681" t="str">
            <v>Operations</v>
          </cell>
          <cell r="G1681" t="str">
            <v>AR Analyst</v>
          </cell>
          <cell r="H1681" t="str">
            <v>Operations</v>
          </cell>
          <cell r="I1681" t="str">
            <v>Direct</v>
          </cell>
          <cell r="J1681" t="str">
            <v>Experience</v>
          </cell>
          <cell r="K1681"/>
          <cell r="L1681">
            <v>23</v>
          </cell>
          <cell r="M1681">
            <v>64</v>
          </cell>
          <cell r="N1681">
            <v>23</v>
          </cell>
          <cell r="O1681">
            <v>1.5625E-2</v>
          </cell>
          <cell r="P1681">
            <v>7.0727386118658003E-2</v>
          </cell>
          <cell r="Q1681">
            <v>45839</v>
          </cell>
          <cell r="R1681">
            <v>15661</v>
          </cell>
          <cell r="S1681">
            <v>7.0727386118658003E-2</v>
          </cell>
          <cell r="T1681">
            <v>1107.661594004303</v>
          </cell>
        </row>
        <row r="1682">
          <cell r="A1682">
            <v>642</v>
          </cell>
          <cell r="B1682" t="str">
            <v>Mohanvel Baskar</v>
          </cell>
          <cell r="C1682" t="str">
            <v>D'Souza &amp; Associates, Inc</v>
          </cell>
          <cell r="D1682" t="str">
            <v>9D</v>
          </cell>
          <cell r="E1682" t="str">
            <v>Charges</v>
          </cell>
          <cell r="F1682" t="str">
            <v>Operations</v>
          </cell>
          <cell r="G1682" t="str">
            <v>AR Analyst</v>
          </cell>
          <cell r="H1682" t="str">
            <v>Operations</v>
          </cell>
          <cell r="I1682" t="str">
            <v>Direct</v>
          </cell>
          <cell r="J1682" t="str">
            <v>Experience</v>
          </cell>
          <cell r="K1682"/>
          <cell r="L1682">
            <v>311</v>
          </cell>
          <cell r="M1682">
            <v>380</v>
          </cell>
          <cell r="N1682">
            <v>23</v>
          </cell>
          <cell r="O1682">
            <v>3.5583524027459956E-2</v>
          </cell>
          <cell r="P1682">
            <v>0.16107069717457312</v>
          </cell>
          <cell r="Q1682">
            <v>45839</v>
          </cell>
          <cell r="R1682">
            <v>15661</v>
          </cell>
          <cell r="S1682">
            <v>0.16107069717457312</v>
          </cell>
          <cell r="T1682">
            <v>2522.5281884509895</v>
          </cell>
        </row>
        <row r="1683">
          <cell r="A1683">
            <v>642</v>
          </cell>
          <cell r="B1683" t="str">
            <v>Mohanvel Baskar</v>
          </cell>
          <cell r="C1683" t="str">
            <v>D'Souza &amp; Associates, Inc</v>
          </cell>
          <cell r="D1683" t="str">
            <v>9D</v>
          </cell>
          <cell r="E1683" t="str">
            <v>Demo Entry</v>
          </cell>
          <cell r="F1683" t="str">
            <v>Operations</v>
          </cell>
          <cell r="G1683" t="str">
            <v>AR Analyst</v>
          </cell>
          <cell r="H1683" t="str">
            <v>Operations</v>
          </cell>
          <cell r="I1683" t="str">
            <v>Direct</v>
          </cell>
          <cell r="J1683" t="str">
            <v>Experience</v>
          </cell>
          <cell r="K1683"/>
          <cell r="L1683">
            <v>243</v>
          </cell>
          <cell r="M1683">
            <v>300</v>
          </cell>
          <cell r="N1683">
            <v>23</v>
          </cell>
          <cell r="O1683">
            <v>3.5217391304347825E-2</v>
          </cell>
          <cell r="P1683">
            <v>0.15941337810396655</v>
          </cell>
          <cell r="Q1683">
            <v>45839</v>
          </cell>
          <cell r="R1683">
            <v>15661</v>
          </cell>
          <cell r="S1683">
            <v>0.15941337810396655</v>
          </cell>
          <cell r="T1683">
            <v>2496.5729144862203</v>
          </cell>
        </row>
        <row r="1684">
          <cell r="A1684">
            <v>642</v>
          </cell>
          <cell r="B1684" t="str">
            <v>Mohanvel Baskar</v>
          </cell>
          <cell r="C1684" t="str">
            <v>D'Souza &amp; Associates, Inc</v>
          </cell>
          <cell r="D1684" t="str">
            <v>9D</v>
          </cell>
          <cell r="E1684" t="str">
            <v>Eligibility Verification</v>
          </cell>
          <cell r="F1684" t="str">
            <v>Operations</v>
          </cell>
          <cell r="G1684" t="str">
            <v>AR Analyst</v>
          </cell>
          <cell r="H1684" t="str">
            <v>Operations</v>
          </cell>
          <cell r="I1684" t="str">
            <v>Direct</v>
          </cell>
          <cell r="J1684" t="str">
            <v>Experience</v>
          </cell>
          <cell r="K1684"/>
          <cell r="L1684">
            <v>464</v>
          </cell>
          <cell r="M1684">
            <v>150</v>
          </cell>
          <cell r="N1684">
            <v>23</v>
          </cell>
          <cell r="O1684">
            <v>0.13449275362318841</v>
          </cell>
          <cell r="P1684">
            <v>0.60878853860280235</v>
          </cell>
          <cell r="Q1684">
            <v>45839</v>
          </cell>
          <cell r="R1684">
            <v>15661</v>
          </cell>
          <cell r="S1684">
            <v>0.60878853860280235</v>
          </cell>
          <cell r="T1684">
            <v>9534.2373030584877</v>
          </cell>
        </row>
        <row r="1685">
          <cell r="A1685">
            <v>167</v>
          </cell>
          <cell r="B1685" t="str">
            <v>Vasu Markandya Raju</v>
          </cell>
          <cell r="C1685" t="str">
            <v>Your Docs In</v>
          </cell>
          <cell r="D1685" t="str">
            <v>38YD</v>
          </cell>
          <cell r="E1685" t="str">
            <v>Demo Entry</v>
          </cell>
          <cell r="F1685" t="str">
            <v>Operations</v>
          </cell>
          <cell r="G1685" t="str">
            <v>Senior Process Associate</v>
          </cell>
          <cell r="H1685" t="str">
            <v>Operations</v>
          </cell>
          <cell r="I1685" t="str">
            <v>Direct</v>
          </cell>
          <cell r="J1685" t="str">
            <v>Experience</v>
          </cell>
          <cell r="K1685"/>
          <cell r="L1685">
            <v>926</v>
          </cell>
          <cell r="M1685">
            <v>120</v>
          </cell>
          <cell r="N1685">
            <v>23</v>
          </cell>
          <cell r="O1685">
            <v>0.33550724637681162</v>
          </cell>
          <cell r="P1685">
            <v>0.36562493830572723</v>
          </cell>
          <cell r="Q1685">
            <v>45839</v>
          </cell>
          <cell r="R1685">
            <v>21551</v>
          </cell>
          <cell r="S1685">
            <v>0.36562493830572723</v>
          </cell>
          <cell r="T1685">
            <v>7879.5830454267279</v>
          </cell>
        </row>
        <row r="1686">
          <cell r="A1686">
            <v>167</v>
          </cell>
          <cell r="B1686" t="str">
            <v>Vasu Markandya Raju</v>
          </cell>
          <cell r="C1686" t="str">
            <v>Your Docs In</v>
          </cell>
          <cell r="D1686" t="str">
            <v>38YD</v>
          </cell>
          <cell r="E1686" t="str">
            <v>Demo Entry</v>
          </cell>
          <cell r="F1686" t="str">
            <v>Operations</v>
          </cell>
          <cell r="G1686" t="str">
            <v>Senior Process Associate</v>
          </cell>
          <cell r="H1686" t="str">
            <v>Operations</v>
          </cell>
          <cell r="I1686" t="str">
            <v>Direct</v>
          </cell>
          <cell r="J1686" t="str">
            <v>Experience</v>
          </cell>
          <cell r="K1686"/>
          <cell r="L1686">
            <v>651</v>
          </cell>
          <cell r="M1686">
            <v>160</v>
          </cell>
          <cell r="N1686">
            <v>23</v>
          </cell>
          <cell r="O1686">
            <v>0.17690217391304347</v>
          </cell>
          <cell r="P1686">
            <v>0.19278226363690204</v>
          </cell>
          <cell r="Q1686">
            <v>45839</v>
          </cell>
          <cell r="R1686">
            <v>21551</v>
          </cell>
          <cell r="S1686">
            <v>0.19278226363690204</v>
          </cell>
          <cell r="T1686">
            <v>4154.6505636388756</v>
          </cell>
        </row>
        <row r="1687">
          <cell r="A1687">
            <v>167</v>
          </cell>
          <cell r="B1687" t="str">
            <v>Vasu Markandya Raju</v>
          </cell>
          <cell r="C1687" t="str">
            <v>Your Docs In</v>
          </cell>
          <cell r="D1687" t="str">
            <v>38YD</v>
          </cell>
          <cell r="E1687" t="str">
            <v>Eligibility Verification</v>
          </cell>
          <cell r="F1687" t="str">
            <v>Operations</v>
          </cell>
          <cell r="G1687" t="str">
            <v>Senior Process Associate</v>
          </cell>
          <cell r="H1687" t="str">
            <v>Operations</v>
          </cell>
          <cell r="I1687" t="str">
            <v>Direct</v>
          </cell>
          <cell r="J1687" t="str">
            <v>Experience</v>
          </cell>
          <cell r="K1687"/>
          <cell r="L1687">
            <v>1398</v>
          </cell>
          <cell r="M1687">
            <v>150</v>
          </cell>
          <cell r="N1687">
            <v>23</v>
          </cell>
          <cell r="O1687">
            <v>0.40521739130434786</v>
          </cell>
          <cell r="P1687">
            <v>0.44159279805737078</v>
          </cell>
          <cell r="Q1687">
            <v>45839</v>
          </cell>
          <cell r="R1687">
            <v>21551</v>
          </cell>
          <cell r="S1687">
            <v>0.44159279805737078</v>
          </cell>
          <cell r="T1687">
            <v>9516.7663909343974</v>
          </cell>
        </row>
        <row r="1688">
          <cell r="A1688">
            <v>512</v>
          </cell>
          <cell r="B1688" t="str">
            <v>John David</v>
          </cell>
          <cell r="C1688" t="str">
            <v>Comprehensive Sleep Care Center</v>
          </cell>
          <cell r="D1688" t="str">
            <v>34CS</v>
          </cell>
          <cell r="E1688" t="str">
            <v>Eligibility Verification</v>
          </cell>
          <cell r="F1688" t="str">
            <v>Operations</v>
          </cell>
          <cell r="G1688" t="str">
            <v>Senior AR Analyst</v>
          </cell>
          <cell r="H1688" t="str">
            <v>Operations</v>
          </cell>
          <cell r="I1688" t="str">
            <v>Direct</v>
          </cell>
          <cell r="J1688" t="str">
            <v>Experience</v>
          </cell>
          <cell r="K1688"/>
          <cell r="L1688">
            <v>993</v>
          </cell>
          <cell r="M1688">
            <v>60</v>
          </cell>
          <cell r="N1688">
            <v>23</v>
          </cell>
          <cell r="O1688">
            <v>0.71956521739130441</v>
          </cell>
          <cell r="P1688">
            <v>1</v>
          </cell>
          <cell r="Q1688">
            <v>45839</v>
          </cell>
          <cell r="R1688">
            <v>42208.06451612903</v>
          </cell>
          <cell r="S1688">
            <v>1</v>
          </cell>
          <cell r="T1688">
            <v>42208.06451612903</v>
          </cell>
        </row>
        <row r="1689">
          <cell r="A1689">
            <v>730</v>
          </cell>
          <cell r="B1689" t="str">
            <v>Shaheera Banu Raju</v>
          </cell>
          <cell r="C1689" t="str">
            <v>D'Souza &amp; Associates, Inc</v>
          </cell>
          <cell r="D1689" t="str">
            <v>9D</v>
          </cell>
          <cell r="E1689" t="str">
            <v>Payment Posting - Manual</v>
          </cell>
          <cell r="F1689" t="str">
            <v>Operations</v>
          </cell>
          <cell r="G1689" t="str">
            <v>Process Associate</v>
          </cell>
          <cell r="H1689" t="str">
            <v>Operations</v>
          </cell>
          <cell r="I1689" t="str">
            <v>Direct</v>
          </cell>
          <cell r="J1689" t="str">
            <v>Fresher</v>
          </cell>
          <cell r="K1689"/>
          <cell r="L1689">
            <v>65</v>
          </cell>
          <cell r="M1689">
            <v>450</v>
          </cell>
          <cell r="N1689">
            <v>23</v>
          </cell>
          <cell r="O1689">
            <v>6.2801932367149756E-3</v>
          </cell>
          <cell r="P1689">
            <v>1</v>
          </cell>
          <cell r="Q1689">
            <v>45839</v>
          </cell>
          <cell r="R1689">
            <v>0</v>
          </cell>
          <cell r="S1689">
            <v>1</v>
          </cell>
          <cell r="T1689">
            <v>0</v>
          </cell>
        </row>
        <row r="1690">
          <cell r="A1690">
            <v>728</v>
          </cell>
          <cell r="B1690" t="str">
            <v>Sudha Palani</v>
          </cell>
          <cell r="C1690" t="str">
            <v>D'Souza &amp; Associates, Inc</v>
          </cell>
          <cell r="D1690" t="str">
            <v>9D</v>
          </cell>
          <cell r="E1690" t="str">
            <v>Charges</v>
          </cell>
          <cell r="F1690" t="str">
            <v>Operations</v>
          </cell>
          <cell r="G1690" t="str">
            <v>Process Associate</v>
          </cell>
          <cell r="H1690" t="str">
            <v>Operations</v>
          </cell>
          <cell r="I1690" t="str">
            <v>Direct</v>
          </cell>
          <cell r="J1690" t="str">
            <v>Fresher</v>
          </cell>
          <cell r="K1690"/>
          <cell r="L1690">
            <v>1033</v>
          </cell>
          <cell r="M1690">
            <v>380</v>
          </cell>
          <cell r="N1690">
            <v>23</v>
          </cell>
          <cell r="O1690">
            <v>0.11819221967963386</v>
          </cell>
          <cell r="P1690">
            <v>0.17608154638120888</v>
          </cell>
          <cell r="Q1690">
            <v>45839</v>
          </cell>
          <cell r="R1690">
            <v>13920</v>
          </cell>
          <cell r="S1690">
            <v>0.17608154638120888</v>
          </cell>
          <cell r="T1690">
            <v>2451.0551256264275</v>
          </cell>
        </row>
        <row r="1691">
          <cell r="A1691">
            <v>728</v>
          </cell>
          <cell r="B1691" t="str">
            <v>Sudha Palani</v>
          </cell>
          <cell r="C1691" t="str">
            <v>D'Souza &amp; Associates, Inc</v>
          </cell>
          <cell r="D1691" t="str">
            <v>9D</v>
          </cell>
          <cell r="E1691" t="str">
            <v>Demo Entry</v>
          </cell>
          <cell r="F1691" t="str">
            <v>Operations</v>
          </cell>
          <cell r="G1691" t="str">
            <v>Process Associate</v>
          </cell>
          <cell r="H1691" t="str">
            <v>Operations</v>
          </cell>
          <cell r="I1691" t="str">
            <v>Direct</v>
          </cell>
          <cell r="J1691" t="str">
            <v>Fresher</v>
          </cell>
          <cell r="K1691"/>
          <cell r="L1691">
            <v>1918</v>
          </cell>
          <cell r="M1691">
            <v>300</v>
          </cell>
          <cell r="N1691">
            <v>23</v>
          </cell>
          <cell r="O1691">
            <v>0.27797101449275363</v>
          </cell>
          <cell r="P1691">
            <v>0.41411834225388927</v>
          </cell>
          <cell r="Q1691">
            <v>45839</v>
          </cell>
          <cell r="R1691">
            <v>13920</v>
          </cell>
          <cell r="S1691">
            <v>0.41411834225388927</v>
          </cell>
          <cell r="T1691">
            <v>5764.5273241741388</v>
          </cell>
        </row>
        <row r="1692">
          <cell r="A1692">
            <v>728</v>
          </cell>
          <cell r="B1692" t="str">
            <v>Sudha Palani</v>
          </cell>
          <cell r="C1692" t="str">
            <v>D'Souza &amp; Associates, Inc</v>
          </cell>
          <cell r="D1692" t="str">
            <v>9D</v>
          </cell>
          <cell r="E1692" t="str">
            <v>Eligibility Verification</v>
          </cell>
          <cell r="F1692" t="str">
            <v>Operations</v>
          </cell>
          <cell r="G1692" t="str">
            <v>Process Associate</v>
          </cell>
          <cell r="H1692" t="str">
            <v>Operations</v>
          </cell>
          <cell r="I1692" t="str">
            <v>Direct</v>
          </cell>
          <cell r="J1692" t="str">
            <v>Fresher</v>
          </cell>
          <cell r="K1692"/>
          <cell r="L1692">
            <v>949</v>
          </cell>
          <cell r="M1692">
            <v>150</v>
          </cell>
          <cell r="N1692">
            <v>23</v>
          </cell>
          <cell r="O1692">
            <v>0.27507246376811595</v>
          </cell>
          <cell r="P1692">
            <v>0.40980011136490191</v>
          </cell>
          <cell r="Q1692">
            <v>45839</v>
          </cell>
          <cell r="R1692">
            <v>13920</v>
          </cell>
          <cell r="S1692">
            <v>0.40980011136490191</v>
          </cell>
          <cell r="T1692">
            <v>5704.4175501994341</v>
          </cell>
        </row>
        <row r="1693">
          <cell r="A1693">
            <v>495</v>
          </cell>
          <cell r="B1693" t="str">
            <v>Panbarasu Sambath</v>
          </cell>
          <cell r="C1693" t="str">
            <v>D'Souza &amp; Associates, Inc</v>
          </cell>
          <cell r="D1693" t="str">
            <v>9D</v>
          </cell>
          <cell r="E1693" t="str">
            <v>Charges</v>
          </cell>
          <cell r="F1693" t="str">
            <v>Operations</v>
          </cell>
          <cell r="G1693" t="str">
            <v>Process Associate</v>
          </cell>
          <cell r="H1693" t="str">
            <v>Operations</v>
          </cell>
          <cell r="I1693" t="str">
            <v>Direct</v>
          </cell>
          <cell r="J1693" t="str">
            <v>Fresher</v>
          </cell>
          <cell r="K1693"/>
          <cell r="L1693">
            <v>997</v>
          </cell>
          <cell r="M1693">
            <v>380</v>
          </cell>
          <cell r="N1693">
            <v>23</v>
          </cell>
          <cell r="O1693">
            <v>0.11407322654462243</v>
          </cell>
          <cell r="P1693">
            <v>0.15972734739389693</v>
          </cell>
          <cell r="Q1693">
            <v>45839</v>
          </cell>
          <cell r="R1693">
            <v>16289</v>
          </cell>
          <cell r="S1693">
            <v>0.15972734739389693</v>
          </cell>
          <cell r="T1693">
            <v>2601.7987616991873</v>
          </cell>
        </row>
        <row r="1694">
          <cell r="A1694">
            <v>495</v>
          </cell>
          <cell r="B1694" t="str">
            <v>Panbarasu Sambath</v>
          </cell>
          <cell r="C1694" t="str">
            <v>D'Souza &amp; Associates, Inc</v>
          </cell>
          <cell r="D1694" t="str">
            <v>9D</v>
          </cell>
          <cell r="E1694" t="str">
            <v>Payment Posting - ERA</v>
          </cell>
          <cell r="F1694" t="str">
            <v>Operations</v>
          </cell>
          <cell r="G1694" t="str">
            <v>Process Associate</v>
          </cell>
          <cell r="H1694" t="str">
            <v>Operations</v>
          </cell>
          <cell r="I1694" t="str">
            <v>Direct</v>
          </cell>
          <cell r="J1694" t="str">
            <v>Fresher</v>
          </cell>
          <cell r="K1694"/>
          <cell r="L1694">
            <v>11098</v>
          </cell>
          <cell r="M1694">
            <v>2000</v>
          </cell>
          <cell r="N1694">
            <v>23</v>
          </cell>
          <cell r="O1694">
            <v>0.24126086956521742</v>
          </cell>
          <cell r="P1694">
            <v>0.3378177324590963</v>
          </cell>
          <cell r="Q1694">
            <v>45839</v>
          </cell>
          <cell r="R1694">
            <v>16289</v>
          </cell>
          <cell r="S1694">
            <v>0.3378177324590963</v>
          </cell>
          <cell r="T1694">
            <v>5502.7130440262199</v>
          </cell>
        </row>
        <row r="1695">
          <cell r="A1695">
            <v>495</v>
          </cell>
          <cell r="B1695" t="str">
            <v>Panbarasu Sambath</v>
          </cell>
          <cell r="C1695" t="str">
            <v>D'Souza &amp; Associates, Inc</v>
          </cell>
          <cell r="D1695" t="str">
            <v>9D</v>
          </cell>
          <cell r="E1695" t="str">
            <v>Payment Posting - Manual</v>
          </cell>
          <cell r="F1695" t="str">
            <v>Operations</v>
          </cell>
          <cell r="G1695" t="str">
            <v>Process Associate</v>
          </cell>
          <cell r="H1695" t="str">
            <v>Operations</v>
          </cell>
          <cell r="I1695" t="str">
            <v>Direct</v>
          </cell>
          <cell r="J1695" t="str">
            <v>Fresher</v>
          </cell>
          <cell r="K1695"/>
          <cell r="L1695">
            <v>3714</v>
          </cell>
          <cell r="M1695">
            <v>450</v>
          </cell>
          <cell r="N1695">
            <v>23</v>
          </cell>
          <cell r="O1695">
            <v>0.35884057971014494</v>
          </cell>
          <cell r="P1695">
            <v>0.50245492014700688</v>
          </cell>
          <cell r="Q1695">
            <v>45839</v>
          </cell>
          <cell r="R1695">
            <v>16289</v>
          </cell>
          <cell r="S1695">
            <v>0.50245492014700688</v>
          </cell>
          <cell r="T1695">
            <v>8184.4881942745951</v>
          </cell>
        </row>
        <row r="1696">
          <cell r="A1696">
            <v>662</v>
          </cell>
          <cell r="B1696" t="str">
            <v>Subhasri Sankar</v>
          </cell>
          <cell r="C1696" t="str">
            <v>Your Docs In</v>
          </cell>
          <cell r="D1696" t="str">
            <v>38YD</v>
          </cell>
          <cell r="E1696" t="str">
            <v>Checked Patient Payment</v>
          </cell>
          <cell r="F1696" t="str">
            <v>Operations</v>
          </cell>
          <cell r="G1696" t="str">
            <v>Process Associate</v>
          </cell>
          <cell r="H1696" t="str">
            <v>Operations</v>
          </cell>
          <cell r="I1696" t="str">
            <v>Direct</v>
          </cell>
          <cell r="J1696" t="str">
            <v>Fresher</v>
          </cell>
          <cell r="K1696"/>
          <cell r="L1696">
            <v>605</v>
          </cell>
          <cell r="M1696">
            <v>150</v>
          </cell>
          <cell r="N1696">
            <v>23</v>
          </cell>
          <cell r="O1696">
            <v>0.17536231884057971</v>
          </cell>
          <cell r="P1696">
            <v>0.24550442087836158</v>
          </cell>
          <cell r="Q1696">
            <v>45839</v>
          </cell>
          <cell r="R1696">
            <v>26880</v>
          </cell>
          <cell r="S1696">
            <v>0.24550442087836158</v>
          </cell>
          <cell r="T1696">
            <v>6599.1588332103593</v>
          </cell>
        </row>
        <row r="1697">
          <cell r="A1697">
            <v>662</v>
          </cell>
          <cell r="B1697" t="str">
            <v>Subhasri Sankar</v>
          </cell>
          <cell r="C1697" t="str">
            <v>Your Docs In</v>
          </cell>
          <cell r="D1697" t="str">
            <v>38YD</v>
          </cell>
          <cell r="E1697" t="str">
            <v>Credit Balance</v>
          </cell>
          <cell r="F1697" t="str">
            <v>Operations</v>
          </cell>
          <cell r="G1697" t="str">
            <v>Process Associate</v>
          </cell>
          <cell r="H1697" t="str">
            <v>Operations</v>
          </cell>
          <cell r="I1697" t="str">
            <v>Direct</v>
          </cell>
          <cell r="J1697" t="str">
            <v>Fresher</v>
          </cell>
          <cell r="K1697"/>
          <cell r="L1697">
            <v>88</v>
          </cell>
          <cell r="M1697">
            <v>68</v>
          </cell>
          <cell r="N1697">
            <v>23</v>
          </cell>
          <cell r="O1697">
            <v>5.6265984654731462E-2</v>
          </cell>
          <cell r="P1697">
            <v>7.8771471939581256E-2</v>
          </cell>
          <cell r="Q1697">
            <v>45839</v>
          </cell>
          <cell r="R1697">
            <v>26880</v>
          </cell>
          <cell r="S1697">
            <v>7.8771471939581256E-2</v>
          </cell>
          <cell r="T1697">
            <v>2117.3771657359443</v>
          </cell>
        </row>
        <row r="1698">
          <cell r="A1698">
            <v>662</v>
          </cell>
          <cell r="B1698" t="str">
            <v>Subhasri Sankar</v>
          </cell>
          <cell r="C1698" t="str">
            <v>Your Docs In</v>
          </cell>
          <cell r="D1698" t="str">
            <v>38YD</v>
          </cell>
          <cell r="E1698" t="str">
            <v>Credit Balance</v>
          </cell>
          <cell r="F1698" t="str">
            <v>Operations</v>
          </cell>
          <cell r="G1698" t="str">
            <v>Process Associate</v>
          </cell>
          <cell r="H1698" t="str">
            <v>Operations</v>
          </cell>
          <cell r="I1698" t="str">
            <v>Direct</v>
          </cell>
          <cell r="J1698" t="str">
            <v>Fresher</v>
          </cell>
          <cell r="K1698"/>
          <cell r="L1698">
            <v>205</v>
          </cell>
          <cell r="M1698">
            <v>150</v>
          </cell>
          <cell r="N1698">
            <v>23</v>
          </cell>
          <cell r="O1698">
            <v>5.9420289855072465E-2</v>
          </cell>
          <cell r="P1698">
            <v>8.3187448396800215E-2</v>
          </cell>
          <cell r="Q1698">
            <v>45839</v>
          </cell>
          <cell r="R1698">
            <v>26880</v>
          </cell>
          <cell r="S1698">
            <v>8.3187448396800215E-2</v>
          </cell>
          <cell r="T1698">
            <v>2236.0786129059898</v>
          </cell>
        </row>
        <row r="1699">
          <cell r="A1699">
            <v>662</v>
          </cell>
          <cell r="B1699" t="str">
            <v>Subhasri Sankar</v>
          </cell>
          <cell r="C1699" t="str">
            <v>Your Docs In</v>
          </cell>
          <cell r="D1699" t="str">
            <v>38YD</v>
          </cell>
          <cell r="E1699" t="str">
            <v>Patient Payment</v>
          </cell>
          <cell r="F1699" t="str">
            <v>Operations</v>
          </cell>
          <cell r="G1699" t="str">
            <v>Process Associate</v>
          </cell>
          <cell r="H1699" t="str">
            <v>Operations</v>
          </cell>
          <cell r="I1699" t="str">
            <v>Direct</v>
          </cell>
          <cell r="J1699" t="str">
            <v>Fresher</v>
          </cell>
          <cell r="K1699"/>
          <cell r="L1699">
            <v>120</v>
          </cell>
          <cell r="M1699">
            <v>150</v>
          </cell>
          <cell r="N1699">
            <v>23</v>
          </cell>
          <cell r="O1699">
            <v>3.4782608695652174E-2</v>
          </cell>
          <cell r="P1699">
            <v>4.8695091744468413E-2</v>
          </cell>
          <cell r="Q1699">
            <v>45839</v>
          </cell>
          <cell r="R1699">
            <v>26880</v>
          </cell>
          <cell r="S1699">
            <v>4.8695091744468413E-2</v>
          </cell>
          <cell r="T1699">
            <v>1308.924066091311</v>
          </cell>
        </row>
        <row r="1700">
          <cell r="A1700">
            <v>662</v>
          </cell>
          <cell r="B1700" t="str">
            <v>Subhasri Sankar</v>
          </cell>
          <cell r="C1700" t="str">
            <v>Your Docs In</v>
          </cell>
          <cell r="D1700" t="str">
            <v>38YD</v>
          </cell>
          <cell r="E1700" t="str">
            <v>Payment Posting - ERA</v>
          </cell>
          <cell r="F1700" t="str">
            <v>Operations</v>
          </cell>
          <cell r="G1700" t="str">
            <v>Process Associate</v>
          </cell>
          <cell r="H1700" t="str">
            <v>Operations</v>
          </cell>
          <cell r="I1700" t="str">
            <v>Direct</v>
          </cell>
          <cell r="J1700" t="str">
            <v>Fresher</v>
          </cell>
          <cell r="K1700"/>
          <cell r="L1700">
            <v>2846</v>
          </cell>
          <cell r="M1700">
            <v>800</v>
          </cell>
          <cell r="N1700">
            <v>23</v>
          </cell>
          <cell r="O1700">
            <v>0.15467391304347827</v>
          </cell>
          <cell r="P1700">
            <v>0.216540986101183</v>
          </cell>
          <cell r="Q1700">
            <v>45839</v>
          </cell>
          <cell r="R1700">
            <v>26880</v>
          </cell>
          <cell r="S1700">
            <v>0.216540986101183</v>
          </cell>
          <cell r="T1700">
            <v>5820.6217063997992</v>
          </cell>
        </row>
        <row r="1701">
          <cell r="A1701">
            <v>662</v>
          </cell>
          <cell r="B1701" t="str">
            <v>Subhasri Sankar</v>
          </cell>
          <cell r="C1701" t="str">
            <v>Your Docs In</v>
          </cell>
          <cell r="D1701" t="str">
            <v>38YD</v>
          </cell>
          <cell r="E1701" t="str">
            <v>Payment Posting - Manual</v>
          </cell>
          <cell r="F1701" t="str">
            <v>Operations</v>
          </cell>
          <cell r="G1701" t="str">
            <v>Process Associate</v>
          </cell>
          <cell r="H1701" t="str">
            <v>Operations</v>
          </cell>
          <cell r="I1701" t="str">
            <v>Direct</v>
          </cell>
          <cell r="J1701" t="str">
            <v>Fresher</v>
          </cell>
          <cell r="K1701"/>
          <cell r="L1701">
            <v>1882</v>
          </cell>
          <cell r="M1701">
            <v>350</v>
          </cell>
          <cell r="N1701">
            <v>23</v>
          </cell>
          <cell r="O1701">
            <v>0.2337888198757764</v>
          </cell>
          <cell r="P1701">
            <v>0.32730058093960557</v>
          </cell>
          <cell r="Q1701">
            <v>45839</v>
          </cell>
          <cell r="R1701">
            <v>26880</v>
          </cell>
          <cell r="S1701">
            <v>0.32730058093960557</v>
          </cell>
          <cell r="T1701">
            <v>8797.8396156565977</v>
          </cell>
        </row>
        <row r="1702">
          <cell r="A1702">
            <v>701</v>
          </cell>
          <cell r="B1702" t="str">
            <v>Kanimozhi Kumar</v>
          </cell>
          <cell r="C1702" t="str">
            <v>eC3 LLC</v>
          </cell>
          <cell r="D1702" t="str">
            <v>3E</v>
          </cell>
          <cell r="E1702" t="str">
            <v>Patient Statement</v>
          </cell>
          <cell r="F1702" t="str">
            <v>Operations</v>
          </cell>
          <cell r="G1702" t="str">
            <v>Process Associate</v>
          </cell>
          <cell r="H1702" t="str">
            <v>Operations</v>
          </cell>
          <cell r="I1702" t="str">
            <v>Direct</v>
          </cell>
          <cell r="J1702" t="str">
            <v>Fresher</v>
          </cell>
          <cell r="K1702"/>
          <cell r="L1702">
            <v>218</v>
          </cell>
          <cell r="M1702">
            <v>200</v>
          </cell>
          <cell r="N1702">
            <v>23</v>
          </cell>
          <cell r="O1702">
            <v>4.739130434782609E-2</v>
          </cell>
          <cell r="P1702">
            <v>0.1029550667926056</v>
          </cell>
          <cell r="Q1702">
            <v>45839</v>
          </cell>
          <cell r="R1702">
            <v>30854.387096774193</v>
          </cell>
          <cell r="S1702">
            <v>0.1029550667926056</v>
          </cell>
          <cell r="T1702">
            <v>3176.6154843932954</v>
          </cell>
        </row>
        <row r="1703">
          <cell r="A1703">
            <v>701</v>
          </cell>
          <cell r="B1703" t="str">
            <v>Kanimozhi Kumar</v>
          </cell>
          <cell r="C1703" t="str">
            <v>eC3 LLC</v>
          </cell>
          <cell r="D1703" t="str">
            <v>3E</v>
          </cell>
          <cell r="E1703" t="str">
            <v>Payment Posting - Manual</v>
          </cell>
          <cell r="F1703" t="str">
            <v>Operations</v>
          </cell>
          <cell r="G1703" t="str">
            <v>Process Associate</v>
          </cell>
          <cell r="H1703" t="str">
            <v>Operations</v>
          </cell>
          <cell r="I1703" t="str">
            <v>Direct</v>
          </cell>
          <cell r="J1703" t="str">
            <v>Fresher</v>
          </cell>
          <cell r="K1703"/>
          <cell r="L1703">
            <v>1662</v>
          </cell>
          <cell r="M1703">
            <v>175</v>
          </cell>
          <cell r="N1703">
            <v>23</v>
          </cell>
          <cell r="O1703">
            <v>0.41291925465838508</v>
          </cell>
          <cell r="P1703">
            <v>0.89704493320739442</v>
          </cell>
          <cell r="Q1703">
            <v>45839</v>
          </cell>
          <cell r="R1703">
            <v>30854.387096774193</v>
          </cell>
          <cell r="S1703">
            <v>0.89704493320739442</v>
          </cell>
          <cell r="T1703">
            <v>27677.771612380897</v>
          </cell>
        </row>
        <row r="1704">
          <cell r="A1704">
            <v>722</v>
          </cell>
          <cell r="B1704" t="str">
            <v>Saicharan Nagarathnam Raj</v>
          </cell>
          <cell r="C1704" t="str">
            <v>D'Souza &amp; Associates, Inc</v>
          </cell>
          <cell r="D1704" t="str">
            <v>9D</v>
          </cell>
          <cell r="E1704" t="str">
            <v>Payment Posting - ERA</v>
          </cell>
          <cell r="F1704" t="str">
            <v>Operations</v>
          </cell>
          <cell r="G1704" t="str">
            <v>Process Associate</v>
          </cell>
          <cell r="H1704" t="str">
            <v>Operations</v>
          </cell>
          <cell r="I1704" t="str">
            <v>Direct</v>
          </cell>
          <cell r="J1704" t="str">
            <v>Fresher</v>
          </cell>
          <cell r="K1704"/>
          <cell r="L1704">
            <v>4719</v>
          </cell>
          <cell r="M1704">
            <v>2000</v>
          </cell>
          <cell r="N1704">
            <v>23</v>
          </cell>
          <cell r="O1704">
            <v>0.10258695652173913</v>
          </cell>
          <cell r="P1704">
            <v>0.20706349245042927</v>
          </cell>
          <cell r="Q1704">
            <v>45839</v>
          </cell>
          <cell r="R1704">
            <v>13920</v>
          </cell>
          <cell r="S1704">
            <v>0.20706349245042927</v>
          </cell>
          <cell r="T1704">
            <v>2882.3238149099752</v>
          </cell>
        </row>
        <row r="1705">
          <cell r="A1705">
            <v>722</v>
          </cell>
          <cell r="B1705" t="str">
            <v>Saicharan Nagarathnam Raj</v>
          </cell>
          <cell r="C1705" t="str">
            <v>D'Souza &amp; Associates, Inc</v>
          </cell>
          <cell r="D1705" t="str">
            <v>9D</v>
          </cell>
          <cell r="E1705" t="str">
            <v>Payment Posting - Manual</v>
          </cell>
          <cell r="F1705" t="str">
            <v>Operations</v>
          </cell>
          <cell r="G1705" t="str">
            <v>Process Associate</v>
          </cell>
          <cell r="H1705" t="str">
            <v>Operations</v>
          </cell>
          <cell r="I1705" t="str">
            <v>Direct</v>
          </cell>
          <cell r="J1705" t="str">
            <v>Fresher</v>
          </cell>
          <cell r="K1705"/>
          <cell r="L1705">
            <v>4066</v>
          </cell>
          <cell r="M1705">
            <v>450</v>
          </cell>
          <cell r="N1705">
            <v>23</v>
          </cell>
          <cell r="O1705">
            <v>0.39285024154589371</v>
          </cell>
          <cell r="P1705">
            <v>0.79293650754957068</v>
          </cell>
          <cell r="Q1705">
            <v>45839</v>
          </cell>
          <cell r="R1705">
            <v>13920</v>
          </cell>
          <cell r="S1705">
            <v>0.79293650754957068</v>
          </cell>
          <cell r="T1705">
            <v>11037.676185090024</v>
          </cell>
        </row>
        <row r="1706">
          <cell r="A1706">
            <v>732</v>
          </cell>
          <cell r="B1706" t="str">
            <v>Angel Sundarraj</v>
          </cell>
          <cell r="C1706" t="str">
            <v>D'Souza &amp; Associates, Inc</v>
          </cell>
          <cell r="D1706" t="str">
            <v>9D</v>
          </cell>
          <cell r="E1706" t="str">
            <v>Demo Entry</v>
          </cell>
          <cell r="F1706" t="str">
            <v>Operations</v>
          </cell>
          <cell r="G1706" t="str">
            <v>Process Associate</v>
          </cell>
          <cell r="H1706" t="str">
            <v>Operations</v>
          </cell>
          <cell r="I1706" t="str">
            <v>Direct</v>
          </cell>
          <cell r="J1706" t="str">
            <v>Fresher</v>
          </cell>
          <cell r="K1706"/>
          <cell r="L1706">
            <v>3317</v>
          </cell>
          <cell r="M1706">
            <v>300</v>
          </cell>
          <cell r="N1706">
            <v>23</v>
          </cell>
          <cell r="O1706">
            <v>0.48072463768115942</v>
          </cell>
          <cell r="P1706">
            <v>0.96272360515851896</v>
          </cell>
          <cell r="Q1706">
            <v>45839</v>
          </cell>
          <cell r="R1706">
            <v>13920</v>
          </cell>
          <cell r="S1706">
            <v>0.96272360515851896</v>
          </cell>
          <cell r="T1706">
            <v>13401.112583806584</v>
          </cell>
        </row>
        <row r="1707">
          <cell r="A1707">
            <v>732</v>
          </cell>
          <cell r="B1707" t="str">
            <v>Angel Sundarraj</v>
          </cell>
          <cell r="C1707" t="str">
            <v>D'Souza &amp; Associates, Inc</v>
          </cell>
          <cell r="D1707" t="str">
            <v>9D</v>
          </cell>
          <cell r="E1707" t="str">
            <v>Payment Posting - ERA</v>
          </cell>
          <cell r="F1707" t="str">
            <v>Operations</v>
          </cell>
          <cell r="G1707" t="str">
            <v>Process Associate</v>
          </cell>
          <cell r="H1707" t="str">
            <v>Operations</v>
          </cell>
          <cell r="I1707" t="str">
            <v>Direct</v>
          </cell>
          <cell r="J1707" t="str">
            <v>Fresher</v>
          </cell>
          <cell r="K1707"/>
          <cell r="L1707">
            <v>74</v>
          </cell>
          <cell r="M1707">
            <v>2000</v>
          </cell>
          <cell r="N1707">
            <v>23</v>
          </cell>
          <cell r="O1707">
            <v>1.608695652173913E-3</v>
          </cell>
          <cell r="P1707">
            <v>3.2216557181970334E-3</v>
          </cell>
          <cell r="Q1707">
            <v>45839</v>
          </cell>
          <cell r="R1707">
            <v>13920</v>
          </cell>
          <cell r="S1707">
            <v>3.2216557181970334E-3</v>
          </cell>
          <cell r="T1707">
            <v>44.845447597302709</v>
          </cell>
        </row>
        <row r="1708">
          <cell r="A1708">
            <v>732</v>
          </cell>
          <cell r="B1708" t="str">
            <v>Angel Sundarraj</v>
          </cell>
          <cell r="C1708" t="str">
            <v>D'Souza &amp; Associates, Inc</v>
          </cell>
          <cell r="D1708" t="str">
            <v>9D</v>
          </cell>
          <cell r="E1708" t="str">
            <v>Payment Posting - Manual</v>
          </cell>
          <cell r="F1708" t="str">
            <v>Operations</v>
          </cell>
          <cell r="G1708" t="str">
            <v>Process Associate</v>
          </cell>
          <cell r="H1708" t="str">
            <v>Operations</v>
          </cell>
          <cell r="I1708" t="str">
            <v>Direct</v>
          </cell>
          <cell r="J1708" t="str">
            <v>Fresher</v>
          </cell>
          <cell r="K1708"/>
          <cell r="L1708">
            <v>176</v>
          </cell>
          <cell r="M1708">
            <v>450</v>
          </cell>
          <cell r="N1708">
            <v>23</v>
          </cell>
          <cell r="O1708">
            <v>1.7004830917874397E-2</v>
          </cell>
          <cell r="P1708">
            <v>3.405473912328396E-2</v>
          </cell>
          <cell r="Q1708">
            <v>45839</v>
          </cell>
          <cell r="R1708">
            <v>13920</v>
          </cell>
          <cell r="S1708">
            <v>3.405473912328396E-2</v>
          </cell>
          <cell r="T1708">
            <v>474.04196859611272</v>
          </cell>
        </row>
        <row r="1709">
          <cell r="A1709">
            <v>729</v>
          </cell>
          <cell r="B1709" t="str">
            <v>Vijayalakshmi Kumar</v>
          </cell>
          <cell r="C1709" t="str">
            <v>D'Souza &amp; Associates, Inc</v>
          </cell>
          <cell r="D1709" t="str">
            <v>9D</v>
          </cell>
          <cell r="E1709" t="str">
            <v>Charges</v>
          </cell>
          <cell r="F1709" t="str">
            <v>Operations</v>
          </cell>
          <cell r="G1709" t="str">
            <v>Process Associate</v>
          </cell>
          <cell r="H1709" t="str">
            <v>Operations</v>
          </cell>
          <cell r="I1709" t="str">
            <v>Direct</v>
          </cell>
          <cell r="J1709" t="str">
            <v>Fresher</v>
          </cell>
          <cell r="K1709"/>
          <cell r="L1709">
            <v>1091</v>
          </cell>
          <cell r="M1709">
            <v>380</v>
          </cell>
          <cell r="N1709">
            <v>23</v>
          </cell>
          <cell r="O1709">
            <v>0.1248283752860412</v>
          </cell>
          <cell r="P1709">
            <v>0.2127590420967784</v>
          </cell>
          <cell r="Q1709">
            <v>45839</v>
          </cell>
          <cell r="R1709">
            <v>13920</v>
          </cell>
          <cell r="S1709">
            <v>0.2127590420967784</v>
          </cell>
          <cell r="T1709">
            <v>2961.6058659871555</v>
          </cell>
        </row>
        <row r="1710">
          <cell r="A1710">
            <v>729</v>
          </cell>
          <cell r="B1710" t="str">
            <v>Vijayalakshmi Kumar</v>
          </cell>
          <cell r="C1710" t="str">
            <v>D'Souza &amp; Associates, Inc</v>
          </cell>
          <cell r="D1710" t="str">
            <v>9D</v>
          </cell>
          <cell r="E1710" t="str">
            <v>Demo Entry</v>
          </cell>
          <cell r="F1710" t="str">
            <v>Operations</v>
          </cell>
          <cell r="G1710" t="str">
            <v>Process Associate</v>
          </cell>
          <cell r="H1710" t="str">
            <v>Operations</v>
          </cell>
          <cell r="I1710" t="str">
            <v>Direct</v>
          </cell>
          <cell r="J1710" t="str">
            <v>Fresher</v>
          </cell>
          <cell r="K1710"/>
          <cell r="L1710">
            <v>2171</v>
          </cell>
          <cell r="M1710">
            <v>300</v>
          </cell>
          <cell r="N1710">
            <v>23</v>
          </cell>
          <cell r="O1710">
            <v>0.31463768115942026</v>
          </cell>
          <cell r="P1710">
            <v>0.53627239397800253</v>
          </cell>
          <cell r="Q1710">
            <v>45839</v>
          </cell>
          <cell r="R1710">
            <v>13920</v>
          </cell>
          <cell r="S1710">
            <v>0.53627239397800253</v>
          </cell>
          <cell r="T1710">
            <v>7464.9117241737949</v>
          </cell>
        </row>
        <row r="1711">
          <cell r="A1711">
            <v>729</v>
          </cell>
          <cell r="B1711" t="str">
            <v>Vijayalakshmi Kumar</v>
          </cell>
          <cell r="C1711" t="str">
            <v>D'Souza &amp; Associates, Inc</v>
          </cell>
          <cell r="D1711" t="str">
            <v>9D</v>
          </cell>
          <cell r="E1711" t="str">
            <v>Eligibility Verification</v>
          </cell>
          <cell r="F1711" t="str">
            <v>Operations</v>
          </cell>
          <cell r="G1711" t="str">
            <v>Process Associate</v>
          </cell>
          <cell r="H1711" t="str">
            <v>Operations</v>
          </cell>
          <cell r="I1711" t="str">
            <v>Direct</v>
          </cell>
          <cell r="J1711" t="str">
            <v>Fresher</v>
          </cell>
          <cell r="K1711"/>
          <cell r="L1711">
            <v>508</v>
          </cell>
          <cell r="M1711">
            <v>150</v>
          </cell>
          <cell r="N1711">
            <v>23</v>
          </cell>
          <cell r="O1711">
            <v>0.14724637681159419</v>
          </cell>
          <cell r="P1711">
            <v>0.25096856392521905</v>
          </cell>
          <cell r="Q1711">
            <v>45839</v>
          </cell>
          <cell r="R1711">
            <v>13920</v>
          </cell>
          <cell r="S1711">
            <v>0.25096856392521905</v>
          </cell>
          <cell r="T1711">
            <v>3493.4824098390491</v>
          </cell>
        </row>
        <row r="1712">
          <cell r="A1712">
            <v>726</v>
          </cell>
          <cell r="B1712" t="str">
            <v>sangeetha Ellappan</v>
          </cell>
          <cell r="C1712" t="str">
            <v>D'Souza &amp; Associates, Inc</v>
          </cell>
          <cell r="D1712" t="str">
            <v>9D</v>
          </cell>
          <cell r="E1712" t="str">
            <v>Charges</v>
          </cell>
          <cell r="F1712" t="str">
            <v>Operations</v>
          </cell>
          <cell r="G1712" t="str">
            <v>Process Associate</v>
          </cell>
          <cell r="H1712" t="str">
            <v>Operations</v>
          </cell>
          <cell r="I1712" t="str">
            <v>Direct</v>
          </cell>
          <cell r="J1712" t="str">
            <v>Fresher</v>
          </cell>
          <cell r="K1712"/>
          <cell r="L1712">
            <v>7901</v>
          </cell>
          <cell r="M1712">
            <v>380</v>
          </cell>
          <cell r="N1712">
            <v>23</v>
          </cell>
          <cell r="O1712">
            <v>0.90400457665903888</v>
          </cell>
          <cell r="P1712">
            <v>1</v>
          </cell>
          <cell r="Q1712">
            <v>45839</v>
          </cell>
          <cell r="R1712">
            <v>13920</v>
          </cell>
          <cell r="S1712">
            <v>1</v>
          </cell>
          <cell r="T1712">
            <v>13920</v>
          </cell>
        </row>
        <row r="1713">
          <cell r="A1713">
            <v>723</v>
          </cell>
          <cell r="B1713" t="str">
            <v>Vijay Iyyappan</v>
          </cell>
          <cell r="C1713" t="str">
            <v>D'Souza &amp; Associates, Inc</v>
          </cell>
          <cell r="D1713" t="str">
            <v>9D</v>
          </cell>
          <cell r="E1713" t="str">
            <v>Charges</v>
          </cell>
          <cell r="F1713" t="str">
            <v>Operations</v>
          </cell>
          <cell r="G1713" t="str">
            <v>Process Associate</v>
          </cell>
          <cell r="H1713" t="str">
            <v>Operations</v>
          </cell>
          <cell r="I1713" t="str">
            <v>Direct</v>
          </cell>
          <cell r="J1713" t="str">
            <v>Fresher</v>
          </cell>
          <cell r="K1713"/>
          <cell r="L1713">
            <v>610</v>
          </cell>
          <cell r="M1713">
            <v>380</v>
          </cell>
          <cell r="N1713">
            <v>23</v>
          </cell>
          <cell r="O1713">
            <v>6.9794050343249439E-2</v>
          </cell>
          <cell r="P1713">
            <v>0.41530501089324623</v>
          </cell>
          <cell r="Q1713">
            <v>45839</v>
          </cell>
          <cell r="R1713">
            <v>6735.4516129032254</v>
          </cell>
          <cell r="S1713">
            <v>0.41530501089324623</v>
          </cell>
          <cell r="T1713">
            <v>2797.2668054677069</v>
          </cell>
        </row>
        <row r="1714">
          <cell r="A1714">
            <v>723</v>
          </cell>
          <cell r="B1714" t="str">
            <v>Vijay Iyyappan</v>
          </cell>
          <cell r="C1714" t="str">
            <v>D'Souza &amp; Associates, Inc</v>
          </cell>
          <cell r="D1714" t="str">
            <v>9D</v>
          </cell>
          <cell r="E1714" t="str">
            <v>Eligibility Verification</v>
          </cell>
          <cell r="F1714" t="str">
            <v>Operations</v>
          </cell>
          <cell r="G1714" t="str">
            <v>Process Associate</v>
          </cell>
          <cell r="H1714" t="str">
            <v>Operations</v>
          </cell>
          <cell r="I1714" t="str">
            <v>Direct</v>
          </cell>
          <cell r="J1714" t="str">
            <v>Fresher</v>
          </cell>
          <cell r="K1714"/>
          <cell r="L1714">
            <v>339</v>
          </cell>
          <cell r="M1714">
            <v>150</v>
          </cell>
          <cell r="N1714">
            <v>23</v>
          </cell>
          <cell r="O1714">
            <v>9.8260869565217387E-2</v>
          </cell>
          <cell r="P1714">
            <v>0.58469498910675377</v>
          </cell>
          <cell r="Q1714">
            <v>45839</v>
          </cell>
          <cell r="R1714">
            <v>6735.4516129032254</v>
          </cell>
          <cell r="S1714">
            <v>0.58469498910675377</v>
          </cell>
          <cell r="T1714">
            <v>3938.1848074355185</v>
          </cell>
        </row>
        <row r="1715">
          <cell r="A1715">
            <v>489</v>
          </cell>
          <cell r="B1715" t="str">
            <v>Rajalakshmi Sreenivasan</v>
          </cell>
          <cell r="C1715" t="str">
            <v>D'Souza &amp; Associates, Inc</v>
          </cell>
          <cell r="D1715" t="str">
            <v>9D</v>
          </cell>
          <cell r="E1715" t="str">
            <v>Charges</v>
          </cell>
          <cell r="F1715" t="str">
            <v>Operations</v>
          </cell>
          <cell r="G1715" t="str">
            <v>Process Associate</v>
          </cell>
          <cell r="H1715" t="str">
            <v>Operations</v>
          </cell>
          <cell r="I1715" t="str">
            <v>Direct</v>
          </cell>
          <cell r="J1715" t="str">
            <v>Fresher</v>
          </cell>
          <cell r="K1715"/>
          <cell r="L1715">
            <v>5910</v>
          </cell>
          <cell r="M1715">
            <v>380</v>
          </cell>
          <cell r="N1715">
            <v>23</v>
          </cell>
          <cell r="O1715">
            <v>0.67620137299771166</v>
          </cell>
          <cell r="P1715">
            <v>1</v>
          </cell>
          <cell r="Q1715">
            <v>45839</v>
          </cell>
          <cell r="R1715">
            <v>16289</v>
          </cell>
          <cell r="S1715">
            <v>1</v>
          </cell>
          <cell r="T1715">
            <v>16289</v>
          </cell>
        </row>
        <row r="1716">
          <cell r="A1716">
            <v>699</v>
          </cell>
          <cell r="B1716" t="str">
            <v>Anand Rajendran</v>
          </cell>
          <cell r="C1716" t="str">
            <v>Staff a Dental LLC</v>
          </cell>
          <cell r="D1716" t="str">
            <v>14OD</v>
          </cell>
          <cell r="E1716" t="str">
            <v>Payment Posting - ERA</v>
          </cell>
          <cell r="F1716" t="str">
            <v>Operations</v>
          </cell>
          <cell r="G1716" t="str">
            <v>Senior Process Associate</v>
          </cell>
          <cell r="H1716" t="str">
            <v>Operations</v>
          </cell>
          <cell r="I1716" t="str">
            <v>Direct</v>
          </cell>
          <cell r="J1716" t="str">
            <v>Experience</v>
          </cell>
          <cell r="K1716"/>
          <cell r="L1716">
            <v>45</v>
          </cell>
          <cell r="M1716">
            <v>144</v>
          </cell>
          <cell r="N1716">
            <v>23</v>
          </cell>
          <cell r="O1716">
            <v>1.358695652173913E-2</v>
          </cell>
          <cell r="P1716">
            <v>2.1367521367521364E-2</v>
          </cell>
          <cell r="Q1716">
            <v>45839</v>
          </cell>
          <cell r="R1716">
            <v>28560</v>
          </cell>
          <cell r="S1716">
            <v>2.1367521367521364E-2</v>
          </cell>
          <cell r="T1716">
            <v>610.25641025641016</v>
          </cell>
        </row>
        <row r="1717">
          <cell r="A1717">
            <v>699</v>
          </cell>
          <cell r="B1717" t="str">
            <v>Anand Rajendran</v>
          </cell>
          <cell r="C1717" t="str">
            <v>Staff a Dental LLC</v>
          </cell>
          <cell r="D1717" t="str">
            <v>14OD</v>
          </cell>
          <cell r="E1717" t="str">
            <v>Payment Posting - Manual</v>
          </cell>
          <cell r="F1717" t="str">
            <v>Operations</v>
          </cell>
          <cell r="G1717" t="str">
            <v>Senior Process Associate</v>
          </cell>
          <cell r="H1717" t="str">
            <v>Operations</v>
          </cell>
          <cell r="I1717" t="str">
            <v>Direct</v>
          </cell>
          <cell r="J1717" t="str">
            <v>Experience</v>
          </cell>
          <cell r="K1717"/>
          <cell r="L1717">
            <v>1145</v>
          </cell>
          <cell r="M1717">
            <v>80</v>
          </cell>
          <cell r="N1717">
            <v>23</v>
          </cell>
          <cell r="O1717">
            <v>0.62228260869565222</v>
          </cell>
          <cell r="P1717">
            <v>0.9786324786324786</v>
          </cell>
          <cell r="Q1717">
            <v>45839</v>
          </cell>
          <cell r="R1717">
            <v>28560</v>
          </cell>
          <cell r="S1717">
            <v>0.9786324786324786</v>
          </cell>
          <cell r="T1717">
            <v>27949.74358974359</v>
          </cell>
        </row>
        <row r="1718">
          <cell r="A1718">
            <v>754</v>
          </cell>
          <cell r="B1718" t="str">
            <v>Iyappan Arulinbam</v>
          </cell>
          <cell r="C1718" t="str">
            <v>D'Souza &amp; Associates, Inc</v>
          </cell>
          <cell r="D1718" t="str">
            <v>9D</v>
          </cell>
          <cell r="E1718" t="str">
            <v>Payment Posting - ERA</v>
          </cell>
          <cell r="F1718" t="str">
            <v>Operations</v>
          </cell>
          <cell r="G1718" t="str">
            <v>Senior Process Associate</v>
          </cell>
          <cell r="H1718" t="str">
            <v>Operations</v>
          </cell>
          <cell r="I1718" t="str">
            <v>Direct</v>
          </cell>
          <cell r="J1718" t="str">
            <v>Fresher</v>
          </cell>
          <cell r="K1718"/>
          <cell r="L1718">
            <v>5785</v>
          </cell>
          <cell r="M1718">
            <v>2000</v>
          </cell>
          <cell r="N1718">
            <v>23</v>
          </cell>
          <cell r="O1718">
            <v>0.1257608695652174</v>
          </cell>
          <cell r="P1718">
            <v>0.25129714989019475</v>
          </cell>
          <cell r="Q1718">
            <v>45839</v>
          </cell>
          <cell r="R1718">
            <v>27097.548387096773</v>
          </cell>
          <cell r="S1718">
            <v>0.25129714989019475</v>
          </cell>
          <cell r="T1718">
            <v>6809.5366786890627</v>
          </cell>
        </row>
        <row r="1719">
          <cell r="A1719">
            <v>754</v>
          </cell>
          <cell r="B1719" t="str">
            <v>Iyappan Arulinbam</v>
          </cell>
          <cell r="C1719" t="str">
            <v>D'Souza &amp; Associates, Inc</v>
          </cell>
          <cell r="D1719" t="str">
            <v>9D</v>
          </cell>
          <cell r="E1719" t="str">
            <v>Payment Posting - Manual</v>
          </cell>
          <cell r="F1719" t="str">
            <v>Operations</v>
          </cell>
          <cell r="G1719" t="str">
            <v>Senior Process Associate</v>
          </cell>
          <cell r="H1719" t="str">
            <v>Operations</v>
          </cell>
          <cell r="I1719" t="str">
            <v>Direct</v>
          </cell>
          <cell r="J1719" t="str">
            <v>Fresher</v>
          </cell>
          <cell r="K1719"/>
          <cell r="L1719">
            <v>3878</v>
          </cell>
          <cell r="M1719">
            <v>450</v>
          </cell>
          <cell r="N1719">
            <v>23</v>
          </cell>
          <cell r="O1719">
            <v>0.3746859903381643</v>
          </cell>
          <cell r="P1719">
            <v>0.74870285010980531</v>
          </cell>
          <cell r="Q1719">
            <v>45839</v>
          </cell>
          <cell r="R1719">
            <v>27097.548387096773</v>
          </cell>
          <cell r="S1719">
            <v>0.74870285010980531</v>
          </cell>
          <cell r="T1719">
            <v>20288.01170840771</v>
          </cell>
        </row>
        <row r="1720">
          <cell r="A1720">
            <v>450</v>
          </cell>
          <cell r="B1720" t="str">
            <v>Rajesh kumar Joseph</v>
          </cell>
          <cell r="C1720" t="str">
            <v>Your Docs In</v>
          </cell>
          <cell r="D1720" t="str">
            <v>38YD</v>
          </cell>
          <cell r="E1720" t="str">
            <v>Charges</v>
          </cell>
          <cell r="F1720" t="str">
            <v>Operations</v>
          </cell>
          <cell r="G1720" t="str">
            <v>Process Associate</v>
          </cell>
          <cell r="H1720" t="str">
            <v>Operations</v>
          </cell>
          <cell r="I1720" t="str">
            <v>Direct</v>
          </cell>
          <cell r="J1720" t="str">
            <v>Fresher</v>
          </cell>
          <cell r="K1720"/>
          <cell r="L1720">
            <v>876</v>
          </cell>
          <cell r="M1720">
            <v>150</v>
          </cell>
          <cell r="N1720">
            <v>23</v>
          </cell>
          <cell r="O1720">
            <v>0.25391304347826088</v>
          </cell>
          <cell r="P1720">
            <v>0.26988100281126043</v>
          </cell>
          <cell r="Q1720">
            <v>45839</v>
          </cell>
          <cell r="R1720">
            <v>22544</v>
          </cell>
          <cell r="S1720">
            <v>0.26988100281126043</v>
          </cell>
          <cell r="T1720">
            <v>6084.1973273770554</v>
          </cell>
        </row>
        <row r="1721">
          <cell r="A1721">
            <v>450</v>
          </cell>
          <cell r="B1721" t="str">
            <v>Rajesh kumar Joseph</v>
          </cell>
          <cell r="C1721" t="str">
            <v>Your Docs In</v>
          </cell>
          <cell r="D1721" t="str">
            <v>38YD</v>
          </cell>
          <cell r="E1721" t="str">
            <v>Demo Entry</v>
          </cell>
          <cell r="F1721" t="str">
            <v>Operations</v>
          </cell>
          <cell r="G1721" t="str">
            <v>Process Associate</v>
          </cell>
          <cell r="H1721" t="str">
            <v>Operations</v>
          </cell>
          <cell r="I1721" t="str">
            <v>Direct</v>
          </cell>
          <cell r="J1721" t="str">
            <v>Fresher</v>
          </cell>
          <cell r="K1721"/>
          <cell r="L1721">
            <v>627</v>
          </cell>
          <cell r="M1721">
            <v>120</v>
          </cell>
          <cell r="N1721">
            <v>23</v>
          </cell>
          <cell r="O1721">
            <v>0.22717391304347825</v>
          </cell>
          <cell r="P1721">
            <v>0.24146031501521159</v>
          </cell>
          <cell r="Q1721">
            <v>45839</v>
          </cell>
          <cell r="R1721">
            <v>22544</v>
          </cell>
          <cell r="S1721">
            <v>0.24146031501521159</v>
          </cell>
          <cell r="T1721">
            <v>5443.48134170293</v>
          </cell>
        </row>
        <row r="1722">
          <cell r="A1722">
            <v>450</v>
          </cell>
          <cell r="B1722" t="str">
            <v>Rajesh kumar Joseph</v>
          </cell>
          <cell r="C1722" t="str">
            <v>Your Docs In</v>
          </cell>
          <cell r="D1722" t="str">
            <v>38YD</v>
          </cell>
          <cell r="E1722" t="str">
            <v>Demo Entry</v>
          </cell>
          <cell r="F1722" t="str">
            <v>Operations</v>
          </cell>
          <cell r="G1722" t="str">
            <v>Process Associate</v>
          </cell>
          <cell r="H1722" t="str">
            <v>Operations</v>
          </cell>
          <cell r="I1722" t="str">
            <v>Direct</v>
          </cell>
          <cell r="J1722" t="str">
            <v>Fresher</v>
          </cell>
          <cell r="K1722"/>
          <cell r="L1722">
            <v>686</v>
          </cell>
          <cell r="M1722">
            <v>160</v>
          </cell>
          <cell r="N1722">
            <v>23</v>
          </cell>
          <cell r="O1722">
            <v>0.18641304347826085</v>
          </cell>
          <cell r="P1722">
            <v>0.19813609581391761</v>
          </cell>
          <cell r="Q1722">
            <v>45839</v>
          </cell>
          <cell r="R1722">
            <v>22544</v>
          </cell>
          <cell r="S1722">
            <v>0.19813609581391761</v>
          </cell>
          <cell r="T1722">
            <v>4466.7801440289586</v>
          </cell>
        </row>
        <row r="1723">
          <cell r="A1723">
            <v>450</v>
          </cell>
          <cell r="B1723" t="str">
            <v>Rajesh kumar Joseph</v>
          </cell>
          <cell r="C1723" t="str">
            <v>Your Docs In</v>
          </cell>
          <cell r="D1723" t="str">
            <v>38YD</v>
          </cell>
          <cell r="E1723" t="str">
            <v>Eligibility Verification</v>
          </cell>
          <cell r="F1723" t="str">
            <v>Operations</v>
          </cell>
          <cell r="G1723" t="str">
            <v>Process Associate</v>
          </cell>
          <cell r="H1723" t="str">
            <v>Operations</v>
          </cell>
          <cell r="I1723" t="str">
            <v>Direct</v>
          </cell>
          <cell r="J1723" t="str">
            <v>Fresher</v>
          </cell>
          <cell r="K1723"/>
          <cell r="L1723">
            <v>623</v>
          </cell>
          <cell r="M1723">
            <v>150</v>
          </cell>
          <cell r="N1723">
            <v>23</v>
          </cell>
          <cell r="O1723">
            <v>0.18057971014492755</v>
          </cell>
          <cell r="P1723">
            <v>0.19193591866599916</v>
          </cell>
          <cell r="Q1723">
            <v>45839</v>
          </cell>
          <cell r="R1723">
            <v>22544</v>
          </cell>
          <cell r="S1723">
            <v>0.19193591866599916</v>
          </cell>
          <cell r="T1723">
            <v>4327.0033504062849</v>
          </cell>
        </row>
        <row r="1724">
          <cell r="A1724">
            <v>450</v>
          </cell>
          <cell r="B1724" t="str">
            <v>Rajesh kumar Joseph</v>
          </cell>
          <cell r="C1724" t="str">
            <v>Your Docs In</v>
          </cell>
          <cell r="D1724" t="str">
            <v>38YD</v>
          </cell>
          <cell r="E1724" t="str">
            <v>Occmed Correction</v>
          </cell>
          <cell r="F1724" t="str">
            <v>Operations</v>
          </cell>
          <cell r="G1724" t="str">
            <v>Process Associate</v>
          </cell>
          <cell r="H1724" t="str">
            <v>Operations</v>
          </cell>
          <cell r="I1724" t="str">
            <v>Direct</v>
          </cell>
          <cell r="J1724" t="str">
            <v>Fresher</v>
          </cell>
          <cell r="K1724"/>
          <cell r="L1724">
            <v>320</v>
          </cell>
          <cell r="M1724">
            <v>150</v>
          </cell>
          <cell r="N1724">
            <v>23</v>
          </cell>
          <cell r="O1724">
            <v>9.2753623188405798E-2</v>
          </cell>
          <cell r="P1724">
            <v>9.8586667693611116E-2</v>
          </cell>
          <cell r="Q1724">
            <v>45839</v>
          </cell>
          <cell r="R1724">
            <v>22544</v>
          </cell>
          <cell r="S1724">
            <v>9.8586667693611116E-2</v>
          </cell>
          <cell r="T1724">
            <v>2222.5378364847688</v>
          </cell>
        </row>
        <row r="1725">
          <cell r="A1725">
            <v>434</v>
          </cell>
          <cell r="B1725" t="str">
            <v>Pavithra Sukumar</v>
          </cell>
          <cell r="C1725" t="str">
            <v>Comprehensive Sleep Care Center</v>
          </cell>
          <cell r="D1725" t="str">
            <v>34CS</v>
          </cell>
          <cell r="E1725" t="str">
            <v>CIF Emails</v>
          </cell>
          <cell r="F1725" t="str">
            <v>Operations</v>
          </cell>
          <cell r="G1725" t="str">
            <v>Senior AR Caller</v>
          </cell>
          <cell r="H1725" t="str">
            <v>Operations</v>
          </cell>
          <cell r="I1725" t="str">
            <v>Direct</v>
          </cell>
          <cell r="J1725" t="str">
            <v>Experience</v>
          </cell>
          <cell r="K1725"/>
          <cell r="L1725">
            <v>1345</v>
          </cell>
          <cell r="M1725">
            <v>40</v>
          </cell>
          <cell r="N1725">
            <v>23</v>
          </cell>
          <cell r="O1725">
            <v>1.4619565217391304</v>
          </cell>
          <cell r="P1725">
            <v>1</v>
          </cell>
          <cell r="Q1725">
            <v>45839</v>
          </cell>
          <cell r="R1725">
            <v>44850</v>
          </cell>
          <cell r="S1725">
            <v>1</v>
          </cell>
          <cell r="T1725">
            <v>44850</v>
          </cell>
        </row>
        <row r="1726">
          <cell r="A1726">
            <v>759</v>
          </cell>
          <cell r="B1726" t="str">
            <v>Priyanga Baskar Setrock</v>
          </cell>
          <cell r="C1726" t="str">
            <v>Your Docs In</v>
          </cell>
          <cell r="D1726" t="str">
            <v>38YD</v>
          </cell>
          <cell r="E1726" t="str">
            <v>Payment Posting - ERA</v>
          </cell>
          <cell r="F1726" t="str">
            <v>Operations</v>
          </cell>
          <cell r="G1726" t="str">
            <v>Senior Process Associate</v>
          </cell>
          <cell r="H1726" t="str">
            <v>Operations</v>
          </cell>
          <cell r="I1726" t="str">
            <v>Direct</v>
          </cell>
          <cell r="J1726" t="str">
            <v>Experience</v>
          </cell>
          <cell r="K1726"/>
          <cell r="L1726">
            <v>4904</v>
          </cell>
          <cell r="M1726">
            <v>800</v>
          </cell>
          <cell r="N1726">
            <v>23</v>
          </cell>
          <cell r="O1726">
            <v>0.26652173913043475</v>
          </cell>
          <cell r="P1726">
            <v>0.25024785676794775</v>
          </cell>
          <cell r="Q1726">
            <v>45839</v>
          </cell>
          <cell r="R1726">
            <v>36600</v>
          </cell>
          <cell r="S1726">
            <v>0.25024785676794775</v>
          </cell>
          <cell r="T1726">
            <v>9159.0715577068877</v>
          </cell>
        </row>
        <row r="1727">
          <cell r="A1727">
            <v>759</v>
          </cell>
          <cell r="B1727" t="str">
            <v>Priyanga Baskar Setrock</v>
          </cell>
          <cell r="C1727" t="str">
            <v>Your Docs In</v>
          </cell>
          <cell r="D1727" t="str">
            <v>38YD</v>
          </cell>
          <cell r="E1727" t="str">
            <v>Payment Posting - Manual</v>
          </cell>
          <cell r="F1727" t="str">
            <v>Operations</v>
          </cell>
          <cell r="G1727" t="str">
            <v>Senior Process Associate</v>
          </cell>
          <cell r="H1727" t="str">
            <v>Operations</v>
          </cell>
          <cell r="I1727" t="str">
            <v>Direct</v>
          </cell>
          <cell r="J1727" t="str">
            <v>Experience</v>
          </cell>
          <cell r="K1727"/>
          <cell r="L1727">
            <v>6428</v>
          </cell>
          <cell r="M1727">
            <v>350</v>
          </cell>
          <cell r="N1727">
            <v>23</v>
          </cell>
          <cell r="O1727">
            <v>0.79850931677018633</v>
          </cell>
          <cell r="P1727">
            <v>0.7497521432320523</v>
          </cell>
          <cell r="Q1727">
            <v>45839</v>
          </cell>
          <cell r="R1727">
            <v>36600</v>
          </cell>
          <cell r="S1727">
            <v>0.7497521432320523</v>
          </cell>
          <cell r="T1727">
            <v>27440.928442293116</v>
          </cell>
        </row>
        <row r="1728">
          <cell r="A1728">
            <v>448</v>
          </cell>
          <cell r="B1728" t="str">
            <v>Siva Bala Sivasubramanian</v>
          </cell>
          <cell r="C1728" t="str">
            <v>Comprehensive Sleep Care Center</v>
          </cell>
          <cell r="D1728" t="str">
            <v>34CS</v>
          </cell>
          <cell r="E1728" t="str">
            <v>Eligibility Verification</v>
          </cell>
          <cell r="F1728" t="str">
            <v>Operations</v>
          </cell>
          <cell r="G1728" t="str">
            <v>Process Associate</v>
          </cell>
          <cell r="H1728" t="str">
            <v>Operations</v>
          </cell>
          <cell r="I1728" t="str">
            <v>Direct</v>
          </cell>
          <cell r="J1728" t="str">
            <v>Fresher</v>
          </cell>
          <cell r="K1728"/>
          <cell r="L1728">
            <v>1401</v>
          </cell>
          <cell r="M1728">
            <v>60</v>
          </cell>
          <cell r="N1728">
            <v>23</v>
          </cell>
          <cell r="O1728">
            <v>1.0152173913043478</v>
          </cell>
          <cell r="P1728">
            <v>1</v>
          </cell>
          <cell r="Q1728">
            <v>45839</v>
          </cell>
          <cell r="R1728">
            <v>19576</v>
          </cell>
          <cell r="S1728">
            <v>1</v>
          </cell>
          <cell r="T1728">
            <v>19576</v>
          </cell>
        </row>
        <row r="1729">
          <cell r="A1729">
            <v>398</v>
          </cell>
          <cell r="B1729" t="str">
            <v>Ajith Thomas</v>
          </cell>
          <cell r="C1729" t="str">
            <v>Staff a Dental LLC</v>
          </cell>
          <cell r="D1729" t="str">
            <v>14OD</v>
          </cell>
          <cell r="E1729" t="str">
            <v>Claim Submission</v>
          </cell>
          <cell r="F1729" t="str">
            <v>Operations</v>
          </cell>
          <cell r="G1729" t="str">
            <v>Process Associate</v>
          </cell>
          <cell r="H1729" t="str">
            <v>Operations</v>
          </cell>
          <cell r="I1729" t="str">
            <v>Direct</v>
          </cell>
          <cell r="J1729" t="str">
            <v>Fresher</v>
          </cell>
          <cell r="K1729"/>
          <cell r="L1729">
            <v>159</v>
          </cell>
          <cell r="M1729">
            <v>120</v>
          </cell>
          <cell r="N1729">
            <v>23</v>
          </cell>
          <cell r="O1729">
            <v>5.7608695652173914E-2</v>
          </cell>
          <cell r="P1729">
            <v>8.7338643229881913E-2</v>
          </cell>
          <cell r="Q1729">
            <v>45839</v>
          </cell>
          <cell r="R1729">
            <v>20207</v>
          </cell>
          <cell r="S1729">
            <v>8.7338643229881913E-2</v>
          </cell>
          <cell r="T1729">
            <v>1764.8519637462239</v>
          </cell>
        </row>
        <row r="1730">
          <cell r="A1730">
            <v>398</v>
          </cell>
          <cell r="B1730" t="str">
            <v>Ajith Thomas</v>
          </cell>
          <cell r="C1730" t="str">
            <v>Staff a Dental LLC</v>
          </cell>
          <cell r="D1730" t="str">
            <v>14OD</v>
          </cell>
          <cell r="E1730" t="str">
            <v>Payment Posting - ERA</v>
          </cell>
          <cell r="F1730" t="str">
            <v>Operations</v>
          </cell>
          <cell r="G1730" t="str">
            <v>Process Associate</v>
          </cell>
          <cell r="H1730" t="str">
            <v>Operations</v>
          </cell>
          <cell r="I1730" t="str">
            <v>Direct</v>
          </cell>
          <cell r="J1730" t="str">
            <v>Fresher</v>
          </cell>
          <cell r="K1730"/>
          <cell r="L1730">
            <v>264</v>
          </cell>
          <cell r="M1730">
            <v>144</v>
          </cell>
          <cell r="N1730">
            <v>23</v>
          </cell>
          <cell r="O1730">
            <v>7.9710144927536225E-2</v>
          </cell>
          <cell r="P1730">
            <v>0.12084592145015106</v>
          </cell>
          <cell r="Q1730">
            <v>45839</v>
          </cell>
          <cell r="R1730">
            <v>20207</v>
          </cell>
          <cell r="S1730">
            <v>0.12084592145015106</v>
          </cell>
          <cell r="T1730">
            <v>2441.9335347432025</v>
          </cell>
        </row>
        <row r="1731">
          <cell r="A1731">
            <v>398</v>
          </cell>
          <cell r="B1731" t="str">
            <v>Ajith Thomas</v>
          </cell>
          <cell r="C1731" t="str">
            <v>Staff a Dental LLC</v>
          </cell>
          <cell r="D1731" t="str">
            <v>14OD</v>
          </cell>
          <cell r="E1731" t="str">
            <v>Payment Posting - Manual</v>
          </cell>
          <cell r="F1731" t="str">
            <v>Operations</v>
          </cell>
          <cell r="G1731" t="str">
            <v>Process Associate</v>
          </cell>
          <cell r="H1731" t="str">
            <v>Operations</v>
          </cell>
          <cell r="I1731" t="str">
            <v>Direct</v>
          </cell>
          <cell r="J1731" t="str">
            <v>Fresher</v>
          </cell>
          <cell r="K1731"/>
          <cell r="L1731">
            <v>961</v>
          </cell>
          <cell r="M1731">
            <v>80</v>
          </cell>
          <cell r="N1731">
            <v>23</v>
          </cell>
          <cell r="O1731">
            <v>0.52228260869565213</v>
          </cell>
          <cell r="P1731">
            <v>0.79181543531996712</v>
          </cell>
          <cell r="Q1731">
            <v>45839</v>
          </cell>
          <cell r="R1731">
            <v>20207</v>
          </cell>
          <cell r="S1731">
            <v>0.79181543531996712</v>
          </cell>
          <cell r="T1731">
            <v>16000.214501510576</v>
          </cell>
        </row>
        <row r="1732">
          <cell r="A1732">
            <v>422</v>
          </cell>
          <cell r="B1732" t="str">
            <v>Monisha Sundar</v>
          </cell>
          <cell r="C1732" t="str">
            <v>Comprehensive Sleep Care Center</v>
          </cell>
          <cell r="D1732" t="str">
            <v>34CS</v>
          </cell>
          <cell r="E1732" t="str">
            <v>Eligibility Verification</v>
          </cell>
          <cell r="F1732" t="str">
            <v>Operations</v>
          </cell>
          <cell r="G1732" t="str">
            <v>Senior AR Analyst</v>
          </cell>
          <cell r="H1732" t="str">
            <v>Operations</v>
          </cell>
          <cell r="I1732" t="str">
            <v>Direct</v>
          </cell>
          <cell r="J1732" t="str">
            <v>Experience</v>
          </cell>
          <cell r="K1732"/>
          <cell r="L1732">
            <v>1365</v>
          </cell>
          <cell r="M1732">
            <v>60</v>
          </cell>
          <cell r="N1732">
            <v>23</v>
          </cell>
          <cell r="O1732">
            <v>0.98913043478260865</v>
          </cell>
          <cell r="P1732">
            <v>1</v>
          </cell>
          <cell r="Q1732">
            <v>45839</v>
          </cell>
          <cell r="R1732">
            <v>36766</v>
          </cell>
          <cell r="S1732">
            <v>1</v>
          </cell>
          <cell r="T1732">
            <v>36766</v>
          </cell>
        </row>
        <row r="1733">
          <cell r="A1733">
            <v>564</v>
          </cell>
          <cell r="B1733" t="str">
            <v>Sangeethapriya Selvaganeshan</v>
          </cell>
          <cell r="C1733" t="str">
            <v>Genesis Care</v>
          </cell>
          <cell r="D1733" t="str">
            <v>42GC</v>
          </cell>
          <cell r="E1733" t="str">
            <v>Ar Calling</v>
          </cell>
          <cell r="F1733" t="str">
            <v>Operations</v>
          </cell>
          <cell r="G1733" t="str">
            <v>Senior AR Caller</v>
          </cell>
          <cell r="H1733" t="str">
            <v>Operations</v>
          </cell>
          <cell r="I1733" t="str">
            <v>Direct</v>
          </cell>
          <cell r="J1733" t="str">
            <v>Experience</v>
          </cell>
          <cell r="K1733"/>
          <cell r="L1733">
            <v>868</v>
          </cell>
          <cell r="M1733">
            <v>40</v>
          </cell>
          <cell r="N1733">
            <v>23</v>
          </cell>
          <cell r="O1733">
            <v>0.94347826086956521</v>
          </cell>
          <cell r="P1733">
            <v>1</v>
          </cell>
          <cell r="Q1733">
            <v>45839</v>
          </cell>
          <cell r="R1733">
            <v>43600</v>
          </cell>
          <cell r="S1733">
            <v>1</v>
          </cell>
          <cell r="T1733">
            <v>43600</v>
          </cell>
        </row>
        <row r="1734">
          <cell r="A1734">
            <v>637</v>
          </cell>
          <cell r="B1734" t="str">
            <v>Sharmila Suhesh kumar</v>
          </cell>
          <cell r="C1734" t="str">
            <v>Premier Sleep Disorders Center</v>
          </cell>
          <cell r="D1734" t="str">
            <v>49PSDC</v>
          </cell>
          <cell r="E1734" t="str">
            <v>Ar Calling</v>
          </cell>
          <cell r="F1734" t="str">
            <v>Operations</v>
          </cell>
          <cell r="G1734" t="str">
            <v>Senior AR Analyst</v>
          </cell>
          <cell r="H1734" t="str">
            <v>Operations</v>
          </cell>
          <cell r="I1734" t="str">
            <v>Direct</v>
          </cell>
          <cell r="J1734" t="str">
            <v>Experience</v>
          </cell>
          <cell r="K1734"/>
          <cell r="L1734">
            <v>902</v>
          </cell>
          <cell r="M1734">
            <v>40</v>
          </cell>
          <cell r="N1734">
            <v>23</v>
          </cell>
          <cell r="O1734">
            <v>0.98043478260869565</v>
          </cell>
          <cell r="P1734">
            <v>0.96453395116734986</v>
          </cell>
          <cell r="Q1734">
            <v>45839</v>
          </cell>
          <cell r="R1734">
            <v>44600</v>
          </cell>
          <cell r="S1734">
            <v>0.96453395116734986</v>
          </cell>
          <cell r="T1734">
            <v>43018.214222063805</v>
          </cell>
        </row>
        <row r="1735">
          <cell r="A1735">
            <v>637</v>
          </cell>
          <cell r="B1735" t="str">
            <v>Sharmila Suhesh kumar</v>
          </cell>
          <cell r="C1735" t="str">
            <v>Premier Sleep Disorders Center</v>
          </cell>
          <cell r="D1735" t="str">
            <v>49PSDC</v>
          </cell>
          <cell r="E1735" t="str">
            <v>Payment Posting - Manual</v>
          </cell>
          <cell r="F1735" t="str">
            <v>Operations</v>
          </cell>
          <cell r="G1735" t="str">
            <v>Senior AR Analyst</v>
          </cell>
          <cell r="H1735" t="str">
            <v>Operations</v>
          </cell>
          <cell r="I1735" t="str">
            <v>Direct</v>
          </cell>
          <cell r="J1735" t="str">
            <v>Experience</v>
          </cell>
          <cell r="K1735"/>
          <cell r="L1735">
            <v>199</v>
          </cell>
          <cell r="M1735">
            <v>240</v>
          </cell>
          <cell r="N1735">
            <v>23</v>
          </cell>
          <cell r="O1735">
            <v>3.6050724637681164E-2</v>
          </cell>
          <cell r="P1735">
            <v>3.5466048832650157E-2</v>
          </cell>
          <cell r="Q1735">
            <v>45839</v>
          </cell>
          <cell r="R1735">
            <v>44600</v>
          </cell>
          <cell r="S1735">
            <v>3.5466048832650157E-2</v>
          </cell>
          <cell r="T1735">
            <v>1581.7857779361971</v>
          </cell>
        </row>
        <row r="1736">
          <cell r="A1736">
            <v>477</v>
          </cell>
          <cell r="B1736" t="str">
            <v>Sivakumar Kannan</v>
          </cell>
          <cell r="C1736" t="str">
            <v>Your Docs In</v>
          </cell>
          <cell r="D1736" t="str">
            <v>38YD</v>
          </cell>
          <cell r="E1736" t="str">
            <v>Checked Patient Payment</v>
          </cell>
          <cell r="F1736" t="str">
            <v>Operations</v>
          </cell>
          <cell r="G1736" t="str">
            <v>Senior AR Analyst</v>
          </cell>
          <cell r="H1736" t="str">
            <v>Operations</v>
          </cell>
          <cell r="I1736" t="str">
            <v>Direct</v>
          </cell>
          <cell r="J1736" t="str">
            <v>Experience</v>
          </cell>
          <cell r="K1736"/>
          <cell r="L1736">
            <v>725</v>
          </cell>
          <cell r="M1736">
            <v>150</v>
          </cell>
          <cell r="N1736">
            <v>23</v>
          </cell>
          <cell r="O1736">
            <v>0.21014492753623187</v>
          </cell>
          <cell r="P1736">
            <v>0.21053450354563957</v>
          </cell>
          <cell r="Q1736">
            <v>45839</v>
          </cell>
          <cell r="R1736">
            <v>44760.76666666667</v>
          </cell>
          <cell r="S1736">
            <v>0.21053450354563957</v>
          </cell>
          <cell r="T1736">
            <v>9423.6857884888796</v>
          </cell>
        </row>
        <row r="1737">
          <cell r="A1737">
            <v>477</v>
          </cell>
          <cell r="B1737" t="str">
            <v>Sivakumar Kannan</v>
          </cell>
          <cell r="C1737" t="str">
            <v>Your Docs In</v>
          </cell>
          <cell r="D1737" t="str">
            <v>38YD</v>
          </cell>
          <cell r="E1737" t="str">
            <v>Credit Balance</v>
          </cell>
          <cell r="F1737" t="str">
            <v>Operations</v>
          </cell>
          <cell r="G1737" t="str">
            <v>Senior AR Analyst</v>
          </cell>
          <cell r="H1737" t="str">
            <v>Operations</v>
          </cell>
          <cell r="I1737" t="str">
            <v>Direct</v>
          </cell>
          <cell r="J1737" t="str">
            <v>Experience</v>
          </cell>
          <cell r="K1737"/>
          <cell r="L1737">
            <v>349</v>
          </cell>
          <cell r="M1737">
            <v>150</v>
          </cell>
          <cell r="N1737">
            <v>23</v>
          </cell>
          <cell r="O1737">
            <v>0.10115942028985507</v>
          </cell>
          <cell r="P1737">
            <v>0.10134695412059064</v>
          </cell>
          <cell r="Q1737">
            <v>45839</v>
          </cell>
          <cell r="R1737">
            <v>44760.76666666667</v>
          </cell>
          <cell r="S1737">
            <v>0.10134695412059064</v>
          </cell>
          <cell r="T1737">
            <v>4536.3673657691297</v>
          </cell>
        </row>
        <row r="1738">
          <cell r="A1738">
            <v>477</v>
          </cell>
          <cell r="B1738" t="str">
            <v>Sivakumar Kannan</v>
          </cell>
          <cell r="C1738" t="str">
            <v>Your Docs In</v>
          </cell>
          <cell r="D1738" t="str">
            <v>38YD</v>
          </cell>
          <cell r="E1738" t="str">
            <v>Patient Payment</v>
          </cell>
          <cell r="F1738" t="str">
            <v>Operations</v>
          </cell>
          <cell r="G1738" t="str">
            <v>Senior AR Analyst</v>
          </cell>
          <cell r="H1738" t="str">
            <v>Operations</v>
          </cell>
          <cell r="I1738" t="str">
            <v>Direct</v>
          </cell>
          <cell r="J1738" t="str">
            <v>Experience</v>
          </cell>
          <cell r="K1738"/>
          <cell r="L1738">
            <v>2180</v>
          </cell>
          <cell r="M1738">
            <v>150</v>
          </cell>
          <cell r="N1738">
            <v>23</v>
          </cell>
          <cell r="O1738">
            <v>0.63188405797101443</v>
          </cell>
          <cell r="P1738">
            <v>0.63305547273033691</v>
          </cell>
          <cell r="Q1738">
            <v>45839</v>
          </cell>
          <cell r="R1738">
            <v>44760.76666666667</v>
          </cell>
          <cell r="S1738">
            <v>0.63305547273033691</v>
          </cell>
          <cell r="T1738">
            <v>28336.048301938976</v>
          </cell>
        </row>
        <row r="1739">
          <cell r="A1739">
            <v>477</v>
          </cell>
          <cell r="B1739" t="str">
            <v>Sivakumar Kannan</v>
          </cell>
          <cell r="C1739" t="str">
            <v>Your Docs In</v>
          </cell>
          <cell r="D1739" t="str">
            <v>38YD</v>
          </cell>
          <cell r="E1739" t="str">
            <v>Payment Posting - ERA</v>
          </cell>
          <cell r="F1739" t="str">
            <v>Operations</v>
          </cell>
          <cell r="G1739" t="str">
            <v>Senior AR Analyst</v>
          </cell>
          <cell r="H1739" t="str">
            <v>Operations</v>
          </cell>
          <cell r="I1739" t="str">
            <v>Direct</v>
          </cell>
          <cell r="J1739" t="str">
            <v>Experience</v>
          </cell>
          <cell r="K1739"/>
          <cell r="L1739">
            <v>209</v>
          </cell>
          <cell r="M1739">
            <v>800</v>
          </cell>
          <cell r="N1739">
            <v>23</v>
          </cell>
          <cell r="O1739">
            <v>1.1358695652173912E-2</v>
          </cell>
          <cell r="P1739">
            <v>1.1379752907165173E-2</v>
          </cell>
          <cell r="Q1739">
            <v>45839</v>
          </cell>
          <cell r="R1739">
            <v>44760.76666666667</v>
          </cell>
          <cell r="S1739">
            <v>1.1379752907165173E-2</v>
          </cell>
          <cell r="T1739">
            <v>509.36646460194197</v>
          </cell>
        </row>
        <row r="1740">
          <cell r="A1740">
            <v>477</v>
          </cell>
          <cell r="B1740" t="str">
            <v>Sivakumar Kannan</v>
          </cell>
          <cell r="C1740" t="str">
            <v>Your Docs In</v>
          </cell>
          <cell r="D1740" t="str">
            <v>38YD</v>
          </cell>
          <cell r="E1740" t="str">
            <v>Payment Posting - Manual</v>
          </cell>
          <cell r="F1740" t="str">
            <v>Operations</v>
          </cell>
          <cell r="G1740" t="str">
            <v>Senior AR Analyst</v>
          </cell>
          <cell r="H1740" t="str">
            <v>Operations</v>
          </cell>
          <cell r="I1740" t="str">
            <v>Direct</v>
          </cell>
          <cell r="J1740" t="str">
            <v>Experience</v>
          </cell>
          <cell r="K1740"/>
          <cell r="L1740">
            <v>351</v>
          </cell>
          <cell r="M1740">
            <v>350</v>
          </cell>
          <cell r="N1740">
            <v>23</v>
          </cell>
          <cell r="O1740">
            <v>4.3602484472049688E-2</v>
          </cell>
          <cell r="P1740">
            <v>4.3683316696267675E-2</v>
          </cell>
          <cell r="Q1740">
            <v>45839</v>
          </cell>
          <cell r="R1740">
            <v>44760.76666666667</v>
          </cell>
          <cell r="S1740">
            <v>4.3683316696267675E-2</v>
          </cell>
          <cell r="T1740">
            <v>1955.2987458677417</v>
          </cell>
        </row>
        <row r="1741">
          <cell r="A1741">
            <v>64</v>
          </cell>
          <cell r="B1741" t="str">
            <v>Janani Murali</v>
          </cell>
          <cell r="C1741" t="str">
            <v>Physical Therapy &amp; Sports Medicine Center</v>
          </cell>
          <cell r="D1741" t="str">
            <v>31PT</v>
          </cell>
          <cell r="E1741" t="str">
            <v>Ar Non Calling</v>
          </cell>
          <cell r="F1741" t="str">
            <v>Operations</v>
          </cell>
          <cell r="G1741" t="str">
            <v>Senior AR Analyst</v>
          </cell>
          <cell r="H1741" t="str">
            <v>Operations</v>
          </cell>
          <cell r="I1741" t="str">
            <v>Direct</v>
          </cell>
          <cell r="J1741" t="str">
            <v>Experience</v>
          </cell>
          <cell r="K1741"/>
          <cell r="L1741">
            <v>55</v>
          </cell>
          <cell r="M1741">
            <v>64</v>
          </cell>
          <cell r="N1741">
            <v>23</v>
          </cell>
          <cell r="O1741">
            <v>3.7364130434782608E-2</v>
          </cell>
          <cell r="P1741">
            <v>4.3040804918949134E-2</v>
          </cell>
          <cell r="Q1741">
            <v>45839</v>
          </cell>
          <cell r="R1741">
            <v>29750</v>
          </cell>
          <cell r="S1741">
            <v>4.3040804918949134E-2</v>
          </cell>
          <cell r="T1741">
            <v>1280.4639463387368</v>
          </cell>
        </row>
        <row r="1742">
          <cell r="A1742">
            <v>64</v>
          </cell>
          <cell r="B1742" t="str">
            <v>Janani Murali</v>
          </cell>
          <cell r="C1742" t="str">
            <v>Physical Therapy &amp; Sports Medicine Center</v>
          </cell>
          <cell r="D1742" t="str">
            <v>31PT</v>
          </cell>
          <cell r="E1742" t="str">
            <v>Eligibility Verification</v>
          </cell>
          <cell r="F1742" t="str">
            <v>Operations</v>
          </cell>
          <cell r="G1742" t="str">
            <v>Senior AR Analyst</v>
          </cell>
          <cell r="H1742" t="str">
            <v>Operations</v>
          </cell>
          <cell r="I1742" t="str">
            <v>Direct</v>
          </cell>
          <cell r="J1742" t="str">
            <v>Experience</v>
          </cell>
          <cell r="K1742"/>
          <cell r="L1742">
            <v>2675</v>
          </cell>
          <cell r="M1742">
            <v>140</v>
          </cell>
          <cell r="N1742">
            <v>23</v>
          </cell>
          <cell r="O1742">
            <v>0.83074534161490687</v>
          </cell>
          <cell r="P1742">
            <v>0.95695919508105087</v>
          </cell>
          <cell r="Q1742">
            <v>45839</v>
          </cell>
          <cell r="R1742">
            <v>29750</v>
          </cell>
          <cell r="S1742">
            <v>0.95695919508105087</v>
          </cell>
          <cell r="T1742">
            <v>28469.536053661264</v>
          </cell>
        </row>
        <row r="1743">
          <cell r="A1743">
            <v>229</v>
          </cell>
          <cell r="B1743" t="str">
            <v>Mahalakshmi Sekar</v>
          </cell>
          <cell r="C1743" t="str">
            <v>D'Souza &amp; Associates, Inc</v>
          </cell>
          <cell r="D1743" t="str">
            <v>9D</v>
          </cell>
          <cell r="E1743" t="str">
            <v>Payment Posting - ERA</v>
          </cell>
          <cell r="F1743" t="str">
            <v>Operations</v>
          </cell>
          <cell r="G1743" t="str">
            <v>Senior Process Associate</v>
          </cell>
          <cell r="H1743" t="str">
            <v>Operations</v>
          </cell>
          <cell r="I1743" t="str">
            <v>Direct</v>
          </cell>
          <cell r="J1743" t="str">
            <v>Experience</v>
          </cell>
          <cell r="K1743"/>
          <cell r="L1743">
            <v>13609</v>
          </cell>
          <cell r="M1743">
            <v>2000</v>
          </cell>
          <cell r="N1743">
            <v>23</v>
          </cell>
          <cell r="O1743">
            <v>0.29584782608695653</v>
          </cell>
          <cell r="P1743">
            <v>0.53653611119628875</v>
          </cell>
          <cell r="Q1743">
            <v>45839</v>
          </cell>
          <cell r="R1743">
            <v>34751</v>
          </cell>
          <cell r="S1743">
            <v>0.53653611119628875</v>
          </cell>
          <cell r="T1743">
            <v>18645.166400182232</v>
          </cell>
        </row>
        <row r="1744">
          <cell r="A1744">
            <v>229</v>
          </cell>
          <cell r="B1744" t="str">
            <v>Mahalakshmi Sekar</v>
          </cell>
          <cell r="C1744" t="str">
            <v>D'Souza &amp; Associates, Inc</v>
          </cell>
          <cell r="D1744" t="str">
            <v>9D</v>
          </cell>
          <cell r="E1744" t="str">
            <v>Payment Posting - Manual</v>
          </cell>
          <cell r="F1744" t="str">
            <v>Operations</v>
          </cell>
          <cell r="G1744" t="str">
            <v>Senior Process Associate</v>
          </cell>
          <cell r="H1744" t="str">
            <v>Operations</v>
          </cell>
          <cell r="I1744" t="str">
            <v>Direct</v>
          </cell>
          <cell r="J1744" t="str">
            <v>Experience</v>
          </cell>
          <cell r="K1744"/>
          <cell r="L1744">
            <v>2645</v>
          </cell>
          <cell r="M1744">
            <v>450</v>
          </cell>
          <cell r="N1744">
            <v>23</v>
          </cell>
          <cell r="O1744">
            <v>0.25555555555555559</v>
          </cell>
          <cell r="P1744">
            <v>0.46346388880371125</v>
          </cell>
          <cell r="Q1744">
            <v>45839</v>
          </cell>
          <cell r="R1744">
            <v>34751</v>
          </cell>
          <cell r="S1744">
            <v>0.46346388880371125</v>
          </cell>
          <cell r="T1744">
            <v>16105.83359981777</v>
          </cell>
        </row>
        <row r="1745">
          <cell r="A1745">
            <v>408</v>
          </cell>
          <cell r="B1745" t="str">
            <v>Sai Sarrvesh Gopalakrishnan</v>
          </cell>
          <cell r="C1745" t="str">
            <v>Premier Sleep Disorders Center</v>
          </cell>
          <cell r="D1745" t="str">
            <v>49PSDC</v>
          </cell>
          <cell r="E1745" t="str">
            <v>Ar Calling</v>
          </cell>
          <cell r="F1745" t="str">
            <v>Operations</v>
          </cell>
          <cell r="G1745" t="str">
            <v>Senior AR Analyst</v>
          </cell>
          <cell r="H1745" t="str">
            <v>Operations</v>
          </cell>
          <cell r="I1745" t="str">
            <v>Direct</v>
          </cell>
          <cell r="J1745" t="str">
            <v>Experience</v>
          </cell>
          <cell r="K1745"/>
          <cell r="L1745">
            <v>856</v>
          </cell>
          <cell r="M1745">
            <v>40</v>
          </cell>
          <cell r="N1745">
            <v>23</v>
          </cell>
          <cell r="O1745">
            <v>0.93043478260869561</v>
          </cell>
          <cell r="P1745">
            <v>0.90486257928118397</v>
          </cell>
          <cell r="Q1745">
            <v>45839</v>
          </cell>
          <cell r="R1745">
            <v>32502</v>
          </cell>
          <cell r="S1745">
            <v>0.90486257928118397</v>
          </cell>
          <cell r="T1745">
            <v>29409.843551797043</v>
          </cell>
        </row>
        <row r="1746">
          <cell r="A1746">
            <v>408</v>
          </cell>
          <cell r="B1746" t="str">
            <v>Sai Sarrvesh Gopalakrishnan</v>
          </cell>
          <cell r="C1746" t="str">
            <v>Premier Sleep Disorders Center</v>
          </cell>
          <cell r="D1746" t="str">
            <v>49PSDC</v>
          </cell>
          <cell r="E1746" t="str">
            <v>Eligibility Verification</v>
          </cell>
          <cell r="F1746" t="str">
            <v>Operations</v>
          </cell>
          <cell r="G1746" t="str">
            <v>Senior AR Analyst</v>
          </cell>
          <cell r="H1746" t="str">
            <v>Operations</v>
          </cell>
          <cell r="I1746" t="str">
            <v>Direct</v>
          </cell>
          <cell r="J1746" t="str">
            <v>Experience</v>
          </cell>
          <cell r="K1746"/>
          <cell r="L1746">
            <v>90</v>
          </cell>
          <cell r="M1746">
            <v>40</v>
          </cell>
          <cell r="N1746">
            <v>23</v>
          </cell>
          <cell r="O1746">
            <v>9.7826086956521743E-2</v>
          </cell>
          <cell r="P1746">
            <v>9.5137420718816076E-2</v>
          </cell>
          <cell r="Q1746">
            <v>45839</v>
          </cell>
          <cell r="R1746">
            <v>32502</v>
          </cell>
          <cell r="S1746">
            <v>9.5137420718816076E-2</v>
          </cell>
          <cell r="T1746">
            <v>3092.1564482029603</v>
          </cell>
        </row>
        <row r="1747">
          <cell r="A1747">
            <v>746</v>
          </cell>
          <cell r="B1747" t="str">
            <v>Manisha Paulraj</v>
          </cell>
          <cell r="C1747" t="str">
            <v>Univ. Of Delaware</v>
          </cell>
          <cell r="D1747" t="str">
            <v>26UG</v>
          </cell>
          <cell r="E1747" t="str">
            <v>Ar Non Calling</v>
          </cell>
          <cell r="F1747" t="str">
            <v>Operations</v>
          </cell>
          <cell r="G1747" t="str">
            <v>AR Analyst</v>
          </cell>
          <cell r="H1747" t="str">
            <v>Operations</v>
          </cell>
          <cell r="I1747" t="str">
            <v>Direct</v>
          </cell>
          <cell r="J1747" t="str">
            <v>Experience</v>
          </cell>
          <cell r="K1747"/>
          <cell r="L1747">
            <v>704</v>
          </cell>
          <cell r="M1747">
            <v>64</v>
          </cell>
          <cell r="N1747">
            <v>23</v>
          </cell>
          <cell r="O1747">
            <v>0.47826086956521741</v>
          </cell>
          <cell r="P1747">
            <v>0.99611901681759385</v>
          </cell>
          <cell r="Q1747">
            <v>45839</v>
          </cell>
          <cell r="R1747">
            <v>35600</v>
          </cell>
          <cell r="S1747">
            <v>0.99611901681759385</v>
          </cell>
          <cell r="T1747">
            <v>35461.836998706342</v>
          </cell>
        </row>
        <row r="1748">
          <cell r="A1748">
            <v>746</v>
          </cell>
          <cell r="B1748" t="str">
            <v>Manisha Paulraj</v>
          </cell>
          <cell r="C1748" t="str">
            <v>Univ. Of Delaware</v>
          </cell>
          <cell r="D1748" t="str">
            <v>26UG</v>
          </cell>
          <cell r="E1748" t="str">
            <v>transmission</v>
          </cell>
          <cell r="F1748" t="str">
            <v>Operations</v>
          </cell>
          <cell r="G1748" t="str">
            <v>AR Analyst</v>
          </cell>
          <cell r="H1748" t="str">
            <v>Operations</v>
          </cell>
          <cell r="I1748" t="str">
            <v>Direct</v>
          </cell>
          <cell r="J1748" t="str">
            <v>Experience</v>
          </cell>
          <cell r="K1748"/>
          <cell r="L1748">
            <v>6</v>
          </cell>
          <cell r="M1748">
            <v>140</v>
          </cell>
          <cell r="N1748">
            <v>23</v>
          </cell>
          <cell r="O1748">
            <v>1.8633540372670807E-3</v>
          </cell>
          <cell r="P1748">
            <v>3.8809831824062097E-3</v>
          </cell>
          <cell r="Q1748">
            <v>45839</v>
          </cell>
          <cell r="R1748">
            <v>35600</v>
          </cell>
          <cell r="S1748">
            <v>3.8809831824062097E-3</v>
          </cell>
          <cell r="T1748">
            <v>138.16300129366107</v>
          </cell>
        </row>
        <row r="1749">
          <cell r="A1749">
            <v>492</v>
          </cell>
          <cell r="B1749" t="str">
            <v>Meenakshi Sundaram</v>
          </cell>
          <cell r="C1749" t="str">
            <v>Comprehensive Sleep Care Center</v>
          </cell>
          <cell r="D1749" t="str">
            <v>34CS</v>
          </cell>
          <cell r="E1749" t="str">
            <v>Authorization</v>
          </cell>
          <cell r="F1749" t="str">
            <v>Operations</v>
          </cell>
          <cell r="G1749" t="str">
            <v>AR Caller</v>
          </cell>
          <cell r="H1749" t="str">
            <v>Operations</v>
          </cell>
          <cell r="I1749" t="str">
            <v>Direct</v>
          </cell>
          <cell r="J1749" t="str">
            <v>Experience</v>
          </cell>
          <cell r="K1749"/>
          <cell r="L1749">
            <v>288</v>
          </cell>
          <cell r="M1749">
            <v>40</v>
          </cell>
          <cell r="N1749">
            <v>23</v>
          </cell>
          <cell r="O1749">
            <v>0.31304347826086959</v>
          </cell>
          <cell r="P1749">
            <v>0.25419240953221539</v>
          </cell>
          <cell r="Q1749">
            <v>45839</v>
          </cell>
          <cell r="R1749">
            <v>33709</v>
          </cell>
          <cell r="S1749">
            <v>0.25419240953221539</v>
          </cell>
          <cell r="T1749">
            <v>8568.571932921448</v>
          </cell>
        </row>
        <row r="1750">
          <cell r="A1750">
            <v>492</v>
          </cell>
          <cell r="B1750" t="str">
            <v>Meenakshi Sundaram</v>
          </cell>
          <cell r="C1750" t="str">
            <v>Comprehensive Sleep Care Center</v>
          </cell>
          <cell r="D1750" t="str">
            <v>34CS</v>
          </cell>
          <cell r="E1750" t="str">
            <v>SS Coordinator</v>
          </cell>
          <cell r="F1750" t="str">
            <v>Operations</v>
          </cell>
          <cell r="G1750" t="str">
            <v>AR Caller</v>
          </cell>
          <cell r="H1750" t="str">
            <v>Operations</v>
          </cell>
          <cell r="I1750" t="str">
            <v>Direct</v>
          </cell>
          <cell r="J1750" t="str">
            <v>Experience</v>
          </cell>
          <cell r="K1750"/>
          <cell r="L1750">
            <v>845</v>
          </cell>
          <cell r="M1750">
            <v>40</v>
          </cell>
          <cell r="N1750">
            <v>23</v>
          </cell>
          <cell r="O1750">
            <v>0.91847826086956519</v>
          </cell>
          <cell r="P1750">
            <v>0.74580759046778466</v>
          </cell>
          <cell r="Q1750">
            <v>45839</v>
          </cell>
          <cell r="R1750">
            <v>33709</v>
          </cell>
          <cell r="S1750">
            <v>0.74580759046778466</v>
          </cell>
          <cell r="T1750">
            <v>25140.428067078552</v>
          </cell>
        </row>
        <row r="1751">
          <cell r="A1751">
            <v>766</v>
          </cell>
          <cell r="B1751" t="str">
            <v>Alroy Meyer Trevor</v>
          </cell>
          <cell r="C1751" t="str">
            <v>Comprehensive Sleep Care Center</v>
          </cell>
          <cell r="D1751" t="str">
            <v>34CS</v>
          </cell>
          <cell r="E1751" t="str">
            <v>Medical Records</v>
          </cell>
          <cell r="F1751" t="str">
            <v>Operations</v>
          </cell>
          <cell r="G1751" t="str">
            <v>Patient Calling Associate</v>
          </cell>
          <cell r="H1751" t="str">
            <v>Operations</v>
          </cell>
          <cell r="I1751" t="str">
            <v>Direct</v>
          </cell>
          <cell r="J1751" t="str">
            <v>Experience</v>
          </cell>
          <cell r="K1751"/>
          <cell r="L1751">
            <v>1243</v>
          </cell>
          <cell r="M1751">
            <v>55</v>
          </cell>
          <cell r="N1751">
            <v>23</v>
          </cell>
          <cell r="O1751">
            <v>0.98260869565217401</v>
          </cell>
          <cell r="P1751">
            <v>1</v>
          </cell>
          <cell r="Q1751">
            <v>45839</v>
          </cell>
          <cell r="R1751">
            <v>45696.774193548386</v>
          </cell>
          <cell r="S1751">
            <v>1</v>
          </cell>
          <cell r="T1751">
            <v>45696.774193548386</v>
          </cell>
        </row>
        <row r="1752">
          <cell r="A1752">
            <v>540</v>
          </cell>
          <cell r="B1752" t="str">
            <v>Sivasankari Nagarajan</v>
          </cell>
          <cell r="C1752" t="str">
            <v>Genesis Care</v>
          </cell>
          <cell r="D1752" t="str">
            <v>42GC</v>
          </cell>
          <cell r="E1752" t="str">
            <v>Ar Calling</v>
          </cell>
          <cell r="F1752" t="str">
            <v>Operations</v>
          </cell>
          <cell r="G1752" t="str">
            <v>Senior AR Caller</v>
          </cell>
          <cell r="H1752" t="str">
            <v>Operations</v>
          </cell>
          <cell r="I1752" t="str">
            <v>Direct</v>
          </cell>
          <cell r="J1752" t="str">
            <v>Experience</v>
          </cell>
          <cell r="K1752"/>
          <cell r="L1752">
            <v>788</v>
          </cell>
          <cell r="M1752">
            <v>40</v>
          </cell>
          <cell r="N1752">
            <v>23</v>
          </cell>
          <cell r="O1752">
            <v>0.85652173913043472</v>
          </cell>
          <cell r="P1752">
            <v>1</v>
          </cell>
          <cell r="Q1752">
            <v>45839</v>
          </cell>
          <cell r="R1752">
            <v>43225</v>
          </cell>
          <cell r="S1752">
            <v>1</v>
          </cell>
          <cell r="T1752">
            <v>43225</v>
          </cell>
        </row>
        <row r="1753">
          <cell r="A1753">
            <v>671</v>
          </cell>
          <cell r="B1753" t="str">
            <v>Edward Bosco Pereira</v>
          </cell>
          <cell r="C1753" t="str">
            <v>Primetime Physical Therapy</v>
          </cell>
          <cell r="D1753" t="str">
            <v>32DS</v>
          </cell>
          <cell r="E1753" t="str">
            <v>Patient Calling</v>
          </cell>
          <cell r="F1753" t="str">
            <v>Operations</v>
          </cell>
          <cell r="G1753" t="str">
            <v>Patient Calling Associate</v>
          </cell>
          <cell r="H1753" t="str">
            <v>Operations</v>
          </cell>
          <cell r="I1753" t="str">
            <v>Direct</v>
          </cell>
          <cell r="J1753" t="str">
            <v>Experience</v>
          </cell>
          <cell r="K1753"/>
          <cell r="L1753">
            <v>604</v>
          </cell>
          <cell r="M1753">
            <v>70</v>
          </cell>
          <cell r="N1753">
            <v>23</v>
          </cell>
          <cell r="O1753">
            <v>0.37515527950310557</v>
          </cell>
          <cell r="P1753">
            <v>1</v>
          </cell>
          <cell r="Q1753">
            <v>45839</v>
          </cell>
          <cell r="R1753">
            <v>47548.387096774197</v>
          </cell>
          <cell r="S1753">
            <v>1</v>
          </cell>
          <cell r="T1753">
            <v>47548.387096774197</v>
          </cell>
        </row>
        <row r="1754">
          <cell r="A1754">
            <v>570</v>
          </cell>
          <cell r="B1754" t="str">
            <v>Lokesh Kannan</v>
          </cell>
          <cell r="C1754" t="str">
            <v>Comprehensive Sleep Care Center</v>
          </cell>
          <cell r="D1754" t="str">
            <v>34CS</v>
          </cell>
          <cell r="E1754" t="str">
            <v>AASM</v>
          </cell>
          <cell r="F1754" t="str">
            <v>Operations</v>
          </cell>
          <cell r="G1754" t="str">
            <v>AR Caller</v>
          </cell>
          <cell r="H1754" t="str">
            <v>Operations</v>
          </cell>
          <cell r="I1754" t="str">
            <v>Direct</v>
          </cell>
          <cell r="J1754" t="str">
            <v>Experience</v>
          </cell>
          <cell r="K1754"/>
          <cell r="L1754">
            <v>36</v>
          </cell>
          <cell r="M1754">
            <v>65</v>
          </cell>
          <cell r="N1754">
            <v>23</v>
          </cell>
          <cell r="O1754">
            <v>2.4080267558528431E-2</v>
          </cell>
          <cell r="P1754">
            <v>1.7737922199502352E-2</v>
          </cell>
          <cell r="Q1754">
            <v>45839</v>
          </cell>
          <cell r="R1754">
            <v>34980</v>
          </cell>
          <cell r="S1754">
            <v>1.7737922199502352E-2</v>
          </cell>
          <cell r="T1754">
            <v>620.47251853859223</v>
          </cell>
        </row>
        <row r="1755">
          <cell r="A1755">
            <v>570</v>
          </cell>
          <cell r="B1755" t="str">
            <v>Lokesh Kannan</v>
          </cell>
          <cell r="C1755" t="str">
            <v>Comprehensive Sleep Care Center</v>
          </cell>
          <cell r="D1755" t="str">
            <v>34CS</v>
          </cell>
          <cell r="E1755" t="str">
            <v>Authorization</v>
          </cell>
          <cell r="F1755" t="str">
            <v>Operations</v>
          </cell>
          <cell r="G1755" t="str">
            <v>AR Caller</v>
          </cell>
          <cell r="H1755" t="str">
            <v>Operations</v>
          </cell>
          <cell r="I1755" t="str">
            <v>Direct</v>
          </cell>
          <cell r="J1755" t="str">
            <v>Experience</v>
          </cell>
          <cell r="K1755"/>
          <cell r="L1755">
            <v>34</v>
          </cell>
          <cell r="M1755">
            <v>40</v>
          </cell>
          <cell r="N1755">
            <v>23</v>
          </cell>
          <cell r="O1755">
            <v>3.6956521739130437E-2</v>
          </cell>
          <cell r="P1755">
            <v>2.7222783375625139E-2</v>
          </cell>
          <cell r="Q1755">
            <v>45839</v>
          </cell>
          <cell r="R1755">
            <v>34980</v>
          </cell>
          <cell r="S1755">
            <v>2.7222783375625139E-2</v>
          </cell>
          <cell r="T1755">
            <v>952.2529624793674</v>
          </cell>
        </row>
        <row r="1756">
          <cell r="A1756">
            <v>570</v>
          </cell>
          <cell r="B1756" t="str">
            <v>Lokesh Kannan</v>
          </cell>
          <cell r="C1756" t="str">
            <v>Comprehensive Sleep Care Center</v>
          </cell>
          <cell r="D1756" t="str">
            <v>34CS</v>
          </cell>
          <cell r="E1756" t="str">
            <v>Referral Coordinator</v>
          </cell>
          <cell r="F1756" t="str">
            <v>Operations</v>
          </cell>
          <cell r="G1756" t="str">
            <v>AR Caller</v>
          </cell>
          <cell r="H1756" t="str">
            <v>Operations</v>
          </cell>
          <cell r="I1756" t="str">
            <v>Direct</v>
          </cell>
          <cell r="J1756" t="str">
            <v>Experience</v>
          </cell>
          <cell r="K1756"/>
          <cell r="L1756">
            <v>1491</v>
          </cell>
          <cell r="M1756">
            <v>50</v>
          </cell>
          <cell r="N1756">
            <v>23</v>
          </cell>
          <cell r="O1756">
            <v>1.2965217391304349</v>
          </cell>
          <cell r="P1756">
            <v>0.95503929442487245</v>
          </cell>
          <cell r="Q1756">
            <v>45839</v>
          </cell>
          <cell r="R1756">
            <v>34980</v>
          </cell>
          <cell r="S1756">
            <v>0.95503929442487245</v>
          </cell>
          <cell r="T1756">
            <v>33407.274518982042</v>
          </cell>
        </row>
        <row r="1757">
          <cell r="A1757">
            <v>263</v>
          </cell>
          <cell r="B1757" t="str">
            <v>Siji Chandran</v>
          </cell>
          <cell r="C1757" t="str">
            <v>The Physical Therapy Institute</v>
          </cell>
          <cell r="D1757" t="str">
            <v>41PT</v>
          </cell>
          <cell r="E1757" t="str">
            <v>Authorization</v>
          </cell>
          <cell r="F1757" t="str">
            <v>Operations</v>
          </cell>
          <cell r="G1757" t="str">
            <v>Senior AR Caller</v>
          </cell>
          <cell r="H1757" t="str">
            <v>Operations</v>
          </cell>
          <cell r="I1757" t="str">
            <v>Direct</v>
          </cell>
          <cell r="J1757" t="str">
            <v>Experience</v>
          </cell>
          <cell r="K1757"/>
          <cell r="L1757">
            <v>694</v>
          </cell>
          <cell r="M1757">
            <v>40</v>
          </cell>
          <cell r="N1757">
            <v>23</v>
          </cell>
          <cell r="O1757">
            <v>0.5</v>
          </cell>
          <cell r="P1757">
            <v>0.66666666666666663</v>
          </cell>
          <cell r="Q1757">
            <v>45839</v>
          </cell>
          <cell r="R1757">
            <v>25747</v>
          </cell>
          <cell r="S1757">
            <v>0.66666666666666663</v>
          </cell>
          <cell r="T1757">
            <v>17164.666666666664</v>
          </cell>
        </row>
        <row r="1758">
          <cell r="A1758">
            <v>263</v>
          </cell>
          <cell r="B1758" t="str">
            <v>Siji Chandran</v>
          </cell>
          <cell r="C1758" t="str">
            <v>Boost clinic</v>
          </cell>
          <cell r="D1758" t="str">
            <v>BC</v>
          </cell>
          <cell r="E1758" t="str">
            <v>Authorization</v>
          </cell>
          <cell r="F1758" t="str">
            <v>Operations</v>
          </cell>
          <cell r="G1758" t="str">
            <v>Senior AR Caller</v>
          </cell>
          <cell r="H1758" t="str">
            <v>Operations</v>
          </cell>
          <cell r="I1758" t="str">
            <v>Direct</v>
          </cell>
          <cell r="J1758" t="str">
            <v>Experience</v>
          </cell>
          <cell r="K1758"/>
          <cell r="L1758">
            <v>694</v>
          </cell>
          <cell r="M1758">
            <v>40</v>
          </cell>
          <cell r="N1758">
            <v>23</v>
          </cell>
          <cell r="O1758">
            <v>0.25</v>
          </cell>
          <cell r="P1758">
            <v>0.33333333333333331</v>
          </cell>
          <cell r="Q1758">
            <v>45839</v>
          </cell>
          <cell r="R1758">
            <v>25747</v>
          </cell>
          <cell r="S1758">
            <v>0.33333333333333331</v>
          </cell>
          <cell r="T1758">
            <v>8582.3333333333321</v>
          </cell>
        </row>
        <row r="1759">
          <cell r="A1759">
            <v>508</v>
          </cell>
          <cell r="B1759" t="str">
            <v>Vishnu Sathyaraj</v>
          </cell>
          <cell r="C1759" t="str">
            <v>Physical Therapy &amp; Sports Medicine Center</v>
          </cell>
          <cell r="D1759" t="str">
            <v>31PT</v>
          </cell>
          <cell r="E1759" t="str">
            <v>Authorization</v>
          </cell>
          <cell r="F1759" t="str">
            <v>Operations</v>
          </cell>
          <cell r="G1759" t="str">
            <v>AR Caller</v>
          </cell>
          <cell r="H1759" t="str">
            <v>Operations</v>
          </cell>
          <cell r="I1759" t="str">
            <v>Direct</v>
          </cell>
          <cell r="J1759" t="str">
            <v>Experience</v>
          </cell>
          <cell r="K1759"/>
          <cell r="L1759">
            <v>609</v>
          </cell>
          <cell r="M1759">
            <v>30</v>
          </cell>
          <cell r="N1759">
            <v>23</v>
          </cell>
          <cell r="O1759">
            <v>0.88260869565217392</v>
          </cell>
          <cell r="P1759">
            <v>0.94012570294409536</v>
          </cell>
          <cell r="Q1759">
            <v>45839</v>
          </cell>
          <cell r="R1759">
            <v>29469</v>
          </cell>
          <cell r="S1759">
            <v>0.94012570294409536</v>
          </cell>
          <cell r="T1759">
            <v>27704.564340059547</v>
          </cell>
        </row>
        <row r="1760">
          <cell r="A1760">
            <v>508</v>
          </cell>
          <cell r="B1760" t="str">
            <v>Vishnu Sathyaraj</v>
          </cell>
          <cell r="C1760" t="str">
            <v>Physical Therapy &amp; Sports Medicine Center</v>
          </cell>
          <cell r="D1760" t="str">
            <v>31PT</v>
          </cell>
          <cell r="E1760" t="str">
            <v>Eligibility Verification</v>
          </cell>
          <cell r="F1760" t="str">
            <v>Operations</v>
          </cell>
          <cell r="G1760" t="str">
            <v>AR Caller</v>
          </cell>
          <cell r="H1760" t="str">
            <v>Operations</v>
          </cell>
          <cell r="I1760" t="str">
            <v>Direct</v>
          </cell>
          <cell r="J1760" t="str">
            <v>Experience</v>
          </cell>
          <cell r="K1760"/>
          <cell r="L1760">
            <v>181</v>
          </cell>
          <cell r="M1760">
            <v>140</v>
          </cell>
          <cell r="N1760">
            <v>23</v>
          </cell>
          <cell r="O1760">
            <v>5.6211180124223603E-2</v>
          </cell>
          <cell r="P1760">
            <v>5.9874297055904732E-2</v>
          </cell>
          <cell r="Q1760">
            <v>45839</v>
          </cell>
          <cell r="R1760">
            <v>29469</v>
          </cell>
          <cell r="S1760">
            <v>5.9874297055904732E-2</v>
          </cell>
          <cell r="T1760">
            <v>1764.4356599404566</v>
          </cell>
        </row>
        <row r="1761">
          <cell r="A1761">
            <v>538</v>
          </cell>
          <cell r="B1761" t="str">
            <v>Ismath Badhusha</v>
          </cell>
          <cell r="C1761" t="str">
            <v>Comprehensive Sleep Care Center</v>
          </cell>
          <cell r="D1761" t="str">
            <v>34CS</v>
          </cell>
          <cell r="E1761" t="str">
            <v>DME Admin</v>
          </cell>
          <cell r="F1761" t="str">
            <v>Operations</v>
          </cell>
          <cell r="G1761" t="str">
            <v>Process Associate</v>
          </cell>
          <cell r="H1761" t="str">
            <v>Operations</v>
          </cell>
          <cell r="I1761" t="str">
            <v>Direct</v>
          </cell>
          <cell r="J1761" t="str">
            <v>Fresher</v>
          </cell>
          <cell r="K1761"/>
          <cell r="L1761">
            <v>272</v>
          </cell>
          <cell r="M1761">
            <v>55</v>
          </cell>
          <cell r="N1761">
            <v>23</v>
          </cell>
          <cell r="O1761">
            <v>0.21501976284584981</v>
          </cell>
          <cell r="P1761">
            <v>0.23992943251984714</v>
          </cell>
          <cell r="Q1761">
            <v>45839</v>
          </cell>
          <cell r="R1761">
            <v>17691</v>
          </cell>
          <cell r="S1761">
            <v>0.23992943251984714</v>
          </cell>
          <cell r="T1761">
            <v>4244.5915907086155</v>
          </cell>
        </row>
        <row r="1762">
          <cell r="A1762">
            <v>538</v>
          </cell>
          <cell r="B1762" t="str">
            <v>Ismath Badhusha</v>
          </cell>
          <cell r="C1762" t="str">
            <v>Comprehensive Sleep Care Center</v>
          </cell>
          <cell r="D1762" t="str">
            <v>34CS</v>
          </cell>
          <cell r="E1762" t="str">
            <v>DME CMN</v>
          </cell>
          <cell r="F1762" t="str">
            <v>Operations</v>
          </cell>
          <cell r="G1762" t="str">
            <v>Process Associate</v>
          </cell>
          <cell r="H1762" t="str">
            <v>Operations</v>
          </cell>
          <cell r="I1762" t="str">
            <v>Direct</v>
          </cell>
          <cell r="J1762" t="str">
            <v>Fresher</v>
          </cell>
          <cell r="K1762"/>
          <cell r="L1762">
            <v>780</v>
          </cell>
          <cell r="M1762">
            <v>50</v>
          </cell>
          <cell r="N1762">
            <v>23</v>
          </cell>
          <cell r="O1762">
            <v>0.67826086956521736</v>
          </cell>
          <cell r="P1762">
            <v>0.75683622463981193</v>
          </cell>
          <cell r="Q1762">
            <v>45839</v>
          </cell>
          <cell r="R1762">
            <v>17691</v>
          </cell>
          <cell r="S1762">
            <v>0.75683622463981193</v>
          </cell>
          <cell r="T1762">
            <v>13389.189650102913</v>
          </cell>
        </row>
        <row r="1763">
          <cell r="A1763">
            <v>538</v>
          </cell>
          <cell r="B1763" t="str">
            <v>Ismath Badhusha</v>
          </cell>
          <cell r="C1763" t="str">
            <v>Comprehensive Sleep Care Center</v>
          </cell>
          <cell r="D1763" t="str">
            <v>34CS</v>
          </cell>
          <cell r="E1763" t="str">
            <v>Eligibility Verification</v>
          </cell>
          <cell r="F1763" t="str">
            <v>Operations</v>
          </cell>
          <cell r="G1763" t="str">
            <v>Process Associate</v>
          </cell>
          <cell r="H1763" t="str">
            <v>Operations</v>
          </cell>
          <cell r="I1763" t="str">
            <v>Direct</v>
          </cell>
          <cell r="J1763" t="str">
            <v>Fresher</v>
          </cell>
          <cell r="K1763"/>
          <cell r="L1763">
            <v>4</v>
          </cell>
          <cell r="M1763">
            <v>60</v>
          </cell>
          <cell r="N1763">
            <v>23</v>
          </cell>
          <cell r="O1763">
            <v>2.8985507246376812E-3</v>
          </cell>
          <cell r="P1763">
            <v>3.2343428403410765E-3</v>
          </cell>
          <cell r="Q1763">
            <v>45839</v>
          </cell>
          <cell r="R1763">
            <v>17691</v>
          </cell>
          <cell r="S1763">
            <v>3.2343428403410765E-3</v>
          </cell>
          <cell r="T1763">
            <v>57.218759188473982</v>
          </cell>
        </row>
        <row r="1764">
          <cell r="A1764">
            <v>537</v>
          </cell>
          <cell r="B1764" t="str">
            <v>Thirunavukarasu Thiyagamannan</v>
          </cell>
          <cell r="C1764" t="str">
            <v>The Physical Therapy Institute</v>
          </cell>
          <cell r="D1764" t="str">
            <v>41PT</v>
          </cell>
          <cell r="E1764" t="str">
            <v>Ar Calling</v>
          </cell>
          <cell r="F1764" t="str">
            <v>Operations</v>
          </cell>
          <cell r="G1764" t="str">
            <v>AR Caller</v>
          </cell>
          <cell r="H1764" t="str">
            <v>Operations</v>
          </cell>
          <cell r="I1764" t="str">
            <v>Direct</v>
          </cell>
          <cell r="J1764" t="str">
            <v>Experience</v>
          </cell>
          <cell r="K1764"/>
          <cell r="L1764">
            <v>1129</v>
          </cell>
          <cell r="M1764">
            <v>40</v>
          </cell>
          <cell r="N1764">
            <v>23</v>
          </cell>
          <cell r="O1764">
            <v>1.2271739130434782</v>
          </cell>
          <cell r="P1764">
            <v>1</v>
          </cell>
          <cell r="Q1764">
            <v>45839</v>
          </cell>
          <cell r="R1764">
            <v>42725</v>
          </cell>
          <cell r="S1764">
            <v>1</v>
          </cell>
          <cell r="T1764">
            <v>42725</v>
          </cell>
        </row>
        <row r="1765">
          <cell r="A1765">
            <v>616</v>
          </cell>
          <cell r="B1765" t="str">
            <v>Suresh Debnath</v>
          </cell>
          <cell r="C1765" t="str">
            <v>Comprehensive Sleep Care Center</v>
          </cell>
          <cell r="D1765" t="str">
            <v>34CS</v>
          </cell>
          <cell r="E1765" t="str">
            <v>Medical Records</v>
          </cell>
          <cell r="F1765" t="str">
            <v>Operations</v>
          </cell>
          <cell r="G1765" t="str">
            <v>Senior AR Caller</v>
          </cell>
          <cell r="H1765" t="str">
            <v>Operations</v>
          </cell>
          <cell r="I1765" t="str">
            <v>Direct</v>
          </cell>
          <cell r="J1765" t="str">
            <v>Experience</v>
          </cell>
          <cell r="K1765"/>
          <cell r="L1765">
            <v>390</v>
          </cell>
          <cell r="M1765">
            <v>55</v>
          </cell>
          <cell r="N1765">
            <v>23</v>
          </cell>
          <cell r="O1765">
            <v>0.30830039525691699</v>
          </cell>
          <cell r="P1765">
            <v>0.38927011852776044</v>
          </cell>
          <cell r="Q1765">
            <v>45839</v>
          </cell>
          <cell r="R1765">
            <v>43600</v>
          </cell>
          <cell r="S1765">
            <v>0.38927011852776044</v>
          </cell>
          <cell r="T1765">
            <v>16972.177167810354</v>
          </cell>
        </row>
        <row r="1766">
          <cell r="A1766">
            <v>616</v>
          </cell>
          <cell r="B1766" t="str">
            <v>Suresh Debnath</v>
          </cell>
          <cell r="C1766" t="str">
            <v>Premier Sleep Disorders Center</v>
          </cell>
          <cell r="D1766" t="str">
            <v>49PSDC</v>
          </cell>
          <cell r="E1766" t="str">
            <v>Ar Calling</v>
          </cell>
          <cell r="F1766" t="str">
            <v>Operations</v>
          </cell>
          <cell r="G1766" t="str">
            <v>Senior AR Caller</v>
          </cell>
          <cell r="H1766" t="str">
            <v>Operations</v>
          </cell>
          <cell r="I1766" t="str">
            <v>Direct</v>
          </cell>
          <cell r="J1766" t="str">
            <v>Experience</v>
          </cell>
          <cell r="K1766"/>
          <cell r="L1766">
            <v>445</v>
          </cell>
          <cell r="M1766">
            <v>40</v>
          </cell>
          <cell r="N1766">
            <v>23</v>
          </cell>
          <cell r="O1766">
            <v>0.48369565217391303</v>
          </cell>
          <cell r="P1766">
            <v>0.6107298814722395</v>
          </cell>
          <cell r="Q1766">
            <v>45839</v>
          </cell>
          <cell r="R1766">
            <v>43600</v>
          </cell>
          <cell r="S1766">
            <v>0.6107298814722395</v>
          </cell>
          <cell r="T1766">
            <v>26627.822832189642</v>
          </cell>
        </row>
        <row r="1767">
          <cell r="A1767">
            <v>548</v>
          </cell>
          <cell r="B1767" t="str">
            <v>Kausalya Palanisamy</v>
          </cell>
          <cell r="C1767" t="str">
            <v>The Physical Therapy Institute</v>
          </cell>
          <cell r="D1767" t="str">
            <v>41PT</v>
          </cell>
          <cell r="E1767" t="str">
            <v>Ar Calling</v>
          </cell>
          <cell r="F1767" t="str">
            <v>Operations</v>
          </cell>
          <cell r="G1767" t="str">
            <v>AR Caller</v>
          </cell>
          <cell r="H1767" t="str">
            <v>Operations</v>
          </cell>
          <cell r="I1767" t="str">
            <v>Direct</v>
          </cell>
          <cell r="J1767" t="str">
            <v>Experience</v>
          </cell>
          <cell r="K1767"/>
          <cell r="L1767">
            <v>67</v>
          </cell>
          <cell r="M1767">
            <v>40</v>
          </cell>
          <cell r="N1767">
            <v>23</v>
          </cell>
          <cell r="O1767">
            <v>7.2826086956521735E-2</v>
          </cell>
          <cell r="P1767">
            <v>1</v>
          </cell>
          <cell r="Q1767">
            <v>45839</v>
          </cell>
          <cell r="R1767">
            <v>3391.1129032258068</v>
          </cell>
          <cell r="S1767">
            <v>1</v>
          </cell>
          <cell r="T1767">
            <v>3391.1129032258068</v>
          </cell>
        </row>
        <row r="1768">
          <cell r="A1768">
            <v>153</v>
          </cell>
          <cell r="B1768" t="str">
            <v>Lokesh Narasimmanraju</v>
          </cell>
          <cell r="C1768" t="str">
            <v>Comprehensive Sleep Care Center</v>
          </cell>
          <cell r="D1768" t="str">
            <v>34CS</v>
          </cell>
          <cell r="E1768" t="str">
            <v>Eligibility Verification</v>
          </cell>
          <cell r="F1768" t="str">
            <v>Operations</v>
          </cell>
          <cell r="G1768" t="str">
            <v>Senior Process Associate</v>
          </cell>
          <cell r="H1768" t="str">
            <v>Operations</v>
          </cell>
          <cell r="I1768" t="str">
            <v>Direct</v>
          </cell>
          <cell r="J1768" t="str">
            <v>Experience</v>
          </cell>
          <cell r="K1768"/>
          <cell r="L1768">
            <v>945</v>
          </cell>
          <cell r="M1768">
            <v>60</v>
          </cell>
          <cell r="N1768">
            <v>23</v>
          </cell>
          <cell r="O1768">
            <v>0.68478260869565222</v>
          </cell>
          <cell r="P1768">
            <v>1</v>
          </cell>
          <cell r="Q1768">
            <v>45839</v>
          </cell>
          <cell r="R1768">
            <v>22991</v>
          </cell>
          <cell r="S1768">
            <v>1</v>
          </cell>
          <cell r="T1768">
            <v>22991</v>
          </cell>
        </row>
        <row r="1769">
          <cell r="A1769">
            <v>615</v>
          </cell>
          <cell r="B1769" t="str">
            <v>Abishek Thangavel</v>
          </cell>
          <cell r="C1769" t="str">
            <v>Comprehensive Sleep Care Center</v>
          </cell>
          <cell r="D1769" t="str">
            <v>34CS</v>
          </cell>
          <cell r="E1769" t="str">
            <v>CIF Emails</v>
          </cell>
          <cell r="F1769" t="str">
            <v>Operations</v>
          </cell>
          <cell r="G1769" t="str">
            <v>AR Analyst</v>
          </cell>
          <cell r="H1769" t="str">
            <v>Operations</v>
          </cell>
          <cell r="I1769" t="str">
            <v>Direct</v>
          </cell>
          <cell r="J1769" t="str">
            <v>Experience</v>
          </cell>
          <cell r="K1769"/>
          <cell r="L1769">
            <v>858</v>
          </cell>
          <cell r="M1769">
            <v>40</v>
          </cell>
          <cell r="N1769">
            <v>23</v>
          </cell>
          <cell r="O1769">
            <v>0.93260869565217386</v>
          </cell>
          <cell r="P1769">
            <v>0.48447204968944102</v>
          </cell>
          <cell r="Q1769">
            <v>45839</v>
          </cell>
          <cell r="R1769">
            <v>29020</v>
          </cell>
          <cell r="S1769">
            <v>0.48447204968944102</v>
          </cell>
          <cell r="T1769">
            <v>14059.378881987579</v>
          </cell>
        </row>
        <row r="1770">
          <cell r="A1770">
            <v>615</v>
          </cell>
          <cell r="B1770" t="str">
            <v>Abishek Thangavel</v>
          </cell>
          <cell r="C1770" t="str">
            <v>Comprehensive Sleep Care Center</v>
          </cell>
          <cell r="D1770" t="str">
            <v>34CS</v>
          </cell>
          <cell r="E1770" t="str">
            <v>OOPC Estimate</v>
          </cell>
          <cell r="F1770" t="str">
            <v>Operations</v>
          </cell>
          <cell r="G1770" t="str">
            <v>AR Analyst</v>
          </cell>
          <cell r="H1770" t="str">
            <v>Operations</v>
          </cell>
          <cell r="I1770" t="str">
            <v>Direct</v>
          </cell>
          <cell r="J1770" t="str">
            <v>Experience</v>
          </cell>
          <cell r="K1770"/>
          <cell r="L1770">
            <v>913</v>
          </cell>
          <cell r="M1770">
            <v>40</v>
          </cell>
          <cell r="N1770">
            <v>23</v>
          </cell>
          <cell r="O1770">
            <v>0.99239130434782608</v>
          </cell>
          <cell r="P1770">
            <v>0.51552795031055909</v>
          </cell>
          <cell r="Q1770">
            <v>45839</v>
          </cell>
          <cell r="R1770">
            <v>29020</v>
          </cell>
          <cell r="S1770">
            <v>0.51552795031055909</v>
          </cell>
          <cell r="T1770">
            <v>14960.621118012425</v>
          </cell>
        </row>
        <row r="1771">
          <cell r="A1771">
            <v>739</v>
          </cell>
          <cell r="B1771" t="str">
            <v>Venkatesh Rajkumar</v>
          </cell>
          <cell r="C1771" t="str">
            <v>Comprehensive Sleep Care Center</v>
          </cell>
          <cell r="D1771" t="str">
            <v>34CS</v>
          </cell>
          <cell r="E1771" t="str">
            <v>Authorization</v>
          </cell>
          <cell r="F1771" t="str">
            <v>Operations</v>
          </cell>
          <cell r="G1771" t="str">
            <v>Senior AR Caller</v>
          </cell>
          <cell r="H1771" t="str">
            <v>Operations</v>
          </cell>
          <cell r="I1771" t="str">
            <v>Direct</v>
          </cell>
          <cell r="J1771" t="str">
            <v>Experience</v>
          </cell>
          <cell r="K1771"/>
          <cell r="L1771">
            <v>522</v>
          </cell>
          <cell r="M1771">
            <v>40</v>
          </cell>
          <cell r="N1771">
            <v>23</v>
          </cell>
          <cell r="O1771">
            <v>0.56739130434782614</v>
          </cell>
          <cell r="P1771">
            <v>1</v>
          </cell>
          <cell r="Q1771">
            <v>45839</v>
          </cell>
          <cell r="R1771">
            <v>46600</v>
          </cell>
          <cell r="S1771">
            <v>1</v>
          </cell>
          <cell r="T1771">
            <v>46600</v>
          </cell>
        </row>
        <row r="1772">
          <cell r="A1772">
            <v>743</v>
          </cell>
          <cell r="B1772" t="str">
            <v>Arshad Hussain Zakir Hussain</v>
          </cell>
          <cell r="C1772" t="str">
            <v>Baylife</v>
          </cell>
          <cell r="D1772" t="str">
            <v>41PTI</v>
          </cell>
          <cell r="E1772" t="str">
            <v>Ar Calling</v>
          </cell>
          <cell r="F1772" t="str">
            <v>Operations</v>
          </cell>
          <cell r="G1772" t="str">
            <v>Senior AR Analyst</v>
          </cell>
          <cell r="H1772" t="str">
            <v>Operations</v>
          </cell>
          <cell r="I1772" t="str">
            <v>Direct</v>
          </cell>
          <cell r="J1772" t="str">
            <v>Experience</v>
          </cell>
          <cell r="K1772"/>
          <cell r="L1772">
            <v>95</v>
          </cell>
          <cell r="M1772">
            <v>40</v>
          </cell>
          <cell r="N1772">
            <v>23</v>
          </cell>
          <cell r="O1772">
            <v>0.10326086956521739</v>
          </cell>
          <cell r="P1772">
            <v>1</v>
          </cell>
          <cell r="Q1772">
            <v>45839</v>
          </cell>
          <cell r="R1772">
            <v>0</v>
          </cell>
          <cell r="S1772">
            <v>1</v>
          </cell>
          <cell r="T1772">
            <v>0</v>
          </cell>
        </row>
        <row r="1773">
          <cell r="A1773">
            <v>496</v>
          </cell>
          <cell r="B1773" t="str">
            <v>Charulatha Ganapathy</v>
          </cell>
          <cell r="C1773" t="str">
            <v>Comprehensive Sleep Care Center</v>
          </cell>
          <cell r="D1773" t="str">
            <v>34CS</v>
          </cell>
          <cell r="E1773" t="str">
            <v>Eligibility Verification</v>
          </cell>
          <cell r="F1773" t="str">
            <v>Operations</v>
          </cell>
          <cell r="G1773" t="str">
            <v>Senior AR Caller</v>
          </cell>
          <cell r="H1773" t="str">
            <v>Operations</v>
          </cell>
          <cell r="I1773" t="str">
            <v>Direct</v>
          </cell>
          <cell r="J1773" t="str">
            <v>Experience</v>
          </cell>
          <cell r="K1773"/>
          <cell r="L1773">
            <v>791</v>
          </cell>
          <cell r="M1773">
            <v>60</v>
          </cell>
          <cell r="N1773">
            <v>23</v>
          </cell>
          <cell r="O1773">
            <v>0.57318840579710151</v>
          </cell>
          <cell r="P1773">
            <v>1</v>
          </cell>
          <cell r="Q1773">
            <v>45839</v>
          </cell>
          <cell r="R1773">
            <v>27883</v>
          </cell>
          <cell r="S1773">
            <v>1</v>
          </cell>
          <cell r="T1773">
            <v>27883</v>
          </cell>
        </row>
        <row r="1774">
          <cell r="A1774">
            <v>542</v>
          </cell>
          <cell r="B1774" t="str">
            <v>Jaya Seelan</v>
          </cell>
          <cell r="C1774" t="str">
            <v>Nova Physician Wellness Center</v>
          </cell>
          <cell r="D1774" t="str">
            <v>48nh</v>
          </cell>
          <cell r="E1774" t="str">
            <v>Ar Calling</v>
          </cell>
          <cell r="F1774" t="str">
            <v>Operations</v>
          </cell>
          <cell r="G1774" t="str">
            <v>Senior AR Caller</v>
          </cell>
          <cell r="H1774" t="str">
            <v>Operations</v>
          </cell>
          <cell r="I1774" t="str">
            <v>Direct</v>
          </cell>
          <cell r="J1774" t="str">
            <v>Experience</v>
          </cell>
          <cell r="K1774"/>
          <cell r="L1774">
            <v>852</v>
          </cell>
          <cell r="M1774">
            <v>35</v>
          </cell>
          <cell r="N1774">
            <v>23</v>
          </cell>
          <cell r="O1774">
            <v>1.0583850931677019</v>
          </cell>
          <cell r="P1774">
            <v>1</v>
          </cell>
          <cell r="Q1774">
            <v>45839</v>
          </cell>
          <cell r="R1774">
            <v>48850</v>
          </cell>
          <cell r="S1774">
            <v>1</v>
          </cell>
          <cell r="T1774">
            <v>48850</v>
          </cell>
        </row>
        <row r="1775">
          <cell r="A1775">
            <v>605</v>
          </cell>
          <cell r="B1775" t="str">
            <v>Vijayakumar sankar</v>
          </cell>
          <cell r="C1775" t="str">
            <v>Physical Therapy &amp; Sports Medicine Center</v>
          </cell>
          <cell r="D1775" t="str">
            <v>31PT</v>
          </cell>
          <cell r="E1775" t="str">
            <v>Ar Calling</v>
          </cell>
          <cell r="F1775" t="str">
            <v>Operations</v>
          </cell>
          <cell r="G1775" t="str">
            <v>Senior AR Caller</v>
          </cell>
          <cell r="H1775" t="str">
            <v>Operations</v>
          </cell>
          <cell r="I1775" t="str">
            <v>Direct</v>
          </cell>
          <cell r="J1775" t="str">
            <v>Experience</v>
          </cell>
          <cell r="K1775"/>
          <cell r="L1775">
            <v>370</v>
          </cell>
          <cell r="M1775">
            <v>40</v>
          </cell>
          <cell r="N1775">
            <v>23</v>
          </cell>
          <cell r="O1775">
            <v>0.40217391304347827</v>
          </cell>
          <cell r="P1775">
            <v>0.88095238095238093</v>
          </cell>
          <cell r="Q1775">
            <v>45839</v>
          </cell>
          <cell r="R1775">
            <v>43600</v>
          </cell>
          <cell r="S1775">
            <v>0.88095238095238093</v>
          </cell>
          <cell r="T1775">
            <v>38409.523809523809</v>
          </cell>
        </row>
        <row r="1776">
          <cell r="A1776">
            <v>605</v>
          </cell>
          <cell r="B1776" t="str">
            <v>Vijayakumar sankar</v>
          </cell>
          <cell r="C1776" t="str">
            <v>Physical Therapy &amp; Sports Medicine Center</v>
          </cell>
          <cell r="D1776" t="str">
            <v>31PT</v>
          </cell>
          <cell r="E1776" t="str">
            <v>Eligibility Verification</v>
          </cell>
          <cell r="F1776" t="str">
            <v>Operations</v>
          </cell>
          <cell r="G1776" t="str">
            <v>Senior AR Caller</v>
          </cell>
          <cell r="H1776" t="str">
            <v>Operations</v>
          </cell>
          <cell r="I1776" t="str">
            <v>Direct</v>
          </cell>
          <cell r="J1776" t="str">
            <v>Experience</v>
          </cell>
          <cell r="K1776"/>
          <cell r="L1776">
            <v>165</v>
          </cell>
          <cell r="M1776">
            <v>140</v>
          </cell>
          <cell r="N1776">
            <v>23</v>
          </cell>
          <cell r="O1776">
            <v>5.124223602484472E-2</v>
          </cell>
          <cell r="P1776">
            <v>0.11224489795918366</v>
          </cell>
          <cell r="Q1776">
            <v>45839</v>
          </cell>
          <cell r="R1776">
            <v>43600</v>
          </cell>
          <cell r="S1776">
            <v>0.11224489795918366</v>
          </cell>
          <cell r="T1776">
            <v>4893.8775510204077</v>
          </cell>
        </row>
        <row r="1777">
          <cell r="A1777">
            <v>605</v>
          </cell>
          <cell r="B1777" t="str">
            <v>Vijayakumar sankar</v>
          </cell>
          <cell r="C1777" t="str">
            <v>Physical Therapy &amp; Sports Medicine Center</v>
          </cell>
          <cell r="D1777" t="str">
            <v>31PT</v>
          </cell>
          <cell r="E1777" t="str">
            <v>transmission</v>
          </cell>
          <cell r="F1777" t="str">
            <v>Operations</v>
          </cell>
          <cell r="G1777" t="str">
            <v>Senior AR Caller</v>
          </cell>
          <cell r="H1777" t="str">
            <v>Operations</v>
          </cell>
          <cell r="I1777" t="str">
            <v>Direct</v>
          </cell>
          <cell r="J1777" t="str">
            <v>Experience</v>
          </cell>
          <cell r="K1777"/>
          <cell r="L1777">
            <v>10</v>
          </cell>
          <cell r="M1777">
            <v>140</v>
          </cell>
          <cell r="N1777">
            <v>23</v>
          </cell>
          <cell r="O1777">
            <v>3.105590062111801E-3</v>
          </cell>
          <cell r="P1777">
            <v>6.802721088435373E-3</v>
          </cell>
          <cell r="Q1777">
            <v>45839</v>
          </cell>
          <cell r="R1777">
            <v>43600</v>
          </cell>
          <cell r="S1777">
            <v>6.802721088435373E-3</v>
          </cell>
          <cell r="T1777">
            <v>296.59863945578229</v>
          </cell>
        </row>
        <row r="1778">
          <cell r="A1778">
            <v>724</v>
          </cell>
          <cell r="B1778" t="str">
            <v>Chandravathi Devendiran</v>
          </cell>
          <cell r="C1778" t="str">
            <v>D'Souza &amp; Associates, Inc</v>
          </cell>
          <cell r="D1778" t="str">
            <v>9D</v>
          </cell>
          <cell r="E1778" t="str">
            <v>Charges</v>
          </cell>
          <cell r="F1778" t="str">
            <v>Operations</v>
          </cell>
          <cell r="G1778" t="str">
            <v>Process Associate</v>
          </cell>
          <cell r="H1778" t="str">
            <v>Operations</v>
          </cell>
          <cell r="I1778" t="str">
            <v>Direct</v>
          </cell>
          <cell r="J1778" t="str">
            <v>Fresher</v>
          </cell>
          <cell r="K1778"/>
          <cell r="L1778">
            <v>6502</v>
          </cell>
          <cell r="M1778">
            <v>380</v>
          </cell>
          <cell r="N1778">
            <v>23</v>
          </cell>
          <cell r="O1778">
            <v>0.74393592677345544</v>
          </cell>
          <cell r="P1778">
            <v>1</v>
          </cell>
          <cell r="Q1778">
            <v>45839</v>
          </cell>
          <cell r="R1778">
            <v>13920</v>
          </cell>
          <cell r="S1778">
            <v>1</v>
          </cell>
          <cell r="T1778">
            <v>13920</v>
          </cell>
        </row>
        <row r="1779">
          <cell r="A1779">
            <v>764</v>
          </cell>
          <cell r="B1779" t="str">
            <v>Umar Siddhiq Lokanathan</v>
          </cell>
          <cell r="C1779" t="str">
            <v>D'Souza &amp; Associates, Inc</v>
          </cell>
          <cell r="D1779" t="str">
            <v>9D</v>
          </cell>
          <cell r="E1779" t="str">
            <v>Ar Calling</v>
          </cell>
          <cell r="F1779" t="str">
            <v>Operations</v>
          </cell>
          <cell r="G1779" t="str">
            <v>Senior AR Caller</v>
          </cell>
          <cell r="H1779" t="str">
            <v>Operations</v>
          </cell>
          <cell r="I1779" t="str">
            <v>Direct</v>
          </cell>
          <cell r="J1779" t="str">
            <v>Experience</v>
          </cell>
          <cell r="K1779"/>
          <cell r="L1779">
            <v>328</v>
          </cell>
          <cell r="M1779">
            <v>40</v>
          </cell>
          <cell r="N1779">
            <v>23</v>
          </cell>
          <cell r="O1779">
            <v>0.35652173913043478</v>
          </cell>
          <cell r="P1779">
            <v>0.93181818181818177</v>
          </cell>
          <cell r="Q1779">
            <v>45839</v>
          </cell>
          <cell r="R1779">
            <v>46180.645161290326</v>
          </cell>
          <cell r="S1779">
            <v>0.93181818181818177</v>
          </cell>
          <cell r="T1779">
            <v>43031.964809384168</v>
          </cell>
        </row>
        <row r="1780">
          <cell r="A1780">
            <v>764</v>
          </cell>
          <cell r="B1780" t="str">
            <v>Umar Siddhiq Lokanathan</v>
          </cell>
          <cell r="C1780" t="str">
            <v>Your Docs In</v>
          </cell>
          <cell r="D1780" t="str">
            <v>38YD</v>
          </cell>
          <cell r="E1780" t="str">
            <v>Ar Calling</v>
          </cell>
          <cell r="F1780" t="str">
            <v>Operations</v>
          </cell>
          <cell r="G1780" t="str">
            <v>Senior AR Caller</v>
          </cell>
          <cell r="H1780" t="str">
            <v>Operations</v>
          </cell>
          <cell r="I1780" t="str">
            <v>Direct</v>
          </cell>
          <cell r="J1780" t="str">
            <v>Experience</v>
          </cell>
          <cell r="K1780"/>
          <cell r="L1780">
            <v>24</v>
          </cell>
          <cell r="M1780">
            <v>40</v>
          </cell>
          <cell r="N1780">
            <v>23</v>
          </cell>
          <cell r="O1780">
            <v>2.6086956521739129E-2</v>
          </cell>
          <cell r="P1780">
            <v>6.8181818181818177E-2</v>
          </cell>
          <cell r="Q1780">
            <v>45839</v>
          </cell>
          <cell r="R1780">
            <v>46180.645161290326</v>
          </cell>
          <cell r="S1780">
            <v>6.8181818181818177E-2</v>
          </cell>
          <cell r="T1780">
            <v>3148.6803519061582</v>
          </cell>
        </row>
        <row r="1781">
          <cell r="A1781">
            <v>745</v>
          </cell>
          <cell r="B1781" t="str">
            <v>Aarthi Kesavan</v>
          </cell>
          <cell r="C1781" t="str">
            <v>D'Souza &amp; Associates, Inc</v>
          </cell>
          <cell r="D1781" t="str">
            <v>9D</v>
          </cell>
          <cell r="E1781" t="str">
            <v>Ar Calling</v>
          </cell>
          <cell r="F1781" t="str">
            <v>Operations</v>
          </cell>
          <cell r="G1781" t="str">
            <v>Senior AR Caller</v>
          </cell>
          <cell r="H1781" t="str">
            <v>Operations</v>
          </cell>
          <cell r="I1781" t="str">
            <v>Direct</v>
          </cell>
          <cell r="J1781" t="str">
            <v>Experience</v>
          </cell>
          <cell r="K1781"/>
          <cell r="L1781">
            <v>126</v>
          </cell>
          <cell r="M1781">
            <v>40</v>
          </cell>
          <cell r="N1781">
            <v>23</v>
          </cell>
          <cell r="O1781">
            <v>0.13695652173913042</v>
          </cell>
          <cell r="P1781">
            <v>0.37611940298507457</v>
          </cell>
          <cell r="Q1781">
            <v>45839</v>
          </cell>
          <cell r="R1781">
            <v>38600</v>
          </cell>
          <cell r="S1781">
            <v>0.37611940298507457</v>
          </cell>
          <cell r="T1781">
            <v>14518.208955223878</v>
          </cell>
        </row>
        <row r="1782">
          <cell r="A1782">
            <v>745</v>
          </cell>
          <cell r="B1782" t="str">
            <v>Aarthi Kesavan</v>
          </cell>
          <cell r="C1782" t="str">
            <v>eC3 LLC</v>
          </cell>
          <cell r="D1782" t="str">
            <v>3E</v>
          </cell>
          <cell r="E1782" t="str">
            <v>Ar Calling</v>
          </cell>
          <cell r="F1782" t="str">
            <v>Operations</v>
          </cell>
          <cell r="G1782" t="str">
            <v>Senior AR Caller</v>
          </cell>
          <cell r="H1782" t="str">
            <v>Operations</v>
          </cell>
          <cell r="I1782" t="str">
            <v>Direct</v>
          </cell>
          <cell r="J1782" t="str">
            <v>Experience</v>
          </cell>
          <cell r="K1782"/>
          <cell r="L1782">
            <v>105</v>
          </cell>
          <cell r="M1782">
            <v>40</v>
          </cell>
          <cell r="N1782">
            <v>23</v>
          </cell>
          <cell r="O1782">
            <v>0.11413043478260869</v>
          </cell>
          <cell r="P1782">
            <v>0.31343283582089548</v>
          </cell>
          <cell r="Q1782">
            <v>45839</v>
          </cell>
          <cell r="R1782">
            <v>38600</v>
          </cell>
          <cell r="S1782">
            <v>0.31343283582089548</v>
          </cell>
          <cell r="T1782">
            <v>12098.507462686566</v>
          </cell>
        </row>
        <row r="1783">
          <cell r="A1783">
            <v>745</v>
          </cell>
          <cell r="B1783" t="str">
            <v>Aarthi Kesavan</v>
          </cell>
          <cell r="C1783" t="str">
            <v>Your Docs In</v>
          </cell>
          <cell r="D1783" t="str">
            <v>38YD</v>
          </cell>
          <cell r="E1783" t="str">
            <v>Ar Calling</v>
          </cell>
          <cell r="F1783" t="str">
            <v>Operations</v>
          </cell>
          <cell r="G1783" t="str">
            <v>Senior AR Caller</v>
          </cell>
          <cell r="H1783" t="str">
            <v>Operations</v>
          </cell>
          <cell r="I1783" t="str">
            <v>Direct</v>
          </cell>
          <cell r="J1783" t="str">
            <v>Experience</v>
          </cell>
          <cell r="K1783"/>
          <cell r="L1783">
            <v>104</v>
          </cell>
          <cell r="M1783">
            <v>40</v>
          </cell>
          <cell r="N1783">
            <v>23</v>
          </cell>
          <cell r="O1783">
            <v>0.11304347826086956</v>
          </cell>
          <cell r="P1783">
            <v>0.31044776119402984</v>
          </cell>
          <cell r="Q1783">
            <v>45839</v>
          </cell>
          <cell r="R1783">
            <v>38600</v>
          </cell>
          <cell r="S1783">
            <v>0.31044776119402984</v>
          </cell>
          <cell r="T1783">
            <v>11983.283582089553</v>
          </cell>
        </row>
        <row r="1784">
          <cell r="A1784">
            <v>621</v>
          </cell>
          <cell r="B1784" t="str">
            <v>Keerthana Suresh</v>
          </cell>
          <cell r="C1784" t="str">
            <v>Your Docs In</v>
          </cell>
          <cell r="D1784" t="str">
            <v>38YD</v>
          </cell>
          <cell r="E1784" t="str">
            <v>Ar Non Calling</v>
          </cell>
          <cell r="F1784" t="str">
            <v>Operations</v>
          </cell>
          <cell r="G1784" t="str">
            <v>AR Analyst</v>
          </cell>
          <cell r="H1784" t="str">
            <v>Operations</v>
          </cell>
          <cell r="I1784" t="str">
            <v>Direct</v>
          </cell>
          <cell r="J1784" t="str">
            <v>Experience</v>
          </cell>
          <cell r="K1784"/>
          <cell r="L1784">
            <v>264</v>
          </cell>
          <cell r="M1784">
            <v>64</v>
          </cell>
          <cell r="N1784">
            <v>23</v>
          </cell>
          <cell r="O1784">
            <v>0.17934782608695651</v>
          </cell>
          <cell r="P1784">
            <v>1</v>
          </cell>
          <cell r="Q1784">
            <v>45839</v>
          </cell>
          <cell r="R1784">
            <v>24098.129032258064</v>
          </cell>
          <cell r="S1784">
            <v>1</v>
          </cell>
          <cell r="T1784">
            <v>24098.129032258064</v>
          </cell>
        </row>
        <row r="1785">
          <cell r="A1785">
            <v>416</v>
          </cell>
          <cell r="B1785" t="str">
            <v>Keerthiga Kothandan</v>
          </cell>
          <cell r="C1785" t="str">
            <v>Your Docs In</v>
          </cell>
          <cell r="D1785" t="str">
            <v>38YD</v>
          </cell>
          <cell r="E1785" t="str">
            <v>Ar Non Calling</v>
          </cell>
          <cell r="F1785" t="str">
            <v>Operations</v>
          </cell>
          <cell r="G1785" t="str">
            <v>AR Analyst</v>
          </cell>
          <cell r="H1785" t="str">
            <v>Operations</v>
          </cell>
          <cell r="I1785" t="str">
            <v>Direct</v>
          </cell>
          <cell r="J1785" t="str">
            <v>Experience</v>
          </cell>
          <cell r="K1785"/>
          <cell r="L1785">
            <v>1139</v>
          </cell>
          <cell r="M1785">
            <v>64</v>
          </cell>
          <cell r="N1785">
            <v>23</v>
          </cell>
          <cell r="O1785">
            <v>0.77377717391304346</v>
          </cell>
          <cell r="P1785">
            <v>1</v>
          </cell>
          <cell r="Q1785">
            <v>45839</v>
          </cell>
          <cell r="R1785">
            <v>23542</v>
          </cell>
          <cell r="S1785">
            <v>1</v>
          </cell>
          <cell r="T1785">
            <v>23542</v>
          </cell>
        </row>
        <row r="1786">
          <cell r="A1786">
            <v>734</v>
          </cell>
          <cell r="B1786" t="str">
            <v>Subhasri Bahirathan</v>
          </cell>
          <cell r="C1786" t="str">
            <v>Your Docs In</v>
          </cell>
          <cell r="D1786" t="str">
            <v>38YD</v>
          </cell>
          <cell r="E1786" t="str">
            <v>Ar Non Calling</v>
          </cell>
          <cell r="F1786" t="str">
            <v>Operations</v>
          </cell>
          <cell r="G1786" t="str">
            <v>Senior AR Analyst</v>
          </cell>
          <cell r="H1786" t="str">
            <v>Operations</v>
          </cell>
          <cell r="I1786" t="str">
            <v>Direct</v>
          </cell>
          <cell r="J1786" t="str">
            <v>Experience</v>
          </cell>
          <cell r="K1786"/>
          <cell r="L1786">
            <v>274</v>
          </cell>
          <cell r="M1786">
            <v>25</v>
          </cell>
          <cell r="N1786">
            <v>23</v>
          </cell>
          <cell r="O1786">
            <v>0.47652173913043483</v>
          </cell>
          <cell r="P1786">
            <v>1</v>
          </cell>
          <cell r="Q1786">
            <v>45839</v>
          </cell>
          <cell r="R1786">
            <v>38600</v>
          </cell>
          <cell r="S1786">
            <v>1</v>
          </cell>
          <cell r="T1786">
            <v>38600</v>
          </cell>
        </row>
        <row r="1787">
          <cell r="A1787">
            <v>617</v>
          </cell>
          <cell r="B1787" t="str">
            <v>Raja Siva</v>
          </cell>
          <cell r="C1787" t="str">
            <v>Your Docs In</v>
          </cell>
          <cell r="D1787" t="str">
            <v>38YD</v>
          </cell>
          <cell r="E1787" t="str">
            <v>Ar Non Calling</v>
          </cell>
          <cell r="F1787" t="str">
            <v>Operations</v>
          </cell>
          <cell r="G1787" t="str">
            <v>Senior AR Analyst</v>
          </cell>
          <cell r="H1787" t="str">
            <v>Operations</v>
          </cell>
          <cell r="I1787" t="str">
            <v>Direct</v>
          </cell>
          <cell r="J1787" t="str">
            <v>Experience</v>
          </cell>
          <cell r="K1787"/>
          <cell r="L1787">
            <v>686</v>
          </cell>
          <cell r="M1787">
            <v>64</v>
          </cell>
          <cell r="N1787">
            <v>23</v>
          </cell>
          <cell r="O1787">
            <v>0.46603260869565216</v>
          </cell>
          <cell r="P1787">
            <v>1</v>
          </cell>
          <cell r="Q1787">
            <v>45839</v>
          </cell>
          <cell r="R1787">
            <v>34600</v>
          </cell>
          <cell r="S1787">
            <v>1</v>
          </cell>
          <cell r="T1787">
            <v>34600</v>
          </cell>
        </row>
        <row r="1788">
          <cell r="A1788">
            <v>582</v>
          </cell>
          <cell r="B1788" t="str">
            <v>Preethi Mariya Navamani</v>
          </cell>
          <cell r="C1788" t="str">
            <v>Your Docs In</v>
          </cell>
          <cell r="D1788" t="str">
            <v>38YD</v>
          </cell>
          <cell r="E1788" t="str">
            <v>Ar Non Calling</v>
          </cell>
          <cell r="F1788" t="str">
            <v>Operations</v>
          </cell>
          <cell r="G1788" t="str">
            <v>Senior AR Analyst</v>
          </cell>
          <cell r="H1788" t="str">
            <v>Operations</v>
          </cell>
          <cell r="I1788" t="str">
            <v>Direct</v>
          </cell>
          <cell r="J1788" t="str">
            <v>Experience</v>
          </cell>
          <cell r="K1788"/>
          <cell r="L1788">
            <v>294</v>
          </cell>
          <cell r="M1788">
            <v>25</v>
          </cell>
          <cell r="N1788">
            <v>23</v>
          </cell>
          <cell r="O1788">
            <v>0.51130434782608691</v>
          </cell>
          <cell r="P1788">
            <v>1</v>
          </cell>
          <cell r="Q1788">
            <v>45839</v>
          </cell>
          <cell r="R1788">
            <v>33600</v>
          </cell>
          <cell r="S1788">
            <v>1</v>
          </cell>
          <cell r="T1788">
            <v>33600</v>
          </cell>
        </row>
        <row r="1789">
          <cell r="A1789">
            <v>243</v>
          </cell>
          <cell r="B1789" t="str">
            <v>Sangeetha Gunasekaran</v>
          </cell>
          <cell r="C1789" t="str">
            <v>Univ. Of Delaware</v>
          </cell>
          <cell r="D1789" t="str">
            <v>26UG</v>
          </cell>
          <cell r="E1789" t="str">
            <v>Ar Non Calling</v>
          </cell>
          <cell r="F1789" t="str">
            <v>Operations</v>
          </cell>
          <cell r="G1789" t="str">
            <v>Senior AR Analyst</v>
          </cell>
          <cell r="H1789" t="str">
            <v>Operations</v>
          </cell>
          <cell r="I1789" t="str">
            <v>Direct</v>
          </cell>
          <cell r="J1789" t="str">
            <v>Experience</v>
          </cell>
          <cell r="K1789"/>
          <cell r="L1789">
            <v>96</v>
          </cell>
          <cell r="M1789">
            <v>64</v>
          </cell>
          <cell r="N1789">
            <v>23</v>
          </cell>
          <cell r="O1789">
            <v>6.5217391304347824E-2</v>
          </cell>
          <cell r="P1789">
            <v>0.14910536779324055</v>
          </cell>
          <cell r="Q1789">
            <v>45839</v>
          </cell>
          <cell r="R1789">
            <v>23289</v>
          </cell>
          <cell r="S1789">
            <v>0.14910536779324055</v>
          </cell>
          <cell r="T1789">
            <v>3472.5149105367791</v>
          </cell>
        </row>
        <row r="1790">
          <cell r="A1790">
            <v>243</v>
          </cell>
          <cell r="B1790" t="str">
            <v>Sangeetha Gunasekaran</v>
          </cell>
          <cell r="C1790" t="str">
            <v>Your Docs In</v>
          </cell>
          <cell r="D1790" t="str">
            <v>38YD</v>
          </cell>
          <cell r="E1790" t="str">
            <v>Ar Non Calling</v>
          </cell>
          <cell r="F1790" t="str">
            <v>Operations</v>
          </cell>
          <cell r="G1790" t="str">
            <v>Senior AR Analyst</v>
          </cell>
          <cell r="H1790" t="str">
            <v>Operations</v>
          </cell>
          <cell r="I1790" t="str">
            <v>Direct</v>
          </cell>
          <cell r="J1790" t="str">
            <v>Experience</v>
          </cell>
          <cell r="K1790"/>
          <cell r="L1790">
            <v>214</v>
          </cell>
          <cell r="M1790">
            <v>25</v>
          </cell>
          <cell r="N1790">
            <v>23</v>
          </cell>
          <cell r="O1790">
            <v>0.3721739130434783</v>
          </cell>
          <cell r="P1790">
            <v>0.85089463220675943</v>
          </cell>
          <cell r="Q1790">
            <v>45839</v>
          </cell>
          <cell r="R1790">
            <v>23289</v>
          </cell>
          <cell r="S1790">
            <v>0.85089463220675943</v>
          </cell>
          <cell r="T1790">
            <v>19816.485089463222</v>
          </cell>
        </row>
        <row r="1791">
          <cell r="A1791">
            <v>714</v>
          </cell>
          <cell r="B1791" t="str">
            <v>Liza Saravanan</v>
          </cell>
          <cell r="C1791" t="str">
            <v>Your Docs In</v>
          </cell>
          <cell r="D1791" t="str">
            <v>38YD</v>
          </cell>
          <cell r="E1791" t="str">
            <v>Ar Non Calling</v>
          </cell>
          <cell r="F1791" t="str">
            <v>Operations</v>
          </cell>
          <cell r="G1791" t="str">
            <v>AR Analyst</v>
          </cell>
          <cell r="H1791" t="str">
            <v>Operations</v>
          </cell>
          <cell r="I1791" t="str">
            <v>Direct</v>
          </cell>
          <cell r="J1791" t="str">
            <v>Experience</v>
          </cell>
          <cell r="K1791"/>
          <cell r="L1791">
            <v>82</v>
          </cell>
          <cell r="M1791">
            <v>64</v>
          </cell>
          <cell r="N1791">
            <v>23</v>
          </cell>
          <cell r="O1791">
            <v>5.5706521739130432E-2</v>
          </cell>
          <cell r="P1791">
            <v>1</v>
          </cell>
          <cell r="Q1791">
            <v>45839</v>
          </cell>
          <cell r="R1791">
            <v>35600</v>
          </cell>
          <cell r="S1791">
            <v>1</v>
          </cell>
          <cell r="T1791">
            <v>35600</v>
          </cell>
        </row>
        <row r="1792">
          <cell r="A1792">
            <v>526</v>
          </cell>
          <cell r="B1792" t="str">
            <v>Sanjai Vinothkumar</v>
          </cell>
          <cell r="C1792" t="str">
            <v>eC3 LLC</v>
          </cell>
          <cell r="D1792" t="str">
            <v>3E</v>
          </cell>
          <cell r="E1792" t="str">
            <v>Ar Calling</v>
          </cell>
          <cell r="F1792" t="str">
            <v>Operations</v>
          </cell>
          <cell r="G1792" t="str">
            <v>AR Caller</v>
          </cell>
          <cell r="H1792" t="str">
            <v>Operations</v>
          </cell>
          <cell r="I1792" t="str">
            <v>Direct</v>
          </cell>
          <cell r="J1792" t="str">
            <v>Experience</v>
          </cell>
          <cell r="K1792"/>
          <cell r="L1792">
            <v>495</v>
          </cell>
          <cell r="M1792">
            <v>40</v>
          </cell>
          <cell r="N1792">
            <v>23</v>
          </cell>
          <cell r="O1792">
            <v>0.53804347826086951</v>
          </cell>
          <cell r="P1792">
            <v>1</v>
          </cell>
          <cell r="Q1792">
            <v>45839</v>
          </cell>
          <cell r="R1792">
            <v>35225</v>
          </cell>
          <cell r="S1792">
            <v>1</v>
          </cell>
          <cell r="T1792">
            <v>35225</v>
          </cell>
        </row>
        <row r="1793">
          <cell r="A1793">
            <v>612</v>
          </cell>
          <cell r="B1793" t="str">
            <v>Yogananthan Srinivasan</v>
          </cell>
          <cell r="C1793" t="str">
            <v>eC3 LLC</v>
          </cell>
          <cell r="D1793" t="str">
            <v>3E</v>
          </cell>
          <cell r="E1793" t="str">
            <v>Ar Non Calling</v>
          </cell>
          <cell r="F1793" t="str">
            <v>Operations</v>
          </cell>
          <cell r="G1793" t="str">
            <v>Senior AR Analyst</v>
          </cell>
          <cell r="H1793" t="str">
            <v>Operations</v>
          </cell>
          <cell r="I1793" t="str">
            <v>Direct</v>
          </cell>
          <cell r="J1793" t="str">
            <v>Experience</v>
          </cell>
          <cell r="K1793"/>
          <cell r="L1793">
            <v>169</v>
          </cell>
          <cell r="M1793">
            <v>25</v>
          </cell>
          <cell r="N1793">
            <v>23</v>
          </cell>
          <cell r="O1793">
            <v>0.29391304347826086</v>
          </cell>
          <cell r="P1793">
            <v>1</v>
          </cell>
          <cell r="Q1793">
            <v>45839</v>
          </cell>
          <cell r="R1793">
            <v>35600</v>
          </cell>
          <cell r="S1793">
            <v>1</v>
          </cell>
          <cell r="T1793">
            <v>35600</v>
          </cell>
        </row>
        <row r="1794">
          <cell r="A1794">
            <v>647</v>
          </cell>
          <cell r="B1794" t="str">
            <v>Sudha Munuswamy</v>
          </cell>
          <cell r="C1794" t="str">
            <v>D'Souza &amp; Associates, Inc</v>
          </cell>
          <cell r="D1794" t="str">
            <v>9D</v>
          </cell>
          <cell r="E1794" t="str">
            <v>Ar Non Calling</v>
          </cell>
          <cell r="F1794" t="str">
            <v>Operations</v>
          </cell>
          <cell r="G1794" t="str">
            <v>AR Analyst</v>
          </cell>
          <cell r="H1794" t="str">
            <v>Operations</v>
          </cell>
          <cell r="I1794" t="str">
            <v>Direct</v>
          </cell>
          <cell r="J1794" t="str">
            <v>Experience</v>
          </cell>
          <cell r="K1794"/>
          <cell r="L1794">
            <v>22</v>
          </cell>
          <cell r="M1794">
            <v>64</v>
          </cell>
          <cell r="N1794">
            <v>23</v>
          </cell>
          <cell r="O1794">
            <v>1.4945652173913044E-2</v>
          </cell>
          <cell r="P1794">
            <v>0.13496932515337426</v>
          </cell>
          <cell r="Q1794">
            <v>45839</v>
          </cell>
          <cell r="R1794">
            <v>15155.516129032258</v>
          </cell>
          <cell r="S1794">
            <v>0.13496932515337426</v>
          </cell>
          <cell r="T1794">
            <v>2045.5297842865627</v>
          </cell>
        </row>
        <row r="1795">
          <cell r="A1795">
            <v>647</v>
          </cell>
          <cell r="B1795" t="str">
            <v>Sudha Munuswamy</v>
          </cell>
          <cell r="C1795" t="str">
            <v>eC3 LLC</v>
          </cell>
          <cell r="D1795" t="str">
            <v>3E</v>
          </cell>
          <cell r="E1795" t="str">
            <v>Ar Non Calling</v>
          </cell>
          <cell r="F1795" t="str">
            <v>Operations</v>
          </cell>
          <cell r="G1795" t="str">
            <v>AR Analyst</v>
          </cell>
          <cell r="H1795" t="str">
            <v>Operations</v>
          </cell>
          <cell r="I1795" t="str">
            <v>Direct</v>
          </cell>
          <cell r="J1795" t="str">
            <v>Experience</v>
          </cell>
          <cell r="K1795"/>
          <cell r="L1795">
            <v>141</v>
          </cell>
          <cell r="M1795">
            <v>64</v>
          </cell>
          <cell r="N1795">
            <v>23</v>
          </cell>
          <cell r="O1795">
            <v>9.5788043478260865E-2</v>
          </cell>
          <cell r="P1795">
            <v>0.86503067484662577</v>
          </cell>
          <cell r="Q1795">
            <v>45839</v>
          </cell>
          <cell r="R1795">
            <v>15155.516129032258</v>
          </cell>
          <cell r="S1795">
            <v>0.86503067484662577</v>
          </cell>
          <cell r="T1795">
            <v>13109.986344745696</v>
          </cell>
        </row>
        <row r="1796">
          <cell r="A1796">
            <v>736</v>
          </cell>
          <cell r="B1796" t="str">
            <v>Harini Sowmiyan</v>
          </cell>
          <cell r="C1796" t="str">
            <v>D'Souza &amp; Associates, Inc</v>
          </cell>
          <cell r="D1796" t="str">
            <v>9D</v>
          </cell>
          <cell r="E1796" t="str">
            <v>Ar Non Calling</v>
          </cell>
          <cell r="F1796" t="str">
            <v>Operations</v>
          </cell>
          <cell r="G1796" t="str">
            <v>AR Analyst</v>
          </cell>
          <cell r="H1796" t="str">
            <v>Operations</v>
          </cell>
          <cell r="I1796" t="str">
            <v>Direct</v>
          </cell>
          <cell r="J1796" t="str">
            <v>Experience</v>
          </cell>
          <cell r="K1796"/>
          <cell r="L1796">
            <v>57</v>
          </cell>
          <cell r="M1796">
            <v>25</v>
          </cell>
          <cell r="N1796">
            <v>23</v>
          </cell>
          <cell r="O1796">
            <v>9.913043478260869E-2</v>
          </cell>
          <cell r="P1796">
            <v>0.23164846329692657</v>
          </cell>
          <cell r="Q1796">
            <v>45839</v>
          </cell>
          <cell r="R1796">
            <v>35003.225806451614</v>
          </cell>
          <cell r="S1796">
            <v>0.23164846329692657</v>
          </cell>
          <cell r="T1796">
            <v>8108.4434684998396</v>
          </cell>
        </row>
        <row r="1797">
          <cell r="A1797">
            <v>736</v>
          </cell>
          <cell r="B1797" t="str">
            <v>Harini Sowmiyan</v>
          </cell>
          <cell r="C1797" t="str">
            <v>Physical Therapy &amp; Sports Medicine Center</v>
          </cell>
          <cell r="D1797" t="str">
            <v>31PT</v>
          </cell>
          <cell r="E1797" t="str">
            <v>Ar Non Calling</v>
          </cell>
          <cell r="F1797" t="str">
            <v>Operations</v>
          </cell>
          <cell r="G1797" t="str">
            <v>AR Analyst</v>
          </cell>
          <cell r="H1797" t="str">
            <v>Operations</v>
          </cell>
          <cell r="I1797" t="str">
            <v>Direct</v>
          </cell>
          <cell r="J1797" t="str">
            <v>Experience</v>
          </cell>
          <cell r="K1797"/>
          <cell r="L1797">
            <v>484</v>
          </cell>
          <cell r="M1797">
            <v>64</v>
          </cell>
          <cell r="N1797">
            <v>23</v>
          </cell>
          <cell r="O1797">
            <v>0.32880434782608697</v>
          </cell>
          <cell r="P1797">
            <v>0.76835153670307343</v>
          </cell>
          <cell r="Q1797">
            <v>45839</v>
          </cell>
          <cell r="R1797">
            <v>35003.225806451614</v>
          </cell>
          <cell r="S1797">
            <v>0.76835153670307343</v>
          </cell>
          <cell r="T1797">
            <v>26894.782337951776</v>
          </cell>
        </row>
        <row r="1798">
          <cell r="A1798">
            <v>713</v>
          </cell>
          <cell r="B1798" t="str">
            <v>Vignesh Ravi</v>
          </cell>
          <cell r="C1798" t="str">
            <v>Primetime Physical Therapy</v>
          </cell>
          <cell r="D1798" t="str">
            <v>32DS</v>
          </cell>
          <cell r="E1798" t="str">
            <v>Ar Calling</v>
          </cell>
          <cell r="F1798" t="str">
            <v>Operations</v>
          </cell>
          <cell r="G1798" t="str">
            <v>Senior AR Caller</v>
          </cell>
          <cell r="H1798" t="str">
            <v>Operations</v>
          </cell>
          <cell r="I1798" t="str">
            <v>Direct</v>
          </cell>
          <cell r="J1798" t="str">
            <v>Experience</v>
          </cell>
          <cell r="K1798"/>
          <cell r="L1798">
            <v>566</v>
          </cell>
          <cell r="M1798">
            <v>40</v>
          </cell>
          <cell r="N1798">
            <v>23</v>
          </cell>
          <cell r="O1798">
            <v>0.61521739130434783</v>
          </cell>
          <cell r="P1798">
            <v>1</v>
          </cell>
          <cell r="Q1798">
            <v>45839</v>
          </cell>
          <cell r="R1798">
            <v>42309.677419354841</v>
          </cell>
          <cell r="S1798">
            <v>1</v>
          </cell>
          <cell r="T1798">
            <v>42309.677419354841</v>
          </cell>
        </row>
        <row r="1799">
          <cell r="A1799">
            <v>344</v>
          </cell>
          <cell r="B1799" t="str">
            <v>Dhivyabharathi Veerasami</v>
          </cell>
          <cell r="C1799" t="str">
            <v>D'Souza &amp; Associates, Inc</v>
          </cell>
          <cell r="D1799" t="str">
            <v>9D</v>
          </cell>
          <cell r="E1799" t="str">
            <v>Ar Non Calling</v>
          </cell>
          <cell r="F1799" t="str">
            <v>Operations</v>
          </cell>
          <cell r="G1799" t="str">
            <v>Senior AR Analyst</v>
          </cell>
          <cell r="H1799" t="str">
            <v>Operations</v>
          </cell>
          <cell r="I1799" t="str">
            <v>Direct</v>
          </cell>
          <cell r="J1799" t="str">
            <v>Experience</v>
          </cell>
          <cell r="K1799"/>
          <cell r="L1799">
            <v>234</v>
          </cell>
          <cell r="M1799">
            <v>25</v>
          </cell>
          <cell r="N1799">
            <v>23</v>
          </cell>
          <cell r="O1799">
            <v>0.40695652173913038</v>
          </cell>
          <cell r="P1799">
            <v>0.8666666666666667</v>
          </cell>
          <cell r="Q1799">
            <v>45839</v>
          </cell>
          <cell r="R1799">
            <v>21956</v>
          </cell>
          <cell r="S1799">
            <v>0.8666666666666667</v>
          </cell>
          <cell r="T1799">
            <v>19028.533333333333</v>
          </cell>
        </row>
        <row r="1800">
          <cell r="A1800">
            <v>344</v>
          </cell>
          <cell r="B1800" t="str">
            <v>Dhivyabharathi Veerasami</v>
          </cell>
          <cell r="C1800" t="str">
            <v>HIS (Modmed)</v>
          </cell>
          <cell r="D1800" t="str">
            <v>47MOD</v>
          </cell>
          <cell r="E1800" t="str">
            <v>Ar Non Calling</v>
          </cell>
          <cell r="F1800" t="str">
            <v>Operations</v>
          </cell>
          <cell r="G1800" t="str">
            <v>Senior AR Analyst</v>
          </cell>
          <cell r="H1800" t="str">
            <v>Operations</v>
          </cell>
          <cell r="I1800" t="str">
            <v>Direct</v>
          </cell>
          <cell r="J1800" t="str">
            <v>Experience</v>
          </cell>
          <cell r="K1800"/>
          <cell r="L1800">
            <v>36</v>
          </cell>
          <cell r="M1800">
            <v>25</v>
          </cell>
          <cell r="N1800">
            <v>23</v>
          </cell>
          <cell r="O1800">
            <v>6.2608695652173904E-2</v>
          </cell>
          <cell r="P1800">
            <v>0.13333333333333333</v>
          </cell>
          <cell r="Q1800">
            <v>45839</v>
          </cell>
          <cell r="R1800">
            <v>21956</v>
          </cell>
          <cell r="S1800">
            <v>0.13333333333333333</v>
          </cell>
          <cell r="T1800">
            <v>2927.4666666666667</v>
          </cell>
        </row>
        <row r="1801">
          <cell r="A1801">
            <v>246</v>
          </cell>
          <cell r="B1801" t="str">
            <v>Feminasha Sathick Basha</v>
          </cell>
          <cell r="C1801" t="str">
            <v>D'Souza &amp; Associates, Inc</v>
          </cell>
          <cell r="D1801" t="str">
            <v>9D</v>
          </cell>
          <cell r="E1801" t="str">
            <v>Ar Non Calling</v>
          </cell>
          <cell r="F1801" t="str">
            <v>Operations</v>
          </cell>
          <cell r="G1801" t="str">
            <v>Senior AR Analyst</v>
          </cell>
          <cell r="H1801" t="str">
            <v>Operations</v>
          </cell>
          <cell r="I1801" t="str">
            <v>Direct</v>
          </cell>
          <cell r="J1801" t="str">
            <v>Experience</v>
          </cell>
          <cell r="K1801"/>
          <cell r="L1801">
            <v>393</v>
          </cell>
          <cell r="M1801">
            <v>25</v>
          </cell>
          <cell r="N1801">
            <v>23</v>
          </cell>
          <cell r="O1801">
            <v>0.6834782608695652</v>
          </cell>
          <cell r="P1801">
            <v>1</v>
          </cell>
          <cell r="Q1801">
            <v>45839</v>
          </cell>
          <cell r="R1801">
            <v>23289</v>
          </cell>
          <cell r="S1801">
            <v>1</v>
          </cell>
          <cell r="T1801">
            <v>23289</v>
          </cell>
        </row>
        <row r="1802">
          <cell r="A1802">
            <v>480</v>
          </cell>
          <cell r="B1802" t="str">
            <v>Gnanaprakash Gollakandriga</v>
          </cell>
          <cell r="C1802" t="str">
            <v>D'Souza &amp; Associates, Inc</v>
          </cell>
          <cell r="D1802" t="str">
            <v>9D</v>
          </cell>
          <cell r="E1802" t="str">
            <v>Ar Non Calling</v>
          </cell>
          <cell r="F1802" t="str">
            <v>Operations</v>
          </cell>
          <cell r="G1802" t="str">
            <v>AR Analyst</v>
          </cell>
          <cell r="H1802" t="str">
            <v>Operations</v>
          </cell>
          <cell r="I1802" t="str">
            <v>Direct</v>
          </cell>
          <cell r="J1802" t="str">
            <v>Experience</v>
          </cell>
          <cell r="K1802"/>
          <cell r="L1802">
            <v>997</v>
          </cell>
          <cell r="M1802">
            <v>64</v>
          </cell>
          <cell r="N1802">
            <v>23</v>
          </cell>
          <cell r="O1802">
            <v>0.67730978260869568</v>
          </cell>
          <cell r="P1802">
            <v>1</v>
          </cell>
          <cell r="Q1802">
            <v>45839</v>
          </cell>
          <cell r="R1802">
            <v>42066</v>
          </cell>
          <cell r="S1802">
            <v>1</v>
          </cell>
          <cell r="T1802">
            <v>42066</v>
          </cell>
        </row>
        <row r="1803">
          <cell r="A1803">
            <v>733</v>
          </cell>
          <cell r="B1803" t="str">
            <v>Jennifer Victorraj</v>
          </cell>
          <cell r="C1803" t="str">
            <v>D'Souza &amp; Associates, Inc</v>
          </cell>
          <cell r="D1803" t="str">
            <v>9D</v>
          </cell>
          <cell r="E1803" t="str">
            <v>Ar Non Calling</v>
          </cell>
          <cell r="F1803" t="str">
            <v>Operations</v>
          </cell>
          <cell r="G1803" t="str">
            <v>Senior AR Analyst</v>
          </cell>
          <cell r="H1803" t="str">
            <v>Operations</v>
          </cell>
          <cell r="I1803" t="str">
            <v>Direct</v>
          </cell>
          <cell r="J1803" t="str">
            <v>Experience</v>
          </cell>
          <cell r="K1803"/>
          <cell r="L1803">
            <v>1401</v>
          </cell>
          <cell r="M1803">
            <v>64</v>
          </cell>
          <cell r="N1803">
            <v>23</v>
          </cell>
          <cell r="O1803">
            <v>0.95176630434782605</v>
          </cell>
          <cell r="P1803">
            <v>1</v>
          </cell>
          <cell r="Q1803">
            <v>45839</v>
          </cell>
          <cell r="R1803">
            <v>40100</v>
          </cell>
          <cell r="S1803">
            <v>1</v>
          </cell>
          <cell r="T1803">
            <v>40100</v>
          </cell>
        </row>
        <row r="1804">
          <cell r="A1804">
            <v>628</v>
          </cell>
          <cell r="B1804" t="str">
            <v>Mohammed Fiyaz Syed Mohammed Umar</v>
          </cell>
          <cell r="C1804" t="str">
            <v>D'Souza &amp; Associates, Inc</v>
          </cell>
          <cell r="D1804" t="str">
            <v>9D</v>
          </cell>
          <cell r="E1804" t="str">
            <v>Ar Non Calling</v>
          </cell>
          <cell r="F1804" t="str">
            <v>Operations</v>
          </cell>
          <cell r="G1804" t="str">
            <v>AR Analyst</v>
          </cell>
          <cell r="H1804" t="str">
            <v>Operations</v>
          </cell>
          <cell r="I1804" t="str">
            <v>Direct</v>
          </cell>
          <cell r="J1804" t="str">
            <v>Experience</v>
          </cell>
          <cell r="K1804"/>
          <cell r="L1804">
            <v>183</v>
          </cell>
          <cell r="M1804">
            <v>25</v>
          </cell>
          <cell r="N1804">
            <v>23</v>
          </cell>
          <cell r="O1804">
            <v>0.31826086956521743</v>
          </cell>
          <cell r="P1804">
            <v>0.53313911143481418</v>
          </cell>
          <cell r="Q1804">
            <v>45839</v>
          </cell>
          <cell r="R1804">
            <v>30890.645161290322</v>
          </cell>
          <cell r="S1804">
            <v>0.53313911143481418</v>
          </cell>
          <cell r="T1804">
            <v>16469.011112938464</v>
          </cell>
        </row>
        <row r="1805">
          <cell r="A1805">
            <v>628</v>
          </cell>
          <cell r="B1805" t="str">
            <v>Mohammed Fiyaz Syed Mohammed Umar</v>
          </cell>
          <cell r="C1805" t="str">
            <v>Primetime Physical Therapy</v>
          </cell>
          <cell r="D1805" t="str">
            <v>32DS</v>
          </cell>
          <cell r="E1805" t="str">
            <v>Ar Non Calling</v>
          </cell>
          <cell r="F1805" t="str">
            <v>Operations</v>
          </cell>
          <cell r="G1805" t="str">
            <v>AR Analyst</v>
          </cell>
          <cell r="H1805" t="str">
            <v>Operations</v>
          </cell>
          <cell r="I1805" t="str">
            <v>Direct</v>
          </cell>
          <cell r="J1805" t="str">
            <v>Experience</v>
          </cell>
          <cell r="K1805"/>
          <cell r="L1805">
            <v>154</v>
          </cell>
          <cell r="M1805">
            <v>25</v>
          </cell>
          <cell r="N1805">
            <v>23</v>
          </cell>
          <cell r="O1805">
            <v>0.26782608695652177</v>
          </cell>
          <cell r="P1805">
            <v>0.44865258557902393</v>
          </cell>
          <cell r="Q1805">
            <v>45839</v>
          </cell>
          <cell r="R1805">
            <v>30890.645161290322</v>
          </cell>
          <cell r="S1805">
            <v>0.44865258557902393</v>
          </cell>
          <cell r="T1805">
            <v>13859.167821817067</v>
          </cell>
        </row>
        <row r="1806">
          <cell r="A1806">
            <v>628</v>
          </cell>
          <cell r="B1806" t="str">
            <v>Mohammed Fiyaz Syed Mohammed Umar</v>
          </cell>
          <cell r="C1806" t="str">
            <v>Primetime Physical Therapy</v>
          </cell>
          <cell r="D1806" t="str">
            <v>32DS</v>
          </cell>
          <cell r="E1806" t="str">
            <v>Ar Non Calling</v>
          </cell>
          <cell r="F1806" t="str">
            <v>Operations</v>
          </cell>
          <cell r="G1806" t="str">
            <v>AR Analyst</v>
          </cell>
          <cell r="H1806" t="str">
            <v>Operations</v>
          </cell>
          <cell r="I1806" t="str">
            <v>Direct</v>
          </cell>
          <cell r="J1806" t="str">
            <v>Experience</v>
          </cell>
          <cell r="K1806"/>
          <cell r="L1806">
            <v>16</v>
          </cell>
          <cell r="M1806">
            <v>64</v>
          </cell>
          <cell r="N1806">
            <v>23</v>
          </cell>
          <cell r="O1806">
            <v>1.0869565217391304E-2</v>
          </cell>
          <cell r="P1806">
            <v>1.8208302986161683E-2</v>
          </cell>
          <cell r="Q1806">
            <v>45839</v>
          </cell>
          <cell r="R1806">
            <v>30890.645161290322</v>
          </cell>
          <cell r="S1806">
            <v>1.8208302986161683E-2</v>
          </cell>
          <cell r="T1806">
            <v>562.46622653478346</v>
          </cell>
        </row>
        <row r="1807">
          <cell r="A1807">
            <v>731</v>
          </cell>
          <cell r="B1807" t="str">
            <v>Nandakumar perumal</v>
          </cell>
          <cell r="C1807" t="str">
            <v>D'Souza &amp; Associates, Inc</v>
          </cell>
          <cell r="D1807" t="str">
            <v>9D</v>
          </cell>
          <cell r="E1807" t="str">
            <v>Ar Non Calling</v>
          </cell>
          <cell r="F1807" t="str">
            <v>Operations</v>
          </cell>
          <cell r="G1807" t="str">
            <v>AR Analyst</v>
          </cell>
          <cell r="H1807" t="str">
            <v>Operations</v>
          </cell>
          <cell r="I1807" t="str">
            <v>Direct</v>
          </cell>
          <cell r="J1807" t="str">
            <v>Experience</v>
          </cell>
          <cell r="K1807"/>
          <cell r="L1807">
            <v>1385</v>
          </cell>
          <cell r="M1807">
            <v>64</v>
          </cell>
          <cell r="N1807">
            <v>23</v>
          </cell>
          <cell r="O1807">
            <v>0.94089673913043481</v>
          </cell>
          <cell r="P1807">
            <v>1</v>
          </cell>
          <cell r="Q1807">
            <v>45839</v>
          </cell>
          <cell r="R1807">
            <v>45600</v>
          </cell>
          <cell r="S1807">
            <v>1</v>
          </cell>
          <cell r="T1807">
            <v>45600</v>
          </cell>
        </row>
        <row r="1808">
          <cell r="A1808">
            <v>52</v>
          </cell>
          <cell r="B1808" t="str">
            <v>Rekha Babu</v>
          </cell>
          <cell r="C1808" t="str">
            <v>D'Souza &amp; Associates, Inc</v>
          </cell>
          <cell r="D1808" t="str">
            <v>9D</v>
          </cell>
          <cell r="E1808" t="str">
            <v>Ar Non Calling</v>
          </cell>
          <cell r="F1808" t="str">
            <v>Operations</v>
          </cell>
          <cell r="G1808" t="str">
            <v>Senior AR Analyst</v>
          </cell>
          <cell r="H1808" t="str">
            <v>Operations</v>
          </cell>
          <cell r="I1808" t="str">
            <v>Direct</v>
          </cell>
          <cell r="J1808" t="str">
            <v>Experience</v>
          </cell>
          <cell r="K1808"/>
          <cell r="L1808">
            <v>154</v>
          </cell>
          <cell r="M1808">
            <v>25</v>
          </cell>
          <cell r="N1808">
            <v>23</v>
          </cell>
          <cell r="O1808">
            <v>0.26782608695652177</v>
          </cell>
          <cell r="P1808">
            <v>0.88149539397191667</v>
          </cell>
          <cell r="Q1808">
            <v>45839</v>
          </cell>
          <cell r="R1808">
            <v>28030</v>
          </cell>
          <cell r="S1808">
            <v>0.88149539397191667</v>
          </cell>
          <cell r="T1808">
            <v>24708.315893032825</v>
          </cell>
        </row>
        <row r="1809">
          <cell r="A1809">
            <v>52</v>
          </cell>
          <cell r="B1809" t="str">
            <v>Rekha Babu</v>
          </cell>
          <cell r="C1809" t="str">
            <v>HIS (Modmed)</v>
          </cell>
          <cell r="D1809" t="str">
            <v>47MOD</v>
          </cell>
          <cell r="E1809" t="str">
            <v>Ar Non Calling</v>
          </cell>
          <cell r="F1809" t="str">
            <v>Operations</v>
          </cell>
          <cell r="G1809" t="str">
            <v>Senior AR Analyst</v>
          </cell>
          <cell r="H1809" t="str">
            <v>Operations</v>
          </cell>
          <cell r="I1809" t="str">
            <v>Direct</v>
          </cell>
          <cell r="J1809" t="str">
            <v>Experience</v>
          </cell>
          <cell r="K1809"/>
          <cell r="L1809">
            <v>53</v>
          </cell>
          <cell r="M1809">
            <v>64</v>
          </cell>
          <cell r="N1809">
            <v>23</v>
          </cell>
          <cell r="O1809">
            <v>3.6005434782608696E-2</v>
          </cell>
          <cell r="P1809">
            <v>0.11850460602808334</v>
          </cell>
          <cell r="Q1809">
            <v>45839</v>
          </cell>
          <cell r="R1809">
            <v>28030</v>
          </cell>
          <cell r="S1809">
            <v>0.11850460602808334</v>
          </cell>
          <cell r="T1809">
            <v>3321.6841069671759</v>
          </cell>
        </row>
        <row r="1810">
          <cell r="A1810">
            <v>654</v>
          </cell>
          <cell r="B1810" t="str">
            <v>Sandhiya Gandhi</v>
          </cell>
          <cell r="C1810" t="str">
            <v>D'Souza &amp; Associates, Inc</v>
          </cell>
          <cell r="D1810" t="str">
            <v>9D</v>
          </cell>
          <cell r="E1810" t="str">
            <v>Ar Non Calling</v>
          </cell>
          <cell r="F1810" t="str">
            <v>Operations</v>
          </cell>
          <cell r="G1810" t="str">
            <v>AR Analyst</v>
          </cell>
          <cell r="H1810" t="str">
            <v>Operations</v>
          </cell>
          <cell r="I1810" t="str">
            <v>Direct</v>
          </cell>
          <cell r="J1810" t="str">
            <v>Experience</v>
          </cell>
          <cell r="K1810"/>
          <cell r="L1810">
            <v>1411</v>
          </cell>
          <cell r="M1810">
            <v>64</v>
          </cell>
          <cell r="N1810">
            <v>23</v>
          </cell>
          <cell r="O1810">
            <v>0.95855978260869568</v>
          </cell>
          <cell r="P1810">
            <v>1</v>
          </cell>
          <cell r="Q1810">
            <v>45839</v>
          </cell>
          <cell r="R1810">
            <v>15661</v>
          </cell>
          <cell r="S1810">
            <v>1</v>
          </cell>
          <cell r="T1810">
            <v>15661</v>
          </cell>
        </row>
        <row r="1811">
          <cell r="A1811">
            <v>417</v>
          </cell>
          <cell r="B1811" t="str">
            <v>Thilagavathi Elumalai</v>
          </cell>
          <cell r="C1811" t="str">
            <v>D'Souza &amp; Associates, Inc</v>
          </cell>
          <cell r="D1811" t="str">
            <v>9D</v>
          </cell>
          <cell r="E1811" t="str">
            <v>Ar Non Calling</v>
          </cell>
          <cell r="F1811" t="str">
            <v>Operations</v>
          </cell>
          <cell r="G1811" t="str">
            <v>AR Analyst</v>
          </cell>
          <cell r="H1811" t="str">
            <v>Operations</v>
          </cell>
          <cell r="I1811" t="str">
            <v>Direct</v>
          </cell>
          <cell r="J1811" t="str">
            <v>Experience</v>
          </cell>
          <cell r="K1811"/>
          <cell r="L1811">
            <v>1460</v>
          </cell>
          <cell r="M1811">
            <v>64</v>
          </cell>
          <cell r="N1811">
            <v>23</v>
          </cell>
          <cell r="O1811">
            <v>0.99184782608695654</v>
          </cell>
          <cell r="P1811">
            <v>1</v>
          </cell>
          <cell r="Q1811">
            <v>45839</v>
          </cell>
          <cell r="R1811">
            <v>30956</v>
          </cell>
          <cell r="S1811">
            <v>1</v>
          </cell>
          <cell r="T1811">
            <v>30956</v>
          </cell>
        </row>
        <row r="1812">
          <cell r="A1812">
            <v>451</v>
          </cell>
          <cell r="B1812" t="str">
            <v>Sriram Sundaramoorthy</v>
          </cell>
          <cell r="C1812" t="str">
            <v>D'Souza &amp; Associates, Inc</v>
          </cell>
          <cell r="D1812" t="str">
            <v>9D</v>
          </cell>
          <cell r="E1812" t="str">
            <v>Ar Calling</v>
          </cell>
          <cell r="F1812" t="str">
            <v>Operations</v>
          </cell>
          <cell r="G1812" t="str">
            <v>Senior AR Caller</v>
          </cell>
          <cell r="H1812" t="str">
            <v>Operations</v>
          </cell>
          <cell r="I1812" t="str">
            <v>Direct</v>
          </cell>
          <cell r="J1812" t="str">
            <v>Experience</v>
          </cell>
          <cell r="K1812"/>
          <cell r="L1812">
            <v>391</v>
          </cell>
          <cell r="M1812">
            <v>40</v>
          </cell>
          <cell r="N1812">
            <v>23</v>
          </cell>
          <cell r="O1812">
            <v>0.42499999999999999</v>
          </cell>
          <cell r="P1812">
            <v>1</v>
          </cell>
          <cell r="Q1812">
            <v>45839</v>
          </cell>
          <cell r="R1812">
            <v>44037</v>
          </cell>
          <cell r="S1812">
            <v>1</v>
          </cell>
          <cell r="T1812">
            <v>44037</v>
          </cell>
        </row>
        <row r="1813">
          <cell r="A1813">
            <v>711</v>
          </cell>
          <cell r="B1813" t="str">
            <v>Radhika Nagarajan</v>
          </cell>
          <cell r="C1813" t="str">
            <v>D'Souza &amp; Associates, Inc</v>
          </cell>
          <cell r="D1813" t="str">
            <v>9D</v>
          </cell>
          <cell r="E1813" t="str">
            <v>Ar Non Calling</v>
          </cell>
          <cell r="F1813" t="str">
            <v>Operations</v>
          </cell>
          <cell r="G1813" t="str">
            <v>Senior AR Analyst</v>
          </cell>
          <cell r="H1813" t="str">
            <v>Operations</v>
          </cell>
          <cell r="I1813" t="str">
            <v>Direct</v>
          </cell>
          <cell r="J1813" t="str">
            <v>Experience</v>
          </cell>
          <cell r="K1813"/>
          <cell r="L1813">
            <v>189</v>
          </cell>
          <cell r="M1813">
            <v>64</v>
          </cell>
          <cell r="N1813">
            <v>23</v>
          </cell>
          <cell r="O1813">
            <v>0.12839673913043478</v>
          </cell>
          <cell r="P1813">
            <v>1</v>
          </cell>
          <cell r="Q1813">
            <v>45839</v>
          </cell>
          <cell r="R1813">
            <v>35600</v>
          </cell>
          <cell r="S1813">
            <v>1</v>
          </cell>
          <cell r="T1813">
            <v>35600</v>
          </cell>
        </row>
        <row r="1814">
          <cell r="A1814">
            <v>702</v>
          </cell>
          <cell r="B1814" t="str">
            <v>Sathya Andi</v>
          </cell>
          <cell r="C1814" t="str">
            <v>D'Souza &amp; Associates, Inc</v>
          </cell>
          <cell r="D1814" t="str">
            <v>9D</v>
          </cell>
          <cell r="E1814" t="str">
            <v>Ar Non Calling</v>
          </cell>
          <cell r="F1814" t="str">
            <v>Operations</v>
          </cell>
          <cell r="G1814" t="str">
            <v>AR Analyst</v>
          </cell>
          <cell r="H1814" t="str">
            <v>Operations</v>
          </cell>
          <cell r="I1814" t="str">
            <v>Direct</v>
          </cell>
          <cell r="J1814" t="str">
            <v>Experience</v>
          </cell>
          <cell r="K1814"/>
          <cell r="L1814">
            <v>257</v>
          </cell>
          <cell r="M1814">
            <v>64</v>
          </cell>
          <cell r="N1814">
            <v>23</v>
          </cell>
          <cell r="O1814">
            <v>0.17459239130434784</v>
          </cell>
          <cell r="P1814">
            <v>1</v>
          </cell>
          <cell r="Q1814">
            <v>45839</v>
          </cell>
          <cell r="R1814">
            <v>35600</v>
          </cell>
          <cell r="S1814">
            <v>1</v>
          </cell>
          <cell r="T1814">
            <v>35600</v>
          </cell>
        </row>
        <row r="1815">
          <cell r="A1815">
            <v>349</v>
          </cell>
          <cell r="B1815" t="str">
            <v>Tamilarasan Paranthaman</v>
          </cell>
          <cell r="C1815" t="str">
            <v>D'Souza &amp; Associates, Inc</v>
          </cell>
          <cell r="D1815" t="str">
            <v>9D</v>
          </cell>
          <cell r="E1815" t="str">
            <v>Ar Non Calling</v>
          </cell>
          <cell r="F1815" t="str">
            <v>Operations</v>
          </cell>
          <cell r="G1815" t="str">
            <v>Senior Process Associate</v>
          </cell>
          <cell r="H1815" t="str">
            <v>Operations</v>
          </cell>
          <cell r="I1815" t="str">
            <v>Direct</v>
          </cell>
          <cell r="J1815" t="str">
            <v>Experience</v>
          </cell>
          <cell r="K1815"/>
          <cell r="L1815">
            <v>282</v>
          </cell>
          <cell r="M1815">
            <v>64</v>
          </cell>
          <cell r="N1815">
            <v>23</v>
          </cell>
          <cell r="O1815">
            <v>0.19157608695652173</v>
          </cell>
          <cell r="P1815">
            <v>1</v>
          </cell>
          <cell r="Q1815">
            <v>45839</v>
          </cell>
          <cell r="R1815">
            <v>22939</v>
          </cell>
          <cell r="S1815">
            <v>1</v>
          </cell>
          <cell r="T1815">
            <v>22939</v>
          </cell>
        </row>
        <row r="1816">
          <cell r="A1816">
            <v>655</v>
          </cell>
          <cell r="B1816" t="str">
            <v>Eswar Sivakumar</v>
          </cell>
          <cell r="C1816" t="str">
            <v>D'Souza &amp; Associates, Inc</v>
          </cell>
          <cell r="D1816" t="str">
            <v>9D</v>
          </cell>
          <cell r="E1816" t="str">
            <v>Ar Non Calling</v>
          </cell>
          <cell r="F1816" t="str">
            <v>Operations</v>
          </cell>
          <cell r="G1816" t="str">
            <v>AR Analyst</v>
          </cell>
          <cell r="H1816" t="str">
            <v>Operations</v>
          </cell>
          <cell r="I1816" t="str">
            <v>Direct</v>
          </cell>
          <cell r="J1816" t="str">
            <v>Experience</v>
          </cell>
          <cell r="K1816"/>
          <cell r="L1816">
            <v>1027</v>
          </cell>
          <cell r="M1816">
            <v>64</v>
          </cell>
          <cell r="N1816">
            <v>23</v>
          </cell>
          <cell r="O1816">
            <v>0.69769021739130432</v>
          </cell>
          <cell r="P1816">
            <v>1</v>
          </cell>
          <cell r="Q1816">
            <v>45839</v>
          </cell>
          <cell r="R1816">
            <v>15661</v>
          </cell>
          <cell r="S1816">
            <v>1</v>
          </cell>
          <cell r="T1816">
            <v>15661</v>
          </cell>
        </row>
        <row r="1817">
          <cell r="A1817">
            <v>491</v>
          </cell>
          <cell r="B1817" t="str">
            <v>Madhumitha Murugesan</v>
          </cell>
          <cell r="C1817" t="str">
            <v>D'Souza &amp; Associates, Inc</v>
          </cell>
          <cell r="D1817" t="str">
            <v>9D</v>
          </cell>
          <cell r="E1817" t="str">
            <v>Ar Non Calling</v>
          </cell>
          <cell r="F1817" t="str">
            <v>Operations</v>
          </cell>
          <cell r="G1817" t="str">
            <v>AR Analyst</v>
          </cell>
          <cell r="H1817" t="str">
            <v>Operations</v>
          </cell>
          <cell r="I1817" t="str">
            <v>Direct</v>
          </cell>
          <cell r="J1817" t="str">
            <v>Experience</v>
          </cell>
          <cell r="K1817"/>
          <cell r="L1817">
            <v>1191</v>
          </cell>
          <cell r="M1817">
            <v>64</v>
          </cell>
          <cell r="N1817">
            <v>23</v>
          </cell>
          <cell r="O1817">
            <v>0.80910326086956519</v>
          </cell>
          <cell r="P1817">
            <v>1</v>
          </cell>
          <cell r="Q1817">
            <v>45839</v>
          </cell>
          <cell r="R1817">
            <v>17691</v>
          </cell>
          <cell r="S1817">
            <v>1</v>
          </cell>
          <cell r="T1817">
            <v>17691</v>
          </cell>
        </row>
        <row r="1818">
          <cell r="A1818">
            <v>560</v>
          </cell>
          <cell r="B1818" t="str">
            <v>Sanjeeth Bavan</v>
          </cell>
          <cell r="C1818" t="str">
            <v>D'Souza &amp; Associates, Inc</v>
          </cell>
          <cell r="D1818" t="str">
            <v>9D</v>
          </cell>
          <cell r="E1818" t="str">
            <v>Ar Non Calling</v>
          </cell>
          <cell r="F1818" t="str">
            <v>Operations</v>
          </cell>
          <cell r="G1818" t="str">
            <v>AR Caller</v>
          </cell>
          <cell r="H1818" t="str">
            <v>Operations</v>
          </cell>
          <cell r="I1818" t="str">
            <v>Direct</v>
          </cell>
          <cell r="J1818" t="str">
            <v>Experience</v>
          </cell>
          <cell r="K1818"/>
          <cell r="L1818">
            <v>1249</v>
          </cell>
          <cell r="M1818">
            <v>64</v>
          </cell>
          <cell r="N1818">
            <v>23</v>
          </cell>
          <cell r="O1818">
            <v>0.84850543478260865</v>
          </cell>
          <cell r="P1818">
            <v>1</v>
          </cell>
          <cell r="Q1818">
            <v>45839</v>
          </cell>
          <cell r="R1818">
            <v>17161</v>
          </cell>
          <cell r="S1818">
            <v>1</v>
          </cell>
          <cell r="T1818">
            <v>17161</v>
          </cell>
        </row>
        <row r="1819">
          <cell r="A1819">
            <v>490</v>
          </cell>
          <cell r="B1819" t="str">
            <v>Sharmiya Sankari Nagendran</v>
          </cell>
          <cell r="C1819" t="str">
            <v>D'Souza &amp; Associates, Inc</v>
          </cell>
          <cell r="D1819" t="str">
            <v>9D</v>
          </cell>
          <cell r="E1819" t="str">
            <v>Ar Non Calling</v>
          </cell>
          <cell r="F1819" t="str">
            <v>Operations</v>
          </cell>
          <cell r="G1819" t="str">
            <v>AR Analyst</v>
          </cell>
          <cell r="H1819" t="str">
            <v>Operations</v>
          </cell>
          <cell r="I1819" t="str">
            <v>Direct</v>
          </cell>
          <cell r="J1819" t="str">
            <v>Experience</v>
          </cell>
          <cell r="K1819"/>
          <cell r="L1819">
            <v>1423</v>
          </cell>
          <cell r="M1819">
            <v>64</v>
          </cell>
          <cell r="N1819">
            <v>23</v>
          </cell>
          <cell r="O1819">
            <v>0.96671195652173914</v>
          </cell>
          <cell r="P1819">
            <v>1</v>
          </cell>
          <cell r="Q1819">
            <v>45839</v>
          </cell>
          <cell r="R1819">
            <v>17691</v>
          </cell>
          <cell r="S1819">
            <v>1</v>
          </cell>
          <cell r="T1819">
            <v>17691</v>
          </cell>
        </row>
        <row r="1820">
          <cell r="A1820">
            <v>566</v>
          </cell>
          <cell r="B1820" t="str">
            <v>Vani Thulasi Ram</v>
          </cell>
          <cell r="C1820" t="str">
            <v>D'Souza &amp; Associates, Inc</v>
          </cell>
          <cell r="D1820" t="str">
            <v>9D</v>
          </cell>
          <cell r="E1820" t="str">
            <v>Ar Non Calling</v>
          </cell>
          <cell r="F1820" t="str">
            <v>Operations</v>
          </cell>
          <cell r="G1820" t="str">
            <v>AR Analyst</v>
          </cell>
          <cell r="H1820" t="str">
            <v>Operations</v>
          </cell>
          <cell r="I1820" t="str">
            <v>Direct</v>
          </cell>
          <cell r="J1820" t="str">
            <v>Experience</v>
          </cell>
          <cell r="K1820"/>
          <cell r="L1820">
            <v>254</v>
          </cell>
          <cell r="M1820">
            <v>64</v>
          </cell>
          <cell r="N1820">
            <v>23</v>
          </cell>
          <cell r="O1820">
            <v>0.17255434782608695</v>
          </cell>
          <cell r="P1820">
            <v>1</v>
          </cell>
          <cell r="Q1820">
            <v>45839</v>
          </cell>
          <cell r="R1820">
            <v>16133.58064516129</v>
          </cell>
          <cell r="S1820">
            <v>1</v>
          </cell>
          <cell r="T1820">
            <v>16133.58064516129</v>
          </cell>
        </row>
        <row r="1821">
          <cell r="A1821">
            <v>118</v>
          </cell>
          <cell r="B1821" t="str">
            <v>Rani bhuvanesh Murugaiya</v>
          </cell>
          <cell r="C1821" t="str">
            <v>D'Souza &amp; Associates, Inc</v>
          </cell>
          <cell r="D1821" t="str">
            <v>9D</v>
          </cell>
          <cell r="E1821" t="str">
            <v>Ar Non Calling</v>
          </cell>
          <cell r="F1821" t="str">
            <v>Operations</v>
          </cell>
          <cell r="G1821" t="str">
            <v>Senior AR Analyst</v>
          </cell>
          <cell r="H1821" t="str">
            <v>Operations</v>
          </cell>
          <cell r="I1821" t="str">
            <v>Direct</v>
          </cell>
          <cell r="J1821" t="str">
            <v>Experience</v>
          </cell>
          <cell r="K1821"/>
          <cell r="L1821">
            <v>1521</v>
          </cell>
          <cell r="M1821">
            <v>64</v>
          </cell>
          <cell r="N1821">
            <v>23</v>
          </cell>
          <cell r="O1821">
            <v>1.033288043478261</v>
          </cell>
          <cell r="P1821">
            <v>1</v>
          </cell>
          <cell r="Q1821">
            <v>45839</v>
          </cell>
          <cell r="R1821">
            <v>24411</v>
          </cell>
          <cell r="S1821">
            <v>1</v>
          </cell>
          <cell r="T1821">
            <v>24411</v>
          </cell>
        </row>
        <row r="1822">
          <cell r="A1822">
            <v>547</v>
          </cell>
          <cell r="B1822" t="str">
            <v>Jayasridhar Sellamuthu</v>
          </cell>
          <cell r="C1822" t="str">
            <v>HIS (Modmed)</v>
          </cell>
          <cell r="D1822" t="str">
            <v>47MOD</v>
          </cell>
          <cell r="E1822" t="str">
            <v>Ar Calling</v>
          </cell>
          <cell r="F1822" t="str">
            <v>Operations</v>
          </cell>
          <cell r="G1822" t="str">
            <v>Senior AR Caller</v>
          </cell>
          <cell r="H1822" t="str">
            <v>Operations</v>
          </cell>
          <cell r="I1822" t="str">
            <v>Direct</v>
          </cell>
          <cell r="J1822" t="str">
            <v>Experience</v>
          </cell>
          <cell r="K1822"/>
          <cell r="L1822">
            <v>294</v>
          </cell>
          <cell r="M1822">
            <v>40</v>
          </cell>
          <cell r="N1822">
            <v>23</v>
          </cell>
          <cell r="O1822">
            <v>0.31956521739130433</v>
          </cell>
          <cell r="P1822">
            <v>0.438058748403576</v>
          </cell>
          <cell r="Q1822">
            <v>45839</v>
          </cell>
          <cell r="R1822">
            <v>23941</v>
          </cell>
          <cell r="S1822">
            <v>0.438058748403576</v>
          </cell>
          <cell r="T1822">
            <v>10487.564495530012</v>
          </cell>
        </row>
        <row r="1823">
          <cell r="A1823">
            <v>547</v>
          </cell>
          <cell r="B1823" t="str">
            <v>Jayasridhar Sellamuthu</v>
          </cell>
          <cell r="C1823" t="str">
            <v>Source It Dental</v>
          </cell>
          <cell r="D1823" t="str">
            <v>14OD</v>
          </cell>
          <cell r="E1823" t="str">
            <v>Source IT - CHPD AR</v>
          </cell>
          <cell r="F1823" t="str">
            <v>Operations</v>
          </cell>
          <cell r="G1823" t="str">
            <v>Senior AR Caller</v>
          </cell>
          <cell r="H1823" t="str">
            <v>Operations</v>
          </cell>
          <cell r="I1823" t="str">
            <v>Direct</v>
          </cell>
          <cell r="J1823" t="str">
            <v>Experience</v>
          </cell>
          <cell r="K1823"/>
          <cell r="L1823">
            <v>330</v>
          </cell>
          <cell r="M1823">
            <v>35</v>
          </cell>
          <cell r="N1823">
            <v>23</v>
          </cell>
          <cell r="O1823">
            <v>0.40993788819875776</v>
          </cell>
          <cell r="P1823">
            <v>0.56194125159642405</v>
          </cell>
          <cell r="Q1823">
            <v>45839</v>
          </cell>
          <cell r="R1823">
            <v>23941</v>
          </cell>
          <cell r="S1823">
            <v>0.56194125159642405</v>
          </cell>
          <cell r="T1823">
            <v>13453.435504469988</v>
          </cell>
        </row>
        <row r="1824">
          <cell r="A1824">
            <v>774</v>
          </cell>
          <cell r="B1824" t="str">
            <v>Birudolu Manjusree Birudolu Nagaraju</v>
          </cell>
          <cell r="C1824" t="str">
            <v>Emergence Health Holdings</v>
          </cell>
          <cell r="D1824" t="str">
            <v>50EH</v>
          </cell>
          <cell r="E1824" t="str">
            <v>Ar Calling</v>
          </cell>
          <cell r="F1824" t="str">
            <v>Operations</v>
          </cell>
          <cell r="G1824" t="str">
            <v>AR Caller</v>
          </cell>
          <cell r="H1824" t="str">
            <v>Operations</v>
          </cell>
          <cell r="I1824" t="str">
            <v>Direct</v>
          </cell>
          <cell r="J1824" t="str">
            <v>Experience</v>
          </cell>
          <cell r="K1824"/>
          <cell r="L1824">
            <v>286</v>
          </cell>
          <cell r="M1824">
            <v>40</v>
          </cell>
          <cell r="N1824">
            <v>23</v>
          </cell>
          <cell r="O1824">
            <v>0.31086956521739134</v>
          </cell>
          <cell r="P1824">
            <v>1</v>
          </cell>
          <cell r="Q1824">
            <v>45839</v>
          </cell>
          <cell r="R1824">
            <v>24422.451612903227</v>
          </cell>
          <cell r="S1824">
            <v>1</v>
          </cell>
          <cell r="T1824">
            <v>24422.451612903227</v>
          </cell>
        </row>
        <row r="1825">
          <cell r="A1825">
            <v>765</v>
          </cell>
          <cell r="B1825" t="str">
            <v>Merlin Suja Siluvai dass</v>
          </cell>
          <cell r="C1825" t="str">
            <v>Emergence Health Holdings</v>
          </cell>
          <cell r="D1825" t="str">
            <v>50EH</v>
          </cell>
          <cell r="E1825" t="str">
            <v>Ar Calling</v>
          </cell>
          <cell r="F1825" t="str">
            <v>Operations</v>
          </cell>
          <cell r="G1825" t="str">
            <v>Senior AR Caller</v>
          </cell>
          <cell r="H1825" t="str">
            <v>Operations</v>
          </cell>
          <cell r="I1825" t="str">
            <v>Direct</v>
          </cell>
          <cell r="J1825" t="str">
            <v>Experience</v>
          </cell>
          <cell r="K1825"/>
          <cell r="L1825">
            <v>394</v>
          </cell>
          <cell r="M1825">
            <v>40</v>
          </cell>
          <cell r="N1825">
            <v>23</v>
          </cell>
          <cell r="O1825">
            <v>0.42826086956521736</v>
          </cell>
          <cell r="P1825">
            <v>1</v>
          </cell>
          <cell r="Q1825">
            <v>45839</v>
          </cell>
          <cell r="R1825">
            <v>43825.806451612902</v>
          </cell>
          <cell r="S1825">
            <v>1</v>
          </cell>
          <cell r="T1825">
            <v>43825.806451612902</v>
          </cell>
        </row>
        <row r="1826">
          <cell r="A1826">
            <v>762</v>
          </cell>
          <cell r="B1826" t="str">
            <v>Sunil Kumar Anandan</v>
          </cell>
          <cell r="C1826" t="str">
            <v>Emergence Health Holdings</v>
          </cell>
          <cell r="D1826" t="str">
            <v>50EH</v>
          </cell>
          <cell r="E1826" t="str">
            <v>Ar Calling</v>
          </cell>
          <cell r="F1826" t="str">
            <v>Operations</v>
          </cell>
          <cell r="G1826" t="str">
            <v>AR Caller</v>
          </cell>
          <cell r="H1826" t="str">
            <v>Operations</v>
          </cell>
          <cell r="I1826" t="str">
            <v>Direct</v>
          </cell>
          <cell r="J1826" t="str">
            <v>Experience</v>
          </cell>
          <cell r="K1826"/>
          <cell r="L1826">
            <v>354</v>
          </cell>
          <cell r="M1826">
            <v>40</v>
          </cell>
          <cell r="N1826">
            <v>23</v>
          </cell>
          <cell r="O1826">
            <v>0.38478260869565217</v>
          </cell>
          <cell r="P1826">
            <v>1</v>
          </cell>
          <cell r="Q1826">
            <v>45839</v>
          </cell>
          <cell r="R1826">
            <v>34567.741935483871</v>
          </cell>
          <cell r="S1826">
            <v>1</v>
          </cell>
          <cell r="T1826">
            <v>34567.741935483871</v>
          </cell>
        </row>
        <row r="1827">
          <cell r="A1827">
            <v>760</v>
          </cell>
          <cell r="B1827" t="str">
            <v>Goldwin Nesaraj Gnanaraj</v>
          </cell>
          <cell r="C1827" t="str">
            <v>Emergence Health Holdings</v>
          </cell>
          <cell r="D1827" t="str">
            <v>50EH</v>
          </cell>
          <cell r="E1827" t="str">
            <v>Ar Non Calling</v>
          </cell>
          <cell r="F1827" t="str">
            <v>Operations</v>
          </cell>
          <cell r="G1827" t="str">
            <v>AR Analyst</v>
          </cell>
          <cell r="H1827" t="str">
            <v>Operations</v>
          </cell>
          <cell r="I1827" t="str">
            <v>Direct</v>
          </cell>
          <cell r="J1827" t="str">
            <v>Experience</v>
          </cell>
          <cell r="K1827"/>
          <cell r="L1827">
            <v>538</v>
          </cell>
          <cell r="M1827">
            <v>40</v>
          </cell>
          <cell r="N1827">
            <v>23</v>
          </cell>
          <cell r="O1827">
            <v>0.58478260869565213</v>
          </cell>
          <cell r="P1827">
            <v>1</v>
          </cell>
          <cell r="Q1827">
            <v>45839</v>
          </cell>
          <cell r="R1827">
            <v>30240</v>
          </cell>
          <cell r="S1827">
            <v>1</v>
          </cell>
          <cell r="T1827">
            <v>30240</v>
          </cell>
        </row>
        <row r="1828">
          <cell r="A1828">
            <v>773</v>
          </cell>
          <cell r="B1828" t="str">
            <v>Joe David Josephraj</v>
          </cell>
          <cell r="C1828" t="str">
            <v>Emergence Health Holdings</v>
          </cell>
          <cell r="D1828" t="str">
            <v>50EH</v>
          </cell>
          <cell r="E1828" t="str">
            <v>Ar Non Calling</v>
          </cell>
          <cell r="F1828" t="str">
            <v>Operations</v>
          </cell>
          <cell r="G1828" t="str">
            <v>AR Analyst</v>
          </cell>
          <cell r="H1828" t="str">
            <v>Operations</v>
          </cell>
          <cell r="I1828" t="str">
            <v>Direct</v>
          </cell>
          <cell r="J1828" t="str">
            <v>Experience</v>
          </cell>
          <cell r="K1828"/>
          <cell r="L1828">
            <v>544</v>
          </cell>
          <cell r="M1828">
            <v>40</v>
          </cell>
          <cell r="N1828">
            <v>23</v>
          </cell>
          <cell r="O1828">
            <v>0.59130434782608698</v>
          </cell>
          <cell r="P1828">
            <v>1</v>
          </cell>
          <cell r="Q1828">
            <v>45839</v>
          </cell>
          <cell r="R1828">
            <v>30240</v>
          </cell>
          <cell r="S1828">
            <v>1</v>
          </cell>
          <cell r="T1828">
            <v>30240</v>
          </cell>
        </row>
        <row r="1829">
          <cell r="A1829">
            <v>771</v>
          </cell>
          <cell r="B1829" t="str">
            <v>Pavithra Selvaraj</v>
          </cell>
          <cell r="C1829" t="str">
            <v>Emergence Health Holdings</v>
          </cell>
          <cell r="D1829" t="str">
            <v>50EH</v>
          </cell>
          <cell r="E1829" t="str">
            <v>Ar Non Calling</v>
          </cell>
          <cell r="F1829" t="str">
            <v>Operations</v>
          </cell>
          <cell r="G1829" t="str">
            <v>Senior AR Analyst</v>
          </cell>
          <cell r="H1829" t="str">
            <v>Operations</v>
          </cell>
          <cell r="I1829" t="str">
            <v>Direct</v>
          </cell>
          <cell r="J1829" t="str">
            <v>Experience</v>
          </cell>
          <cell r="K1829"/>
          <cell r="L1829">
            <v>516</v>
          </cell>
          <cell r="M1829">
            <v>40</v>
          </cell>
          <cell r="N1829">
            <v>23</v>
          </cell>
          <cell r="O1829">
            <v>0.56086956521739129</v>
          </cell>
          <cell r="P1829">
            <v>1</v>
          </cell>
          <cell r="Q1829">
            <v>45839</v>
          </cell>
          <cell r="R1829">
            <v>37600</v>
          </cell>
          <cell r="S1829">
            <v>1</v>
          </cell>
          <cell r="T1829">
            <v>37600</v>
          </cell>
        </row>
        <row r="1830">
          <cell r="A1830">
            <v>635</v>
          </cell>
          <cell r="B1830" t="str">
            <v>Sasikumar Manikandan</v>
          </cell>
          <cell r="C1830" t="str">
            <v>Emergence Health Holdings</v>
          </cell>
          <cell r="D1830" t="str">
            <v>50EH</v>
          </cell>
          <cell r="E1830" t="str">
            <v>Ar Non Calling</v>
          </cell>
          <cell r="F1830" t="str">
            <v>Operations</v>
          </cell>
          <cell r="G1830" t="str">
            <v>Senior AR Analyst</v>
          </cell>
          <cell r="H1830" t="str">
            <v>Operations</v>
          </cell>
          <cell r="I1830" t="str">
            <v>Direct</v>
          </cell>
          <cell r="J1830" t="str">
            <v>Experience</v>
          </cell>
          <cell r="K1830"/>
          <cell r="L1830">
            <v>330</v>
          </cell>
          <cell r="M1830">
            <v>40</v>
          </cell>
          <cell r="N1830">
            <v>23</v>
          </cell>
          <cell r="O1830">
            <v>0.35869565217391303</v>
          </cell>
          <cell r="P1830">
            <v>1</v>
          </cell>
          <cell r="Q1830">
            <v>45839</v>
          </cell>
          <cell r="R1830">
            <v>38600</v>
          </cell>
          <cell r="S1830">
            <v>1</v>
          </cell>
          <cell r="T1830">
            <v>38600</v>
          </cell>
        </row>
        <row r="1831">
          <cell r="A1831">
            <v>607</v>
          </cell>
          <cell r="B1831" t="str">
            <v>Suriyaprakash Devaraj</v>
          </cell>
          <cell r="C1831" t="str">
            <v>Emergence Health Holdings</v>
          </cell>
          <cell r="D1831" t="str">
            <v>50EH</v>
          </cell>
          <cell r="E1831" t="str">
            <v>Ar Non Calling</v>
          </cell>
          <cell r="F1831" t="str">
            <v>Operations</v>
          </cell>
          <cell r="G1831" t="str">
            <v>Senior AR Analyst</v>
          </cell>
          <cell r="H1831" t="str">
            <v>Operations</v>
          </cell>
          <cell r="I1831" t="str">
            <v>Direct</v>
          </cell>
          <cell r="J1831" t="str">
            <v>Experience</v>
          </cell>
          <cell r="K1831"/>
          <cell r="L1831">
            <v>606</v>
          </cell>
          <cell r="M1831">
            <v>40</v>
          </cell>
          <cell r="N1831">
            <v>23</v>
          </cell>
          <cell r="O1831">
            <v>0.65869565217391302</v>
          </cell>
          <cell r="P1831">
            <v>1</v>
          </cell>
          <cell r="Q1831">
            <v>45839</v>
          </cell>
          <cell r="R1831">
            <v>36360</v>
          </cell>
          <cell r="S1831">
            <v>1</v>
          </cell>
          <cell r="T1831">
            <v>36360</v>
          </cell>
        </row>
        <row r="1832">
          <cell r="A1832">
            <v>473</v>
          </cell>
          <cell r="B1832" t="str">
            <v>Muthu Sekar</v>
          </cell>
          <cell r="C1832" t="str">
            <v>Northshore Health Centers</v>
          </cell>
          <cell r="D1832" t="str">
            <v>48NHC</v>
          </cell>
          <cell r="E1832" t="str">
            <v>Payment Posting - Manual</v>
          </cell>
          <cell r="F1832" t="str">
            <v>Operations</v>
          </cell>
          <cell r="G1832" t="str">
            <v>Senior Process Associate</v>
          </cell>
          <cell r="H1832" t="str">
            <v>Operations</v>
          </cell>
          <cell r="I1832" t="str">
            <v>Direct</v>
          </cell>
          <cell r="J1832" t="str">
            <v>Experience</v>
          </cell>
          <cell r="K1832"/>
          <cell r="L1832">
            <v>42</v>
          </cell>
          <cell r="M1832">
            <v>350</v>
          </cell>
          <cell r="N1832">
            <v>23</v>
          </cell>
          <cell r="O1832">
            <v>5.2173913043478256E-3</v>
          </cell>
          <cell r="P1832">
            <v>6.5885797950219612E-3</v>
          </cell>
          <cell r="Q1832">
            <v>45839</v>
          </cell>
          <cell r="R1832">
            <v>30426</v>
          </cell>
          <cell r="S1832">
            <v>6.5885797950219612E-3</v>
          </cell>
          <cell r="T1832">
            <v>200.46412884333819</v>
          </cell>
        </row>
        <row r="1833">
          <cell r="A1833">
            <v>473</v>
          </cell>
          <cell r="B1833" t="str">
            <v>Muthu Sekar</v>
          </cell>
          <cell r="C1833" t="str">
            <v>Your Docs In</v>
          </cell>
          <cell r="D1833" t="str">
            <v>38YD</v>
          </cell>
          <cell r="E1833" t="str">
            <v>Checked Patient Payment</v>
          </cell>
          <cell r="F1833" t="str">
            <v>Operations</v>
          </cell>
          <cell r="G1833" t="str">
            <v>Senior Process Associate</v>
          </cell>
          <cell r="H1833" t="str">
            <v>Operations</v>
          </cell>
          <cell r="I1833" t="str">
            <v>Direct</v>
          </cell>
          <cell r="J1833" t="str">
            <v>Experience</v>
          </cell>
          <cell r="K1833"/>
          <cell r="L1833">
            <v>2608</v>
          </cell>
          <cell r="M1833">
            <v>150</v>
          </cell>
          <cell r="N1833">
            <v>23</v>
          </cell>
          <cell r="O1833">
            <v>0.75594202898550722</v>
          </cell>
          <cell r="P1833">
            <v>0.9546120058565154</v>
          </cell>
          <cell r="Q1833">
            <v>45839</v>
          </cell>
          <cell r="R1833">
            <v>30426</v>
          </cell>
          <cell r="S1833">
            <v>0.9546120058565154</v>
          </cell>
          <cell r="T1833">
            <v>29045.024890190336</v>
          </cell>
        </row>
        <row r="1834">
          <cell r="A1834">
            <v>473</v>
          </cell>
          <cell r="B1834" t="str">
            <v>Muthu Sekar</v>
          </cell>
          <cell r="C1834" t="str">
            <v>Your Docs In</v>
          </cell>
          <cell r="D1834" t="str">
            <v>38YD</v>
          </cell>
          <cell r="E1834" t="str">
            <v>Credit Balance</v>
          </cell>
          <cell r="F1834" t="str">
            <v>Operations</v>
          </cell>
          <cell r="G1834" t="str">
            <v>Senior Process Associate</v>
          </cell>
          <cell r="H1834" t="str">
            <v>Operations</v>
          </cell>
          <cell r="I1834" t="str">
            <v>Direct</v>
          </cell>
          <cell r="J1834" t="str">
            <v>Experience</v>
          </cell>
          <cell r="K1834"/>
          <cell r="L1834">
            <v>34</v>
          </cell>
          <cell r="M1834">
            <v>68</v>
          </cell>
          <cell r="N1834">
            <v>23</v>
          </cell>
          <cell r="O1834">
            <v>2.1739130434782608E-2</v>
          </cell>
          <cell r="P1834">
            <v>2.7452415812591509E-2</v>
          </cell>
          <cell r="Q1834">
            <v>45839</v>
          </cell>
          <cell r="R1834">
            <v>30426</v>
          </cell>
          <cell r="S1834">
            <v>2.7452415812591509E-2</v>
          </cell>
          <cell r="T1834">
            <v>835.26720351390929</v>
          </cell>
        </row>
        <row r="1835">
          <cell r="A1835">
            <v>473</v>
          </cell>
          <cell r="B1835" t="str">
            <v>Muthu Sekar</v>
          </cell>
          <cell r="C1835" t="str">
            <v>Your Docs In</v>
          </cell>
          <cell r="D1835" t="str">
            <v>38YD</v>
          </cell>
          <cell r="E1835" t="str">
            <v>Credit Balance</v>
          </cell>
          <cell r="F1835" t="str">
            <v>Operations</v>
          </cell>
          <cell r="G1835" t="str">
            <v>Senior Process Associate</v>
          </cell>
          <cell r="H1835" t="str">
            <v>Operations</v>
          </cell>
          <cell r="I1835" t="str">
            <v>Direct</v>
          </cell>
          <cell r="J1835" t="str">
            <v>Experience</v>
          </cell>
          <cell r="K1835"/>
          <cell r="L1835">
            <v>31</v>
          </cell>
          <cell r="M1835">
            <v>150</v>
          </cell>
          <cell r="N1835">
            <v>23</v>
          </cell>
          <cell r="O1835">
            <v>8.9855072463768115E-3</v>
          </cell>
          <cell r="P1835">
            <v>1.1346998535871157E-2</v>
          </cell>
          <cell r="Q1835">
            <v>45839</v>
          </cell>
          <cell r="R1835">
            <v>30426</v>
          </cell>
          <cell r="S1835">
            <v>1.1346998535871157E-2</v>
          </cell>
          <cell r="T1835">
            <v>345.24377745241583</v>
          </cell>
        </row>
        <row r="1836">
          <cell r="A1836">
            <v>359</v>
          </cell>
          <cell r="B1836" t="str">
            <v>Elamparithi Elangovan</v>
          </cell>
          <cell r="C1836" t="str">
            <v>Your Docs In</v>
          </cell>
          <cell r="D1836" t="str">
            <v>38YD</v>
          </cell>
          <cell r="E1836" t="str">
            <v>Charges</v>
          </cell>
          <cell r="F1836" t="str">
            <v>Operations</v>
          </cell>
          <cell r="G1836" t="str">
            <v>Senior Process Associate</v>
          </cell>
          <cell r="H1836" t="str">
            <v>Operations</v>
          </cell>
          <cell r="I1836" t="str">
            <v>Direct</v>
          </cell>
          <cell r="J1836" t="str">
            <v>Experience</v>
          </cell>
          <cell r="K1836"/>
          <cell r="L1836">
            <v>308</v>
          </cell>
          <cell r="M1836">
            <v>150</v>
          </cell>
          <cell r="N1836">
            <v>23</v>
          </cell>
          <cell r="O1836">
            <v>8.9275362318840576E-2</v>
          </cell>
          <cell r="P1836">
            <v>9.4144617441971529E-2</v>
          </cell>
          <cell r="Q1836">
            <v>45839</v>
          </cell>
          <cell r="R1836">
            <v>20625</v>
          </cell>
          <cell r="S1836">
            <v>9.4144617441971529E-2</v>
          </cell>
          <cell r="T1836">
            <v>1941.7327347406629</v>
          </cell>
        </row>
        <row r="1837">
          <cell r="A1837">
            <v>359</v>
          </cell>
          <cell r="B1837" t="str">
            <v>Elamparithi Elangovan</v>
          </cell>
          <cell r="C1837" t="str">
            <v>Your Docs In</v>
          </cell>
          <cell r="D1837" t="str">
            <v>38YD</v>
          </cell>
          <cell r="E1837" t="str">
            <v>Demo Entry</v>
          </cell>
          <cell r="F1837" t="str">
            <v>Operations</v>
          </cell>
          <cell r="G1837" t="str">
            <v>Senior Process Associate</v>
          </cell>
          <cell r="H1837" t="str">
            <v>Operations</v>
          </cell>
          <cell r="I1837" t="str">
            <v>Direct</v>
          </cell>
          <cell r="J1837" t="str">
            <v>Experience</v>
          </cell>
          <cell r="K1837"/>
          <cell r="L1837">
            <v>214</v>
          </cell>
          <cell r="M1837">
            <v>120</v>
          </cell>
          <cell r="N1837">
            <v>23</v>
          </cell>
          <cell r="O1837">
            <v>7.7536231884057977E-2</v>
          </cell>
          <cell r="P1837">
            <v>8.1765211577036964E-2</v>
          </cell>
          <cell r="Q1837">
            <v>45839</v>
          </cell>
          <cell r="R1837">
            <v>20625</v>
          </cell>
          <cell r="S1837">
            <v>8.1765211577036964E-2</v>
          </cell>
          <cell r="T1837">
            <v>1686.4074887763875</v>
          </cell>
        </row>
        <row r="1838">
          <cell r="A1838">
            <v>359</v>
          </cell>
          <cell r="B1838" t="str">
            <v>Elamparithi Elangovan</v>
          </cell>
          <cell r="C1838" t="str">
            <v>Your Docs In</v>
          </cell>
          <cell r="D1838" t="str">
            <v>38YD</v>
          </cell>
          <cell r="E1838" t="str">
            <v>Demo Entry</v>
          </cell>
          <cell r="F1838" t="str">
            <v>Operations</v>
          </cell>
          <cell r="G1838" t="str">
            <v>Senior Process Associate</v>
          </cell>
          <cell r="H1838" t="str">
            <v>Operations</v>
          </cell>
          <cell r="I1838" t="str">
            <v>Direct</v>
          </cell>
          <cell r="J1838" t="str">
            <v>Experience</v>
          </cell>
          <cell r="K1838"/>
          <cell r="L1838">
            <v>623</v>
          </cell>
          <cell r="M1838">
            <v>160</v>
          </cell>
          <cell r="N1838">
            <v>23</v>
          </cell>
          <cell r="O1838">
            <v>0.16929347826086955</v>
          </cell>
          <cell r="P1838">
            <v>0.17852707995032951</v>
          </cell>
          <cell r="Q1838">
            <v>45839</v>
          </cell>
          <cell r="R1838">
            <v>20625</v>
          </cell>
          <cell r="S1838">
            <v>0.17852707995032951</v>
          </cell>
          <cell r="T1838">
            <v>3682.1210239755464</v>
          </cell>
        </row>
        <row r="1839">
          <cell r="A1839">
            <v>359</v>
          </cell>
          <cell r="B1839" t="str">
            <v>Elamparithi Elangovan</v>
          </cell>
          <cell r="C1839" t="str">
            <v>Your Docs In</v>
          </cell>
          <cell r="D1839" t="str">
            <v>38YD</v>
          </cell>
          <cell r="E1839" t="str">
            <v>Eligibility Verification</v>
          </cell>
          <cell r="F1839" t="str">
            <v>Operations</v>
          </cell>
          <cell r="G1839" t="str">
            <v>Senior Process Associate</v>
          </cell>
          <cell r="H1839" t="str">
            <v>Operations</v>
          </cell>
          <cell r="I1839" t="str">
            <v>Direct</v>
          </cell>
          <cell r="J1839" t="str">
            <v>Experience</v>
          </cell>
          <cell r="K1839"/>
          <cell r="L1839">
            <v>428</v>
          </cell>
          <cell r="M1839">
            <v>150</v>
          </cell>
          <cell r="N1839">
            <v>23</v>
          </cell>
          <cell r="O1839">
            <v>0.12405797101449276</v>
          </cell>
          <cell r="P1839">
            <v>0.13082433852325914</v>
          </cell>
          <cell r="Q1839">
            <v>45839</v>
          </cell>
          <cell r="R1839">
            <v>20625</v>
          </cell>
          <cell r="S1839">
            <v>0.13082433852325914</v>
          </cell>
          <cell r="T1839">
            <v>2698.2519820422199</v>
          </cell>
        </row>
        <row r="1840">
          <cell r="A1840">
            <v>359</v>
          </cell>
          <cell r="B1840" t="str">
            <v>Elamparithi Elangovan</v>
          </cell>
          <cell r="C1840" t="str">
            <v>Your Docs In</v>
          </cell>
          <cell r="D1840" t="str">
            <v>38YD</v>
          </cell>
          <cell r="E1840" t="str">
            <v>Patient Payment</v>
          </cell>
          <cell r="F1840" t="str">
            <v>Operations</v>
          </cell>
          <cell r="G1840" t="str">
            <v>Senior Process Associate</v>
          </cell>
          <cell r="H1840" t="str">
            <v>Operations</v>
          </cell>
          <cell r="I1840" t="str">
            <v>Direct</v>
          </cell>
          <cell r="J1840" t="str">
            <v>Experience</v>
          </cell>
          <cell r="K1840"/>
          <cell r="L1840">
            <v>1684</v>
          </cell>
          <cell r="M1840">
            <v>150</v>
          </cell>
          <cell r="N1840">
            <v>23</v>
          </cell>
          <cell r="O1840">
            <v>0.48811594202898551</v>
          </cell>
          <cell r="P1840">
            <v>0.51473875250740275</v>
          </cell>
          <cell r="Q1840">
            <v>45839</v>
          </cell>
          <cell r="R1840">
            <v>20625</v>
          </cell>
          <cell r="S1840">
            <v>0.51473875250740275</v>
          </cell>
          <cell r="T1840">
            <v>10616.486770465182</v>
          </cell>
        </row>
        <row r="1841">
          <cell r="A1841">
            <v>579</v>
          </cell>
          <cell r="B1841" t="str">
            <v>Kavitha Varadharajan</v>
          </cell>
          <cell r="C1841" t="str">
            <v>Your Docs In</v>
          </cell>
          <cell r="D1841" t="str">
            <v>38YD</v>
          </cell>
          <cell r="E1841" t="str">
            <v>Ar Calling</v>
          </cell>
          <cell r="F1841" t="str">
            <v>Operations</v>
          </cell>
          <cell r="G1841" t="str">
            <v>Senior AR Caller</v>
          </cell>
          <cell r="H1841" t="str">
            <v>Operations</v>
          </cell>
          <cell r="I1841" t="str">
            <v>Direct</v>
          </cell>
          <cell r="J1841" t="str">
            <v>Experience</v>
          </cell>
          <cell r="K1841"/>
          <cell r="L1841">
            <v>506</v>
          </cell>
          <cell r="M1841">
            <v>40</v>
          </cell>
          <cell r="N1841">
            <v>23</v>
          </cell>
          <cell r="O1841">
            <v>0.55000000000000004</v>
          </cell>
          <cell r="P1841">
            <v>1</v>
          </cell>
          <cell r="Q1841">
            <v>45839</v>
          </cell>
          <cell r="R1841">
            <v>43600</v>
          </cell>
          <cell r="S1841">
            <v>1</v>
          </cell>
          <cell r="T1841">
            <v>43600</v>
          </cell>
        </row>
        <row r="1842">
          <cell r="A1842">
            <v>627</v>
          </cell>
          <cell r="B1842" t="str">
            <v>Pradeep Rajendran</v>
          </cell>
          <cell r="C1842" t="str">
            <v>Univ. Of Delaware</v>
          </cell>
          <cell r="D1842" t="str">
            <v>26UG</v>
          </cell>
          <cell r="E1842" t="str">
            <v>Ar Non Calling</v>
          </cell>
          <cell r="F1842" t="str">
            <v>Operations</v>
          </cell>
          <cell r="G1842" t="str">
            <v>Senior AR Analyst</v>
          </cell>
          <cell r="H1842" t="str">
            <v>Operations</v>
          </cell>
          <cell r="I1842" t="str">
            <v>Direct</v>
          </cell>
          <cell r="J1842" t="str">
            <v>Experience</v>
          </cell>
          <cell r="K1842"/>
          <cell r="L1842">
            <v>572</v>
          </cell>
          <cell r="M1842">
            <v>64</v>
          </cell>
          <cell r="N1842">
            <v>23</v>
          </cell>
          <cell r="O1842">
            <v>0.38858695652173914</v>
          </cell>
          <cell r="P1842">
            <v>1</v>
          </cell>
          <cell r="Q1842">
            <v>45839</v>
          </cell>
          <cell r="R1842">
            <v>34600</v>
          </cell>
          <cell r="S1842">
            <v>1</v>
          </cell>
          <cell r="T1842">
            <v>34600</v>
          </cell>
        </row>
        <row r="1843">
          <cell r="A1843">
            <v>611</v>
          </cell>
          <cell r="B1843" t="str">
            <v>Dhanapal Katturaja</v>
          </cell>
          <cell r="C1843" t="str">
            <v>Univ. Of Delaware</v>
          </cell>
          <cell r="D1843" t="str">
            <v>26UG</v>
          </cell>
          <cell r="E1843" t="str">
            <v>Ar Non Calling</v>
          </cell>
          <cell r="F1843" t="str">
            <v>Operations</v>
          </cell>
          <cell r="G1843" t="str">
            <v>AR Analyst</v>
          </cell>
          <cell r="H1843" t="str">
            <v>Operations</v>
          </cell>
          <cell r="I1843" t="str">
            <v>Direct</v>
          </cell>
          <cell r="J1843" t="str">
            <v>Experience</v>
          </cell>
          <cell r="K1843"/>
          <cell r="L1843">
            <v>326</v>
          </cell>
          <cell r="M1843">
            <v>64</v>
          </cell>
          <cell r="N1843">
            <v>23</v>
          </cell>
          <cell r="O1843">
            <v>0.22146739130434784</v>
          </cell>
          <cell r="P1843">
            <v>1</v>
          </cell>
          <cell r="Q1843">
            <v>45839</v>
          </cell>
          <cell r="R1843">
            <v>28560</v>
          </cell>
          <cell r="S1843">
            <v>1</v>
          </cell>
          <cell r="T1843">
            <v>28560</v>
          </cell>
        </row>
        <row r="1844">
          <cell r="A1844">
            <v>748</v>
          </cell>
          <cell r="B1844" t="str">
            <v>Chandrasekar Arunachalam</v>
          </cell>
          <cell r="C1844" t="str">
            <v>D'Souza &amp; Associates, Inc</v>
          </cell>
          <cell r="D1844" t="str">
            <v>9D</v>
          </cell>
          <cell r="E1844" t="str">
            <v>Ar Calling</v>
          </cell>
          <cell r="F1844" t="str">
            <v>Operations</v>
          </cell>
          <cell r="G1844" t="str">
            <v>Senior AR Caller</v>
          </cell>
          <cell r="H1844" t="str">
            <v>Operations</v>
          </cell>
          <cell r="I1844" t="str">
            <v>Direct</v>
          </cell>
          <cell r="J1844" t="str">
            <v>Experience</v>
          </cell>
          <cell r="K1844"/>
          <cell r="L1844">
            <v>335</v>
          </cell>
          <cell r="M1844">
            <v>40</v>
          </cell>
          <cell r="N1844">
            <v>23</v>
          </cell>
          <cell r="O1844">
            <v>0.3641304347826087</v>
          </cell>
          <cell r="P1844">
            <v>0.80490148966842867</v>
          </cell>
          <cell r="Q1844">
            <v>45839</v>
          </cell>
          <cell r="R1844">
            <v>42309.677419354841</v>
          </cell>
          <cell r="S1844">
            <v>0.80490148966842867</v>
          </cell>
          <cell r="T1844">
            <v>34055.12238222939</v>
          </cell>
        </row>
        <row r="1845">
          <cell r="A1845">
            <v>748</v>
          </cell>
          <cell r="B1845" t="str">
            <v>Chandrasekar Arunachalam</v>
          </cell>
          <cell r="C1845" t="str">
            <v>D'Souza &amp; Associates, Inc</v>
          </cell>
          <cell r="D1845" t="str">
            <v>9D</v>
          </cell>
          <cell r="E1845" t="str">
            <v>Medicare calling</v>
          </cell>
          <cell r="F1845" t="str">
            <v>Operations</v>
          </cell>
          <cell r="G1845" t="str">
            <v>Senior AR Caller</v>
          </cell>
          <cell r="H1845" t="str">
            <v>Operations</v>
          </cell>
          <cell r="I1845" t="str">
            <v>Direct</v>
          </cell>
          <cell r="J1845" t="str">
            <v>Experience</v>
          </cell>
          <cell r="K1845"/>
          <cell r="L1845">
            <v>406</v>
          </cell>
          <cell r="M1845">
            <v>200</v>
          </cell>
          <cell r="N1845">
            <v>23</v>
          </cell>
          <cell r="O1845">
            <v>8.8260869565217379E-2</v>
          </cell>
          <cell r="P1845">
            <v>0.19509851033157133</v>
          </cell>
          <cell r="Q1845">
            <v>45839</v>
          </cell>
          <cell r="R1845">
            <v>42309.677419354841</v>
          </cell>
          <cell r="S1845">
            <v>0.19509851033157133</v>
          </cell>
          <cell r="T1845">
            <v>8254.5550371254503</v>
          </cell>
        </row>
        <row r="1846">
          <cell r="A1846">
            <v>704</v>
          </cell>
          <cell r="B1846" t="str">
            <v>Monesh Kumar Suresh kumar</v>
          </cell>
          <cell r="C1846" t="str">
            <v>Comprehensive Sleep Care Center</v>
          </cell>
          <cell r="D1846" t="str">
            <v>34CS</v>
          </cell>
          <cell r="E1846" t="str">
            <v>Authorization</v>
          </cell>
          <cell r="F1846" t="str">
            <v>Operations</v>
          </cell>
          <cell r="G1846" t="str">
            <v>AR Caller</v>
          </cell>
          <cell r="H1846" t="str">
            <v>Operations</v>
          </cell>
          <cell r="I1846" t="str">
            <v>Direct</v>
          </cell>
          <cell r="J1846" t="str">
            <v>Experience</v>
          </cell>
          <cell r="K1846"/>
          <cell r="L1846">
            <v>116</v>
          </cell>
          <cell r="M1846">
            <v>40</v>
          </cell>
          <cell r="N1846">
            <v>23</v>
          </cell>
          <cell r="O1846">
            <v>0.12608695652173912</v>
          </cell>
          <cell r="P1846">
            <v>0.24892703862660939</v>
          </cell>
          <cell r="Q1846">
            <v>45839</v>
          </cell>
          <cell r="R1846">
            <v>11788.290322580644</v>
          </cell>
          <cell r="S1846">
            <v>0.24892703862660939</v>
          </cell>
          <cell r="T1846">
            <v>2934.4242004707176</v>
          </cell>
        </row>
        <row r="1847">
          <cell r="A1847">
            <v>704</v>
          </cell>
          <cell r="B1847" t="str">
            <v>Monesh Kumar Suresh kumar</v>
          </cell>
          <cell r="C1847" t="str">
            <v>Baylife</v>
          </cell>
          <cell r="D1847" t="str">
            <v>41PTI</v>
          </cell>
          <cell r="E1847" t="str">
            <v>Ar Calling</v>
          </cell>
          <cell r="F1847" t="str">
            <v>Operations</v>
          </cell>
          <cell r="G1847" t="str">
            <v>AR Caller</v>
          </cell>
          <cell r="H1847" t="str">
            <v>Operations</v>
          </cell>
          <cell r="I1847" t="str">
            <v>Direct</v>
          </cell>
          <cell r="J1847" t="str">
            <v>Experience</v>
          </cell>
          <cell r="K1847"/>
          <cell r="L1847">
            <v>350</v>
          </cell>
          <cell r="M1847">
            <v>40</v>
          </cell>
          <cell r="N1847">
            <v>23</v>
          </cell>
          <cell r="O1847">
            <v>0.38043478260869568</v>
          </cell>
          <cell r="P1847">
            <v>0.75107296137339052</v>
          </cell>
          <cell r="Q1847">
            <v>45839</v>
          </cell>
          <cell r="R1847">
            <v>11788.290322580644</v>
          </cell>
          <cell r="S1847">
            <v>0.75107296137339052</v>
          </cell>
          <cell r="T1847">
            <v>8853.8661221099246</v>
          </cell>
        </row>
        <row r="1848">
          <cell r="A1848">
            <v>407</v>
          </cell>
          <cell r="B1848" t="str">
            <v>Mohammed Sayeeth Shah</v>
          </cell>
          <cell r="C1848" t="str">
            <v>MBMS</v>
          </cell>
          <cell r="D1848" t="str">
            <v>54MS</v>
          </cell>
          <cell r="E1848" t="str">
            <v>Ar Calling</v>
          </cell>
          <cell r="F1848" t="str">
            <v>Operations</v>
          </cell>
          <cell r="G1848" t="str">
            <v>AR Analyst</v>
          </cell>
          <cell r="H1848" t="str">
            <v>Operations</v>
          </cell>
          <cell r="I1848" t="str">
            <v>Direct</v>
          </cell>
          <cell r="J1848" t="str">
            <v>Experience</v>
          </cell>
          <cell r="K1848"/>
          <cell r="L1848">
            <v>145</v>
          </cell>
          <cell r="M1848">
            <v>25</v>
          </cell>
          <cell r="N1848">
            <v>23</v>
          </cell>
          <cell r="O1848">
            <v>0.25217391304347825</v>
          </cell>
          <cell r="P1848">
            <v>0.53234905576880842</v>
          </cell>
          <cell r="Q1848">
            <v>45839</v>
          </cell>
          <cell r="R1848">
            <v>32061</v>
          </cell>
          <cell r="S1848">
            <v>0.53234905576880842</v>
          </cell>
          <cell r="T1848">
            <v>17067.643077003766</v>
          </cell>
        </row>
        <row r="1849">
          <cell r="A1849">
            <v>407</v>
          </cell>
          <cell r="B1849" t="str">
            <v>Mohammed Sayeeth Shah</v>
          </cell>
          <cell r="C1849" t="str">
            <v>Univ. Of Delaware</v>
          </cell>
          <cell r="D1849" t="str">
            <v>26UG</v>
          </cell>
          <cell r="E1849" t="str">
            <v>Ar Non Calling</v>
          </cell>
          <cell r="F1849" t="str">
            <v>Operations</v>
          </cell>
          <cell r="G1849" t="str">
            <v>AR Analyst</v>
          </cell>
          <cell r="H1849" t="str">
            <v>Operations</v>
          </cell>
          <cell r="I1849" t="str">
            <v>Direct</v>
          </cell>
          <cell r="J1849" t="str">
            <v>Experience</v>
          </cell>
          <cell r="K1849"/>
          <cell r="L1849">
            <v>178</v>
          </cell>
          <cell r="M1849">
            <v>64</v>
          </cell>
          <cell r="N1849">
            <v>23</v>
          </cell>
          <cell r="O1849">
            <v>0.12092391304347826</v>
          </cell>
          <cell r="P1849">
            <v>0.25527513988913764</v>
          </cell>
          <cell r="Q1849">
            <v>45839</v>
          </cell>
          <cell r="R1849">
            <v>32061</v>
          </cell>
          <cell r="S1849">
            <v>0.25527513988913764</v>
          </cell>
          <cell r="T1849">
            <v>8184.3762599856418</v>
          </cell>
        </row>
        <row r="1850">
          <cell r="A1850">
            <v>407</v>
          </cell>
          <cell r="B1850" t="str">
            <v>Mohammed Sayeeth Shah</v>
          </cell>
          <cell r="C1850" t="str">
            <v>Univ. Of Delaware</v>
          </cell>
          <cell r="D1850" t="str">
            <v>26UG</v>
          </cell>
          <cell r="E1850" t="str">
            <v>Payment Posting - ERA</v>
          </cell>
          <cell r="F1850" t="str">
            <v>Operations</v>
          </cell>
          <cell r="G1850" t="str">
            <v>AR Analyst</v>
          </cell>
          <cell r="H1850" t="str">
            <v>Operations</v>
          </cell>
          <cell r="I1850" t="str">
            <v>Direct</v>
          </cell>
          <cell r="J1850" t="str">
            <v>Experience</v>
          </cell>
          <cell r="K1850"/>
          <cell r="L1850">
            <v>982</v>
          </cell>
          <cell r="M1850">
            <v>2000</v>
          </cell>
          <cell r="N1850">
            <v>23</v>
          </cell>
          <cell r="O1850">
            <v>2.1347826086956522E-2</v>
          </cell>
          <cell r="P1850">
            <v>4.5066101100428441E-2</v>
          </cell>
          <cell r="Q1850">
            <v>45839</v>
          </cell>
          <cell r="R1850">
            <v>32061</v>
          </cell>
          <cell r="S1850">
            <v>4.5066101100428441E-2</v>
          </cell>
          <cell r="T1850">
            <v>1444.8642673808363</v>
          </cell>
        </row>
        <row r="1851">
          <cell r="A1851">
            <v>407</v>
          </cell>
          <cell r="B1851" t="str">
            <v>Mohammed Sayeeth Shah</v>
          </cell>
          <cell r="C1851" t="str">
            <v>Univ. Of Delaware</v>
          </cell>
          <cell r="D1851" t="str">
            <v>26UG</v>
          </cell>
          <cell r="E1851" t="str">
            <v>Payment Posting - Manual</v>
          </cell>
          <cell r="F1851" t="str">
            <v>Operations</v>
          </cell>
          <cell r="G1851" t="str">
            <v>AR Analyst</v>
          </cell>
          <cell r="H1851" t="str">
            <v>Operations</v>
          </cell>
          <cell r="I1851" t="str">
            <v>Direct</v>
          </cell>
          <cell r="J1851" t="str">
            <v>Experience</v>
          </cell>
          <cell r="K1851"/>
          <cell r="L1851">
            <v>638</v>
          </cell>
          <cell r="M1851">
            <v>350</v>
          </cell>
          <cell r="N1851">
            <v>23</v>
          </cell>
          <cell r="O1851">
            <v>7.9254658385093171E-2</v>
          </cell>
          <cell r="P1851">
            <v>0.16730970324162553</v>
          </cell>
          <cell r="Q1851">
            <v>45839</v>
          </cell>
          <cell r="R1851">
            <v>32061</v>
          </cell>
          <cell r="S1851">
            <v>0.16730970324162553</v>
          </cell>
          <cell r="T1851">
            <v>5364.116395629756</v>
          </cell>
        </row>
        <row r="1852">
          <cell r="A1852">
            <v>775</v>
          </cell>
          <cell r="B1852" t="str">
            <v>Prem Kumar Dilipkumar</v>
          </cell>
          <cell r="C1852" t="str">
            <v>Emergence Health Holdings</v>
          </cell>
          <cell r="D1852" t="str">
            <v>50EH</v>
          </cell>
          <cell r="E1852" t="str">
            <v>Ar Calling</v>
          </cell>
          <cell r="F1852" t="str">
            <v>Operations</v>
          </cell>
          <cell r="G1852" t="str">
            <v>Senior AR Caller</v>
          </cell>
          <cell r="H1852" t="str">
            <v>Operations</v>
          </cell>
          <cell r="I1852" t="str">
            <v>Direct</v>
          </cell>
          <cell r="J1852" t="str">
            <v>Experience</v>
          </cell>
          <cell r="K1852"/>
          <cell r="L1852">
            <v>211</v>
          </cell>
          <cell r="M1852">
            <v>40</v>
          </cell>
          <cell r="N1852">
            <v>23</v>
          </cell>
          <cell r="O1852">
            <v>0.22934782608695653</v>
          </cell>
          <cell r="P1852">
            <v>1</v>
          </cell>
          <cell r="Q1852">
            <v>45839</v>
          </cell>
          <cell r="R1852">
            <v>33382.451612903227</v>
          </cell>
          <cell r="S1852">
            <v>1</v>
          </cell>
          <cell r="T1852">
            <v>33382.451612903227</v>
          </cell>
        </row>
        <row r="1853">
          <cell r="A1853">
            <v>782</v>
          </cell>
          <cell r="B1853" t="str">
            <v>Ganesh Govindhan</v>
          </cell>
          <cell r="C1853" t="str">
            <v>Your Docs In</v>
          </cell>
          <cell r="D1853" t="str">
            <v>38YD</v>
          </cell>
          <cell r="E1853" t="str">
            <v>Ar Non Calling</v>
          </cell>
          <cell r="F1853" t="str">
            <v>Operations</v>
          </cell>
          <cell r="G1853" t="str">
            <v>AR Analyst</v>
          </cell>
          <cell r="H1853" t="str">
            <v>Operations</v>
          </cell>
          <cell r="I1853" t="str">
            <v>Direct</v>
          </cell>
          <cell r="J1853" t="str">
            <v>Fresher</v>
          </cell>
          <cell r="K1853"/>
          <cell r="L1853">
            <v>196</v>
          </cell>
          <cell r="M1853">
            <v>25</v>
          </cell>
          <cell r="N1853">
            <v>23</v>
          </cell>
          <cell r="O1853">
            <v>0.34086956521739131</v>
          </cell>
          <cell r="P1853">
            <v>1</v>
          </cell>
          <cell r="Q1853">
            <v>45839</v>
          </cell>
          <cell r="R1853">
            <v>34600</v>
          </cell>
          <cell r="S1853">
            <v>1</v>
          </cell>
          <cell r="T1853">
            <v>34600</v>
          </cell>
        </row>
        <row r="1854">
          <cell r="A1854">
            <v>778</v>
          </cell>
          <cell r="B1854" t="str">
            <v>Khadar Oli Shahul Hameed</v>
          </cell>
          <cell r="C1854" t="str">
            <v>Univ. Of Delaware</v>
          </cell>
          <cell r="D1854" t="str">
            <v>26UG</v>
          </cell>
          <cell r="E1854" t="str">
            <v>Ar Calling</v>
          </cell>
          <cell r="F1854" t="str">
            <v>Operations</v>
          </cell>
          <cell r="G1854" t="str">
            <v>Senior AR Caller</v>
          </cell>
          <cell r="H1854" t="str">
            <v>Operations</v>
          </cell>
          <cell r="I1854" t="str">
            <v>Direct</v>
          </cell>
          <cell r="J1854" t="str">
            <v>Experience</v>
          </cell>
          <cell r="K1854"/>
          <cell r="L1854">
            <v>156</v>
          </cell>
          <cell r="M1854">
            <v>40</v>
          </cell>
          <cell r="N1854">
            <v>23</v>
          </cell>
          <cell r="O1854">
            <v>0.16956521739130434</v>
          </cell>
          <cell r="P1854">
            <v>1</v>
          </cell>
          <cell r="Q1854">
            <v>45839</v>
          </cell>
          <cell r="R1854">
            <v>42600</v>
          </cell>
          <cell r="S1854">
            <v>1</v>
          </cell>
          <cell r="T1854">
            <v>42600</v>
          </cell>
        </row>
        <row r="1855">
          <cell r="A1855">
            <v>781</v>
          </cell>
          <cell r="B1855" t="str">
            <v>Pethuselvi Pethuraja</v>
          </cell>
          <cell r="C1855" t="str">
            <v>D'Souza &amp; Associates, Inc</v>
          </cell>
          <cell r="D1855" t="str">
            <v>9D</v>
          </cell>
          <cell r="E1855" t="str">
            <v>Ar Non Calling</v>
          </cell>
          <cell r="F1855" t="str">
            <v>Operations</v>
          </cell>
          <cell r="G1855" t="str">
            <v>AR Analyst</v>
          </cell>
          <cell r="H1855" t="str">
            <v>Operations</v>
          </cell>
          <cell r="I1855" t="str">
            <v>Direct</v>
          </cell>
          <cell r="J1855" t="str">
            <v>Fresher</v>
          </cell>
          <cell r="K1855"/>
          <cell r="L1855">
            <v>565</v>
          </cell>
          <cell r="M1855">
            <v>64</v>
          </cell>
          <cell r="N1855">
            <v>23</v>
          </cell>
          <cell r="O1855">
            <v>0.38383152173913043</v>
          </cell>
          <cell r="P1855">
            <v>1</v>
          </cell>
          <cell r="Q1855">
            <v>45839</v>
          </cell>
          <cell r="R1855">
            <v>27103.333333333332</v>
          </cell>
          <cell r="S1855">
            <v>1</v>
          </cell>
          <cell r="T1855">
            <v>27103.333333333332</v>
          </cell>
        </row>
        <row r="1856">
          <cell r="A1856">
            <v>789</v>
          </cell>
          <cell r="B1856" t="str">
            <v>Dominic Rajesh</v>
          </cell>
          <cell r="C1856" t="str">
            <v>Baylife</v>
          </cell>
          <cell r="D1856" t="str">
            <v>41PTI</v>
          </cell>
          <cell r="E1856" t="str">
            <v>Ar Calling</v>
          </cell>
          <cell r="F1856" t="str">
            <v>Operations</v>
          </cell>
          <cell r="G1856" t="str">
            <v>Senior AR Caller</v>
          </cell>
          <cell r="H1856" t="str">
            <v>Operations</v>
          </cell>
          <cell r="I1856" t="str">
            <v>Direct</v>
          </cell>
          <cell r="J1856" t="str">
            <v>Experience</v>
          </cell>
          <cell r="K1856"/>
          <cell r="L1856">
            <v>270</v>
          </cell>
          <cell r="M1856">
            <v>40</v>
          </cell>
          <cell r="N1856">
            <v>23</v>
          </cell>
          <cell r="O1856">
            <v>0.29347826086956524</v>
          </cell>
          <cell r="P1856">
            <v>1</v>
          </cell>
          <cell r="Q1856">
            <v>45839</v>
          </cell>
          <cell r="R1856">
            <v>33467.741935483871</v>
          </cell>
          <cell r="S1856">
            <v>1</v>
          </cell>
          <cell r="T1856">
            <v>33467.741935483871</v>
          </cell>
        </row>
        <row r="1857">
          <cell r="A1857">
            <v>783</v>
          </cell>
          <cell r="B1857" t="str">
            <v>Gowthami Suresh</v>
          </cell>
          <cell r="C1857" t="str">
            <v>Your Docs In</v>
          </cell>
          <cell r="D1857" t="str">
            <v>38YD</v>
          </cell>
          <cell r="E1857" t="str">
            <v>Ar Non Calling</v>
          </cell>
          <cell r="F1857" t="str">
            <v>Operations</v>
          </cell>
          <cell r="G1857" t="str">
            <v>AR Analyst</v>
          </cell>
          <cell r="H1857" t="str">
            <v>Operations</v>
          </cell>
          <cell r="I1857" t="str">
            <v>Direct</v>
          </cell>
          <cell r="J1857" t="str">
            <v>Fresher</v>
          </cell>
          <cell r="K1857"/>
          <cell r="L1857">
            <v>149</v>
          </cell>
          <cell r="M1857">
            <v>25</v>
          </cell>
          <cell r="N1857">
            <v>23</v>
          </cell>
          <cell r="O1857">
            <v>0.25913043478260872</v>
          </cell>
          <cell r="P1857">
            <v>1</v>
          </cell>
          <cell r="Q1857">
            <v>45839</v>
          </cell>
          <cell r="R1857">
            <v>28107.247311827959</v>
          </cell>
          <cell r="S1857">
            <v>1</v>
          </cell>
          <cell r="T1857">
            <v>28107.247311827959</v>
          </cell>
        </row>
        <row r="1858">
          <cell r="A1858">
            <v>786</v>
          </cell>
          <cell r="B1858" t="str">
            <v>Jude Robinson Samson</v>
          </cell>
          <cell r="C1858" t="str">
            <v>D'Souza &amp; Associates, Inc</v>
          </cell>
          <cell r="D1858" t="str">
            <v>9D</v>
          </cell>
          <cell r="E1858" t="str">
            <v>Ar Non Calling</v>
          </cell>
          <cell r="F1858" t="str">
            <v>Operations</v>
          </cell>
          <cell r="G1858" t="str">
            <v>AR Analyst</v>
          </cell>
          <cell r="H1858" t="str">
            <v>Operations</v>
          </cell>
          <cell r="I1858" t="str">
            <v>Direct</v>
          </cell>
          <cell r="J1858" t="str">
            <v>Fresher</v>
          </cell>
          <cell r="K1858"/>
          <cell r="L1858">
            <v>168</v>
          </cell>
          <cell r="M1858">
            <v>25</v>
          </cell>
          <cell r="N1858">
            <v>23</v>
          </cell>
          <cell r="O1858">
            <v>0.29217391304347823</v>
          </cell>
          <cell r="P1858">
            <v>1</v>
          </cell>
          <cell r="Q1858">
            <v>45839</v>
          </cell>
          <cell r="R1858">
            <v>22451.612903225807</v>
          </cell>
          <cell r="S1858">
            <v>1</v>
          </cell>
          <cell r="T1858">
            <v>22451.612903225807</v>
          </cell>
        </row>
        <row r="1859">
          <cell r="A1859">
            <v>797</v>
          </cell>
          <cell r="B1859" t="str">
            <v>Pavithra Perumal</v>
          </cell>
          <cell r="C1859" t="str">
            <v>Physical Therapy &amp; Sports Medicine Center</v>
          </cell>
          <cell r="D1859" t="str">
            <v>31PT</v>
          </cell>
          <cell r="E1859" t="str">
            <v>Authorization</v>
          </cell>
          <cell r="F1859" t="str">
            <v>Operations</v>
          </cell>
          <cell r="G1859" t="str">
            <v>Senior AR Caller</v>
          </cell>
          <cell r="H1859" t="str">
            <v>Operations</v>
          </cell>
          <cell r="I1859" t="str">
            <v>Direct</v>
          </cell>
          <cell r="J1859" t="str">
            <v>Experience</v>
          </cell>
          <cell r="K1859"/>
          <cell r="L1859">
            <v>196</v>
          </cell>
          <cell r="M1859">
            <v>30</v>
          </cell>
          <cell r="N1859">
            <v>23</v>
          </cell>
          <cell r="O1859">
            <v>0.28405797101449276</v>
          </cell>
          <cell r="P1859">
            <v>1</v>
          </cell>
          <cell r="Q1859">
            <v>45839</v>
          </cell>
          <cell r="R1859">
            <v>18540.967741935485</v>
          </cell>
          <cell r="S1859">
            <v>1</v>
          </cell>
          <cell r="T1859">
            <v>18540.967741935485</v>
          </cell>
        </row>
        <row r="1860">
          <cell r="A1860">
            <v>258</v>
          </cell>
          <cell r="B1860" t="str">
            <v>Muthu Jothi</v>
          </cell>
          <cell r="C1860" t="str">
            <v>HIS (Modmed)</v>
          </cell>
          <cell r="D1860" t="str">
            <v>47MOD</v>
          </cell>
          <cell r="E1860" t="str">
            <v>Ar Calling</v>
          </cell>
          <cell r="F1860" t="str">
            <v>Support</v>
          </cell>
          <cell r="G1860" t="str">
            <v>Senior AR Caller</v>
          </cell>
          <cell r="H1860" t="str">
            <v>Operations</v>
          </cell>
          <cell r="I1860" t="str">
            <v>Direct</v>
          </cell>
          <cell r="J1860" t="str">
            <v>Experience</v>
          </cell>
          <cell r="K1860"/>
          <cell r="L1860">
            <v>63</v>
          </cell>
          <cell r="M1860">
            <v>40</v>
          </cell>
          <cell r="N1860">
            <v>23</v>
          </cell>
          <cell r="O1860">
            <v>6.8478260869565211E-2</v>
          </cell>
          <cell r="P1860">
            <v>9.0703414232826005E-2</v>
          </cell>
          <cell r="Q1860">
            <v>45839</v>
          </cell>
          <cell r="R1860">
            <v>26918</v>
          </cell>
          <cell r="S1860">
            <v>9.0703414232826005E-2</v>
          </cell>
          <cell r="T1860">
            <v>2441.5545043192105</v>
          </cell>
        </row>
        <row r="1861">
          <cell r="A1861">
            <v>258</v>
          </cell>
          <cell r="B1861" t="str">
            <v>Muthu Jothi</v>
          </cell>
          <cell r="C1861" t="str">
            <v>Primetime Physical Therapy</v>
          </cell>
          <cell r="D1861" t="str">
            <v>32DS</v>
          </cell>
          <cell r="E1861" t="str">
            <v>Ar Calling</v>
          </cell>
          <cell r="F1861" t="str">
            <v>Support</v>
          </cell>
          <cell r="G1861" t="str">
            <v>Senior AR Caller</v>
          </cell>
          <cell r="H1861" t="str">
            <v>Operations</v>
          </cell>
          <cell r="I1861" t="str">
            <v>Direct</v>
          </cell>
          <cell r="J1861" t="str">
            <v>Experience</v>
          </cell>
          <cell r="K1861"/>
          <cell r="L1861">
            <v>123</v>
          </cell>
          <cell r="M1861">
            <v>40</v>
          </cell>
          <cell r="N1861">
            <v>23</v>
          </cell>
          <cell r="O1861">
            <v>0.13369565217391305</v>
          </cell>
          <cell r="P1861">
            <v>0.17708761826408889</v>
          </cell>
          <cell r="Q1861">
            <v>45839</v>
          </cell>
          <cell r="R1861">
            <v>26918</v>
          </cell>
          <cell r="S1861">
            <v>0.17708761826408889</v>
          </cell>
          <cell r="T1861">
            <v>4766.844508432745</v>
          </cell>
        </row>
        <row r="1862">
          <cell r="A1862">
            <v>258</v>
          </cell>
          <cell r="B1862" t="str">
            <v>Muthu Jothi</v>
          </cell>
          <cell r="C1862" t="str">
            <v>Source It Dental</v>
          </cell>
          <cell r="D1862" t="str">
            <v>14OD</v>
          </cell>
          <cell r="E1862" t="str">
            <v>Source IT - CHPD AR</v>
          </cell>
          <cell r="F1862" t="str">
            <v>Support</v>
          </cell>
          <cell r="G1862" t="str">
            <v>Senior AR Caller</v>
          </cell>
          <cell r="H1862" t="str">
            <v>Operations</v>
          </cell>
          <cell r="I1862" t="str">
            <v>Direct</v>
          </cell>
          <cell r="J1862" t="str">
            <v>Experience</v>
          </cell>
          <cell r="K1862"/>
          <cell r="L1862">
            <v>445</v>
          </cell>
          <cell r="M1862">
            <v>35</v>
          </cell>
          <cell r="N1862">
            <v>23</v>
          </cell>
          <cell r="O1862">
            <v>0.55279503105590055</v>
          </cell>
          <cell r="P1862">
            <v>0.73220896750308517</v>
          </cell>
          <cell r="Q1862">
            <v>45839</v>
          </cell>
          <cell r="R1862">
            <v>26918</v>
          </cell>
          <cell r="S1862">
            <v>0.73220896750308517</v>
          </cell>
          <cell r="T1862">
            <v>19709.600987248046</v>
          </cell>
        </row>
        <row r="1863">
          <cell r="A1863">
            <v>795</v>
          </cell>
          <cell r="B1863" t="str">
            <v>Deepika Vivekanandhan</v>
          </cell>
          <cell r="C1863" t="str">
            <v>D'Souza &amp; Associates, Inc</v>
          </cell>
          <cell r="D1863" t="str">
            <v>9D</v>
          </cell>
          <cell r="E1863" t="str">
            <v>Ar Calling</v>
          </cell>
          <cell r="F1863" t="str">
            <v>Operations</v>
          </cell>
          <cell r="G1863" t="str">
            <v>AR Caller</v>
          </cell>
          <cell r="H1863" t="str">
            <v>Operations</v>
          </cell>
          <cell r="I1863" t="str">
            <v>Direct</v>
          </cell>
          <cell r="J1863" t="str">
            <v>Fresher</v>
          </cell>
          <cell r="K1863"/>
          <cell r="L1863">
            <v>86</v>
          </cell>
          <cell r="M1863">
            <v>40</v>
          </cell>
          <cell r="N1863">
            <v>23</v>
          </cell>
          <cell r="O1863">
            <v>9.3478260869565219E-2</v>
          </cell>
          <cell r="P1863">
            <v>1</v>
          </cell>
          <cell r="Q1863">
            <v>45839</v>
          </cell>
          <cell r="R1863">
            <v>14022.580645161292</v>
          </cell>
          <cell r="S1863">
            <v>1</v>
          </cell>
          <cell r="T1863">
            <v>14022.580645161292</v>
          </cell>
        </row>
        <row r="1864">
          <cell r="A1864">
            <v>794</v>
          </cell>
          <cell r="B1864" t="str">
            <v>Arun Pandiyan Sukumar</v>
          </cell>
          <cell r="C1864" t="str">
            <v>Comprehensive Sleep Care Center</v>
          </cell>
          <cell r="D1864" t="str">
            <v>34CS</v>
          </cell>
          <cell r="E1864" t="str">
            <v>Authorization</v>
          </cell>
          <cell r="F1864" t="str">
            <v>Operations</v>
          </cell>
          <cell r="G1864" t="str">
            <v>Senior AR Caller</v>
          </cell>
          <cell r="H1864" t="str">
            <v>Operations</v>
          </cell>
          <cell r="I1864" t="str">
            <v>Direct</v>
          </cell>
          <cell r="J1864" t="str">
            <v>Experience</v>
          </cell>
          <cell r="K1864"/>
          <cell r="L1864">
            <v>10</v>
          </cell>
          <cell r="M1864">
            <v>40</v>
          </cell>
          <cell r="N1864">
            <v>23</v>
          </cell>
          <cell r="O1864">
            <v>1.0869565217391304E-2</v>
          </cell>
          <cell r="P1864">
            <v>1</v>
          </cell>
          <cell r="Q1864">
            <v>45839</v>
          </cell>
          <cell r="R1864">
            <v>12135.483870967742</v>
          </cell>
          <cell r="S1864">
            <v>1</v>
          </cell>
          <cell r="T1864">
            <v>12135.483870967742</v>
          </cell>
        </row>
        <row r="1865">
          <cell r="A1865">
            <v>798</v>
          </cell>
          <cell r="B1865" t="str">
            <v>Suresh Narayanan</v>
          </cell>
          <cell r="C1865" t="str">
            <v>Physical Therapy &amp; Sports Medicine Center</v>
          </cell>
          <cell r="D1865" t="str">
            <v>31PT</v>
          </cell>
          <cell r="E1865" t="str">
            <v>Ar Non Calling</v>
          </cell>
          <cell r="F1865" t="str">
            <v>Operations</v>
          </cell>
          <cell r="G1865" t="str">
            <v>Senior AR Analyst</v>
          </cell>
          <cell r="H1865" t="str">
            <v>Operations</v>
          </cell>
          <cell r="I1865" t="str">
            <v>Direct</v>
          </cell>
          <cell r="J1865" t="str">
            <v>Experience</v>
          </cell>
          <cell r="K1865"/>
          <cell r="L1865">
            <v>32</v>
          </cell>
          <cell r="M1865">
            <v>64</v>
          </cell>
          <cell r="N1865">
            <v>23</v>
          </cell>
          <cell r="O1865">
            <v>2.1739130434782608E-2</v>
          </cell>
          <cell r="P1865">
            <v>1</v>
          </cell>
          <cell r="Q1865">
            <v>45839</v>
          </cell>
          <cell r="R1865">
            <v>18580.645161290322</v>
          </cell>
          <cell r="S1865">
            <v>1</v>
          </cell>
          <cell r="T1865">
            <v>18580.645161290322</v>
          </cell>
        </row>
        <row r="1866">
          <cell r="A1866">
            <v>643</v>
          </cell>
          <cell r="B1866" t="str">
            <v>Maheswari Chandran</v>
          </cell>
          <cell r="C1866" t="str">
            <v>D'Souza &amp; Associates, Inc</v>
          </cell>
          <cell r="D1866" t="str">
            <v>9D</v>
          </cell>
          <cell r="E1866" t="str">
            <v>Ar Non Calling</v>
          </cell>
          <cell r="F1866" t="str">
            <v>Operations</v>
          </cell>
          <cell r="G1866" t="str">
            <v>AR Analyst</v>
          </cell>
          <cell r="H1866" t="str">
            <v>Operations</v>
          </cell>
          <cell r="I1866" t="str">
            <v>Direct</v>
          </cell>
          <cell r="J1866" t="str">
            <v>Experience</v>
          </cell>
          <cell r="K1866"/>
          <cell r="L1866">
            <v>11</v>
          </cell>
          <cell r="M1866">
            <v>64</v>
          </cell>
          <cell r="N1866">
            <v>23</v>
          </cell>
          <cell r="O1866">
            <v>7.472826086956522E-3</v>
          </cell>
          <cell r="P1866">
            <v>1</v>
          </cell>
          <cell r="Q1866">
            <v>45839</v>
          </cell>
          <cell r="R1866">
            <v>15661</v>
          </cell>
          <cell r="S1866">
            <v>1</v>
          </cell>
          <cell r="T1866">
            <v>15661</v>
          </cell>
        </row>
        <row r="1867">
          <cell r="A1867">
            <v>648</v>
          </cell>
          <cell r="B1867" t="str">
            <v>Sivadharshini Ravi</v>
          </cell>
          <cell r="C1867" t="str">
            <v>D'Souza &amp; Associates, Inc</v>
          </cell>
          <cell r="D1867" t="str">
            <v>9D</v>
          </cell>
          <cell r="E1867" t="str">
            <v>Ar Non Calling</v>
          </cell>
          <cell r="F1867" t="str">
            <v>Operations</v>
          </cell>
          <cell r="G1867" t="str">
            <v>AR Analyst</v>
          </cell>
          <cell r="H1867" t="str">
            <v>Operations</v>
          </cell>
          <cell r="I1867" t="str">
            <v>Direct</v>
          </cell>
          <cell r="J1867" t="str">
            <v>Experience</v>
          </cell>
          <cell r="K1867"/>
          <cell r="L1867">
            <v>19</v>
          </cell>
          <cell r="M1867">
            <v>64</v>
          </cell>
          <cell r="N1867">
            <v>23</v>
          </cell>
          <cell r="O1867">
            <v>1.2907608695652174E-2</v>
          </cell>
          <cell r="P1867">
            <v>1</v>
          </cell>
          <cell r="Q1867">
            <v>45839</v>
          </cell>
          <cell r="R1867">
            <v>15661</v>
          </cell>
          <cell r="S1867">
            <v>1</v>
          </cell>
          <cell r="T1867">
            <v>15661</v>
          </cell>
        </row>
        <row r="1868">
          <cell r="A1868">
            <v>644</v>
          </cell>
          <cell r="B1868" t="str">
            <v>Prathyusha Kumaran</v>
          </cell>
          <cell r="C1868" t="str">
            <v>D'Souza &amp; Associates, Inc</v>
          </cell>
          <cell r="D1868" t="str">
            <v>9D</v>
          </cell>
          <cell r="E1868" t="str">
            <v>Ar Non Calling</v>
          </cell>
          <cell r="F1868" t="str">
            <v>Operations</v>
          </cell>
          <cell r="G1868" t="str">
            <v>AR Analyst</v>
          </cell>
          <cell r="H1868" t="str">
            <v>Operations</v>
          </cell>
          <cell r="I1868" t="str">
            <v>Direct</v>
          </cell>
          <cell r="J1868" t="str">
            <v>Experience</v>
          </cell>
          <cell r="K1868"/>
          <cell r="L1868">
            <v>22</v>
          </cell>
          <cell r="M1868">
            <v>64</v>
          </cell>
          <cell r="N1868">
            <v>23</v>
          </cell>
          <cell r="O1868">
            <v>1.4945652173913044E-2</v>
          </cell>
          <cell r="P1868">
            <v>1</v>
          </cell>
          <cell r="Q1868">
            <v>45839</v>
          </cell>
          <cell r="R1868">
            <v>17161</v>
          </cell>
          <cell r="S1868">
            <v>1</v>
          </cell>
          <cell r="T1868">
            <v>17161</v>
          </cell>
        </row>
        <row r="1869">
          <cell r="A1869">
            <v>792</v>
          </cell>
          <cell r="B1869" t="str">
            <v>Arokiaraj Lesly Adaikalaraj</v>
          </cell>
          <cell r="C1869" t="str">
            <v>McLean and Reston</v>
          </cell>
          <cell r="D1869" t="str">
            <v>MC</v>
          </cell>
          <cell r="E1869" t="str">
            <v>Reston and Mclean - AR</v>
          </cell>
          <cell r="F1869" t="str">
            <v>Operations</v>
          </cell>
          <cell r="G1869" t="str">
            <v>Senior AR Caller</v>
          </cell>
          <cell r="H1869" t="str">
            <v>Operations</v>
          </cell>
          <cell r="I1869" t="str">
            <v>Direct</v>
          </cell>
          <cell r="J1869" t="str">
            <v>Experience</v>
          </cell>
          <cell r="K1869"/>
          <cell r="L1869">
            <v>79</v>
          </cell>
          <cell r="M1869">
            <v>35</v>
          </cell>
          <cell r="N1869">
            <v>23</v>
          </cell>
          <cell r="O1869">
            <v>9.8136645962732916E-2</v>
          </cell>
          <cell r="P1869">
            <v>1</v>
          </cell>
          <cell r="Q1869">
            <v>45839</v>
          </cell>
          <cell r="R1869">
            <v>28387.096774193549</v>
          </cell>
          <cell r="S1869">
            <v>1</v>
          </cell>
          <cell r="T1869">
            <v>28387.096774193549</v>
          </cell>
        </row>
        <row r="1870">
          <cell r="A1870">
            <v>640</v>
          </cell>
          <cell r="B1870" t="str">
            <v>Udayamalar Kannan</v>
          </cell>
          <cell r="C1870" t="str">
            <v>Physical Therapy &amp; Sports Medicine Center</v>
          </cell>
          <cell r="D1870" t="str">
            <v>31PT</v>
          </cell>
          <cell r="E1870" t="str">
            <v>Credentialing</v>
          </cell>
          <cell r="F1870" t="str">
            <v>Operations</v>
          </cell>
          <cell r="G1870" t="str">
            <v>Process Associate</v>
          </cell>
          <cell r="H1870" t="str">
            <v>Operations</v>
          </cell>
          <cell r="I1870" t="str">
            <v>Direct</v>
          </cell>
          <cell r="J1870" t="str">
            <v>Fresher</v>
          </cell>
          <cell r="K1870"/>
          <cell r="L1870">
            <v>445</v>
          </cell>
          <cell r="M1870">
            <v>50</v>
          </cell>
          <cell r="N1870">
            <v>23</v>
          </cell>
          <cell r="O1870">
            <v>0.38695652173913048</v>
          </cell>
          <cell r="P1870">
            <v>0.37238493723849375</v>
          </cell>
          <cell r="Q1870">
            <v>45839</v>
          </cell>
          <cell r="R1870">
            <v>15661</v>
          </cell>
          <cell r="S1870">
            <v>0.37238493723849375</v>
          </cell>
          <cell r="T1870">
            <v>5831.9205020920508</v>
          </cell>
        </row>
        <row r="1871">
          <cell r="A1871">
            <v>640</v>
          </cell>
          <cell r="B1871" t="str">
            <v>Udayamalar Kannan</v>
          </cell>
          <cell r="C1871" t="str">
            <v>Premier Sleep Disorders Center</v>
          </cell>
          <cell r="D1871" t="str">
            <v>49PSDC</v>
          </cell>
          <cell r="E1871" t="str">
            <v>Credentialing</v>
          </cell>
          <cell r="F1871" t="str">
            <v>Operations</v>
          </cell>
          <cell r="G1871" t="str">
            <v>Process Associate</v>
          </cell>
          <cell r="H1871" t="str">
            <v>Operations</v>
          </cell>
          <cell r="I1871" t="str">
            <v>Direct</v>
          </cell>
          <cell r="J1871" t="str">
            <v>Fresher</v>
          </cell>
          <cell r="K1871"/>
          <cell r="L1871">
            <v>60</v>
          </cell>
          <cell r="M1871">
            <v>50</v>
          </cell>
          <cell r="N1871">
            <v>23</v>
          </cell>
          <cell r="O1871">
            <v>5.2173913043478258E-2</v>
          </cell>
          <cell r="P1871">
            <v>5.0209205020920501E-2</v>
          </cell>
          <cell r="Q1871">
            <v>45839</v>
          </cell>
          <cell r="R1871">
            <v>15661</v>
          </cell>
          <cell r="S1871">
            <v>5.0209205020920501E-2</v>
          </cell>
          <cell r="T1871">
            <v>786.32635983263594</v>
          </cell>
        </row>
        <row r="1872">
          <cell r="A1872">
            <v>640</v>
          </cell>
          <cell r="B1872" t="str">
            <v>Udayamalar Kannan</v>
          </cell>
          <cell r="C1872" t="str">
            <v>Your Docs In</v>
          </cell>
          <cell r="D1872" t="str">
            <v>38YD</v>
          </cell>
          <cell r="E1872" t="str">
            <v>Credentialing</v>
          </cell>
          <cell r="F1872" t="str">
            <v>Operations</v>
          </cell>
          <cell r="G1872" t="str">
            <v>Process Associate</v>
          </cell>
          <cell r="H1872" t="str">
            <v>Operations</v>
          </cell>
          <cell r="I1872" t="str">
            <v>Direct</v>
          </cell>
          <cell r="J1872" t="str">
            <v>Fresher</v>
          </cell>
          <cell r="K1872"/>
          <cell r="L1872">
            <v>690</v>
          </cell>
          <cell r="M1872">
            <v>50</v>
          </cell>
          <cell r="N1872">
            <v>23</v>
          </cell>
          <cell r="O1872">
            <v>0.6</v>
          </cell>
          <cell r="P1872">
            <v>0.57740585774058573</v>
          </cell>
          <cell r="Q1872">
            <v>45839</v>
          </cell>
          <cell r="R1872">
            <v>15661</v>
          </cell>
          <cell r="S1872">
            <v>0.57740585774058573</v>
          </cell>
          <cell r="T1872">
            <v>9042.7531380753135</v>
          </cell>
        </row>
        <row r="1873">
          <cell r="A1873">
            <v>694</v>
          </cell>
          <cell r="B1873" t="str">
            <v>Madhan Kumar Ravikumar</v>
          </cell>
          <cell r="C1873" t="str">
            <v>Your Docs In</v>
          </cell>
          <cell r="D1873" t="str">
            <v>38YD</v>
          </cell>
          <cell r="E1873" t="str">
            <v>Checked Patient Payment</v>
          </cell>
          <cell r="F1873" t="str">
            <v>Operations</v>
          </cell>
          <cell r="G1873" t="str">
            <v>Senior Process Associate</v>
          </cell>
          <cell r="H1873" t="str">
            <v>Operations</v>
          </cell>
          <cell r="I1873" t="str">
            <v>Direct</v>
          </cell>
          <cell r="J1873" t="str">
            <v>Experience</v>
          </cell>
          <cell r="K1873"/>
          <cell r="L1873">
            <v>4417</v>
          </cell>
          <cell r="M1873">
            <v>150</v>
          </cell>
          <cell r="N1873">
            <v>23</v>
          </cell>
          <cell r="O1873">
            <v>1.2802898550724637</v>
          </cell>
          <cell r="P1873">
            <v>1</v>
          </cell>
          <cell r="Q1873">
            <v>45839</v>
          </cell>
          <cell r="R1873">
            <v>26880</v>
          </cell>
          <cell r="S1873">
            <v>1</v>
          </cell>
          <cell r="T1873">
            <v>26880</v>
          </cell>
        </row>
        <row r="1874">
          <cell r="A1874">
            <v>695</v>
          </cell>
          <cell r="B1874" t="str">
            <v>Kannan Mannar</v>
          </cell>
          <cell r="C1874" t="str">
            <v>Your Docs In</v>
          </cell>
          <cell r="D1874" t="str">
            <v>38YD</v>
          </cell>
          <cell r="E1874" t="str">
            <v>Checked Patient Payment</v>
          </cell>
          <cell r="F1874" t="str">
            <v>Operations</v>
          </cell>
          <cell r="G1874" t="str">
            <v>Senior Process Associate</v>
          </cell>
          <cell r="H1874" t="str">
            <v>Operations</v>
          </cell>
          <cell r="I1874" t="str">
            <v>Direct</v>
          </cell>
          <cell r="J1874" t="str">
            <v>Experience</v>
          </cell>
          <cell r="K1874"/>
          <cell r="L1874">
            <v>3454</v>
          </cell>
          <cell r="M1874">
            <v>150</v>
          </cell>
          <cell r="N1874">
            <v>23</v>
          </cell>
          <cell r="O1874">
            <v>1.0011594202898551</v>
          </cell>
          <cell r="P1874">
            <v>1</v>
          </cell>
          <cell r="Q1874">
            <v>45839</v>
          </cell>
          <cell r="R1874">
            <v>34600</v>
          </cell>
          <cell r="S1874">
            <v>1</v>
          </cell>
          <cell r="T1874">
            <v>34600</v>
          </cell>
        </row>
        <row r="1875">
          <cell r="A1875">
            <v>696</v>
          </cell>
          <cell r="B1875" t="str">
            <v>Kathavarayan Perumal</v>
          </cell>
          <cell r="C1875" t="str">
            <v>Your Docs In</v>
          </cell>
          <cell r="D1875" t="str">
            <v>38YD</v>
          </cell>
          <cell r="E1875" t="str">
            <v>Checked Patient Payment</v>
          </cell>
          <cell r="F1875" t="str">
            <v>Operations</v>
          </cell>
          <cell r="G1875" t="str">
            <v>Senior Process Associate</v>
          </cell>
          <cell r="H1875" t="str">
            <v>Operations</v>
          </cell>
          <cell r="I1875" t="str">
            <v>Direct</v>
          </cell>
          <cell r="J1875" t="str">
            <v>Experience</v>
          </cell>
          <cell r="K1875"/>
          <cell r="L1875">
            <v>4110</v>
          </cell>
          <cell r="M1875">
            <v>150</v>
          </cell>
          <cell r="N1875">
            <v>23</v>
          </cell>
          <cell r="O1875">
            <v>1.191304347826087</v>
          </cell>
          <cell r="P1875">
            <v>1</v>
          </cell>
          <cell r="Q1875">
            <v>45839</v>
          </cell>
          <cell r="R1875">
            <v>24640</v>
          </cell>
          <cell r="S1875">
            <v>1</v>
          </cell>
          <cell r="T1875">
            <v>24640</v>
          </cell>
        </row>
        <row r="1876">
          <cell r="A1876">
            <v>700</v>
          </cell>
          <cell r="B1876" t="str">
            <v>Bharathi Arjunan</v>
          </cell>
          <cell r="C1876" t="str">
            <v>Your Docs In</v>
          </cell>
          <cell r="D1876" t="str">
            <v>38YD</v>
          </cell>
          <cell r="E1876" t="str">
            <v>Checked Patient Payment</v>
          </cell>
          <cell r="F1876" t="str">
            <v>Operations</v>
          </cell>
          <cell r="G1876" t="str">
            <v>Senior Process Associate</v>
          </cell>
          <cell r="H1876" t="str">
            <v>Operations</v>
          </cell>
          <cell r="I1876" t="str">
            <v>Direct</v>
          </cell>
          <cell r="J1876" t="str">
            <v>Experience</v>
          </cell>
          <cell r="K1876"/>
          <cell r="L1876">
            <v>3242</v>
          </cell>
          <cell r="M1876">
            <v>150</v>
          </cell>
          <cell r="N1876">
            <v>23</v>
          </cell>
          <cell r="O1876">
            <v>0.93971014492753624</v>
          </cell>
          <cell r="P1876">
            <v>1</v>
          </cell>
          <cell r="Q1876">
            <v>45839</v>
          </cell>
          <cell r="R1876">
            <v>24080</v>
          </cell>
          <cell r="S1876">
            <v>1</v>
          </cell>
          <cell r="T1876">
            <v>24080</v>
          </cell>
        </row>
        <row r="1877">
          <cell r="A1877">
            <v>708</v>
          </cell>
          <cell r="B1877" t="str">
            <v>Hemanthkumar Bhaskaaran</v>
          </cell>
          <cell r="C1877" t="str">
            <v>Your Docs In</v>
          </cell>
          <cell r="D1877" t="str">
            <v>38YD</v>
          </cell>
          <cell r="E1877" t="str">
            <v>Checked Patient Payment</v>
          </cell>
          <cell r="F1877" t="str">
            <v>Operations</v>
          </cell>
          <cell r="G1877" t="str">
            <v>Senior Process Associate</v>
          </cell>
          <cell r="H1877" t="str">
            <v>Operations</v>
          </cell>
          <cell r="I1877" t="str">
            <v>Direct</v>
          </cell>
          <cell r="J1877" t="str">
            <v>Experience</v>
          </cell>
          <cell r="K1877"/>
          <cell r="L1877">
            <v>3223</v>
          </cell>
          <cell r="M1877">
            <v>150</v>
          </cell>
          <cell r="N1877">
            <v>23</v>
          </cell>
          <cell r="O1877">
            <v>0.93420289855072469</v>
          </cell>
          <cell r="P1877">
            <v>1</v>
          </cell>
          <cell r="Q1877">
            <v>45839</v>
          </cell>
          <cell r="R1877">
            <v>31360</v>
          </cell>
          <cell r="S1877">
            <v>1</v>
          </cell>
          <cell r="T1877">
            <v>31360</v>
          </cell>
        </row>
        <row r="1878">
          <cell r="A1878">
            <v>237</v>
          </cell>
          <cell r="B1878" t="str">
            <v>Priyanka Kumar</v>
          </cell>
          <cell r="C1878" t="str">
            <v>Medrina IP Coding</v>
          </cell>
          <cell r="D1878" t="str">
            <v>51M</v>
          </cell>
          <cell r="E1878" t="str">
            <v>Coding</v>
          </cell>
          <cell r="F1878" t="str">
            <v>Operations</v>
          </cell>
          <cell r="G1878" t="str">
            <v>Coder</v>
          </cell>
          <cell r="H1878" t="str">
            <v>Operations</v>
          </cell>
          <cell r="I1878" t="str">
            <v>Direct</v>
          </cell>
          <cell r="J1878" t="str">
            <v>Experience</v>
          </cell>
          <cell r="K1878"/>
          <cell r="L1878">
            <v>1819</v>
          </cell>
          <cell r="M1878">
            <v>70</v>
          </cell>
          <cell r="N1878">
            <v>23</v>
          </cell>
          <cell r="O1878">
            <v>1.1298136645962733</v>
          </cell>
          <cell r="P1878">
            <v>1</v>
          </cell>
          <cell r="Q1878">
            <v>45839</v>
          </cell>
          <cell r="R1878">
            <v>30562</v>
          </cell>
          <cell r="S1878">
            <v>1</v>
          </cell>
          <cell r="T1878">
            <v>30562</v>
          </cell>
        </row>
        <row r="1879">
          <cell r="A1879">
            <v>688</v>
          </cell>
          <cell r="B1879" t="str">
            <v>Ananth Rajalingam</v>
          </cell>
          <cell r="C1879" t="str">
            <v>Medrina IP Coding</v>
          </cell>
          <cell r="D1879" t="str">
            <v>51M</v>
          </cell>
          <cell r="E1879" t="str">
            <v>Coding</v>
          </cell>
          <cell r="F1879" t="str">
            <v>Operations</v>
          </cell>
          <cell r="G1879" t="str">
            <v>Coder</v>
          </cell>
          <cell r="H1879" t="str">
            <v>Operations</v>
          </cell>
          <cell r="I1879" t="str">
            <v>Direct</v>
          </cell>
          <cell r="J1879" t="str">
            <v>Experience</v>
          </cell>
          <cell r="K1879"/>
          <cell r="L1879">
            <v>1875</v>
          </cell>
          <cell r="M1879">
            <v>70</v>
          </cell>
          <cell r="N1879">
            <v>23</v>
          </cell>
          <cell r="O1879">
            <v>1.1645962732919255</v>
          </cell>
          <cell r="P1879">
            <v>1</v>
          </cell>
          <cell r="Q1879">
            <v>45839</v>
          </cell>
          <cell r="R1879">
            <v>36666.666666666664</v>
          </cell>
          <cell r="S1879">
            <v>1</v>
          </cell>
          <cell r="T1879">
            <v>36666.666666666664</v>
          </cell>
        </row>
        <row r="1880">
          <cell r="A1880">
            <v>685</v>
          </cell>
          <cell r="B1880" t="str">
            <v>Sai Charan Suresh Babu</v>
          </cell>
          <cell r="C1880" t="str">
            <v>Medrina IP Coding</v>
          </cell>
          <cell r="D1880" t="str">
            <v>51M</v>
          </cell>
          <cell r="E1880" t="str">
            <v>Coding</v>
          </cell>
          <cell r="F1880" t="str">
            <v>Operations</v>
          </cell>
          <cell r="G1880" t="str">
            <v>Coder</v>
          </cell>
          <cell r="H1880" t="str">
            <v>Operations</v>
          </cell>
          <cell r="I1880" t="str">
            <v>Direct</v>
          </cell>
          <cell r="J1880" t="str">
            <v>Experience</v>
          </cell>
          <cell r="K1880"/>
          <cell r="L1880">
            <v>1923</v>
          </cell>
          <cell r="M1880">
            <v>70</v>
          </cell>
          <cell r="N1880">
            <v>23</v>
          </cell>
          <cell r="O1880">
            <v>1.1944099378881987</v>
          </cell>
          <cell r="P1880">
            <v>1</v>
          </cell>
          <cell r="Q1880">
            <v>45839</v>
          </cell>
          <cell r="R1880">
            <v>44245.161290322583</v>
          </cell>
          <cell r="S1880">
            <v>1</v>
          </cell>
          <cell r="T1880">
            <v>44245.161290322583</v>
          </cell>
        </row>
        <row r="1881">
          <cell r="A1881">
            <v>686</v>
          </cell>
          <cell r="B1881" t="str">
            <v>Sakthivel Rammoorthi</v>
          </cell>
          <cell r="C1881" t="str">
            <v>Medrina IP Coding</v>
          </cell>
          <cell r="D1881" t="str">
            <v>51M</v>
          </cell>
          <cell r="E1881" t="str">
            <v>Coding</v>
          </cell>
          <cell r="F1881" t="str">
            <v>Operations</v>
          </cell>
          <cell r="G1881" t="str">
            <v>Coder</v>
          </cell>
          <cell r="H1881" t="str">
            <v>Operations</v>
          </cell>
          <cell r="I1881" t="str">
            <v>Direct</v>
          </cell>
          <cell r="J1881" t="str">
            <v>Experience</v>
          </cell>
          <cell r="K1881"/>
          <cell r="L1881">
            <v>2264</v>
          </cell>
          <cell r="M1881">
            <v>70</v>
          </cell>
          <cell r="N1881">
            <v>23</v>
          </cell>
          <cell r="O1881">
            <v>1.4062111801242236</v>
          </cell>
          <cell r="P1881">
            <v>1</v>
          </cell>
          <cell r="Q1881">
            <v>45839</v>
          </cell>
          <cell r="R1881">
            <v>43100</v>
          </cell>
          <cell r="S1881">
            <v>1</v>
          </cell>
          <cell r="T1881">
            <v>43100</v>
          </cell>
        </row>
        <row r="1882">
          <cell r="A1882">
            <v>464</v>
          </cell>
          <cell r="B1882" t="str">
            <v>Gayathri Loganathan</v>
          </cell>
          <cell r="C1882" t="str">
            <v>Medrina IP Coding</v>
          </cell>
          <cell r="D1882" t="str">
            <v>51M</v>
          </cell>
          <cell r="E1882" t="str">
            <v>Coding</v>
          </cell>
          <cell r="F1882" t="str">
            <v>Operations</v>
          </cell>
          <cell r="G1882" t="str">
            <v>Coder</v>
          </cell>
          <cell r="H1882" t="str">
            <v>Operations</v>
          </cell>
          <cell r="I1882" t="str">
            <v>Direct</v>
          </cell>
          <cell r="J1882" t="str">
            <v>Experience</v>
          </cell>
          <cell r="K1882"/>
          <cell r="L1882">
            <v>876</v>
          </cell>
          <cell r="M1882">
            <v>70</v>
          </cell>
          <cell r="N1882">
            <v>23</v>
          </cell>
          <cell r="O1882">
            <v>0.54409937888198756</v>
          </cell>
          <cell r="P1882">
            <v>1</v>
          </cell>
          <cell r="Q1882">
            <v>45839</v>
          </cell>
          <cell r="R1882">
            <v>43695.776344086022</v>
          </cell>
          <cell r="S1882">
            <v>1</v>
          </cell>
          <cell r="T1882">
            <v>43695.776344086022</v>
          </cell>
        </row>
        <row r="1883">
          <cell r="A1883">
            <v>375</v>
          </cell>
          <cell r="B1883" t="str">
            <v>Rajeshkumar Mannu</v>
          </cell>
          <cell r="C1883" t="str">
            <v>MBMS</v>
          </cell>
          <cell r="D1883" t="str">
            <v>54MS</v>
          </cell>
          <cell r="E1883" t="str">
            <v>Ar Calling</v>
          </cell>
          <cell r="F1883" t="str">
            <v>Operations</v>
          </cell>
          <cell r="G1883" t="str">
            <v>Senior AR Caller</v>
          </cell>
          <cell r="H1883" t="str">
            <v>Operations</v>
          </cell>
          <cell r="I1883" t="str">
            <v>Direct</v>
          </cell>
          <cell r="J1883" t="str">
            <v>Experience</v>
          </cell>
          <cell r="K1883"/>
          <cell r="L1883">
            <v>280</v>
          </cell>
          <cell r="M1883">
            <v>25</v>
          </cell>
          <cell r="N1883">
            <v>23</v>
          </cell>
          <cell r="O1883">
            <v>0.4869565217391304</v>
          </cell>
          <cell r="P1883">
            <v>1</v>
          </cell>
          <cell r="Q1883">
            <v>45839</v>
          </cell>
          <cell r="R1883">
            <v>49923</v>
          </cell>
          <cell r="S1883">
            <v>1</v>
          </cell>
          <cell r="T1883">
            <v>49923</v>
          </cell>
        </row>
        <row r="1884">
          <cell r="A1884">
            <v>755</v>
          </cell>
          <cell r="B1884" t="str">
            <v>Vignesh Guru Shankar</v>
          </cell>
          <cell r="C1884" t="str">
            <v>MBMS</v>
          </cell>
          <cell r="D1884" t="str">
            <v>54MS</v>
          </cell>
          <cell r="E1884" t="str">
            <v>Ar Calling</v>
          </cell>
          <cell r="F1884" t="str">
            <v>Operations</v>
          </cell>
          <cell r="G1884" t="str">
            <v>Senior AR Caller</v>
          </cell>
          <cell r="H1884" t="str">
            <v>Operations</v>
          </cell>
          <cell r="I1884" t="str">
            <v>Direct</v>
          </cell>
          <cell r="J1884" t="str">
            <v>Experience</v>
          </cell>
          <cell r="K1884"/>
          <cell r="L1884">
            <v>166</v>
          </cell>
          <cell r="M1884">
            <v>25</v>
          </cell>
          <cell r="N1884">
            <v>23</v>
          </cell>
          <cell r="O1884">
            <v>0.28869565217391302</v>
          </cell>
          <cell r="P1884">
            <v>1</v>
          </cell>
          <cell r="Q1884">
            <v>45839</v>
          </cell>
          <cell r="R1884">
            <v>38600</v>
          </cell>
          <cell r="S1884">
            <v>1</v>
          </cell>
          <cell r="T1884">
            <v>38600</v>
          </cell>
        </row>
        <row r="1885">
          <cell r="A1885">
            <v>784</v>
          </cell>
          <cell r="B1885" t="str">
            <v>Vishal Kumar Basant Kumar</v>
          </cell>
          <cell r="C1885" t="str">
            <v>MBMS</v>
          </cell>
          <cell r="D1885" t="str">
            <v>54MS</v>
          </cell>
          <cell r="E1885" t="str">
            <v>Ar Calling</v>
          </cell>
          <cell r="F1885" t="str">
            <v>Operations</v>
          </cell>
          <cell r="G1885" t="str">
            <v>Senior AR Caller</v>
          </cell>
          <cell r="H1885" t="str">
            <v>Operations</v>
          </cell>
          <cell r="I1885" t="str">
            <v>Direct</v>
          </cell>
          <cell r="J1885" t="str">
            <v>Experience</v>
          </cell>
          <cell r="K1885"/>
          <cell r="L1885">
            <v>81</v>
          </cell>
          <cell r="M1885">
            <v>25</v>
          </cell>
          <cell r="N1885">
            <v>23</v>
          </cell>
          <cell r="O1885">
            <v>0.1408695652173913</v>
          </cell>
          <cell r="P1885">
            <v>1</v>
          </cell>
          <cell r="Q1885">
            <v>45839</v>
          </cell>
          <cell r="R1885">
            <v>49066.666666666664</v>
          </cell>
          <cell r="S1885">
            <v>1</v>
          </cell>
          <cell r="T1885">
            <v>49066.666666666664</v>
          </cell>
        </row>
        <row r="1886">
          <cell r="A1886">
            <v>785</v>
          </cell>
          <cell r="B1886" t="str">
            <v>Naresh Kumar Gunasekaran</v>
          </cell>
          <cell r="C1886" t="str">
            <v>MBMS</v>
          </cell>
          <cell r="D1886" t="str">
            <v>54MS</v>
          </cell>
          <cell r="E1886" t="str">
            <v>Ar Calling</v>
          </cell>
          <cell r="F1886" t="str">
            <v>Operations</v>
          </cell>
          <cell r="G1886" t="str">
            <v>Senior AR Caller</v>
          </cell>
          <cell r="H1886" t="str">
            <v>Operations</v>
          </cell>
          <cell r="I1886" t="str">
            <v>Direct</v>
          </cell>
          <cell r="J1886" t="str">
            <v>Experience</v>
          </cell>
          <cell r="K1886"/>
          <cell r="L1886">
            <v>75</v>
          </cell>
          <cell r="M1886">
            <v>25</v>
          </cell>
          <cell r="N1886">
            <v>23</v>
          </cell>
          <cell r="O1886">
            <v>0.13043478260869565</v>
          </cell>
          <cell r="P1886">
            <v>1</v>
          </cell>
          <cell r="Q1886">
            <v>45839</v>
          </cell>
          <cell r="R1886">
            <v>48033.333333333336</v>
          </cell>
          <cell r="S1886">
            <v>1</v>
          </cell>
          <cell r="T1886">
            <v>48033.333333333336</v>
          </cell>
        </row>
        <row r="1887">
          <cell r="A1887">
            <v>553</v>
          </cell>
          <cell r="B1887" t="str">
            <v>Nalini Chandrasekar</v>
          </cell>
          <cell r="C1887" t="str">
            <v>Comprehensive Sleep Care Center</v>
          </cell>
          <cell r="D1887" t="str">
            <v>34CS</v>
          </cell>
          <cell r="E1887" t="str">
            <v>Provider Confirmation</v>
          </cell>
          <cell r="F1887" t="str">
            <v>Operations</v>
          </cell>
          <cell r="G1887" t="str">
            <v>Senior Patient Calling Associate</v>
          </cell>
          <cell r="H1887" t="str">
            <v>Operations</v>
          </cell>
          <cell r="I1887" t="str">
            <v>Direct</v>
          </cell>
          <cell r="J1887" t="str">
            <v>Experience</v>
          </cell>
          <cell r="K1887"/>
          <cell r="L1887">
            <v>1030</v>
          </cell>
          <cell r="M1887">
            <v>70</v>
          </cell>
          <cell r="N1887">
            <v>23</v>
          </cell>
          <cell r="O1887">
            <v>0.63975155279503104</v>
          </cell>
          <cell r="P1887">
            <v>1</v>
          </cell>
          <cell r="Q1887">
            <v>45839</v>
          </cell>
          <cell r="R1887">
            <v>45975</v>
          </cell>
          <cell r="S1887">
            <v>1</v>
          </cell>
          <cell r="T1887">
            <v>45975</v>
          </cell>
        </row>
        <row r="1888">
          <cell r="A1888">
            <v>563</v>
          </cell>
          <cell r="B1888" t="str">
            <v>Madhumitha Anbalagan</v>
          </cell>
          <cell r="C1888" t="str">
            <v>Comprehensive Sleep Care Center</v>
          </cell>
          <cell r="D1888" t="str">
            <v>34CS</v>
          </cell>
          <cell r="E1888" t="str">
            <v>Provider Confirmation</v>
          </cell>
          <cell r="F1888" t="str">
            <v>Operations</v>
          </cell>
          <cell r="G1888" t="str">
            <v>Patient Calling Associate</v>
          </cell>
          <cell r="H1888" t="str">
            <v>Operations</v>
          </cell>
          <cell r="I1888" t="str">
            <v>Direct</v>
          </cell>
          <cell r="J1888" t="str">
            <v>Experience</v>
          </cell>
          <cell r="K1888"/>
          <cell r="L1888">
            <v>843</v>
          </cell>
          <cell r="M1888">
            <v>70</v>
          </cell>
          <cell r="N1888">
            <v>23</v>
          </cell>
          <cell r="O1888">
            <v>0.52360248447204971</v>
          </cell>
          <cell r="P1888">
            <v>1</v>
          </cell>
          <cell r="Q1888">
            <v>45839</v>
          </cell>
          <cell r="R1888">
            <v>33600</v>
          </cell>
          <cell r="S1888">
            <v>1</v>
          </cell>
          <cell r="T1888">
            <v>33600</v>
          </cell>
        </row>
        <row r="1889">
          <cell r="A1889">
            <v>594</v>
          </cell>
          <cell r="B1889" t="str">
            <v>Leanne Maria Robson</v>
          </cell>
          <cell r="C1889" t="str">
            <v>Comprehensive Sleep Care Center</v>
          </cell>
          <cell r="D1889" t="str">
            <v>34CS</v>
          </cell>
          <cell r="E1889" t="str">
            <v>Patient Calling</v>
          </cell>
          <cell r="F1889" t="str">
            <v>Operations</v>
          </cell>
          <cell r="G1889" t="str">
            <v>Patient Calling Associate</v>
          </cell>
          <cell r="H1889" t="str">
            <v>Operations</v>
          </cell>
          <cell r="I1889" t="str">
            <v>Direct</v>
          </cell>
          <cell r="J1889" t="str">
            <v>Experience</v>
          </cell>
          <cell r="K1889"/>
          <cell r="L1889">
            <v>886</v>
          </cell>
          <cell r="M1889">
            <v>40</v>
          </cell>
          <cell r="N1889">
            <v>23</v>
          </cell>
          <cell r="O1889">
            <v>0.96304347826086956</v>
          </cell>
          <cell r="P1889">
            <v>0.96454121306376361</v>
          </cell>
          <cell r="Q1889">
            <v>45839</v>
          </cell>
          <cell r="R1889">
            <v>40600</v>
          </cell>
          <cell r="S1889">
            <v>0.96454121306376361</v>
          </cell>
          <cell r="T1889">
            <v>39160.373250388802</v>
          </cell>
        </row>
        <row r="1890">
          <cell r="A1890">
            <v>594</v>
          </cell>
          <cell r="B1890" t="str">
            <v>Leanne Maria Robson</v>
          </cell>
          <cell r="C1890" t="str">
            <v>Comprehensive Sleep Care Center</v>
          </cell>
          <cell r="D1890" t="str">
            <v>34CS</v>
          </cell>
          <cell r="E1890" t="str">
            <v>Provider Confirmation</v>
          </cell>
          <cell r="F1890" t="str">
            <v>Operations</v>
          </cell>
          <cell r="G1890" t="str">
            <v>Patient Calling Associate</v>
          </cell>
          <cell r="H1890" t="str">
            <v>Operations</v>
          </cell>
          <cell r="I1890" t="str">
            <v>Direct</v>
          </cell>
          <cell r="J1890" t="str">
            <v>Experience</v>
          </cell>
          <cell r="K1890"/>
          <cell r="L1890">
            <v>57</v>
          </cell>
          <cell r="M1890">
            <v>70</v>
          </cell>
          <cell r="N1890">
            <v>23</v>
          </cell>
          <cell r="O1890">
            <v>3.5403726708074533E-2</v>
          </cell>
          <cell r="P1890">
            <v>3.5458786936236393E-2</v>
          </cell>
          <cell r="Q1890">
            <v>45839</v>
          </cell>
          <cell r="R1890">
            <v>40600</v>
          </cell>
          <cell r="S1890">
            <v>3.5458786936236393E-2</v>
          </cell>
          <cell r="T1890">
            <v>1439.6267496111975</v>
          </cell>
        </row>
        <row r="1891">
          <cell r="A1891">
            <v>633</v>
          </cell>
          <cell r="B1891" t="str">
            <v>Errol Douglas Rogers Sinclair Rogers</v>
          </cell>
          <cell r="C1891" t="str">
            <v>Comprehensive Sleep Care Center</v>
          </cell>
          <cell r="D1891" t="str">
            <v>34CS</v>
          </cell>
          <cell r="E1891" t="str">
            <v>Patient Calling</v>
          </cell>
          <cell r="F1891" t="str">
            <v>Operations</v>
          </cell>
          <cell r="G1891" t="str">
            <v>Patient Calling Associate</v>
          </cell>
          <cell r="H1891" t="str">
            <v>Operations</v>
          </cell>
          <cell r="I1891" t="str">
            <v>Direct</v>
          </cell>
          <cell r="J1891" t="str">
            <v>Experience</v>
          </cell>
          <cell r="K1891"/>
          <cell r="L1891">
            <v>936</v>
          </cell>
          <cell r="M1891">
            <v>40</v>
          </cell>
          <cell r="N1891">
            <v>23</v>
          </cell>
          <cell r="O1891">
            <v>1.017391304347826</v>
          </cell>
          <cell r="P1891">
            <v>0.9322709163346613</v>
          </cell>
          <cell r="Q1891">
            <v>45839</v>
          </cell>
          <cell r="R1891">
            <v>42200</v>
          </cell>
          <cell r="S1891">
            <v>0.9322709163346613</v>
          </cell>
          <cell r="T1891">
            <v>39341.832669322706</v>
          </cell>
        </row>
        <row r="1892">
          <cell r="A1892">
            <v>633</v>
          </cell>
          <cell r="B1892" t="str">
            <v>Errol Douglas Rogers Sinclair Rogers</v>
          </cell>
          <cell r="C1892" t="str">
            <v>Comprehensive Sleep Care Center</v>
          </cell>
          <cell r="D1892" t="str">
            <v>34CS</v>
          </cell>
          <cell r="E1892" t="str">
            <v>Provider Confirmation</v>
          </cell>
          <cell r="F1892" t="str">
            <v>Operations</v>
          </cell>
          <cell r="G1892" t="str">
            <v>Patient Calling Associate</v>
          </cell>
          <cell r="H1892" t="str">
            <v>Operations</v>
          </cell>
          <cell r="I1892" t="str">
            <v>Direct</v>
          </cell>
          <cell r="J1892" t="str">
            <v>Experience</v>
          </cell>
          <cell r="K1892"/>
          <cell r="L1892">
            <v>119</v>
          </cell>
          <cell r="M1892">
            <v>70</v>
          </cell>
          <cell r="N1892">
            <v>23</v>
          </cell>
          <cell r="O1892">
            <v>7.3913043478260873E-2</v>
          </cell>
          <cell r="P1892">
            <v>6.7729083665338655E-2</v>
          </cell>
          <cell r="Q1892">
            <v>45839</v>
          </cell>
          <cell r="R1892">
            <v>42200</v>
          </cell>
          <cell r="S1892">
            <v>6.7729083665338655E-2</v>
          </cell>
          <cell r="T1892">
            <v>2858.1673306772914</v>
          </cell>
        </row>
        <row r="1893">
          <cell r="A1893">
            <v>656</v>
          </cell>
          <cell r="B1893" t="str">
            <v>Clement Johnson Vincent Johnson</v>
          </cell>
          <cell r="C1893" t="str">
            <v>Comprehensive Sleep Care Center</v>
          </cell>
          <cell r="D1893" t="str">
            <v>34CS</v>
          </cell>
          <cell r="E1893" t="str">
            <v>Provider Confirmation</v>
          </cell>
          <cell r="F1893" t="str">
            <v>Operations</v>
          </cell>
          <cell r="G1893" t="str">
            <v>Patient Calling Associate</v>
          </cell>
          <cell r="H1893" t="str">
            <v>Operations</v>
          </cell>
          <cell r="I1893" t="str">
            <v>Direct</v>
          </cell>
          <cell r="J1893" t="str">
            <v>Experience</v>
          </cell>
          <cell r="K1893"/>
          <cell r="L1893">
            <v>1336</v>
          </cell>
          <cell r="M1893">
            <v>70</v>
          </cell>
          <cell r="N1893">
            <v>23</v>
          </cell>
          <cell r="O1893">
            <v>0.82981366459627326</v>
          </cell>
          <cell r="P1893">
            <v>1</v>
          </cell>
          <cell r="Q1893">
            <v>45839</v>
          </cell>
          <cell r="R1893">
            <v>44200</v>
          </cell>
          <cell r="S1893">
            <v>1</v>
          </cell>
          <cell r="T1893">
            <v>44200</v>
          </cell>
        </row>
        <row r="1894">
          <cell r="A1894">
            <v>658</v>
          </cell>
          <cell r="B1894" t="str">
            <v>Stafford Martin Sean Jerome Martin</v>
          </cell>
          <cell r="C1894" t="str">
            <v>Comprehensive Sleep Care Center</v>
          </cell>
          <cell r="D1894" t="str">
            <v>34CS</v>
          </cell>
          <cell r="E1894" t="str">
            <v>Patient Calling</v>
          </cell>
          <cell r="F1894" t="str">
            <v>Operations</v>
          </cell>
          <cell r="G1894" t="str">
            <v>Patient Calling Associate</v>
          </cell>
          <cell r="H1894" t="str">
            <v>Operations</v>
          </cell>
          <cell r="I1894" t="str">
            <v>Direct</v>
          </cell>
          <cell r="J1894" t="str">
            <v>Experience</v>
          </cell>
          <cell r="K1894"/>
          <cell r="L1894">
            <v>74</v>
          </cell>
          <cell r="M1894">
            <v>30</v>
          </cell>
          <cell r="N1894">
            <v>23</v>
          </cell>
          <cell r="O1894">
            <v>0.10724637681159421</v>
          </cell>
          <cell r="P1894">
            <v>0.10053859964093358</v>
          </cell>
          <cell r="Q1894">
            <v>45839</v>
          </cell>
          <cell r="R1894">
            <v>41500</v>
          </cell>
          <cell r="S1894">
            <v>0.10053859964093358</v>
          </cell>
          <cell r="T1894">
            <v>4172.351885098743</v>
          </cell>
        </row>
        <row r="1895">
          <cell r="A1895">
            <v>658</v>
          </cell>
          <cell r="B1895" t="str">
            <v>Stafford Martin Sean Jerome Martin</v>
          </cell>
          <cell r="C1895" t="str">
            <v>Comprehensive Sleep Care Center</v>
          </cell>
          <cell r="D1895" t="str">
            <v>34CS</v>
          </cell>
          <cell r="E1895" t="str">
            <v>Patient Calling</v>
          </cell>
          <cell r="F1895" t="str">
            <v>Operations</v>
          </cell>
          <cell r="G1895" t="str">
            <v>Patient Calling Associate</v>
          </cell>
          <cell r="H1895" t="str">
            <v>Operations</v>
          </cell>
          <cell r="I1895" t="str">
            <v>Direct</v>
          </cell>
          <cell r="J1895" t="str">
            <v>Experience</v>
          </cell>
          <cell r="K1895"/>
          <cell r="L1895">
            <v>681</v>
          </cell>
          <cell r="M1895">
            <v>40</v>
          </cell>
          <cell r="N1895">
            <v>23</v>
          </cell>
          <cell r="O1895">
            <v>0.74021739130434772</v>
          </cell>
          <cell r="P1895">
            <v>0.69392013198117319</v>
          </cell>
          <cell r="Q1895">
            <v>45839</v>
          </cell>
          <cell r="R1895">
            <v>41500</v>
          </cell>
          <cell r="S1895">
            <v>0.69392013198117319</v>
          </cell>
          <cell r="T1895">
            <v>28797.685477218689</v>
          </cell>
        </row>
        <row r="1896">
          <cell r="A1896">
            <v>658</v>
          </cell>
          <cell r="B1896" t="str">
            <v>Stafford Martin Sean Jerome Martin</v>
          </cell>
          <cell r="C1896" t="str">
            <v>Comprehensive Sleep Care Center</v>
          </cell>
          <cell r="D1896" t="str">
            <v>34CS</v>
          </cell>
          <cell r="E1896" t="str">
            <v>Patient Calling</v>
          </cell>
          <cell r="F1896" t="str">
            <v>Operations</v>
          </cell>
          <cell r="G1896" t="str">
            <v>Patient Calling Associate</v>
          </cell>
          <cell r="H1896" t="str">
            <v>Operations</v>
          </cell>
          <cell r="I1896" t="str">
            <v>Direct</v>
          </cell>
          <cell r="J1896" t="str">
            <v>Experience</v>
          </cell>
          <cell r="K1896"/>
          <cell r="L1896">
            <v>62</v>
          </cell>
          <cell r="M1896">
            <v>70</v>
          </cell>
          <cell r="N1896">
            <v>23</v>
          </cell>
          <cell r="O1896">
            <v>3.8509316770186333E-2</v>
          </cell>
          <cell r="P1896">
            <v>3.6100732689601629E-2</v>
          </cell>
          <cell r="Q1896">
            <v>45839</v>
          </cell>
          <cell r="R1896">
            <v>41500</v>
          </cell>
          <cell r="S1896">
            <v>3.6100732689601629E-2</v>
          </cell>
          <cell r="T1896">
            <v>1498.1804066184677</v>
          </cell>
        </row>
        <row r="1897">
          <cell r="A1897">
            <v>658</v>
          </cell>
          <cell r="B1897" t="str">
            <v>Stafford Martin Sean Jerome Martin</v>
          </cell>
          <cell r="C1897" t="str">
            <v>Comprehensive Sleep Care Center</v>
          </cell>
          <cell r="D1897" t="str">
            <v>34CS</v>
          </cell>
          <cell r="E1897" t="str">
            <v>Provider Confirmation</v>
          </cell>
          <cell r="F1897" t="str">
            <v>Operations</v>
          </cell>
          <cell r="G1897" t="str">
            <v>Patient Calling Associate</v>
          </cell>
          <cell r="H1897" t="str">
            <v>Operations</v>
          </cell>
          <cell r="I1897" t="str">
            <v>Direct</v>
          </cell>
          <cell r="J1897" t="str">
            <v>Experience</v>
          </cell>
          <cell r="K1897"/>
          <cell r="L1897">
            <v>291</v>
          </cell>
          <cell r="M1897">
            <v>70</v>
          </cell>
          <cell r="N1897">
            <v>23</v>
          </cell>
          <cell r="O1897">
            <v>0.18074534161490685</v>
          </cell>
          <cell r="P1897">
            <v>0.16944053568829154</v>
          </cell>
          <cell r="Q1897">
            <v>45839</v>
          </cell>
          <cell r="R1897">
            <v>41500</v>
          </cell>
          <cell r="S1897">
            <v>0.16944053568829154</v>
          </cell>
          <cell r="T1897">
            <v>7031.7822310640986</v>
          </cell>
        </row>
        <row r="1898">
          <cell r="A1898">
            <v>689</v>
          </cell>
          <cell r="B1898" t="str">
            <v>Charlotte D'cruz Wallace D'silva</v>
          </cell>
          <cell r="C1898" t="str">
            <v>Comprehensive Sleep Care Center</v>
          </cell>
          <cell r="D1898" t="str">
            <v>34CS</v>
          </cell>
          <cell r="E1898" t="str">
            <v>Patient Calling</v>
          </cell>
          <cell r="F1898" t="str">
            <v>Operations</v>
          </cell>
          <cell r="G1898" t="str">
            <v>Patient Calling Associate</v>
          </cell>
          <cell r="H1898" t="str">
            <v>Operations</v>
          </cell>
          <cell r="I1898" t="str">
            <v>Direct</v>
          </cell>
          <cell r="J1898" t="str">
            <v>Experience</v>
          </cell>
          <cell r="K1898"/>
          <cell r="L1898">
            <v>813</v>
          </cell>
          <cell r="M1898">
            <v>40</v>
          </cell>
          <cell r="N1898">
            <v>23</v>
          </cell>
          <cell r="O1898">
            <v>0.88369565217391299</v>
          </cell>
          <cell r="P1898">
            <v>0.9258174719375305</v>
          </cell>
          <cell r="Q1898">
            <v>45839</v>
          </cell>
          <cell r="R1898">
            <v>48916.666666666664</v>
          </cell>
          <cell r="S1898">
            <v>0.9258174719375305</v>
          </cell>
          <cell r="T1898">
            <v>45287.904668944197</v>
          </cell>
        </row>
        <row r="1899">
          <cell r="A1899">
            <v>689</v>
          </cell>
          <cell r="B1899" t="str">
            <v>Charlotte D'cruz Wallace D'silva</v>
          </cell>
          <cell r="C1899" t="str">
            <v>Comprehensive Sleep Care Center</v>
          </cell>
          <cell r="D1899" t="str">
            <v>34CS</v>
          </cell>
          <cell r="E1899" t="str">
            <v>Provider Confirmation</v>
          </cell>
          <cell r="F1899" t="str">
            <v>Operations</v>
          </cell>
          <cell r="G1899" t="str">
            <v>Patient Calling Associate</v>
          </cell>
          <cell r="H1899" t="str">
            <v>Operations</v>
          </cell>
          <cell r="I1899" t="str">
            <v>Direct</v>
          </cell>
          <cell r="J1899" t="str">
            <v>Experience</v>
          </cell>
          <cell r="K1899"/>
          <cell r="L1899">
            <v>114</v>
          </cell>
          <cell r="M1899">
            <v>70</v>
          </cell>
          <cell r="N1899">
            <v>23</v>
          </cell>
          <cell r="O1899">
            <v>7.0807453416149066E-2</v>
          </cell>
          <cell r="P1899">
            <v>7.4182528062469499E-2</v>
          </cell>
          <cell r="Q1899">
            <v>45839</v>
          </cell>
          <cell r="R1899">
            <v>48916.666666666664</v>
          </cell>
          <cell r="S1899">
            <v>7.4182528062469499E-2</v>
          </cell>
          <cell r="T1899">
            <v>3628.7619977224663</v>
          </cell>
        </row>
        <row r="1900">
          <cell r="A1900">
            <v>691</v>
          </cell>
          <cell r="B1900" t="str">
            <v>Prashanth Ramesh</v>
          </cell>
          <cell r="C1900" t="str">
            <v>Comprehensive Sleep Care Center</v>
          </cell>
          <cell r="D1900" t="str">
            <v>34CS</v>
          </cell>
          <cell r="E1900" t="str">
            <v>Soft collections</v>
          </cell>
          <cell r="F1900" t="str">
            <v>Operations</v>
          </cell>
          <cell r="G1900" t="str">
            <v>Senior Patient Calling Associate</v>
          </cell>
          <cell r="H1900" t="str">
            <v>Operations</v>
          </cell>
          <cell r="I1900" t="str">
            <v>Direct</v>
          </cell>
          <cell r="J1900" t="str">
            <v>Experience</v>
          </cell>
          <cell r="K1900"/>
          <cell r="L1900">
            <v>1072</v>
          </cell>
          <cell r="M1900">
            <v>70</v>
          </cell>
          <cell r="N1900">
            <v>23</v>
          </cell>
          <cell r="O1900">
            <v>0.66583850931677024</v>
          </cell>
          <cell r="P1900">
            <v>1</v>
          </cell>
          <cell r="Q1900">
            <v>45839</v>
          </cell>
          <cell r="R1900">
            <v>48761.290322580644</v>
          </cell>
          <cell r="S1900">
            <v>1</v>
          </cell>
          <cell r="T1900">
            <v>48761.290322580644</v>
          </cell>
        </row>
        <row r="1901">
          <cell r="A1901">
            <v>692</v>
          </cell>
          <cell r="B1901" t="str">
            <v>Mohana Priyanka Sivakumar</v>
          </cell>
          <cell r="C1901" t="str">
            <v>Comprehensive Sleep Care Center</v>
          </cell>
          <cell r="D1901" t="str">
            <v>34CS</v>
          </cell>
          <cell r="E1901" t="str">
            <v>Patient Calling</v>
          </cell>
          <cell r="F1901" t="str">
            <v>Operations</v>
          </cell>
          <cell r="G1901" t="str">
            <v>Patient Calling Associate</v>
          </cell>
          <cell r="H1901" t="str">
            <v>Operations</v>
          </cell>
          <cell r="I1901" t="str">
            <v>Direct</v>
          </cell>
          <cell r="J1901" t="str">
            <v>Experience</v>
          </cell>
          <cell r="K1901"/>
          <cell r="L1901">
            <v>913</v>
          </cell>
          <cell r="M1901">
            <v>40</v>
          </cell>
          <cell r="N1901">
            <v>23</v>
          </cell>
          <cell r="O1901">
            <v>0.99239130434782608</v>
          </cell>
          <cell r="P1901">
            <v>0.96555370901948945</v>
          </cell>
          <cell r="Q1901">
            <v>45839</v>
          </cell>
          <cell r="R1901">
            <v>47400</v>
          </cell>
          <cell r="S1901">
            <v>0.96555370901948945</v>
          </cell>
          <cell r="T1901">
            <v>45767.245807523803</v>
          </cell>
        </row>
        <row r="1902">
          <cell r="A1902">
            <v>692</v>
          </cell>
          <cell r="B1902" t="str">
            <v>Mohana Priyanka Sivakumar</v>
          </cell>
          <cell r="C1902" t="str">
            <v>Comprehensive Sleep Care Center</v>
          </cell>
          <cell r="D1902" t="str">
            <v>34CS</v>
          </cell>
          <cell r="E1902" t="str">
            <v>Provider Confirmation</v>
          </cell>
          <cell r="F1902" t="str">
            <v>Operations</v>
          </cell>
          <cell r="G1902" t="str">
            <v>Patient Calling Associate</v>
          </cell>
          <cell r="H1902" t="str">
            <v>Operations</v>
          </cell>
          <cell r="I1902" t="str">
            <v>Direct</v>
          </cell>
          <cell r="J1902" t="str">
            <v>Experience</v>
          </cell>
          <cell r="K1902"/>
          <cell r="L1902">
            <v>57</v>
          </cell>
          <cell r="M1902">
            <v>70</v>
          </cell>
          <cell r="N1902">
            <v>23</v>
          </cell>
          <cell r="O1902">
            <v>3.5403726708074533E-2</v>
          </cell>
          <cell r="P1902">
            <v>3.4446290980510656E-2</v>
          </cell>
          <cell r="Q1902">
            <v>45839</v>
          </cell>
          <cell r="R1902">
            <v>47400</v>
          </cell>
          <cell r="S1902">
            <v>3.4446290980510656E-2</v>
          </cell>
          <cell r="T1902">
            <v>1632.7541924762052</v>
          </cell>
        </row>
        <row r="1903">
          <cell r="A1903">
            <v>697</v>
          </cell>
          <cell r="B1903" t="str">
            <v>Gordon ellens Lawrence ellens</v>
          </cell>
          <cell r="C1903" t="str">
            <v>Comprehensive Sleep Care Center</v>
          </cell>
          <cell r="D1903" t="str">
            <v>34CS</v>
          </cell>
          <cell r="E1903" t="str">
            <v>Provider Confirmation</v>
          </cell>
          <cell r="F1903" t="str">
            <v>Operations</v>
          </cell>
          <cell r="G1903" t="str">
            <v>Patient Calling Associate</v>
          </cell>
          <cell r="H1903" t="str">
            <v>Operations</v>
          </cell>
          <cell r="I1903" t="str">
            <v>Direct</v>
          </cell>
          <cell r="J1903" t="str">
            <v>Experience</v>
          </cell>
          <cell r="K1903"/>
          <cell r="L1903">
            <v>1423</v>
          </cell>
          <cell r="M1903">
            <v>70</v>
          </cell>
          <cell r="N1903">
            <v>23</v>
          </cell>
          <cell r="O1903">
            <v>0.88385093167701867</v>
          </cell>
          <cell r="P1903">
            <v>1</v>
          </cell>
          <cell r="Q1903">
            <v>45839</v>
          </cell>
          <cell r="R1903">
            <v>51600</v>
          </cell>
          <cell r="S1903">
            <v>1</v>
          </cell>
          <cell r="T1903">
            <v>51600</v>
          </cell>
        </row>
        <row r="1904">
          <cell r="A1904">
            <v>738</v>
          </cell>
          <cell r="B1904" t="str">
            <v>Rufus Ryan Fraser Maxieal Fraser</v>
          </cell>
          <cell r="C1904" t="str">
            <v>Comprehensive Sleep Care Center</v>
          </cell>
          <cell r="D1904" t="str">
            <v>34CS</v>
          </cell>
          <cell r="E1904" t="str">
            <v>Patient Calling</v>
          </cell>
          <cell r="F1904" t="str">
            <v>Operations</v>
          </cell>
          <cell r="G1904" t="str">
            <v>Patient Calling Associate</v>
          </cell>
          <cell r="H1904" t="str">
            <v>Operations</v>
          </cell>
          <cell r="I1904" t="str">
            <v>Direct</v>
          </cell>
          <cell r="J1904" t="str">
            <v>Experience</v>
          </cell>
          <cell r="K1904"/>
          <cell r="L1904">
            <v>994</v>
          </cell>
          <cell r="M1904">
            <v>40</v>
          </cell>
          <cell r="N1904">
            <v>23</v>
          </cell>
          <cell r="O1904">
            <v>1.0804347826086957</v>
          </cell>
          <cell r="P1904">
            <v>1</v>
          </cell>
          <cell r="Q1904">
            <v>45839</v>
          </cell>
          <cell r="R1904">
            <v>54800</v>
          </cell>
          <cell r="S1904">
            <v>1</v>
          </cell>
          <cell r="T1904">
            <v>54800</v>
          </cell>
        </row>
        <row r="1905">
          <cell r="A1905">
            <v>740</v>
          </cell>
          <cell r="B1905" t="str">
            <v>Bruce Christopher Abraham Lincoln</v>
          </cell>
          <cell r="C1905" t="str">
            <v>Comprehensive Sleep Care Center</v>
          </cell>
          <cell r="D1905" t="str">
            <v>34CS</v>
          </cell>
          <cell r="E1905" t="str">
            <v>Soft collections</v>
          </cell>
          <cell r="F1905" t="str">
            <v>Operations</v>
          </cell>
          <cell r="G1905" t="str">
            <v>Patient Calling Associate</v>
          </cell>
          <cell r="H1905" t="str">
            <v>Operations</v>
          </cell>
          <cell r="I1905" t="str">
            <v>Direct</v>
          </cell>
          <cell r="J1905" t="str">
            <v>Experience</v>
          </cell>
          <cell r="K1905"/>
          <cell r="L1905">
            <v>852</v>
          </cell>
          <cell r="M1905">
            <v>70</v>
          </cell>
          <cell r="N1905">
            <v>23</v>
          </cell>
          <cell r="O1905">
            <v>0.52919254658385095</v>
          </cell>
          <cell r="P1905">
            <v>1</v>
          </cell>
          <cell r="Q1905">
            <v>45839</v>
          </cell>
          <cell r="R1905">
            <v>32516.258064516129</v>
          </cell>
          <cell r="S1905">
            <v>1</v>
          </cell>
          <cell r="T1905">
            <v>32516.258064516129</v>
          </cell>
        </row>
        <row r="1906">
          <cell r="A1906">
            <v>761</v>
          </cell>
          <cell r="B1906" t="str">
            <v>Cassandra Rachel Moore Gregory Russel Moore</v>
          </cell>
          <cell r="C1906" t="str">
            <v>Comprehensive Sleep Care Center</v>
          </cell>
          <cell r="D1906" t="str">
            <v>34CS</v>
          </cell>
          <cell r="E1906" t="str">
            <v>Patient Calling</v>
          </cell>
          <cell r="F1906" t="str">
            <v>Operations</v>
          </cell>
          <cell r="G1906" t="str">
            <v>Patient Calling Associate</v>
          </cell>
          <cell r="H1906" t="str">
            <v>Operations</v>
          </cell>
          <cell r="I1906" t="str">
            <v>Direct</v>
          </cell>
          <cell r="J1906" t="str">
            <v>Experience</v>
          </cell>
          <cell r="K1906"/>
          <cell r="L1906">
            <v>893</v>
          </cell>
          <cell r="M1906">
            <v>40</v>
          </cell>
          <cell r="N1906">
            <v>23</v>
          </cell>
          <cell r="O1906">
            <v>0.97065217391304348</v>
          </cell>
          <cell r="P1906">
            <v>1</v>
          </cell>
          <cell r="Q1906">
            <v>45839</v>
          </cell>
          <cell r="R1906">
            <v>31440</v>
          </cell>
          <cell r="S1906">
            <v>1</v>
          </cell>
          <cell r="T1906">
            <v>31440</v>
          </cell>
        </row>
        <row r="1907">
          <cell r="A1907">
            <v>763</v>
          </cell>
          <cell r="B1907" t="str">
            <v>John Elijiah Roberts Christipin Roberts</v>
          </cell>
          <cell r="C1907" t="str">
            <v>Comprehensive Sleep Care Center</v>
          </cell>
          <cell r="D1907" t="str">
            <v>34CS</v>
          </cell>
          <cell r="E1907" t="str">
            <v>Provider Confirmation</v>
          </cell>
          <cell r="F1907" t="str">
            <v>Operations</v>
          </cell>
          <cell r="G1907" t="str">
            <v>Patient Calling Associate</v>
          </cell>
          <cell r="H1907" t="str">
            <v>Operations</v>
          </cell>
          <cell r="I1907" t="str">
            <v>Direct</v>
          </cell>
          <cell r="J1907" t="str">
            <v>Experience</v>
          </cell>
          <cell r="K1907"/>
          <cell r="L1907">
            <v>62</v>
          </cell>
          <cell r="M1907">
            <v>70</v>
          </cell>
          <cell r="N1907">
            <v>23</v>
          </cell>
          <cell r="O1907">
            <v>3.8509316770186333E-2</v>
          </cell>
          <cell r="P1907">
            <v>1</v>
          </cell>
          <cell r="Q1907">
            <v>45839</v>
          </cell>
          <cell r="R1907">
            <v>0</v>
          </cell>
          <cell r="S1907">
            <v>1</v>
          </cell>
          <cell r="T1907">
            <v>0</v>
          </cell>
        </row>
        <row r="1908">
          <cell r="A1908">
            <v>468</v>
          </cell>
          <cell r="B1908" t="str">
            <v>Pradeep Immanuel</v>
          </cell>
          <cell r="C1908" t="str">
            <v>Comprehensive Sleep Care Center</v>
          </cell>
          <cell r="D1908" t="str">
            <v>34CS</v>
          </cell>
          <cell r="E1908" t="str">
            <v>Soft collections</v>
          </cell>
          <cell r="F1908" t="str">
            <v>Operations</v>
          </cell>
          <cell r="G1908" t="str">
            <v>Senior AR Caller</v>
          </cell>
          <cell r="H1908" t="str">
            <v>Operations</v>
          </cell>
          <cell r="I1908" t="str">
            <v>Direct</v>
          </cell>
          <cell r="J1908" t="str">
            <v>Experience</v>
          </cell>
          <cell r="K1908"/>
          <cell r="L1908">
            <v>872</v>
          </cell>
          <cell r="M1908">
            <v>70</v>
          </cell>
          <cell r="N1908">
            <v>23</v>
          </cell>
          <cell r="O1908">
            <v>0.54161490683229818</v>
          </cell>
          <cell r="P1908">
            <v>1</v>
          </cell>
          <cell r="Q1908">
            <v>45839</v>
          </cell>
          <cell r="R1908">
            <v>40223.096774193546</v>
          </cell>
          <cell r="S1908">
            <v>1</v>
          </cell>
          <cell r="T1908">
            <v>40223.096774193546</v>
          </cell>
        </row>
        <row r="1909">
          <cell r="A1909">
            <v>769</v>
          </cell>
          <cell r="B1909" t="str">
            <v>Aisheca Anita</v>
          </cell>
          <cell r="C1909" t="str">
            <v>Comprehensive Sleep Care Center</v>
          </cell>
          <cell r="D1909" t="str">
            <v>34CS</v>
          </cell>
          <cell r="E1909" t="str">
            <v>Patient Calling</v>
          </cell>
          <cell r="F1909" t="str">
            <v>Operations</v>
          </cell>
          <cell r="G1909" t="str">
            <v>Patient Calling Associate</v>
          </cell>
          <cell r="H1909" t="str">
            <v>Operations</v>
          </cell>
          <cell r="I1909" t="str">
            <v>Direct</v>
          </cell>
          <cell r="J1909" t="str">
            <v>Experience</v>
          </cell>
          <cell r="K1909"/>
          <cell r="L1909">
            <v>712</v>
          </cell>
          <cell r="M1909">
            <v>40</v>
          </cell>
          <cell r="N1909">
            <v>23</v>
          </cell>
          <cell r="O1909">
            <v>0.77391304347826095</v>
          </cell>
          <cell r="P1909">
            <v>1</v>
          </cell>
          <cell r="Q1909">
            <v>45839</v>
          </cell>
          <cell r="R1909">
            <v>20955.677419354837</v>
          </cell>
          <cell r="S1909">
            <v>1</v>
          </cell>
          <cell r="T1909">
            <v>20955.677419354837</v>
          </cell>
        </row>
        <row r="1910">
          <cell r="A1910">
            <v>669</v>
          </cell>
          <cell r="B1910" t="str">
            <v>Madan Kumar Guna sekar</v>
          </cell>
          <cell r="C1910" t="str">
            <v>Your Docs In</v>
          </cell>
          <cell r="D1910" t="str">
            <v>38YD</v>
          </cell>
          <cell r="E1910" t="str">
            <v>Patient Calling</v>
          </cell>
          <cell r="F1910" t="str">
            <v>Operations</v>
          </cell>
          <cell r="G1910" t="str">
            <v>Senior Patient Calling Associate</v>
          </cell>
          <cell r="H1910" t="str">
            <v>Operations</v>
          </cell>
          <cell r="I1910" t="str">
            <v>Direct</v>
          </cell>
          <cell r="J1910" t="str">
            <v>Experience</v>
          </cell>
          <cell r="K1910"/>
          <cell r="L1910">
            <v>1417</v>
          </cell>
          <cell r="M1910">
            <v>64</v>
          </cell>
          <cell r="N1910">
            <v>23</v>
          </cell>
          <cell r="O1910">
            <v>0.96263586956521741</v>
          </cell>
          <cell r="P1910">
            <v>1</v>
          </cell>
          <cell r="Q1910">
            <v>45839</v>
          </cell>
          <cell r="R1910">
            <v>52600</v>
          </cell>
          <cell r="S1910">
            <v>1</v>
          </cell>
          <cell r="T1910">
            <v>52600</v>
          </cell>
        </row>
        <row r="1911">
          <cell r="A1911">
            <v>693</v>
          </cell>
          <cell r="B1911" t="str">
            <v>Gerald Thomas Mcleod M J Mcleod</v>
          </cell>
          <cell r="C1911" t="str">
            <v>Your Docs In</v>
          </cell>
          <cell r="D1911" t="str">
            <v>38YD</v>
          </cell>
          <cell r="E1911" t="str">
            <v>Patient Calling</v>
          </cell>
          <cell r="F1911" t="str">
            <v>Operations</v>
          </cell>
          <cell r="G1911" t="str">
            <v>Patient Calling Associate</v>
          </cell>
          <cell r="H1911" t="str">
            <v>Operations</v>
          </cell>
          <cell r="I1911" t="str">
            <v>Direct</v>
          </cell>
          <cell r="J1911" t="str">
            <v>Experience</v>
          </cell>
          <cell r="K1911"/>
          <cell r="L1911">
            <v>1171</v>
          </cell>
          <cell r="M1911">
            <v>64</v>
          </cell>
          <cell r="N1911">
            <v>23</v>
          </cell>
          <cell r="O1911">
            <v>0.79551630434782605</v>
          </cell>
          <cell r="P1911">
            <v>1</v>
          </cell>
          <cell r="Q1911">
            <v>45839</v>
          </cell>
          <cell r="R1911">
            <v>37277.419354838712</v>
          </cell>
          <cell r="S1911">
            <v>1</v>
          </cell>
          <cell r="T1911">
            <v>37277.419354838712</v>
          </cell>
        </row>
        <row r="1912">
          <cell r="A1912">
            <v>614</v>
          </cell>
          <cell r="B1912" t="str">
            <v>Deborah Sharon McLeod Ralph McLeod</v>
          </cell>
          <cell r="C1912" t="str">
            <v>Your Docs In</v>
          </cell>
          <cell r="D1912" t="str">
            <v>38YD</v>
          </cell>
          <cell r="E1912" t="str">
            <v>Patient Calling</v>
          </cell>
          <cell r="F1912" t="str">
            <v>Operations</v>
          </cell>
          <cell r="G1912" t="str">
            <v>Patient Calling Associate</v>
          </cell>
          <cell r="H1912" t="str">
            <v>Operations</v>
          </cell>
          <cell r="I1912" t="str">
            <v>Direct</v>
          </cell>
          <cell r="J1912" t="str">
            <v>Experience</v>
          </cell>
          <cell r="K1912"/>
          <cell r="L1912">
            <v>1116</v>
          </cell>
          <cell r="M1912">
            <v>64</v>
          </cell>
          <cell r="N1912">
            <v>23</v>
          </cell>
          <cell r="O1912">
            <v>0.75815217391304346</v>
          </cell>
          <cell r="P1912">
            <v>1</v>
          </cell>
          <cell r="Q1912">
            <v>45839</v>
          </cell>
          <cell r="R1912">
            <v>44600</v>
          </cell>
          <cell r="S1912">
            <v>1</v>
          </cell>
          <cell r="T1912">
            <v>44600</v>
          </cell>
        </row>
        <row r="1913">
          <cell r="A1913">
            <v>573</v>
          </cell>
          <cell r="B1913" t="str">
            <v>Priyavadhanan Udhayabanu</v>
          </cell>
          <cell r="C1913" t="str">
            <v>Your Docs In</v>
          </cell>
          <cell r="D1913" t="str">
            <v>38YD</v>
          </cell>
          <cell r="E1913" t="str">
            <v>Patient Calling</v>
          </cell>
          <cell r="F1913" t="str">
            <v>Operations</v>
          </cell>
          <cell r="G1913" t="str">
            <v>Senior Patient Calling Associate</v>
          </cell>
          <cell r="H1913" t="str">
            <v>Operations</v>
          </cell>
          <cell r="I1913" t="str">
            <v>Direct</v>
          </cell>
          <cell r="J1913" t="str">
            <v>Experience</v>
          </cell>
          <cell r="K1913"/>
          <cell r="L1913">
            <v>1372</v>
          </cell>
          <cell r="M1913">
            <v>64</v>
          </cell>
          <cell r="N1913">
            <v>23</v>
          </cell>
          <cell r="O1913">
            <v>0.93206521739130432</v>
          </cell>
          <cell r="P1913">
            <v>1</v>
          </cell>
          <cell r="Q1913">
            <v>45839</v>
          </cell>
          <cell r="R1913">
            <v>46400</v>
          </cell>
          <cell r="S1913">
            <v>1</v>
          </cell>
          <cell r="T1913">
            <v>46400</v>
          </cell>
        </row>
        <row r="1914">
          <cell r="A1914">
            <v>776</v>
          </cell>
          <cell r="B1914" t="str">
            <v>Sridhar Harikrishnan</v>
          </cell>
          <cell r="C1914" t="str">
            <v>Premier Sleep Disorders Center</v>
          </cell>
          <cell r="D1914" t="str">
            <v>49PSDC</v>
          </cell>
          <cell r="E1914" t="str">
            <v>Patient Calling</v>
          </cell>
          <cell r="F1914" t="str">
            <v>Operations</v>
          </cell>
          <cell r="G1914" t="str">
            <v>Patient Calling Associate</v>
          </cell>
          <cell r="H1914" t="str">
            <v>Operations</v>
          </cell>
          <cell r="I1914" t="str">
            <v>Direct</v>
          </cell>
          <cell r="J1914" t="str">
            <v>Experience</v>
          </cell>
          <cell r="K1914"/>
          <cell r="L1914">
            <v>642</v>
          </cell>
          <cell r="M1914">
            <v>40</v>
          </cell>
          <cell r="N1914">
            <v>23</v>
          </cell>
          <cell r="O1914">
            <v>0.69782608695652182</v>
          </cell>
          <cell r="P1914">
            <v>1</v>
          </cell>
          <cell r="Q1914">
            <v>45839</v>
          </cell>
          <cell r="R1914">
            <v>34051.612903225803</v>
          </cell>
          <cell r="S1914">
            <v>1</v>
          </cell>
          <cell r="T1914">
            <v>34051.612903225803</v>
          </cell>
        </row>
        <row r="1915">
          <cell r="A1915">
            <v>796</v>
          </cell>
          <cell r="B1915" t="str">
            <v>Darryl Vandrepet Rolland Vandrepet</v>
          </cell>
          <cell r="C1915" t="str">
            <v>Your Docs In</v>
          </cell>
          <cell r="D1915" t="str">
            <v>38YD</v>
          </cell>
          <cell r="E1915" t="str">
            <v>Patient Calling</v>
          </cell>
          <cell r="F1915" t="str">
            <v>Operations</v>
          </cell>
          <cell r="G1915" t="str">
            <v>Patient Calling Associate</v>
          </cell>
          <cell r="H1915" t="str">
            <v>Operations</v>
          </cell>
          <cell r="I1915" t="str">
            <v>Direct</v>
          </cell>
          <cell r="J1915" t="str">
            <v>Experience</v>
          </cell>
          <cell r="K1915"/>
          <cell r="L1915">
            <v>693</v>
          </cell>
          <cell r="M1915">
            <v>64</v>
          </cell>
          <cell r="N1915">
            <v>23</v>
          </cell>
          <cell r="O1915">
            <v>0.47078804347826086</v>
          </cell>
          <cell r="P1915">
            <v>1</v>
          </cell>
          <cell r="Q1915">
            <v>45839</v>
          </cell>
          <cell r="R1915">
            <v>15483.870967741936</v>
          </cell>
          <cell r="S1915">
            <v>1</v>
          </cell>
          <cell r="T1915">
            <v>15483.870967741936</v>
          </cell>
        </row>
        <row r="1916">
          <cell r="A1916">
            <v>800</v>
          </cell>
          <cell r="B1916" t="str">
            <v>Priyanka Arunagiri</v>
          </cell>
          <cell r="C1916" t="str">
            <v>Your Docs In</v>
          </cell>
          <cell r="D1916" t="str">
            <v>38YD</v>
          </cell>
          <cell r="E1916" t="str">
            <v>Patient Calling</v>
          </cell>
          <cell r="F1916" t="str">
            <v>Operations</v>
          </cell>
          <cell r="G1916" t="str">
            <v>Patient Calling Associate</v>
          </cell>
          <cell r="H1916" t="str">
            <v>Operations</v>
          </cell>
          <cell r="I1916" t="str">
            <v>Direct</v>
          </cell>
          <cell r="J1916" t="str">
            <v>Experience</v>
          </cell>
          <cell r="K1916"/>
          <cell r="L1916">
            <v>402</v>
          </cell>
          <cell r="M1916">
            <v>64</v>
          </cell>
          <cell r="N1916">
            <v>23</v>
          </cell>
          <cell r="O1916">
            <v>0.27309782608695654</v>
          </cell>
          <cell r="P1916">
            <v>1</v>
          </cell>
          <cell r="Q1916">
            <v>45839</v>
          </cell>
          <cell r="R1916">
            <v>15967.741935483871</v>
          </cell>
          <cell r="S1916">
            <v>1</v>
          </cell>
          <cell r="T1916">
            <v>15967.741935483871</v>
          </cell>
        </row>
        <row r="1917">
          <cell r="A1917">
            <v>799</v>
          </cell>
          <cell r="B1917" t="str">
            <v>Mark James Edmonds Phillip Christopher Edmonds</v>
          </cell>
          <cell r="C1917" t="str">
            <v>Your Docs In</v>
          </cell>
          <cell r="D1917" t="str">
            <v>38YD</v>
          </cell>
          <cell r="E1917" t="str">
            <v>Patient Calling</v>
          </cell>
          <cell r="F1917" t="str">
            <v>Operations</v>
          </cell>
          <cell r="G1917" t="str">
            <v>Patient Calling Associate</v>
          </cell>
          <cell r="H1917" t="str">
            <v>Operations</v>
          </cell>
          <cell r="I1917" t="str">
            <v>Direct</v>
          </cell>
          <cell r="J1917" t="str">
            <v>Experience</v>
          </cell>
          <cell r="K1917"/>
          <cell r="L1917">
            <v>349</v>
          </cell>
          <cell r="M1917">
            <v>64</v>
          </cell>
          <cell r="N1917">
            <v>23</v>
          </cell>
          <cell r="O1917">
            <v>0.23709239130434784</v>
          </cell>
          <cell r="P1917">
            <v>1</v>
          </cell>
          <cell r="Q1917">
            <v>45839</v>
          </cell>
          <cell r="R1917">
            <v>16258.064516129034</v>
          </cell>
          <cell r="S1917">
            <v>1</v>
          </cell>
          <cell r="T1917">
            <v>16258.064516129034</v>
          </cell>
        </row>
      </sheetData>
      <sheetData sheetId="10">
        <row r="5">
          <cell r="B5" t="str">
            <v>Row Labels</v>
          </cell>
          <cell r="C5" t="str">
            <v>Experience</v>
          </cell>
          <cell r="D5" t="str">
            <v>Fresher</v>
          </cell>
        </row>
        <row r="6">
          <cell r="B6" t="str">
            <v>14OD</v>
          </cell>
          <cell r="C6">
            <v>2.2941502190995093</v>
          </cell>
          <cell r="D6">
            <v>1</v>
          </cell>
        </row>
        <row r="7">
          <cell r="B7" t="str">
            <v>26UG</v>
          </cell>
          <cell r="C7">
            <v>5.5566830923090764</v>
          </cell>
          <cell r="D7"/>
        </row>
        <row r="8">
          <cell r="B8" t="str">
            <v>31PT</v>
          </cell>
          <cell r="C8">
            <v>6.6895195450365712</v>
          </cell>
          <cell r="D8">
            <v>1.3723849372384938</v>
          </cell>
        </row>
        <row r="9">
          <cell r="B9" t="str">
            <v>32DS</v>
          </cell>
          <cell r="C9">
            <v>4.6439485068292745</v>
          </cell>
          <cell r="D9"/>
        </row>
        <row r="10">
          <cell r="B10" t="str">
            <v>34CS</v>
          </cell>
          <cell r="C10">
            <v>28.638197157154366</v>
          </cell>
          <cell r="D10">
            <v>2</v>
          </cell>
        </row>
        <row r="11">
          <cell r="B11" t="str">
            <v>38YD</v>
          </cell>
          <cell r="C11">
            <v>32.222935631787578</v>
          </cell>
          <cell r="D11">
            <v>5.8865617617996255</v>
          </cell>
        </row>
        <row r="12">
          <cell r="B12" t="str">
            <v>39MP</v>
          </cell>
          <cell r="C12">
            <v>2.1325934227837798E-2</v>
          </cell>
          <cell r="D12"/>
        </row>
        <row r="13">
          <cell r="B13" t="str">
            <v>3E</v>
          </cell>
          <cell r="C13">
            <v>4.1784635106675205</v>
          </cell>
          <cell r="D13">
            <v>1</v>
          </cell>
        </row>
        <row r="14">
          <cell r="B14" t="str">
            <v>41PT</v>
          </cell>
          <cell r="C14">
            <v>3.6666666666666665</v>
          </cell>
          <cell r="D14"/>
        </row>
        <row r="15">
          <cell r="B15" t="str">
            <v>41PTI</v>
          </cell>
          <cell r="C15">
            <v>2.7510729613733904</v>
          </cell>
          <cell r="D15"/>
        </row>
        <row r="16">
          <cell r="B16" t="str">
            <v>42GC</v>
          </cell>
          <cell r="C16">
            <v>2</v>
          </cell>
          <cell r="D16"/>
        </row>
        <row r="17">
          <cell r="B17" t="str">
            <v>451B</v>
          </cell>
          <cell r="C17">
            <v>1</v>
          </cell>
          <cell r="D17"/>
        </row>
        <row r="18">
          <cell r="B18" t="str">
            <v>47MOD</v>
          </cell>
          <cell r="C18">
            <v>0.7806001019978186</v>
          </cell>
          <cell r="D18">
            <v>0.67077952029520294</v>
          </cell>
        </row>
        <row r="19">
          <cell r="B19" t="str">
            <v>48nh</v>
          </cell>
          <cell r="C19">
            <v>1</v>
          </cell>
          <cell r="D19"/>
        </row>
        <row r="20">
          <cell r="B20" t="str">
            <v>48NHC</v>
          </cell>
          <cell r="C20">
            <v>6.5885797950219612E-3</v>
          </cell>
          <cell r="D20"/>
        </row>
        <row r="21">
          <cell r="B21" t="str">
            <v>49PSDC</v>
          </cell>
          <cell r="C21">
            <v>3.6107298814722393</v>
          </cell>
          <cell r="D21">
            <v>5.0209205020920501E-2</v>
          </cell>
        </row>
        <row r="22">
          <cell r="B22" t="str">
            <v>50EH</v>
          </cell>
          <cell r="C22">
            <v>9</v>
          </cell>
          <cell r="D22"/>
        </row>
        <row r="23">
          <cell r="B23" t="str">
            <v>51M</v>
          </cell>
          <cell r="C23">
            <v>5</v>
          </cell>
          <cell r="D23">
            <v>2.0064575645756453E-2</v>
          </cell>
        </row>
        <row r="24">
          <cell r="B24" t="str">
            <v>54MS</v>
          </cell>
          <cell r="C24">
            <v>4.5323490557688082</v>
          </cell>
          <cell r="D24"/>
        </row>
        <row r="25">
          <cell r="B25" t="str">
            <v>9D</v>
          </cell>
          <cell r="C25">
            <v>26.955856545326959</v>
          </cell>
          <cell r="D25">
            <v>19.000000000000004</v>
          </cell>
        </row>
        <row r="26">
          <cell r="B26" t="str">
            <v>MC</v>
          </cell>
          <cell r="C26">
            <v>1</v>
          </cell>
          <cell r="D26"/>
        </row>
        <row r="27">
          <cell r="B27" t="str">
            <v>PHW</v>
          </cell>
          <cell r="C27">
            <v>0.11757927715401967</v>
          </cell>
          <cell r="D27"/>
        </row>
        <row r="28">
          <cell r="B28" t="str">
            <v>BC</v>
          </cell>
          <cell r="C28">
            <v>0.33333333333333331</v>
          </cell>
          <cell r="D28"/>
        </row>
        <row r="39">
          <cell r="B39" t="str">
            <v>14OD</v>
          </cell>
          <cell r="C39">
            <v>1.5986024844720494</v>
          </cell>
          <cell r="D39">
            <v>0.65960144927536235</v>
          </cell>
        </row>
        <row r="40">
          <cell r="B40" t="str">
            <v>26UG</v>
          </cell>
          <cell r="C40">
            <v>2.5469565217391303</v>
          </cell>
          <cell r="D40"/>
        </row>
        <row r="41">
          <cell r="B41" t="str">
            <v>31PT</v>
          </cell>
          <cell r="C41">
            <v>3.6869853425559946</v>
          </cell>
          <cell r="D41">
            <v>0.46149068322981368</v>
          </cell>
        </row>
        <row r="42">
          <cell r="B42" t="str">
            <v>32DS</v>
          </cell>
          <cell r="C42">
            <v>2.7509640269151139</v>
          </cell>
          <cell r="D42"/>
        </row>
        <row r="43">
          <cell r="B43" t="str">
            <v>34CS</v>
          </cell>
          <cell r="C43">
            <v>24.538685010641533</v>
          </cell>
          <cell r="D43">
            <v>1.9113965744400527</v>
          </cell>
        </row>
        <row r="44">
          <cell r="B44" t="str">
            <v>38YD</v>
          </cell>
          <cell r="C44">
            <v>23.820848717506333</v>
          </cell>
          <cell r="D44">
            <v>3.9464135001826817</v>
          </cell>
        </row>
        <row r="45">
          <cell r="B45" t="str">
            <v>39MP</v>
          </cell>
          <cell r="C45">
            <v>2.3105590062111804E-2</v>
          </cell>
          <cell r="D45"/>
        </row>
        <row r="46">
          <cell r="B46" t="str">
            <v>3E</v>
          </cell>
          <cell r="C46">
            <v>1.7802393892339543</v>
          </cell>
          <cell r="D46">
            <v>0.46031055900621115</v>
          </cell>
        </row>
        <row r="47">
          <cell r="B47" t="str">
            <v>41PT</v>
          </cell>
          <cell r="C47">
            <v>3.05</v>
          </cell>
          <cell r="D47"/>
        </row>
        <row r="48">
          <cell r="B48" t="str">
            <v>41PTI</v>
          </cell>
          <cell r="C48">
            <v>0.77717391304347838</v>
          </cell>
          <cell r="D48"/>
        </row>
        <row r="49">
          <cell r="B49" t="str">
            <v>42GC</v>
          </cell>
          <cell r="C49">
            <v>1.7999999999999998</v>
          </cell>
          <cell r="D49"/>
        </row>
        <row r="50">
          <cell r="B50" t="str">
            <v>451B</v>
          </cell>
          <cell r="C50">
            <v>1.2481884057971013</v>
          </cell>
          <cell r="D50"/>
        </row>
        <row r="51">
          <cell r="B51" t="str">
            <v>47MOD</v>
          </cell>
          <cell r="C51">
            <v>0.48665760869565217</v>
          </cell>
          <cell r="D51">
            <v>0.24086956521739131</v>
          </cell>
        </row>
        <row r="52">
          <cell r="B52" t="str">
            <v>48nh</v>
          </cell>
          <cell r="C52">
            <v>1.0583850931677019</v>
          </cell>
          <cell r="D52"/>
        </row>
        <row r="53">
          <cell r="B53" t="str">
            <v>48NHC</v>
          </cell>
          <cell r="C53">
            <v>5.2173913043478256E-3</v>
          </cell>
          <cell r="D53"/>
        </row>
        <row r="54">
          <cell r="B54" t="str">
            <v>49PSDC</v>
          </cell>
          <cell r="C54">
            <v>3.2262681159420294</v>
          </cell>
          <cell r="D54">
            <v>5.2173913043478258E-2</v>
          </cell>
        </row>
        <row r="55">
          <cell r="B55" t="str">
            <v>50EH</v>
          </cell>
          <cell r="C55">
            <v>4.107608695652174</v>
          </cell>
          <cell r="D55"/>
        </row>
        <row r="56">
          <cell r="B56" t="str">
            <v>51M</v>
          </cell>
          <cell r="C56">
            <v>5.4391304347826086</v>
          </cell>
          <cell r="D56">
            <v>7.2049689440993785E-3</v>
          </cell>
        </row>
        <row r="57">
          <cell r="B57" t="str">
            <v>54MS</v>
          </cell>
          <cell r="C57">
            <v>1.2991304347826085</v>
          </cell>
          <cell r="D57"/>
        </row>
        <row r="58">
          <cell r="B58" t="str">
            <v>9D</v>
          </cell>
          <cell r="C58">
            <v>14.469809178743962</v>
          </cell>
          <cell r="D58">
            <v>10.182908307907454</v>
          </cell>
        </row>
        <row r="59">
          <cell r="B59" t="str">
            <v>MC</v>
          </cell>
          <cell r="C59">
            <v>9.8136645962732916E-2</v>
          </cell>
          <cell r="D59"/>
        </row>
        <row r="60">
          <cell r="B60" t="str">
            <v>PHW</v>
          </cell>
          <cell r="C60">
            <v>0.12739130434782608</v>
          </cell>
          <cell r="D60"/>
        </row>
        <row r="61">
          <cell r="B61" t="str">
            <v>BC</v>
          </cell>
          <cell r="C61">
            <v>0.25</v>
          </cell>
          <cell r="D61"/>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Param Naga" id="{0612FD83-EA3E-47B8-8A27-D47DF7EBCBFE}" userId="eb54478b59f2ad61" providerId="Windows Live"/>
  <person displayName="Vinay  Nulu" id="{33B4C63E-DEFE-4C9F-BE0E-D6ABB11460F0}" userId="S::Vinay@srfcapital.studio::e69cc88e-49f7-4f12-9b72-62abc5665205" providerId="AD"/>
  <person displayName="Sathyaraj Balasubramanian" id="{273A075D-B556-410C-8AEC-AE655B12CAE8}" userId="S::sathyarajb@iMagnumhealthcare.com::86114db3-da8a-4804-90b8-4ec4fadeae3e" providerId="AD"/>
  <person displayName="Karthikeyan  Sekar" id="{A8ADC86C-9919-4229-BD5D-F8052F72D077}" userId="S::Karthikeyan@iMagnumhealthcare.com::a1647696-8c8c-4528-a45a-d2c1b2e49b57"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piceroutefinanc.sharepoint.com/Users/sriramchidambaram/Spiceroutefinance%20Dropbox/Marketing/Projects/CFO%20Retainers/IMagnum/MIS/Dec'23/Manpower%20Budget%20202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yal" refreshedDate="45272.702191898148" createdVersion="8" refreshedVersion="8" minRefreshableVersion="3" recordCount="136" xr:uid="{00000000-000A-0000-FFFF-FFFF1C000000}">
  <cacheSource type="worksheet">
    <worksheetSource ref="C2:K138" sheet="CURRENT HEADCOUNT" r:id="rId2"/>
  </cacheSource>
  <cacheFields count="9">
    <cacheField name="Emp Name" numFmtId="0">
      <sharedItems/>
    </cacheField>
    <cacheField name="Date of Joining" numFmtId="14">
      <sharedItems containsSemiMixedTypes="0" containsNonDate="0" containsDate="1" containsString="0" minDate="2017-11-27T00:00:00" maxDate="2023-12-07T00:00:00"/>
    </cacheField>
    <cacheField name="Experience/Fresher" numFmtId="0">
      <sharedItems count="2">
        <s v="EXPERIENCE"/>
        <s v="FRESHER"/>
      </sharedItems>
    </cacheField>
    <cacheField name="MIS Grouping" numFmtId="0">
      <sharedItems count="15">
        <s v="Sales &amp; Marketing"/>
        <s v="AR"/>
        <s v="Assistant Manager"/>
        <s v="Coder"/>
        <s v="DE"/>
        <s v="Deputy Manager"/>
        <s v="Manager"/>
        <s v="MT"/>
        <s v="Ops Management"/>
        <s v="HR &amp; Admin"/>
        <s v="IT Support"/>
        <s v="MIS"/>
        <s v="QA"/>
        <s v="SWAT"/>
        <s v="Training"/>
      </sharedItems>
    </cacheField>
    <cacheField name="Department" numFmtId="0">
      <sharedItems/>
    </cacheField>
    <cacheField name="Designation" numFmtId="0">
      <sharedItems/>
    </cacheField>
    <cacheField name="Shift" numFmtId="0">
      <sharedItems/>
    </cacheField>
    <cacheField name="DOB" numFmtId="14">
      <sharedItems containsSemiMixedTypes="0" containsNonDate="0" containsDate="1" containsString="0" minDate="1975-08-23T00:00:00" maxDate="2003-03-27T00:00:00"/>
    </cacheField>
    <cacheField name="Salary" numFmtId="1">
      <sharedItems containsSemiMixedTypes="0" containsString="0" containsNumber="1" minValue="0" maxValue="23333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meswaran N" refreshedDate="45310.540694675925" createdVersion="8" refreshedVersion="8" minRefreshableVersion="3" recordCount="136" xr:uid="{00000000-000A-0000-FFFF-FFFF1D000000}">
  <cacheSource type="worksheet">
    <worksheetSource ref="A4:L140" sheet="Manpower Existing"/>
  </cacheSource>
  <cacheFields count="12">
    <cacheField name="#" numFmtId="1">
      <sharedItems containsSemiMixedTypes="0" containsString="0" containsNumber="1" containsInteger="1" minValue="2" maxValue="137"/>
    </cacheField>
    <cacheField name="Emp ID" numFmtId="1">
      <sharedItems containsSemiMixedTypes="0" containsString="0" containsNumber="1" containsInteger="1" minValue="3" maxValue="440"/>
    </cacheField>
    <cacheField name="Emp Name" numFmtId="0">
      <sharedItems/>
    </cacheField>
    <cacheField name="Date of Joining" numFmtId="14">
      <sharedItems containsSemiMixedTypes="0" containsNonDate="0" containsDate="1" containsString="0" minDate="2017-11-27T00:00:00" maxDate="2023-12-07T00:00:00"/>
    </cacheField>
    <cacheField name="Experience/Fresher" numFmtId="0">
      <sharedItems/>
    </cacheField>
    <cacheField name="MIS Grouping" numFmtId="0">
      <sharedItems count="15">
        <s v="Sales &amp; Marketing"/>
        <s v="AR"/>
        <s v="Assistant Manager"/>
        <s v="Coder"/>
        <s v="DE"/>
        <s v="Deputy Manager"/>
        <s v="Manager"/>
        <s v="MT"/>
        <s v="Ops Management"/>
        <s v="HR &amp; Admin"/>
        <s v="IT Support"/>
        <s v="MIS"/>
        <s v="QA"/>
        <s v="SWAT"/>
        <s v="Training"/>
      </sharedItems>
    </cacheField>
    <cacheField name="Department" numFmtId="0">
      <sharedItems/>
    </cacheField>
    <cacheField name="Designation" numFmtId="0">
      <sharedItems count="25">
        <s v="Assistant Manager"/>
        <s v="Manager - Pre-Sales"/>
        <s v="Manager"/>
        <s v="Senior Seo Analyst"/>
        <s v="Business Development Specialist"/>
        <s v="Process Associate"/>
        <s v="Senior AR Caller"/>
        <s v="AR Analyst"/>
        <s v="AR Caller"/>
        <s v="Senior AR Analyst"/>
        <s v="Coder"/>
        <s v="Senior Process Associate"/>
        <s v="Trainee"/>
        <s v="Deputy Manager"/>
        <s v="Management Trainee"/>
        <s v="AGM"/>
        <s v="Senior Manager"/>
        <s v="Senior Director"/>
        <s v="House Keeping Incharge"/>
        <s v="HR Executive"/>
        <s v="HR Recruiter"/>
        <s v="MIS Executive"/>
        <s v="Senior Developer"/>
        <s v="Junior Web developer"/>
        <s v="Quality Analyst"/>
      </sharedItems>
    </cacheField>
    <cacheField name="Shift" numFmtId="0">
      <sharedItems/>
    </cacheField>
    <cacheField name="DOB" numFmtId="14">
      <sharedItems containsSemiMixedTypes="0" containsNonDate="0" containsDate="1" containsString="0" minDate="1975-08-23T00:00:00" maxDate="2003-03-27T00:00:00"/>
    </cacheField>
    <cacheField name="Revised_x000a_Salary" numFmtId="175">
      <sharedItems containsSemiMixedTypes="0" containsString="0" containsNumber="1" minValue="0" maxValue="268332.95"/>
    </cacheField>
    <cacheField name="Salary" numFmtId="175">
      <sharedItems containsSemiMixedTypes="0" containsString="0" containsNumber="1" minValue="0" maxValue="2333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Rajeshwaran Raja"/>
    <d v="2021-01-04T00:00:00"/>
    <x v="0"/>
    <x v="0"/>
    <s v="Business Development"/>
    <s v="Assistant Manager"/>
    <s v="DAY SHIFT 2"/>
    <d v="1994-11-03T00:00:00"/>
    <n v="39960"/>
  </r>
  <r>
    <s v="Appavu Rajudurai Jayabalan"/>
    <d v="2022-12-12T00:00:00"/>
    <x v="0"/>
    <x v="0"/>
    <s v="Business Development"/>
    <s v="Manager - Pre-Sales"/>
    <s v="NIGHT SHIFT"/>
    <d v="1984-11-06T00:00:00"/>
    <n v="60000"/>
  </r>
  <r>
    <s v="Anthony Iwin Decinder"/>
    <d v="2023-09-12T00:00:00"/>
    <x v="0"/>
    <x v="0"/>
    <s v="Business Development"/>
    <s v="Manager"/>
    <s v="NIGHT SHIFT"/>
    <d v="1985-02-12T00:00:00"/>
    <n v="95000"/>
  </r>
  <r>
    <s v="Krishnaveni Santhana Krishnan"/>
    <d v="2023-10-03T00:00:00"/>
    <x v="0"/>
    <x v="0"/>
    <s v="Business Development"/>
    <s v="Senior Seo Analyst"/>
    <s v="DAY SHIFT 1"/>
    <d v="1994-05-11T00:00:00"/>
    <n v="14000"/>
  </r>
  <r>
    <s v="Marilla Fonceca"/>
    <d v="2023-11-01T00:00:00"/>
    <x v="0"/>
    <x v="0"/>
    <s v="Business Development"/>
    <s v="Business Development Specialist"/>
    <s v="NIGHT SHIFT"/>
    <d v="2001-08-25T00:00:00"/>
    <n v="28000"/>
  </r>
  <r>
    <s v="Melanie P E Vardon"/>
    <d v="2023-11-01T00:00:00"/>
    <x v="0"/>
    <x v="0"/>
    <s v="Business Development"/>
    <s v="Business Development Specialist"/>
    <s v="NIGHT SHIFT"/>
    <d v="1981-10-19T00:00:00"/>
    <n v="35000"/>
  </r>
  <r>
    <s v="Gokul kumar Durai Raj M"/>
    <d v="2021-02-18T00:00:00"/>
    <x v="1"/>
    <x v="0"/>
    <s v="Business Development"/>
    <s v="Process Associate"/>
    <s v="DAY SHIFT 2"/>
    <d v="2000-05-10T00:00:00"/>
    <n v="15730"/>
  </r>
  <r>
    <s v="Hafiz Mohammed Mazhar"/>
    <d v="2021-05-24T00:00:00"/>
    <x v="0"/>
    <x v="1"/>
    <s v="Operations"/>
    <s v="Senior AR Caller"/>
    <s v="NIGHT SHIFT"/>
    <d v="1987-10-12T00:00:00"/>
    <n v="38830.980000000003"/>
  </r>
  <r>
    <s v="Shabana Mohammed Shahnawaz"/>
    <d v="2022-05-23T00:00:00"/>
    <x v="0"/>
    <x v="1"/>
    <s v="Operations"/>
    <s v="AR Analyst"/>
    <s v="DAY SHIFT 1"/>
    <d v="1975-08-23T00:00:00"/>
    <n v="18630"/>
  </r>
  <r>
    <s v="Hari Ragul Sridhar"/>
    <d v="2022-07-25T00:00:00"/>
    <x v="0"/>
    <x v="1"/>
    <s v="Operations"/>
    <s v="Senior AR Caller"/>
    <s v="NIGHT SHIFT"/>
    <d v="1998-08-18T00:00:00"/>
    <n v="23000"/>
  </r>
  <r>
    <s v="Ijazahmed Shahul Hameed"/>
    <d v="2023-01-05T00:00:00"/>
    <x v="0"/>
    <x v="1"/>
    <s v="Operations"/>
    <s v="AR Caller"/>
    <s v="NIGHT SHIFT"/>
    <d v="1999-05-06T00:00:00"/>
    <n v="16000"/>
  </r>
  <r>
    <s v="Yuvaraj Sai Saravanan"/>
    <d v="2023-01-11T00:00:00"/>
    <x v="0"/>
    <x v="1"/>
    <s v="Operations"/>
    <s v="AR Caller"/>
    <s v="NIGHT SHIFT"/>
    <d v="2002-07-21T00:00:00"/>
    <n v="20000"/>
  </r>
  <r>
    <s v="Rajeshkumar Mannu"/>
    <d v="2023-03-21T00:00:00"/>
    <x v="0"/>
    <x v="1"/>
    <s v="Operations"/>
    <s v="Senior AR Caller"/>
    <s v="NIGHT SHIFT"/>
    <d v="1987-04-12T00:00:00"/>
    <n v="38000"/>
  </r>
  <r>
    <s v="Vivek Narayanan Vijayan"/>
    <d v="2023-04-10T00:00:00"/>
    <x v="0"/>
    <x v="1"/>
    <s v="Operations"/>
    <s v="Senior AR Caller"/>
    <s v="NIGHT SHIFT"/>
    <d v="1990-07-15T00:00:00"/>
    <n v="41000"/>
  </r>
  <r>
    <s v="Mohammed Sayeeth Shah"/>
    <d v="2023-07-03T00:00:00"/>
    <x v="0"/>
    <x v="1"/>
    <s v="Operations"/>
    <s v="AR Analyst"/>
    <s v="DAY SHIFT 2"/>
    <d v="1993-07-25T00:00:00"/>
    <n v="23000"/>
  </r>
  <r>
    <s v="Monisha Sundar"/>
    <d v="2023-08-16T00:00:00"/>
    <x v="0"/>
    <x v="1"/>
    <s v="Operations"/>
    <s v="Senior AR Analyst"/>
    <s v="DAY SHIFT 1"/>
    <d v="1999-11-02T00:00:00"/>
    <n v="27500"/>
  </r>
  <r>
    <s v="Raghavendhra Ramesh"/>
    <d v="2023-10-11T00:00:00"/>
    <x v="0"/>
    <x v="1"/>
    <s v="Operations"/>
    <s v="AR Caller"/>
    <s v="NIGHT SHIFT"/>
    <d v="2000-05-15T00:00:00"/>
    <n v="26000"/>
  </r>
  <r>
    <s v="Yazar Basheer"/>
    <d v="2023-10-23T00:00:00"/>
    <x v="0"/>
    <x v="1"/>
    <s v="Operations"/>
    <s v="Senior AR Caller"/>
    <s v="NIGHT SHIFT"/>
    <d v="1992-11-27T00:00:00"/>
    <n v="40000"/>
  </r>
  <r>
    <s v="Pavithra Sukumar"/>
    <d v="2023-10-23T00:00:00"/>
    <x v="0"/>
    <x v="1"/>
    <s v="Operations"/>
    <s v="Senior AR Caller"/>
    <s v="NIGHT SHIFT"/>
    <d v="1993-03-17T00:00:00"/>
    <n v="36000"/>
  </r>
  <r>
    <s v="Yuvaraju Hanumantha Reddy"/>
    <d v="2023-12-06T00:00:00"/>
    <x v="0"/>
    <x v="1"/>
    <s v="Operations"/>
    <s v="AR Caller"/>
    <s v="NIGHT SHIFT"/>
    <d v="1996-07-13T00:00:00"/>
    <n v="0"/>
  </r>
  <r>
    <s v="Janani Narayanasamy"/>
    <d v="2020-07-20T00:00:00"/>
    <x v="1"/>
    <x v="1"/>
    <s v="Operations"/>
    <s v="AR Analyst"/>
    <s v="DAY SHIFT 1"/>
    <d v="2000-06-21T00:00:00"/>
    <n v="18907.5"/>
  </r>
  <r>
    <s v="Rekha Ramachandra Raju"/>
    <d v="2020-08-17T00:00:00"/>
    <x v="1"/>
    <x v="1"/>
    <s v="Operations"/>
    <s v="AR Analyst"/>
    <s v="DAY SHIFT 1"/>
    <d v="1994-05-26T00:00:00"/>
    <n v="18660"/>
  </r>
  <r>
    <s v="Janani Murali"/>
    <d v="2020-12-14T00:00:00"/>
    <x v="1"/>
    <x v="1"/>
    <s v="Operations"/>
    <s v="AR Analyst"/>
    <s v="DAY SHIFT 1"/>
    <d v="1999-07-27T00:00:00"/>
    <n v="17556"/>
  </r>
  <r>
    <s v="Manoj Vijayaseelan Manohar N"/>
    <d v="2021-04-26T00:00:00"/>
    <x v="1"/>
    <x v="1"/>
    <s v="Operations"/>
    <s v="AR Analyst"/>
    <s v="DAY SHIFT 2"/>
    <d v="2000-09-02T00:00:00"/>
    <n v="16944"/>
  </r>
  <r>
    <s v="Rani bhuvanesh Murugaiya"/>
    <d v="2021-07-19T00:00:00"/>
    <x v="1"/>
    <x v="1"/>
    <s v="Operations"/>
    <s v="AR Analyst"/>
    <s v="DAY SHIFT 1"/>
    <d v="1993-11-16T00:00:00"/>
    <n v="16632"/>
  </r>
  <r>
    <s v="Mukesh Kumar Kesavan"/>
    <d v="2021-07-19T00:00:00"/>
    <x v="1"/>
    <x v="1"/>
    <s v="Operations"/>
    <s v="AR Analyst"/>
    <s v="DAY SHIFT 1"/>
    <d v="2000-10-24T00:00:00"/>
    <n v="16790"/>
  </r>
  <r>
    <s v="Aarthi Kesavan R"/>
    <d v="2021-09-13T00:00:00"/>
    <x v="1"/>
    <x v="1"/>
    <s v="Operations"/>
    <s v="AR Caller"/>
    <s v="NIGHT SHIFT"/>
    <d v="2000-11-12T00:00:00"/>
    <n v="17625"/>
  </r>
  <r>
    <s v="Yuvapriya Vinayagamoorthy"/>
    <d v="2021-12-02T00:00:00"/>
    <x v="1"/>
    <x v="1"/>
    <s v="Operations"/>
    <s v="AR Caller"/>
    <s v="NIGHT SHIFT"/>
    <d v="2001-07-03T00:00:00"/>
    <n v="16625"/>
  </r>
  <r>
    <s v="Gayathri Muniyappan"/>
    <d v="2022-01-03T00:00:00"/>
    <x v="1"/>
    <x v="1"/>
    <s v="Operations"/>
    <s v="AR Analyst"/>
    <s v="DAY SHIFT 1"/>
    <d v="2000-12-31T00:00:00"/>
    <n v="16080"/>
  </r>
  <r>
    <s v="Jothika Perumal"/>
    <d v="2022-01-03T00:00:00"/>
    <x v="1"/>
    <x v="1"/>
    <s v="Operations"/>
    <s v="AR Analyst"/>
    <s v="DAY SHIFT 1"/>
    <d v="2000-09-27T00:00:00"/>
    <n v="16080"/>
  </r>
  <r>
    <s v="Vijaya Pandian Baskaran"/>
    <d v="2022-01-21T00:00:00"/>
    <x v="1"/>
    <x v="1"/>
    <s v="Operations"/>
    <s v="AR Analyst"/>
    <s v="DAY SHIFT 2"/>
    <d v="2000-07-25T00:00:00"/>
    <n v="14242.5"/>
  </r>
  <r>
    <s v="Gurumurthi Dhandapani"/>
    <d v="2022-02-14T00:00:00"/>
    <x v="1"/>
    <x v="1"/>
    <s v="Operations"/>
    <s v="AR Analyst"/>
    <s v="DAY SHIFT 1"/>
    <d v="1998-07-11T00:00:00"/>
    <n v="16125"/>
  </r>
  <r>
    <s v="Feminasha Sathick Basha"/>
    <d v="2022-05-16T00:00:00"/>
    <x v="1"/>
    <x v="1"/>
    <s v="Operations"/>
    <s v="AR Analyst"/>
    <s v="DAY SHIFT 1"/>
    <d v="2000-10-30T00:00:00"/>
    <n v="14130"/>
  </r>
  <r>
    <s v="Ganga Kowsalya Udhaya kumar"/>
    <d v="2022-05-16T00:00:00"/>
    <x v="1"/>
    <x v="1"/>
    <s v="Operations"/>
    <s v="AR Analyst"/>
    <s v="DAY SHIFT 1"/>
    <d v="1999-06-05T00:00:00"/>
    <n v="14130"/>
  </r>
  <r>
    <s v="Prince Yesuraj Ravi"/>
    <d v="2022-05-17T00:00:00"/>
    <x v="1"/>
    <x v="1"/>
    <s v="Operations"/>
    <s v="AR Caller"/>
    <s v="NIGHT SHIFT"/>
    <d v="1999-08-26T00:00:00"/>
    <n v="17008.333333333332"/>
  </r>
  <r>
    <s v="Muthu Jothi"/>
    <d v="2022-06-09T00:00:00"/>
    <x v="1"/>
    <x v="1"/>
    <s v="Operations"/>
    <s v="AR Caller"/>
    <s v="NIGHT SHIFT"/>
    <d v="2000-11-30T00:00:00"/>
    <n v="15600"/>
  </r>
  <r>
    <s v="Siji Chandran"/>
    <d v="2022-07-05T00:00:00"/>
    <x v="1"/>
    <x v="1"/>
    <s v="Operations"/>
    <s v="AR Caller"/>
    <s v="NIGHT SHIFT"/>
    <d v="2002-05-03T00:00:00"/>
    <n v="15000"/>
  </r>
  <r>
    <s v="Siva Kumar Sundaram"/>
    <d v="2022-07-05T00:00:00"/>
    <x v="1"/>
    <x v="1"/>
    <s v="Operations"/>
    <s v="AR Caller"/>
    <s v="NIGHT SHIFT"/>
    <d v="2001-07-21T00:00:00"/>
    <n v="15000"/>
  </r>
  <r>
    <s v="Subash Subramani"/>
    <d v="2022-08-24T00:00:00"/>
    <x v="1"/>
    <x v="1"/>
    <s v="Operations"/>
    <s v="AR Caller"/>
    <s v="NIGHT SHIFT"/>
    <d v="2000-06-27T00:00:00"/>
    <n v="15000"/>
  </r>
  <r>
    <s v="Dhanush Senthilvel"/>
    <d v="2022-10-03T00:00:00"/>
    <x v="1"/>
    <x v="1"/>
    <s v="Operations"/>
    <s v="AR Caller"/>
    <s v="NIGHT SHIFT"/>
    <d v="1998-09-02T00:00:00"/>
    <n v="15000"/>
  </r>
  <r>
    <s v="MD Althmash Shamsudeen Ghouse Mohideen"/>
    <d v="2022-10-03T00:00:00"/>
    <x v="1"/>
    <x v="1"/>
    <s v="Operations"/>
    <s v="AR Caller"/>
    <s v="NIGHT SHIFT"/>
    <d v="1999-01-03T00:00:00"/>
    <n v="15000"/>
  </r>
  <r>
    <s v="Pugazhendhi Kamalakannan"/>
    <d v="2022-10-03T00:00:00"/>
    <x v="1"/>
    <x v="1"/>
    <s v="Operations"/>
    <s v="AR Caller"/>
    <s v="NIGHT SHIFT"/>
    <d v="2001-11-12T00:00:00"/>
    <n v="15000"/>
  </r>
  <r>
    <s v="Balaji Deventhiran"/>
    <d v="2022-10-03T00:00:00"/>
    <x v="1"/>
    <x v="1"/>
    <s v="Operations"/>
    <s v="AR Caller"/>
    <s v="NIGHT SHIFT"/>
    <d v="1999-03-12T00:00:00"/>
    <n v="15000"/>
  </r>
  <r>
    <s v="Pavithra Kabali"/>
    <d v="2022-11-14T00:00:00"/>
    <x v="1"/>
    <x v="1"/>
    <s v="Operations"/>
    <s v="AR Caller"/>
    <s v="NIGHT SHIFT"/>
    <d v="2002-02-09T00:00:00"/>
    <n v="15000"/>
  </r>
  <r>
    <s v="Jebez Richard"/>
    <d v="2022-11-14T00:00:00"/>
    <x v="1"/>
    <x v="1"/>
    <s v="Operations"/>
    <s v="AR Caller"/>
    <s v="NIGHT SHIFT"/>
    <d v="2000-11-10T00:00:00"/>
    <n v="15000"/>
  </r>
  <r>
    <s v="Dhivyabharathi Veerasami"/>
    <d v="2023-01-30T00:00:00"/>
    <x v="1"/>
    <x v="1"/>
    <s v="Operations"/>
    <s v="AR Analyst"/>
    <s v="DAY SHIFT 1"/>
    <d v="2002-03-14T00:00:00"/>
    <n v="15000"/>
  </r>
  <r>
    <s v="Leena Steffina Gunasekaran"/>
    <d v="2023-03-20T00:00:00"/>
    <x v="1"/>
    <x v="1"/>
    <s v="Operations"/>
    <s v="AR Caller"/>
    <s v="NIGHT SHIFT"/>
    <d v="1999-04-17T00:00:00"/>
    <n v="15000"/>
  </r>
  <r>
    <s v="Vijay Rathakrishnan"/>
    <d v="2023-03-29T00:00:00"/>
    <x v="1"/>
    <x v="1"/>
    <s v="Operations"/>
    <s v="AR Caller"/>
    <s v="NIGHT SHIFT"/>
    <d v="2000-06-22T00:00:00"/>
    <n v="15000"/>
  </r>
  <r>
    <s v="Harish Babu"/>
    <d v="2023-04-24T00:00:00"/>
    <x v="1"/>
    <x v="1"/>
    <s v="Operations"/>
    <s v="AR Caller"/>
    <s v="NIGHT SHIFT"/>
    <d v="2001-12-04T00:00:00"/>
    <n v="15000"/>
  </r>
  <r>
    <s v="Madhivanan Sundar"/>
    <d v="2023-04-24T00:00:00"/>
    <x v="1"/>
    <x v="1"/>
    <s v="Operations"/>
    <s v="AR Caller"/>
    <s v="NIGHT SHIFT"/>
    <d v="2000-05-11T00:00:00"/>
    <n v="15000"/>
  </r>
  <r>
    <s v="Karan Suresh"/>
    <d v="2023-04-24T00:00:00"/>
    <x v="1"/>
    <x v="1"/>
    <s v="Operations"/>
    <s v="AR Caller"/>
    <s v="NIGHT SHIFT"/>
    <d v="2001-06-11T00:00:00"/>
    <n v="15000"/>
  </r>
  <r>
    <s v="Sandiya Bavalalith Prasath"/>
    <d v="2023-08-02T00:00:00"/>
    <x v="1"/>
    <x v="1"/>
    <s v="Operations"/>
    <s v="AR Analyst"/>
    <s v="DAY SHIFT 1"/>
    <d v="1994-02-15T00:00:00"/>
    <n v="12000"/>
  </r>
  <r>
    <s v="Pandiammal Thirugnanasambandam"/>
    <d v="2023-08-02T00:00:00"/>
    <x v="1"/>
    <x v="1"/>
    <s v="Operations"/>
    <s v="AR Analyst"/>
    <s v="NIGHT SHIFT"/>
    <d v="1996-04-14T00:00:00"/>
    <n v="12000"/>
  </r>
  <r>
    <s v="Janani Ravi"/>
    <d v="2023-08-02T00:00:00"/>
    <x v="1"/>
    <x v="1"/>
    <s v="Operations"/>
    <s v="AR Analyst"/>
    <s v="DAY SHIFT 1"/>
    <d v="2003-03-26T00:00:00"/>
    <n v="12000"/>
  </r>
  <r>
    <s v="Keerthiga Kothandan"/>
    <d v="2023-08-02T00:00:00"/>
    <x v="1"/>
    <x v="1"/>
    <s v="Operations"/>
    <s v="AR Analyst"/>
    <s v="DAY SHIFT 1"/>
    <d v="2002-09-30T00:00:00"/>
    <n v="12000"/>
  </r>
  <r>
    <s v="Thilagavathi Elumalai"/>
    <d v="2023-08-03T00:00:00"/>
    <x v="1"/>
    <x v="1"/>
    <s v="Operations"/>
    <s v="AR Analyst"/>
    <s v="DAY SHIFT 1"/>
    <d v="2000-06-03T00:00:00"/>
    <n v="12000"/>
  </r>
  <r>
    <s v="Mohamed Ejas Ali Muhamed Hussain"/>
    <d v="2018-11-26T00:00:00"/>
    <x v="0"/>
    <x v="2"/>
    <s v="Operations"/>
    <s v="Assistant Manager"/>
    <s v="NIGHT SHIFT"/>
    <d v="1994-08-25T00:00:00"/>
    <n v="49387.8"/>
  </r>
  <r>
    <s v="Muthamizhan Kumar"/>
    <d v="2021-07-01T00:00:00"/>
    <x v="0"/>
    <x v="2"/>
    <s v="Operations"/>
    <s v="Assistant Manager"/>
    <s v="NIGHT SHIFT"/>
    <d v="1993-08-22T00:00:00"/>
    <n v="51030"/>
  </r>
  <r>
    <s v="Priya Munusamy Raju"/>
    <d v="2023-10-03T00:00:00"/>
    <x v="1"/>
    <x v="3"/>
    <s v="Operations"/>
    <s v="Coder"/>
    <s v="DAY SHIFT 1"/>
    <d v="1990-02-07T00:00:00"/>
    <n v="12000"/>
  </r>
  <r>
    <s v="Rajesh Murugesan M"/>
    <d v="2020-01-20T00:00:00"/>
    <x v="0"/>
    <x v="4"/>
    <s v="Operations"/>
    <s v="Senior Process Associate"/>
    <s v="DAY SHIFT 1"/>
    <d v="1984-02-29T00:00:00"/>
    <n v="27814.6"/>
  </r>
  <r>
    <s v="Mahalakshmi Sekar"/>
    <d v="2022-04-25T00:00:00"/>
    <x v="0"/>
    <x v="4"/>
    <s v="Operations"/>
    <s v="Senior Process Associate"/>
    <s v="DAY SHIFT 1"/>
    <d v="1989-11-30T00:00:00"/>
    <n v="19840"/>
  </r>
  <r>
    <s v="Latha Murthy"/>
    <d v="2022-05-02T00:00:00"/>
    <x v="0"/>
    <x v="4"/>
    <s v="Operations"/>
    <s v="Process Associate"/>
    <s v="DAY SHIFT 1"/>
    <d v="2000-03-09T00:00:00"/>
    <n v="14040"/>
  </r>
  <r>
    <s v="Tamilmani Velayutham"/>
    <d v="2022-08-11T00:00:00"/>
    <x v="0"/>
    <x v="4"/>
    <s v="Operations"/>
    <s v="Senior Process Associate"/>
    <s v="DAY SHIFT 1"/>
    <d v="1995-01-25T00:00:00"/>
    <n v="17000"/>
  </r>
  <r>
    <s v="Abinaya Udhayasuriyan"/>
    <d v="2022-09-01T00:00:00"/>
    <x v="0"/>
    <x v="4"/>
    <s v="Operations"/>
    <s v="Senior Process Associate"/>
    <s v="DAY SHIFT"/>
    <d v="1994-06-05T00:00:00"/>
    <n v="17000"/>
  </r>
  <r>
    <s v="Arockia Infant Ansan Gabriel"/>
    <d v="2022-10-10T00:00:00"/>
    <x v="0"/>
    <x v="4"/>
    <s v="Operations"/>
    <s v="Senior Process Associate"/>
    <s v="DAY SHIFT 2"/>
    <d v="1995-08-02T00:00:00"/>
    <n v="15000"/>
  </r>
  <r>
    <s v="Fazal Abbas Reyas Hussian"/>
    <d v="2023-02-20T00:00:00"/>
    <x v="0"/>
    <x v="4"/>
    <s v="Operations"/>
    <s v="Process Associate"/>
    <s v="DAY SHIFT 1"/>
    <d v="1998-06-05T00:00:00"/>
    <n v="13500"/>
  </r>
  <r>
    <s v="Muthukumar Mathan"/>
    <d v="2023-04-03T00:00:00"/>
    <x v="0"/>
    <x v="4"/>
    <s v="Operations"/>
    <s v="Senior Process Associate"/>
    <s v="DAY SHIFT 1"/>
    <d v="1996-05-17T00:00:00"/>
    <n v="17000"/>
  </r>
  <r>
    <s v="Domesan Kumar"/>
    <d v="2023-06-01T00:00:00"/>
    <x v="0"/>
    <x v="4"/>
    <s v="Operations"/>
    <s v="Senior Process Associate"/>
    <s v="DAY SHIFT 2"/>
    <d v="1984-07-02T00:00:00"/>
    <n v="30000"/>
  </r>
  <r>
    <s v="Lokesh Narasimmanraju"/>
    <d v="2021-03-12T00:00:00"/>
    <x v="1"/>
    <x v="4"/>
    <s v="Operations"/>
    <s v="Process Associate"/>
    <s v="DAY SHIFT 1"/>
    <d v="1999-10-25T00:00:00"/>
    <n v="14310"/>
  </r>
  <r>
    <s v="Vasu Markandya Raju"/>
    <d v="2021-12-13T00:00:00"/>
    <x v="1"/>
    <x v="4"/>
    <s v="Operations"/>
    <s v="Process Associate"/>
    <s v="DAY SHIFT 1"/>
    <d v="1981-05-08T00:00:00"/>
    <n v="14310"/>
  </r>
  <r>
    <s v="Priyanka Arumugam"/>
    <d v="2022-02-14T00:00:00"/>
    <x v="1"/>
    <x v="4"/>
    <s v="Operations"/>
    <s v="Process Associate"/>
    <s v="DAY SHIFT 1"/>
    <d v="2000-07-07T00:00:00"/>
    <n v="14400"/>
  </r>
  <r>
    <s v="Vinothraj Anthonisamy"/>
    <d v="2022-05-02T00:00:00"/>
    <x v="1"/>
    <x v="4"/>
    <s v="Operations"/>
    <s v="Process Associate"/>
    <s v="DAY SHIFT 1"/>
    <d v="2000-04-08T00:00:00"/>
    <n v="15273.333333333334"/>
  </r>
  <r>
    <s v="Priyanka Kumar"/>
    <d v="2022-05-02T00:00:00"/>
    <x v="1"/>
    <x v="4"/>
    <s v="Operations"/>
    <s v="Process Associate"/>
    <s v="DAY SHIFT 1"/>
    <d v="2000-10-07T00:00:00"/>
    <n v="14040"/>
  </r>
  <r>
    <s v="Arul Jothi Murugesan"/>
    <d v="2022-05-09T00:00:00"/>
    <x v="1"/>
    <x v="4"/>
    <s v="Operations"/>
    <s v="Process Associate"/>
    <s v="DAY SHIFT 1"/>
    <d v="1998-09-22T00:00:00"/>
    <n v="13972.5"/>
  </r>
  <r>
    <s v="Jawahar Franklin Arockiya Raju"/>
    <d v="2022-05-16T00:00:00"/>
    <x v="1"/>
    <x v="4"/>
    <s v="Operations"/>
    <s v="Process Associate"/>
    <s v="DAY SHIFT 1"/>
    <d v="1998-11-14T00:00:00"/>
    <n v="14130"/>
  </r>
  <r>
    <s v="Sangeetha Gunasekaran"/>
    <d v="2022-05-16T00:00:00"/>
    <x v="1"/>
    <x v="4"/>
    <s v="Operations"/>
    <s v="Process Associate"/>
    <s v="DAY SHIFT 1"/>
    <d v="2001-06-13T00:00:00"/>
    <n v="14130"/>
  </r>
  <r>
    <s v="Nandhini Sasi kumar"/>
    <d v="2022-05-16T00:00:00"/>
    <x v="1"/>
    <x v="4"/>
    <s v="Operations"/>
    <s v="Process Associate"/>
    <s v="DAY SHIFT 1"/>
    <d v="2001-04-12T00:00:00"/>
    <n v="13972.5"/>
  </r>
  <r>
    <s v="Asma Shajahan"/>
    <d v="2022-05-16T00:00:00"/>
    <x v="1"/>
    <x v="4"/>
    <s v="Operations"/>
    <s v="Process Associate"/>
    <s v="DAY SHIFT 1"/>
    <d v="1986-04-28T00:00:00"/>
    <n v="14130"/>
  </r>
  <r>
    <s v="Rameez Raja Rafi"/>
    <d v="2022-05-17T00:00:00"/>
    <x v="1"/>
    <x v="4"/>
    <s v="Operations"/>
    <s v="Process Associate"/>
    <s v="DAY SHIFT 2"/>
    <d v="1995-11-30T00:00:00"/>
    <n v="13972.5"/>
  </r>
  <r>
    <s v="Naresh Chandar Srinivasan"/>
    <d v="2022-09-08T00:00:00"/>
    <x v="1"/>
    <x v="4"/>
    <s v="Operations"/>
    <s v="Process Associate"/>
    <s v="DAY SHIFT 1"/>
    <d v="2002-06-22T00:00:00"/>
    <n v="13500"/>
  </r>
  <r>
    <s v="Hemavarshini Ramesh"/>
    <d v="2022-09-08T00:00:00"/>
    <x v="1"/>
    <x v="4"/>
    <s v="Operations"/>
    <s v="Process Associate"/>
    <s v="DAY SHIFT 1"/>
    <d v="2000-06-06T00:00:00"/>
    <n v="13500"/>
  </r>
  <r>
    <s v="Rekha Janarthanan"/>
    <d v="2022-10-17T00:00:00"/>
    <x v="1"/>
    <x v="4"/>
    <s v="Operations"/>
    <s v="Process Associate"/>
    <s v="DAY SHIFT 1"/>
    <d v="1994-11-03T00:00:00"/>
    <n v="13500"/>
  </r>
  <r>
    <s v="Muthu Krishnan Perumal"/>
    <d v="2022-10-17T00:00:00"/>
    <x v="1"/>
    <x v="4"/>
    <s v="Operations"/>
    <s v="Process Associate"/>
    <s v="DAY SHIFT 1"/>
    <d v="2000-07-15T00:00:00"/>
    <n v="13500"/>
  </r>
  <r>
    <s v="Divyasri Kumaravel"/>
    <d v="2023-02-01T00:00:00"/>
    <x v="1"/>
    <x v="4"/>
    <s v="Operations"/>
    <s v="Process Associate"/>
    <s v="DAY SHIFT 1"/>
    <d v="2002-08-24T00:00:00"/>
    <n v="13500"/>
  </r>
  <r>
    <s v="Devapriya Samsanraj"/>
    <d v="2023-02-01T00:00:00"/>
    <x v="1"/>
    <x v="4"/>
    <s v="Operations"/>
    <s v="Process Associate"/>
    <s v="DAY SHIFT 1"/>
    <d v="2001-08-06T00:00:00"/>
    <n v="13500"/>
  </r>
  <r>
    <s v="Flaviya Stephen"/>
    <d v="2023-02-01T00:00:00"/>
    <x v="1"/>
    <x v="4"/>
    <s v="Operations"/>
    <s v="Process Associate"/>
    <s v="DAY SHIFT 1"/>
    <d v="2001-11-27T00:00:00"/>
    <n v="13500"/>
  </r>
  <r>
    <s v="Tamilarasan Paranthaman"/>
    <d v="2023-02-02T00:00:00"/>
    <x v="1"/>
    <x v="4"/>
    <s v="Operations"/>
    <s v="Process Associate"/>
    <s v="DAY SHIFT 1"/>
    <d v="2000-11-02T00:00:00"/>
    <n v="13500"/>
  </r>
  <r>
    <s v="Jayasri Dhinakaran"/>
    <d v="2023-02-20T00:00:00"/>
    <x v="1"/>
    <x v="4"/>
    <s v="Operations"/>
    <s v="Process Associate"/>
    <s v="DAY SHIFT 1"/>
    <d v="1999-11-15T00:00:00"/>
    <n v="13500"/>
  </r>
  <r>
    <s v="Monish Ramesh"/>
    <d v="2023-02-20T00:00:00"/>
    <x v="1"/>
    <x v="4"/>
    <s v="Operations"/>
    <s v="Process Associate"/>
    <s v="DAY SHIFT"/>
    <d v="2002-08-10T00:00:00"/>
    <n v="13500"/>
  </r>
  <r>
    <s v="Elamparithi Elangovan"/>
    <d v="2023-02-20T00:00:00"/>
    <x v="1"/>
    <x v="4"/>
    <s v="Operations"/>
    <s v="Process Associate"/>
    <s v="DAY SHIFT"/>
    <d v="1997-06-12T00:00:00"/>
    <n v="13500"/>
  </r>
  <r>
    <s v="Anandraj Joseph"/>
    <d v="2023-02-20T00:00:00"/>
    <x v="1"/>
    <x v="4"/>
    <s v="Operations"/>
    <s v="Process Associate"/>
    <s v="DAY SHIFT 1"/>
    <d v="2001-06-23T00:00:00"/>
    <n v="13500"/>
  </r>
  <r>
    <s v="Deva Bakthavachalam"/>
    <d v="2023-06-01T00:00:00"/>
    <x v="1"/>
    <x v="4"/>
    <s v="Operations"/>
    <s v="Process Associate"/>
    <s v="DAY SHIFT 1"/>
    <d v="2000-03-24T00:00:00"/>
    <n v="13500"/>
  </r>
  <r>
    <s v="Ajith Thomas"/>
    <d v="2023-06-01T00:00:00"/>
    <x v="1"/>
    <x v="4"/>
    <s v="Operations"/>
    <s v="Process Associate"/>
    <s v="DAY SHIFT 1"/>
    <d v="2000-03-24T00:00:00"/>
    <n v="13500"/>
  </r>
  <r>
    <s v="Jacob Stephen"/>
    <d v="2023-06-01T00:00:00"/>
    <x v="1"/>
    <x v="4"/>
    <s v="Operations"/>
    <s v="Process Associate"/>
    <s v="DAY SHIFT"/>
    <d v="2002-05-21T00:00:00"/>
    <n v="13500"/>
  </r>
  <r>
    <s v="Logeshwaran Kannan"/>
    <d v="2023-08-16T00:00:00"/>
    <x v="1"/>
    <x v="4"/>
    <s v="Operations"/>
    <s v="Trainee"/>
    <s v="DAY SHIFT 2"/>
    <d v="2001-06-18T00:00:00"/>
    <n v="12000"/>
  </r>
  <r>
    <s v="Yuvaraj Dilli"/>
    <d v="2023-11-08T00:00:00"/>
    <x v="0"/>
    <x v="5"/>
    <s v="Operations"/>
    <s v="Deputy Manager"/>
    <s v="NIGHT SHIFT"/>
    <d v="1992-09-04T00:00:00"/>
    <n v="74000"/>
  </r>
  <r>
    <s v="Naveen Kumar Khalid"/>
    <d v="2020-01-20T00:00:00"/>
    <x v="0"/>
    <x v="6"/>
    <s v="Operations"/>
    <s v="Manager"/>
    <s v="MID SHIFT"/>
    <d v="1985-04-15T00:00:00"/>
    <n v="98279.5"/>
  </r>
  <r>
    <s v="Nandakumar Chandran"/>
    <d v="2022-05-19T00:00:00"/>
    <x v="0"/>
    <x v="6"/>
    <s v="Operations"/>
    <s v="Manager"/>
    <s v="MID SHIFT"/>
    <d v="1982-06-05T00:00:00"/>
    <n v="68134.86"/>
  </r>
  <r>
    <s v="Purnima Ramesh"/>
    <d v="2020-03-02T00:00:00"/>
    <x v="0"/>
    <x v="7"/>
    <s v="Operations"/>
    <s v="Management Trainee"/>
    <s v="DAY SHIFT 2"/>
    <d v="1995-07-01T00:00:00"/>
    <n v="35732.879999999997"/>
  </r>
  <r>
    <s v="Sureshkumar Ekambaram"/>
    <d v="2020-12-14T00:00:00"/>
    <x v="0"/>
    <x v="7"/>
    <s v="Operations"/>
    <s v="Management Trainee"/>
    <s v="MID SHIFT"/>
    <d v="1981-04-29T00:00:00"/>
    <n v="38759.040000000001"/>
  </r>
  <r>
    <s v="Bhuvanesh Nagarajan"/>
    <d v="2021-04-23T00:00:00"/>
    <x v="0"/>
    <x v="7"/>
    <s v="Operations"/>
    <s v="Management Trainee"/>
    <s v="MID SHIFT 1"/>
    <d v="1992-11-20T00:00:00"/>
    <n v="38720"/>
  </r>
  <r>
    <s v="Manikandan K K Perumal"/>
    <d v="2022-05-04T00:00:00"/>
    <x v="0"/>
    <x v="7"/>
    <s v="Operations"/>
    <s v="Management Trainee"/>
    <s v="DAY SHIFT 1"/>
    <d v="1994-01-22T00:00:00"/>
    <n v="37920"/>
  </r>
  <r>
    <s v="Karthikeyan Sekar"/>
    <d v="2020-11-02T00:00:00"/>
    <x v="0"/>
    <x v="8"/>
    <s v="Operations"/>
    <s v="AGM"/>
    <s v="MID SHIFT"/>
    <d v="1984-09-16T00:00:00"/>
    <n v="135740"/>
  </r>
  <r>
    <s v="Sanjith Jayachandran"/>
    <d v="2022-02-14T00:00:00"/>
    <x v="0"/>
    <x v="8"/>
    <s v="Operations"/>
    <s v="AGM"/>
    <s v="DAY SHIFT 1"/>
    <d v="1990-11-28T00:00:00"/>
    <n v="94151"/>
  </r>
  <r>
    <s v="Rajkumar Mothiramrao"/>
    <d v="2023-02-03T00:00:00"/>
    <x v="0"/>
    <x v="8"/>
    <s v="Operations"/>
    <s v="Senior Manager"/>
    <s v="MID SHIFT 1"/>
    <d v="1978-11-19T00:00:00"/>
    <n v="115000"/>
  </r>
  <r>
    <s v="Vijayasarathy S"/>
    <d v="2023-11-20T00:00:00"/>
    <x v="0"/>
    <x v="8"/>
    <s v="Operations"/>
    <s v="Senior Director"/>
    <s v="MID SHIFT"/>
    <d v="1986-11-15T00:00:00"/>
    <n v="233333"/>
  </r>
  <r>
    <s v="Venkataramana Chittibabu"/>
    <d v="2021-01-19T00:00:00"/>
    <x v="0"/>
    <x v="9"/>
    <s v="Support"/>
    <s v="House Keeping Incharge"/>
    <s v="NIGHT SHIFT"/>
    <d v="1982-03-03T00:00:00"/>
    <n v="17388"/>
  </r>
  <r>
    <s v="Kokila Murugan"/>
    <d v="2022-11-07T00:00:00"/>
    <x v="0"/>
    <x v="9"/>
    <s v="Support"/>
    <s v="House Keeping Incharge"/>
    <s v="DAY SHIFT"/>
    <d v="1991-11-25T00:00:00"/>
    <n v="13000"/>
  </r>
  <r>
    <s v="Raja Arutselvan Prathaban"/>
    <d v="2023-02-20T00:00:00"/>
    <x v="0"/>
    <x v="9"/>
    <s v="Support"/>
    <s v="HR Executive"/>
    <s v="DAY SHIFT 2"/>
    <d v="1995-06-24T00:00:00"/>
    <n v="25000"/>
  </r>
  <r>
    <s v="Harikrishna Muralidharan"/>
    <d v="2023-08-08T00:00:00"/>
    <x v="0"/>
    <x v="9"/>
    <s v="Support"/>
    <s v="HR Recruiter"/>
    <s v="DAY SHIFT 2"/>
    <d v="1998-05-22T00:00:00"/>
    <n v="15000"/>
  </r>
  <r>
    <s v="Ranganathan Ravi"/>
    <d v="2022-04-04T00:00:00"/>
    <x v="0"/>
    <x v="10"/>
    <s v="Support"/>
    <s v="MIS Executive"/>
    <s v="MID SHIFT"/>
    <d v="1996-10-08T00:00:00"/>
    <n v="15900"/>
  </r>
  <r>
    <s v="Ashok Kumar Pazhani"/>
    <d v="2021-02-01T00:00:00"/>
    <x v="0"/>
    <x v="11"/>
    <s v="Support"/>
    <s v="Senior Developer"/>
    <s v="DAY SHIFT 1"/>
    <d v="1998-01-29T00:00:00"/>
    <n v="25666.3"/>
  </r>
  <r>
    <s v="Albert Benjamin Anil kumar"/>
    <d v="2021-09-06T00:00:00"/>
    <x v="0"/>
    <x v="11"/>
    <s v="Support"/>
    <s v="MIS Executive"/>
    <s v="MID SHIFT 1"/>
    <d v="1997-08-25T00:00:00"/>
    <n v="17625"/>
  </r>
  <r>
    <s v="Shalini Rajan k"/>
    <d v="2021-07-01T00:00:00"/>
    <x v="1"/>
    <x v="11"/>
    <s v="Support"/>
    <s v="Junior Web developer"/>
    <s v="DAY SHIFT 1"/>
    <d v="2001-05-05T00:00:00"/>
    <n v="16728"/>
  </r>
  <r>
    <s v="Dinesh Kumar Prasanth"/>
    <d v="2022-11-15T00:00:00"/>
    <x v="1"/>
    <x v="11"/>
    <s v="Support"/>
    <s v="MIS Executive"/>
    <s v="DAY SHIFT 1"/>
    <d v="2001-10-19T00:00:00"/>
    <n v="13500"/>
  </r>
  <r>
    <s v="Akash Aravind Anil kumar"/>
    <d v="2023-06-12T00:00:00"/>
    <x v="1"/>
    <x v="11"/>
    <s v="Support"/>
    <s v="MIS Executive"/>
    <s v="DAY SHIFT 2"/>
    <d v="2002-06-30T00:00:00"/>
    <n v="13500"/>
  </r>
  <r>
    <s v="SivaKumar Subramanian"/>
    <d v="2017-11-27T00:00:00"/>
    <x v="0"/>
    <x v="12"/>
    <s v="Support"/>
    <s v="Quality Analyst"/>
    <s v="MID SHIFT"/>
    <d v="1978-10-22T00:00:00"/>
    <n v="36631.440000000002"/>
  </r>
  <r>
    <s v="Krishna Raj Vasudevan R"/>
    <d v="2020-09-03T00:00:00"/>
    <x v="0"/>
    <x v="12"/>
    <s v="Support"/>
    <s v="Quality Analyst"/>
    <s v="DAY SHIFT 1"/>
    <d v="1995-10-14T00:00:00"/>
    <n v="26294.76"/>
  </r>
  <r>
    <s v="Aruna Gayathri Seetharaman"/>
    <d v="2021-02-01T00:00:00"/>
    <x v="0"/>
    <x v="12"/>
    <s v="Support"/>
    <s v="Quality Analyst"/>
    <s v="DAY SHIFT 2"/>
    <d v="1991-06-05T00:00:00"/>
    <n v="37226.199999999997"/>
  </r>
  <r>
    <s v="Ravi Kumar Thirunavukarasu"/>
    <d v="2021-05-05T00:00:00"/>
    <x v="0"/>
    <x v="12"/>
    <s v="Support"/>
    <s v="Quality Analyst"/>
    <s v="DAY SHIFT 2"/>
    <d v="1997-03-26T00:00:00"/>
    <n v="30715.200000000001"/>
  </r>
  <r>
    <s v="Sridhar Srinivasan"/>
    <d v="2022-01-03T00:00:00"/>
    <x v="0"/>
    <x v="12"/>
    <s v="Support"/>
    <s v="Quality Analyst"/>
    <s v="DAY SHIFT 2"/>
    <d v="1987-12-27T00:00:00"/>
    <n v="32400"/>
  </r>
  <r>
    <s v="Martin Raj Iruthaya Raj"/>
    <d v="2022-01-24T00:00:00"/>
    <x v="0"/>
    <x v="12"/>
    <s v="Support"/>
    <s v="Quality Analyst"/>
    <s v="MID SHIFT"/>
    <d v="1991-12-16T00:00:00"/>
    <n v="30053.333333333332"/>
  </r>
  <r>
    <s v="Vijaya Anandhi Bilavendran A"/>
    <d v="2020-01-20T00:00:00"/>
    <x v="1"/>
    <x v="12"/>
    <s v="Support"/>
    <s v="Quality Analyst"/>
    <s v="DAY SHIFT 1"/>
    <d v="1985-10-17T00:00:00"/>
    <n v="19313.8"/>
  </r>
  <r>
    <s v="Vamsi Krishna Reddy Sriram Reddy"/>
    <d v="2021-07-19T00:00:00"/>
    <x v="1"/>
    <x v="12"/>
    <s v="Support"/>
    <s v="Quality Analyst"/>
    <s v="NIGHT SHIFT"/>
    <d v="1997-12-20T00:00:00"/>
    <n v="17670"/>
  </r>
  <r>
    <s v="Hari Haran Kanna R"/>
    <d v="2021-07-26T00:00:00"/>
    <x v="1"/>
    <x v="12"/>
    <s v="Support"/>
    <s v="Quality Analyst"/>
    <s v="NIGHT SHIFT"/>
    <d v="1998-05-02T00:00:00"/>
    <n v="17670"/>
  </r>
  <r>
    <s v="Sindhuja Sathyanarayanan"/>
    <d v="2022-03-07T00:00:00"/>
    <x v="1"/>
    <x v="12"/>
    <s v="Support"/>
    <s v="Quality Analyst"/>
    <s v="DAY SHIFT 2"/>
    <d v="1999-05-10T00:00:00"/>
    <n v="29025"/>
  </r>
  <r>
    <s v="SriRamachandran Levan R"/>
    <d v="2020-01-20T00:00:00"/>
    <x v="0"/>
    <x v="13"/>
    <s v="Support"/>
    <s v="Assistant Manager"/>
    <s v="MID SHIFT"/>
    <d v="1985-08-30T00:00:00"/>
    <n v="47938"/>
  </r>
  <r>
    <s v="Vasudevan Perumal"/>
    <d v="2022-02-01T00:00:00"/>
    <x v="0"/>
    <x v="13"/>
    <s v="Support"/>
    <s v="Senior AR Analyst"/>
    <s v="DAY SHIFT 1"/>
    <d v="1993-08-12T00:00:00"/>
    <n v="30566.666666666668"/>
  </r>
  <r>
    <s v="Sivagnanam Rajendran"/>
    <d v="2022-06-27T00:00:00"/>
    <x v="0"/>
    <x v="13"/>
    <s v="Support"/>
    <s v="Quality Analyst"/>
    <s v="DAY SHIFT 2"/>
    <d v="1987-06-13T00:00:00"/>
    <n v="39520"/>
  </r>
  <r>
    <s v="Sakthivel Arumugam"/>
    <d v="2023-03-01T00:00:00"/>
    <x v="0"/>
    <x v="13"/>
    <s v="Support"/>
    <s v="Senior AR Analyst"/>
    <s v="DAY SHIFT 2"/>
    <d v="1983-06-28T00:00:00"/>
    <n v="25000"/>
  </r>
  <r>
    <s v="Kavitha Singaravelan"/>
    <d v="2023-08-14T00:00:00"/>
    <x v="0"/>
    <x v="13"/>
    <s v="Support"/>
    <s v="Quality Analyst"/>
    <s v="DAY SHIFT 1"/>
    <d v="2000-03-14T00:00:00"/>
    <n v="27500"/>
  </r>
  <r>
    <s v="Jenifer Mary Francis Xavier"/>
    <d v="2021-07-19T00:00:00"/>
    <x v="1"/>
    <x v="13"/>
    <s v="Support"/>
    <s v="Quality Analyst"/>
    <s v="DAY SHIFT 1"/>
    <d v="2001-01-13T00:00:00"/>
    <n v="16632"/>
  </r>
  <r>
    <s v="Lavanya Veerasami"/>
    <d v="2021-12-02T00:00:00"/>
    <x v="1"/>
    <x v="13"/>
    <s v="Support"/>
    <s v="Quality Analyst"/>
    <s v="DAY SHIFT 1"/>
    <d v="2001-01-04T00:00:00"/>
    <n v="16950"/>
  </r>
  <r>
    <s v="Vijay Selvaraj"/>
    <d v="2022-05-16T00:00:00"/>
    <x v="1"/>
    <x v="13"/>
    <s v="Support"/>
    <s v="AR Analyst"/>
    <s v="DAY SHIFT 2"/>
    <d v="1998-10-24T00:00:00"/>
    <n v="14130"/>
  </r>
  <r>
    <s v="Rubavathy Essikial Raj"/>
    <d v="2023-08-02T00:00:00"/>
    <x v="1"/>
    <x v="13"/>
    <s v="Support"/>
    <s v="Quality Analyst"/>
    <s v="DAY SHIFT 1"/>
    <d v="2002-12-04T00:00:00"/>
    <n v="12000"/>
  </r>
  <r>
    <s v="Umamaheswari Prakash"/>
    <d v="2023-05-08T00:00:00"/>
    <x v="0"/>
    <x v="14"/>
    <s v="Support"/>
    <s v="Assistant Manager"/>
    <s v="MID SHIFT"/>
    <d v="1996-01-18T00:00:00"/>
    <n v="6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n v="2"/>
    <n v="66"/>
    <s v="Rajeshwaran Raja"/>
    <d v="2021-01-04T00:00:00"/>
    <s v="EXPERIENCE"/>
    <x v="0"/>
    <s v="Business Development"/>
    <x v="0"/>
    <s v="DAY SHIFT 2"/>
    <d v="1994-11-03T00:00:00"/>
    <n v="45954"/>
    <n v="39960"/>
  </r>
  <r>
    <n v="3"/>
    <n v="325"/>
    <s v="Appavu Rajudurai Jayabalan"/>
    <d v="2022-12-12T00:00:00"/>
    <s v="EXPERIENCE"/>
    <x v="0"/>
    <s v="Business Development"/>
    <x v="1"/>
    <s v="NIGHT SHIFT"/>
    <d v="1984-11-06T00:00:00"/>
    <n v="69000"/>
    <n v="60000"/>
  </r>
  <r>
    <n v="4"/>
    <n v="428"/>
    <s v="Anthony Iwin Decinder"/>
    <d v="2023-09-12T00:00:00"/>
    <s v="EXPERIENCE"/>
    <x v="0"/>
    <s v="Business Development"/>
    <x v="2"/>
    <s v="NIGHT SHIFT"/>
    <d v="1985-02-12T00:00:00"/>
    <n v="109250"/>
    <n v="95000"/>
  </r>
  <r>
    <n v="5"/>
    <n v="429"/>
    <s v="Krishnaveni Santhana Krishnan"/>
    <d v="2023-10-03T00:00:00"/>
    <s v="EXPERIENCE"/>
    <x v="0"/>
    <s v="Business Development"/>
    <x v="3"/>
    <s v="DAY SHIFT 1"/>
    <d v="1994-05-11T00:00:00"/>
    <n v="16100"/>
    <n v="14000"/>
  </r>
  <r>
    <n v="6"/>
    <n v="435"/>
    <s v="Marilla Fonceca"/>
    <d v="2023-11-01T00:00:00"/>
    <s v="EXPERIENCE"/>
    <x v="0"/>
    <s v="Business Development"/>
    <x v="4"/>
    <s v="NIGHT SHIFT"/>
    <d v="2001-08-25T00:00:00"/>
    <n v="32200"/>
    <n v="28000"/>
  </r>
  <r>
    <n v="7"/>
    <n v="436"/>
    <s v="Melanie P E Vardon"/>
    <d v="2023-11-01T00:00:00"/>
    <s v="EXPERIENCE"/>
    <x v="0"/>
    <s v="Business Development"/>
    <x v="4"/>
    <s v="NIGHT SHIFT"/>
    <d v="1981-10-19T00:00:00"/>
    <n v="40250"/>
    <n v="35000"/>
  </r>
  <r>
    <n v="8"/>
    <n v="86"/>
    <s v="Gokul kumar Durai Raj M"/>
    <d v="2021-02-18T00:00:00"/>
    <s v="FRESHER"/>
    <x v="0"/>
    <s v="Business Development"/>
    <x v="5"/>
    <s v="DAY SHIFT 2"/>
    <d v="2000-05-10T00:00:00"/>
    <n v="18089.5"/>
    <n v="15730"/>
  </r>
  <r>
    <n v="9"/>
    <n v="99"/>
    <s v="Hafiz Mohammed Mazhar"/>
    <d v="2021-05-24T00:00:00"/>
    <s v="EXPERIENCE"/>
    <x v="1"/>
    <s v="Operations"/>
    <x v="6"/>
    <s v="NIGHT SHIFT"/>
    <d v="1987-10-12T00:00:00"/>
    <n v="44655.627"/>
    <n v="38830.980000000003"/>
  </r>
  <r>
    <n v="10"/>
    <n v="256"/>
    <s v="Shabana Mohammed Shahnawaz"/>
    <d v="2022-05-23T00:00:00"/>
    <s v="EXPERIENCE"/>
    <x v="1"/>
    <s v="Operations"/>
    <x v="7"/>
    <s v="DAY SHIFT 1"/>
    <d v="1975-08-23T00:00:00"/>
    <n v="21424.5"/>
    <n v="18630"/>
  </r>
  <r>
    <n v="11"/>
    <n v="272"/>
    <s v="Hari Ragul Sridhar"/>
    <d v="2022-07-25T00:00:00"/>
    <s v="EXPERIENCE"/>
    <x v="1"/>
    <s v="Operations"/>
    <x v="6"/>
    <s v="NIGHT SHIFT"/>
    <d v="1998-08-18T00:00:00"/>
    <n v="26450"/>
    <n v="23000"/>
  </r>
  <r>
    <n v="12"/>
    <n v="336"/>
    <s v="Ijazahmed Shahul Hameed"/>
    <d v="2023-01-05T00:00:00"/>
    <s v="EXPERIENCE"/>
    <x v="1"/>
    <s v="Operations"/>
    <x v="8"/>
    <s v="NIGHT SHIFT"/>
    <d v="1999-05-06T00:00:00"/>
    <n v="18400"/>
    <n v="16000"/>
  </r>
  <r>
    <n v="13"/>
    <n v="337"/>
    <s v="Yuvaraj Sai Saravanan"/>
    <d v="2023-01-11T00:00:00"/>
    <s v="EXPERIENCE"/>
    <x v="1"/>
    <s v="Operations"/>
    <x v="8"/>
    <s v="NIGHT SHIFT"/>
    <d v="2002-07-21T00:00:00"/>
    <n v="23000"/>
    <n v="20000"/>
  </r>
  <r>
    <n v="14"/>
    <n v="375"/>
    <s v="Rajeshkumar Mannu"/>
    <d v="2023-03-21T00:00:00"/>
    <s v="EXPERIENCE"/>
    <x v="1"/>
    <s v="Operations"/>
    <x v="6"/>
    <s v="NIGHT SHIFT"/>
    <d v="1987-04-12T00:00:00"/>
    <n v="43700"/>
    <n v="38000"/>
  </r>
  <r>
    <n v="15"/>
    <n v="381"/>
    <s v="Vivek Narayanan Vijayan"/>
    <d v="2023-04-10T00:00:00"/>
    <s v="EXPERIENCE"/>
    <x v="1"/>
    <s v="Operations"/>
    <x v="6"/>
    <s v="NIGHT SHIFT"/>
    <d v="1990-07-15T00:00:00"/>
    <n v="47150"/>
    <n v="41000"/>
  </r>
  <r>
    <n v="16"/>
    <n v="407"/>
    <s v="Mohammed Sayeeth Shah"/>
    <d v="2023-07-03T00:00:00"/>
    <s v="EXPERIENCE"/>
    <x v="1"/>
    <s v="Operations"/>
    <x v="7"/>
    <s v="DAY SHIFT 2"/>
    <d v="1993-07-25T00:00:00"/>
    <n v="26450"/>
    <n v="23000"/>
  </r>
  <r>
    <n v="17"/>
    <n v="422"/>
    <s v="Monisha Sundar"/>
    <d v="2023-08-16T00:00:00"/>
    <s v="EXPERIENCE"/>
    <x v="1"/>
    <s v="Operations"/>
    <x v="9"/>
    <s v="DAY SHIFT 1"/>
    <d v="1999-11-02T00:00:00"/>
    <n v="31625"/>
    <n v="27500"/>
  </r>
  <r>
    <n v="18"/>
    <n v="431"/>
    <s v="Raghavendhra Ramesh"/>
    <d v="2023-10-11T00:00:00"/>
    <s v="EXPERIENCE"/>
    <x v="1"/>
    <s v="Operations"/>
    <x v="8"/>
    <s v="NIGHT SHIFT"/>
    <d v="2000-05-15T00:00:00"/>
    <n v="29900"/>
    <n v="26000"/>
  </r>
  <r>
    <n v="19"/>
    <n v="432"/>
    <s v="Yazar Basheer"/>
    <d v="2023-10-23T00:00:00"/>
    <s v="EXPERIENCE"/>
    <x v="1"/>
    <s v="Operations"/>
    <x v="6"/>
    <s v="NIGHT SHIFT"/>
    <d v="1992-11-27T00:00:00"/>
    <n v="46000"/>
    <n v="40000"/>
  </r>
  <r>
    <n v="20"/>
    <n v="434"/>
    <s v="Pavithra Sukumar"/>
    <d v="2023-10-23T00:00:00"/>
    <s v="EXPERIENCE"/>
    <x v="1"/>
    <s v="Operations"/>
    <x v="6"/>
    <s v="NIGHT SHIFT"/>
    <d v="1993-03-17T00:00:00"/>
    <n v="41400"/>
    <n v="36000"/>
  </r>
  <r>
    <n v="21"/>
    <n v="440"/>
    <s v="Yuvaraju Hanumantha Reddy"/>
    <d v="2023-12-06T00:00:00"/>
    <s v="EXPERIENCE"/>
    <x v="1"/>
    <s v="Operations"/>
    <x v="8"/>
    <s v="NIGHT SHIFT"/>
    <d v="1996-07-13T00:00:00"/>
    <n v="0"/>
    <n v="0"/>
  </r>
  <r>
    <n v="22"/>
    <n v="47"/>
    <s v="Janani Narayanasamy"/>
    <d v="2020-07-20T00:00:00"/>
    <s v="FRESHER"/>
    <x v="1"/>
    <s v="Operations"/>
    <x v="7"/>
    <s v="DAY SHIFT 1"/>
    <d v="2000-06-21T00:00:00"/>
    <n v="21743.625"/>
    <n v="18907.5"/>
  </r>
  <r>
    <n v="23"/>
    <n v="52"/>
    <s v="Rekha Ramachandra Raju"/>
    <d v="2020-08-17T00:00:00"/>
    <s v="FRESHER"/>
    <x v="1"/>
    <s v="Operations"/>
    <x v="7"/>
    <s v="DAY SHIFT 1"/>
    <d v="1994-05-26T00:00:00"/>
    <n v="21459"/>
    <n v="18660"/>
  </r>
  <r>
    <n v="24"/>
    <n v="64"/>
    <s v="Janani Murali"/>
    <d v="2020-12-14T00:00:00"/>
    <s v="FRESHER"/>
    <x v="1"/>
    <s v="Operations"/>
    <x v="7"/>
    <s v="DAY SHIFT 1"/>
    <d v="1999-07-27T00:00:00"/>
    <n v="20189.400000000001"/>
    <n v="17556"/>
  </r>
  <r>
    <n v="25"/>
    <n v="93"/>
    <s v="Manoj Vijayaseelan Manohar N"/>
    <d v="2021-04-26T00:00:00"/>
    <s v="FRESHER"/>
    <x v="1"/>
    <s v="Operations"/>
    <x v="7"/>
    <s v="DAY SHIFT 2"/>
    <d v="2000-09-02T00:00:00"/>
    <n v="19485.599999999999"/>
    <n v="16944"/>
  </r>
  <r>
    <n v="26"/>
    <n v="118"/>
    <s v="Rani bhuvanesh Murugaiya"/>
    <d v="2021-07-19T00:00:00"/>
    <s v="FRESHER"/>
    <x v="1"/>
    <s v="Operations"/>
    <x v="7"/>
    <s v="DAY SHIFT 1"/>
    <d v="1993-11-16T00:00:00"/>
    <n v="19126.8"/>
    <n v="16632"/>
  </r>
  <r>
    <n v="27"/>
    <n v="124"/>
    <s v="Mukesh Kumar Kesavan"/>
    <d v="2021-07-19T00:00:00"/>
    <s v="FRESHER"/>
    <x v="1"/>
    <s v="Operations"/>
    <x v="7"/>
    <s v="DAY SHIFT 1"/>
    <d v="2000-10-24T00:00:00"/>
    <n v="19308.5"/>
    <n v="16790"/>
  </r>
  <r>
    <n v="28"/>
    <n v="143"/>
    <s v="Aarthi Kesavan R"/>
    <d v="2021-09-13T00:00:00"/>
    <s v="FRESHER"/>
    <x v="1"/>
    <s v="Operations"/>
    <x v="8"/>
    <s v="NIGHT SHIFT"/>
    <d v="2000-11-12T00:00:00"/>
    <n v="20268.75"/>
    <n v="17625"/>
  </r>
  <r>
    <n v="29"/>
    <n v="159"/>
    <s v="Yuvapriya Vinayagamoorthy"/>
    <d v="2021-12-02T00:00:00"/>
    <s v="FRESHER"/>
    <x v="1"/>
    <s v="Operations"/>
    <x v="8"/>
    <s v="NIGHT SHIFT"/>
    <d v="2001-07-03T00:00:00"/>
    <n v="19118.75"/>
    <n v="16625"/>
  </r>
  <r>
    <n v="30"/>
    <n v="172"/>
    <s v="Gayathri Muniyappan"/>
    <d v="2022-01-03T00:00:00"/>
    <s v="FRESHER"/>
    <x v="1"/>
    <s v="Operations"/>
    <x v="7"/>
    <s v="DAY SHIFT 1"/>
    <d v="2000-12-31T00:00:00"/>
    <n v="18492"/>
    <n v="16080"/>
  </r>
  <r>
    <n v="31"/>
    <n v="173"/>
    <s v="Jothika Perumal"/>
    <d v="2022-01-03T00:00:00"/>
    <s v="FRESHER"/>
    <x v="1"/>
    <s v="Operations"/>
    <x v="7"/>
    <s v="DAY SHIFT 1"/>
    <d v="2000-09-27T00:00:00"/>
    <n v="18492"/>
    <n v="16080"/>
  </r>
  <r>
    <n v="32"/>
    <n v="185"/>
    <s v="Vijaya Pandian Baskaran"/>
    <d v="2022-01-21T00:00:00"/>
    <s v="FRESHER"/>
    <x v="1"/>
    <s v="Operations"/>
    <x v="7"/>
    <s v="DAY SHIFT 2"/>
    <d v="2000-07-25T00:00:00"/>
    <n v="16378.875"/>
    <n v="14242.5"/>
  </r>
  <r>
    <n v="33"/>
    <n v="192"/>
    <s v="Gurumurthi Dhandapani"/>
    <d v="2022-02-14T00:00:00"/>
    <s v="FRESHER"/>
    <x v="1"/>
    <s v="Operations"/>
    <x v="7"/>
    <s v="DAY SHIFT 1"/>
    <d v="1998-07-11T00:00:00"/>
    <n v="18543.75"/>
    <n v="16125"/>
  </r>
  <r>
    <n v="34"/>
    <n v="246"/>
    <s v="Feminasha Sathick Basha"/>
    <d v="2022-05-16T00:00:00"/>
    <s v="FRESHER"/>
    <x v="1"/>
    <s v="Operations"/>
    <x v="7"/>
    <s v="DAY SHIFT 1"/>
    <d v="2000-10-30T00:00:00"/>
    <n v="16249.5"/>
    <n v="14130"/>
  </r>
  <r>
    <n v="35"/>
    <n v="248"/>
    <s v="Ganga Kowsalya Udhaya kumar"/>
    <d v="2022-05-16T00:00:00"/>
    <s v="FRESHER"/>
    <x v="1"/>
    <s v="Operations"/>
    <x v="7"/>
    <s v="DAY SHIFT 1"/>
    <d v="1999-06-05T00:00:00"/>
    <n v="16249.5"/>
    <n v="14130"/>
  </r>
  <r>
    <n v="36"/>
    <n v="252"/>
    <s v="Prince Yesuraj Ravi"/>
    <d v="2022-05-17T00:00:00"/>
    <s v="FRESHER"/>
    <x v="1"/>
    <s v="Operations"/>
    <x v="8"/>
    <s v="NIGHT SHIFT"/>
    <d v="1999-08-26T00:00:00"/>
    <n v="19559.583333333332"/>
    <n v="17008.333333333332"/>
  </r>
  <r>
    <n v="37"/>
    <n v="258"/>
    <s v="Muthu Jothi"/>
    <d v="2022-06-09T00:00:00"/>
    <s v="FRESHER"/>
    <x v="1"/>
    <s v="Operations"/>
    <x v="8"/>
    <s v="NIGHT SHIFT"/>
    <d v="2000-11-30T00:00:00"/>
    <n v="17940"/>
    <n v="15600"/>
  </r>
  <r>
    <n v="38"/>
    <n v="263"/>
    <s v="Siji Chandran"/>
    <d v="2022-07-05T00:00:00"/>
    <s v="FRESHER"/>
    <x v="1"/>
    <s v="Operations"/>
    <x v="8"/>
    <s v="NIGHT SHIFT"/>
    <d v="2002-05-03T00:00:00"/>
    <n v="17250"/>
    <n v="15000"/>
  </r>
  <r>
    <n v="39"/>
    <n v="268"/>
    <s v="Siva Kumar Sundaram"/>
    <d v="2022-07-05T00:00:00"/>
    <s v="FRESHER"/>
    <x v="1"/>
    <s v="Operations"/>
    <x v="8"/>
    <s v="NIGHT SHIFT"/>
    <d v="2001-07-21T00:00:00"/>
    <n v="17250"/>
    <n v="15000"/>
  </r>
  <r>
    <n v="40"/>
    <n v="276"/>
    <s v="Subash Subramani"/>
    <d v="2022-08-24T00:00:00"/>
    <s v="FRESHER"/>
    <x v="1"/>
    <s v="Operations"/>
    <x v="8"/>
    <s v="NIGHT SHIFT"/>
    <d v="2000-06-27T00:00:00"/>
    <n v="17250"/>
    <n v="15000"/>
  </r>
  <r>
    <n v="41"/>
    <n v="297"/>
    <s v="Dhanush Senthilvel"/>
    <d v="2022-10-03T00:00:00"/>
    <s v="FRESHER"/>
    <x v="1"/>
    <s v="Operations"/>
    <x v="8"/>
    <s v="NIGHT SHIFT"/>
    <d v="1998-09-02T00:00:00"/>
    <n v="17250"/>
    <n v="15000"/>
  </r>
  <r>
    <n v="42"/>
    <n v="300"/>
    <s v="MD Althmash Shamsudeen Ghouse Mohideen"/>
    <d v="2022-10-03T00:00:00"/>
    <s v="FRESHER"/>
    <x v="1"/>
    <s v="Operations"/>
    <x v="8"/>
    <s v="NIGHT SHIFT"/>
    <d v="1999-01-03T00:00:00"/>
    <n v="17250"/>
    <n v="15000"/>
  </r>
  <r>
    <n v="43"/>
    <n v="301"/>
    <s v="Pugazhendhi Kamalakannan"/>
    <d v="2022-10-03T00:00:00"/>
    <s v="FRESHER"/>
    <x v="1"/>
    <s v="Operations"/>
    <x v="8"/>
    <s v="NIGHT SHIFT"/>
    <d v="2001-11-12T00:00:00"/>
    <n v="17250"/>
    <n v="15000"/>
  </r>
  <r>
    <n v="44"/>
    <n v="302"/>
    <s v="Balaji Deventhiran"/>
    <d v="2022-10-03T00:00:00"/>
    <s v="FRESHER"/>
    <x v="1"/>
    <s v="Operations"/>
    <x v="8"/>
    <s v="NIGHT SHIFT"/>
    <d v="1999-03-12T00:00:00"/>
    <n v="17250"/>
    <n v="15000"/>
  </r>
  <r>
    <n v="45"/>
    <n v="317"/>
    <s v="Pavithra Kabali"/>
    <d v="2022-11-14T00:00:00"/>
    <s v="FRESHER"/>
    <x v="1"/>
    <s v="Operations"/>
    <x v="8"/>
    <s v="NIGHT SHIFT"/>
    <d v="2002-02-09T00:00:00"/>
    <n v="17250"/>
    <n v="15000"/>
  </r>
  <r>
    <n v="46"/>
    <n v="320"/>
    <s v="Jebez Richard"/>
    <d v="2022-11-14T00:00:00"/>
    <s v="FRESHER"/>
    <x v="1"/>
    <s v="Operations"/>
    <x v="8"/>
    <s v="NIGHT SHIFT"/>
    <d v="2000-11-10T00:00:00"/>
    <n v="17250"/>
    <n v="15000"/>
  </r>
  <r>
    <n v="47"/>
    <n v="344"/>
    <s v="Dhivyabharathi Veerasami"/>
    <d v="2023-01-30T00:00:00"/>
    <s v="FRESHER"/>
    <x v="1"/>
    <s v="Operations"/>
    <x v="7"/>
    <s v="DAY SHIFT 1"/>
    <d v="2002-03-14T00:00:00"/>
    <n v="17250"/>
    <n v="15000"/>
  </r>
  <r>
    <n v="48"/>
    <n v="374"/>
    <s v="Leena Steffina Gunasekaran"/>
    <d v="2023-03-20T00:00:00"/>
    <s v="FRESHER"/>
    <x v="1"/>
    <s v="Operations"/>
    <x v="8"/>
    <s v="NIGHT SHIFT"/>
    <d v="1999-04-17T00:00:00"/>
    <n v="17250"/>
    <n v="15000"/>
  </r>
  <r>
    <n v="49"/>
    <n v="377"/>
    <s v="Vijay Rathakrishnan"/>
    <d v="2023-03-29T00:00:00"/>
    <s v="FRESHER"/>
    <x v="1"/>
    <s v="Operations"/>
    <x v="8"/>
    <s v="NIGHT SHIFT"/>
    <d v="2000-06-22T00:00:00"/>
    <n v="17250"/>
    <n v="15000"/>
  </r>
  <r>
    <n v="50"/>
    <n v="387"/>
    <s v="Harish Babu"/>
    <d v="2023-04-24T00:00:00"/>
    <s v="FRESHER"/>
    <x v="1"/>
    <s v="Operations"/>
    <x v="8"/>
    <s v="NIGHT SHIFT"/>
    <d v="2001-12-04T00:00:00"/>
    <n v="17250"/>
    <n v="15000"/>
  </r>
  <r>
    <n v="51"/>
    <n v="389"/>
    <s v="Madhivanan Sundar"/>
    <d v="2023-04-24T00:00:00"/>
    <s v="FRESHER"/>
    <x v="1"/>
    <s v="Operations"/>
    <x v="8"/>
    <s v="NIGHT SHIFT"/>
    <d v="2000-05-11T00:00:00"/>
    <n v="17250"/>
    <n v="15000"/>
  </r>
  <r>
    <n v="52"/>
    <n v="390"/>
    <s v="Karan Suresh"/>
    <d v="2023-04-24T00:00:00"/>
    <s v="FRESHER"/>
    <x v="1"/>
    <s v="Operations"/>
    <x v="8"/>
    <s v="NIGHT SHIFT"/>
    <d v="2001-06-11T00:00:00"/>
    <n v="17250"/>
    <n v="15000"/>
  </r>
  <r>
    <n v="53"/>
    <n v="409"/>
    <s v="Sandiya Bavalalith Prasath"/>
    <d v="2023-08-02T00:00:00"/>
    <s v="FRESHER"/>
    <x v="1"/>
    <s v="Operations"/>
    <x v="7"/>
    <s v="DAY SHIFT 1"/>
    <d v="1994-02-15T00:00:00"/>
    <n v="13800"/>
    <n v="12000"/>
  </r>
  <r>
    <n v="54"/>
    <n v="410"/>
    <s v="Pandiammal Thirugnanasambandam"/>
    <d v="2023-08-02T00:00:00"/>
    <s v="FRESHER"/>
    <x v="1"/>
    <s v="Operations"/>
    <x v="7"/>
    <s v="NIGHT SHIFT"/>
    <d v="1996-04-14T00:00:00"/>
    <n v="13800"/>
    <n v="12000"/>
  </r>
  <r>
    <n v="55"/>
    <n v="411"/>
    <s v="Janani Ravi"/>
    <d v="2023-08-02T00:00:00"/>
    <s v="FRESHER"/>
    <x v="1"/>
    <s v="Operations"/>
    <x v="7"/>
    <s v="DAY SHIFT 1"/>
    <d v="2003-03-26T00:00:00"/>
    <n v="13800"/>
    <n v="12000"/>
  </r>
  <r>
    <n v="56"/>
    <n v="416"/>
    <s v="Keerthiga Kothandan"/>
    <d v="2023-08-02T00:00:00"/>
    <s v="FRESHER"/>
    <x v="1"/>
    <s v="Operations"/>
    <x v="7"/>
    <s v="DAY SHIFT 1"/>
    <d v="2002-09-30T00:00:00"/>
    <n v="13800"/>
    <n v="12000"/>
  </r>
  <r>
    <n v="57"/>
    <n v="417"/>
    <s v="Thilagavathi Elumalai"/>
    <d v="2023-08-03T00:00:00"/>
    <s v="FRESHER"/>
    <x v="1"/>
    <s v="Operations"/>
    <x v="7"/>
    <s v="DAY SHIFT 1"/>
    <d v="2000-06-03T00:00:00"/>
    <n v="13800"/>
    <n v="12000"/>
  </r>
  <r>
    <n v="58"/>
    <n v="7"/>
    <s v="Mohamed Ejas Ali Muhamed Hussain"/>
    <d v="2018-11-26T00:00:00"/>
    <s v="EXPERIENCE"/>
    <x v="2"/>
    <s v="Operations"/>
    <x v="0"/>
    <s v="NIGHT SHIFT"/>
    <d v="1994-08-25T00:00:00"/>
    <n v="56795.97"/>
    <n v="49387.8"/>
  </r>
  <r>
    <n v="59"/>
    <n v="104"/>
    <s v="Muthamizhan Kumar"/>
    <d v="2021-07-01T00:00:00"/>
    <s v="EXPERIENCE"/>
    <x v="2"/>
    <s v="Operations"/>
    <x v="0"/>
    <s v="NIGHT SHIFT"/>
    <d v="1993-08-22T00:00:00"/>
    <n v="58684.5"/>
    <n v="51030"/>
  </r>
  <r>
    <n v="60"/>
    <n v="430"/>
    <s v="Priya Munusamy Raju"/>
    <d v="2023-10-03T00:00:00"/>
    <s v="FRESHER"/>
    <x v="3"/>
    <s v="Operations"/>
    <x v="10"/>
    <s v="DAY SHIFT 1"/>
    <d v="1990-02-07T00:00:00"/>
    <n v="13800"/>
    <n v="12000"/>
  </r>
  <r>
    <n v="61"/>
    <n v="31"/>
    <s v="Rajesh Murugesan M"/>
    <d v="2020-01-20T00:00:00"/>
    <s v="EXPERIENCE"/>
    <x v="4"/>
    <s v="Operations"/>
    <x v="11"/>
    <s v="DAY SHIFT 1"/>
    <d v="1984-02-29T00:00:00"/>
    <n v="31986.789999999997"/>
    <n v="27814.6"/>
  </r>
  <r>
    <n v="62"/>
    <n v="229"/>
    <s v="Mahalakshmi Sekar"/>
    <d v="2022-04-25T00:00:00"/>
    <s v="EXPERIENCE"/>
    <x v="4"/>
    <s v="Operations"/>
    <x v="11"/>
    <s v="DAY SHIFT 1"/>
    <d v="1989-11-30T00:00:00"/>
    <n v="22816"/>
    <n v="19840"/>
  </r>
  <r>
    <n v="63"/>
    <n v="238"/>
    <s v="Latha Murthy"/>
    <d v="2022-05-02T00:00:00"/>
    <s v="EXPERIENCE"/>
    <x v="4"/>
    <s v="Operations"/>
    <x v="5"/>
    <s v="DAY SHIFT 1"/>
    <d v="2000-03-09T00:00:00"/>
    <n v="16146"/>
    <n v="14040"/>
  </r>
  <r>
    <n v="64"/>
    <n v="273"/>
    <s v="Tamilmani Velayutham"/>
    <d v="2022-08-11T00:00:00"/>
    <s v="EXPERIENCE"/>
    <x v="4"/>
    <s v="Operations"/>
    <x v="11"/>
    <s v="DAY SHIFT 1"/>
    <d v="1995-01-25T00:00:00"/>
    <n v="19550"/>
    <n v="17000"/>
  </r>
  <r>
    <n v="65"/>
    <n v="282"/>
    <s v="Abinaya Udhayasuriyan"/>
    <d v="2022-09-01T00:00:00"/>
    <s v="EXPERIENCE"/>
    <x v="4"/>
    <s v="Operations"/>
    <x v="11"/>
    <s v="DAY SHIFT"/>
    <d v="1994-06-05T00:00:00"/>
    <n v="19550"/>
    <n v="17000"/>
  </r>
  <r>
    <n v="66"/>
    <n v="306"/>
    <s v="Arockia Infant Ansan Gabriel"/>
    <d v="2022-10-10T00:00:00"/>
    <s v="EXPERIENCE"/>
    <x v="4"/>
    <s v="Operations"/>
    <x v="11"/>
    <s v="DAY SHIFT 2"/>
    <d v="1995-08-02T00:00:00"/>
    <n v="17250"/>
    <n v="15000"/>
  </r>
  <r>
    <n v="67"/>
    <n v="360"/>
    <s v="Fazal Abbas Reyas Hussian"/>
    <d v="2023-02-20T00:00:00"/>
    <s v="EXPERIENCE"/>
    <x v="4"/>
    <s v="Operations"/>
    <x v="5"/>
    <s v="DAY SHIFT 1"/>
    <d v="1998-06-05T00:00:00"/>
    <n v="15525"/>
    <n v="13500"/>
  </r>
  <r>
    <n v="68"/>
    <n v="378"/>
    <s v="Muthukumar Mathan"/>
    <d v="2023-04-03T00:00:00"/>
    <s v="EXPERIENCE"/>
    <x v="4"/>
    <s v="Operations"/>
    <x v="11"/>
    <s v="DAY SHIFT 1"/>
    <d v="1996-05-17T00:00:00"/>
    <n v="19550"/>
    <n v="17000"/>
  </r>
  <r>
    <n v="69"/>
    <n v="395"/>
    <s v="Domesan Kumar"/>
    <d v="2023-06-01T00:00:00"/>
    <s v="EXPERIENCE"/>
    <x v="4"/>
    <s v="Operations"/>
    <x v="11"/>
    <s v="DAY SHIFT 2"/>
    <d v="1984-07-02T00:00:00"/>
    <n v="34500"/>
    <n v="30000"/>
  </r>
  <r>
    <n v="70"/>
    <n v="153"/>
    <s v="Lokesh Narasimmanraju"/>
    <d v="2021-03-12T00:00:00"/>
    <s v="FRESHER"/>
    <x v="4"/>
    <s v="Operations"/>
    <x v="5"/>
    <s v="DAY SHIFT 1"/>
    <d v="1999-10-25T00:00:00"/>
    <n v="16456.5"/>
    <n v="14310"/>
  </r>
  <r>
    <n v="71"/>
    <n v="167"/>
    <s v="Vasu Markandya Raju"/>
    <d v="2021-12-13T00:00:00"/>
    <s v="FRESHER"/>
    <x v="4"/>
    <s v="Operations"/>
    <x v="5"/>
    <s v="DAY SHIFT 1"/>
    <d v="1981-05-08T00:00:00"/>
    <n v="16456.5"/>
    <n v="14310"/>
  </r>
  <r>
    <n v="72"/>
    <n v="196"/>
    <s v="Priyanka Arumugam"/>
    <d v="2022-02-14T00:00:00"/>
    <s v="FRESHER"/>
    <x v="4"/>
    <s v="Operations"/>
    <x v="5"/>
    <s v="DAY SHIFT 1"/>
    <d v="2000-07-07T00:00:00"/>
    <n v="16560"/>
    <n v="14400"/>
  </r>
  <r>
    <n v="73"/>
    <n v="236"/>
    <s v="Vinothraj Anthonisamy"/>
    <d v="2022-05-02T00:00:00"/>
    <s v="FRESHER"/>
    <x v="4"/>
    <s v="Operations"/>
    <x v="5"/>
    <s v="DAY SHIFT 1"/>
    <d v="2000-04-08T00:00:00"/>
    <n v="17564.333333333336"/>
    <n v="15273.333333333334"/>
  </r>
  <r>
    <n v="74"/>
    <n v="237"/>
    <s v="Priyanka Kumar"/>
    <d v="2022-05-02T00:00:00"/>
    <s v="FRESHER"/>
    <x v="4"/>
    <s v="Operations"/>
    <x v="5"/>
    <s v="DAY SHIFT 1"/>
    <d v="2000-10-07T00:00:00"/>
    <n v="16146"/>
    <n v="14040"/>
  </r>
  <r>
    <n v="75"/>
    <n v="240"/>
    <s v="Arul Jothi Murugesan"/>
    <d v="2022-05-09T00:00:00"/>
    <s v="FRESHER"/>
    <x v="4"/>
    <s v="Operations"/>
    <x v="5"/>
    <s v="DAY SHIFT 1"/>
    <d v="1998-09-22T00:00:00"/>
    <n v="16068.375"/>
    <n v="13972.5"/>
  </r>
  <r>
    <n v="76"/>
    <n v="242"/>
    <s v="Jawahar Franklin Arockiya Raju"/>
    <d v="2022-05-16T00:00:00"/>
    <s v="FRESHER"/>
    <x v="4"/>
    <s v="Operations"/>
    <x v="5"/>
    <s v="DAY SHIFT 1"/>
    <d v="1998-11-14T00:00:00"/>
    <n v="16249.5"/>
    <n v="14130"/>
  </r>
  <r>
    <n v="77"/>
    <n v="243"/>
    <s v="Sangeetha Gunasekaran"/>
    <d v="2022-05-16T00:00:00"/>
    <s v="FRESHER"/>
    <x v="4"/>
    <s v="Operations"/>
    <x v="5"/>
    <s v="DAY SHIFT 1"/>
    <d v="2001-06-13T00:00:00"/>
    <n v="16249.5"/>
    <n v="14130"/>
  </r>
  <r>
    <n v="78"/>
    <n v="245"/>
    <s v="Nandhini Sasi kumar"/>
    <d v="2022-05-16T00:00:00"/>
    <s v="FRESHER"/>
    <x v="4"/>
    <s v="Operations"/>
    <x v="5"/>
    <s v="DAY SHIFT 1"/>
    <d v="2001-04-12T00:00:00"/>
    <n v="16068.375"/>
    <n v="13972.5"/>
  </r>
  <r>
    <n v="79"/>
    <n v="247"/>
    <s v="Asma Shajahan"/>
    <d v="2022-05-16T00:00:00"/>
    <s v="FRESHER"/>
    <x v="4"/>
    <s v="Operations"/>
    <x v="5"/>
    <s v="DAY SHIFT 1"/>
    <d v="1986-04-28T00:00:00"/>
    <n v="16249.5"/>
    <n v="14130"/>
  </r>
  <r>
    <n v="80"/>
    <n v="250"/>
    <s v="Rameez Raja Rafi"/>
    <d v="2022-05-17T00:00:00"/>
    <s v="FRESHER"/>
    <x v="4"/>
    <s v="Operations"/>
    <x v="5"/>
    <s v="DAY SHIFT 2"/>
    <d v="1995-11-30T00:00:00"/>
    <n v="16068.375"/>
    <n v="13972.5"/>
  </r>
  <r>
    <n v="81"/>
    <n v="289"/>
    <s v="Naresh Chandar Srinivasan"/>
    <d v="2022-09-08T00:00:00"/>
    <s v="FRESHER"/>
    <x v="4"/>
    <s v="Operations"/>
    <x v="5"/>
    <s v="DAY SHIFT 1"/>
    <d v="2002-06-22T00:00:00"/>
    <n v="15525"/>
    <n v="13500"/>
  </r>
  <r>
    <n v="82"/>
    <n v="290"/>
    <s v="Hemavarshini Ramesh"/>
    <d v="2022-09-08T00:00:00"/>
    <s v="FRESHER"/>
    <x v="4"/>
    <s v="Operations"/>
    <x v="5"/>
    <s v="DAY SHIFT 1"/>
    <d v="2000-06-06T00:00:00"/>
    <n v="15525"/>
    <n v="13500"/>
  </r>
  <r>
    <n v="83"/>
    <n v="308"/>
    <s v="Rekha Janarthanan"/>
    <d v="2022-10-17T00:00:00"/>
    <s v="FRESHER"/>
    <x v="4"/>
    <s v="Operations"/>
    <x v="5"/>
    <s v="DAY SHIFT 1"/>
    <d v="1994-11-03T00:00:00"/>
    <n v="15525"/>
    <n v="13500"/>
  </r>
  <r>
    <n v="84"/>
    <n v="309"/>
    <s v="Muthu Krishnan Perumal"/>
    <d v="2022-10-17T00:00:00"/>
    <s v="FRESHER"/>
    <x v="4"/>
    <s v="Operations"/>
    <x v="5"/>
    <s v="DAY SHIFT 1"/>
    <d v="2000-07-15T00:00:00"/>
    <n v="15525"/>
    <n v="13500"/>
  </r>
  <r>
    <n v="85"/>
    <n v="346"/>
    <s v="Divyasri Kumaravel"/>
    <d v="2023-02-01T00:00:00"/>
    <s v="FRESHER"/>
    <x v="4"/>
    <s v="Operations"/>
    <x v="5"/>
    <s v="DAY SHIFT 1"/>
    <d v="2002-08-24T00:00:00"/>
    <n v="15525"/>
    <n v="13500"/>
  </r>
  <r>
    <n v="86"/>
    <n v="347"/>
    <s v="Devapriya Samsanraj"/>
    <d v="2023-02-01T00:00:00"/>
    <s v="FRESHER"/>
    <x v="4"/>
    <s v="Operations"/>
    <x v="5"/>
    <s v="DAY SHIFT 1"/>
    <d v="2001-08-06T00:00:00"/>
    <n v="15525"/>
    <n v="13500"/>
  </r>
  <r>
    <n v="87"/>
    <n v="348"/>
    <s v="Flaviya Stephen"/>
    <d v="2023-02-01T00:00:00"/>
    <s v="FRESHER"/>
    <x v="4"/>
    <s v="Operations"/>
    <x v="5"/>
    <s v="DAY SHIFT 1"/>
    <d v="2001-11-27T00:00:00"/>
    <n v="15525"/>
    <n v="13500"/>
  </r>
  <r>
    <n v="88"/>
    <n v="349"/>
    <s v="Tamilarasan Paranthaman"/>
    <d v="2023-02-02T00:00:00"/>
    <s v="FRESHER"/>
    <x v="4"/>
    <s v="Operations"/>
    <x v="5"/>
    <s v="DAY SHIFT 1"/>
    <d v="2000-11-02T00:00:00"/>
    <n v="15525"/>
    <n v="13500"/>
  </r>
  <r>
    <n v="89"/>
    <n v="357"/>
    <s v="Jayasri Dhinakaran"/>
    <d v="2023-02-20T00:00:00"/>
    <s v="FRESHER"/>
    <x v="4"/>
    <s v="Operations"/>
    <x v="5"/>
    <s v="DAY SHIFT 1"/>
    <d v="1999-11-15T00:00:00"/>
    <n v="15525"/>
    <n v="13500"/>
  </r>
  <r>
    <n v="90"/>
    <n v="358"/>
    <s v="Monish Ramesh"/>
    <d v="2023-02-20T00:00:00"/>
    <s v="FRESHER"/>
    <x v="4"/>
    <s v="Operations"/>
    <x v="5"/>
    <s v="DAY SHIFT"/>
    <d v="2002-08-10T00:00:00"/>
    <n v="15525"/>
    <n v="13500"/>
  </r>
  <r>
    <n v="91"/>
    <n v="359"/>
    <s v="Elamparithi Elangovan"/>
    <d v="2023-02-20T00:00:00"/>
    <s v="FRESHER"/>
    <x v="4"/>
    <s v="Operations"/>
    <x v="5"/>
    <s v="DAY SHIFT"/>
    <d v="1997-06-12T00:00:00"/>
    <n v="15525"/>
    <n v="13500"/>
  </r>
  <r>
    <n v="92"/>
    <n v="362"/>
    <s v="Anandraj Joseph"/>
    <d v="2023-02-20T00:00:00"/>
    <s v="FRESHER"/>
    <x v="4"/>
    <s v="Operations"/>
    <x v="5"/>
    <s v="DAY SHIFT 1"/>
    <d v="2001-06-23T00:00:00"/>
    <n v="15525"/>
    <n v="13500"/>
  </r>
  <r>
    <n v="93"/>
    <n v="397"/>
    <s v="Deva Bakthavachalam"/>
    <d v="2023-06-01T00:00:00"/>
    <s v="FRESHER"/>
    <x v="4"/>
    <s v="Operations"/>
    <x v="5"/>
    <s v="DAY SHIFT 1"/>
    <d v="2000-03-24T00:00:00"/>
    <n v="15525"/>
    <n v="13500"/>
  </r>
  <r>
    <n v="94"/>
    <n v="398"/>
    <s v="Ajith Thomas"/>
    <d v="2023-06-01T00:00:00"/>
    <s v="FRESHER"/>
    <x v="4"/>
    <s v="Operations"/>
    <x v="5"/>
    <s v="DAY SHIFT 1"/>
    <d v="2000-03-24T00:00:00"/>
    <n v="15525"/>
    <n v="13500"/>
  </r>
  <r>
    <n v="95"/>
    <n v="399"/>
    <s v="Jacob Stephen"/>
    <d v="2023-06-01T00:00:00"/>
    <s v="FRESHER"/>
    <x v="4"/>
    <s v="Operations"/>
    <x v="5"/>
    <s v="DAY SHIFT"/>
    <d v="2002-05-21T00:00:00"/>
    <n v="15525"/>
    <n v="13500"/>
  </r>
  <r>
    <n v="96"/>
    <n v="421"/>
    <s v="Logeshwaran Kannan"/>
    <d v="2023-08-16T00:00:00"/>
    <s v="FRESHER"/>
    <x v="4"/>
    <s v="Operations"/>
    <x v="12"/>
    <s v="DAY SHIFT 2"/>
    <d v="2001-06-18T00:00:00"/>
    <n v="13800"/>
    <n v="12000"/>
  </r>
  <r>
    <n v="97"/>
    <n v="438"/>
    <s v="Yuvaraj Dilli"/>
    <d v="2023-11-08T00:00:00"/>
    <s v="EXPERIENCE"/>
    <x v="5"/>
    <s v="Operations"/>
    <x v="13"/>
    <s v="NIGHT SHIFT"/>
    <d v="1992-09-04T00:00:00"/>
    <n v="85100"/>
    <n v="74000"/>
  </r>
  <r>
    <n v="98"/>
    <n v="30"/>
    <s v="Naveen Kumar Khalid"/>
    <d v="2020-01-20T00:00:00"/>
    <s v="EXPERIENCE"/>
    <x v="6"/>
    <s v="Operations"/>
    <x v="2"/>
    <s v="MID SHIFT"/>
    <d v="1985-04-15T00:00:00"/>
    <n v="113021.425"/>
    <n v="98279.5"/>
  </r>
  <r>
    <n v="99"/>
    <n v="253"/>
    <s v="Nandakumar Chandran"/>
    <d v="2022-05-19T00:00:00"/>
    <s v="EXPERIENCE"/>
    <x v="6"/>
    <s v="Operations"/>
    <x v="2"/>
    <s v="MID SHIFT"/>
    <d v="1982-06-05T00:00:00"/>
    <n v="78355.089000000007"/>
    <n v="68134.86"/>
  </r>
  <r>
    <n v="100"/>
    <n v="39"/>
    <s v="Purnima Ramesh"/>
    <d v="2020-03-02T00:00:00"/>
    <s v="EXPERIENCE"/>
    <x v="7"/>
    <s v="Operations"/>
    <x v="14"/>
    <s v="DAY SHIFT 2"/>
    <d v="1995-07-01T00:00:00"/>
    <n v="41092.811999999998"/>
    <n v="35732.879999999997"/>
  </r>
  <r>
    <n v="101"/>
    <n v="60"/>
    <s v="Sureshkumar Ekambaram"/>
    <d v="2020-12-14T00:00:00"/>
    <s v="EXPERIENCE"/>
    <x v="7"/>
    <s v="Operations"/>
    <x v="14"/>
    <s v="MID SHIFT"/>
    <d v="1981-04-29T00:00:00"/>
    <n v="44572.896000000001"/>
    <n v="38759.040000000001"/>
  </r>
  <r>
    <n v="102"/>
    <n v="90"/>
    <s v="Bhuvanesh Nagarajan"/>
    <d v="2021-04-23T00:00:00"/>
    <s v="EXPERIENCE"/>
    <x v="7"/>
    <s v="Operations"/>
    <x v="14"/>
    <s v="MID SHIFT 1"/>
    <d v="1992-11-20T00:00:00"/>
    <n v="44528"/>
    <n v="38720"/>
  </r>
  <r>
    <n v="103"/>
    <n v="235"/>
    <s v="Manikandan K K Perumal"/>
    <d v="2022-05-04T00:00:00"/>
    <s v="EXPERIENCE"/>
    <x v="7"/>
    <s v="Operations"/>
    <x v="14"/>
    <s v="DAY SHIFT 1"/>
    <d v="1994-01-22T00:00:00"/>
    <n v="43608"/>
    <n v="37920"/>
  </r>
  <r>
    <n v="104"/>
    <n v="59"/>
    <s v="Karthikeyan Sekar"/>
    <d v="2020-11-02T00:00:00"/>
    <s v="EXPERIENCE"/>
    <x v="8"/>
    <s v="Operations"/>
    <x v="15"/>
    <s v="MID SHIFT"/>
    <d v="1984-09-16T00:00:00"/>
    <n v="156101"/>
    <n v="135740"/>
  </r>
  <r>
    <n v="105"/>
    <n v="200"/>
    <s v="Sanjith Jayachandran"/>
    <d v="2022-02-14T00:00:00"/>
    <s v="EXPERIENCE"/>
    <x v="8"/>
    <s v="Operations"/>
    <x v="15"/>
    <s v="DAY SHIFT 1"/>
    <d v="1990-11-28T00:00:00"/>
    <n v="108273.65"/>
    <n v="94151"/>
  </r>
  <r>
    <n v="106"/>
    <n v="351"/>
    <s v="Rajkumar Mothiramrao"/>
    <d v="2023-02-03T00:00:00"/>
    <s v="EXPERIENCE"/>
    <x v="8"/>
    <s v="Operations"/>
    <x v="16"/>
    <s v="MID SHIFT 1"/>
    <d v="1978-11-19T00:00:00"/>
    <n v="132250"/>
    <n v="115000"/>
  </r>
  <r>
    <n v="107"/>
    <n v="439"/>
    <s v="Vijayasarathy S"/>
    <d v="2023-11-20T00:00:00"/>
    <s v="EXPERIENCE"/>
    <x v="8"/>
    <s v="Operations"/>
    <x v="17"/>
    <s v="MID SHIFT"/>
    <d v="1986-11-15T00:00:00"/>
    <n v="268332.95"/>
    <n v="233333"/>
  </r>
  <r>
    <n v="108"/>
    <n v="154"/>
    <s v="Venkataramana Chittibabu"/>
    <d v="2021-01-19T00:00:00"/>
    <s v="EXPERIENCE"/>
    <x v="9"/>
    <s v="Support"/>
    <x v="18"/>
    <s v="NIGHT SHIFT"/>
    <d v="1982-03-03T00:00:00"/>
    <n v="19996.2"/>
    <n v="17388"/>
  </r>
  <r>
    <n v="109"/>
    <n v="316"/>
    <s v="Kokila Murugan"/>
    <d v="2022-11-07T00:00:00"/>
    <s v="EXPERIENCE"/>
    <x v="9"/>
    <s v="Support"/>
    <x v="18"/>
    <s v="DAY SHIFT"/>
    <d v="1991-11-25T00:00:00"/>
    <n v="14950"/>
    <n v="13000"/>
  </r>
  <r>
    <n v="110"/>
    <n v="361"/>
    <s v="Raja Arutselvan Prathaban"/>
    <d v="2023-02-20T00:00:00"/>
    <s v="EXPERIENCE"/>
    <x v="9"/>
    <s v="Support"/>
    <x v="19"/>
    <s v="DAY SHIFT 2"/>
    <d v="1995-06-24T00:00:00"/>
    <n v="28750"/>
    <n v="25000"/>
  </r>
  <r>
    <n v="111"/>
    <n v="418"/>
    <s v="Harikrishna Muralidharan"/>
    <d v="2023-08-08T00:00:00"/>
    <s v="EXPERIENCE"/>
    <x v="9"/>
    <s v="Support"/>
    <x v="20"/>
    <s v="DAY SHIFT 2"/>
    <d v="1998-05-22T00:00:00"/>
    <n v="17250"/>
    <n v="15000"/>
  </r>
  <r>
    <n v="112"/>
    <n v="217"/>
    <s v="Ranganathan Ravi"/>
    <d v="2022-04-04T00:00:00"/>
    <s v="EXPERIENCE"/>
    <x v="10"/>
    <s v="Support"/>
    <x v="21"/>
    <s v="MID SHIFT"/>
    <d v="1996-10-08T00:00:00"/>
    <n v="18285"/>
    <n v="15900"/>
  </r>
  <r>
    <n v="113"/>
    <n v="74"/>
    <s v="Ashok Kumar Pazhani"/>
    <d v="2021-02-01T00:00:00"/>
    <s v="EXPERIENCE"/>
    <x v="11"/>
    <s v="Support"/>
    <x v="22"/>
    <s v="DAY SHIFT 1"/>
    <d v="1998-01-29T00:00:00"/>
    <n v="29516.244999999999"/>
    <n v="25666.3"/>
  </r>
  <r>
    <n v="114"/>
    <n v="141"/>
    <s v="Albert Benjamin Anil kumar"/>
    <d v="2021-09-06T00:00:00"/>
    <s v="EXPERIENCE"/>
    <x v="11"/>
    <s v="Support"/>
    <x v="21"/>
    <s v="MID SHIFT 1"/>
    <d v="1997-08-25T00:00:00"/>
    <n v="20268.75"/>
    <n v="17625"/>
  </r>
  <r>
    <n v="115"/>
    <n v="107"/>
    <s v="Shalini Rajan k"/>
    <d v="2021-07-01T00:00:00"/>
    <s v="FRESHER"/>
    <x v="11"/>
    <s v="Support"/>
    <x v="23"/>
    <s v="DAY SHIFT 1"/>
    <d v="2001-05-05T00:00:00"/>
    <n v="19237.2"/>
    <n v="16728"/>
  </r>
  <r>
    <n v="116"/>
    <n v="322"/>
    <s v="Dinesh Kumar Prasanth"/>
    <d v="2022-11-15T00:00:00"/>
    <s v="FRESHER"/>
    <x v="11"/>
    <s v="Support"/>
    <x v="21"/>
    <s v="DAY SHIFT 1"/>
    <d v="2001-10-19T00:00:00"/>
    <n v="15525"/>
    <n v="13500"/>
  </r>
  <r>
    <n v="117"/>
    <n v="404"/>
    <s v="Akash Aravind Anil kumar"/>
    <d v="2023-06-12T00:00:00"/>
    <s v="FRESHER"/>
    <x v="11"/>
    <s v="Support"/>
    <x v="21"/>
    <s v="DAY SHIFT 2"/>
    <d v="2002-06-30T00:00:00"/>
    <n v="15525"/>
    <n v="13500"/>
  </r>
  <r>
    <n v="118"/>
    <n v="3"/>
    <s v="SivaKumar Subramanian"/>
    <d v="2017-11-27T00:00:00"/>
    <s v="EXPERIENCE"/>
    <x v="12"/>
    <s v="Support"/>
    <x v="24"/>
    <s v="MID SHIFT"/>
    <d v="1978-10-22T00:00:00"/>
    <n v="42126.156000000003"/>
    <n v="36631.440000000002"/>
  </r>
  <r>
    <n v="119"/>
    <n v="55"/>
    <s v="Krishna Raj Vasudevan R"/>
    <d v="2020-09-03T00:00:00"/>
    <s v="EXPERIENCE"/>
    <x v="12"/>
    <s v="Support"/>
    <x v="24"/>
    <s v="DAY SHIFT 1"/>
    <d v="1995-10-14T00:00:00"/>
    <n v="30238.973999999998"/>
    <n v="26294.76"/>
  </r>
  <r>
    <n v="120"/>
    <n v="130"/>
    <s v="Aruna Gayathri Seetharaman"/>
    <d v="2021-02-01T00:00:00"/>
    <s v="EXPERIENCE"/>
    <x v="12"/>
    <s v="Support"/>
    <x v="24"/>
    <s v="DAY SHIFT 2"/>
    <d v="1991-06-05T00:00:00"/>
    <n v="42810.13"/>
    <n v="37226.199999999997"/>
  </r>
  <r>
    <n v="121"/>
    <n v="97"/>
    <s v="Ravi Kumar Thirunavukarasu"/>
    <d v="2021-05-05T00:00:00"/>
    <s v="EXPERIENCE"/>
    <x v="12"/>
    <s v="Support"/>
    <x v="24"/>
    <s v="DAY SHIFT 2"/>
    <d v="1997-03-26T00:00:00"/>
    <n v="35322.480000000003"/>
    <n v="30715.200000000001"/>
  </r>
  <r>
    <n v="122"/>
    <n v="175"/>
    <s v="Sridhar Srinivasan"/>
    <d v="2022-01-03T00:00:00"/>
    <s v="EXPERIENCE"/>
    <x v="12"/>
    <s v="Support"/>
    <x v="24"/>
    <s v="DAY SHIFT 2"/>
    <d v="1987-12-27T00:00:00"/>
    <n v="37260"/>
    <n v="32400"/>
  </r>
  <r>
    <n v="123"/>
    <n v="186"/>
    <s v="Martin Raj Iruthaya Raj"/>
    <d v="2022-01-24T00:00:00"/>
    <s v="EXPERIENCE"/>
    <x v="12"/>
    <s v="Support"/>
    <x v="24"/>
    <s v="MID SHIFT"/>
    <d v="1991-12-16T00:00:00"/>
    <n v="34561.333333333328"/>
    <n v="30053.333333333332"/>
  </r>
  <r>
    <n v="124"/>
    <n v="33"/>
    <s v="Vijaya Anandhi Bilavendran A"/>
    <d v="2020-01-20T00:00:00"/>
    <s v="FRESHER"/>
    <x v="12"/>
    <s v="Support"/>
    <x v="24"/>
    <s v="DAY SHIFT 1"/>
    <d v="1985-10-17T00:00:00"/>
    <n v="22210.87"/>
    <n v="19313.8"/>
  </r>
  <r>
    <n v="125"/>
    <n v="121"/>
    <s v="Vamsi Krishna Reddy Sriram Reddy"/>
    <d v="2021-07-19T00:00:00"/>
    <s v="FRESHER"/>
    <x v="12"/>
    <s v="Support"/>
    <x v="24"/>
    <s v="NIGHT SHIFT"/>
    <d v="1997-12-20T00:00:00"/>
    <n v="20320.5"/>
    <n v="17670"/>
  </r>
  <r>
    <n v="126"/>
    <n v="134"/>
    <s v="Hari Haran Kanna R"/>
    <d v="2021-07-26T00:00:00"/>
    <s v="FRESHER"/>
    <x v="12"/>
    <s v="Support"/>
    <x v="24"/>
    <s v="NIGHT SHIFT"/>
    <d v="1998-05-02T00:00:00"/>
    <n v="20320.5"/>
    <n v="17670"/>
  </r>
  <r>
    <n v="127"/>
    <n v="205"/>
    <s v="Sindhuja Sathyanarayanan"/>
    <d v="2022-03-07T00:00:00"/>
    <s v="FRESHER"/>
    <x v="12"/>
    <s v="Support"/>
    <x v="24"/>
    <s v="DAY SHIFT 2"/>
    <d v="1999-05-10T00:00:00"/>
    <n v="33378.75"/>
    <n v="29025"/>
  </r>
  <r>
    <n v="128"/>
    <n v="32"/>
    <s v="SriRamachandran Levan R"/>
    <d v="2020-01-20T00:00:00"/>
    <s v="EXPERIENCE"/>
    <x v="13"/>
    <s v="Support"/>
    <x v="0"/>
    <s v="MID SHIFT"/>
    <d v="1985-08-30T00:00:00"/>
    <n v="55128.7"/>
    <n v="47938"/>
  </r>
  <r>
    <n v="129"/>
    <n v="187"/>
    <s v="Vasudevan Perumal"/>
    <d v="2022-02-01T00:00:00"/>
    <s v="EXPERIENCE"/>
    <x v="13"/>
    <s v="Support"/>
    <x v="9"/>
    <s v="DAY SHIFT 1"/>
    <d v="1993-08-12T00:00:00"/>
    <n v="35151.666666666672"/>
    <n v="30566.666666666668"/>
  </r>
  <r>
    <n v="130"/>
    <n v="262"/>
    <s v="Sivagnanam Rajendran"/>
    <d v="2022-06-27T00:00:00"/>
    <s v="EXPERIENCE"/>
    <x v="13"/>
    <s v="Support"/>
    <x v="24"/>
    <s v="DAY SHIFT 2"/>
    <d v="1987-06-13T00:00:00"/>
    <n v="45448"/>
    <n v="39520"/>
  </r>
  <r>
    <n v="131"/>
    <n v="363"/>
    <s v="Sakthivel Arumugam"/>
    <d v="2023-03-01T00:00:00"/>
    <s v="EXPERIENCE"/>
    <x v="13"/>
    <s v="Support"/>
    <x v="9"/>
    <s v="DAY SHIFT 2"/>
    <d v="1983-06-28T00:00:00"/>
    <n v="28750"/>
    <n v="25000"/>
  </r>
  <r>
    <n v="132"/>
    <n v="419"/>
    <s v="Kavitha Singaravelan"/>
    <d v="2023-08-14T00:00:00"/>
    <s v="EXPERIENCE"/>
    <x v="13"/>
    <s v="Support"/>
    <x v="24"/>
    <s v="DAY SHIFT 1"/>
    <d v="2000-03-14T00:00:00"/>
    <n v="31625"/>
    <n v="27500"/>
  </r>
  <r>
    <n v="133"/>
    <n v="120"/>
    <s v="Jenifer Mary Francis Xavier"/>
    <d v="2021-07-19T00:00:00"/>
    <s v="FRESHER"/>
    <x v="13"/>
    <s v="Support"/>
    <x v="24"/>
    <s v="DAY SHIFT 1"/>
    <d v="2001-01-13T00:00:00"/>
    <n v="19126.8"/>
    <n v="16632"/>
  </r>
  <r>
    <n v="134"/>
    <n v="160"/>
    <s v="Lavanya Veerasami"/>
    <d v="2021-12-02T00:00:00"/>
    <s v="FRESHER"/>
    <x v="13"/>
    <s v="Support"/>
    <x v="24"/>
    <s v="DAY SHIFT 1"/>
    <d v="2001-01-04T00:00:00"/>
    <n v="19492.5"/>
    <n v="16950"/>
  </r>
  <r>
    <n v="135"/>
    <n v="249"/>
    <s v="Vijay Selvaraj"/>
    <d v="2022-05-16T00:00:00"/>
    <s v="FRESHER"/>
    <x v="13"/>
    <s v="Support"/>
    <x v="7"/>
    <s v="DAY SHIFT 2"/>
    <d v="1998-10-24T00:00:00"/>
    <n v="16249.5"/>
    <n v="14130"/>
  </r>
  <r>
    <n v="136"/>
    <n v="413"/>
    <s v="Rubavathy Essikial Raj"/>
    <d v="2023-08-02T00:00:00"/>
    <s v="FRESHER"/>
    <x v="13"/>
    <s v="Support"/>
    <x v="24"/>
    <s v="DAY SHIFT 1"/>
    <d v="2002-12-04T00:00:00"/>
    <n v="13800"/>
    <n v="12000"/>
  </r>
  <r>
    <n v="137"/>
    <n v="394"/>
    <s v="Umamaheswari Prakash"/>
    <d v="2023-05-08T00:00:00"/>
    <s v="EXPERIENCE"/>
    <x v="14"/>
    <s v="Support"/>
    <x v="0"/>
    <s v="MID SHIFT"/>
    <d v="1996-01-18T00:00:00"/>
    <n v="69000"/>
    <n v="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B00-000001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6:I182" firstHeaderRow="0" firstDataRow="1" firstDataCol="1"/>
  <pivotFields count="12">
    <pivotField numFmtId="1" showAll="0"/>
    <pivotField dataField="1" numFmtId="1" showAll="0"/>
    <pivotField showAll="0"/>
    <pivotField numFmtId="14" showAll="0"/>
    <pivotField showAll="0"/>
    <pivotField axis="axisRow" showAll="0">
      <items count="16">
        <item x="1"/>
        <item x="2"/>
        <item x="3"/>
        <item x="4"/>
        <item x="5"/>
        <item x="9"/>
        <item x="10"/>
        <item x="6"/>
        <item x="11"/>
        <item x="7"/>
        <item x="8"/>
        <item x="12"/>
        <item x="0"/>
        <item x="13"/>
        <item x="14"/>
        <item t="default"/>
      </items>
    </pivotField>
    <pivotField showAll="0"/>
    <pivotField showAll="0">
      <items count="26">
        <item x="15"/>
        <item x="7"/>
        <item x="8"/>
        <item x="0"/>
        <item x="4"/>
        <item x="10"/>
        <item x="13"/>
        <item x="18"/>
        <item x="19"/>
        <item x="20"/>
        <item x="23"/>
        <item x="14"/>
        <item x="2"/>
        <item x="1"/>
        <item x="21"/>
        <item x="5"/>
        <item x="24"/>
        <item x="9"/>
        <item x="6"/>
        <item x="22"/>
        <item x="17"/>
        <item x="16"/>
        <item x="11"/>
        <item x="3"/>
        <item x="12"/>
        <item t="default"/>
      </items>
    </pivotField>
    <pivotField showAll="0"/>
    <pivotField numFmtId="14" showAll="0"/>
    <pivotField dataField="1" numFmtId="175" showAll="0"/>
    <pivotField dataField="1" numFmtId="175" showAll="0"/>
  </pivotFields>
  <rowFields count="1">
    <field x="5"/>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Count of Emp ID" fld="1" subtotal="count" baseField="7" baseItem="0"/>
    <dataField name="Average of Revised" fld="10" subtotal="average" baseField="5" baseItem="0"/>
    <dataField name="Average of Salary" fld="11" subtotal="average" baseField="5" baseItem="0"/>
  </dataFields>
  <formats count="6">
    <format dxfId="33">
      <pivotArea outline="0" collapsedLevelsAreSubtotals="1" fieldPosition="0"/>
    </format>
    <format dxfId="32">
      <pivotArea collapsedLevelsAreSubtotals="1" fieldPosition="0">
        <references count="2">
          <reference field="4294967294" count="1" selected="0">
            <x v="1"/>
          </reference>
          <reference field="5" count="0"/>
        </references>
      </pivotArea>
    </format>
    <format dxfId="31">
      <pivotArea collapsedLevelsAreSubtotals="1" fieldPosition="0">
        <references count="2">
          <reference field="4294967294" count="1" selected="0">
            <x v="1"/>
          </reference>
          <reference field="5" count="1">
            <x v="1"/>
          </reference>
        </references>
      </pivotArea>
    </format>
    <format dxfId="30">
      <pivotArea collapsedLevelsAreSubtotals="1" fieldPosition="0">
        <references count="2">
          <reference field="4294967294" count="1" selected="0">
            <x v="1"/>
          </reference>
          <reference field="5" count="1">
            <x v="9"/>
          </reference>
        </references>
      </pivotArea>
    </format>
    <format dxfId="29">
      <pivotArea collapsedLevelsAreSubtotals="1" fieldPosition="0">
        <references count="2">
          <reference field="4294967294" count="1" selected="0">
            <x v="1"/>
          </reference>
          <reference field="5" count="1">
            <x v="7"/>
          </reference>
        </references>
      </pivotArea>
    </format>
    <format dxfId="28">
      <pivotArea collapsedLevelsAreSubtotals="1" fieldPosition="0">
        <references count="2">
          <reference field="4294967294" count="1" selected="0">
            <x v="1"/>
          </reference>
          <reference field="5"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5:I161" firstHeaderRow="0" firstDataRow="1" firstDataCol="1"/>
  <pivotFields count="9">
    <pivotField showAll="0"/>
    <pivotField numFmtId="14" showAll="0"/>
    <pivotField showAll="0"/>
    <pivotField axis="axisRow" showAll="0" sortType="descending">
      <items count="16">
        <item x="1"/>
        <item x="2"/>
        <item x="3"/>
        <item x="4"/>
        <item x="5"/>
        <item x="9"/>
        <item x="10"/>
        <item x="6"/>
        <item x="11"/>
        <item x="7"/>
        <item x="8"/>
        <item x="12"/>
        <item x="0"/>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dataField="1" numFmtId="1" showAll="0"/>
  </pivotFields>
  <rowFields count="1">
    <field x="3"/>
  </rowFields>
  <rowItems count="16">
    <i>
      <x/>
    </i>
    <i>
      <x v="3"/>
    </i>
    <i>
      <x v="11"/>
    </i>
    <i>
      <x v="13"/>
    </i>
    <i>
      <x v="12"/>
    </i>
    <i>
      <x v="8"/>
    </i>
    <i>
      <x v="9"/>
    </i>
    <i>
      <x v="5"/>
    </i>
    <i>
      <x v="10"/>
    </i>
    <i>
      <x v="1"/>
    </i>
    <i>
      <x v="7"/>
    </i>
    <i>
      <x v="14"/>
    </i>
    <i>
      <x v="4"/>
    </i>
    <i>
      <x v="2"/>
    </i>
    <i>
      <x v="6"/>
    </i>
    <i t="grand">
      <x/>
    </i>
  </rowItems>
  <colFields count="1">
    <field x="-2"/>
  </colFields>
  <colItems count="3">
    <i>
      <x/>
    </i>
    <i i="1">
      <x v="1"/>
    </i>
    <i i="2">
      <x v="2"/>
    </i>
  </colItems>
  <dataFields count="3">
    <dataField name="Count of Salary2" fld="8" subtotal="count" baseField="3" baseItem="4"/>
    <dataField name="Sum of Salary" fld="8" baseField="0" baseItem="0" numFmtId="175"/>
    <dataField name="Average of Salary2" fld="8" subtotal="average" baseField="3" baseItem="2"/>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3" dT="2024-01-18T11:26:56.12" personId="{0612FD83-EA3E-47B8-8A27-D47DF7EBCBFE}" id="{A70D6479-2899-410C-8B5C-6E10523EDB59}">
    <text>Actual requirement Is 11 but restricting to current headcount of 10</text>
  </threadedComment>
  <threadedComment ref="F43" dT="2024-01-18T11:26:56.12" personId="{0612FD83-EA3E-47B8-8A27-D47DF7EBCBFE}" id="{0CA18BC5-25B3-4587-A801-0BD5216077D2}">
    <text>Actual requirement Is 11 but restricting to current headcount of 10</text>
  </threadedComment>
  <threadedComment ref="G43" dT="2024-01-18T11:26:56.12" personId="{0612FD83-EA3E-47B8-8A27-D47DF7EBCBFE}" id="{21643B5C-7802-4EEA-B442-288CE1FA48EB}">
    <text>Actual requirement Is 11 but restricting to current headcount of 10</text>
  </threadedComment>
  <threadedComment ref="H43" dT="2024-01-18T11:26:56.12" personId="{0612FD83-EA3E-47B8-8A27-D47DF7EBCBFE}" id="{E988747D-F2E9-4045-8499-B8AA3FEF5C19}">
    <text>Actual requirement Is 11 but restricting to current headcount of 10</text>
  </threadedComment>
  <threadedComment ref="I43" dT="2024-01-18T11:26:56.12" personId="{0612FD83-EA3E-47B8-8A27-D47DF7EBCBFE}" id="{C1BE6A33-F1E1-49A3-8A51-1FA8D66FB7EA}">
    <text>Actual requirement Is 11 but restricting to current headcount of 10</text>
  </threadedComment>
  <threadedComment ref="J43" dT="2024-01-18T11:26:56.12" personId="{0612FD83-EA3E-47B8-8A27-D47DF7EBCBFE}" id="{97653E2C-C2D2-41B7-BF84-0A8B9267B919}">
    <text>Actual requirement Is 11 but restricting to current headcount of 10</text>
  </threadedComment>
  <threadedComment ref="K43" dT="2024-01-18T11:26:56.12" personId="{0612FD83-EA3E-47B8-8A27-D47DF7EBCBFE}" id="{A354D4C2-FE1C-4EF5-A47C-66DA4C8E1B5A}">
    <text>Actual requirement Is 11 but restricting to current headcount of 10</text>
  </threadedComment>
  <threadedComment ref="L43" dT="2024-01-18T11:26:56.12" personId="{0612FD83-EA3E-47B8-8A27-D47DF7EBCBFE}" id="{AB579B96-9281-48DF-A8BC-A3C6F9D4AC33}">
    <text>Actual requirement Is 11 but restricting to current headcount of 10</text>
  </threadedComment>
  <threadedComment ref="M43" dT="2024-01-18T11:26:56.12" personId="{0612FD83-EA3E-47B8-8A27-D47DF7EBCBFE}" id="{D731BECA-CF3B-42A8-9CB3-A92B8CA4EDC8}">
    <text>Actual requirement Is 11 but restricting to current headcount of 10</text>
  </threadedComment>
  <threadedComment ref="N43" dT="2024-01-18T11:26:56.12" personId="{0612FD83-EA3E-47B8-8A27-D47DF7EBCBFE}" id="{C8E61C05-9917-47F9-9C12-34C8B1788DC6}">
    <text>Actual requirement Is 11 but restricting to current headcount of 10</text>
  </threadedComment>
  <threadedComment ref="O43" dT="2024-01-18T11:26:56.12" personId="{0612FD83-EA3E-47B8-8A27-D47DF7EBCBFE}" id="{B763274B-67E8-4375-8785-9FEF1DB1CF46}">
    <text>Actual requirement Is 11 but restricting to current headcount of 10</text>
  </threadedComment>
  <threadedComment ref="P43" dT="2024-01-18T11:26:56.12" personId="{0612FD83-EA3E-47B8-8A27-D47DF7EBCBFE}" id="{393F8A55-CA2E-4612-B568-0D445E818093}">
    <text>Actual requirement Is 11 but restricting to current headcount of 10</text>
  </threadedComment>
</ThreadedComments>
</file>

<file path=xl/threadedComments/threadedComment2.xml><?xml version="1.0" encoding="utf-8"?>
<ThreadedComments xmlns="http://schemas.microsoft.com/office/spreadsheetml/2018/threadedcomments" xmlns:x="http://schemas.openxmlformats.org/spreadsheetml/2006/main">
  <threadedComment ref="K86" dT="2025-12-21T13:03:40.89" personId="{33B4C63E-DEFE-4C9F-BE0E-D6ABB11460F0}" id="{107498C8-D895-4718-8894-97BAF2166463}">
    <text>From payroll sheet of Nov 2025 MIS</text>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5-01-09T09:39:08.19" personId="{A8ADC86C-9919-4229-BD5D-F8052F72D077}" id="{10FF565D-FADC-490A-BC4C-511CA905B67E}">
    <text>Only Jan month it is 6% and once we move to AMD it will be at 5%</text>
  </threadedComment>
</ThreadedComments>
</file>

<file path=xl/threadedComments/threadedComment4.xml><?xml version="1.0" encoding="utf-8"?>
<ThreadedComments xmlns="http://schemas.microsoft.com/office/spreadsheetml/2018/threadedcomments" xmlns:x="http://schemas.openxmlformats.org/spreadsheetml/2006/main">
  <threadedComment ref="O14" dT="2024-01-18T11:42:40.64" personId="{0612FD83-EA3E-47B8-8A27-D47DF7EBCBFE}" id="{17C1FC49-5D1B-463A-8EB4-24F35D83DBFC}">
    <text xml:space="preserve">Planned for $10K, Based on Kasi's discussion with Prakash, no India travel cost </text>
  </threadedComment>
  <threadedComment ref="A19" dT="2024-01-11T17:16:05.03" personId="{0612FD83-EA3E-47B8-8A27-D47DF7EBCBFE}" id="{D4573D17-09D1-4E90-8CBF-6AA8E39C9A26}">
    <text xml:space="preserve">Check in US exp before incorp.
</text>
  </threadedComment>
</ThreadedComments>
</file>

<file path=xl/threadedComments/threadedComment5.xml><?xml version="1.0" encoding="utf-8"?>
<ThreadedComments xmlns="http://schemas.microsoft.com/office/spreadsheetml/2018/threadedcomments" xmlns:x="http://schemas.openxmlformats.org/spreadsheetml/2006/main">
  <threadedComment ref="I45" dT="2025-10-29T19:11:11.89" personId="{273A075D-B556-410C-8AEC-AE655B12CAE8}" id="{CF531440-5669-4D1F-AE48-560242B17284}">
    <text>Working only on 1 location (Jackson South)</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6FC30D-2566-4089-B3E7-6EA819B767D8}">
  <we:reference id="WA200009404" version="1.0.0.8" store="Omex" storeType="OMEX"/>
  <we:alternateReferences>
    <we:reference id="WA200009404" version="1.0.0.8" store="WA200009404" storeType="OMEX"/>
  </we:alternateReferences>
  <we:properties>
    <we:property name="claude.fileId" value="&quot;e4a20185-c81b-48b0-9bcc-24b00bba6ec4&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U83"/>
  <sheetViews>
    <sheetView zoomScale="80" zoomScaleNormal="80" workbookViewId="0">
      <pane xSplit="3" ySplit="5" topLeftCell="D6" activePane="bottomRight" state="frozen"/>
      <selection pane="topRight" activeCell="D1" sqref="D1"/>
      <selection pane="bottomLeft" activeCell="A4" sqref="A4"/>
      <selection pane="bottomRight" activeCell="H1" sqref="H1"/>
    </sheetView>
  </sheetViews>
  <sheetFormatPr defaultColWidth="8.81640625" defaultRowHeight="14.5" x14ac:dyDescent="0.35"/>
  <cols>
    <col min="1" max="1" width="8" customWidth="1"/>
    <col min="2" max="2" width="12.453125" customWidth="1"/>
    <col min="3" max="3" width="32.453125" customWidth="1"/>
    <col min="4" max="4" width="12.81640625" customWidth="1"/>
    <col min="5" max="5" width="10.1796875" customWidth="1"/>
    <col min="6" max="6" width="14.81640625" customWidth="1"/>
    <col min="7" max="7" width="18" bestFit="1" customWidth="1"/>
    <col min="8" max="8" width="16.453125" customWidth="1"/>
    <col min="9" max="20" width="11.81640625" customWidth="1"/>
  </cols>
  <sheetData>
    <row r="2" spans="1:20" x14ac:dyDescent="0.35">
      <c r="H2" s="9" t="s">
        <v>0</v>
      </c>
      <c r="I2" s="9">
        <v>23</v>
      </c>
      <c r="J2" s="9">
        <v>21</v>
      </c>
      <c r="K2" s="9">
        <v>21</v>
      </c>
      <c r="L2" s="9">
        <v>22</v>
      </c>
      <c r="M2" s="9">
        <v>23</v>
      </c>
      <c r="N2" s="9">
        <v>20</v>
      </c>
      <c r="O2" s="9">
        <v>23</v>
      </c>
      <c r="P2" s="9">
        <v>22</v>
      </c>
      <c r="Q2" s="9">
        <v>21</v>
      </c>
      <c r="R2" s="9">
        <v>23</v>
      </c>
      <c r="S2" s="9">
        <v>21</v>
      </c>
      <c r="T2" s="9">
        <v>22</v>
      </c>
    </row>
    <row r="3" spans="1:20" x14ac:dyDescent="0.35">
      <c r="H3" s="9" t="s">
        <v>1</v>
      </c>
      <c r="I3" s="9">
        <v>3</v>
      </c>
      <c r="J3" s="9">
        <v>0</v>
      </c>
      <c r="K3" s="9">
        <v>0</v>
      </c>
      <c r="L3" s="9">
        <v>0</v>
      </c>
      <c r="M3" s="9">
        <v>2</v>
      </c>
      <c r="N3" s="9">
        <v>1</v>
      </c>
      <c r="O3" s="9">
        <v>4</v>
      </c>
      <c r="P3" s="9">
        <v>1</v>
      </c>
      <c r="Q3" s="9">
        <v>1</v>
      </c>
      <c r="R3" s="9">
        <v>2</v>
      </c>
      <c r="S3" s="9">
        <v>2</v>
      </c>
      <c r="T3" s="9">
        <v>1</v>
      </c>
    </row>
    <row r="4" spans="1:20" ht="15" thickBot="1" x14ac:dyDescent="0.4">
      <c r="H4" s="9" t="s">
        <v>2</v>
      </c>
      <c r="I4" s="9">
        <f t="shared" ref="I4:T4" si="0">I2-I3</f>
        <v>20</v>
      </c>
      <c r="J4" s="9">
        <f t="shared" si="0"/>
        <v>21</v>
      </c>
      <c r="K4" s="9">
        <f t="shared" si="0"/>
        <v>21</v>
      </c>
      <c r="L4" s="9">
        <f t="shared" si="0"/>
        <v>22</v>
      </c>
      <c r="M4" s="9">
        <f t="shared" si="0"/>
        <v>21</v>
      </c>
      <c r="N4" s="9">
        <f t="shared" si="0"/>
        <v>19</v>
      </c>
      <c r="O4" s="9">
        <f t="shared" si="0"/>
        <v>19</v>
      </c>
      <c r="P4" s="9">
        <f t="shared" si="0"/>
        <v>21</v>
      </c>
      <c r="Q4" s="9">
        <f t="shared" si="0"/>
        <v>20</v>
      </c>
      <c r="R4" s="9">
        <f t="shared" si="0"/>
        <v>21</v>
      </c>
      <c r="S4" s="9">
        <f t="shared" si="0"/>
        <v>19</v>
      </c>
      <c r="T4" s="9">
        <f t="shared" si="0"/>
        <v>21</v>
      </c>
    </row>
    <row r="5" spans="1:20" ht="15" thickBot="1" x14ac:dyDescent="0.4">
      <c r="A5" s="33" t="s">
        <v>3</v>
      </c>
      <c r="B5" s="34" t="s">
        <v>4</v>
      </c>
      <c r="C5" s="34" t="s">
        <v>5</v>
      </c>
      <c r="D5" s="34" t="s">
        <v>6</v>
      </c>
      <c r="E5" s="34" t="s">
        <v>7</v>
      </c>
      <c r="F5" s="34" t="s">
        <v>8</v>
      </c>
      <c r="G5" s="34" t="s">
        <v>9</v>
      </c>
      <c r="H5" s="34" t="s">
        <v>10</v>
      </c>
      <c r="I5" s="34" t="s">
        <v>11</v>
      </c>
      <c r="J5" s="34" t="s">
        <v>12</v>
      </c>
      <c r="K5" s="34" t="s">
        <v>13</v>
      </c>
      <c r="L5" s="34" t="s">
        <v>14</v>
      </c>
      <c r="M5" s="34" t="s">
        <v>15</v>
      </c>
      <c r="N5" s="34" t="s">
        <v>16</v>
      </c>
      <c r="O5" s="34" t="s">
        <v>17</v>
      </c>
      <c r="P5" s="34" t="s">
        <v>18</v>
      </c>
      <c r="Q5" s="34" t="s">
        <v>19</v>
      </c>
      <c r="R5" s="34" t="s">
        <v>20</v>
      </c>
      <c r="S5" s="34" t="s">
        <v>21</v>
      </c>
      <c r="T5" s="35" t="s">
        <v>22</v>
      </c>
    </row>
    <row r="6" spans="1:20" x14ac:dyDescent="0.35">
      <c r="A6" s="740" t="s">
        <v>23</v>
      </c>
      <c r="B6" s="29" t="s">
        <v>24</v>
      </c>
      <c r="C6" s="29" t="s">
        <v>25</v>
      </c>
      <c r="D6" s="29" t="s">
        <v>26</v>
      </c>
      <c r="E6" s="30">
        <v>300</v>
      </c>
      <c r="F6" s="30" t="s">
        <v>27</v>
      </c>
      <c r="G6" s="31">
        <v>0.27</v>
      </c>
      <c r="H6" s="30">
        <v>355</v>
      </c>
      <c r="I6" s="30">
        <v>7100</v>
      </c>
      <c r="J6" s="30">
        <v>7455</v>
      </c>
      <c r="K6" s="30">
        <v>7455</v>
      </c>
      <c r="L6" s="30">
        <v>7810</v>
      </c>
      <c r="M6" s="30">
        <v>7455</v>
      </c>
      <c r="N6" s="30">
        <v>6745</v>
      </c>
      <c r="O6" s="30">
        <v>6745</v>
      </c>
      <c r="P6" s="30">
        <v>7455</v>
      </c>
      <c r="Q6" s="30">
        <v>7100</v>
      </c>
      <c r="R6" s="30">
        <v>7455</v>
      </c>
      <c r="S6" s="30">
        <v>6745</v>
      </c>
      <c r="T6" s="32">
        <v>7455</v>
      </c>
    </row>
    <row r="7" spans="1:20" x14ac:dyDescent="0.35">
      <c r="A7" s="741"/>
      <c r="B7" s="10" t="s">
        <v>24</v>
      </c>
      <c r="C7" s="10" t="s">
        <v>28</v>
      </c>
      <c r="D7" s="10" t="s">
        <v>26</v>
      </c>
      <c r="E7" s="1">
        <v>300</v>
      </c>
      <c r="F7" s="1" t="s">
        <v>27</v>
      </c>
      <c r="G7" s="11">
        <v>0.55000000000000004</v>
      </c>
      <c r="H7" s="1">
        <v>55</v>
      </c>
      <c r="I7" s="1">
        <v>1100</v>
      </c>
      <c r="J7" s="1">
        <v>1155</v>
      </c>
      <c r="K7" s="1">
        <v>1155</v>
      </c>
      <c r="L7" s="1">
        <v>1210</v>
      </c>
      <c r="M7" s="1">
        <v>1155</v>
      </c>
      <c r="N7" s="1">
        <v>1045</v>
      </c>
      <c r="O7" s="1">
        <v>1045</v>
      </c>
      <c r="P7" s="1">
        <v>1155</v>
      </c>
      <c r="Q7" s="1">
        <v>1100</v>
      </c>
      <c r="R7" s="1">
        <v>1155</v>
      </c>
      <c r="S7" s="1">
        <v>1045</v>
      </c>
      <c r="T7" s="20">
        <v>1155</v>
      </c>
    </row>
    <row r="8" spans="1:20" x14ac:dyDescent="0.35">
      <c r="A8" s="741"/>
      <c r="B8" s="10" t="s">
        <v>24</v>
      </c>
      <c r="C8" s="10" t="s">
        <v>29</v>
      </c>
      <c r="D8" s="10" t="s">
        <v>26</v>
      </c>
      <c r="E8" s="1">
        <v>150</v>
      </c>
      <c r="F8" s="1" t="s">
        <v>27</v>
      </c>
      <c r="G8" s="11">
        <v>0.54</v>
      </c>
      <c r="H8" s="1">
        <f>7300/20</f>
        <v>365</v>
      </c>
      <c r="I8" s="1">
        <f>H8*I4</f>
        <v>7300</v>
      </c>
      <c r="J8" s="1">
        <f>H8*J4</f>
        <v>7665</v>
      </c>
      <c r="K8" s="1">
        <f>H8*K4</f>
        <v>7665</v>
      </c>
      <c r="L8" s="1">
        <f>H8*L4</f>
        <v>8030</v>
      </c>
      <c r="M8" s="1">
        <f>H8*M4</f>
        <v>7665</v>
      </c>
      <c r="N8" s="1">
        <f>H8*N4</f>
        <v>6935</v>
      </c>
      <c r="O8" s="1">
        <f>H8*O4</f>
        <v>6935</v>
      </c>
      <c r="P8" s="1">
        <f>H8*P4</f>
        <v>7665</v>
      </c>
      <c r="Q8" s="1">
        <f>H8*Q4</f>
        <v>7300</v>
      </c>
      <c r="R8" s="1">
        <f>H8*R4</f>
        <v>7665</v>
      </c>
      <c r="S8" s="1">
        <f>H8*S4</f>
        <v>6935</v>
      </c>
      <c r="T8" s="20">
        <f>H8*T4</f>
        <v>7665</v>
      </c>
    </row>
    <row r="9" spans="1:20" x14ac:dyDescent="0.35">
      <c r="A9" s="741"/>
      <c r="B9" s="10" t="s">
        <v>24</v>
      </c>
      <c r="C9" s="10" t="s">
        <v>30</v>
      </c>
      <c r="D9" s="10" t="s">
        <v>26</v>
      </c>
      <c r="E9" s="1">
        <v>150</v>
      </c>
      <c r="F9" s="1" t="s">
        <v>27</v>
      </c>
      <c r="G9" s="11">
        <v>0.25</v>
      </c>
      <c r="H9" s="1">
        <f>1200/20</f>
        <v>60</v>
      </c>
      <c r="I9" s="1">
        <f>H9*I4</f>
        <v>1200</v>
      </c>
      <c r="J9" s="1">
        <f>H9*J4</f>
        <v>1260</v>
      </c>
      <c r="K9" s="1">
        <f>H9*K4</f>
        <v>1260</v>
      </c>
      <c r="L9" s="1">
        <f>H9*L4</f>
        <v>1320</v>
      </c>
      <c r="M9" s="1">
        <f>H9*M4</f>
        <v>1260</v>
      </c>
      <c r="N9" s="1">
        <f>H9*N4</f>
        <v>1140</v>
      </c>
      <c r="O9" s="1">
        <f>H9*O4</f>
        <v>1140</v>
      </c>
      <c r="P9" s="1">
        <f>H9*P4</f>
        <v>1260</v>
      </c>
      <c r="Q9" s="1">
        <f>H9*Q4</f>
        <v>1200</v>
      </c>
      <c r="R9" s="1">
        <f>H9*R4</f>
        <v>1260</v>
      </c>
      <c r="S9" s="1">
        <f>H9*S4</f>
        <v>1140</v>
      </c>
      <c r="T9" s="20">
        <f>H9*T4</f>
        <v>1260</v>
      </c>
    </row>
    <row r="10" spans="1:20" x14ac:dyDescent="0.35">
      <c r="A10" s="741"/>
      <c r="B10" s="10" t="s">
        <v>24</v>
      </c>
      <c r="C10" s="10" t="s">
        <v>31</v>
      </c>
      <c r="D10" s="10" t="s">
        <v>26</v>
      </c>
      <c r="E10" s="1">
        <v>380</v>
      </c>
      <c r="F10" s="1" t="s">
        <v>27</v>
      </c>
      <c r="G10" s="11">
        <v>0.14000000000000001</v>
      </c>
      <c r="H10" s="1">
        <f>23000/20</f>
        <v>1150</v>
      </c>
      <c r="I10" s="1">
        <f>H10*I4</f>
        <v>23000</v>
      </c>
      <c r="J10" s="1">
        <f>H10*J4</f>
        <v>24150</v>
      </c>
      <c r="K10" s="1">
        <f>H10*K4</f>
        <v>24150</v>
      </c>
      <c r="L10" s="1">
        <f>H10*L4</f>
        <v>25300</v>
      </c>
      <c r="M10" s="1">
        <f>H10*M4</f>
        <v>24150</v>
      </c>
      <c r="N10" s="1">
        <f>H10*N4</f>
        <v>21850</v>
      </c>
      <c r="O10" s="1">
        <f>H10*O4</f>
        <v>21850</v>
      </c>
      <c r="P10" s="1">
        <f>H10*P4</f>
        <v>24150</v>
      </c>
      <c r="Q10" s="1">
        <f>H10*Q4</f>
        <v>23000</v>
      </c>
      <c r="R10" s="1">
        <f>H10*R4</f>
        <v>24150</v>
      </c>
      <c r="S10" s="1">
        <f>H10*S4</f>
        <v>21850</v>
      </c>
      <c r="T10" s="20">
        <f>H10*T4</f>
        <v>24150</v>
      </c>
    </row>
    <row r="11" spans="1:20" x14ac:dyDescent="0.35">
      <c r="A11" s="741"/>
      <c r="B11" s="10" t="s">
        <v>24</v>
      </c>
      <c r="C11" s="10" t="s">
        <v>32</v>
      </c>
      <c r="D11" s="10" t="s">
        <v>26</v>
      </c>
      <c r="E11" s="1">
        <v>450</v>
      </c>
      <c r="F11" s="1" t="s">
        <v>27</v>
      </c>
      <c r="G11" s="11">
        <v>0.16</v>
      </c>
      <c r="H11" s="1">
        <f>11000/20</f>
        <v>550</v>
      </c>
      <c r="I11" s="1">
        <f>H11*I4</f>
        <v>11000</v>
      </c>
      <c r="J11" s="1">
        <f>H11*J4</f>
        <v>11550</v>
      </c>
      <c r="K11" s="1">
        <f>H11*K4</f>
        <v>11550</v>
      </c>
      <c r="L11" s="1">
        <f>H11*L4</f>
        <v>12100</v>
      </c>
      <c r="M11" s="1">
        <f>H11*M4</f>
        <v>11550</v>
      </c>
      <c r="N11" s="1">
        <f>H11*N4</f>
        <v>10450</v>
      </c>
      <c r="O11" s="1">
        <f>H11*O4</f>
        <v>10450</v>
      </c>
      <c r="P11" s="1">
        <f>H11*P4</f>
        <v>11550</v>
      </c>
      <c r="Q11" s="1">
        <f>H11*Q4</f>
        <v>11000</v>
      </c>
      <c r="R11" s="1">
        <f>H11*R4</f>
        <v>11550</v>
      </c>
      <c r="S11" s="1">
        <f>H11*S4</f>
        <v>10450</v>
      </c>
      <c r="T11" s="20">
        <f>H11*T4</f>
        <v>11550</v>
      </c>
    </row>
    <row r="12" spans="1:20" x14ac:dyDescent="0.35">
      <c r="A12" s="741"/>
      <c r="B12" s="10" t="s">
        <v>24</v>
      </c>
      <c r="C12" s="10" t="s">
        <v>33</v>
      </c>
      <c r="D12" s="10" t="s">
        <v>26</v>
      </c>
      <c r="E12" s="1">
        <v>2000</v>
      </c>
      <c r="F12" s="1" t="s">
        <v>27</v>
      </c>
      <c r="G12" s="11">
        <v>2.5999999999999999E-2</v>
      </c>
      <c r="H12" s="12">
        <f>34538/20</f>
        <v>1726.9</v>
      </c>
      <c r="I12" s="12">
        <f>H12*I4</f>
        <v>34538</v>
      </c>
      <c r="J12" s="12">
        <f>H12*J4</f>
        <v>36264.9</v>
      </c>
      <c r="K12" s="12">
        <f>H12*K4</f>
        <v>36264.9</v>
      </c>
      <c r="L12" s="12">
        <f>H12*L4</f>
        <v>37991.800000000003</v>
      </c>
      <c r="M12" s="12">
        <f>H12*M4</f>
        <v>36264.9</v>
      </c>
      <c r="N12" s="12">
        <f>H12*N4</f>
        <v>32811.1</v>
      </c>
      <c r="O12" s="12">
        <f>H12*O4</f>
        <v>32811.1</v>
      </c>
      <c r="P12" s="12">
        <f>H12*P4</f>
        <v>36264.9</v>
      </c>
      <c r="Q12" s="12">
        <f>H12*Q4</f>
        <v>34538</v>
      </c>
      <c r="R12" s="12">
        <f>H12*R4</f>
        <v>36264.9</v>
      </c>
      <c r="S12" s="12">
        <f>H12*S4</f>
        <v>32811.1</v>
      </c>
      <c r="T12" s="21">
        <f>H12*T4</f>
        <v>36264.9</v>
      </c>
    </row>
    <row r="13" spans="1:20" x14ac:dyDescent="0.35">
      <c r="A13" s="741"/>
      <c r="B13" s="10" t="s">
        <v>24</v>
      </c>
      <c r="C13" s="10" t="s">
        <v>34</v>
      </c>
      <c r="D13" s="10" t="s">
        <v>26</v>
      </c>
      <c r="E13" s="1">
        <v>200</v>
      </c>
      <c r="F13" s="1" t="s">
        <v>27</v>
      </c>
      <c r="G13" s="11">
        <v>0.3</v>
      </c>
      <c r="H13" s="12">
        <f>369/20</f>
        <v>18.45</v>
      </c>
      <c r="I13" s="12">
        <f>H13*I4</f>
        <v>369</v>
      </c>
      <c r="J13" s="12">
        <f>H13*J4</f>
        <v>387.45</v>
      </c>
      <c r="K13" s="12">
        <f>H13*K4</f>
        <v>387.45</v>
      </c>
      <c r="L13" s="12">
        <f>H13*L4</f>
        <v>405.9</v>
      </c>
      <c r="M13" s="12">
        <f>H13*M4</f>
        <v>387.45</v>
      </c>
      <c r="N13" s="12">
        <f>H13*N4</f>
        <v>350.55</v>
      </c>
      <c r="O13" s="12">
        <f>H13*O4</f>
        <v>350.55</v>
      </c>
      <c r="P13" s="12">
        <f>H13*P4</f>
        <v>387.45</v>
      </c>
      <c r="Q13" s="12">
        <f>H13*Q4</f>
        <v>369</v>
      </c>
      <c r="R13" s="12">
        <f>H13*R4</f>
        <v>387.45</v>
      </c>
      <c r="S13" s="12">
        <f>H13*S4</f>
        <v>350.55</v>
      </c>
      <c r="T13" s="21">
        <f>H13*T4</f>
        <v>387.45</v>
      </c>
    </row>
    <row r="14" spans="1:20" x14ac:dyDescent="0.35">
      <c r="A14" s="741"/>
      <c r="B14" s="10" t="s">
        <v>24</v>
      </c>
      <c r="C14" s="10" t="s">
        <v>35</v>
      </c>
      <c r="D14" s="10" t="s">
        <v>26</v>
      </c>
      <c r="E14" s="1">
        <v>64</v>
      </c>
      <c r="F14" s="1" t="s">
        <v>27</v>
      </c>
      <c r="G14" s="11">
        <v>1.35</v>
      </c>
      <c r="H14" s="12">
        <f>11500/20</f>
        <v>575</v>
      </c>
      <c r="I14" s="12">
        <f>H14*I4</f>
        <v>11500</v>
      </c>
      <c r="J14" s="12">
        <f>H14*J4</f>
        <v>12075</v>
      </c>
      <c r="K14" s="12">
        <f>H14*K4</f>
        <v>12075</v>
      </c>
      <c r="L14" s="12">
        <f>H14*L4</f>
        <v>12650</v>
      </c>
      <c r="M14" s="12">
        <f>H14*M4</f>
        <v>12075</v>
      </c>
      <c r="N14" s="12">
        <f>H14*N4</f>
        <v>10925</v>
      </c>
      <c r="O14" s="12">
        <f>H14*O4</f>
        <v>10925</v>
      </c>
      <c r="P14" s="12">
        <f>H14*P4</f>
        <v>12075</v>
      </c>
      <c r="Q14" s="12">
        <f>H14*Q4</f>
        <v>11500</v>
      </c>
      <c r="R14" s="12">
        <f>H14*R4</f>
        <v>12075</v>
      </c>
      <c r="S14" s="12">
        <f>H14*S4</f>
        <v>10925</v>
      </c>
      <c r="T14" s="21">
        <f>H14*T4</f>
        <v>12075</v>
      </c>
    </row>
    <row r="15" spans="1:20" x14ac:dyDescent="0.35">
      <c r="A15" s="741"/>
      <c r="B15" s="10" t="s">
        <v>24</v>
      </c>
      <c r="C15" s="10" t="s">
        <v>36</v>
      </c>
      <c r="D15" s="10" t="s">
        <v>26</v>
      </c>
      <c r="E15" s="1">
        <v>40</v>
      </c>
      <c r="F15" s="1" t="s">
        <v>27</v>
      </c>
      <c r="G15" s="11">
        <v>1.35</v>
      </c>
      <c r="H15" s="12">
        <f>1500/20</f>
        <v>75</v>
      </c>
      <c r="I15" s="12">
        <f>H15*I4</f>
        <v>1500</v>
      </c>
      <c r="J15" s="12">
        <f>H15*J4</f>
        <v>1575</v>
      </c>
      <c r="K15" s="12">
        <f>H15*K4</f>
        <v>1575</v>
      </c>
      <c r="L15" s="12">
        <f>H15*L4</f>
        <v>1650</v>
      </c>
      <c r="M15" s="12">
        <f>H15*M4</f>
        <v>1575</v>
      </c>
      <c r="N15" s="12">
        <f>H15*N4</f>
        <v>1425</v>
      </c>
      <c r="O15" s="12">
        <f>H15*O4</f>
        <v>1425</v>
      </c>
      <c r="P15" s="12">
        <f>H15*P4</f>
        <v>1575</v>
      </c>
      <c r="Q15" s="12">
        <f>H15*Q4</f>
        <v>1500</v>
      </c>
      <c r="R15" s="12">
        <f>H15*R4</f>
        <v>1575</v>
      </c>
      <c r="S15" s="12">
        <f>H15*S4</f>
        <v>1425</v>
      </c>
      <c r="T15" s="21">
        <f>H15*T4</f>
        <v>1575</v>
      </c>
    </row>
    <row r="16" spans="1:20" s="41" customFormat="1" x14ac:dyDescent="0.35">
      <c r="A16" s="36" t="s">
        <v>37</v>
      </c>
      <c r="B16" s="18" t="s">
        <v>38</v>
      </c>
      <c r="C16" s="37" t="s">
        <v>39</v>
      </c>
      <c r="D16" s="37" t="s">
        <v>40</v>
      </c>
      <c r="E16" s="18">
        <v>20</v>
      </c>
      <c r="F16" s="18" t="s">
        <v>41</v>
      </c>
      <c r="G16" s="38">
        <v>1.4999999999999999E-2</v>
      </c>
      <c r="H16" s="38"/>
      <c r="I16" s="38"/>
      <c r="J16" s="38"/>
      <c r="K16" s="38"/>
      <c r="L16" s="38"/>
      <c r="M16" s="39"/>
      <c r="N16" s="39"/>
      <c r="O16" s="39"/>
      <c r="P16" s="39"/>
      <c r="Q16" s="39"/>
      <c r="R16" s="39"/>
      <c r="S16" s="39"/>
      <c r="T16" s="40"/>
    </row>
    <row r="17" spans="1:21" s="41" customFormat="1" x14ac:dyDescent="0.35">
      <c r="A17" s="36" t="s">
        <v>37</v>
      </c>
      <c r="B17" s="18" t="s">
        <v>38</v>
      </c>
      <c r="C17" s="37" t="s">
        <v>42</v>
      </c>
      <c r="D17" s="37" t="s">
        <v>40</v>
      </c>
      <c r="E17" s="18"/>
      <c r="F17" s="18" t="s">
        <v>43</v>
      </c>
      <c r="G17" s="42">
        <v>1400</v>
      </c>
      <c r="H17" s="42"/>
      <c r="I17" s="42"/>
      <c r="J17" s="42"/>
      <c r="K17" s="42"/>
      <c r="L17" s="42"/>
      <c r="M17" s="39"/>
      <c r="N17" s="39"/>
      <c r="O17" s="39"/>
      <c r="P17" s="39"/>
      <c r="Q17" s="39"/>
      <c r="R17" s="39"/>
      <c r="S17" s="39"/>
      <c r="T17" s="40"/>
    </row>
    <row r="18" spans="1:21" s="41" customFormat="1" x14ac:dyDescent="0.35">
      <c r="A18" s="36" t="s">
        <v>37</v>
      </c>
      <c r="B18" s="18" t="s">
        <v>38</v>
      </c>
      <c r="C18" s="37" t="s">
        <v>44</v>
      </c>
      <c r="D18" s="37" t="s">
        <v>40</v>
      </c>
      <c r="E18" s="18"/>
      <c r="F18" s="18" t="s">
        <v>43</v>
      </c>
      <c r="G18" s="42">
        <v>1300</v>
      </c>
      <c r="H18" s="42"/>
      <c r="I18" s="42"/>
      <c r="J18" s="42"/>
      <c r="K18" s="42"/>
      <c r="L18" s="42"/>
      <c r="M18" s="39"/>
      <c r="N18" s="39"/>
      <c r="O18" s="39"/>
      <c r="P18" s="39"/>
      <c r="Q18" s="39"/>
      <c r="R18" s="39"/>
      <c r="S18" s="39"/>
      <c r="T18" s="40"/>
    </row>
    <row r="19" spans="1:21" x14ac:dyDescent="0.35">
      <c r="A19" s="737" t="s">
        <v>45</v>
      </c>
      <c r="B19" s="1" t="s">
        <v>24</v>
      </c>
      <c r="C19" s="16" t="s">
        <v>39</v>
      </c>
      <c r="D19" s="16" t="s">
        <v>46</v>
      </c>
      <c r="E19" s="1">
        <v>40</v>
      </c>
      <c r="F19" s="1" t="s">
        <v>41</v>
      </c>
      <c r="G19" s="738">
        <v>0.03</v>
      </c>
      <c r="H19" s="732">
        <f>250000/20</f>
        <v>12500</v>
      </c>
      <c r="I19" s="734">
        <f>H19*I4</f>
        <v>250000</v>
      </c>
      <c r="J19" s="734">
        <f>H19*J4</f>
        <v>262500</v>
      </c>
      <c r="K19" s="734">
        <f>H19*K4</f>
        <v>262500</v>
      </c>
      <c r="L19" s="734">
        <f>H19*L4</f>
        <v>275000</v>
      </c>
      <c r="M19" s="734">
        <f>H19*M4</f>
        <v>262500</v>
      </c>
      <c r="N19" s="734">
        <f>H19*N4</f>
        <v>237500</v>
      </c>
      <c r="O19" s="734">
        <f>H19*O4</f>
        <v>237500</v>
      </c>
      <c r="P19" s="734">
        <f>H19*P4</f>
        <v>262500</v>
      </c>
      <c r="Q19" s="734">
        <f>H19*Q4</f>
        <v>250000</v>
      </c>
      <c r="R19" s="734">
        <f>H19*R4</f>
        <v>262500</v>
      </c>
      <c r="S19" s="734">
        <f>H19*S4</f>
        <v>237500</v>
      </c>
      <c r="T19" s="735">
        <f>H19*T4</f>
        <v>262500</v>
      </c>
    </row>
    <row r="20" spans="1:21" x14ac:dyDescent="0.35">
      <c r="A20" s="737"/>
      <c r="B20" s="1" t="s">
        <v>38</v>
      </c>
      <c r="C20" s="16" t="s">
        <v>47</v>
      </c>
      <c r="D20" s="16" t="s">
        <v>46</v>
      </c>
      <c r="E20" s="1">
        <v>20</v>
      </c>
      <c r="F20" s="1" t="s">
        <v>41</v>
      </c>
      <c r="G20" s="738"/>
      <c r="H20" s="732"/>
      <c r="I20" s="734"/>
      <c r="J20" s="734"/>
      <c r="K20" s="734">
        <f t="shared" ref="K20:T22" si="1">H20*K9</f>
        <v>0</v>
      </c>
      <c r="L20" s="734">
        <f t="shared" si="1"/>
        <v>0</v>
      </c>
      <c r="M20" s="734">
        <f t="shared" si="1"/>
        <v>0</v>
      </c>
      <c r="N20" s="734">
        <f t="shared" si="1"/>
        <v>0</v>
      </c>
      <c r="O20" s="734">
        <f t="shared" si="1"/>
        <v>0</v>
      </c>
      <c r="P20" s="734">
        <f t="shared" si="1"/>
        <v>0</v>
      </c>
      <c r="Q20" s="734">
        <f t="shared" si="1"/>
        <v>0</v>
      </c>
      <c r="R20" s="734">
        <f t="shared" si="1"/>
        <v>0</v>
      </c>
      <c r="S20" s="734">
        <f t="shared" si="1"/>
        <v>0</v>
      </c>
      <c r="T20" s="735">
        <f t="shared" si="1"/>
        <v>0</v>
      </c>
    </row>
    <row r="21" spans="1:21" x14ac:dyDescent="0.35">
      <c r="A21" s="737"/>
      <c r="B21" s="1" t="s">
        <v>24</v>
      </c>
      <c r="C21" s="16" t="s">
        <v>48</v>
      </c>
      <c r="D21" s="16" t="s">
        <v>46</v>
      </c>
      <c r="E21" s="1">
        <v>350</v>
      </c>
      <c r="F21" s="1" t="s">
        <v>41</v>
      </c>
      <c r="G21" s="738"/>
      <c r="H21" s="732"/>
      <c r="I21" s="734"/>
      <c r="J21" s="734"/>
      <c r="K21" s="734">
        <f t="shared" si="1"/>
        <v>0</v>
      </c>
      <c r="L21" s="734">
        <f t="shared" si="1"/>
        <v>0</v>
      </c>
      <c r="M21" s="734">
        <f t="shared" si="1"/>
        <v>0</v>
      </c>
      <c r="N21" s="734">
        <f t="shared" si="1"/>
        <v>0</v>
      </c>
      <c r="O21" s="734">
        <f t="shared" si="1"/>
        <v>0</v>
      </c>
      <c r="P21" s="734">
        <f t="shared" si="1"/>
        <v>0</v>
      </c>
      <c r="Q21" s="734">
        <f t="shared" si="1"/>
        <v>0</v>
      </c>
      <c r="R21" s="734">
        <f t="shared" si="1"/>
        <v>0</v>
      </c>
      <c r="S21" s="734">
        <f t="shared" si="1"/>
        <v>0</v>
      </c>
      <c r="T21" s="735">
        <f t="shared" si="1"/>
        <v>0</v>
      </c>
    </row>
    <row r="22" spans="1:21" x14ac:dyDescent="0.35">
      <c r="A22" s="737"/>
      <c r="B22" s="1" t="s">
        <v>24</v>
      </c>
      <c r="C22" s="16" t="s">
        <v>33</v>
      </c>
      <c r="D22" s="16" t="s">
        <v>46</v>
      </c>
      <c r="E22" s="1">
        <v>2000</v>
      </c>
      <c r="F22" s="1" t="s">
        <v>41</v>
      </c>
      <c r="G22" s="738"/>
      <c r="H22" s="732"/>
      <c r="I22" s="734"/>
      <c r="J22" s="734"/>
      <c r="K22" s="734">
        <f t="shared" si="1"/>
        <v>0</v>
      </c>
      <c r="L22" s="734">
        <f t="shared" si="1"/>
        <v>0</v>
      </c>
      <c r="M22" s="734">
        <f t="shared" si="1"/>
        <v>0</v>
      </c>
      <c r="N22" s="734">
        <f t="shared" si="1"/>
        <v>0</v>
      </c>
      <c r="O22" s="734">
        <f t="shared" si="1"/>
        <v>0</v>
      </c>
      <c r="P22" s="734">
        <f t="shared" si="1"/>
        <v>0</v>
      </c>
      <c r="Q22" s="734">
        <f t="shared" si="1"/>
        <v>0</v>
      </c>
      <c r="R22" s="734">
        <f t="shared" si="1"/>
        <v>0</v>
      </c>
      <c r="S22" s="734">
        <f t="shared" si="1"/>
        <v>0</v>
      </c>
      <c r="T22" s="735">
        <f t="shared" si="1"/>
        <v>0</v>
      </c>
      <c r="U22" s="5"/>
    </row>
    <row r="23" spans="1:21" x14ac:dyDescent="0.35">
      <c r="A23" s="737"/>
      <c r="B23" s="1" t="s">
        <v>24</v>
      </c>
      <c r="C23" s="16" t="s">
        <v>49</v>
      </c>
      <c r="D23" s="16" t="s">
        <v>46</v>
      </c>
      <c r="E23" s="1"/>
      <c r="F23" s="1" t="s">
        <v>43</v>
      </c>
      <c r="G23" s="15">
        <v>1400</v>
      </c>
      <c r="H23" s="15"/>
      <c r="I23" s="15"/>
      <c r="J23" s="15"/>
      <c r="K23" s="15"/>
      <c r="L23" s="15"/>
      <c r="M23" s="14"/>
      <c r="N23" s="14"/>
      <c r="O23" s="14"/>
      <c r="P23" s="14"/>
      <c r="Q23" s="14"/>
      <c r="R23" s="14"/>
      <c r="S23" s="14"/>
      <c r="T23" s="22"/>
    </row>
    <row r="24" spans="1:21" x14ac:dyDescent="0.35">
      <c r="A24" s="737" t="s">
        <v>50</v>
      </c>
      <c r="B24" s="1" t="s">
        <v>38</v>
      </c>
      <c r="C24" s="10" t="s">
        <v>51</v>
      </c>
      <c r="D24" s="10" t="s">
        <v>52</v>
      </c>
      <c r="E24" s="18">
        <v>250</v>
      </c>
      <c r="F24" s="18" t="s">
        <v>43</v>
      </c>
      <c r="G24" s="15">
        <v>1200</v>
      </c>
      <c r="H24" s="15"/>
      <c r="I24" s="15"/>
      <c r="J24" s="15"/>
      <c r="K24" s="15"/>
      <c r="L24" s="15"/>
      <c r="M24" s="14"/>
      <c r="N24" s="14"/>
      <c r="O24" s="14"/>
      <c r="P24" s="14"/>
      <c r="Q24" s="14"/>
      <c r="R24" s="14"/>
      <c r="S24" s="14"/>
      <c r="T24" s="22"/>
    </row>
    <row r="25" spans="1:21" x14ac:dyDescent="0.35">
      <c r="A25" s="737"/>
      <c r="B25" s="1" t="s">
        <v>24</v>
      </c>
      <c r="C25" s="10" t="s">
        <v>53</v>
      </c>
      <c r="D25" s="10" t="s">
        <v>52</v>
      </c>
      <c r="E25" s="1">
        <v>40</v>
      </c>
      <c r="F25" s="1" t="s">
        <v>43</v>
      </c>
      <c r="G25" s="15">
        <v>1300</v>
      </c>
      <c r="H25" s="15">
        <v>4</v>
      </c>
      <c r="I25" s="15">
        <v>5200</v>
      </c>
      <c r="J25" s="15">
        <v>5200</v>
      </c>
      <c r="K25" s="15">
        <v>5200</v>
      </c>
      <c r="L25" s="15">
        <v>5200</v>
      </c>
      <c r="M25" s="15">
        <v>5200</v>
      </c>
      <c r="N25" s="15">
        <v>5200</v>
      </c>
      <c r="O25" s="15">
        <v>5200</v>
      </c>
      <c r="P25" s="15">
        <v>5200</v>
      </c>
      <c r="Q25" s="15">
        <v>5200</v>
      </c>
      <c r="R25" s="15">
        <v>5200</v>
      </c>
      <c r="S25" s="15">
        <v>5200</v>
      </c>
      <c r="T25" s="3">
        <v>5200</v>
      </c>
    </row>
    <row r="26" spans="1:21" x14ac:dyDescent="0.35">
      <c r="A26" s="8" t="s">
        <v>54</v>
      </c>
      <c r="B26" s="1" t="s">
        <v>38</v>
      </c>
      <c r="C26" s="10" t="s">
        <v>39</v>
      </c>
      <c r="D26" s="10" t="s">
        <v>26</v>
      </c>
      <c r="E26" s="1">
        <v>20</v>
      </c>
      <c r="F26" s="1" t="s">
        <v>43</v>
      </c>
      <c r="G26" s="15">
        <v>1200</v>
      </c>
      <c r="H26" s="15"/>
      <c r="I26" s="15"/>
      <c r="J26" s="15"/>
      <c r="K26" s="15"/>
      <c r="L26" s="15"/>
      <c r="M26" s="14"/>
      <c r="N26" s="14"/>
      <c r="O26" s="14"/>
      <c r="P26" s="14"/>
      <c r="Q26" s="14"/>
      <c r="R26" s="14"/>
      <c r="S26" s="14"/>
      <c r="T26" s="22"/>
    </row>
    <row r="27" spans="1:21" s="41" customFormat="1" x14ac:dyDescent="0.35">
      <c r="A27" s="742" t="s">
        <v>55</v>
      </c>
      <c r="B27" s="18" t="s">
        <v>38</v>
      </c>
      <c r="C27" s="37" t="s">
        <v>31</v>
      </c>
      <c r="D27" s="37" t="s">
        <v>56</v>
      </c>
      <c r="E27" s="18">
        <v>150</v>
      </c>
      <c r="F27" s="18" t="s">
        <v>41</v>
      </c>
      <c r="G27" s="739">
        <v>2.5000000000000001E-2</v>
      </c>
      <c r="H27" s="38"/>
      <c r="I27" s="38"/>
      <c r="J27" s="38"/>
      <c r="K27" s="38"/>
      <c r="L27" s="38"/>
      <c r="M27" s="39" t="s">
        <v>57</v>
      </c>
      <c r="N27" s="39"/>
      <c r="O27" s="39"/>
      <c r="P27" s="39"/>
      <c r="Q27" s="39"/>
      <c r="R27" s="39"/>
      <c r="S27" s="39"/>
      <c r="T27" s="40"/>
    </row>
    <row r="28" spans="1:21" s="41" customFormat="1" x14ac:dyDescent="0.35">
      <c r="A28" s="742"/>
      <c r="B28" s="18" t="s">
        <v>38</v>
      </c>
      <c r="C28" s="37" t="s">
        <v>32</v>
      </c>
      <c r="D28" s="37" t="s">
        <v>56</v>
      </c>
      <c r="E28" s="18">
        <v>180</v>
      </c>
      <c r="F28" s="18" t="s">
        <v>41</v>
      </c>
      <c r="G28" s="739"/>
      <c r="H28" s="38"/>
      <c r="I28" s="38"/>
      <c r="J28" s="38"/>
      <c r="K28" s="38"/>
      <c r="L28" s="38"/>
      <c r="M28" s="39"/>
      <c r="N28" s="39"/>
      <c r="O28" s="39"/>
      <c r="P28" s="39"/>
      <c r="Q28" s="39"/>
      <c r="R28" s="39"/>
      <c r="S28" s="39"/>
      <c r="T28" s="40"/>
    </row>
    <row r="29" spans="1:21" s="41" customFormat="1" x14ac:dyDescent="0.35">
      <c r="A29" s="742"/>
      <c r="B29" s="18" t="s">
        <v>38</v>
      </c>
      <c r="C29" s="37" t="s">
        <v>33</v>
      </c>
      <c r="D29" s="37" t="s">
        <v>56</v>
      </c>
      <c r="E29" s="18">
        <v>300</v>
      </c>
      <c r="F29" s="18" t="s">
        <v>41</v>
      </c>
      <c r="G29" s="739"/>
      <c r="H29" s="38"/>
      <c r="I29" s="38"/>
      <c r="J29" s="38"/>
      <c r="K29" s="38"/>
      <c r="L29" s="38"/>
      <c r="M29" s="39"/>
      <c r="N29" s="39"/>
      <c r="O29" s="39"/>
      <c r="P29" s="39"/>
      <c r="Q29" s="39"/>
      <c r="R29" s="39"/>
      <c r="S29" s="39"/>
      <c r="T29" s="40"/>
    </row>
    <row r="30" spans="1:21" s="41" customFormat="1" x14ac:dyDescent="0.35">
      <c r="A30" s="742"/>
      <c r="B30" s="18" t="s">
        <v>38</v>
      </c>
      <c r="C30" s="37" t="s">
        <v>58</v>
      </c>
      <c r="D30" s="37" t="s">
        <v>56</v>
      </c>
      <c r="E30" s="18">
        <v>40</v>
      </c>
      <c r="F30" s="18" t="s">
        <v>41</v>
      </c>
      <c r="G30" s="739"/>
      <c r="H30" s="38"/>
      <c r="I30" s="38"/>
      <c r="J30" s="38"/>
      <c r="K30" s="38"/>
      <c r="L30" s="38"/>
      <c r="M30" s="39"/>
      <c r="N30" s="39"/>
      <c r="O30" s="39"/>
      <c r="P30" s="39"/>
      <c r="Q30" s="39"/>
      <c r="R30" s="39"/>
      <c r="S30" s="39"/>
      <c r="T30" s="40"/>
    </row>
    <row r="31" spans="1:21" s="41" customFormat="1" x14ac:dyDescent="0.35">
      <c r="A31" s="742"/>
      <c r="B31" s="18" t="s">
        <v>38</v>
      </c>
      <c r="C31" s="37" t="s">
        <v>59</v>
      </c>
      <c r="D31" s="37" t="s">
        <v>56</v>
      </c>
      <c r="E31" s="18">
        <v>64</v>
      </c>
      <c r="F31" s="18"/>
      <c r="G31" s="38">
        <v>5.0000000000000001E-3</v>
      </c>
      <c r="H31" s="38"/>
      <c r="I31" s="38"/>
      <c r="J31" s="38"/>
      <c r="K31" s="38"/>
      <c r="L31" s="38"/>
      <c r="M31" s="39"/>
      <c r="N31" s="39"/>
      <c r="O31" s="39"/>
      <c r="P31" s="39"/>
      <c r="Q31" s="39"/>
      <c r="R31" s="39"/>
      <c r="S31" s="39"/>
      <c r="T31" s="40"/>
    </row>
    <row r="32" spans="1:21" ht="39" x14ac:dyDescent="0.35">
      <c r="A32" s="737" t="s">
        <v>60</v>
      </c>
      <c r="B32" s="1" t="s">
        <v>24</v>
      </c>
      <c r="C32" s="10" t="s">
        <v>39</v>
      </c>
      <c r="D32" s="10" t="s">
        <v>61</v>
      </c>
      <c r="E32" s="1">
        <v>40</v>
      </c>
      <c r="F32" s="1" t="s">
        <v>62</v>
      </c>
      <c r="G32" s="1">
        <v>2.1</v>
      </c>
      <c r="H32" s="12">
        <f>1500/20</f>
        <v>75</v>
      </c>
      <c r="I32" s="1">
        <f>H32*I4</f>
        <v>1500</v>
      </c>
      <c r="J32" s="1">
        <f>H32*J4</f>
        <v>1575</v>
      </c>
      <c r="K32" s="1">
        <f>H32*K4</f>
        <v>1575</v>
      </c>
      <c r="L32" s="1">
        <f>H32*L4</f>
        <v>1650</v>
      </c>
      <c r="M32" s="1">
        <f>H32*M4</f>
        <v>1575</v>
      </c>
      <c r="N32" s="1">
        <f>H32*N4</f>
        <v>1425</v>
      </c>
      <c r="O32" s="1">
        <f>H32*O4</f>
        <v>1425</v>
      </c>
      <c r="P32" s="1">
        <f>H32*P4</f>
        <v>1575</v>
      </c>
      <c r="Q32" s="1">
        <f>H32*Q4</f>
        <v>1500</v>
      </c>
      <c r="R32" s="1">
        <f>H32*R4</f>
        <v>1575</v>
      </c>
      <c r="S32" s="1">
        <f>H32*S4</f>
        <v>1425</v>
      </c>
      <c r="T32" s="20">
        <f>H32*T4</f>
        <v>1575</v>
      </c>
      <c r="U32" s="7"/>
    </row>
    <row r="33" spans="1:21" ht="39" x14ac:dyDescent="0.35">
      <c r="A33" s="737"/>
      <c r="B33" s="1" t="s">
        <v>24</v>
      </c>
      <c r="C33" s="10" t="s">
        <v>63</v>
      </c>
      <c r="D33" s="10" t="s">
        <v>61</v>
      </c>
      <c r="E33" s="1">
        <v>100</v>
      </c>
      <c r="F33" s="1" t="s">
        <v>62</v>
      </c>
      <c r="G33" s="1">
        <v>0.55000000000000004</v>
      </c>
      <c r="H33" s="12">
        <f>150/20</f>
        <v>7.5</v>
      </c>
      <c r="I33" s="1">
        <f>H33*I4</f>
        <v>150</v>
      </c>
      <c r="J33" s="1">
        <f>H33*J4</f>
        <v>157.5</v>
      </c>
      <c r="K33" s="1">
        <f>H33*K4</f>
        <v>157.5</v>
      </c>
      <c r="L33" s="1">
        <f>H33*L4</f>
        <v>165</v>
      </c>
      <c r="M33" s="1">
        <f>H33*M4</f>
        <v>157.5</v>
      </c>
      <c r="N33" s="1">
        <f>H33*N4</f>
        <v>142.5</v>
      </c>
      <c r="O33" s="1">
        <f>H33*O4</f>
        <v>142.5</v>
      </c>
      <c r="P33" s="1">
        <f>H33*P4</f>
        <v>157.5</v>
      </c>
      <c r="Q33" s="1">
        <f>H33*Q4</f>
        <v>150</v>
      </c>
      <c r="R33" s="1">
        <f>H33*R4</f>
        <v>157.5</v>
      </c>
      <c r="S33" s="1">
        <f>H33*S4</f>
        <v>142.5</v>
      </c>
      <c r="T33" s="20">
        <f>H33*T4</f>
        <v>157.5</v>
      </c>
      <c r="U33" s="7"/>
    </row>
    <row r="34" spans="1:21" ht="39" x14ac:dyDescent="0.35">
      <c r="A34" s="737"/>
      <c r="B34" s="1" t="s">
        <v>24</v>
      </c>
      <c r="C34" s="10" t="s">
        <v>31</v>
      </c>
      <c r="D34" s="10" t="s">
        <v>61</v>
      </c>
      <c r="E34" s="1">
        <v>150</v>
      </c>
      <c r="F34" s="1" t="s">
        <v>62</v>
      </c>
      <c r="G34" s="1">
        <v>0.3</v>
      </c>
      <c r="H34" s="12">
        <f>150/20</f>
        <v>7.5</v>
      </c>
      <c r="I34" s="1">
        <f>H34*I4</f>
        <v>150</v>
      </c>
      <c r="J34" s="1">
        <f>H34*J4</f>
        <v>157.5</v>
      </c>
      <c r="K34" s="1">
        <f>H34*K4</f>
        <v>157.5</v>
      </c>
      <c r="L34" s="1">
        <f>H34*L4</f>
        <v>165</v>
      </c>
      <c r="M34" s="1">
        <f>H34*M4</f>
        <v>157.5</v>
      </c>
      <c r="N34" s="1">
        <f>H34*N4</f>
        <v>142.5</v>
      </c>
      <c r="O34" s="1">
        <f>H34*O4</f>
        <v>142.5</v>
      </c>
      <c r="P34" s="1">
        <f>H34*P4</f>
        <v>157.5</v>
      </c>
      <c r="Q34" s="1">
        <f>H34*Q4</f>
        <v>150</v>
      </c>
      <c r="R34" s="1">
        <f>H34*R4</f>
        <v>157.5</v>
      </c>
      <c r="S34" s="1">
        <f>H34*S4</f>
        <v>142.5</v>
      </c>
      <c r="T34" s="20">
        <f>H34*T4</f>
        <v>157.5</v>
      </c>
    </row>
    <row r="35" spans="1:21" ht="39" x14ac:dyDescent="0.35">
      <c r="A35" s="737"/>
      <c r="B35" s="1" t="s">
        <v>24</v>
      </c>
      <c r="C35" s="10" t="s">
        <v>32</v>
      </c>
      <c r="D35" s="10" t="s">
        <v>61</v>
      </c>
      <c r="E35" s="1">
        <v>450</v>
      </c>
      <c r="F35" s="1" t="s">
        <v>62</v>
      </c>
      <c r="G35" s="1">
        <v>0.27</v>
      </c>
      <c r="H35" s="12">
        <f>700/20</f>
        <v>35</v>
      </c>
      <c r="I35" s="1">
        <f>H35*I4</f>
        <v>700</v>
      </c>
      <c r="J35" s="1">
        <f>H35*J4</f>
        <v>735</v>
      </c>
      <c r="K35" s="1">
        <f>H35*K4</f>
        <v>735</v>
      </c>
      <c r="L35" s="1">
        <f>H35*L4</f>
        <v>770</v>
      </c>
      <c r="M35" s="1">
        <f>H35*M4</f>
        <v>735</v>
      </c>
      <c r="N35" s="1">
        <f>H35*N4</f>
        <v>665</v>
      </c>
      <c r="O35" s="1">
        <f>H35*O4</f>
        <v>665</v>
      </c>
      <c r="P35" s="1">
        <f>H35*P4</f>
        <v>735</v>
      </c>
      <c r="Q35" s="1">
        <f>H35*Q4</f>
        <v>700</v>
      </c>
      <c r="R35" s="1">
        <f>H35*R4</f>
        <v>735</v>
      </c>
      <c r="S35" s="1">
        <f>H35*S4</f>
        <v>665</v>
      </c>
      <c r="T35" s="20">
        <f>H35*T4</f>
        <v>735</v>
      </c>
    </row>
    <row r="36" spans="1:21" ht="39" x14ac:dyDescent="0.35">
      <c r="A36" s="737"/>
      <c r="B36" s="1" t="s">
        <v>24</v>
      </c>
      <c r="C36" s="10" t="s">
        <v>33</v>
      </c>
      <c r="D36" s="10" t="s">
        <v>61</v>
      </c>
      <c r="E36" s="1">
        <v>450</v>
      </c>
      <c r="F36" s="1" t="s">
        <v>62</v>
      </c>
      <c r="G36" s="1">
        <v>0.03</v>
      </c>
      <c r="H36" s="12">
        <f>4000/20</f>
        <v>200</v>
      </c>
      <c r="I36" s="1">
        <f>H36*I4</f>
        <v>4000</v>
      </c>
      <c r="J36" s="1">
        <f>H36*J4</f>
        <v>4200</v>
      </c>
      <c r="K36" s="1">
        <f>H36*K4</f>
        <v>4200</v>
      </c>
      <c r="L36" s="1">
        <f>H36*L4</f>
        <v>4400</v>
      </c>
      <c r="M36" s="1">
        <f>H36*M4</f>
        <v>4200</v>
      </c>
      <c r="N36" s="1">
        <f>H36*N4</f>
        <v>3800</v>
      </c>
      <c r="O36" s="1">
        <f>H36*O4</f>
        <v>3800</v>
      </c>
      <c r="P36" s="1">
        <f>H36*P4</f>
        <v>4200</v>
      </c>
      <c r="Q36" s="1">
        <f>H36*Q4</f>
        <v>4000</v>
      </c>
      <c r="R36" s="1">
        <f>H36*R4</f>
        <v>4200</v>
      </c>
      <c r="S36" s="1">
        <f>H36*S4</f>
        <v>3800</v>
      </c>
      <c r="T36" s="20">
        <f>H36*T4</f>
        <v>4200</v>
      </c>
      <c r="U36" s="7"/>
    </row>
    <row r="37" spans="1:21" x14ac:dyDescent="0.35">
      <c r="A37" s="8" t="s">
        <v>64</v>
      </c>
      <c r="B37" s="1" t="s">
        <v>24</v>
      </c>
      <c r="C37" s="10" t="s">
        <v>65</v>
      </c>
      <c r="D37" s="10" t="s">
        <v>66</v>
      </c>
      <c r="E37" s="1">
        <v>80</v>
      </c>
      <c r="F37" s="1" t="s">
        <v>43</v>
      </c>
      <c r="G37" s="15">
        <v>1280</v>
      </c>
      <c r="H37" s="15"/>
      <c r="I37" s="15">
        <f>1280+1280</f>
        <v>2560</v>
      </c>
      <c r="J37" s="15">
        <f t="shared" ref="J37:T37" si="2">1280+1280</f>
        <v>2560</v>
      </c>
      <c r="K37" s="15">
        <f t="shared" si="2"/>
        <v>2560</v>
      </c>
      <c r="L37" s="15">
        <f t="shared" si="2"/>
        <v>2560</v>
      </c>
      <c r="M37" s="15">
        <f t="shared" si="2"/>
        <v>2560</v>
      </c>
      <c r="N37" s="15">
        <f t="shared" si="2"/>
        <v>2560</v>
      </c>
      <c r="O37" s="15">
        <f t="shared" si="2"/>
        <v>2560</v>
      </c>
      <c r="P37" s="15">
        <f t="shared" si="2"/>
        <v>2560</v>
      </c>
      <c r="Q37" s="15">
        <f t="shared" si="2"/>
        <v>2560</v>
      </c>
      <c r="R37" s="15">
        <f t="shared" si="2"/>
        <v>2560</v>
      </c>
      <c r="S37" s="15">
        <f t="shared" si="2"/>
        <v>2560</v>
      </c>
      <c r="T37" s="3">
        <f t="shared" si="2"/>
        <v>2560</v>
      </c>
    </row>
    <row r="38" spans="1:21" x14ac:dyDescent="0.35">
      <c r="A38" s="737" t="s">
        <v>67</v>
      </c>
      <c r="B38" s="1" t="s">
        <v>24</v>
      </c>
      <c r="C38" s="10" t="s">
        <v>32</v>
      </c>
      <c r="D38" s="10" t="s">
        <v>56</v>
      </c>
      <c r="E38" s="1">
        <v>180</v>
      </c>
      <c r="F38" s="1" t="s">
        <v>43</v>
      </c>
      <c r="G38" s="732">
        <v>1250</v>
      </c>
      <c r="H38" s="15"/>
      <c r="I38" s="732">
        <v>5000</v>
      </c>
      <c r="J38" s="732">
        <v>5000</v>
      </c>
      <c r="K38" s="732">
        <v>5000</v>
      </c>
      <c r="L38" s="732">
        <v>5000</v>
      </c>
      <c r="M38" s="732">
        <v>5000</v>
      </c>
      <c r="N38" s="732">
        <v>5000</v>
      </c>
      <c r="O38" s="732">
        <v>5000</v>
      </c>
      <c r="P38" s="732">
        <v>5000</v>
      </c>
      <c r="Q38" s="732">
        <v>5000</v>
      </c>
      <c r="R38" s="732">
        <v>5000</v>
      </c>
      <c r="S38" s="732">
        <v>5000</v>
      </c>
      <c r="T38" s="733">
        <v>5000</v>
      </c>
    </row>
    <row r="39" spans="1:21" x14ac:dyDescent="0.35">
      <c r="A39" s="737"/>
      <c r="B39" s="1" t="s">
        <v>24</v>
      </c>
      <c r="C39" s="10" t="s">
        <v>33</v>
      </c>
      <c r="D39" s="10" t="s">
        <v>56</v>
      </c>
      <c r="E39" s="1">
        <v>300</v>
      </c>
      <c r="F39" s="1" t="s">
        <v>43</v>
      </c>
      <c r="G39" s="732"/>
      <c r="H39" s="15"/>
      <c r="I39" s="732"/>
      <c r="J39" s="732"/>
      <c r="K39" s="732"/>
      <c r="L39" s="732"/>
      <c r="M39" s="732"/>
      <c r="N39" s="732"/>
      <c r="O39" s="732"/>
      <c r="P39" s="732"/>
      <c r="Q39" s="732"/>
      <c r="R39" s="732"/>
      <c r="S39" s="732"/>
      <c r="T39" s="733"/>
    </row>
    <row r="40" spans="1:21" x14ac:dyDescent="0.35">
      <c r="A40" s="737"/>
      <c r="B40" s="1" t="s">
        <v>38</v>
      </c>
      <c r="C40" s="10" t="s">
        <v>49</v>
      </c>
      <c r="D40" s="10" t="s">
        <v>56</v>
      </c>
      <c r="E40" s="1">
        <v>30</v>
      </c>
      <c r="F40" s="1" t="s">
        <v>43</v>
      </c>
      <c r="G40" s="15">
        <v>1350</v>
      </c>
      <c r="H40" s="15"/>
      <c r="I40" s="15"/>
      <c r="J40" s="15"/>
      <c r="K40" s="15"/>
      <c r="L40" s="15"/>
      <c r="M40" s="14"/>
      <c r="N40" s="14"/>
      <c r="O40" s="14"/>
      <c r="P40" s="14"/>
      <c r="Q40" s="14"/>
      <c r="R40" s="14"/>
      <c r="S40" s="14"/>
      <c r="T40" s="22"/>
    </row>
    <row r="41" spans="1:21" x14ac:dyDescent="0.35">
      <c r="A41" s="737" t="s">
        <v>68</v>
      </c>
      <c r="B41" s="1" t="s">
        <v>38</v>
      </c>
      <c r="C41" s="10" t="s">
        <v>31</v>
      </c>
      <c r="D41" s="10" t="s">
        <v>69</v>
      </c>
      <c r="E41" s="1">
        <v>800</v>
      </c>
      <c r="F41" s="1" t="s">
        <v>41</v>
      </c>
      <c r="G41" s="736">
        <v>6.5000000000000002E-2</v>
      </c>
      <c r="H41" s="13"/>
      <c r="I41" s="13"/>
      <c r="J41" s="13"/>
      <c r="K41" s="13"/>
      <c r="L41" s="13"/>
      <c r="M41" s="14"/>
      <c r="N41" s="14"/>
      <c r="O41" s="14"/>
      <c r="P41" s="14"/>
      <c r="Q41" s="14"/>
      <c r="R41" s="14"/>
      <c r="S41" s="14"/>
      <c r="T41" s="22"/>
      <c r="U41" t="s">
        <v>70</v>
      </c>
    </row>
    <row r="42" spans="1:21" x14ac:dyDescent="0.35">
      <c r="A42" s="737"/>
      <c r="B42" s="1" t="s">
        <v>38</v>
      </c>
      <c r="C42" s="10" t="s">
        <v>32</v>
      </c>
      <c r="D42" s="10" t="s">
        <v>69</v>
      </c>
      <c r="E42" s="1">
        <v>300</v>
      </c>
      <c r="F42" s="1" t="s">
        <v>41</v>
      </c>
      <c r="G42" s="736"/>
      <c r="H42" s="13"/>
      <c r="I42" s="13"/>
      <c r="J42" s="13"/>
      <c r="K42" s="13"/>
      <c r="L42" s="13"/>
      <c r="M42" s="14"/>
      <c r="N42" s="14"/>
      <c r="O42" s="14"/>
      <c r="P42" s="14"/>
      <c r="Q42" s="14"/>
      <c r="R42" s="14"/>
      <c r="S42" s="14"/>
      <c r="T42" s="22"/>
    </row>
    <row r="43" spans="1:21" x14ac:dyDescent="0.35">
      <c r="A43" s="737"/>
      <c r="B43" s="1" t="s">
        <v>38</v>
      </c>
      <c r="C43" s="10" t="s">
        <v>33</v>
      </c>
      <c r="D43" s="10" t="s">
        <v>69</v>
      </c>
      <c r="E43" s="1">
        <v>800</v>
      </c>
      <c r="F43" s="1" t="s">
        <v>41</v>
      </c>
      <c r="G43" s="736"/>
      <c r="H43" s="13"/>
      <c r="I43" s="13"/>
      <c r="J43" s="13"/>
      <c r="K43" s="13"/>
      <c r="L43" s="13"/>
      <c r="M43" s="14"/>
      <c r="N43" s="14"/>
      <c r="O43" s="14"/>
      <c r="P43" s="14"/>
      <c r="Q43" s="14"/>
      <c r="R43" s="14"/>
      <c r="S43" s="14"/>
      <c r="T43" s="22"/>
    </row>
    <row r="44" spans="1:21" x14ac:dyDescent="0.35">
      <c r="A44" s="737"/>
      <c r="B44" s="1" t="s">
        <v>24</v>
      </c>
      <c r="C44" s="10" t="s">
        <v>39</v>
      </c>
      <c r="D44" s="10" t="s">
        <v>69</v>
      </c>
      <c r="E44" s="1">
        <v>40</v>
      </c>
      <c r="F44" s="1" t="s">
        <v>41</v>
      </c>
      <c r="G44" s="736"/>
      <c r="H44" s="13"/>
      <c r="I44" s="13"/>
      <c r="J44" s="13"/>
      <c r="K44" s="13"/>
      <c r="L44" s="13"/>
      <c r="M44" s="14"/>
      <c r="N44" s="14"/>
      <c r="O44" s="14"/>
      <c r="P44" s="14"/>
      <c r="Q44" s="14"/>
      <c r="R44" s="14"/>
      <c r="S44" s="14"/>
      <c r="T44" s="22"/>
    </row>
    <row r="45" spans="1:21" x14ac:dyDescent="0.35">
      <c r="A45" s="737"/>
      <c r="B45" s="1" t="s">
        <v>38</v>
      </c>
      <c r="C45" s="10" t="s">
        <v>71</v>
      </c>
      <c r="D45" s="10" t="s">
        <v>69</v>
      </c>
      <c r="E45" s="1">
        <v>20</v>
      </c>
      <c r="F45" s="1" t="s">
        <v>41</v>
      </c>
      <c r="G45" s="736"/>
      <c r="H45" s="13"/>
      <c r="I45" s="13"/>
      <c r="J45" s="13"/>
      <c r="K45" s="13"/>
      <c r="L45" s="13"/>
      <c r="M45" s="14"/>
      <c r="N45" s="14"/>
      <c r="O45" s="14"/>
      <c r="P45" s="14"/>
      <c r="Q45" s="14"/>
      <c r="R45" s="14"/>
      <c r="S45" s="14"/>
      <c r="T45" s="22"/>
    </row>
    <row r="46" spans="1:21" x14ac:dyDescent="0.35">
      <c r="A46" s="737"/>
      <c r="B46" s="1" t="s">
        <v>24</v>
      </c>
      <c r="C46" s="10" t="s">
        <v>72</v>
      </c>
      <c r="D46" s="10" t="s">
        <v>73</v>
      </c>
      <c r="E46" s="1">
        <v>50</v>
      </c>
      <c r="F46" s="1" t="s">
        <v>43</v>
      </c>
      <c r="G46" s="15">
        <v>1300</v>
      </c>
      <c r="H46" s="15"/>
      <c r="I46" s="15"/>
      <c r="J46" s="15"/>
      <c r="K46" s="15"/>
      <c r="L46" s="15"/>
      <c r="M46" s="14"/>
      <c r="N46" s="14"/>
      <c r="O46" s="14"/>
      <c r="P46" s="14"/>
      <c r="Q46" s="14"/>
      <c r="R46" s="14"/>
      <c r="S46" s="14"/>
      <c r="T46" s="22"/>
    </row>
    <row r="47" spans="1:21" x14ac:dyDescent="0.35">
      <c r="A47" s="737"/>
      <c r="B47" s="1" t="s">
        <v>38</v>
      </c>
      <c r="C47" s="10" t="s">
        <v>74</v>
      </c>
      <c r="D47" s="10" t="s">
        <v>69</v>
      </c>
      <c r="E47" s="1">
        <v>30</v>
      </c>
      <c r="F47" s="1" t="s">
        <v>43</v>
      </c>
      <c r="G47" s="15">
        <v>1500</v>
      </c>
      <c r="H47" s="15"/>
      <c r="I47" s="15"/>
      <c r="J47" s="15"/>
      <c r="K47" s="15"/>
      <c r="L47" s="15"/>
      <c r="M47" s="14"/>
      <c r="N47" s="14"/>
      <c r="O47" s="14"/>
      <c r="P47" s="14"/>
      <c r="Q47" s="14"/>
      <c r="R47" s="14"/>
      <c r="S47" s="14"/>
      <c r="T47" s="22"/>
    </row>
    <row r="48" spans="1:21" x14ac:dyDescent="0.35">
      <c r="A48" s="737" t="s">
        <v>75</v>
      </c>
      <c r="B48" s="1" t="s">
        <v>38</v>
      </c>
      <c r="C48" s="10" t="s">
        <v>39</v>
      </c>
      <c r="D48" s="10" t="s">
        <v>26</v>
      </c>
      <c r="E48" s="1">
        <v>35</v>
      </c>
      <c r="F48" s="1" t="s">
        <v>43</v>
      </c>
      <c r="G48" s="15">
        <v>1280</v>
      </c>
      <c r="H48" s="15"/>
      <c r="I48" s="15"/>
      <c r="J48" s="15"/>
      <c r="K48" s="15"/>
      <c r="L48" s="15"/>
      <c r="M48" s="14"/>
      <c r="N48" s="14"/>
      <c r="O48" s="14"/>
      <c r="P48" s="14"/>
      <c r="Q48" s="14"/>
      <c r="R48" s="14"/>
      <c r="S48" s="14"/>
      <c r="T48" s="22"/>
    </row>
    <row r="49" spans="1:21" x14ac:dyDescent="0.35">
      <c r="A49" s="737"/>
      <c r="B49" s="1" t="s">
        <v>38</v>
      </c>
      <c r="C49" s="10" t="s">
        <v>31</v>
      </c>
      <c r="D49" s="10" t="s">
        <v>26</v>
      </c>
      <c r="E49" s="1">
        <v>380</v>
      </c>
      <c r="F49" s="1" t="s">
        <v>43</v>
      </c>
      <c r="G49" s="15">
        <v>1120</v>
      </c>
      <c r="H49" s="15"/>
      <c r="I49" s="15"/>
      <c r="J49" s="15"/>
      <c r="K49" s="15"/>
      <c r="L49" s="15"/>
      <c r="M49" s="14"/>
      <c r="N49" s="14"/>
      <c r="O49" s="14"/>
      <c r="P49" s="14"/>
      <c r="Q49" s="14"/>
      <c r="R49" s="14"/>
      <c r="S49" s="14"/>
      <c r="T49" s="22"/>
    </row>
    <row r="50" spans="1:21" x14ac:dyDescent="0.35">
      <c r="A50" s="737" t="s">
        <v>76</v>
      </c>
      <c r="B50" s="1" t="s">
        <v>38</v>
      </c>
      <c r="C50" s="10" t="s">
        <v>39</v>
      </c>
      <c r="D50" s="10" t="s">
        <v>26</v>
      </c>
      <c r="E50" s="1">
        <v>35</v>
      </c>
      <c r="F50" s="1" t="s">
        <v>43</v>
      </c>
      <c r="G50" s="15">
        <v>1280</v>
      </c>
      <c r="H50" s="15"/>
      <c r="I50" s="15"/>
      <c r="J50" s="15"/>
      <c r="K50" s="15"/>
      <c r="L50" s="15"/>
      <c r="M50" s="14"/>
      <c r="N50" s="14"/>
      <c r="O50" s="14"/>
      <c r="P50" s="14"/>
      <c r="Q50" s="14"/>
      <c r="R50" s="14"/>
      <c r="S50" s="14"/>
      <c r="T50" s="22"/>
    </row>
    <row r="51" spans="1:21" x14ac:dyDescent="0.35">
      <c r="A51" s="737"/>
      <c r="B51" s="1" t="s">
        <v>38</v>
      </c>
      <c r="C51" s="10" t="s">
        <v>31</v>
      </c>
      <c r="D51" s="10" t="s">
        <v>26</v>
      </c>
      <c r="E51" s="1">
        <v>380</v>
      </c>
      <c r="F51" s="1" t="s">
        <v>43</v>
      </c>
      <c r="G51" s="15">
        <v>1120</v>
      </c>
      <c r="H51" s="15"/>
      <c r="I51" s="15"/>
      <c r="J51" s="15"/>
      <c r="K51" s="15"/>
      <c r="L51" s="15"/>
      <c r="M51" s="14"/>
      <c r="N51" s="14"/>
      <c r="O51" s="14"/>
      <c r="P51" s="14"/>
      <c r="Q51" s="14"/>
      <c r="R51" s="14"/>
      <c r="S51" s="14"/>
      <c r="T51" s="22"/>
    </row>
    <row r="52" spans="1:21" x14ac:dyDescent="0.35">
      <c r="A52" s="737" t="s">
        <v>77</v>
      </c>
      <c r="B52" s="1" t="s">
        <v>24</v>
      </c>
      <c r="C52" s="1" t="s">
        <v>31</v>
      </c>
      <c r="D52" s="1" t="s">
        <v>78</v>
      </c>
      <c r="E52" s="1">
        <v>90</v>
      </c>
      <c r="F52" s="1" t="s">
        <v>41</v>
      </c>
      <c r="G52" s="1" t="s">
        <v>79</v>
      </c>
      <c r="H52" s="1"/>
      <c r="I52" s="732">
        <v>12000</v>
      </c>
      <c r="J52" s="732">
        <v>12000</v>
      </c>
      <c r="K52" s="732">
        <v>12000</v>
      </c>
      <c r="L52" s="732">
        <v>12000</v>
      </c>
      <c r="M52" s="732">
        <v>12000</v>
      </c>
      <c r="N52" s="732">
        <v>12000</v>
      </c>
      <c r="O52" s="732">
        <v>12000</v>
      </c>
      <c r="P52" s="732">
        <v>12000</v>
      </c>
      <c r="Q52" s="732">
        <v>12000</v>
      </c>
      <c r="R52" s="732">
        <v>12000</v>
      </c>
      <c r="S52" s="732">
        <v>12000</v>
      </c>
      <c r="T52" s="733">
        <v>12000</v>
      </c>
    </row>
    <row r="53" spans="1:21" x14ac:dyDescent="0.35">
      <c r="A53" s="737"/>
      <c r="B53" s="1" t="s">
        <v>24</v>
      </c>
      <c r="C53" s="1" t="s">
        <v>32</v>
      </c>
      <c r="D53" s="1" t="s">
        <v>78</v>
      </c>
      <c r="E53" s="1">
        <v>120</v>
      </c>
      <c r="F53" s="1" t="s">
        <v>41</v>
      </c>
      <c r="G53" s="1" t="s">
        <v>80</v>
      </c>
      <c r="H53" s="1"/>
      <c r="I53" s="732"/>
      <c r="J53" s="732"/>
      <c r="K53" s="732"/>
      <c r="L53" s="732"/>
      <c r="M53" s="732"/>
      <c r="N53" s="732"/>
      <c r="O53" s="732"/>
      <c r="P53" s="732"/>
      <c r="Q53" s="732"/>
      <c r="R53" s="732"/>
      <c r="S53" s="732"/>
      <c r="T53" s="733"/>
    </row>
    <row r="54" spans="1:21" x14ac:dyDescent="0.35">
      <c r="A54" s="737"/>
      <c r="B54" s="1" t="s">
        <v>24</v>
      </c>
      <c r="C54" s="1" t="s">
        <v>33</v>
      </c>
      <c r="D54" s="1" t="s">
        <v>78</v>
      </c>
      <c r="E54" s="1">
        <v>175</v>
      </c>
      <c r="F54" s="1" t="s">
        <v>41</v>
      </c>
      <c r="G54" s="1" t="s">
        <v>81</v>
      </c>
      <c r="H54" s="1"/>
      <c r="I54" s="732"/>
      <c r="J54" s="732"/>
      <c r="K54" s="732"/>
      <c r="L54" s="732"/>
      <c r="M54" s="732"/>
      <c r="N54" s="732"/>
      <c r="O54" s="732"/>
      <c r="P54" s="732"/>
      <c r="Q54" s="732"/>
      <c r="R54" s="732"/>
      <c r="S54" s="732"/>
      <c r="T54" s="733"/>
    </row>
    <row r="55" spans="1:21" x14ac:dyDescent="0.35">
      <c r="A55" s="737"/>
      <c r="B55" s="1" t="s">
        <v>24</v>
      </c>
      <c r="C55" s="1" t="s">
        <v>82</v>
      </c>
      <c r="D55" s="1" t="s">
        <v>78</v>
      </c>
      <c r="E55" s="1">
        <v>100</v>
      </c>
      <c r="F55" s="1" t="s">
        <v>41</v>
      </c>
      <c r="G55" s="1"/>
      <c r="H55" s="1"/>
      <c r="I55" s="1"/>
      <c r="J55" s="1"/>
      <c r="K55" s="1"/>
      <c r="L55" s="1"/>
      <c r="M55" s="14"/>
      <c r="N55" s="14"/>
      <c r="O55" s="14"/>
      <c r="P55" s="14"/>
      <c r="Q55" s="14"/>
      <c r="R55" s="14"/>
      <c r="S55" s="14"/>
      <c r="T55" s="22"/>
    </row>
    <row r="56" spans="1:21" x14ac:dyDescent="0.35">
      <c r="A56" s="737"/>
      <c r="B56" s="1" t="s">
        <v>24</v>
      </c>
      <c r="C56" s="1" t="s">
        <v>83</v>
      </c>
      <c r="D56" s="1" t="s">
        <v>78</v>
      </c>
      <c r="E56" s="1">
        <v>100</v>
      </c>
      <c r="F56" s="1" t="s">
        <v>41</v>
      </c>
      <c r="G56" s="1"/>
      <c r="H56" s="1"/>
      <c r="I56" s="1"/>
      <c r="J56" s="1"/>
      <c r="K56" s="1"/>
      <c r="L56" s="1"/>
      <c r="M56" s="14"/>
      <c r="N56" s="14"/>
      <c r="O56" s="14"/>
      <c r="P56" s="14"/>
      <c r="Q56" s="14"/>
      <c r="R56" s="14"/>
      <c r="S56" s="14"/>
      <c r="T56" s="22"/>
    </row>
    <row r="57" spans="1:21" x14ac:dyDescent="0.35">
      <c r="A57" s="737"/>
      <c r="B57" s="1" t="s">
        <v>24</v>
      </c>
      <c r="C57" s="1" t="s">
        <v>84</v>
      </c>
      <c r="D57" s="1" t="s">
        <v>78</v>
      </c>
      <c r="E57" s="1">
        <v>64</v>
      </c>
      <c r="F57" s="1" t="s">
        <v>41</v>
      </c>
      <c r="G57" s="1"/>
      <c r="H57" s="1"/>
      <c r="I57" s="1"/>
      <c r="J57" s="1"/>
      <c r="K57" s="1"/>
      <c r="L57" s="1"/>
      <c r="M57" s="14"/>
      <c r="N57" s="14"/>
      <c r="O57" s="14"/>
      <c r="P57" s="14"/>
      <c r="Q57" s="14"/>
      <c r="R57" s="14"/>
      <c r="S57" s="14"/>
      <c r="T57" s="22"/>
    </row>
    <row r="58" spans="1:21" x14ac:dyDescent="0.35">
      <c r="A58" s="737"/>
      <c r="B58" s="1" t="s">
        <v>24</v>
      </c>
      <c r="C58" s="1" t="s">
        <v>36</v>
      </c>
      <c r="D58" s="1" t="s">
        <v>78</v>
      </c>
      <c r="E58" s="1">
        <v>40</v>
      </c>
      <c r="F58" s="1" t="s">
        <v>41</v>
      </c>
      <c r="G58" s="1"/>
      <c r="H58" s="1"/>
      <c r="I58" s="1"/>
      <c r="J58" s="1"/>
      <c r="K58" s="1"/>
      <c r="L58" s="1"/>
      <c r="M58" s="14"/>
      <c r="N58" s="14"/>
      <c r="O58" s="14"/>
      <c r="P58" s="14"/>
      <c r="Q58" s="14"/>
      <c r="R58" s="14"/>
      <c r="S58" s="14"/>
      <c r="T58" s="22"/>
    </row>
    <row r="59" spans="1:21" x14ac:dyDescent="0.35">
      <c r="A59" s="737" t="s">
        <v>85</v>
      </c>
      <c r="B59" s="1" t="s">
        <v>24</v>
      </c>
      <c r="C59" s="1" t="s">
        <v>86</v>
      </c>
      <c r="D59" s="1" t="s">
        <v>85</v>
      </c>
      <c r="E59" s="1">
        <v>300</v>
      </c>
      <c r="F59" s="1" t="s">
        <v>43</v>
      </c>
      <c r="G59" s="732">
        <v>1440</v>
      </c>
      <c r="H59" s="15"/>
      <c r="I59" s="732">
        <v>1800</v>
      </c>
      <c r="J59" s="732">
        <v>4320</v>
      </c>
      <c r="K59" s="732">
        <v>7200</v>
      </c>
      <c r="L59" s="732">
        <v>7200</v>
      </c>
      <c r="M59" s="732">
        <v>7200</v>
      </c>
      <c r="N59" s="732">
        <v>7200</v>
      </c>
      <c r="O59" s="732">
        <v>7200</v>
      </c>
      <c r="P59" s="732">
        <v>7200</v>
      </c>
      <c r="Q59" s="732">
        <v>7200</v>
      </c>
      <c r="R59" s="732">
        <v>7200</v>
      </c>
      <c r="S59" s="732">
        <v>7200</v>
      </c>
      <c r="T59" s="733">
        <v>7200</v>
      </c>
    </row>
    <row r="60" spans="1:21" x14ac:dyDescent="0.35">
      <c r="A60" s="737"/>
      <c r="B60" s="1" t="s">
        <v>24</v>
      </c>
      <c r="C60" s="1" t="s">
        <v>87</v>
      </c>
      <c r="D60" s="1" t="s">
        <v>85</v>
      </c>
      <c r="E60" s="1">
        <v>300</v>
      </c>
      <c r="F60" s="1" t="s">
        <v>43</v>
      </c>
      <c r="G60" s="732"/>
      <c r="H60" s="15"/>
      <c r="I60" s="732"/>
      <c r="J60" s="732"/>
      <c r="K60" s="732"/>
      <c r="L60" s="732"/>
      <c r="M60" s="732"/>
      <c r="N60" s="732"/>
      <c r="O60" s="732"/>
      <c r="P60" s="732"/>
      <c r="Q60" s="732"/>
      <c r="R60" s="732"/>
      <c r="S60" s="732"/>
      <c r="T60" s="733"/>
    </row>
    <row r="61" spans="1:21" x14ac:dyDescent="0.35">
      <c r="A61" s="737"/>
      <c r="B61" s="1" t="s">
        <v>24</v>
      </c>
      <c r="C61" s="1" t="s">
        <v>88</v>
      </c>
      <c r="D61" s="1" t="s">
        <v>85</v>
      </c>
      <c r="E61" s="1">
        <v>350</v>
      </c>
      <c r="F61" s="1" t="s">
        <v>43</v>
      </c>
      <c r="G61" s="732"/>
      <c r="H61" s="15"/>
      <c r="I61" s="732"/>
      <c r="J61" s="732"/>
      <c r="K61" s="732"/>
      <c r="L61" s="732"/>
      <c r="M61" s="732"/>
      <c r="N61" s="732"/>
      <c r="O61" s="732"/>
      <c r="P61" s="732"/>
      <c r="Q61" s="732"/>
      <c r="R61" s="732"/>
      <c r="S61" s="732"/>
      <c r="T61" s="733"/>
    </row>
    <row r="62" spans="1:21" x14ac:dyDescent="0.35">
      <c r="A62" s="737"/>
      <c r="B62" s="1" t="s">
        <v>24</v>
      </c>
      <c r="C62" s="1" t="s">
        <v>36</v>
      </c>
      <c r="D62" s="1" t="s">
        <v>85</v>
      </c>
      <c r="E62" s="1">
        <v>30</v>
      </c>
      <c r="F62" s="1" t="s">
        <v>43</v>
      </c>
      <c r="G62" s="732"/>
      <c r="H62" s="15"/>
      <c r="I62" s="732"/>
      <c r="J62" s="732"/>
      <c r="K62" s="732"/>
      <c r="L62" s="732"/>
      <c r="M62" s="732"/>
      <c r="N62" s="732"/>
      <c r="O62" s="732"/>
      <c r="P62" s="732"/>
      <c r="Q62" s="732"/>
      <c r="R62" s="732"/>
      <c r="S62" s="732"/>
      <c r="T62" s="733"/>
    </row>
    <row r="63" spans="1:21" x14ac:dyDescent="0.35">
      <c r="A63" s="8" t="s">
        <v>89</v>
      </c>
      <c r="B63" s="1" t="s">
        <v>24</v>
      </c>
      <c r="C63" s="1" t="s">
        <v>39</v>
      </c>
      <c r="D63" s="1" t="s">
        <v>26</v>
      </c>
      <c r="E63" s="1">
        <v>30</v>
      </c>
      <c r="F63" s="1" t="s">
        <v>43</v>
      </c>
      <c r="G63" s="15">
        <v>1600</v>
      </c>
      <c r="H63" s="15"/>
      <c r="I63" s="15">
        <v>2400</v>
      </c>
      <c r="J63" s="15">
        <v>2400</v>
      </c>
      <c r="K63" s="15">
        <v>2400</v>
      </c>
      <c r="L63" s="15">
        <v>2400</v>
      </c>
      <c r="M63" s="15">
        <v>2400</v>
      </c>
      <c r="N63" s="15">
        <v>2400</v>
      </c>
      <c r="O63" s="15">
        <v>2400</v>
      </c>
      <c r="P63" s="15">
        <v>2400</v>
      </c>
      <c r="Q63" s="15">
        <v>2400</v>
      </c>
      <c r="R63" s="15">
        <v>2400</v>
      </c>
      <c r="S63" s="15">
        <v>2400</v>
      </c>
      <c r="T63" s="3">
        <v>2400</v>
      </c>
      <c r="U63" s="6"/>
    </row>
    <row r="64" spans="1:21" x14ac:dyDescent="0.35">
      <c r="A64" s="737" t="s">
        <v>90</v>
      </c>
      <c r="B64" s="1" t="s">
        <v>24</v>
      </c>
      <c r="C64" s="1" t="s">
        <v>33</v>
      </c>
      <c r="D64" s="1" t="s">
        <v>78</v>
      </c>
      <c r="E64" s="1">
        <v>180</v>
      </c>
      <c r="F64" s="1" t="s">
        <v>43</v>
      </c>
      <c r="G64" s="15">
        <v>1250</v>
      </c>
      <c r="H64" s="15"/>
      <c r="I64" s="15"/>
      <c r="J64" s="15"/>
      <c r="K64" s="15"/>
      <c r="L64" s="15"/>
      <c r="M64" s="14"/>
      <c r="N64" s="14"/>
      <c r="O64" s="14"/>
      <c r="P64" s="14"/>
      <c r="Q64" s="14"/>
      <c r="R64" s="14"/>
      <c r="S64" s="14"/>
      <c r="T64" s="22"/>
    </row>
    <row r="65" spans="1:20" x14ac:dyDescent="0.35">
      <c r="A65" s="737"/>
      <c r="B65" s="1" t="s">
        <v>24</v>
      </c>
      <c r="C65" s="1" t="s">
        <v>48</v>
      </c>
      <c r="D65" s="1" t="s">
        <v>78</v>
      </c>
      <c r="E65" s="1">
        <v>120</v>
      </c>
      <c r="F65" s="1" t="s">
        <v>43</v>
      </c>
      <c r="G65" s="15">
        <v>1250</v>
      </c>
      <c r="H65" s="15"/>
      <c r="I65" s="15"/>
      <c r="J65" s="15"/>
      <c r="K65" s="15"/>
      <c r="L65" s="15"/>
      <c r="M65" s="14"/>
      <c r="N65" s="14"/>
      <c r="O65" s="14"/>
      <c r="P65" s="14"/>
      <c r="Q65" s="14"/>
      <c r="R65" s="14"/>
      <c r="S65" s="14"/>
      <c r="T65" s="22"/>
    </row>
    <row r="66" spans="1:20" x14ac:dyDescent="0.35">
      <c r="A66" s="8" t="s">
        <v>91</v>
      </c>
      <c r="B66" s="1" t="s">
        <v>24</v>
      </c>
      <c r="C66" s="10" t="s">
        <v>91</v>
      </c>
      <c r="D66" s="10"/>
      <c r="E66" s="1">
        <v>30</v>
      </c>
      <c r="F66" s="1" t="s">
        <v>43</v>
      </c>
      <c r="G66" s="15">
        <v>1450</v>
      </c>
      <c r="H66" s="15"/>
      <c r="I66" s="15">
        <v>13050</v>
      </c>
      <c r="J66" s="15">
        <v>13050</v>
      </c>
      <c r="K66" s="15">
        <v>13050</v>
      </c>
      <c r="L66" s="15">
        <v>13050</v>
      </c>
      <c r="M66" s="15">
        <v>7250</v>
      </c>
      <c r="N66" s="15">
        <v>7250</v>
      </c>
      <c r="O66" s="15">
        <v>7250</v>
      </c>
      <c r="P66" s="15">
        <v>7250</v>
      </c>
      <c r="Q66" s="15">
        <v>7250</v>
      </c>
      <c r="R66" s="15">
        <v>7250</v>
      </c>
      <c r="S66" s="15">
        <v>7250</v>
      </c>
      <c r="T66" s="3">
        <v>7250</v>
      </c>
    </row>
    <row r="67" spans="1:20" x14ac:dyDescent="0.35">
      <c r="A67" s="8" t="s">
        <v>92</v>
      </c>
      <c r="B67" s="1" t="s">
        <v>24</v>
      </c>
      <c r="C67" s="10" t="s">
        <v>93</v>
      </c>
      <c r="D67" s="10"/>
      <c r="E67" s="1"/>
      <c r="F67" s="1" t="s">
        <v>41</v>
      </c>
      <c r="G67" s="15">
        <v>0.06</v>
      </c>
      <c r="H67" s="15"/>
      <c r="I67" s="15">
        <v>100000</v>
      </c>
      <c r="J67" s="15">
        <v>100000</v>
      </c>
      <c r="K67" s="15">
        <v>100000</v>
      </c>
      <c r="L67" s="15">
        <v>100000</v>
      </c>
      <c r="M67" s="15">
        <v>100000</v>
      </c>
      <c r="N67" s="15">
        <v>100000</v>
      </c>
      <c r="O67" s="15">
        <v>100000</v>
      </c>
      <c r="P67" s="15">
        <v>100000</v>
      </c>
      <c r="Q67" s="15">
        <v>100000</v>
      </c>
      <c r="R67" s="15">
        <v>100000</v>
      </c>
      <c r="S67" s="15">
        <v>100000</v>
      </c>
      <c r="T67" s="3">
        <v>100000</v>
      </c>
    </row>
    <row r="68" spans="1:20" x14ac:dyDescent="0.35">
      <c r="A68" s="8" t="s">
        <v>94</v>
      </c>
      <c r="B68" s="1" t="s">
        <v>24</v>
      </c>
      <c r="C68" s="10" t="s">
        <v>93</v>
      </c>
      <c r="D68" s="10"/>
      <c r="E68" s="1"/>
      <c r="F68" s="1" t="s">
        <v>41</v>
      </c>
      <c r="G68" s="15">
        <v>3.5000000000000003E-2</v>
      </c>
      <c r="H68" s="15"/>
      <c r="I68" s="15"/>
      <c r="J68" s="15">
        <v>250000</v>
      </c>
      <c r="K68" s="15">
        <v>250000</v>
      </c>
      <c r="L68" s="15">
        <v>250000</v>
      </c>
      <c r="M68" s="15">
        <v>250000</v>
      </c>
      <c r="N68" s="15">
        <v>250000</v>
      </c>
      <c r="O68" s="15">
        <v>250000</v>
      </c>
      <c r="P68" s="15">
        <v>250000</v>
      </c>
      <c r="Q68" s="15">
        <v>250000</v>
      </c>
      <c r="R68" s="15">
        <v>250000</v>
      </c>
      <c r="S68" s="15">
        <v>250000</v>
      </c>
      <c r="T68" s="3">
        <v>250000</v>
      </c>
    </row>
    <row r="69" spans="1:20" x14ac:dyDescent="0.35">
      <c r="A69" s="8" t="s">
        <v>95</v>
      </c>
      <c r="B69" s="1" t="s">
        <v>38</v>
      </c>
      <c r="C69" s="10" t="s">
        <v>95</v>
      </c>
      <c r="D69" s="10"/>
      <c r="E69" s="1">
        <v>30</v>
      </c>
      <c r="F69" s="1" t="s">
        <v>43</v>
      </c>
      <c r="G69" s="15">
        <v>1500</v>
      </c>
      <c r="H69" s="15"/>
      <c r="I69" s="15"/>
      <c r="J69" s="15"/>
      <c r="K69" s="15"/>
      <c r="L69" s="15"/>
      <c r="M69" s="14"/>
      <c r="N69" s="14"/>
      <c r="O69" s="14"/>
      <c r="P69" s="14"/>
      <c r="Q69" s="14"/>
      <c r="R69" s="14"/>
      <c r="S69" s="14"/>
      <c r="T69" s="22"/>
    </row>
    <row r="70" spans="1:20" x14ac:dyDescent="0.35">
      <c r="A70" s="8" t="s">
        <v>96</v>
      </c>
      <c r="B70" s="1" t="s">
        <v>24</v>
      </c>
      <c r="C70" s="10" t="s">
        <v>97</v>
      </c>
      <c r="D70" s="10"/>
      <c r="E70" s="1">
        <v>200</v>
      </c>
      <c r="F70" s="1" t="s">
        <v>43</v>
      </c>
      <c r="G70" s="15">
        <v>2100</v>
      </c>
      <c r="H70" s="15"/>
      <c r="I70" s="15"/>
      <c r="J70" s="15"/>
      <c r="K70" s="15"/>
      <c r="L70" s="15"/>
      <c r="M70" s="14"/>
      <c r="N70" s="14"/>
      <c r="O70" s="14"/>
      <c r="P70" s="14"/>
      <c r="Q70" s="14"/>
      <c r="R70" s="14"/>
      <c r="S70" s="14"/>
      <c r="T70" s="22"/>
    </row>
    <row r="71" spans="1:20" x14ac:dyDescent="0.35">
      <c r="A71" s="8" t="s">
        <v>98</v>
      </c>
      <c r="B71" s="1" t="s">
        <v>38</v>
      </c>
      <c r="C71" s="10" t="s">
        <v>99</v>
      </c>
      <c r="D71" s="10"/>
      <c r="E71" s="1">
        <v>30</v>
      </c>
      <c r="F71" s="1" t="s">
        <v>41</v>
      </c>
      <c r="G71" s="15">
        <v>0.14000000000000001</v>
      </c>
      <c r="H71" s="15"/>
      <c r="I71" s="15"/>
      <c r="J71" s="15"/>
      <c r="K71" s="15"/>
      <c r="L71" s="15"/>
      <c r="M71" s="14"/>
      <c r="N71" s="14"/>
      <c r="O71" s="14"/>
      <c r="P71" s="14"/>
      <c r="Q71" s="14"/>
      <c r="R71" s="14"/>
      <c r="S71" s="14"/>
      <c r="T71" s="22"/>
    </row>
    <row r="72" spans="1:20" x14ac:dyDescent="0.35">
      <c r="A72" s="8" t="s">
        <v>100</v>
      </c>
      <c r="B72" s="1" t="s">
        <v>38</v>
      </c>
      <c r="C72" s="10" t="s">
        <v>101</v>
      </c>
      <c r="D72" s="10"/>
      <c r="E72" s="1">
        <v>30</v>
      </c>
      <c r="F72" s="1" t="s">
        <v>43</v>
      </c>
      <c r="G72" s="15">
        <v>1350</v>
      </c>
      <c r="H72" s="15"/>
      <c r="I72" s="15"/>
      <c r="J72" s="15"/>
      <c r="K72" s="15"/>
      <c r="L72" s="15"/>
      <c r="M72" s="14"/>
      <c r="N72" s="14"/>
      <c r="O72" s="14"/>
      <c r="P72" s="14"/>
      <c r="Q72" s="14"/>
      <c r="R72" s="14"/>
      <c r="S72" s="14"/>
      <c r="T72" s="22"/>
    </row>
    <row r="73" spans="1:20" x14ac:dyDescent="0.35">
      <c r="A73" s="8" t="s">
        <v>102</v>
      </c>
      <c r="B73" s="1" t="s">
        <v>38</v>
      </c>
      <c r="C73" s="10" t="s">
        <v>99</v>
      </c>
      <c r="D73" s="10"/>
      <c r="E73" s="1">
        <v>30</v>
      </c>
      <c r="F73" s="1" t="s">
        <v>43</v>
      </c>
      <c r="G73" s="15">
        <v>1450</v>
      </c>
      <c r="H73" s="15"/>
      <c r="I73" s="15"/>
      <c r="J73" s="15"/>
      <c r="K73" s="15"/>
      <c r="L73" s="15"/>
      <c r="M73" s="14"/>
      <c r="N73" s="14"/>
      <c r="O73" s="14"/>
      <c r="P73" s="14"/>
      <c r="Q73" s="14"/>
      <c r="R73" s="14"/>
      <c r="S73" s="14"/>
      <c r="T73" s="22"/>
    </row>
    <row r="74" spans="1:20" x14ac:dyDescent="0.35">
      <c r="A74" s="4" t="s">
        <v>103</v>
      </c>
      <c r="B74" s="1" t="s">
        <v>38</v>
      </c>
      <c r="C74" s="1" t="s">
        <v>93</v>
      </c>
      <c r="D74" s="2"/>
      <c r="E74" s="2"/>
      <c r="F74" s="1" t="s">
        <v>41</v>
      </c>
      <c r="G74" s="17">
        <v>7.0000000000000007E-2</v>
      </c>
      <c r="H74" s="17"/>
      <c r="I74" s="17"/>
      <c r="J74" s="17"/>
      <c r="K74" s="17"/>
      <c r="L74" s="17"/>
      <c r="M74" s="14"/>
      <c r="N74" s="14"/>
      <c r="O74" s="14"/>
      <c r="P74" s="14"/>
      <c r="Q74" s="14"/>
      <c r="R74" s="14"/>
      <c r="S74" s="14"/>
      <c r="T74" s="22"/>
    </row>
    <row r="75" spans="1:20" x14ac:dyDescent="0.35">
      <c r="A75" s="4" t="s">
        <v>104</v>
      </c>
      <c r="B75" s="1" t="s">
        <v>24</v>
      </c>
      <c r="C75" s="1" t="s">
        <v>105</v>
      </c>
      <c r="D75" s="2"/>
      <c r="E75" s="2"/>
      <c r="F75" s="1" t="s">
        <v>106</v>
      </c>
      <c r="G75" s="19">
        <v>100</v>
      </c>
      <c r="H75" s="19"/>
      <c r="I75" s="19"/>
      <c r="J75" s="19"/>
      <c r="K75" s="19"/>
      <c r="L75" s="19"/>
      <c r="M75" s="14"/>
      <c r="N75" s="14"/>
      <c r="O75" s="14"/>
      <c r="P75" s="14"/>
      <c r="Q75" s="14"/>
      <c r="R75" s="14"/>
      <c r="S75" s="14"/>
      <c r="T75" s="22"/>
    </row>
    <row r="76" spans="1:20" x14ac:dyDescent="0.35">
      <c r="A76" s="8" t="s">
        <v>107</v>
      </c>
      <c r="B76" s="1" t="s">
        <v>38</v>
      </c>
      <c r="C76" s="10" t="s">
        <v>101</v>
      </c>
      <c r="D76" s="10"/>
      <c r="E76" s="1">
        <v>30</v>
      </c>
      <c r="F76" s="1" t="s">
        <v>43</v>
      </c>
      <c r="G76" s="15">
        <v>1440</v>
      </c>
      <c r="H76" s="15"/>
      <c r="I76" s="15"/>
      <c r="J76" s="15"/>
      <c r="K76" s="15"/>
      <c r="L76" s="15"/>
      <c r="M76" s="14"/>
      <c r="N76" s="14"/>
      <c r="O76" s="14"/>
      <c r="P76" s="14"/>
      <c r="Q76" s="14"/>
      <c r="R76" s="14"/>
      <c r="S76" s="14"/>
      <c r="T76" s="22"/>
    </row>
    <row r="77" spans="1:20" x14ac:dyDescent="0.35">
      <c r="A77" s="8" t="s">
        <v>108</v>
      </c>
      <c r="B77" s="1" t="s">
        <v>38</v>
      </c>
      <c r="C77" s="10" t="s">
        <v>93</v>
      </c>
      <c r="D77" s="10"/>
      <c r="E77" s="1"/>
      <c r="F77" s="1" t="s">
        <v>41</v>
      </c>
      <c r="G77" s="15">
        <v>300</v>
      </c>
      <c r="H77" s="15"/>
      <c r="I77" s="15"/>
      <c r="J77" s="15"/>
      <c r="K77" s="15"/>
      <c r="L77" s="15"/>
      <c r="M77" s="14"/>
      <c r="N77" s="14"/>
      <c r="O77" s="14"/>
      <c r="P77" s="14"/>
      <c r="Q77" s="14"/>
      <c r="R77" s="14"/>
      <c r="S77" s="14"/>
      <c r="T77" s="22"/>
    </row>
    <row r="78" spans="1:20" x14ac:dyDescent="0.35">
      <c r="A78" s="8" t="s">
        <v>109</v>
      </c>
      <c r="B78" s="1" t="s">
        <v>38</v>
      </c>
      <c r="C78" s="10" t="s">
        <v>44</v>
      </c>
      <c r="D78" s="10"/>
      <c r="E78" s="1"/>
      <c r="F78" s="1" t="s">
        <v>62</v>
      </c>
      <c r="G78" s="15">
        <v>7</v>
      </c>
      <c r="H78" s="15"/>
      <c r="I78" s="15"/>
      <c r="J78" s="15"/>
      <c r="K78" s="15"/>
      <c r="L78" s="15"/>
      <c r="M78" s="14"/>
      <c r="N78" s="14"/>
      <c r="O78" s="14"/>
      <c r="P78" s="14"/>
      <c r="Q78" s="14"/>
      <c r="R78" s="14"/>
      <c r="S78" s="14"/>
      <c r="T78" s="22"/>
    </row>
    <row r="79" spans="1:20" x14ac:dyDescent="0.35">
      <c r="A79" s="8" t="s">
        <v>110</v>
      </c>
      <c r="B79" s="1" t="s">
        <v>38</v>
      </c>
      <c r="C79" s="10" t="s">
        <v>111</v>
      </c>
      <c r="D79" s="10"/>
      <c r="E79" s="1"/>
      <c r="F79" s="1" t="s">
        <v>62</v>
      </c>
      <c r="G79" s="15">
        <v>7</v>
      </c>
      <c r="H79" s="15"/>
      <c r="I79" s="15"/>
      <c r="J79" s="15"/>
      <c r="K79" s="15"/>
      <c r="L79" s="15"/>
      <c r="M79" s="14"/>
      <c r="N79" s="14"/>
      <c r="O79" s="14"/>
      <c r="P79" s="14"/>
      <c r="Q79" s="14"/>
      <c r="R79" s="14"/>
      <c r="S79" s="14"/>
      <c r="T79" s="22"/>
    </row>
    <row r="80" spans="1:20" x14ac:dyDescent="0.35">
      <c r="A80" s="8" t="s">
        <v>110</v>
      </c>
      <c r="B80" s="1" t="s">
        <v>38</v>
      </c>
      <c r="C80" s="10" t="s">
        <v>112</v>
      </c>
      <c r="D80" s="10"/>
      <c r="E80" s="1"/>
      <c r="F80" s="1" t="s">
        <v>62</v>
      </c>
      <c r="G80" s="15">
        <v>7</v>
      </c>
      <c r="H80" s="15"/>
      <c r="I80" s="15"/>
      <c r="J80" s="15"/>
      <c r="K80" s="15"/>
      <c r="L80" s="15"/>
      <c r="M80" s="14"/>
      <c r="N80" s="14"/>
      <c r="O80" s="14"/>
      <c r="P80" s="14"/>
      <c r="Q80" s="14"/>
      <c r="R80" s="14"/>
      <c r="S80" s="14"/>
      <c r="T80" s="22"/>
    </row>
    <row r="81" spans="1:20" x14ac:dyDescent="0.35">
      <c r="A81" s="8" t="s">
        <v>110</v>
      </c>
      <c r="B81" s="1" t="s">
        <v>38</v>
      </c>
      <c r="C81" s="10" t="s">
        <v>113</v>
      </c>
      <c r="D81" s="10"/>
      <c r="E81" s="1"/>
      <c r="F81" s="1" t="s">
        <v>62</v>
      </c>
      <c r="G81" s="15">
        <v>7</v>
      </c>
      <c r="H81" s="15"/>
      <c r="I81" s="15"/>
      <c r="J81" s="15"/>
      <c r="K81" s="15"/>
      <c r="L81" s="15"/>
      <c r="M81" s="14"/>
      <c r="N81" s="14"/>
      <c r="O81" s="14"/>
      <c r="P81" s="14"/>
      <c r="Q81" s="14"/>
      <c r="R81" s="14"/>
      <c r="S81" s="14"/>
      <c r="T81" s="22"/>
    </row>
    <row r="82" spans="1:20" x14ac:dyDescent="0.35">
      <c r="A82" s="8" t="s">
        <v>110</v>
      </c>
      <c r="B82" s="1" t="s">
        <v>38</v>
      </c>
      <c r="C82" s="10" t="s">
        <v>101</v>
      </c>
      <c r="D82" s="10"/>
      <c r="E82" s="1"/>
      <c r="F82" s="1" t="s">
        <v>62</v>
      </c>
      <c r="G82" s="15">
        <v>8</v>
      </c>
      <c r="H82" s="15"/>
      <c r="I82" s="15"/>
      <c r="J82" s="15"/>
      <c r="K82" s="15"/>
      <c r="L82" s="15"/>
      <c r="M82" s="14"/>
      <c r="N82" s="14"/>
      <c r="O82" s="14"/>
      <c r="P82" s="14"/>
      <c r="Q82" s="14"/>
      <c r="R82" s="14"/>
      <c r="S82" s="14"/>
      <c r="T82" s="22"/>
    </row>
    <row r="83" spans="1:20" ht="15" thickBot="1" x14ac:dyDescent="0.4">
      <c r="A83" s="23" t="s">
        <v>110</v>
      </c>
      <c r="B83" s="24" t="s">
        <v>38</v>
      </c>
      <c r="C83" s="25" t="s">
        <v>114</v>
      </c>
      <c r="D83" s="25"/>
      <c r="E83" s="24"/>
      <c r="F83" s="24" t="s">
        <v>62</v>
      </c>
      <c r="G83" s="26">
        <v>7</v>
      </c>
      <c r="H83" s="26"/>
      <c r="I83" s="26"/>
      <c r="J83" s="26"/>
      <c r="K83" s="26"/>
      <c r="L83" s="26"/>
      <c r="M83" s="27"/>
      <c r="N83" s="27"/>
      <c r="O83" s="27"/>
      <c r="P83" s="27"/>
      <c r="Q83" s="27"/>
      <c r="R83" s="27"/>
      <c r="S83" s="27"/>
      <c r="T83" s="28"/>
    </row>
  </sheetData>
  <mergeCells count="66">
    <mergeCell ref="A64:A65"/>
    <mergeCell ref="A6:A15"/>
    <mergeCell ref="A24:A25"/>
    <mergeCell ref="A27:A31"/>
    <mergeCell ref="A32:A36"/>
    <mergeCell ref="A19:A23"/>
    <mergeCell ref="A48:A49"/>
    <mergeCell ref="A50:A51"/>
    <mergeCell ref="A52:A58"/>
    <mergeCell ref="A38:A40"/>
    <mergeCell ref="G41:G45"/>
    <mergeCell ref="A41:A47"/>
    <mergeCell ref="A59:A62"/>
    <mergeCell ref="G59:G62"/>
    <mergeCell ref="G19:G22"/>
    <mergeCell ref="G27:G30"/>
    <mergeCell ref="G38:G39"/>
    <mergeCell ref="N19:N22"/>
    <mergeCell ref="O19:O22"/>
    <mergeCell ref="P19:P22"/>
    <mergeCell ref="Q19:Q22"/>
    <mergeCell ref="H19:H22"/>
    <mergeCell ref="I19:I22"/>
    <mergeCell ref="J19:J22"/>
    <mergeCell ref="K19:K22"/>
    <mergeCell ref="L19:L22"/>
    <mergeCell ref="R19:R22"/>
    <mergeCell ref="S19:S22"/>
    <mergeCell ref="T19:T22"/>
    <mergeCell ref="I38:I39"/>
    <mergeCell ref="J38:J39"/>
    <mergeCell ref="K38:K39"/>
    <mergeCell ref="L38:L39"/>
    <mergeCell ref="M38:M39"/>
    <mergeCell ref="N38:N39"/>
    <mergeCell ref="O38:O39"/>
    <mergeCell ref="P38:P39"/>
    <mergeCell ref="Q38:Q39"/>
    <mergeCell ref="R38:R39"/>
    <mergeCell ref="S38:S39"/>
    <mergeCell ref="T38:T39"/>
    <mergeCell ref="M19:M22"/>
    <mergeCell ref="P52:P54"/>
    <mergeCell ref="Q52:Q54"/>
    <mergeCell ref="R52:R54"/>
    <mergeCell ref="I52:I54"/>
    <mergeCell ref="J52:J54"/>
    <mergeCell ref="K52:K54"/>
    <mergeCell ref="L52:L54"/>
    <mergeCell ref="M52:M54"/>
    <mergeCell ref="S52:S54"/>
    <mergeCell ref="T52:T54"/>
    <mergeCell ref="I59:I62"/>
    <mergeCell ref="J59:J62"/>
    <mergeCell ref="K59:K62"/>
    <mergeCell ref="L59:L62"/>
    <mergeCell ref="M59:M62"/>
    <mergeCell ref="N59:N62"/>
    <mergeCell ref="O59:O62"/>
    <mergeCell ref="P59:P62"/>
    <mergeCell ref="Q59:Q62"/>
    <mergeCell ref="R59:R62"/>
    <mergeCell ref="S59:S62"/>
    <mergeCell ref="T59:T62"/>
    <mergeCell ref="N52:N54"/>
    <mergeCell ref="O52:O5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251"/>
  <sheetViews>
    <sheetView zoomScaleNormal="100" workbookViewId="0">
      <pane xSplit="3" ySplit="5" topLeftCell="R48" activePane="bottomRight" state="frozen"/>
      <selection pane="topRight" activeCell="D1" sqref="D1"/>
      <selection pane="bottomLeft" activeCell="A4" sqref="A4"/>
      <selection pane="bottomRight" activeCell="AY9" sqref="AY9"/>
    </sheetView>
  </sheetViews>
  <sheetFormatPr defaultColWidth="8.81640625" defaultRowHeight="14.5" x14ac:dyDescent="0.35"/>
  <cols>
    <col min="1" max="1" width="15.1796875" customWidth="1"/>
    <col min="2" max="2" width="12.453125" customWidth="1"/>
    <col min="3" max="3" width="32.1796875" bestFit="1" customWidth="1"/>
    <col min="4" max="4" width="13" customWidth="1"/>
    <col min="5" max="5" width="22.453125" customWidth="1"/>
    <col min="6" max="6" width="10.1796875" customWidth="1"/>
    <col min="7" max="7" width="14.81640625" customWidth="1"/>
    <col min="8" max="8" width="18" bestFit="1" customWidth="1"/>
    <col min="9" max="9" width="16.453125" customWidth="1"/>
    <col min="10" max="21" width="11.81640625" customWidth="1"/>
    <col min="22" max="22" width="10.453125" customWidth="1"/>
    <col min="23" max="34" width="11.81640625" customWidth="1"/>
    <col min="36" max="47" width="11.81640625" customWidth="1"/>
  </cols>
  <sheetData>
    <row r="1" spans="1:54" x14ac:dyDescent="0.35">
      <c r="D1" t="s">
        <v>115</v>
      </c>
      <c r="H1" t="s">
        <v>116</v>
      </c>
      <c r="AX1" t="s">
        <v>117</v>
      </c>
      <c r="AY1" s="45">
        <f>SUM(AJ6:AJ15)</f>
        <v>20.263613011695906</v>
      </c>
      <c r="BA1" t="s">
        <v>118</v>
      </c>
    </row>
    <row r="2" spans="1:54" x14ac:dyDescent="0.35">
      <c r="D2" t="s">
        <v>119</v>
      </c>
      <c r="I2" s="9" t="s">
        <v>0</v>
      </c>
      <c r="J2" s="9">
        <v>23</v>
      </c>
      <c r="K2" s="9">
        <v>21</v>
      </c>
      <c r="L2" s="9">
        <v>21</v>
      </c>
      <c r="M2" s="9">
        <v>22</v>
      </c>
      <c r="N2" s="9">
        <v>23</v>
      </c>
      <c r="O2" s="9">
        <v>20</v>
      </c>
      <c r="P2" s="9">
        <v>23</v>
      </c>
      <c r="Q2" s="9">
        <v>22</v>
      </c>
      <c r="R2" s="9">
        <v>21</v>
      </c>
      <c r="S2" s="9">
        <v>23</v>
      </c>
      <c r="T2" s="9">
        <v>21</v>
      </c>
      <c r="U2" s="9">
        <v>22</v>
      </c>
      <c r="W2" s="9"/>
      <c r="X2" s="9"/>
      <c r="Y2" s="9"/>
      <c r="Z2" s="9"/>
      <c r="AA2" s="9"/>
      <c r="AB2" s="9"/>
      <c r="AC2" s="9"/>
      <c r="AD2" s="9"/>
      <c r="AE2" s="9"/>
      <c r="AF2" s="9"/>
      <c r="AG2" s="9"/>
      <c r="AH2" s="9"/>
      <c r="AJ2" s="9"/>
      <c r="AP2" s="9"/>
      <c r="AQ2" s="9"/>
      <c r="AR2" s="9"/>
      <c r="AS2" s="9"/>
      <c r="AT2" s="9"/>
      <c r="AU2" s="9"/>
      <c r="AX2" s="9" t="s">
        <v>120</v>
      </c>
      <c r="AY2" s="46">
        <v>0.1</v>
      </c>
      <c r="AZ2" s="45">
        <f>100%-AY2-AY3</f>
        <v>0.85</v>
      </c>
      <c r="BA2" s="9">
        <f>AY1/AZ2</f>
        <v>23.839544719642245</v>
      </c>
      <c r="BB2" s="45">
        <f>BA2*AZ2</f>
        <v>20.263613011695906</v>
      </c>
    </row>
    <row r="3" spans="1:54" x14ac:dyDescent="0.35">
      <c r="D3" t="s">
        <v>121</v>
      </c>
      <c r="I3" s="9" t="s">
        <v>1</v>
      </c>
      <c r="J3" s="9">
        <v>3</v>
      </c>
      <c r="K3" s="9">
        <v>0</v>
      </c>
      <c r="L3" s="9">
        <v>0</v>
      </c>
      <c r="M3" s="9">
        <v>0</v>
      </c>
      <c r="N3" s="9">
        <v>2</v>
      </c>
      <c r="O3" s="9">
        <v>1</v>
      </c>
      <c r="P3" s="9">
        <v>4</v>
      </c>
      <c r="Q3" s="9">
        <v>1</v>
      </c>
      <c r="R3" s="9">
        <v>1</v>
      </c>
      <c r="S3" s="9">
        <v>2</v>
      </c>
      <c r="T3" s="9">
        <v>2</v>
      </c>
      <c r="U3" s="9">
        <v>1</v>
      </c>
      <c r="W3" s="9"/>
      <c r="X3" s="9"/>
      <c r="Y3" s="9"/>
      <c r="Z3" s="9"/>
      <c r="AA3" s="9"/>
      <c r="AB3" s="9"/>
      <c r="AC3" s="9"/>
      <c r="AD3" s="9"/>
      <c r="AE3" s="9"/>
      <c r="AF3" s="9"/>
      <c r="AG3" s="9"/>
      <c r="AH3" s="9"/>
      <c r="AJ3" s="9" t="s">
        <v>122</v>
      </c>
      <c r="AP3" s="9"/>
      <c r="AQ3" s="9"/>
      <c r="AR3" s="9"/>
      <c r="AS3" s="9"/>
      <c r="AT3" s="9"/>
      <c r="AU3" s="9"/>
      <c r="AX3" s="9" t="s">
        <v>123</v>
      </c>
      <c r="AY3" s="46">
        <v>0.05</v>
      </c>
      <c r="AZ3" s="9"/>
      <c r="BA3" s="9"/>
      <c r="BB3" s="9"/>
    </row>
    <row r="4" spans="1:54" ht="15" thickBot="1" x14ac:dyDescent="0.4">
      <c r="I4" s="9" t="s">
        <v>2</v>
      </c>
      <c r="J4" s="9">
        <f t="shared" ref="J4:U4" si="0">J2-J3</f>
        <v>20</v>
      </c>
      <c r="K4" s="9">
        <f t="shared" si="0"/>
        <v>21</v>
      </c>
      <c r="L4" s="9">
        <f t="shared" si="0"/>
        <v>21</v>
      </c>
      <c r="M4" s="9">
        <f t="shared" si="0"/>
        <v>22</v>
      </c>
      <c r="N4" s="9">
        <f t="shared" si="0"/>
        <v>21</v>
      </c>
      <c r="O4" s="9">
        <f t="shared" si="0"/>
        <v>19</v>
      </c>
      <c r="P4" s="9">
        <f t="shared" si="0"/>
        <v>19</v>
      </c>
      <c r="Q4" s="9">
        <f t="shared" si="0"/>
        <v>21</v>
      </c>
      <c r="R4" s="9">
        <f t="shared" si="0"/>
        <v>20</v>
      </c>
      <c r="S4" s="9">
        <f t="shared" si="0"/>
        <v>21</v>
      </c>
      <c r="T4" s="9">
        <f t="shared" si="0"/>
        <v>19</v>
      </c>
      <c r="U4" s="9">
        <f t="shared" si="0"/>
        <v>21</v>
      </c>
      <c r="W4" s="76" t="s">
        <v>124</v>
      </c>
      <c r="X4" s="9"/>
      <c r="Y4" s="9"/>
      <c r="Z4" s="9"/>
      <c r="AA4" s="9"/>
      <c r="AB4" s="9"/>
      <c r="AC4" s="9"/>
      <c r="AD4" s="9"/>
      <c r="AE4" s="9"/>
      <c r="AF4" s="9"/>
      <c r="AG4" s="9"/>
      <c r="AH4" s="9"/>
      <c r="AK4" s="9"/>
      <c r="AL4" s="9"/>
      <c r="AM4" s="9"/>
      <c r="AN4" s="9"/>
      <c r="AO4" s="9"/>
      <c r="AP4" s="9"/>
      <c r="AQ4" s="9"/>
      <c r="AR4" s="9"/>
      <c r="AS4" s="9"/>
      <c r="AT4" s="9"/>
      <c r="AU4" s="9"/>
    </row>
    <row r="5" spans="1:54" ht="26.5" thickBot="1" x14ac:dyDescent="0.4">
      <c r="A5" s="33" t="s">
        <v>3</v>
      </c>
      <c r="B5" s="34" t="s">
        <v>4</v>
      </c>
      <c r="C5" s="34" t="s">
        <v>5</v>
      </c>
      <c r="D5" s="92" t="s">
        <v>125</v>
      </c>
      <c r="E5" s="34" t="s">
        <v>6</v>
      </c>
      <c r="F5" s="34" t="s">
        <v>7</v>
      </c>
      <c r="G5" s="34" t="s">
        <v>8</v>
      </c>
      <c r="H5" s="34" t="s">
        <v>9</v>
      </c>
      <c r="I5" s="34" t="s">
        <v>10</v>
      </c>
      <c r="J5" s="34" t="s">
        <v>11</v>
      </c>
      <c r="K5" s="34" t="s">
        <v>12</v>
      </c>
      <c r="L5" s="34" t="s">
        <v>13</v>
      </c>
      <c r="M5" s="34" t="s">
        <v>14</v>
      </c>
      <c r="N5" s="34" t="s">
        <v>15</v>
      </c>
      <c r="O5" s="34" t="s">
        <v>16</v>
      </c>
      <c r="P5" s="34" t="s">
        <v>17</v>
      </c>
      <c r="Q5" s="34" t="s">
        <v>18</v>
      </c>
      <c r="R5" s="34" t="s">
        <v>19</v>
      </c>
      <c r="S5" s="34" t="s">
        <v>20</v>
      </c>
      <c r="T5" s="34" t="s">
        <v>21</v>
      </c>
      <c r="U5" s="35" t="s">
        <v>22</v>
      </c>
      <c r="W5" s="34" t="s">
        <v>11</v>
      </c>
      <c r="X5" s="34" t="s">
        <v>12</v>
      </c>
      <c r="Y5" s="34" t="s">
        <v>13</v>
      </c>
      <c r="Z5" s="34" t="s">
        <v>14</v>
      </c>
      <c r="AA5" s="34" t="s">
        <v>15</v>
      </c>
      <c r="AB5" s="34" t="s">
        <v>16</v>
      </c>
      <c r="AC5" s="34" t="s">
        <v>17</v>
      </c>
      <c r="AD5" s="34" t="s">
        <v>18</v>
      </c>
      <c r="AE5" s="34" t="s">
        <v>19</v>
      </c>
      <c r="AF5" s="34" t="s">
        <v>20</v>
      </c>
      <c r="AG5" s="34" t="s">
        <v>21</v>
      </c>
      <c r="AH5" s="35" t="s">
        <v>22</v>
      </c>
      <c r="AJ5" s="34" t="s">
        <v>11</v>
      </c>
      <c r="AK5" s="34" t="s">
        <v>12</v>
      </c>
      <c r="AL5" s="34" t="s">
        <v>13</v>
      </c>
      <c r="AM5" s="34" t="s">
        <v>14</v>
      </c>
      <c r="AN5" s="34" t="s">
        <v>15</v>
      </c>
      <c r="AO5" s="34" t="s">
        <v>16</v>
      </c>
      <c r="AP5" s="34" t="s">
        <v>17</v>
      </c>
      <c r="AQ5" s="34" t="s">
        <v>18</v>
      </c>
      <c r="AR5" s="34" t="s">
        <v>19</v>
      </c>
      <c r="AS5" s="34" t="s">
        <v>20</v>
      </c>
      <c r="AT5" s="34" t="s">
        <v>21</v>
      </c>
      <c r="AU5" s="35" t="s">
        <v>22</v>
      </c>
    </row>
    <row r="6" spans="1:54" ht="21" customHeight="1" x14ac:dyDescent="0.35">
      <c r="A6" s="90" t="s">
        <v>23</v>
      </c>
      <c r="B6" s="29" t="s">
        <v>24</v>
      </c>
      <c r="C6" s="29" t="s">
        <v>25</v>
      </c>
      <c r="D6" s="14" t="s">
        <v>119</v>
      </c>
      <c r="E6" s="29" t="s">
        <v>26</v>
      </c>
      <c r="F6" s="30">
        <v>300</v>
      </c>
      <c r="G6" s="30" t="s">
        <v>27</v>
      </c>
      <c r="H6" s="31">
        <v>0.27</v>
      </c>
      <c r="I6" s="30">
        <v>355</v>
      </c>
      <c r="J6" s="30">
        <v>7100</v>
      </c>
      <c r="K6" s="30">
        <v>7455</v>
      </c>
      <c r="L6" s="30">
        <v>7455</v>
      </c>
      <c r="M6" s="30">
        <v>7810</v>
      </c>
      <c r="N6" s="30">
        <v>7455</v>
      </c>
      <c r="O6" s="30">
        <v>6745</v>
      </c>
      <c r="P6" s="30">
        <v>6745</v>
      </c>
      <c r="Q6" s="30">
        <v>7455</v>
      </c>
      <c r="R6" s="30">
        <v>7100</v>
      </c>
      <c r="S6" s="30">
        <v>7455</v>
      </c>
      <c r="T6" s="30">
        <v>6745</v>
      </c>
      <c r="U6" s="32">
        <v>7455</v>
      </c>
      <c r="W6" s="43">
        <f>$H6*J6</f>
        <v>1917.0000000000002</v>
      </c>
      <c r="X6" s="43">
        <f t="shared" ref="X6:AH19" si="1">$H6*K6</f>
        <v>2012.8500000000001</v>
      </c>
      <c r="Y6" s="43">
        <f t="shared" si="1"/>
        <v>2012.8500000000001</v>
      </c>
      <c r="Z6" s="43">
        <f t="shared" si="1"/>
        <v>2108.7000000000003</v>
      </c>
      <c r="AA6" s="43">
        <f t="shared" si="1"/>
        <v>2012.8500000000001</v>
      </c>
      <c r="AB6" s="43">
        <f t="shared" si="1"/>
        <v>1821.15</v>
      </c>
      <c r="AC6" s="43">
        <f t="shared" si="1"/>
        <v>1821.15</v>
      </c>
      <c r="AD6" s="43">
        <f t="shared" si="1"/>
        <v>2012.8500000000001</v>
      </c>
      <c r="AE6" s="43">
        <f t="shared" si="1"/>
        <v>1917.0000000000002</v>
      </c>
      <c r="AF6" s="43">
        <f t="shared" si="1"/>
        <v>2012.8500000000001</v>
      </c>
      <c r="AG6" s="43">
        <f t="shared" si="1"/>
        <v>1821.15</v>
      </c>
      <c r="AH6" s="43">
        <f t="shared" si="1"/>
        <v>2012.8500000000001</v>
      </c>
      <c r="AJ6" s="44">
        <f>(J6/J$4)/$F6</f>
        <v>1.1833333333333333</v>
      </c>
      <c r="AK6" s="44">
        <f t="shared" ref="AK6:AU15" si="2">(K6/K$4)/$F6</f>
        <v>1.1833333333333333</v>
      </c>
      <c r="AL6" s="44">
        <f t="shared" si="2"/>
        <v>1.1833333333333333</v>
      </c>
      <c r="AM6" s="44">
        <f t="shared" si="2"/>
        <v>1.1833333333333333</v>
      </c>
      <c r="AN6" s="44">
        <f t="shared" si="2"/>
        <v>1.1833333333333333</v>
      </c>
      <c r="AO6" s="44">
        <f t="shared" si="2"/>
        <v>1.1833333333333333</v>
      </c>
      <c r="AP6" s="44">
        <f t="shared" si="2"/>
        <v>1.1833333333333333</v>
      </c>
      <c r="AQ6" s="44">
        <f t="shared" si="2"/>
        <v>1.1833333333333333</v>
      </c>
      <c r="AR6" s="44">
        <f t="shared" si="2"/>
        <v>1.1833333333333333</v>
      </c>
      <c r="AS6" s="44">
        <f t="shared" si="2"/>
        <v>1.1833333333333333</v>
      </c>
      <c r="AT6" s="44">
        <f t="shared" si="2"/>
        <v>1.1833333333333333</v>
      </c>
      <c r="AU6" s="44">
        <f t="shared" si="2"/>
        <v>1.1833333333333333</v>
      </c>
      <c r="AY6" t="s">
        <v>126</v>
      </c>
    </row>
    <row r="7" spans="1:54" x14ac:dyDescent="0.35">
      <c r="A7" s="91" t="str">
        <f t="shared" ref="A7:A15" si="3">A6</f>
        <v>D'Souza</v>
      </c>
      <c r="B7" s="10" t="s">
        <v>24</v>
      </c>
      <c r="C7" s="10" t="s">
        <v>28</v>
      </c>
      <c r="D7" s="14" t="s">
        <v>119</v>
      </c>
      <c r="E7" s="10" t="s">
        <v>26</v>
      </c>
      <c r="F7" s="1">
        <v>300</v>
      </c>
      <c r="G7" s="1" t="s">
        <v>27</v>
      </c>
      <c r="H7" s="11">
        <v>0.55000000000000004</v>
      </c>
      <c r="I7" s="1">
        <v>55</v>
      </c>
      <c r="J7" s="1">
        <v>1100</v>
      </c>
      <c r="K7" s="1">
        <v>1155</v>
      </c>
      <c r="L7" s="1">
        <v>1155</v>
      </c>
      <c r="M7" s="1">
        <v>1210</v>
      </c>
      <c r="N7" s="1">
        <v>1155</v>
      </c>
      <c r="O7" s="1">
        <v>1045</v>
      </c>
      <c r="P7" s="1">
        <v>1045</v>
      </c>
      <c r="Q7" s="1">
        <v>1155</v>
      </c>
      <c r="R7" s="1">
        <v>1100</v>
      </c>
      <c r="S7" s="1">
        <v>1155</v>
      </c>
      <c r="T7" s="1">
        <v>1045</v>
      </c>
      <c r="U7" s="20">
        <v>1155</v>
      </c>
      <c r="W7" s="43">
        <f>$H7*J7</f>
        <v>605</v>
      </c>
      <c r="X7" s="43">
        <f t="shared" si="1"/>
        <v>635.25</v>
      </c>
      <c r="Y7" s="43">
        <f t="shared" si="1"/>
        <v>635.25</v>
      </c>
      <c r="Z7" s="43">
        <f t="shared" si="1"/>
        <v>665.5</v>
      </c>
      <c r="AA7" s="43">
        <f t="shared" si="1"/>
        <v>635.25</v>
      </c>
      <c r="AB7" s="43">
        <f t="shared" si="1"/>
        <v>574.75</v>
      </c>
      <c r="AC7" s="43">
        <f t="shared" si="1"/>
        <v>574.75</v>
      </c>
      <c r="AD7" s="43">
        <f t="shared" si="1"/>
        <v>635.25</v>
      </c>
      <c r="AE7" s="43">
        <f t="shared" si="1"/>
        <v>605</v>
      </c>
      <c r="AF7" s="43">
        <f t="shared" si="1"/>
        <v>635.25</v>
      </c>
      <c r="AG7" s="43">
        <f t="shared" si="1"/>
        <v>574.75</v>
      </c>
      <c r="AH7" s="43">
        <f t="shared" si="1"/>
        <v>635.25</v>
      </c>
      <c r="AJ7" s="44">
        <f>(J7/J$4)/$F7</f>
        <v>0.18333333333333332</v>
      </c>
      <c r="AK7" s="44">
        <f t="shared" si="2"/>
        <v>0.18333333333333332</v>
      </c>
      <c r="AL7" s="44">
        <f t="shared" si="2"/>
        <v>0.18333333333333332</v>
      </c>
      <c r="AM7" s="44">
        <f t="shared" si="2"/>
        <v>0.18333333333333332</v>
      </c>
      <c r="AN7" s="44">
        <f t="shared" si="2"/>
        <v>0.18333333333333332</v>
      </c>
      <c r="AO7" s="44">
        <f t="shared" si="2"/>
        <v>0.18333333333333332</v>
      </c>
      <c r="AP7" s="44">
        <f t="shared" si="2"/>
        <v>0.18333333333333332</v>
      </c>
      <c r="AQ7" s="44">
        <f t="shared" si="2"/>
        <v>0.18333333333333332</v>
      </c>
      <c r="AR7" s="44">
        <f t="shared" si="2"/>
        <v>0.18333333333333332</v>
      </c>
      <c r="AS7" s="44">
        <f t="shared" si="2"/>
        <v>0.18333333333333332</v>
      </c>
      <c r="AT7" s="44">
        <f t="shared" si="2"/>
        <v>0.18333333333333332</v>
      </c>
      <c r="AU7" s="44">
        <f t="shared" si="2"/>
        <v>0.18333333333333332</v>
      </c>
      <c r="AY7" t="s">
        <v>127</v>
      </c>
    </row>
    <row r="8" spans="1:54" x14ac:dyDescent="0.35">
      <c r="A8" s="91" t="str">
        <f t="shared" si="3"/>
        <v>D'Souza</v>
      </c>
      <c r="B8" s="10" t="s">
        <v>24</v>
      </c>
      <c r="C8" s="10" t="s">
        <v>29</v>
      </c>
      <c r="D8" s="14" t="s">
        <v>119</v>
      </c>
      <c r="E8" s="10" t="s">
        <v>26</v>
      </c>
      <c r="F8" s="1">
        <v>150</v>
      </c>
      <c r="G8" s="1" t="s">
        <v>27</v>
      </c>
      <c r="H8" s="11">
        <v>0.54</v>
      </c>
      <c r="I8" s="1">
        <f>7300/20</f>
        <v>365</v>
      </c>
      <c r="J8" s="1">
        <f>I8*J4</f>
        <v>7300</v>
      </c>
      <c r="K8" s="1">
        <f>I8*K4</f>
        <v>7665</v>
      </c>
      <c r="L8" s="1">
        <f>I8*L4</f>
        <v>7665</v>
      </c>
      <c r="M8" s="1">
        <f>I8*M4</f>
        <v>8030</v>
      </c>
      <c r="N8" s="1">
        <f>I8*N4</f>
        <v>7665</v>
      </c>
      <c r="O8" s="1">
        <f>I8*O4</f>
        <v>6935</v>
      </c>
      <c r="P8" s="1">
        <f>I8*P4</f>
        <v>6935</v>
      </c>
      <c r="Q8" s="1">
        <f>I8*Q4</f>
        <v>7665</v>
      </c>
      <c r="R8" s="1">
        <f>I8*R4</f>
        <v>7300</v>
      </c>
      <c r="S8" s="1">
        <f>I8*S4</f>
        <v>7665</v>
      </c>
      <c r="T8" s="1">
        <f>I8*T4</f>
        <v>6935</v>
      </c>
      <c r="U8" s="20">
        <f>I8*U4</f>
        <v>7665</v>
      </c>
      <c r="W8" s="43">
        <f t="shared" ref="W8:W19" si="4">$H8*J8</f>
        <v>3942.0000000000005</v>
      </c>
      <c r="X8" s="43">
        <f t="shared" si="1"/>
        <v>4139.1000000000004</v>
      </c>
      <c r="Y8" s="43">
        <f t="shared" si="1"/>
        <v>4139.1000000000004</v>
      </c>
      <c r="Z8" s="43">
        <f t="shared" si="1"/>
        <v>4336.2000000000007</v>
      </c>
      <c r="AA8" s="43">
        <f t="shared" si="1"/>
        <v>4139.1000000000004</v>
      </c>
      <c r="AB8" s="43">
        <f t="shared" si="1"/>
        <v>3744.9</v>
      </c>
      <c r="AC8" s="43">
        <f t="shared" si="1"/>
        <v>3744.9</v>
      </c>
      <c r="AD8" s="43">
        <f t="shared" si="1"/>
        <v>4139.1000000000004</v>
      </c>
      <c r="AE8" s="43">
        <f t="shared" si="1"/>
        <v>3942.0000000000005</v>
      </c>
      <c r="AF8" s="43">
        <f t="shared" si="1"/>
        <v>4139.1000000000004</v>
      </c>
      <c r="AG8" s="43">
        <f t="shared" si="1"/>
        <v>3744.9</v>
      </c>
      <c r="AH8" s="43">
        <f t="shared" si="1"/>
        <v>4139.1000000000004</v>
      </c>
      <c r="AJ8" s="44">
        <f t="shared" ref="AJ8:AJ15" si="5">(J8/J$4)/$F8</f>
        <v>2.4333333333333331</v>
      </c>
      <c r="AK8" s="44">
        <f t="shared" si="2"/>
        <v>2.4333333333333331</v>
      </c>
      <c r="AL8" s="44">
        <f t="shared" si="2"/>
        <v>2.4333333333333331</v>
      </c>
      <c r="AM8" s="44">
        <f t="shared" si="2"/>
        <v>2.4333333333333331</v>
      </c>
      <c r="AN8" s="44">
        <f t="shared" si="2"/>
        <v>2.4333333333333331</v>
      </c>
      <c r="AO8" s="44">
        <f t="shared" si="2"/>
        <v>2.4333333333333331</v>
      </c>
      <c r="AP8" s="44">
        <f t="shared" si="2"/>
        <v>2.4333333333333331</v>
      </c>
      <c r="AQ8" s="44">
        <f t="shared" si="2"/>
        <v>2.4333333333333331</v>
      </c>
      <c r="AR8" s="44">
        <f t="shared" si="2"/>
        <v>2.4333333333333331</v>
      </c>
      <c r="AS8" s="44">
        <f t="shared" si="2"/>
        <v>2.4333333333333331</v>
      </c>
      <c r="AT8" s="44">
        <f t="shared" si="2"/>
        <v>2.4333333333333331</v>
      </c>
      <c r="AU8" s="44">
        <f t="shared" si="2"/>
        <v>2.4333333333333331</v>
      </c>
      <c r="AY8" t="s">
        <v>128</v>
      </c>
    </row>
    <row r="9" spans="1:54" x14ac:dyDescent="0.35">
      <c r="A9" s="91" t="str">
        <f t="shared" si="3"/>
        <v>D'Souza</v>
      </c>
      <c r="B9" s="10" t="s">
        <v>24</v>
      </c>
      <c r="C9" s="10" t="s">
        <v>30</v>
      </c>
      <c r="D9" s="14" t="s">
        <v>119</v>
      </c>
      <c r="E9" s="10" t="s">
        <v>26</v>
      </c>
      <c r="F9" s="1">
        <v>150</v>
      </c>
      <c r="G9" s="1" t="s">
        <v>27</v>
      </c>
      <c r="H9" s="11">
        <v>0.25</v>
      </c>
      <c r="I9" s="1">
        <f>1200/20</f>
        <v>60</v>
      </c>
      <c r="J9" s="1">
        <f>I9*J4</f>
        <v>1200</v>
      </c>
      <c r="K9" s="1">
        <f>I9*K4</f>
        <v>1260</v>
      </c>
      <c r="L9" s="1">
        <f>I9*L4</f>
        <v>1260</v>
      </c>
      <c r="M9" s="1">
        <f>I9*M4</f>
        <v>1320</v>
      </c>
      <c r="N9" s="1">
        <f>I9*N4</f>
        <v>1260</v>
      </c>
      <c r="O9" s="1">
        <f>I9*O4</f>
        <v>1140</v>
      </c>
      <c r="P9" s="1">
        <f>I9*P4</f>
        <v>1140</v>
      </c>
      <c r="Q9" s="1">
        <f>I9*Q4</f>
        <v>1260</v>
      </c>
      <c r="R9" s="1">
        <f>I9*R4</f>
        <v>1200</v>
      </c>
      <c r="S9" s="1">
        <f>I9*S4</f>
        <v>1260</v>
      </c>
      <c r="T9" s="1">
        <f>I9*T4</f>
        <v>1140</v>
      </c>
      <c r="U9" s="20">
        <f>I9*U4</f>
        <v>1260</v>
      </c>
      <c r="W9" s="43">
        <f t="shared" si="4"/>
        <v>300</v>
      </c>
      <c r="X9" s="43">
        <f t="shared" si="1"/>
        <v>315</v>
      </c>
      <c r="Y9" s="43">
        <f t="shared" si="1"/>
        <v>315</v>
      </c>
      <c r="Z9" s="43">
        <f t="shared" si="1"/>
        <v>330</v>
      </c>
      <c r="AA9" s="43">
        <f t="shared" si="1"/>
        <v>315</v>
      </c>
      <c r="AB9" s="43">
        <f t="shared" si="1"/>
        <v>285</v>
      </c>
      <c r="AC9" s="43">
        <f t="shared" si="1"/>
        <v>285</v>
      </c>
      <c r="AD9" s="43">
        <f t="shared" si="1"/>
        <v>315</v>
      </c>
      <c r="AE9" s="43">
        <f t="shared" si="1"/>
        <v>300</v>
      </c>
      <c r="AF9" s="43">
        <f t="shared" si="1"/>
        <v>315</v>
      </c>
      <c r="AG9" s="43">
        <f t="shared" si="1"/>
        <v>285</v>
      </c>
      <c r="AH9" s="43">
        <f t="shared" si="1"/>
        <v>315</v>
      </c>
      <c r="AJ9" s="44">
        <f t="shared" si="5"/>
        <v>0.4</v>
      </c>
      <c r="AK9" s="44">
        <f t="shared" si="2"/>
        <v>0.4</v>
      </c>
      <c r="AL9" s="44">
        <f t="shared" si="2"/>
        <v>0.4</v>
      </c>
      <c r="AM9" s="44">
        <f t="shared" si="2"/>
        <v>0.4</v>
      </c>
      <c r="AN9" s="44">
        <f t="shared" si="2"/>
        <v>0.4</v>
      </c>
      <c r="AO9" s="44">
        <f t="shared" si="2"/>
        <v>0.4</v>
      </c>
      <c r="AP9" s="44">
        <f t="shared" si="2"/>
        <v>0.4</v>
      </c>
      <c r="AQ9" s="44">
        <f t="shared" si="2"/>
        <v>0.4</v>
      </c>
      <c r="AR9" s="44">
        <f t="shared" si="2"/>
        <v>0.4</v>
      </c>
      <c r="AS9" s="44">
        <f t="shared" si="2"/>
        <v>0.4</v>
      </c>
      <c r="AT9" s="44">
        <f t="shared" si="2"/>
        <v>0.4</v>
      </c>
      <c r="AU9" s="44">
        <f t="shared" si="2"/>
        <v>0.4</v>
      </c>
    </row>
    <row r="10" spans="1:54" x14ac:dyDescent="0.35">
      <c r="A10" s="91" t="str">
        <f t="shared" si="3"/>
        <v>D'Souza</v>
      </c>
      <c r="B10" s="10" t="s">
        <v>24</v>
      </c>
      <c r="C10" s="10" t="s">
        <v>31</v>
      </c>
      <c r="D10" s="14" t="s">
        <v>119</v>
      </c>
      <c r="E10" s="10" t="s">
        <v>26</v>
      </c>
      <c r="F10" s="1">
        <v>380</v>
      </c>
      <c r="G10" s="1" t="s">
        <v>27</v>
      </c>
      <c r="H10" s="11">
        <v>0.14000000000000001</v>
      </c>
      <c r="I10" s="1">
        <f>23000/20</f>
        <v>1150</v>
      </c>
      <c r="J10" s="1">
        <f>I10*J4</f>
        <v>23000</v>
      </c>
      <c r="K10" s="1">
        <f>I10*K4</f>
        <v>24150</v>
      </c>
      <c r="L10" s="1">
        <f>I10*L4</f>
        <v>24150</v>
      </c>
      <c r="M10" s="1">
        <f>I10*M4</f>
        <v>25300</v>
      </c>
      <c r="N10" s="1">
        <f>I10*N4</f>
        <v>24150</v>
      </c>
      <c r="O10" s="1">
        <f>I10*O4</f>
        <v>21850</v>
      </c>
      <c r="P10" s="1">
        <f>I10*P4</f>
        <v>21850</v>
      </c>
      <c r="Q10" s="1">
        <f>I10*Q4</f>
        <v>24150</v>
      </c>
      <c r="R10" s="1">
        <f>I10*R4</f>
        <v>23000</v>
      </c>
      <c r="S10" s="1">
        <f>I10*S4</f>
        <v>24150</v>
      </c>
      <c r="T10" s="1">
        <f>I10*T4</f>
        <v>21850</v>
      </c>
      <c r="U10" s="20">
        <f>I10*U4</f>
        <v>24150</v>
      </c>
      <c r="W10" s="43">
        <f t="shared" si="4"/>
        <v>3220.0000000000005</v>
      </c>
      <c r="X10" s="43">
        <f t="shared" si="1"/>
        <v>3381.0000000000005</v>
      </c>
      <c r="Y10" s="43">
        <f t="shared" si="1"/>
        <v>3381.0000000000005</v>
      </c>
      <c r="Z10" s="43">
        <f t="shared" si="1"/>
        <v>3542.0000000000005</v>
      </c>
      <c r="AA10" s="43">
        <f t="shared" si="1"/>
        <v>3381.0000000000005</v>
      </c>
      <c r="AB10" s="43">
        <f t="shared" si="1"/>
        <v>3059.0000000000005</v>
      </c>
      <c r="AC10" s="43">
        <f t="shared" si="1"/>
        <v>3059.0000000000005</v>
      </c>
      <c r="AD10" s="43">
        <f t="shared" si="1"/>
        <v>3381.0000000000005</v>
      </c>
      <c r="AE10" s="43">
        <f t="shared" si="1"/>
        <v>3220.0000000000005</v>
      </c>
      <c r="AF10" s="43">
        <f t="shared" si="1"/>
        <v>3381.0000000000005</v>
      </c>
      <c r="AG10" s="43">
        <f t="shared" si="1"/>
        <v>3059.0000000000005</v>
      </c>
      <c r="AH10" s="43">
        <f t="shared" si="1"/>
        <v>3381.0000000000005</v>
      </c>
      <c r="AJ10" s="44">
        <f t="shared" si="5"/>
        <v>3.0263157894736841</v>
      </c>
      <c r="AK10" s="44">
        <f t="shared" si="2"/>
        <v>3.0263157894736841</v>
      </c>
      <c r="AL10" s="44">
        <f t="shared" si="2"/>
        <v>3.0263157894736841</v>
      </c>
      <c r="AM10" s="44">
        <f t="shared" si="2"/>
        <v>3.0263157894736841</v>
      </c>
      <c r="AN10" s="44">
        <f t="shared" si="2"/>
        <v>3.0263157894736841</v>
      </c>
      <c r="AO10" s="44">
        <f t="shared" si="2"/>
        <v>3.0263157894736841</v>
      </c>
      <c r="AP10" s="44">
        <f t="shared" si="2"/>
        <v>3.0263157894736841</v>
      </c>
      <c r="AQ10" s="44">
        <f t="shared" si="2"/>
        <v>3.0263157894736841</v>
      </c>
      <c r="AR10" s="44">
        <f t="shared" si="2"/>
        <v>3.0263157894736841</v>
      </c>
      <c r="AS10" s="44">
        <f t="shared" si="2"/>
        <v>3.0263157894736841</v>
      </c>
      <c r="AT10" s="44">
        <f t="shared" si="2"/>
        <v>3.0263157894736841</v>
      </c>
      <c r="AU10" s="44">
        <f t="shared" si="2"/>
        <v>3.0263157894736841</v>
      </c>
    </row>
    <row r="11" spans="1:54" x14ac:dyDescent="0.35">
      <c r="A11" s="91" t="str">
        <f t="shared" si="3"/>
        <v>D'Souza</v>
      </c>
      <c r="B11" s="10" t="s">
        <v>24</v>
      </c>
      <c r="C11" s="10" t="s">
        <v>32</v>
      </c>
      <c r="D11" s="14" t="s">
        <v>119</v>
      </c>
      <c r="E11" s="10" t="s">
        <v>26</v>
      </c>
      <c r="F11" s="1">
        <v>450</v>
      </c>
      <c r="G11" s="1" t="s">
        <v>27</v>
      </c>
      <c r="H11" s="11">
        <v>0.16</v>
      </c>
      <c r="I11" s="1">
        <f>11000/20</f>
        <v>550</v>
      </c>
      <c r="J11" s="1">
        <f>I11*J4</f>
        <v>11000</v>
      </c>
      <c r="K11" s="1">
        <f>I11*K4</f>
        <v>11550</v>
      </c>
      <c r="L11" s="1">
        <f>I11*L4</f>
        <v>11550</v>
      </c>
      <c r="M11" s="1">
        <f>I11*M4</f>
        <v>12100</v>
      </c>
      <c r="N11" s="1">
        <f>I11*N4</f>
        <v>11550</v>
      </c>
      <c r="O11" s="1">
        <f>I11*O4</f>
        <v>10450</v>
      </c>
      <c r="P11" s="1">
        <f>I11*P4</f>
        <v>10450</v>
      </c>
      <c r="Q11" s="1">
        <f>I11*Q4</f>
        <v>11550</v>
      </c>
      <c r="R11" s="1">
        <f>I11*R4</f>
        <v>11000</v>
      </c>
      <c r="S11" s="1">
        <f>I11*S4</f>
        <v>11550</v>
      </c>
      <c r="T11" s="1">
        <f>I11*T4</f>
        <v>10450</v>
      </c>
      <c r="U11" s="20">
        <f>I11*U4</f>
        <v>11550</v>
      </c>
      <c r="W11" s="43">
        <f t="shared" si="4"/>
        <v>1760</v>
      </c>
      <c r="X11" s="43">
        <f t="shared" si="1"/>
        <v>1848</v>
      </c>
      <c r="Y11" s="43">
        <f t="shared" si="1"/>
        <v>1848</v>
      </c>
      <c r="Z11" s="43">
        <f t="shared" si="1"/>
        <v>1936</v>
      </c>
      <c r="AA11" s="43">
        <f t="shared" si="1"/>
        <v>1848</v>
      </c>
      <c r="AB11" s="43">
        <f t="shared" si="1"/>
        <v>1672</v>
      </c>
      <c r="AC11" s="43">
        <f t="shared" si="1"/>
        <v>1672</v>
      </c>
      <c r="AD11" s="43">
        <f t="shared" si="1"/>
        <v>1848</v>
      </c>
      <c r="AE11" s="43">
        <f t="shared" si="1"/>
        <v>1760</v>
      </c>
      <c r="AF11" s="43">
        <f t="shared" si="1"/>
        <v>1848</v>
      </c>
      <c r="AG11" s="43">
        <f t="shared" si="1"/>
        <v>1672</v>
      </c>
      <c r="AH11" s="43">
        <f t="shared" si="1"/>
        <v>1848</v>
      </c>
      <c r="AJ11" s="44">
        <f t="shared" si="5"/>
        <v>1.2222222222222223</v>
      </c>
      <c r="AK11" s="44">
        <f t="shared" si="2"/>
        <v>1.2222222222222223</v>
      </c>
      <c r="AL11" s="44">
        <f t="shared" si="2"/>
        <v>1.2222222222222223</v>
      </c>
      <c r="AM11" s="44">
        <f t="shared" si="2"/>
        <v>1.2222222222222223</v>
      </c>
      <c r="AN11" s="44">
        <f t="shared" si="2"/>
        <v>1.2222222222222223</v>
      </c>
      <c r="AO11" s="44">
        <f t="shared" si="2"/>
        <v>1.2222222222222223</v>
      </c>
      <c r="AP11" s="44">
        <f t="shared" si="2"/>
        <v>1.2222222222222223</v>
      </c>
      <c r="AQ11" s="44">
        <f t="shared" si="2"/>
        <v>1.2222222222222223</v>
      </c>
      <c r="AR11" s="44">
        <f t="shared" si="2"/>
        <v>1.2222222222222223</v>
      </c>
      <c r="AS11" s="44">
        <f t="shared" si="2"/>
        <v>1.2222222222222223</v>
      </c>
      <c r="AT11" s="44">
        <f t="shared" si="2"/>
        <v>1.2222222222222223</v>
      </c>
      <c r="AU11" s="44">
        <f t="shared" si="2"/>
        <v>1.2222222222222223</v>
      </c>
    </row>
    <row r="12" spans="1:54" x14ac:dyDescent="0.35">
      <c r="A12" s="91" t="str">
        <f t="shared" si="3"/>
        <v>D'Souza</v>
      </c>
      <c r="B12" s="10" t="s">
        <v>24</v>
      </c>
      <c r="C12" s="10" t="s">
        <v>33</v>
      </c>
      <c r="D12" s="14" t="s">
        <v>119</v>
      </c>
      <c r="E12" s="10" t="s">
        <v>26</v>
      </c>
      <c r="F12" s="1">
        <v>2000</v>
      </c>
      <c r="G12" s="1" t="s">
        <v>27</v>
      </c>
      <c r="H12" s="11">
        <v>2.5999999999999999E-2</v>
      </c>
      <c r="I12" s="12">
        <f>34538/20</f>
        <v>1726.9</v>
      </c>
      <c r="J12" s="12">
        <f>I12*J4</f>
        <v>34538</v>
      </c>
      <c r="K12" s="12">
        <f>I12*K4</f>
        <v>36264.9</v>
      </c>
      <c r="L12" s="12">
        <f>I12*L4</f>
        <v>36264.9</v>
      </c>
      <c r="M12" s="12">
        <f>I12*M4</f>
        <v>37991.800000000003</v>
      </c>
      <c r="N12" s="12">
        <f>I12*N4</f>
        <v>36264.9</v>
      </c>
      <c r="O12" s="12">
        <f>I12*O4</f>
        <v>32811.1</v>
      </c>
      <c r="P12" s="12">
        <f>I12*P4</f>
        <v>32811.1</v>
      </c>
      <c r="Q12" s="12">
        <f>I12*Q4</f>
        <v>36264.9</v>
      </c>
      <c r="R12" s="12">
        <f>I12*R4</f>
        <v>34538</v>
      </c>
      <c r="S12" s="12">
        <f>I12*S4</f>
        <v>36264.9</v>
      </c>
      <c r="T12" s="12">
        <f>I12*T4</f>
        <v>32811.1</v>
      </c>
      <c r="U12" s="21">
        <f>I12*U4</f>
        <v>36264.9</v>
      </c>
      <c r="W12" s="43">
        <f t="shared" si="4"/>
        <v>897.98799999999994</v>
      </c>
      <c r="X12" s="43">
        <f t="shared" si="1"/>
        <v>942.88739999999996</v>
      </c>
      <c r="Y12" s="43">
        <f t="shared" si="1"/>
        <v>942.88739999999996</v>
      </c>
      <c r="Z12" s="43">
        <f t="shared" si="1"/>
        <v>987.78680000000008</v>
      </c>
      <c r="AA12" s="43">
        <f t="shared" si="1"/>
        <v>942.88739999999996</v>
      </c>
      <c r="AB12" s="43">
        <f t="shared" si="1"/>
        <v>853.08859999999993</v>
      </c>
      <c r="AC12" s="43">
        <f t="shared" si="1"/>
        <v>853.08859999999993</v>
      </c>
      <c r="AD12" s="43">
        <f t="shared" si="1"/>
        <v>942.88739999999996</v>
      </c>
      <c r="AE12" s="43">
        <f t="shared" si="1"/>
        <v>897.98799999999994</v>
      </c>
      <c r="AF12" s="43">
        <f t="shared" si="1"/>
        <v>942.88739999999996</v>
      </c>
      <c r="AG12" s="43">
        <f t="shared" si="1"/>
        <v>853.08859999999993</v>
      </c>
      <c r="AH12" s="43">
        <f t="shared" si="1"/>
        <v>942.88739999999996</v>
      </c>
      <c r="AJ12" s="44">
        <f t="shared" si="5"/>
        <v>0.86345000000000005</v>
      </c>
      <c r="AK12" s="44">
        <f t="shared" si="2"/>
        <v>0.86345000000000005</v>
      </c>
      <c r="AL12" s="44">
        <f t="shared" si="2"/>
        <v>0.86345000000000005</v>
      </c>
      <c r="AM12" s="44">
        <f t="shared" si="2"/>
        <v>0.86345000000000005</v>
      </c>
      <c r="AN12" s="44">
        <f t="shared" si="2"/>
        <v>0.86345000000000005</v>
      </c>
      <c r="AO12" s="44">
        <f t="shared" si="2"/>
        <v>0.86344999999999994</v>
      </c>
      <c r="AP12" s="44">
        <f t="shared" si="2"/>
        <v>0.86344999999999994</v>
      </c>
      <c r="AQ12" s="44">
        <f t="shared" si="2"/>
        <v>0.86345000000000005</v>
      </c>
      <c r="AR12" s="44">
        <f t="shared" si="2"/>
        <v>0.86345000000000005</v>
      </c>
      <c r="AS12" s="44">
        <f t="shared" si="2"/>
        <v>0.86345000000000005</v>
      </c>
      <c r="AT12" s="44">
        <f t="shared" si="2"/>
        <v>0.86344999999999994</v>
      </c>
      <c r="AU12" s="44">
        <f t="shared" si="2"/>
        <v>0.86345000000000005</v>
      </c>
    </row>
    <row r="13" spans="1:54" x14ac:dyDescent="0.35">
      <c r="A13" s="91" t="str">
        <f t="shared" si="3"/>
        <v>D'Souza</v>
      </c>
      <c r="B13" s="10" t="s">
        <v>24</v>
      </c>
      <c r="C13" s="10" t="s">
        <v>34</v>
      </c>
      <c r="D13" s="14" t="s">
        <v>115</v>
      </c>
      <c r="E13" s="10" t="s">
        <v>26</v>
      </c>
      <c r="F13" s="1">
        <v>200</v>
      </c>
      <c r="G13" s="1" t="s">
        <v>27</v>
      </c>
      <c r="H13" s="11">
        <v>0.3</v>
      </c>
      <c r="I13" s="12">
        <f>369/20</f>
        <v>18.45</v>
      </c>
      <c r="J13" s="12">
        <f>I13*J4</f>
        <v>369</v>
      </c>
      <c r="K13" s="12">
        <f>I13*K4</f>
        <v>387.45</v>
      </c>
      <c r="L13" s="12">
        <f>I13*L4</f>
        <v>387.45</v>
      </c>
      <c r="M13" s="12">
        <f>I13*M4</f>
        <v>405.9</v>
      </c>
      <c r="N13" s="12">
        <f>I13*N4</f>
        <v>387.45</v>
      </c>
      <c r="O13" s="12">
        <f>I13*O4</f>
        <v>350.55</v>
      </c>
      <c r="P13" s="12">
        <f>I13*P4</f>
        <v>350.55</v>
      </c>
      <c r="Q13" s="12">
        <f>I13*Q4</f>
        <v>387.45</v>
      </c>
      <c r="R13" s="12">
        <f>I13*R4</f>
        <v>369</v>
      </c>
      <c r="S13" s="12">
        <f>I13*S4</f>
        <v>387.45</v>
      </c>
      <c r="T13" s="12">
        <f>I13*T4</f>
        <v>350.55</v>
      </c>
      <c r="U13" s="21">
        <f>I13*U4</f>
        <v>387.45</v>
      </c>
      <c r="W13" s="43">
        <f t="shared" si="4"/>
        <v>110.7</v>
      </c>
      <c r="X13" s="43">
        <f t="shared" si="1"/>
        <v>116.23499999999999</v>
      </c>
      <c r="Y13" s="43">
        <f t="shared" si="1"/>
        <v>116.23499999999999</v>
      </c>
      <c r="Z13" s="43">
        <f t="shared" si="1"/>
        <v>121.76999999999998</v>
      </c>
      <c r="AA13" s="43">
        <f t="shared" si="1"/>
        <v>116.23499999999999</v>
      </c>
      <c r="AB13" s="43">
        <f t="shared" si="1"/>
        <v>105.16500000000001</v>
      </c>
      <c r="AC13" s="43">
        <f t="shared" si="1"/>
        <v>105.16500000000001</v>
      </c>
      <c r="AD13" s="43">
        <f t="shared" si="1"/>
        <v>116.23499999999999</v>
      </c>
      <c r="AE13" s="43">
        <f t="shared" si="1"/>
        <v>110.7</v>
      </c>
      <c r="AF13" s="43">
        <f t="shared" si="1"/>
        <v>116.23499999999999</v>
      </c>
      <c r="AG13" s="43">
        <f t="shared" si="1"/>
        <v>105.16500000000001</v>
      </c>
      <c r="AH13" s="43">
        <f t="shared" si="1"/>
        <v>116.23499999999999</v>
      </c>
      <c r="AJ13" s="44">
        <f t="shared" si="5"/>
        <v>9.2249999999999999E-2</v>
      </c>
      <c r="AK13" s="44">
        <f t="shared" si="2"/>
        <v>9.2249999999999999E-2</v>
      </c>
      <c r="AL13" s="44">
        <f t="shared" si="2"/>
        <v>9.2249999999999999E-2</v>
      </c>
      <c r="AM13" s="44">
        <f t="shared" si="2"/>
        <v>9.2249999999999999E-2</v>
      </c>
      <c r="AN13" s="44">
        <f t="shared" si="2"/>
        <v>9.2249999999999999E-2</v>
      </c>
      <c r="AO13" s="44">
        <f t="shared" si="2"/>
        <v>9.2249999999999999E-2</v>
      </c>
      <c r="AP13" s="44">
        <f t="shared" si="2"/>
        <v>9.2249999999999999E-2</v>
      </c>
      <c r="AQ13" s="44">
        <f t="shared" si="2"/>
        <v>9.2249999999999999E-2</v>
      </c>
      <c r="AR13" s="44">
        <f t="shared" si="2"/>
        <v>9.2249999999999999E-2</v>
      </c>
      <c r="AS13" s="44">
        <f t="shared" si="2"/>
        <v>9.2249999999999999E-2</v>
      </c>
      <c r="AT13" s="44">
        <f t="shared" si="2"/>
        <v>9.2249999999999999E-2</v>
      </c>
      <c r="AU13" s="44">
        <f t="shared" si="2"/>
        <v>9.2249999999999999E-2</v>
      </c>
    </row>
    <row r="14" spans="1:54" x14ac:dyDescent="0.35">
      <c r="A14" s="91" t="str">
        <f t="shared" si="3"/>
        <v>D'Souza</v>
      </c>
      <c r="B14" s="10" t="s">
        <v>24</v>
      </c>
      <c r="C14" s="10" t="s">
        <v>35</v>
      </c>
      <c r="D14" s="14" t="s">
        <v>115</v>
      </c>
      <c r="E14" s="10" t="s">
        <v>26</v>
      </c>
      <c r="F14" s="1">
        <v>64</v>
      </c>
      <c r="G14" s="1" t="s">
        <v>27</v>
      </c>
      <c r="H14" s="11">
        <v>1.35</v>
      </c>
      <c r="I14" s="12">
        <f>11500/20</f>
        <v>575</v>
      </c>
      <c r="J14" s="12">
        <f>I14*J4</f>
        <v>11500</v>
      </c>
      <c r="K14" s="12">
        <f>I14*K4</f>
        <v>12075</v>
      </c>
      <c r="L14" s="12">
        <f>I14*L4</f>
        <v>12075</v>
      </c>
      <c r="M14" s="12">
        <f>I14*M4</f>
        <v>12650</v>
      </c>
      <c r="N14" s="12">
        <f>I14*N4</f>
        <v>12075</v>
      </c>
      <c r="O14" s="12">
        <f>I14*O4</f>
        <v>10925</v>
      </c>
      <c r="P14" s="12">
        <f>I14*P4</f>
        <v>10925</v>
      </c>
      <c r="Q14" s="12">
        <f>I14*Q4</f>
        <v>12075</v>
      </c>
      <c r="R14" s="12">
        <f>I14*R4</f>
        <v>11500</v>
      </c>
      <c r="S14" s="12">
        <f>I14*S4</f>
        <v>12075</v>
      </c>
      <c r="T14" s="12">
        <f>I14*T4</f>
        <v>10925</v>
      </c>
      <c r="U14" s="21">
        <f>I14*U4</f>
        <v>12075</v>
      </c>
      <c r="W14" s="43">
        <f t="shared" si="4"/>
        <v>15525.000000000002</v>
      </c>
      <c r="X14" s="43">
        <f t="shared" si="1"/>
        <v>16301.250000000002</v>
      </c>
      <c r="Y14" s="43">
        <f t="shared" si="1"/>
        <v>16301.250000000002</v>
      </c>
      <c r="Z14" s="43">
        <f t="shared" si="1"/>
        <v>17077.5</v>
      </c>
      <c r="AA14" s="43">
        <f t="shared" si="1"/>
        <v>16301.250000000002</v>
      </c>
      <c r="AB14" s="43">
        <f t="shared" si="1"/>
        <v>14748.750000000002</v>
      </c>
      <c r="AC14" s="43">
        <f t="shared" si="1"/>
        <v>14748.750000000002</v>
      </c>
      <c r="AD14" s="43">
        <f t="shared" si="1"/>
        <v>16301.250000000002</v>
      </c>
      <c r="AE14" s="43">
        <f t="shared" si="1"/>
        <v>15525.000000000002</v>
      </c>
      <c r="AF14" s="43">
        <f t="shared" si="1"/>
        <v>16301.250000000002</v>
      </c>
      <c r="AG14" s="43">
        <f t="shared" si="1"/>
        <v>14748.750000000002</v>
      </c>
      <c r="AH14" s="43">
        <f t="shared" si="1"/>
        <v>16301.250000000002</v>
      </c>
      <c r="AJ14" s="44">
        <f t="shared" si="5"/>
        <v>8.984375</v>
      </c>
      <c r="AK14" s="44">
        <f t="shared" si="2"/>
        <v>8.984375</v>
      </c>
      <c r="AL14" s="44">
        <f t="shared" si="2"/>
        <v>8.984375</v>
      </c>
      <c r="AM14" s="44">
        <f t="shared" si="2"/>
        <v>8.984375</v>
      </c>
      <c r="AN14" s="44">
        <f t="shared" si="2"/>
        <v>8.984375</v>
      </c>
      <c r="AO14" s="44">
        <f t="shared" si="2"/>
        <v>8.984375</v>
      </c>
      <c r="AP14" s="44">
        <f t="shared" si="2"/>
        <v>8.984375</v>
      </c>
      <c r="AQ14" s="44">
        <f t="shared" si="2"/>
        <v>8.984375</v>
      </c>
      <c r="AR14" s="44">
        <f t="shared" si="2"/>
        <v>8.984375</v>
      </c>
      <c r="AS14" s="44">
        <f t="shared" si="2"/>
        <v>8.984375</v>
      </c>
      <c r="AT14" s="44">
        <f t="shared" si="2"/>
        <v>8.984375</v>
      </c>
      <c r="AU14" s="44">
        <f t="shared" si="2"/>
        <v>8.984375</v>
      </c>
    </row>
    <row r="15" spans="1:54" x14ac:dyDescent="0.35">
      <c r="A15" s="91" t="str">
        <f t="shared" si="3"/>
        <v>D'Souza</v>
      </c>
      <c r="B15" s="10" t="s">
        <v>24</v>
      </c>
      <c r="C15" s="10" t="s">
        <v>36</v>
      </c>
      <c r="D15" s="14" t="s">
        <v>115</v>
      </c>
      <c r="E15" s="10" t="s">
        <v>26</v>
      </c>
      <c r="F15" s="1">
        <v>40</v>
      </c>
      <c r="G15" s="1" t="s">
        <v>27</v>
      </c>
      <c r="H15" s="11">
        <v>1.35</v>
      </c>
      <c r="I15" s="12">
        <f>1500/20</f>
        <v>75</v>
      </c>
      <c r="J15" s="12">
        <f>I15*J4</f>
        <v>1500</v>
      </c>
      <c r="K15" s="12">
        <f>I15*K4</f>
        <v>1575</v>
      </c>
      <c r="L15" s="12">
        <f>I15*L4</f>
        <v>1575</v>
      </c>
      <c r="M15" s="12">
        <f>I15*M4</f>
        <v>1650</v>
      </c>
      <c r="N15" s="12">
        <f>I15*N4</f>
        <v>1575</v>
      </c>
      <c r="O15" s="12">
        <f>I15*O4</f>
        <v>1425</v>
      </c>
      <c r="P15" s="12">
        <f>I15*P4</f>
        <v>1425</v>
      </c>
      <c r="Q15" s="12">
        <f>I15*Q4</f>
        <v>1575</v>
      </c>
      <c r="R15" s="12">
        <f>I15*R4</f>
        <v>1500</v>
      </c>
      <c r="S15" s="12">
        <f>I15*S4</f>
        <v>1575</v>
      </c>
      <c r="T15" s="12">
        <f>I15*T4</f>
        <v>1425</v>
      </c>
      <c r="U15" s="21">
        <f>I15*U4</f>
        <v>1575</v>
      </c>
      <c r="W15" s="43">
        <f t="shared" si="4"/>
        <v>2025.0000000000002</v>
      </c>
      <c r="X15" s="43">
        <f t="shared" si="1"/>
        <v>2126.25</v>
      </c>
      <c r="Y15" s="43">
        <f t="shared" si="1"/>
        <v>2126.25</v>
      </c>
      <c r="Z15" s="43">
        <f t="shared" si="1"/>
        <v>2227.5</v>
      </c>
      <c r="AA15" s="43">
        <f t="shared" si="1"/>
        <v>2126.25</v>
      </c>
      <c r="AB15" s="43">
        <f t="shared" si="1"/>
        <v>1923.7500000000002</v>
      </c>
      <c r="AC15" s="43">
        <f t="shared" si="1"/>
        <v>1923.7500000000002</v>
      </c>
      <c r="AD15" s="43">
        <f t="shared" si="1"/>
        <v>2126.25</v>
      </c>
      <c r="AE15" s="43">
        <f t="shared" si="1"/>
        <v>2025.0000000000002</v>
      </c>
      <c r="AF15" s="43">
        <f t="shared" si="1"/>
        <v>2126.25</v>
      </c>
      <c r="AG15" s="43">
        <f t="shared" si="1"/>
        <v>1923.7500000000002</v>
      </c>
      <c r="AH15" s="43">
        <f t="shared" si="1"/>
        <v>2126.25</v>
      </c>
      <c r="AJ15" s="44">
        <f t="shared" si="5"/>
        <v>1.875</v>
      </c>
      <c r="AK15" s="44">
        <f t="shared" si="2"/>
        <v>1.875</v>
      </c>
      <c r="AL15" s="44">
        <f t="shared" si="2"/>
        <v>1.875</v>
      </c>
      <c r="AM15" s="44">
        <f t="shared" si="2"/>
        <v>1.875</v>
      </c>
      <c r="AN15" s="44">
        <f t="shared" si="2"/>
        <v>1.875</v>
      </c>
      <c r="AO15" s="44">
        <f t="shared" si="2"/>
        <v>1.875</v>
      </c>
      <c r="AP15" s="44">
        <f t="shared" si="2"/>
        <v>1.875</v>
      </c>
      <c r="AQ15" s="44">
        <f t="shared" si="2"/>
        <v>1.875</v>
      </c>
      <c r="AR15" s="44">
        <f t="shared" si="2"/>
        <v>1.875</v>
      </c>
      <c r="AS15" s="44">
        <f t="shared" si="2"/>
        <v>1.875</v>
      </c>
      <c r="AT15" s="44">
        <f t="shared" si="2"/>
        <v>1.875</v>
      </c>
      <c r="AU15" s="44">
        <f t="shared" si="2"/>
        <v>1.875</v>
      </c>
    </row>
    <row r="16" spans="1:54" x14ac:dyDescent="0.35">
      <c r="A16" s="88" t="s">
        <v>45</v>
      </c>
      <c r="B16" s="1" t="s">
        <v>24</v>
      </c>
      <c r="C16" s="16" t="s">
        <v>39</v>
      </c>
      <c r="D16" s="14" t="s">
        <v>115</v>
      </c>
      <c r="E16" s="16" t="s">
        <v>46</v>
      </c>
      <c r="F16" s="1">
        <v>40</v>
      </c>
      <c r="G16" s="1" t="s">
        <v>41</v>
      </c>
      <c r="H16" s="738">
        <v>0.03</v>
      </c>
      <c r="I16" s="732">
        <f>250000/20</f>
        <v>12500</v>
      </c>
      <c r="J16" s="734">
        <f>I16*J4</f>
        <v>250000</v>
      </c>
      <c r="K16" s="734">
        <f>I16*K4</f>
        <v>262500</v>
      </c>
      <c r="L16" s="734">
        <f>I16*L4</f>
        <v>262500</v>
      </c>
      <c r="M16" s="734">
        <f>I16*M4</f>
        <v>275000</v>
      </c>
      <c r="N16" s="734">
        <f>I16*N4</f>
        <v>262500</v>
      </c>
      <c r="O16" s="734">
        <f>I16*O4</f>
        <v>237500</v>
      </c>
      <c r="P16" s="734">
        <f>I16*P4</f>
        <v>237500</v>
      </c>
      <c r="Q16" s="734">
        <f>I16*Q4</f>
        <v>262500</v>
      </c>
      <c r="R16" s="734">
        <f>I16*R4</f>
        <v>250000</v>
      </c>
      <c r="S16" s="734">
        <f>I16*S4</f>
        <v>262500</v>
      </c>
      <c r="T16" s="734">
        <f>I16*T4</f>
        <v>237500</v>
      </c>
      <c r="U16" s="735">
        <f>I16*U4</f>
        <v>262500</v>
      </c>
      <c r="W16" s="43">
        <f t="shared" si="4"/>
        <v>7500</v>
      </c>
      <c r="X16" s="43">
        <f t="shared" si="1"/>
        <v>7875</v>
      </c>
      <c r="Y16" s="43">
        <f t="shared" si="1"/>
        <v>7875</v>
      </c>
      <c r="Z16" s="43">
        <f t="shared" si="1"/>
        <v>8250</v>
      </c>
      <c r="AA16" s="43">
        <f t="shared" si="1"/>
        <v>7875</v>
      </c>
      <c r="AB16" s="43">
        <f t="shared" si="1"/>
        <v>7125</v>
      </c>
      <c r="AC16" s="43">
        <f t="shared" si="1"/>
        <v>7125</v>
      </c>
      <c r="AD16" s="43">
        <f t="shared" si="1"/>
        <v>7875</v>
      </c>
      <c r="AE16" s="43">
        <f t="shared" si="1"/>
        <v>7500</v>
      </c>
      <c r="AF16" s="43">
        <f t="shared" si="1"/>
        <v>7875</v>
      </c>
      <c r="AG16" s="43">
        <f t="shared" si="1"/>
        <v>7125</v>
      </c>
      <c r="AH16" s="43">
        <f t="shared" si="1"/>
        <v>7875</v>
      </c>
      <c r="AJ16" s="734">
        <f>AI16*AY1</f>
        <v>0</v>
      </c>
      <c r="AK16" s="47"/>
      <c r="AL16" s="47"/>
      <c r="AM16" s="47"/>
      <c r="AN16" s="47"/>
      <c r="AO16" s="47"/>
      <c r="AP16" s="47"/>
      <c r="AQ16" s="47"/>
      <c r="AR16" s="47"/>
      <c r="AS16" s="47"/>
      <c r="AT16" s="47"/>
      <c r="AU16" s="47"/>
    </row>
    <row r="17" spans="1:47" x14ac:dyDescent="0.35">
      <c r="A17" s="88" t="str">
        <f>A16</f>
        <v>UGBZ</v>
      </c>
      <c r="B17" s="1" t="s">
        <v>38</v>
      </c>
      <c r="C17" s="16" t="s">
        <v>47</v>
      </c>
      <c r="D17" s="93" t="s">
        <v>119</v>
      </c>
      <c r="E17" s="16" t="s">
        <v>46</v>
      </c>
      <c r="F17" s="1">
        <v>20</v>
      </c>
      <c r="G17" s="1" t="s">
        <v>41</v>
      </c>
      <c r="H17" s="738"/>
      <c r="I17" s="732"/>
      <c r="J17" s="734"/>
      <c r="K17" s="734"/>
      <c r="L17" s="734">
        <f t="shared" ref="L17:U19" si="6">I17*L9</f>
        <v>0</v>
      </c>
      <c r="M17" s="734">
        <f t="shared" si="6"/>
        <v>0</v>
      </c>
      <c r="N17" s="734">
        <f t="shared" si="6"/>
        <v>0</v>
      </c>
      <c r="O17" s="734">
        <f t="shared" si="6"/>
        <v>0</v>
      </c>
      <c r="P17" s="734">
        <f t="shared" si="6"/>
        <v>0</v>
      </c>
      <c r="Q17" s="734">
        <f t="shared" si="6"/>
        <v>0</v>
      </c>
      <c r="R17" s="734">
        <f t="shared" si="6"/>
        <v>0</v>
      </c>
      <c r="S17" s="734">
        <f t="shared" si="6"/>
        <v>0</v>
      </c>
      <c r="T17" s="734">
        <f t="shared" si="6"/>
        <v>0</v>
      </c>
      <c r="U17" s="735">
        <f t="shared" si="6"/>
        <v>0</v>
      </c>
      <c r="W17" s="43">
        <f t="shared" si="4"/>
        <v>0</v>
      </c>
      <c r="X17" s="43">
        <f t="shared" si="1"/>
        <v>0</v>
      </c>
      <c r="Y17" s="43">
        <f t="shared" si="1"/>
        <v>0</v>
      </c>
      <c r="Z17" s="43">
        <f t="shared" si="1"/>
        <v>0</v>
      </c>
      <c r="AA17" s="43">
        <f t="shared" si="1"/>
        <v>0</v>
      </c>
      <c r="AB17" s="43">
        <f t="shared" si="1"/>
        <v>0</v>
      </c>
      <c r="AC17" s="43">
        <f t="shared" si="1"/>
        <v>0</v>
      </c>
      <c r="AD17" s="43">
        <f t="shared" si="1"/>
        <v>0</v>
      </c>
      <c r="AE17" s="43">
        <f t="shared" si="1"/>
        <v>0</v>
      </c>
      <c r="AF17" s="43">
        <f t="shared" si="1"/>
        <v>0</v>
      </c>
      <c r="AG17" s="43">
        <f t="shared" si="1"/>
        <v>0</v>
      </c>
      <c r="AH17" s="43">
        <f t="shared" si="1"/>
        <v>0</v>
      </c>
      <c r="AJ17" s="734"/>
      <c r="AK17" s="47"/>
      <c r="AL17" s="47"/>
      <c r="AM17" s="47"/>
      <c r="AN17" s="47"/>
      <c r="AO17" s="47"/>
      <c r="AP17" s="47"/>
      <c r="AQ17" s="47"/>
      <c r="AR17" s="47"/>
      <c r="AS17" s="47"/>
      <c r="AT17" s="47"/>
      <c r="AU17" s="47"/>
    </row>
    <row r="18" spans="1:47" x14ac:dyDescent="0.35">
      <c r="A18" s="88" t="str">
        <f>A17</f>
        <v>UGBZ</v>
      </c>
      <c r="B18" s="1" t="s">
        <v>24</v>
      </c>
      <c r="C18" s="16" t="s">
        <v>48</v>
      </c>
      <c r="D18" s="93" t="s">
        <v>119</v>
      </c>
      <c r="E18" s="16" t="s">
        <v>46</v>
      </c>
      <c r="F18" s="1">
        <v>350</v>
      </c>
      <c r="G18" s="1" t="s">
        <v>41</v>
      </c>
      <c r="H18" s="738"/>
      <c r="I18" s="732"/>
      <c r="J18" s="734"/>
      <c r="K18" s="734"/>
      <c r="L18" s="734">
        <f t="shared" si="6"/>
        <v>0</v>
      </c>
      <c r="M18" s="734">
        <f t="shared" si="6"/>
        <v>0</v>
      </c>
      <c r="N18" s="734">
        <f t="shared" si="6"/>
        <v>0</v>
      </c>
      <c r="O18" s="734">
        <f t="shared" si="6"/>
        <v>0</v>
      </c>
      <c r="P18" s="734">
        <f t="shared" si="6"/>
        <v>0</v>
      </c>
      <c r="Q18" s="734">
        <f t="shared" si="6"/>
        <v>0</v>
      </c>
      <c r="R18" s="734">
        <f t="shared" si="6"/>
        <v>0</v>
      </c>
      <c r="S18" s="734">
        <f t="shared" si="6"/>
        <v>0</v>
      </c>
      <c r="T18" s="734">
        <f t="shared" si="6"/>
        <v>0</v>
      </c>
      <c r="U18" s="735">
        <f t="shared" si="6"/>
        <v>0</v>
      </c>
      <c r="W18" s="43">
        <f t="shared" si="4"/>
        <v>0</v>
      </c>
      <c r="X18" s="43">
        <f t="shared" si="1"/>
        <v>0</v>
      </c>
      <c r="Y18" s="43">
        <f t="shared" si="1"/>
        <v>0</v>
      </c>
      <c r="Z18" s="43">
        <f t="shared" si="1"/>
        <v>0</v>
      </c>
      <c r="AA18" s="43">
        <f t="shared" si="1"/>
        <v>0</v>
      </c>
      <c r="AB18" s="43">
        <f t="shared" si="1"/>
        <v>0</v>
      </c>
      <c r="AC18" s="43">
        <f t="shared" si="1"/>
        <v>0</v>
      </c>
      <c r="AD18" s="43">
        <f t="shared" si="1"/>
        <v>0</v>
      </c>
      <c r="AE18" s="43">
        <f t="shared" si="1"/>
        <v>0</v>
      </c>
      <c r="AF18" s="43">
        <f t="shared" si="1"/>
        <v>0</v>
      </c>
      <c r="AG18" s="43">
        <f t="shared" si="1"/>
        <v>0</v>
      </c>
      <c r="AH18" s="43">
        <f t="shared" si="1"/>
        <v>0</v>
      </c>
      <c r="AJ18" s="734"/>
      <c r="AK18" s="47"/>
      <c r="AL18" s="47"/>
      <c r="AM18" s="47"/>
      <c r="AN18" s="47"/>
      <c r="AO18" s="47"/>
      <c r="AP18" s="47"/>
      <c r="AQ18" s="47"/>
      <c r="AR18" s="47"/>
      <c r="AS18" s="47"/>
      <c r="AT18" s="47"/>
      <c r="AU18" s="47"/>
    </row>
    <row r="19" spans="1:47" x14ac:dyDescent="0.35">
      <c r="A19" s="88" t="str">
        <f>A18</f>
        <v>UGBZ</v>
      </c>
      <c r="B19" s="1" t="s">
        <v>24</v>
      </c>
      <c r="C19" s="16" t="s">
        <v>33</v>
      </c>
      <c r="D19" s="93" t="s">
        <v>119</v>
      </c>
      <c r="E19" s="16" t="s">
        <v>46</v>
      </c>
      <c r="F19" s="1">
        <v>2000</v>
      </c>
      <c r="G19" s="1" t="s">
        <v>41</v>
      </c>
      <c r="H19" s="738"/>
      <c r="I19" s="732"/>
      <c r="J19" s="734"/>
      <c r="K19" s="734"/>
      <c r="L19" s="734">
        <f t="shared" si="6"/>
        <v>0</v>
      </c>
      <c r="M19" s="734">
        <f t="shared" si="6"/>
        <v>0</v>
      </c>
      <c r="N19" s="734">
        <f t="shared" si="6"/>
        <v>0</v>
      </c>
      <c r="O19" s="734">
        <f t="shared" si="6"/>
        <v>0</v>
      </c>
      <c r="P19" s="734">
        <f t="shared" si="6"/>
        <v>0</v>
      </c>
      <c r="Q19" s="734">
        <f t="shared" si="6"/>
        <v>0</v>
      </c>
      <c r="R19" s="734">
        <f t="shared" si="6"/>
        <v>0</v>
      </c>
      <c r="S19" s="734">
        <f t="shared" si="6"/>
        <v>0</v>
      </c>
      <c r="T19" s="734">
        <f t="shared" si="6"/>
        <v>0</v>
      </c>
      <c r="U19" s="735">
        <f t="shared" si="6"/>
        <v>0</v>
      </c>
      <c r="V19" s="5"/>
      <c r="W19" s="43">
        <f t="shared" si="4"/>
        <v>0</v>
      </c>
      <c r="X19" s="43">
        <f t="shared" si="1"/>
        <v>0</v>
      </c>
      <c r="Y19" s="43">
        <f t="shared" si="1"/>
        <v>0</v>
      </c>
      <c r="Z19" s="43">
        <f t="shared" si="1"/>
        <v>0</v>
      </c>
      <c r="AA19" s="43">
        <f t="shared" si="1"/>
        <v>0</v>
      </c>
      <c r="AB19" s="43">
        <f t="shared" si="1"/>
        <v>0</v>
      </c>
      <c r="AC19" s="43">
        <f t="shared" si="1"/>
        <v>0</v>
      </c>
      <c r="AD19" s="43">
        <f t="shared" si="1"/>
        <v>0</v>
      </c>
      <c r="AE19" s="43">
        <f t="shared" si="1"/>
        <v>0</v>
      </c>
      <c r="AF19" s="43">
        <f t="shared" si="1"/>
        <v>0</v>
      </c>
      <c r="AG19" s="43">
        <f t="shared" si="1"/>
        <v>0</v>
      </c>
      <c r="AH19" s="43">
        <f t="shared" si="1"/>
        <v>0</v>
      </c>
      <c r="AJ19" s="734"/>
      <c r="AK19" s="47"/>
      <c r="AL19" s="47"/>
      <c r="AM19" s="47"/>
      <c r="AN19" s="47"/>
      <c r="AO19" s="47"/>
      <c r="AP19" s="47"/>
      <c r="AQ19" s="47"/>
      <c r="AR19" s="47"/>
      <c r="AS19" s="47"/>
      <c r="AT19" s="47"/>
      <c r="AU19" s="47"/>
    </row>
    <row r="20" spans="1:47" x14ac:dyDescent="0.35">
      <c r="A20" s="88" t="str">
        <f>A19</f>
        <v>UGBZ</v>
      </c>
      <c r="B20" s="1" t="s">
        <v>24</v>
      </c>
      <c r="C20" s="16" t="s">
        <v>49</v>
      </c>
      <c r="D20" s="93" t="s">
        <v>119</v>
      </c>
      <c r="E20" s="16" t="s">
        <v>46</v>
      </c>
      <c r="F20" s="1"/>
      <c r="G20" s="1" t="s">
        <v>43</v>
      </c>
      <c r="H20" s="15">
        <v>1400</v>
      </c>
      <c r="I20" s="15"/>
      <c r="J20" s="15"/>
      <c r="K20" s="15"/>
      <c r="L20" s="15"/>
      <c r="M20" s="15"/>
      <c r="N20" s="14"/>
      <c r="O20" s="14"/>
      <c r="P20" s="14"/>
      <c r="Q20" s="14"/>
      <c r="R20" s="14"/>
      <c r="S20" s="14"/>
      <c r="T20" s="14"/>
      <c r="U20" s="22"/>
      <c r="W20" s="15"/>
      <c r="X20" s="15"/>
      <c r="Y20" s="15"/>
      <c r="Z20" s="15"/>
      <c r="AA20" s="14"/>
      <c r="AB20" s="14"/>
      <c r="AC20" s="14"/>
      <c r="AD20" s="14"/>
      <c r="AE20" s="14"/>
      <c r="AF20" s="14"/>
      <c r="AG20" s="14"/>
      <c r="AH20" s="22"/>
      <c r="AJ20" s="15"/>
      <c r="AK20" s="15"/>
      <c r="AL20" s="15"/>
      <c r="AM20" s="15"/>
      <c r="AN20" s="14"/>
      <c r="AO20" s="14"/>
      <c r="AP20" s="14"/>
      <c r="AQ20" s="14"/>
      <c r="AR20" s="14"/>
      <c r="AS20" s="14"/>
      <c r="AT20" s="14"/>
      <c r="AU20" s="22"/>
    </row>
    <row r="21" spans="1:47" x14ac:dyDescent="0.35">
      <c r="A21" s="88" t="s">
        <v>50</v>
      </c>
      <c r="B21" s="1" t="s">
        <v>38</v>
      </c>
      <c r="C21" s="10" t="s">
        <v>51</v>
      </c>
      <c r="D21" s="94" t="s">
        <v>119</v>
      </c>
      <c r="E21" s="10" t="s">
        <v>52</v>
      </c>
      <c r="F21" s="18">
        <v>250</v>
      </c>
      <c r="G21" s="18" t="s">
        <v>43</v>
      </c>
      <c r="H21" s="15">
        <v>1200</v>
      </c>
      <c r="I21" s="15"/>
      <c r="J21" s="15"/>
      <c r="K21" s="15"/>
      <c r="L21" s="15"/>
      <c r="M21" s="15"/>
      <c r="N21" s="14"/>
      <c r="O21" s="14"/>
      <c r="P21" s="14"/>
      <c r="Q21" s="14"/>
      <c r="R21" s="14"/>
      <c r="S21" s="14"/>
      <c r="T21" s="14"/>
      <c r="U21" s="22"/>
      <c r="W21" s="15"/>
      <c r="X21" s="15"/>
      <c r="Y21" s="15"/>
      <c r="Z21" s="15"/>
      <c r="AA21" s="14"/>
      <c r="AB21" s="14"/>
      <c r="AC21" s="14"/>
      <c r="AD21" s="14"/>
      <c r="AE21" s="14"/>
      <c r="AF21" s="14"/>
      <c r="AG21" s="14"/>
      <c r="AH21" s="22"/>
      <c r="AJ21" s="15"/>
      <c r="AK21" s="15"/>
      <c r="AL21" s="15"/>
      <c r="AM21" s="15"/>
      <c r="AN21" s="14"/>
      <c r="AO21" s="14"/>
      <c r="AP21" s="14"/>
      <c r="AQ21" s="14"/>
      <c r="AR21" s="14"/>
      <c r="AS21" s="14"/>
      <c r="AT21" s="14"/>
      <c r="AU21" s="22"/>
    </row>
    <row r="22" spans="1:47" x14ac:dyDescent="0.35">
      <c r="A22" s="88" t="str">
        <f>A21</f>
        <v xml:space="preserve">HCA </v>
      </c>
      <c r="B22" s="1" t="s">
        <v>24</v>
      </c>
      <c r="C22" s="10" t="s">
        <v>53</v>
      </c>
      <c r="D22" s="94" t="s">
        <v>115</v>
      </c>
      <c r="E22" s="10" t="s">
        <v>52</v>
      </c>
      <c r="F22" s="1">
        <v>40</v>
      </c>
      <c r="G22" s="1" t="s">
        <v>43</v>
      </c>
      <c r="H22" s="15">
        <v>1300</v>
      </c>
      <c r="I22" s="15">
        <v>4</v>
      </c>
      <c r="J22" s="48">
        <v>4</v>
      </c>
      <c r="K22" s="48">
        <v>4</v>
      </c>
      <c r="L22" s="48">
        <v>4</v>
      </c>
      <c r="M22" s="48">
        <v>4</v>
      </c>
      <c r="N22" s="48">
        <v>4</v>
      </c>
      <c r="O22" s="48">
        <v>4</v>
      </c>
      <c r="P22" s="48">
        <v>4</v>
      </c>
      <c r="Q22" s="48">
        <v>4</v>
      </c>
      <c r="R22" s="48">
        <v>4</v>
      </c>
      <c r="S22" s="48">
        <v>4</v>
      </c>
      <c r="T22" s="48">
        <v>4</v>
      </c>
      <c r="U22" s="48">
        <v>4</v>
      </c>
      <c r="W22" s="43">
        <f t="shared" ref="W22:AH22" si="7">$H22*J22</f>
        <v>5200</v>
      </c>
      <c r="X22" s="43">
        <f t="shared" si="7"/>
        <v>5200</v>
      </c>
      <c r="Y22" s="43">
        <f t="shared" si="7"/>
        <v>5200</v>
      </c>
      <c r="Z22" s="43">
        <f t="shared" si="7"/>
        <v>5200</v>
      </c>
      <c r="AA22" s="43">
        <f t="shared" si="7"/>
        <v>5200</v>
      </c>
      <c r="AB22" s="43">
        <f t="shared" si="7"/>
        <v>5200</v>
      </c>
      <c r="AC22" s="43">
        <f t="shared" si="7"/>
        <v>5200</v>
      </c>
      <c r="AD22" s="43">
        <f t="shared" si="7"/>
        <v>5200</v>
      </c>
      <c r="AE22" s="43">
        <f t="shared" si="7"/>
        <v>5200</v>
      </c>
      <c r="AF22" s="43">
        <f t="shared" si="7"/>
        <v>5200</v>
      </c>
      <c r="AG22" s="43">
        <f t="shared" si="7"/>
        <v>5200</v>
      </c>
      <c r="AH22" s="43">
        <f t="shared" si="7"/>
        <v>5200</v>
      </c>
      <c r="AJ22" s="44">
        <f>J22</f>
        <v>4</v>
      </c>
      <c r="AK22" s="44">
        <f t="shared" ref="AK22:AU22" si="8">K22</f>
        <v>4</v>
      </c>
      <c r="AL22" s="44">
        <f t="shared" si="8"/>
        <v>4</v>
      </c>
      <c r="AM22" s="44">
        <f t="shared" si="8"/>
        <v>4</v>
      </c>
      <c r="AN22" s="44">
        <f t="shared" si="8"/>
        <v>4</v>
      </c>
      <c r="AO22" s="44">
        <f t="shared" si="8"/>
        <v>4</v>
      </c>
      <c r="AP22" s="44">
        <f t="shared" si="8"/>
        <v>4</v>
      </c>
      <c r="AQ22" s="44">
        <f t="shared" si="8"/>
        <v>4</v>
      </c>
      <c r="AR22" s="44">
        <f t="shared" si="8"/>
        <v>4</v>
      </c>
      <c r="AS22" s="44">
        <f t="shared" si="8"/>
        <v>4</v>
      </c>
      <c r="AT22" s="44">
        <f t="shared" si="8"/>
        <v>4</v>
      </c>
      <c r="AU22" s="44">
        <f t="shared" si="8"/>
        <v>4</v>
      </c>
    </row>
    <row r="23" spans="1:47" x14ac:dyDescent="0.35">
      <c r="A23" s="8" t="s">
        <v>54</v>
      </c>
      <c r="B23" s="1" t="s">
        <v>38</v>
      </c>
      <c r="C23" s="10" t="s">
        <v>39</v>
      </c>
      <c r="D23" s="94" t="s">
        <v>115</v>
      </c>
      <c r="E23" s="10" t="s">
        <v>26</v>
      </c>
      <c r="F23" s="1">
        <v>20</v>
      </c>
      <c r="G23" s="1" t="s">
        <v>43</v>
      </c>
      <c r="H23" s="15">
        <v>1200</v>
      </c>
      <c r="I23" s="15"/>
      <c r="J23" s="15"/>
      <c r="K23" s="15"/>
      <c r="L23" s="15"/>
      <c r="M23" s="15"/>
      <c r="N23" s="14"/>
      <c r="O23" s="14"/>
      <c r="P23" s="14"/>
      <c r="Q23" s="14"/>
      <c r="R23" s="14"/>
      <c r="S23" s="14"/>
      <c r="T23" s="14"/>
      <c r="U23" s="22"/>
      <c r="W23" s="15"/>
      <c r="X23" s="15"/>
      <c r="Y23" s="15"/>
      <c r="Z23" s="15"/>
      <c r="AA23" s="14"/>
      <c r="AB23" s="14"/>
      <c r="AC23" s="14"/>
      <c r="AD23" s="14"/>
      <c r="AE23" s="14"/>
      <c r="AF23" s="14"/>
      <c r="AG23" s="14"/>
      <c r="AH23" s="22"/>
      <c r="AJ23" s="15"/>
      <c r="AK23" s="15"/>
      <c r="AL23" s="15"/>
      <c r="AM23" s="15"/>
      <c r="AN23" s="14"/>
      <c r="AO23" s="14"/>
      <c r="AP23" s="14"/>
      <c r="AQ23" s="14"/>
      <c r="AR23" s="14"/>
      <c r="AS23" s="14"/>
      <c r="AT23" s="14"/>
      <c r="AU23" s="22"/>
    </row>
    <row r="24" spans="1:47" ht="26" x14ac:dyDescent="0.35">
      <c r="A24" s="88" t="s">
        <v>60</v>
      </c>
      <c r="B24" s="1" t="s">
        <v>24</v>
      </c>
      <c r="C24" s="10" t="s">
        <v>39</v>
      </c>
      <c r="D24" s="94" t="s">
        <v>115</v>
      </c>
      <c r="E24" s="10" t="s">
        <v>61</v>
      </c>
      <c r="F24" s="1">
        <v>40</v>
      </c>
      <c r="G24" s="1" t="s">
        <v>62</v>
      </c>
      <c r="H24" s="1">
        <v>2.1</v>
      </c>
      <c r="I24" s="12">
        <f>1500/20</f>
        <v>75</v>
      </c>
      <c r="J24" s="1">
        <f>I24*J4</f>
        <v>1500</v>
      </c>
      <c r="K24" s="1">
        <f>I24*K4</f>
        <v>1575</v>
      </c>
      <c r="L24" s="1">
        <f>I24*L4</f>
        <v>1575</v>
      </c>
      <c r="M24" s="1">
        <f>I24*M4</f>
        <v>1650</v>
      </c>
      <c r="N24" s="1">
        <f>I24*N4</f>
        <v>1575</v>
      </c>
      <c r="O24" s="1">
        <f>I24*O4</f>
        <v>1425</v>
      </c>
      <c r="P24" s="1">
        <f>I24*P4</f>
        <v>1425</v>
      </c>
      <c r="Q24" s="1">
        <f>I24*Q4</f>
        <v>1575</v>
      </c>
      <c r="R24" s="1">
        <f>I24*R4</f>
        <v>1500</v>
      </c>
      <c r="S24" s="1">
        <f>I24*S4</f>
        <v>1575</v>
      </c>
      <c r="T24" s="1">
        <f>I24*T4</f>
        <v>1425</v>
      </c>
      <c r="U24" s="20">
        <f>I24*U4</f>
        <v>1575</v>
      </c>
      <c r="V24" s="7"/>
      <c r="W24" s="43">
        <f t="shared" ref="W24:AH31" si="9">$H24*J24</f>
        <v>3150</v>
      </c>
      <c r="X24" s="43">
        <f t="shared" si="9"/>
        <v>3307.5</v>
      </c>
      <c r="Y24" s="43">
        <f t="shared" si="9"/>
        <v>3307.5</v>
      </c>
      <c r="Z24" s="43">
        <f t="shared" si="9"/>
        <v>3465</v>
      </c>
      <c r="AA24" s="43">
        <f t="shared" si="9"/>
        <v>3307.5</v>
      </c>
      <c r="AB24" s="43">
        <f t="shared" si="9"/>
        <v>2992.5</v>
      </c>
      <c r="AC24" s="43">
        <f t="shared" si="9"/>
        <v>2992.5</v>
      </c>
      <c r="AD24" s="43">
        <f t="shared" si="9"/>
        <v>3307.5</v>
      </c>
      <c r="AE24" s="43">
        <f t="shared" si="9"/>
        <v>3150</v>
      </c>
      <c r="AF24" s="43">
        <f t="shared" si="9"/>
        <v>3307.5</v>
      </c>
      <c r="AG24" s="43">
        <f t="shared" si="9"/>
        <v>2992.5</v>
      </c>
      <c r="AH24" s="43">
        <f t="shared" si="9"/>
        <v>3307.5</v>
      </c>
      <c r="AJ24" s="44">
        <f t="shared" ref="AJ24:AU28" si="10">(J24/J$4)/$F24</f>
        <v>1.875</v>
      </c>
      <c r="AK24" s="44">
        <f t="shared" si="10"/>
        <v>1.875</v>
      </c>
      <c r="AL24" s="44">
        <f t="shared" si="10"/>
        <v>1.875</v>
      </c>
      <c r="AM24" s="44">
        <f t="shared" si="10"/>
        <v>1.875</v>
      </c>
      <c r="AN24" s="44">
        <f t="shared" si="10"/>
        <v>1.875</v>
      </c>
      <c r="AO24" s="44">
        <f t="shared" si="10"/>
        <v>1.875</v>
      </c>
      <c r="AP24" s="44">
        <f t="shared" si="10"/>
        <v>1.875</v>
      </c>
      <c r="AQ24" s="44">
        <f t="shared" si="10"/>
        <v>1.875</v>
      </c>
      <c r="AR24" s="44">
        <f t="shared" si="10"/>
        <v>1.875</v>
      </c>
      <c r="AS24" s="44">
        <f t="shared" si="10"/>
        <v>1.875</v>
      </c>
      <c r="AT24" s="44">
        <f t="shared" si="10"/>
        <v>1.875</v>
      </c>
      <c r="AU24" s="44">
        <f t="shared" si="10"/>
        <v>1.875</v>
      </c>
    </row>
    <row r="25" spans="1:47" ht="26" x14ac:dyDescent="0.35">
      <c r="A25" s="88" t="str">
        <f>A24</f>
        <v>CMS</v>
      </c>
      <c r="B25" s="1" t="s">
        <v>24</v>
      </c>
      <c r="C25" s="10" t="s">
        <v>63</v>
      </c>
      <c r="D25" s="94" t="s">
        <v>119</v>
      </c>
      <c r="E25" s="10" t="s">
        <v>61</v>
      </c>
      <c r="F25" s="1">
        <v>100</v>
      </c>
      <c r="G25" s="1" t="s">
        <v>62</v>
      </c>
      <c r="H25" s="1">
        <v>0.55000000000000004</v>
      </c>
      <c r="I25" s="12">
        <f>150/20</f>
        <v>7.5</v>
      </c>
      <c r="J25" s="1">
        <f>I25*J4</f>
        <v>150</v>
      </c>
      <c r="K25" s="1">
        <f>I25*K4</f>
        <v>157.5</v>
      </c>
      <c r="L25" s="1">
        <f>I25*L4</f>
        <v>157.5</v>
      </c>
      <c r="M25" s="1">
        <f>I25*M4</f>
        <v>165</v>
      </c>
      <c r="N25" s="1">
        <f>I25*N4</f>
        <v>157.5</v>
      </c>
      <c r="O25" s="1">
        <f>I25*O4</f>
        <v>142.5</v>
      </c>
      <c r="P25" s="1">
        <f>I25*P4</f>
        <v>142.5</v>
      </c>
      <c r="Q25" s="1">
        <f>I25*Q4</f>
        <v>157.5</v>
      </c>
      <c r="R25" s="1">
        <f>I25*R4</f>
        <v>150</v>
      </c>
      <c r="S25" s="1">
        <f>I25*S4</f>
        <v>157.5</v>
      </c>
      <c r="T25" s="1">
        <f>I25*T4</f>
        <v>142.5</v>
      </c>
      <c r="U25" s="20">
        <f>I25*U4</f>
        <v>157.5</v>
      </c>
      <c r="V25" s="7"/>
      <c r="W25" s="43">
        <f t="shared" si="9"/>
        <v>82.5</v>
      </c>
      <c r="X25" s="43">
        <f t="shared" si="9"/>
        <v>86.625</v>
      </c>
      <c r="Y25" s="43">
        <f t="shared" si="9"/>
        <v>86.625</v>
      </c>
      <c r="Z25" s="43">
        <f t="shared" si="9"/>
        <v>90.750000000000014</v>
      </c>
      <c r="AA25" s="43">
        <f t="shared" si="9"/>
        <v>86.625</v>
      </c>
      <c r="AB25" s="43">
        <f t="shared" si="9"/>
        <v>78.375</v>
      </c>
      <c r="AC25" s="43">
        <f t="shared" si="9"/>
        <v>78.375</v>
      </c>
      <c r="AD25" s="43">
        <f t="shared" si="9"/>
        <v>86.625</v>
      </c>
      <c r="AE25" s="43">
        <f t="shared" si="9"/>
        <v>82.5</v>
      </c>
      <c r="AF25" s="43">
        <f t="shared" si="9"/>
        <v>86.625</v>
      </c>
      <c r="AG25" s="43">
        <f t="shared" si="9"/>
        <v>78.375</v>
      </c>
      <c r="AH25" s="43">
        <f t="shared" si="9"/>
        <v>86.625</v>
      </c>
      <c r="AJ25" s="44">
        <f t="shared" si="10"/>
        <v>7.4999999999999997E-2</v>
      </c>
      <c r="AK25" s="44">
        <f t="shared" si="10"/>
        <v>7.4999999999999997E-2</v>
      </c>
      <c r="AL25" s="44">
        <f t="shared" si="10"/>
        <v>7.4999999999999997E-2</v>
      </c>
      <c r="AM25" s="44">
        <f t="shared" si="10"/>
        <v>7.4999999999999997E-2</v>
      </c>
      <c r="AN25" s="44">
        <f t="shared" si="10"/>
        <v>7.4999999999999997E-2</v>
      </c>
      <c r="AO25" s="44">
        <f t="shared" si="10"/>
        <v>7.4999999999999997E-2</v>
      </c>
      <c r="AP25" s="44">
        <f t="shared" si="10"/>
        <v>7.4999999999999997E-2</v>
      </c>
      <c r="AQ25" s="44">
        <f t="shared" si="10"/>
        <v>7.4999999999999997E-2</v>
      </c>
      <c r="AR25" s="44">
        <f t="shared" si="10"/>
        <v>7.4999999999999997E-2</v>
      </c>
      <c r="AS25" s="44">
        <f t="shared" si="10"/>
        <v>7.4999999999999997E-2</v>
      </c>
      <c r="AT25" s="44">
        <f t="shared" si="10"/>
        <v>7.4999999999999997E-2</v>
      </c>
      <c r="AU25" s="44">
        <f t="shared" si="10"/>
        <v>7.4999999999999997E-2</v>
      </c>
    </row>
    <row r="26" spans="1:47" ht="26" x14ac:dyDescent="0.35">
      <c r="A26" s="88" t="str">
        <f>A25</f>
        <v>CMS</v>
      </c>
      <c r="B26" s="1" t="s">
        <v>24</v>
      </c>
      <c r="C26" s="10" t="s">
        <v>31</v>
      </c>
      <c r="D26" s="94" t="s">
        <v>119</v>
      </c>
      <c r="E26" s="10" t="s">
        <v>61</v>
      </c>
      <c r="F26" s="1">
        <v>150</v>
      </c>
      <c r="G26" s="1" t="s">
        <v>62</v>
      </c>
      <c r="H26" s="1">
        <v>0.3</v>
      </c>
      <c r="I26" s="12">
        <f>150/20</f>
        <v>7.5</v>
      </c>
      <c r="J26" s="1">
        <f>I26*J4</f>
        <v>150</v>
      </c>
      <c r="K26" s="1">
        <f>I26*K4</f>
        <v>157.5</v>
      </c>
      <c r="L26" s="1">
        <f>I26*L4</f>
        <v>157.5</v>
      </c>
      <c r="M26" s="1">
        <f>I26*M4</f>
        <v>165</v>
      </c>
      <c r="N26" s="1">
        <f>I26*N4</f>
        <v>157.5</v>
      </c>
      <c r="O26" s="1">
        <f>I26*O4</f>
        <v>142.5</v>
      </c>
      <c r="P26" s="1">
        <f>I26*P4</f>
        <v>142.5</v>
      </c>
      <c r="Q26" s="1">
        <f>I26*Q4</f>
        <v>157.5</v>
      </c>
      <c r="R26" s="1">
        <f>I26*R4</f>
        <v>150</v>
      </c>
      <c r="S26" s="1">
        <f>I26*S4</f>
        <v>157.5</v>
      </c>
      <c r="T26" s="1">
        <f>I26*T4</f>
        <v>142.5</v>
      </c>
      <c r="U26" s="20">
        <f>I26*U4</f>
        <v>157.5</v>
      </c>
      <c r="W26" s="43">
        <f t="shared" si="9"/>
        <v>45</v>
      </c>
      <c r="X26" s="43">
        <f t="shared" si="9"/>
        <v>47.25</v>
      </c>
      <c r="Y26" s="43">
        <f t="shared" si="9"/>
        <v>47.25</v>
      </c>
      <c r="Z26" s="43">
        <f t="shared" si="9"/>
        <v>49.5</v>
      </c>
      <c r="AA26" s="43">
        <f t="shared" si="9"/>
        <v>47.25</v>
      </c>
      <c r="AB26" s="43">
        <f t="shared" si="9"/>
        <v>42.75</v>
      </c>
      <c r="AC26" s="43">
        <f t="shared" si="9"/>
        <v>42.75</v>
      </c>
      <c r="AD26" s="43">
        <f t="shared" si="9"/>
        <v>47.25</v>
      </c>
      <c r="AE26" s="43">
        <f t="shared" si="9"/>
        <v>45</v>
      </c>
      <c r="AF26" s="43">
        <f t="shared" si="9"/>
        <v>47.25</v>
      </c>
      <c r="AG26" s="43">
        <f t="shared" si="9"/>
        <v>42.75</v>
      </c>
      <c r="AH26" s="43">
        <f t="shared" si="9"/>
        <v>47.25</v>
      </c>
      <c r="AJ26" s="44">
        <f t="shared" si="10"/>
        <v>0.05</v>
      </c>
      <c r="AK26" s="44">
        <f t="shared" si="10"/>
        <v>0.05</v>
      </c>
      <c r="AL26" s="44">
        <f t="shared" si="10"/>
        <v>0.05</v>
      </c>
      <c r="AM26" s="44">
        <f t="shared" si="10"/>
        <v>0.05</v>
      </c>
      <c r="AN26" s="44">
        <f t="shared" si="10"/>
        <v>0.05</v>
      </c>
      <c r="AO26" s="44">
        <f t="shared" si="10"/>
        <v>0.05</v>
      </c>
      <c r="AP26" s="44">
        <f t="shared" si="10"/>
        <v>0.05</v>
      </c>
      <c r="AQ26" s="44">
        <f t="shared" si="10"/>
        <v>0.05</v>
      </c>
      <c r="AR26" s="44">
        <f t="shared" si="10"/>
        <v>0.05</v>
      </c>
      <c r="AS26" s="44">
        <f t="shared" si="10"/>
        <v>0.05</v>
      </c>
      <c r="AT26" s="44">
        <f t="shared" si="10"/>
        <v>0.05</v>
      </c>
      <c r="AU26" s="44">
        <f t="shared" si="10"/>
        <v>0.05</v>
      </c>
    </row>
    <row r="27" spans="1:47" ht="26" x14ac:dyDescent="0.35">
      <c r="A27" s="88" t="str">
        <f>A26</f>
        <v>CMS</v>
      </c>
      <c r="B27" s="1" t="s">
        <v>24</v>
      </c>
      <c r="C27" s="10" t="s">
        <v>32</v>
      </c>
      <c r="D27" s="94" t="s">
        <v>119</v>
      </c>
      <c r="E27" s="10" t="s">
        <v>61</v>
      </c>
      <c r="F27" s="1">
        <v>450</v>
      </c>
      <c r="G27" s="1" t="s">
        <v>62</v>
      </c>
      <c r="H27" s="1">
        <v>0.27</v>
      </c>
      <c r="I27" s="12">
        <f>700/20</f>
        <v>35</v>
      </c>
      <c r="J27" s="1">
        <f>I27*J4</f>
        <v>700</v>
      </c>
      <c r="K27" s="1">
        <f>I27*K4</f>
        <v>735</v>
      </c>
      <c r="L27" s="1">
        <f>I27*L4</f>
        <v>735</v>
      </c>
      <c r="M27" s="1">
        <f>I27*M4</f>
        <v>770</v>
      </c>
      <c r="N27" s="1">
        <f>I27*N4</f>
        <v>735</v>
      </c>
      <c r="O27" s="1">
        <f>I27*O4</f>
        <v>665</v>
      </c>
      <c r="P27" s="1">
        <f>I27*P4</f>
        <v>665</v>
      </c>
      <c r="Q27" s="1">
        <f>I27*Q4</f>
        <v>735</v>
      </c>
      <c r="R27" s="1">
        <f>I27*R4</f>
        <v>700</v>
      </c>
      <c r="S27" s="1">
        <f>I27*S4</f>
        <v>735</v>
      </c>
      <c r="T27" s="1">
        <f>I27*T4</f>
        <v>665</v>
      </c>
      <c r="U27" s="20">
        <f>I27*U4</f>
        <v>735</v>
      </c>
      <c r="W27" s="43">
        <f t="shared" si="9"/>
        <v>189</v>
      </c>
      <c r="X27" s="43">
        <f t="shared" si="9"/>
        <v>198.45000000000002</v>
      </c>
      <c r="Y27" s="43">
        <f t="shared" si="9"/>
        <v>198.45000000000002</v>
      </c>
      <c r="Z27" s="43">
        <f t="shared" si="9"/>
        <v>207.9</v>
      </c>
      <c r="AA27" s="43">
        <f t="shared" si="9"/>
        <v>198.45000000000002</v>
      </c>
      <c r="AB27" s="43">
        <f t="shared" si="9"/>
        <v>179.55</v>
      </c>
      <c r="AC27" s="43">
        <f t="shared" si="9"/>
        <v>179.55</v>
      </c>
      <c r="AD27" s="43">
        <f t="shared" si="9"/>
        <v>198.45000000000002</v>
      </c>
      <c r="AE27" s="43">
        <f t="shared" si="9"/>
        <v>189</v>
      </c>
      <c r="AF27" s="43">
        <f t="shared" si="9"/>
        <v>198.45000000000002</v>
      </c>
      <c r="AG27" s="43">
        <f t="shared" si="9"/>
        <v>179.55</v>
      </c>
      <c r="AH27" s="43">
        <f t="shared" si="9"/>
        <v>198.45000000000002</v>
      </c>
      <c r="AJ27" s="44">
        <f t="shared" si="10"/>
        <v>7.7777777777777779E-2</v>
      </c>
      <c r="AK27" s="44">
        <f t="shared" si="10"/>
        <v>7.7777777777777779E-2</v>
      </c>
      <c r="AL27" s="44">
        <f t="shared" si="10"/>
        <v>7.7777777777777779E-2</v>
      </c>
      <c r="AM27" s="44">
        <f t="shared" si="10"/>
        <v>7.7777777777777779E-2</v>
      </c>
      <c r="AN27" s="44">
        <f t="shared" si="10"/>
        <v>7.7777777777777779E-2</v>
      </c>
      <c r="AO27" s="44">
        <f t="shared" si="10"/>
        <v>7.7777777777777779E-2</v>
      </c>
      <c r="AP27" s="44">
        <f t="shared" si="10"/>
        <v>7.7777777777777779E-2</v>
      </c>
      <c r="AQ27" s="44">
        <f t="shared" si="10"/>
        <v>7.7777777777777779E-2</v>
      </c>
      <c r="AR27" s="44">
        <f t="shared" si="10"/>
        <v>7.7777777777777779E-2</v>
      </c>
      <c r="AS27" s="44">
        <f t="shared" si="10"/>
        <v>7.7777777777777779E-2</v>
      </c>
      <c r="AT27" s="44">
        <f t="shared" si="10"/>
        <v>7.7777777777777779E-2</v>
      </c>
      <c r="AU27" s="44">
        <f t="shared" si="10"/>
        <v>7.7777777777777779E-2</v>
      </c>
    </row>
    <row r="28" spans="1:47" ht="26" x14ac:dyDescent="0.35">
      <c r="A28" s="88" t="str">
        <f>A27</f>
        <v>CMS</v>
      </c>
      <c r="B28" s="1" t="s">
        <v>24</v>
      </c>
      <c r="C28" s="10" t="s">
        <v>33</v>
      </c>
      <c r="D28" s="94" t="s">
        <v>119</v>
      </c>
      <c r="E28" s="10" t="s">
        <v>61</v>
      </c>
      <c r="F28" s="1">
        <v>450</v>
      </c>
      <c r="G28" s="1" t="s">
        <v>62</v>
      </c>
      <c r="H28" s="1">
        <v>0.03</v>
      </c>
      <c r="I28" s="12">
        <f>4000/20</f>
        <v>200</v>
      </c>
      <c r="J28" s="1">
        <f>I28*J4</f>
        <v>4000</v>
      </c>
      <c r="K28" s="1">
        <f>I28*K4</f>
        <v>4200</v>
      </c>
      <c r="L28" s="1">
        <f>I28*L4</f>
        <v>4200</v>
      </c>
      <c r="M28" s="1">
        <f>I28*M4</f>
        <v>4400</v>
      </c>
      <c r="N28" s="1">
        <f>I28*N4</f>
        <v>4200</v>
      </c>
      <c r="O28" s="1">
        <f>I28*O4</f>
        <v>3800</v>
      </c>
      <c r="P28" s="1">
        <f>I28*P4</f>
        <v>3800</v>
      </c>
      <c r="Q28" s="1">
        <f>I28*Q4</f>
        <v>4200</v>
      </c>
      <c r="R28" s="1">
        <f>I28*R4</f>
        <v>4000</v>
      </c>
      <c r="S28" s="1">
        <f>I28*S4</f>
        <v>4200</v>
      </c>
      <c r="T28" s="1">
        <f>I28*T4</f>
        <v>3800</v>
      </c>
      <c r="U28" s="20">
        <f>I28*U4</f>
        <v>4200</v>
      </c>
      <c r="V28" s="7"/>
      <c r="W28" s="43">
        <f t="shared" si="9"/>
        <v>120</v>
      </c>
      <c r="X28" s="43">
        <f t="shared" si="9"/>
        <v>126</v>
      </c>
      <c r="Y28" s="43">
        <f t="shared" si="9"/>
        <v>126</v>
      </c>
      <c r="Z28" s="43">
        <f t="shared" si="9"/>
        <v>132</v>
      </c>
      <c r="AA28" s="43">
        <f t="shared" si="9"/>
        <v>126</v>
      </c>
      <c r="AB28" s="43">
        <f t="shared" si="9"/>
        <v>114</v>
      </c>
      <c r="AC28" s="43">
        <f t="shared" si="9"/>
        <v>114</v>
      </c>
      <c r="AD28" s="43">
        <f t="shared" si="9"/>
        <v>126</v>
      </c>
      <c r="AE28" s="43">
        <f t="shared" si="9"/>
        <v>120</v>
      </c>
      <c r="AF28" s="43">
        <f t="shared" si="9"/>
        <v>126</v>
      </c>
      <c r="AG28" s="43">
        <f t="shared" si="9"/>
        <v>114</v>
      </c>
      <c r="AH28" s="43">
        <f t="shared" si="9"/>
        <v>126</v>
      </c>
      <c r="AJ28" s="44">
        <f t="shared" si="10"/>
        <v>0.44444444444444442</v>
      </c>
      <c r="AK28" s="44">
        <f t="shared" si="10"/>
        <v>0.44444444444444442</v>
      </c>
      <c r="AL28" s="44">
        <f t="shared" si="10"/>
        <v>0.44444444444444442</v>
      </c>
      <c r="AM28" s="44">
        <f t="shared" si="10"/>
        <v>0.44444444444444442</v>
      </c>
      <c r="AN28" s="44">
        <f t="shared" si="10"/>
        <v>0.44444444444444442</v>
      </c>
      <c r="AO28" s="44">
        <f t="shared" si="10"/>
        <v>0.44444444444444442</v>
      </c>
      <c r="AP28" s="44">
        <f t="shared" si="10"/>
        <v>0.44444444444444442</v>
      </c>
      <c r="AQ28" s="44">
        <f t="shared" si="10"/>
        <v>0.44444444444444442</v>
      </c>
      <c r="AR28" s="44">
        <f t="shared" si="10"/>
        <v>0.44444444444444442</v>
      </c>
      <c r="AS28" s="44">
        <f t="shared" si="10"/>
        <v>0.44444444444444442</v>
      </c>
      <c r="AT28" s="44">
        <f t="shared" si="10"/>
        <v>0.44444444444444442</v>
      </c>
      <c r="AU28" s="44">
        <f t="shared" si="10"/>
        <v>0.44444444444444442</v>
      </c>
    </row>
    <row r="29" spans="1:47" x14ac:dyDescent="0.35">
      <c r="A29" s="8" t="s">
        <v>64</v>
      </c>
      <c r="B29" s="1" t="s">
        <v>24</v>
      </c>
      <c r="C29" s="10" t="s">
        <v>65</v>
      </c>
      <c r="D29" s="94" t="s">
        <v>119</v>
      </c>
      <c r="E29" s="10" t="s">
        <v>66</v>
      </c>
      <c r="F29" s="1">
        <v>80</v>
      </c>
      <c r="G29" s="1" t="s">
        <v>43</v>
      </c>
      <c r="H29" s="15">
        <v>1280</v>
      </c>
      <c r="I29" s="15"/>
      <c r="J29" s="48">
        <v>2</v>
      </c>
      <c r="K29" s="48">
        <v>2</v>
      </c>
      <c r="L29" s="48">
        <v>2</v>
      </c>
      <c r="M29" s="48">
        <v>2</v>
      </c>
      <c r="N29" s="48">
        <v>2</v>
      </c>
      <c r="O29" s="48">
        <v>2</v>
      </c>
      <c r="P29" s="48">
        <v>2</v>
      </c>
      <c r="Q29" s="48">
        <v>2</v>
      </c>
      <c r="R29" s="48">
        <v>2</v>
      </c>
      <c r="S29" s="48">
        <v>2</v>
      </c>
      <c r="T29" s="48">
        <v>2</v>
      </c>
      <c r="U29" s="48">
        <v>2</v>
      </c>
      <c r="W29" s="43">
        <f t="shared" si="9"/>
        <v>2560</v>
      </c>
      <c r="X29" s="43">
        <f t="shared" si="9"/>
        <v>2560</v>
      </c>
      <c r="Y29" s="43">
        <f t="shared" si="9"/>
        <v>2560</v>
      </c>
      <c r="Z29" s="43">
        <f t="shared" si="9"/>
        <v>2560</v>
      </c>
      <c r="AA29" s="43">
        <f t="shared" si="9"/>
        <v>2560</v>
      </c>
      <c r="AB29" s="43">
        <f t="shared" si="9"/>
        <v>2560</v>
      </c>
      <c r="AC29" s="43">
        <f t="shared" si="9"/>
        <v>2560</v>
      </c>
      <c r="AD29" s="43">
        <f t="shared" si="9"/>
        <v>2560</v>
      </c>
      <c r="AE29" s="43">
        <f t="shared" si="9"/>
        <v>2560</v>
      </c>
      <c r="AF29" s="43">
        <f t="shared" si="9"/>
        <v>2560</v>
      </c>
      <c r="AG29" s="43">
        <f t="shared" si="9"/>
        <v>2560</v>
      </c>
      <c r="AH29" s="43">
        <f t="shared" si="9"/>
        <v>2560</v>
      </c>
      <c r="AJ29" s="44">
        <f>J29</f>
        <v>2</v>
      </c>
      <c r="AK29" s="44">
        <f t="shared" ref="AK29:AU31" si="11">K29</f>
        <v>2</v>
      </c>
      <c r="AL29" s="44">
        <f t="shared" si="11"/>
        <v>2</v>
      </c>
      <c r="AM29" s="44">
        <f t="shared" si="11"/>
        <v>2</v>
      </c>
      <c r="AN29" s="44">
        <f t="shared" si="11"/>
        <v>2</v>
      </c>
      <c r="AO29" s="44">
        <f t="shared" si="11"/>
        <v>2</v>
      </c>
      <c r="AP29" s="44">
        <f t="shared" si="11"/>
        <v>2</v>
      </c>
      <c r="AQ29" s="44">
        <f t="shared" si="11"/>
        <v>2</v>
      </c>
      <c r="AR29" s="44">
        <f t="shared" si="11"/>
        <v>2</v>
      </c>
      <c r="AS29" s="44">
        <f t="shared" si="11"/>
        <v>2</v>
      </c>
      <c r="AT29" s="44">
        <f t="shared" si="11"/>
        <v>2</v>
      </c>
      <c r="AU29" s="44">
        <f t="shared" si="11"/>
        <v>2</v>
      </c>
    </row>
    <row r="30" spans="1:47" x14ac:dyDescent="0.35">
      <c r="A30" s="88" t="s">
        <v>67</v>
      </c>
      <c r="B30" s="1" t="s">
        <v>24</v>
      </c>
      <c r="C30" s="10" t="s">
        <v>32</v>
      </c>
      <c r="D30" s="94" t="s">
        <v>119</v>
      </c>
      <c r="E30" s="10" t="s">
        <v>56</v>
      </c>
      <c r="F30" s="1">
        <v>180</v>
      </c>
      <c r="G30" s="1" t="s">
        <v>43</v>
      </c>
      <c r="H30" s="64">
        <v>1250</v>
      </c>
      <c r="I30" s="15"/>
      <c r="J30" s="48">
        <v>4</v>
      </c>
      <c r="K30" s="48">
        <v>4</v>
      </c>
      <c r="L30" s="48">
        <v>4</v>
      </c>
      <c r="M30" s="48">
        <v>4</v>
      </c>
      <c r="N30" s="48">
        <v>4</v>
      </c>
      <c r="O30" s="48">
        <v>4</v>
      </c>
      <c r="P30" s="48">
        <v>4</v>
      </c>
      <c r="Q30" s="48">
        <v>4</v>
      </c>
      <c r="R30" s="48">
        <v>4</v>
      </c>
      <c r="S30" s="48">
        <v>4</v>
      </c>
      <c r="T30" s="48">
        <v>4</v>
      </c>
      <c r="U30" s="48">
        <v>4</v>
      </c>
      <c r="W30" s="43">
        <f t="shared" si="9"/>
        <v>5000</v>
      </c>
      <c r="X30" s="43">
        <f t="shared" si="9"/>
        <v>5000</v>
      </c>
      <c r="Y30" s="43">
        <f t="shared" si="9"/>
        <v>5000</v>
      </c>
      <c r="Z30" s="43">
        <f t="shared" si="9"/>
        <v>5000</v>
      </c>
      <c r="AA30" s="43">
        <f t="shared" si="9"/>
        <v>5000</v>
      </c>
      <c r="AB30" s="43">
        <f t="shared" si="9"/>
        <v>5000</v>
      </c>
      <c r="AC30" s="43">
        <f t="shared" si="9"/>
        <v>5000</v>
      </c>
      <c r="AD30" s="43">
        <f t="shared" si="9"/>
        <v>5000</v>
      </c>
      <c r="AE30" s="43">
        <f t="shared" si="9"/>
        <v>5000</v>
      </c>
      <c r="AF30" s="43">
        <f t="shared" si="9"/>
        <v>5000</v>
      </c>
      <c r="AG30" s="43">
        <f t="shared" si="9"/>
        <v>5000</v>
      </c>
      <c r="AH30" s="43">
        <f t="shared" si="9"/>
        <v>5000</v>
      </c>
      <c r="AJ30" s="44">
        <f>J30</f>
        <v>4</v>
      </c>
      <c r="AK30" s="44">
        <f t="shared" si="11"/>
        <v>4</v>
      </c>
      <c r="AL30" s="44">
        <f t="shared" si="11"/>
        <v>4</v>
      </c>
      <c r="AM30" s="44">
        <f t="shared" si="11"/>
        <v>4</v>
      </c>
      <c r="AN30" s="44">
        <f t="shared" si="11"/>
        <v>4</v>
      </c>
      <c r="AO30" s="44">
        <f t="shared" si="11"/>
        <v>4</v>
      </c>
      <c r="AP30" s="44">
        <f t="shared" si="11"/>
        <v>4</v>
      </c>
      <c r="AQ30" s="44">
        <f t="shared" si="11"/>
        <v>4</v>
      </c>
      <c r="AR30" s="44">
        <f t="shared" si="11"/>
        <v>4</v>
      </c>
      <c r="AS30" s="44">
        <f t="shared" si="11"/>
        <v>4</v>
      </c>
      <c r="AT30" s="44">
        <f t="shared" si="11"/>
        <v>4</v>
      </c>
      <c r="AU30" s="44">
        <f t="shared" si="11"/>
        <v>4</v>
      </c>
    </row>
    <row r="31" spans="1:47" x14ac:dyDescent="0.35">
      <c r="A31" s="88" t="str">
        <f>A30</f>
        <v>DDR</v>
      </c>
      <c r="B31" s="1" t="s">
        <v>24</v>
      </c>
      <c r="C31" s="10" t="s">
        <v>33</v>
      </c>
      <c r="D31" s="94" t="s">
        <v>119</v>
      </c>
      <c r="E31" s="10" t="s">
        <v>56</v>
      </c>
      <c r="F31" s="1">
        <v>300</v>
      </c>
      <c r="G31" s="1" t="s">
        <v>43</v>
      </c>
      <c r="H31" s="64"/>
      <c r="I31" s="15"/>
      <c r="J31" s="64"/>
      <c r="K31" s="64"/>
      <c r="L31" s="64"/>
      <c r="M31" s="64"/>
      <c r="N31" s="64"/>
      <c r="O31" s="64"/>
      <c r="P31" s="64"/>
      <c r="Q31" s="64"/>
      <c r="R31" s="64"/>
      <c r="S31" s="64"/>
      <c r="T31" s="64"/>
      <c r="U31" s="65"/>
      <c r="W31" s="43">
        <f t="shared" si="9"/>
        <v>0</v>
      </c>
      <c r="X31" s="43">
        <f t="shared" si="9"/>
        <v>0</v>
      </c>
      <c r="Y31" s="43">
        <f t="shared" si="9"/>
        <v>0</v>
      </c>
      <c r="Z31" s="43">
        <f t="shared" si="9"/>
        <v>0</v>
      </c>
      <c r="AA31" s="43">
        <f t="shared" si="9"/>
        <v>0</v>
      </c>
      <c r="AB31" s="43">
        <f t="shared" si="9"/>
        <v>0</v>
      </c>
      <c r="AC31" s="43">
        <f t="shared" si="9"/>
        <v>0</v>
      </c>
      <c r="AD31" s="43">
        <f t="shared" si="9"/>
        <v>0</v>
      </c>
      <c r="AE31" s="43">
        <f t="shared" si="9"/>
        <v>0</v>
      </c>
      <c r="AF31" s="43">
        <f t="shared" si="9"/>
        <v>0</v>
      </c>
      <c r="AG31" s="43">
        <f t="shared" si="9"/>
        <v>0</v>
      </c>
      <c r="AH31" s="43">
        <f t="shared" si="9"/>
        <v>0</v>
      </c>
      <c r="AJ31" s="44">
        <f>J31</f>
        <v>0</v>
      </c>
      <c r="AK31" s="44">
        <f t="shared" si="11"/>
        <v>0</v>
      </c>
      <c r="AL31" s="44">
        <f t="shared" si="11"/>
        <v>0</v>
      </c>
      <c r="AM31" s="44">
        <f t="shared" si="11"/>
        <v>0</v>
      </c>
      <c r="AN31" s="44">
        <f t="shared" si="11"/>
        <v>0</v>
      </c>
      <c r="AO31" s="44">
        <f t="shared" si="11"/>
        <v>0</v>
      </c>
      <c r="AP31" s="44">
        <f t="shared" si="11"/>
        <v>0</v>
      </c>
      <c r="AQ31" s="44">
        <f t="shared" si="11"/>
        <v>0</v>
      </c>
      <c r="AR31" s="44">
        <f t="shared" si="11"/>
        <v>0</v>
      </c>
      <c r="AS31" s="44">
        <f t="shared" si="11"/>
        <v>0</v>
      </c>
      <c r="AT31" s="44">
        <f t="shared" si="11"/>
        <v>0</v>
      </c>
      <c r="AU31" s="44">
        <f t="shared" si="11"/>
        <v>0</v>
      </c>
    </row>
    <row r="32" spans="1:47" x14ac:dyDescent="0.35">
      <c r="A32" s="88" t="str">
        <f>A31</f>
        <v>DDR</v>
      </c>
      <c r="B32" s="18" t="s">
        <v>38</v>
      </c>
      <c r="C32" s="37" t="s">
        <v>49</v>
      </c>
      <c r="D32" s="95" t="s">
        <v>119</v>
      </c>
      <c r="E32" s="37" t="s">
        <v>56</v>
      </c>
      <c r="F32" s="18">
        <v>30</v>
      </c>
      <c r="G32" s="18" t="s">
        <v>43</v>
      </c>
      <c r="H32" s="42">
        <v>1350</v>
      </c>
      <c r="I32" s="42"/>
      <c r="J32" s="42"/>
      <c r="K32" s="42"/>
      <c r="L32" s="42"/>
      <c r="M32" s="42"/>
      <c r="N32" s="39"/>
      <c r="O32" s="39"/>
      <c r="P32" s="39"/>
      <c r="Q32" s="39"/>
      <c r="R32" s="39"/>
      <c r="S32" s="39"/>
      <c r="T32" s="39"/>
      <c r="U32" s="40"/>
      <c r="V32" s="41"/>
      <c r="W32" s="42"/>
      <c r="X32" s="42"/>
      <c r="Y32" s="42"/>
      <c r="Z32" s="42"/>
      <c r="AA32" s="39"/>
      <c r="AB32" s="39"/>
      <c r="AC32" s="39"/>
      <c r="AD32" s="39"/>
      <c r="AE32" s="39"/>
      <c r="AF32" s="39"/>
      <c r="AG32" s="39"/>
      <c r="AH32" s="40"/>
      <c r="AI32" s="41"/>
      <c r="AJ32" s="42"/>
      <c r="AK32" s="42"/>
      <c r="AL32" s="42"/>
      <c r="AM32" s="42"/>
      <c r="AN32" s="39"/>
      <c r="AO32" s="39"/>
      <c r="AP32" s="39"/>
      <c r="AQ32" s="39"/>
      <c r="AR32" s="39"/>
      <c r="AS32" s="39"/>
      <c r="AT32" s="39"/>
      <c r="AU32" s="40"/>
    </row>
    <row r="33" spans="1:47" x14ac:dyDescent="0.35">
      <c r="A33" s="88" t="s">
        <v>68</v>
      </c>
      <c r="B33" s="1" t="s">
        <v>38</v>
      </c>
      <c r="C33" s="10" t="s">
        <v>31</v>
      </c>
      <c r="D33" s="94"/>
      <c r="E33" s="10" t="s">
        <v>69</v>
      </c>
      <c r="F33" s="1">
        <v>800</v>
      </c>
      <c r="G33" s="1" t="s">
        <v>41</v>
      </c>
      <c r="H33" s="736">
        <v>6.5000000000000002E-2</v>
      </c>
      <c r="I33" s="13"/>
      <c r="J33" s="13"/>
      <c r="K33" s="13"/>
      <c r="L33" s="13"/>
      <c r="M33" s="13"/>
      <c r="N33" s="14"/>
      <c r="O33" s="14"/>
      <c r="P33" s="14"/>
      <c r="Q33" s="14"/>
      <c r="R33" s="14"/>
      <c r="S33" s="14"/>
      <c r="T33" s="14"/>
      <c r="U33" s="22"/>
      <c r="V33" t="s">
        <v>70</v>
      </c>
      <c r="W33" s="13"/>
      <c r="X33" s="13"/>
      <c r="Y33" s="13"/>
      <c r="Z33" s="13"/>
      <c r="AA33" s="14"/>
      <c r="AB33" s="14"/>
      <c r="AC33" s="14"/>
      <c r="AD33" s="14"/>
      <c r="AE33" s="14"/>
      <c r="AF33" s="14"/>
      <c r="AG33" s="14"/>
      <c r="AH33" s="22"/>
      <c r="AJ33" s="13"/>
      <c r="AK33" s="13"/>
      <c r="AL33" s="13"/>
      <c r="AM33" s="13"/>
      <c r="AN33" s="14"/>
      <c r="AO33" s="14"/>
      <c r="AP33" s="14"/>
      <c r="AQ33" s="14"/>
      <c r="AR33" s="14"/>
      <c r="AS33" s="14"/>
      <c r="AT33" s="14"/>
      <c r="AU33" s="22"/>
    </row>
    <row r="34" spans="1:47" x14ac:dyDescent="0.35">
      <c r="A34" s="88" t="str">
        <f t="shared" ref="A34:A39" si="12">A33</f>
        <v>Encore</v>
      </c>
      <c r="B34" s="1" t="s">
        <v>38</v>
      </c>
      <c r="C34" s="10" t="s">
        <v>32</v>
      </c>
      <c r="D34" s="94"/>
      <c r="E34" s="10" t="s">
        <v>69</v>
      </c>
      <c r="F34" s="1">
        <v>300</v>
      </c>
      <c r="G34" s="1" t="s">
        <v>41</v>
      </c>
      <c r="H34" s="736"/>
      <c r="I34" s="13"/>
      <c r="J34" s="13"/>
      <c r="K34" s="13"/>
      <c r="L34" s="13"/>
      <c r="M34" s="13"/>
      <c r="N34" s="14"/>
      <c r="O34" s="14"/>
      <c r="P34" s="14"/>
      <c r="Q34" s="14"/>
      <c r="R34" s="14"/>
      <c r="S34" s="14"/>
      <c r="T34" s="14"/>
      <c r="U34" s="22"/>
      <c r="W34" s="13"/>
      <c r="X34" s="13"/>
      <c r="Y34" s="13"/>
      <c r="Z34" s="13"/>
      <c r="AA34" s="14"/>
      <c r="AB34" s="14"/>
      <c r="AC34" s="14"/>
      <c r="AD34" s="14"/>
      <c r="AE34" s="14"/>
      <c r="AF34" s="14"/>
      <c r="AG34" s="14"/>
      <c r="AH34" s="22"/>
      <c r="AJ34" s="13"/>
      <c r="AK34" s="13"/>
      <c r="AL34" s="13"/>
      <c r="AM34" s="13"/>
      <c r="AN34" s="14"/>
      <c r="AO34" s="14"/>
      <c r="AP34" s="14"/>
      <c r="AQ34" s="14"/>
      <c r="AR34" s="14"/>
      <c r="AS34" s="14"/>
      <c r="AT34" s="14"/>
      <c r="AU34" s="22"/>
    </row>
    <row r="35" spans="1:47" x14ac:dyDescent="0.35">
      <c r="A35" s="88" t="str">
        <f t="shared" si="12"/>
        <v>Encore</v>
      </c>
      <c r="B35" s="1" t="s">
        <v>38</v>
      </c>
      <c r="C35" s="10" t="s">
        <v>33</v>
      </c>
      <c r="D35" s="94"/>
      <c r="E35" s="10" t="s">
        <v>69</v>
      </c>
      <c r="F35" s="1">
        <v>800</v>
      </c>
      <c r="G35" s="1" t="s">
        <v>41</v>
      </c>
      <c r="H35" s="736"/>
      <c r="I35" s="13"/>
      <c r="J35" s="13"/>
      <c r="K35" s="13"/>
      <c r="L35" s="13"/>
      <c r="M35" s="13"/>
      <c r="N35" s="14"/>
      <c r="O35" s="14"/>
      <c r="P35" s="14"/>
      <c r="Q35" s="14"/>
      <c r="R35" s="14"/>
      <c r="S35" s="14"/>
      <c r="T35" s="14"/>
      <c r="U35" s="22"/>
      <c r="W35" s="13"/>
      <c r="X35" s="13"/>
      <c r="Y35" s="13"/>
      <c r="Z35" s="13"/>
      <c r="AA35" s="14"/>
      <c r="AB35" s="14"/>
      <c r="AC35" s="14"/>
      <c r="AD35" s="14"/>
      <c r="AE35" s="14"/>
      <c r="AF35" s="14"/>
      <c r="AG35" s="14"/>
      <c r="AH35" s="22"/>
      <c r="AJ35" s="13"/>
      <c r="AK35" s="13"/>
      <c r="AL35" s="13"/>
      <c r="AM35" s="13"/>
      <c r="AN35" s="14"/>
      <c r="AO35" s="14"/>
      <c r="AP35" s="14"/>
      <c r="AQ35" s="14"/>
      <c r="AR35" s="14"/>
      <c r="AS35" s="14"/>
      <c r="AT35" s="14"/>
      <c r="AU35" s="22"/>
    </row>
    <row r="36" spans="1:47" x14ac:dyDescent="0.35">
      <c r="A36" s="88" t="str">
        <f t="shared" si="12"/>
        <v>Encore</v>
      </c>
      <c r="B36" s="1" t="s">
        <v>24</v>
      </c>
      <c r="C36" s="10" t="s">
        <v>39</v>
      </c>
      <c r="D36" s="94" t="s">
        <v>115</v>
      </c>
      <c r="E36" s="10" t="s">
        <v>69</v>
      </c>
      <c r="F36" s="1">
        <v>40</v>
      </c>
      <c r="G36" s="1" t="s">
        <v>41</v>
      </c>
      <c r="H36" s="736"/>
      <c r="I36" s="13"/>
      <c r="J36" s="13"/>
      <c r="K36" s="13"/>
      <c r="L36" s="13"/>
      <c r="M36" s="13"/>
      <c r="N36" s="14"/>
      <c r="O36" s="14"/>
      <c r="P36" s="14"/>
      <c r="Q36" s="14"/>
      <c r="R36" s="14"/>
      <c r="S36" s="14"/>
      <c r="T36" s="14"/>
      <c r="U36" s="22"/>
      <c r="W36" s="13"/>
      <c r="X36" s="13"/>
      <c r="Y36" s="13"/>
      <c r="Z36" s="13"/>
      <c r="AA36" s="14"/>
      <c r="AB36" s="14"/>
      <c r="AC36" s="14"/>
      <c r="AD36" s="14"/>
      <c r="AE36" s="14"/>
      <c r="AF36" s="14"/>
      <c r="AG36" s="14"/>
      <c r="AH36" s="22"/>
      <c r="AJ36" s="13"/>
      <c r="AK36" s="13"/>
      <c r="AL36" s="13"/>
      <c r="AM36" s="13"/>
      <c r="AN36" s="14"/>
      <c r="AO36" s="14"/>
      <c r="AP36" s="14"/>
      <c r="AQ36" s="14"/>
      <c r="AR36" s="14"/>
      <c r="AS36" s="14"/>
      <c r="AT36" s="14"/>
      <c r="AU36" s="22"/>
    </row>
    <row r="37" spans="1:47" x14ac:dyDescent="0.35">
      <c r="A37" s="88" t="str">
        <f t="shared" si="12"/>
        <v>Encore</v>
      </c>
      <c r="B37" s="1" t="s">
        <v>38</v>
      </c>
      <c r="C37" s="10" t="s">
        <v>71</v>
      </c>
      <c r="D37" s="94"/>
      <c r="E37" s="10" t="s">
        <v>69</v>
      </c>
      <c r="F37" s="1">
        <v>20</v>
      </c>
      <c r="G37" s="1" t="s">
        <v>41</v>
      </c>
      <c r="H37" s="736"/>
      <c r="I37" s="13"/>
      <c r="J37" s="13"/>
      <c r="K37" s="13"/>
      <c r="L37" s="13"/>
      <c r="M37" s="13"/>
      <c r="N37" s="14"/>
      <c r="O37" s="14"/>
      <c r="P37" s="14"/>
      <c r="Q37" s="14"/>
      <c r="R37" s="14"/>
      <c r="S37" s="14"/>
      <c r="T37" s="14"/>
      <c r="U37" s="22"/>
      <c r="W37" s="13"/>
      <c r="X37" s="13"/>
      <c r="Y37" s="13"/>
      <c r="Z37" s="13"/>
      <c r="AA37" s="14"/>
      <c r="AB37" s="14"/>
      <c r="AC37" s="14"/>
      <c r="AD37" s="14"/>
      <c r="AE37" s="14"/>
      <c r="AF37" s="14"/>
      <c r="AG37" s="14"/>
      <c r="AH37" s="22"/>
      <c r="AJ37" s="13"/>
      <c r="AK37" s="13"/>
      <c r="AL37" s="13"/>
      <c r="AM37" s="13"/>
      <c r="AN37" s="14"/>
      <c r="AO37" s="14"/>
      <c r="AP37" s="14"/>
      <c r="AQ37" s="14"/>
      <c r="AR37" s="14"/>
      <c r="AS37" s="14"/>
      <c r="AT37" s="14"/>
      <c r="AU37" s="22"/>
    </row>
    <row r="38" spans="1:47" x14ac:dyDescent="0.35">
      <c r="A38" s="88" t="str">
        <f t="shared" si="12"/>
        <v>Encore</v>
      </c>
      <c r="B38" s="1" t="s">
        <v>24</v>
      </c>
      <c r="C38" s="10" t="s">
        <v>72</v>
      </c>
      <c r="D38" s="94"/>
      <c r="E38" s="10" t="s">
        <v>73</v>
      </c>
      <c r="F38" s="1">
        <v>50</v>
      </c>
      <c r="G38" s="1" t="s">
        <v>43</v>
      </c>
      <c r="H38" s="15">
        <v>1300</v>
      </c>
      <c r="I38" s="15"/>
      <c r="J38" s="15"/>
      <c r="K38" s="15"/>
      <c r="L38" s="15"/>
      <c r="M38" s="15"/>
      <c r="N38" s="14"/>
      <c r="O38" s="14"/>
      <c r="P38" s="14"/>
      <c r="Q38" s="14"/>
      <c r="R38" s="14"/>
      <c r="S38" s="14"/>
      <c r="T38" s="14"/>
      <c r="U38" s="22"/>
      <c r="W38" s="15"/>
      <c r="X38" s="15"/>
      <c r="Y38" s="15"/>
      <c r="Z38" s="15"/>
      <c r="AA38" s="14"/>
      <c r="AB38" s="14"/>
      <c r="AC38" s="14"/>
      <c r="AD38" s="14"/>
      <c r="AE38" s="14"/>
      <c r="AF38" s="14"/>
      <c r="AG38" s="14"/>
      <c r="AH38" s="22"/>
      <c r="AJ38" s="15"/>
      <c r="AK38" s="15"/>
      <c r="AL38" s="15"/>
      <c r="AM38" s="15"/>
      <c r="AN38" s="14"/>
      <c r="AO38" s="14"/>
      <c r="AP38" s="14"/>
      <c r="AQ38" s="14"/>
      <c r="AR38" s="14"/>
      <c r="AS38" s="14"/>
      <c r="AT38" s="14"/>
      <c r="AU38" s="22"/>
    </row>
    <row r="39" spans="1:47" x14ac:dyDescent="0.35">
      <c r="A39" s="88" t="str">
        <f t="shared" si="12"/>
        <v>Encore</v>
      </c>
      <c r="B39" s="1" t="s">
        <v>38</v>
      </c>
      <c r="C39" s="10" t="s">
        <v>74</v>
      </c>
      <c r="D39" s="94"/>
      <c r="E39" s="10" t="s">
        <v>69</v>
      </c>
      <c r="F39" s="1">
        <v>30</v>
      </c>
      <c r="G39" s="1" t="s">
        <v>43</v>
      </c>
      <c r="H39" s="15">
        <v>1500</v>
      </c>
      <c r="I39" s="15"/>
      <c r="J39" s="15"/>
      <c r="K39" s="15"/>
      <c r="L39" s="15"/>
      <c r="M39" s="15"/>
      <c r="N39" s="14"/>
      <c r="O39" s="14"/>
      <c r="P39" s="14"/>
      <c r="Q39" s="14"/>
      <c r="R39" s="14"/>
      <c r="S39" s="14"/>
      <c r="T39" s="14"/>
      <c r="U39" s="22"/>
      <c r="W39" s="15"/>
      <c r="X39" s="15"/>
      <c r="Y39" s="15"/>
      <c r="Z39" s="15"/>
      <c r="AA39" s="14"/>
      <c r="AB39" s="14"/>
      <c r="AC39" s="14"/>
      <c r="AD39" s="14"/>
      <c r="AE39" s="14"/>
      <c r="AF39" s="14"/>
      <c r="AG39" s="14"/>
      <c r="AH39" s="22"/>
      <c r="AJ39" s="15"/>
      <c r="AK39" s="15"/>
      <c r="AL39" s="15"/>
      <c r="AM39" s="15"/>
      <c r="AN39" s="14"/>
      <c r="AO39" s="14"/>
      <c r="AP39" s="14"/>
      <c r="AQ39" s="14"/>
      <c r="AR39" s="14"/>
      <c r="AS39" s="14"/>
      <c r="AT39" s="14"/>
      <c r="AU39" s="22"/>
    </row>
    <row r="40" spans="1:47" x14ac:dyDescent="0.35">
      <c r="A40" s="88" t="s">
        <v>75</v>
      </c>
      <c r="B40" s="1" t="s">
        <v>38</v>
      </c>
      <c r="C40" s="10" t="s">
        <v>39</v>
      </c>
      <c r="D40" s="94"/>
      <c r="E40" s="10" t="s">
        <v>26</v>
      </c>
      <c r="F40" s="1">
        <v>35</v>
      </c>
      <c r="G40" s="1" t="s">
        <v>43</v>
      </c>
      <c r="H40" s="15">
        <v>1280</v>
      </c>
      <c r="I40" s="15"/>
      <c r="J40" s="15"/>
      <c r="K40" s="15"/>
      <c r="L40" s="15"/>
      <c r="M40" s="15"/>
      <c r="N40" s="14"/>
      <c r="O40" s="14"/>
      <c r="P40" s="14"/>
      <c r="Q40" s="14"/>
      <c r="R40" s="14"/>
      <c r="S40" s="14"/>
      <c r="T40" s="14"/>
      <c r="U40" s="22"/>
      <c r="W40" s="15"/>
      <c r="X40" s="15"/>
      <c r="Y40" s="15"/>
      <c r="Z40" s="15"/>
      <c r="AA40" s="14"/>
      <c r="AB40" s="14"/>
      <c r="AC40" s="14"/>
      <c r="AD40" s="14"/>
      <c r="AE40" s="14"/>
      <c r="AF40" s="14"/>
      <c r="AG40" s="14"/>
      <c r="AH40" s="22"/>
      <c r="AJ40" s="15"/>
      <c r="AK40" s="15"/>
      <c r="AL40" s="15"/>
      <c r="AM40" s="15"/>
      <c r="AN40" s="14"/>
      <c r="AO40" s="14"/>
      <c r="AP40" s="14"/>
      <c r="AQ40" s="14"/>
      <c r="AR40" s="14"/>
      <c r="AS40" s="14"/>
      <c r="AT40" s="14"/>
      <c r="AU40" s="22"/>
    </row>
    <row r="41" spans="1:47" x14ac:dyDescent="0.35">
      <c r="A41" s="88" t="str">
        <f>A40</f>
        <v>Hillmed</v>
      </c>
      <c r="B41" s="1" t="s">
        <v>38</v>
      </c>
      <c r="C41" s="10" t="s">
        <v>31</v>
      </c>
      <c r="D41" s="94"/>
      <c r="E41" s="10" t="s">
        <v>26</v>
      </c>
      <c r="F41" s="1">
        <v>380</v>
      </c>
      <c r="G41" s="1" t="s">
        <v>43</v>
      </c>
      <c r="H41" s="15">
        <v>1120</v>
      </c>
      <c r="I41" s="15"/>
      <c r="J41" s="15"/>
      <c r="K41" s="15"/>
      <c r="L41" s="15"/>
      <c r="M41" s="15"/>
      <c r="N41" s="14"/>
      <c r="O41" s="14"/>
      <c r="P41" s="14"/>
      <c r="Q41" s="14"/>
      <c r="R41" s="14"/>
      <c r="S41" s="14"/>
      <c r="T41" s="14"/>
      <c r="U41" s="22"/>
      <c r="W41" s="15"/>
      <c r="X41" s="15"/>
      <c r="Y41" s="15"/>
      <c r="Z41" s="15"/>
      <c r="AA41" s="14"/>
      <c r="AB41" s="14"/>
      <c r="AC41" s="14"/>
      <c r="AD41" s="14"/>
      <c r="AE41" s="14"/>
      <c r="AF41" s="14"/>
      <c r="AG41" s="14"/>
      <c r="AH41" s="22"/>
      <c r="AJ41" s="15"/>
      <c r="AK41" s="15"/>
      <c r="AL41" s="15"/>
      <c r="AM41" s="15"/>
      <c r="AN41" s="14"/>
      <c r="AO41" s="14"/>
      <c r="AP41" s="14"/>
      <c r="AQ41" s="14"/>
      <c r="AR41" s="14"/>
      <c r="AS41" s="14"/>
      <c r="AT41" s="14"/>
      <c r="AU41" s="22"/>
    </row>
    <row r="42" spans="1:47" x14ac:dyDescent="0.35">
      <c r="A42" s="88" t="s">
        <v>76</v>
      </c>
      <c r="B42" s="1" t="s">
        <v>38</v>
      </c>
      <c r="C42" s="10" t="s">
        <v>39</v>
      </c>
      <c r="D42" s="94"/>
      <c r="E42" s="10" t="s">
        <v>26</v>
      </c>
      <c r="F42" s="1">
        <v>35</v>
      </c>
      <c r="G42" s="1" t="s">
        <v>43</v>
      </c>
      <c r="H42" s="15">
        <v>1280</v>
      </c>
      <c r="I42" s="15"/>
      <c r="J42" s="15"/>
      <c r="K42" s="15"/>
      <c r="L42" s="15"/>
      <c r="M42" s="15"/>
      <c r="N42" s="14"/>
      <c r="O42" s="14"/>
      <c r="P42" s="14"/>
      <c r="Q42" s="14"/>
      <c r="R42" s="14"/>
      <c r="S42" s="14"/>
      <c r="T42" s="14"/>
      <c r="U42" s="22"/>
      <c r="W42" s="15"/>
      <c r="X42" s="15"/>
      <c r="Y42" s="15"/>
      <c r="Z42" s="15"/>
      <c r="AA42" s="14"/>
      <c r="AB42" s="14"/>
      <c r="AC42" s="14"/>
      <c r="AD42" s="14"/>
      <c r="AE42" s="14"/>
      <c r="AF42" s="14"/>
      <c r="AG42" s="14"/>
      <c r="AH42" s="22"/>
      <c r="AJ42" s="15"/>
      <c r="AK42" s="15"/>
      <c r="AL42" s="15"/>
      <c r="AM42" s="15"/>
      <c r="AN42" s="14"/>
      <c r="AO42" s="14"/>
      <c r="AP42" s="14"/>
      <c r="AQ42" s="14"/>
      <c r="AR42" s="14"/>
      <c r="AS42" s="14"/>
      <c r="AT42" s="14"/>
      <c r="AU42" s="22"/>
    </row>
    <row r="43" spans="1:47" x14ac:dyDescent="0.35">
      <c r="A43" s="88" t="str">
        <f>A42</f>
        <v>MISS &amp; Dr. Tay</v>
      </c>
      <c r="B43" s="1" t="s">
        <v>38</v>
      </c>
      <c r="C43" s="10" t="s">
        <v>31</v>
      </c>
      <c r="D43" s="94"/>
      <c r="E43" s="10" t="s">
        <v>26</v>
      </c>
      <c r="F43" s="1">
        <v>380</v>
      </c>
      <c r="G43" s="1" t="s">
        <v>43</v>
      </c>
      <c r="H43" s="15">
        <v>1120</v>
      </c>
      <c r="I43" s="15"/>
      <c r="J43" s="15"/>
      <c r="K43" s="15"/>
      <c r="L43" s="15"/>
      <c r="M43" s="15"/>
      <c r="N43" s="14"/>
      <c r="O43" s="14"/>
      <c r="P43" s="14"/>
      <c r="Q43" s="14"/>
      <c r="R43" s="14"/>
      <c r="S43" s="14"/>
      <c r="T43" s="14"/>
      <c r="U43" s="22"/>
      <c r="W43" s="15"/>
      <c r="X43" s="15"/>
      <c r="Y43" s="15"/>
      <c r="Z43" s="15"/>
      <c r="AA43" s="14"/>
      <c r="AB43" s="14"/>
      <c r="AC43" s="14"/>
      <c r="AD43" s="14"/>
      <c r="AE43" s="14"/>
      <c r="AF43" s="14"/>
      <c r="AG43" s="14"/>
      <c r="AH43" s="22"/>
      <c r="AJ43" s="15"/>
      <c r="AK43" s="15"/>
      <c r="AL43" s="15"/>
      <c r="AM43" s="15"/>
      <c r="AN43" s="14"/>
      <c r="AO43" s="14"/>
      <c r="AP43" s="14"/>
      <c r="AQ43" s="14"/>
      <c r="AR43" s="14"/>
      <c r="AS43" s="14"/>
      <c r="AT43" s="14"/>
      <c r="AU43" s="22"/>
    </row>
    <row r="44" spans="1:47" s="41" customFormat="1" x14ac:dyDescent="0.35">
      <c r="A44" s="89" t="s">
        <v>77</v>
      </c>
      <c r="B44" s="18" t="s">
        <v>24</v>
      </c>
      <c r="C44" s="18" t="s">
        <v>31</v>
      </c>
      <c r="D44" s="96"/>
      <c r="E44" s="18" t="s">
        <v>78</v>
      </c>
      <c r="F44" s="18">
        <v>90</v>
      </c>
      <c r="G44" s="18" t="s">
        <v>41</v>
      </c>
      <c r="H44" s="18" t="s">
        <v>79</v>
      </c>
      <c r="I44" s="18"/>
      <c r="J44" s="743">
        <v>12000</v>
      </c>
      <c r="K44" s="743">
        <v>12000</v>
      </c>
      <c r="L44" s="743">
        <v>12000</v>
      </c>
      <c r="M44" s="743">
        <v>12000</v>
      </c>
      <c r="N44" s="743">
        <v>12000</v>
      </c>
      <c r="O44" s="743">
        <v>12000</v>
      </c>
      <c r="P44" s="743">
        <v>12000</v>
      </c>
      <c r="Q44" s="743">
        <v>12000</v>
      </c>
      <c r="R44" s="743">
        <v>12000</v>
      </c>
      <c r="S44" s="743">
        <v>12000</v>
      </c>
      <c r="T44" s="743">
        <v>12000</v>
      </c>
      <c r="U44" s="744">
        <v>12000</v>
      </c>
      <c r="W44" s="743">
        <v>12000</v>
      </c>
      <c r="X44" s="743">
        <v>12000</v>
      </c>
      <c r="Y44" s="743">
        <v>12000</v>
      </c>
      <c r="Z44" s="743">
        <v>12000</v>
      </c>
      <c r="AA44" s="743">
        <v>12000</v>
      </c>
      <c r="AB44" s="743">
        <v>12000</v>
      </c>
      <c r="AC44" s="743">
        <v>12000</v>
      </c>
      <c r="AD44" s="743">
        <v>12000</v>
      </c>
      <c r="AE44" s="743">
        <v>12000</v>
      </c>
      <c r="AF44" s="743">
        <v>12000</v>
      </c>
      <c r="AG44" s="743">
        <v>12000</v>
      </c>
      <c r="AH44" s="744">
        <v>12000</v>
      </c>
      <c r="AJ44" s="743"/>
      <c r="AK44" s="743"/>
      <c r="AL44" s="743"/>
      <c r="AM44" s="743"/>
      <c r="AN44" s="743"/>
      <c r="AO44" s="743"/>
      <c r="AP44" s="743"/>
      <c r="AQ44" s="743"/>
      <c r="AR44" s="743"/>
      <c r="AS44" s="743"/>
      <c r="AT44" s="743"/>
      <c r="AU44" s="744"/>
    </row>
    <row r="45" spans="1:47" s="41" customFormat="1" x14ac:dyDescent="0.35">
      <c r="A45" s="89" t="str">
        <f t="shared" ref="A45:A50" si="13">A44</f>
        <v xml:space="preserve">ARMG </v>
      </c>
      <c r="B45" s="18" t="s">
        <v>24</v>
      </c>
      <c r="C45" s="18" t="s">
        <v>32</v>
      </c>
      <c r="D45" s="96"/>
      <c r="E45" s="18" t="s">
        <v>78</v>
      </c>
      <c r="F45" s="18">
        <v>120</v>
      </c>
      <c r="G45" s="18" t="s">
        <v>41</v>
      </c>
      <c r="H45" s="18" t="s">
        <v>80</v>
      </c>
      <c r="I45" s="18"/>
      <c r="J45" s="743"/>
      <c r="K45" s="743"/>
      <c r="L45" s="743"/>
      <c r="M45" s="743"/>
      <c r="N45" s="743"/>
      <c r="O45" s="743"/>
      <c r="P45" s="743"/>
      <c r="Q45" s="743"/>
      <c r="R45" s="743"/>
      <c r="S45" s="743"/>
      <c r="T45" s="743"/>
      <c r="U45" s="744"/>
      <c r="W45" s="743"/>
      <c r="X45" s="743"/>
      <c r="Y45" s="743"/>
      <c r="Z45" s="743"/>
      <c r="AA45" s="743"/>
      <c r="AB45" s="743"/>
      <c r="AC45" s="743"/>
      <c r="AD45" s="743"/>
      <c r="AE45" s="743"/>
      <c r="AF45" s="743"/>
      <c r="AG45" s="743"/>
      <c r="AH45" s="744"/>
      <c r="AJ45" s="743"/>
      <c r="AK45" s="743"/>
      <c r="AL45" s="743"/>
      <c r="AM45" s="743"/>
      <c r="AN45" s="743"/>
      <c r="AO45" s="743"/>
      <c r="AP45" s="743"/>
      <c r="AQ45" s="743"/>
      <c r="AR45" s="743"/>
      <c r="AS45" s="743"/>
      <c r="AT45" s="743"/>
      <c r="AU45" s="744"/>
    </row>
    <row r="46" spans="1:47" s="41" customFormat="1" x14ac:dyDescent="0.35">
      <c r="A46" s="89" t="str">
        <f t="shared" si="13"/>
        <v xml:space="preserve">ARMG </v>
      </c>
      <c r="B46" s="18" t="s">
        <v>24</v>
      </c>
      <c r="C46" s="18" t="s">
        <v>33</v>
      </c>
      <c r="D46" s="96"/>
      <c r="E46" s="18" t="s">
        <v>78</v>
      </c>
      <c r="F46" s="18">
        <v>175</v>
      </c>
      <c r="G46" s="18" t="s">
        <v>41</v>
      </c>
      <c r="H46" s="18" t="s">
        <v>81</v>
      </c>
      <c r="I46" s="18"/>
      <c r="J46" s="743"/>
      <c r="K46" s="743"/>
      <c r="L46" s="743"/>
      <c r="M46" s="743"/>
      <c r="N46" s="743"/>
      <c r="O46" s="743"/>
      <c r="P46" s="743"/>
      <c r="Q46" s="743"/>
      <c r="R46" s="743"/>
      <c r="S46" s="743"/>
      <c r="T46" s="743"/>
      <c r="U46" s="744"/>
      <c r="W46" s="743"/>
      <c r="X46" s="743"/>
      <c r="Y46" s="743"/>
      <c r="Z46" s="743"/>
      <c r="AA46" s="743"/>
      <c r="AB46" s="743"/>
      <c r="AC46" s="743"/>
      <c r="AD46" s="743"/>
      <c r="AE46" s="743"/>
      <c r="AF46" s="743"/>
      <c r="AG46" s="743"/>
      <c r="AH46" s="744"/>
      <c r="AJ46" s="743"/>
      <c r="AK46" s="743"/>
      <c r="AL46" s="743"/>
      <c r="AM46" s="743"/>
      <c r="AN46" s="743"/>
      <c r="AO46" s="743"/>
      <c r="AP46" s="743"/>
      <c r="AQ46" s="743"/>
      <c r="AR46" s="743"/>
      <c r="AS46" s="743"/>
      <c r="AT46" s="743"/>
      <c r="AU46" s="744"/>
    </row>
    <row r="47" spans="1:47" s="41" customFormat="1" x14ac:dyDescent="0.35">
      <c r="A47" s="89" t="str">
        <f t="shared" si="13"/>
        <v xml:space="preserve">ARMG </v>
      </c>
      <c r="B47" s="18" t="s">
        <v>24</v>
      </c>
      <c r="C47" s="18" t="s">
        <v>82</v>
      </c>
      <c r="D47" s="96"/>
      <c r="E47" s="18" t="s">
        <v>78</v>
      </c>
      <c r="F47" s="18">
        <v>100</v>
      </c>
      <c r="G47" s="18" t="s">
        <v>41</v>
      </c>
      <c r="H47" s="18"/>
      <c r="I47" s="18"/>
      <c r="J47" s="18"/>
      <c r="K47" s="18"/>
      <c r="L47" s="18"/>
      <c r="M47" s="18"/>
      <c r="N47" s="39"/>
      <c r="O47" s="39"/>
      <c r="P47" s="39"/>
      <c r="Q47" s="39"/>
      <c r="R47" s="39"/>
      <c r="S47" s="39"/>
      <c r="T47" s="39"/>
      <c r="U47" s="40"/>
      <c r="W47" s="18"/>
      <c r="X47" s="18"/>
      <c r="Y47" s="18"/>
      <c r="Z47" s="18"/>
      <c r="AA47" s="39"/>
      <c r="AB47" s="39"/>
      <c r="AC47" s="39"/>
      <c r="AD47" s="39"/>
      <c r="AE47" s="39"/>
      <c r="AF47" s="39"/>
      <c r="AG47" s="39"/>
      <c r="AH47" s="40"/>
      <c r="AJ47" s="18"/>
      <c r="AK47" s="18"/>
      <c r="AL47" s="18"/>
      <c r="AM47" s="18"/>
      <c r="AN47" s="39"/>
      <c r="AO47" s="39"/>
      <c r="AP47" s="39"/>
      <c r="AQ47" s="39"/>
      <c r="AR47" s="39"/>
      <c r="AS47" s="39"/>
      <c r="AT47" s="39"/>
      <c r="AU47" s="40"/>
    </row>
    <row r="48" spans="1:47" s="41" customFormat="1" x14ac:dyDescent="0.35">
      <c r="A48" s="89" t="str">
        <f t="shared" si="13"/>
        <v xml:space="preserve">ARMG </v>
      </c>
      <c r="B48" s="18" t="s">
        <v>24</v>
      </c>
      <c r="C48" s="18" t="s">
        <v>83</v>
      </c>
      <c r="D48" s="96"/>
      <c r="E48" s="18" t="s">
        <v>78</v>
      </c>
      <c r="F48" s="18">
        <v>100</v>
      </c>
      <c r="G48" s="18" t="s">
        <v>41</v>
      </c>
      <c r="H48" s="18"/>
      <c r="I48" s="18"/>
      <c r="J48" s="18"/>
      <c r="K48" s="18"/>
      <c r="L48" s="18"/>
      <c r="M48" s="18"/>
      <c r="N48" s="39"/>
      <c r="O48" s="39"/>
      <c r="P48" s="39"/>
      <c r="Q48" s="39"/>
      <c r="R48" s="39"/>
      <c r="S48" s="39"/>
      <c r="T48" s="39"/>
      <c r="U48" s="40"/>
      <c r="W48" s="18"/>
      <c r="X48" s="18"/>
      <c r="Y48" s="18"/>
      <c r="Z48" s="18"/>
      <c r="AA48" s="39"/>
      <c r="AB48" s="39"/>
      <c r="AC48" s="39"/>
      <c r="AD48" s="39"/>
      <c r="AE48" s="39"/>
      <c r="AF48" s="39"/>
      <c r="AG48" s="39"/>
      <c r="AH48" s="40"/>
      <c r="AJ48" s="18"/>
      <c r="AK48" s="18"/>
      <c r="AL48" s="18"/>
      <c r="AM48" s="18"/>
      <c r="AN48" s="39"/>
      <c r="AO48" s="39"/>
      <c r="AP48" s="39"/>
      <c r="AQ48" s="39"/>
      <c r="AR48" s="39"/>
      <c r="AS48" s="39"/>
      <c r="AT48" s="39"/>
      <c r="AU48" s="40"/>
    </row>
    <row r="49" spans="1:47" s="41" customFormat="1" x14ac:dyDescent="0.35">
      <c r="A49" s="89" t="str">
        <f t="shared" si="13"/>
        <v xml:space="preserve">ARMG </v>
      </c>
      <c r="B49" s="18" t="s">
        <v>24</v>
      </c>
      <c r="C49" s="18" t="s">
        <v>84</v>
      </c>
      <c r="D49" s="96"/>
      <c r="E49" s="18" t="s">
        <v>78</v>
      </c>
      <c r="F49" s="18">
        <v>64</v>
      </c>
      <c r="G49" s="18" t="s">
        <v>41</v>
      </c>
      <c r="H49" s="18"/>
      <c r="I49" s="18"/>
      <c r="J49" s="18"/>
      <c r="K49" s="18"/>
      <c r="L49" s="18"/>
      <c r="M49" s="18"/>
      <c r="N49" s="39"/>
      <c r="O49" s="39"/>
      <c r="P49" s="39"/>
      <c r="Q49" s="39"/>
      <c r="R49" s="39"/>
      <c r="S49" s="39"/>
      <c r="T49" s="39"/>
      <c r="U49" s="40"/>
      <c r="W49" s="18"/>
      <c r="X49" s="18"/>
      <c r="Y49" s="18"/>
      <c r="Z49" s="18"/>
      <c r="AA49" s="39"/>
      <c r="AB49" s="39"/>
      <c r="AC49" s="39"/>
      <c r="AD49" s="39"/>
      <c r="AE49" s="39"/>
      <c r="AF49" s="39"/>
      <c r="AG49" s="39"/>
      <c r="AH49" s="40"/>
      <c r="AJ49" s="18"/>
      <c r="AK49" s="18"/>
      <c r="AL49" s="18"/>
      <c r="AM49" s="18"/>
      <c r="AN49" s="39"/>
      <c r="AO49" s="39"/>
      <c r="AP49" s="39"/>
      <c r="AQ49" s="39"/>
      <c r="AR49" s="39"/>
      <c r="AS49" s="39"/>
      <c r="AT49" s="39"/>
      <c r="AU49" s="40"/>
    </row>
    <row r="50" spans="1:47" s="41" customFormat="1" x14ac:dyDescent="0.35">
      <c r="A50" s="89" t="str">
        <f t="shared" si="13"/>
        <v xml:space="preserve">ARMG </v>
      </c>
      <c r="B50" s="18" t="s">
        <v>24</v>
      </c>
      <c r="C50" s="18" t="s">
        <v>36</v>
      </c>
      <c r="D50" s="96"/>
      <c r="E50" s="18" t="s">
        <v>78</v>
      </c>
      <c r="F50" s="18">
        <v>40</v>
      </c>
      <c r="G50" s="18" t="s">
        <v>41</v>
      </c>
      <c r="H50" s="18"/>
      <c r="I50" s="18"/>
      <c r="J50" s="18">
        <f>J51/H51</f>
        <v>8.6805555555555551E-4</v>
      </c>
      <c r="K50" s="18">
        <f>K51/H51</f>
        <v>2.0833333333333333E-3</v>
      </c>
      <c r="L50" s="62"/>
      <c r="M50" s="18"/>
      <c r="N50" s="39"/>
      <c r="O50" s="39"/>
      <c r="P50" s="39"/>
      <c r="Q50" s="39"/>
      <c r="R50" s="39"/>
      <c r="S50" s="39"/>
      <c r="T50" s="39"/>
      <c r="U50" s="40"/>
      <c r="W50" s="18"/>
      <c r="X50" s="18"/>
      <c r="Y50" s="18"/>
      <c r="Z50" s="18"/>
      <c r="AA50" s="39"/>
      <c r="AB50" s="39"/>
      <c r="AC50" s="39"/>
      <c r="AD50" s="39"/>
      <c r="AE50" s="39"/>
      <c r="AF50" s="39"/>
      <c r="AG50" s="39"/>
      <c r="AH50" s="40"/>
      <c r="AJ50" s="18"/>
      <c r="AK50" s="18"/>
      <c r="AL50" s="18"/>
      <c r="AM50" s="18"/>
      <c r="AN50" s="39"/>
      <c r="AO50" s="39"/>
      <c r="AP50" s="39"/>
      <c r="AQ50" s="39"/>
      <c r="AR50" s="39"/>
      <c r="AS50" s="39"/>
      <c r="AT50" s="39"/>
      <c r="AU50" s="40"/>
    </row>
    <row r="51" spans="1:47" x14ac:dyDescent="0.35">
      <c r="A51" s="88" t="s">
        <v>85</v>
      </c>
      <c r="B51" s="1" t="s">
        <v>24</v>
      </c>
      <c r="C51" s="1" t="s">
        <v>86</v>
      </c>
      <c r="D51" s="97"/>
      <c r="E51" s="1" t="s">
        <v>85</v>
      </c>
      <c r="F51" s="1">
        <v>300</v>
      </c>
      <c r="G51" s="1" t="s">
        <v>43</v>
      </c>
      <c r="H51" s="64">
        <v>1440</v>
      </c>
      <c r="I51" s="15"/>
      <c r="J51" s="48">
        <v>1.25</v>
      </c>
      <c r="K51" s="48">
        <v>3</v>
      </c>
      <c r="L51" s="48">
        <v>5</v>
      </c>
      <c r="M51" s="48">
        <v>5</v>
      </c>
      <c r="N51" s="48">
        <v>5</v>
      </c>
      <c r="O51" s="48">
        <v>5</v>
      </c>
      <c r="P51" s="48">
        <v>5</v>
      </c>
      <c r="Q51" s="48">
        <v>5</v>
      </c>
      <c r="R51" s="48">
        <v>5</v>
      </c>
      <c r="S51" s="48">
        <v>5</v>
      </c>
      <c r="T51" s="48">
        <v>5</v>
      </c>
      <c r="U51" s="48">
        <v>5</v>
      </c>
      <c r="W51" s="43">
        <f t="shared" ref="W51:AH54" si="14">$H51*J51</f>
        <v>1800</v>
      </c>
      <c r="X51" s="43">
        <f t="shared" si="14"/>
        <v>4320</v>
      </c>
      <c r="Y51" s="43">
        <f t="shared" si="14"/>
        <v>7200</v>
      </c>
      <c r="Z51" s="43">
        <f t="shared" si="14"/>
        <v>7200</v>
      </c>
      <c r="AA51" s="43">
        <f t="shared" si="14"/>
        <v>7200</v>
      </c>
      <c r="AB51" s="43">
        <f t="shared" si="14"/>
        <v>7200</v>
      </c>
      <c r="AC51" s="43">
        <f t="shared" si="14"/>
        <v>7200</v>
      </c>
      <c r="AD51" s="43">
        <f t="shared" si="14"/>
        <v>7200</v>
      </c>
      <c r="AE51" s="43">
        <f t="shared" si="14"/>
        <v>7200</v>
      </c>
      <c r="AF51" s="43">
        <f t="shared" si="14"/>
        <v>7200</v>
      </c>
      <c r="AG51" s="43">
        <f t="shared" si="14"/>
        <v>7200</v>
      </c>
      <c r="AH51" s="43">
        <f t="shared" si="14"/>
        <v>7200</v>
      </c>
      <c r="AJ51" s="48">
        <f t="shared" ref="AJ51:AU51" si="15">J51</f>
        <v>1.25</v>
      </c>
      <c r="AK51" s="48">
        <f t="shared" si="15"/>
        <v>3</v>
      </c>
      <c r="AL51" s="48">
        <f t="shared" si="15"/>
        <v>5</v>
      </c>
      <c r="AM51" s="48">
        <f t="shared" si="15"/>
        <v>5</v>
      </c>
      <c r="AN51" s="48">
        <f t="shared" si="15"/>
        <v>5</v>
      </c>
      <c r="AO51" s="48">
        <f t="shared" si="15"/>
        <v>5</v>
      </c>
      <c r="AP51" s="48">
        <f t="shared" si="15"/>
        <v>5</v>
      </c>
      <c r="AQ51" s="48">
        <f t="shared" si="15"/>
        <v>5</v>
      </c>
      <c r="AR51" s="48">
        <f t="shared" si="15"/>
        <v>5</v>
      </c>
      <c r="AS51" s="48">
        <f t="shared" si="15"/>
        <v>5</v>
      </c>
      <c r="AT51" s="48">
        <f t="shared" si="15"/>
        <v>5</v>
      </c>
      <c r="AU51" s="48">
        <f t="shared" si="15"/>
        <v>5</v>
      </c>
    </row>
    <row r="52" spans="1:47" x14ac:dyDescent="0.35">
      <c r="A52" s="88" t="str">
        <f>A51</f>
        <v>Billpro</v>
      </c>
      <c r="B52" s="1" t="s">
        <v>24</v>
      </c>
      <c r="C52" s="1" t="s">
        <v>87</v>
      </c>
      <c r="D52" s="97"/>
      <c r="E52" s="1" t="s">
        <v>85</v>
      </c>
      <c r="F52" s="1">
        <v>300</v>
      </c>
      <c r="G52" s="1" t="s">
        <v>43</v>
      </c>
      <c r="H52" s="64"/>
      <c r="I52" s="15"/>
      <c r="J52" s="48"/>
      <c r="K52" s="48"/>
      <c r="L52" s="48"/>
      <c r="M52" s="48"/>
      <c r="N52" s="48"/>
      <c r="O52" s="48"/>
      <c r="P52" s="48"/>
      <c r="Q52" s="48"/>
      <c r="R52" s="48"/>
      <c r="S52" s="48"/>
      <c r="T52" s="48"/>
      <c r="U52" s="48"/>
      <c r="W52" s="43">
        <f t="shared" si="14"/>
        <v>0</v>
      </c>
      <c r="X52" s="43">
        <f t="shared" si="14"/>
        <v>0</v>
      </c>
      <c r="Y52" s="43">
        <f t="shared" si="14"/>
        <v>0</v>
      </c>
      <c r="Z52" s="43">
        <f t="shared" si="14"/>
        <v>0</v>
      </c>
      <c r="AA52" s="43">
        <f t="shared" si="14"/>
        <v>0</v>
      </c>
      <c r="AB52" s="43">
        <f t="shared" si="14"/>
        <v>0</v>
      </c>
      <c r="AC52" s="43">
        <f t="shared" si="14"/>
        <v>0</v>
      </c>
      <c r="AD52" s="43">
        <f t="shared" si="14"/>
        <v>0</v>
      </c>
      <c r="AE52" s="43">
        <f t="shared" si="14"/>
        <v>0</v>
      </c>
      <c r="AF52" s="43">
        <f t="shared" si="14"/>
        <v>0</v>
      </c>
      <c r="AG52" s="43">
        <f t="shared" si="14"/>
        <v>0</v>
      </c>
      <c r="AH52" s="43">
        <f t="shared" si="14"/>
        <v>0</v>
      </c>
      <c r="AJ52" s="15"/>
      <c r="AK52" s="15"/>
      <c r="AL52" s="15"/>
      <c r="AM52" s="15"/>
      <c r="AN52" s="15"/>
      <c r="AO52" s="15"/>
      <c r="AP52" s="15"/>
      <c r="AQ52" s="15"/>
      <c r="AR52" s="15"/>
      <c r="AS52" s="15"/>
      <c r="AT52" s="15"/>
      <c r="AU52" s="15"/>
    </row>
    <row r="53" spans="1:47" x14ac:dyDescent="0.35">
      <c r="A53" s="88" t="str">
        <f>A52</f>
        <v>Billpro</v>
      </c>
      <c r="B53" s="1" t="s">
        <v>24</v>
      </c>
      <c r="C53" s="1" t="s">
        <v>88</v>
      </c>
      <c r="D53" s="97"/>
      <c r="E53" s="1" t="s">
        <v>85</v>
      </c>
      <c r="F53" s="1">
        <v>350</v>
      </c>
      <c r="G53" s="1" t="s">
        <v>43</v>
      </c>
      <c r="H53" s="64"/>
      <c r="I53" s="15"/>
      <c r="J53" s="48"/>
      <c r="K53" s="48"/>
      <c r="L53" s="48"/>
      <c r="M53" s="48"/>
      <c r="N53" s="48"/>
      <c r="O53" s="48"/>
      <c r="P53" s="48"/>
      <c r="Q53" s="48"/>
      <c r="R53" s="48"/>
      <c r="S53" s="48"/>
      <c r="T53" s="48"/>
      <c r="U53" s="48"/>
      <c r="W53" s="43">
        <f t="shared" si="14"/>
        <v>0</v>
      </c>
      <c r="X53" s="43">
        <f t="shared" si="14"/>
        <v>0</v>
      </c>
      <c r="Y53" s="43">
        <f t="shared" si="14"/>
        <v>0</v>
      </c>
      <c r="Z53" s="43">
        <f t="shared" si="14"/>
        <v>0</v>
      </c>
      <c r="AA53" s="43">
        <f t="shared" si="14"/>
        <v>0</v>
      </c>
      <c r="AB53" s="43">
        <f t="shared" si="14"/>
        <v>0</v>
      </c>
      <c r="AC53" s="43">
        <f t="shared" si="14"/>
        <v>0</v>
      </c>
      <c r="AD53" s="43">
        <f t="shared" si="14"/>
        <v>0</v>
      </c>
      <c r="AE53" s="43">
        <f t="shared" si="14"/>
        <v>0</v>
      </c>
      <c r="AF53" s="43">
        <f t="shared" si="14"/>
        <v>0</v>
      </c>
      <c r="AG53" s="43">
        <f t="shared" si="14"/>
        <v>0</v>
      </c>
      <c r="AH53" s="43">
        <f t="shared" si="14"/>
        <v>0</v>
      </c>
      <c r="AJ53" s="15"/>
      <c r="AK53" s="15"/>
      <c r="AL53" s="15"/>
      <c r="AM53" s="15"/>
      <c r="AN53" s="15"/>
      <c r="AO53" s="15"/>
      <c r="AP53" s="15"/>
      <c r="AQ53" s="15"/>
      <c r="AR53" s="15"/>
      <c r="AS53" s="15"/>
      <c r="AT53" s="15"/>
      <c r="AU53" s="15"/>
    </row>
    <row r="54" spans="1:47" x14ac:dyDescent="0.35">
      <c r="A54" s="88" t="str">
        <f>A53</f>
        <v>Billpro</v>
      </c>
      <c r="B54" s="1" t="s">
        <v>24</v>
      </c>
      <c r="C54" s="1" t="s">
        <v>36</v>
      </c>
      <c r="D54" s="97"/>
      <c r="E54" s="1" t="s">
        <v>85</v>
      </c>
      <c r="F54" s="1">
        <v>30</v>
      </c>
      <c r="G54" s="1" t="s">
        <v>43</v>
      </c>
      <c r="H54" s="64"/>
      <c r="I54" s="15"/>
      <c r="J54" s="48"/>
      <c r="K54" s="48"/>
      <c r="L54" s="48"/>
      <c r="M54" s="48"/>
      <c r="N54" s="48"/>
      <c r="O54" s="48"/>
      <c r="P54" s="48"/>
      <c r="Q54" s="48"/>
      <c r="R54" s="48"/>
      <c r="S54" s="48"/>
      <c r="T54" s="48"/>
      <c r="U54" s="48"/>
      <c r="W54" s="43">
        <f t="shared" si="14"/>
        <v>0</v>
      </c>
      <c r="X54" s="43">
        <f t="shared" si="14"/>
        <v>0</v>
      </c>
      <c r="Y54" s="43">
        <f t="shared" si="14"/>
        <v>0</v>
      </c>
      <c r="Z54" s="43">
        <f t="shared" si="14"/>
        <v>0</v>
      </c>
      <c r="AA54" s="43">
        <f t="shared" si="14"/>
        <v>0</v>
      </c>
      <c r="AB54" s="43">
        <f t="shared" si="14"/>
        <v>0</v>
      </c>
      <c r="AC54" s="43">
        <f t="shared" si="14"/>
        <v>0</v>
      </c>
      <c r="AD54" s="43">
        <f t="shared" si="14"/>
        <v>0</v>
      </c>
      <c r="AE54" s="43">
        <f t="shared" si="14"/>
        <v>0</v>
      </c>
      <c r="AF54" s="43">
        <f t="shared" si="14"/>
        <v>0</v>
      </c>
      <c r="AG54" s="43">
        <f t="shared" si="14"/>
        <v>0</v>
      </c>
      <c r="AH54" s="43">
        <f t="shared" si="14"/>
        <v>0</v>
      </c>
      <c r="AJ54" s="15"/>
      <c r="AK54" s="15"/>
      <c r="AL54" s="15"/>
      <c r="AM54" s="15"/>
      <c r="AN54" s="15"/>
      <c r="AO54" s="15"/>
      <c r="AP54" s="15"/>
      <c r="AQ54" s="15"/>
      <c r="AR54" s="15"/>
      <c r="AS54" s="15"/>
      <c r="AT54" s="15"/>
      <c r="AU54" s="15"/>
    </row>
    <row r="55" spans="1:47" x14ac:dyDescent="0.35">
      <c r="A55" s="8" t="s">
        <v>89</v>
      </c>
      <c r="B55" s="1" t="s">
        <v>24</v>
      </c>
      <c r="C55" s="1" t="s">
        <v>39</v>
      </c>
      <c r="D55" s="97"/>
      <c r="E55" s="1" t="s">
        <v>26</v>
      </c>
      <c r="F55" s="1">
        <v>30</v>
      </c>
      <c r="G55" s="1" t="s">
        <v>43</v>
      </c>
      <c r="H55" s="15">
        <v>1600</v>
      </c>
      <c r="I55" s="15"/>
      <c r="J55" s="48">
        <v>1.5</v>
      </c>
      <c r="K55" s="48">
        <v>1.5</v>
      </c>
      <c r="L55" s="48">
        <v>1.5</v>
      </c>
      <c r="M55" s="48">
        <v>1.5</v>
      </c>
      <c r="N55" s="48">
        <v>1.5</v>
      </c>
      <c r="O55" s="48">
        <v>1.5</v>
      </c>
      <c r="P55" s="48">
        <v>1.5</v>
      </c>
      <c r="Q55" s="48">
        <v>1.5</v>
      </c>
      <c r="R55" s="48">
        <v>1.5</v>
      </c>
      <c r="S55" s="48">
        <v>1.5</v>
      </c>
      <c r="T55" s="48">
        <v>1.5</v>
      </c>
      <c r="U55" s="48">
        <v>1.5</v>
      </c>
      <c r="V55" s="6"/>
      <c r="W55" s="15">
        <v>2400</v>
      </c>
      <c r="X55" s="15">
        <v>2400</v>
      </c>
      <c r="Y55" s="15">
        <v>2400</v>
      </c>
      <c r="Z55" s="15">
        <v>2400</v>
      </c>
      <c r="AA55" s="15">
        <v>2400</v>
      </c>
      <c r="AB55" s="15">
        <v>2400</v>
      </c>
      <c r="AC55" s="15">
        <v>2400</v>
      </c>
      <c r="AD55" s="15">
        <v>2400</v>
      </c>
      <c r="AE55" s="15">
        <v>2400</v>
      </c>
      <c r="AF55" s="15">
        <v>2400</v>
      </c>
      <c r="AG55" s="15">
        <v>2400</v>
      </c>
      <c r="AH55" s="3">
        <v>2400</v>
      </c>
      <c r="AJ55" s="48">
        <f>J55</f>
        <v>1.5</v>
      </c>
      <c r="AK55" s="48">
        <f t="shared" ref="AK55:AQ55" si="16">K55</f>
        <v>1.5</v>
      </c>
      <c r="AL55" s="48">
        <f t="shared" si="16"/>
        <v>1.5</v>
      </c>
      <c r="AM55" s="48">
        <f t="shared" si="16"/>
        <v>1.5</v>
      </c>
      <c r="AN55" s="48">
        <f t="shared" si="16"/>
        <v>1.5</v>
      </c>
      <c r="AO55" s="48">
        <f t="shared" si="16"/>
        <v>1.5</v>
      </c>
      <c r="AP55" s="48">
        <f t="shared" si="16"/>
        <v>1.5</v>
      </c>
      <c r="AQ55" s="48">
        <f t="shared" si="16"/>
        <v>1.5</v>
      </c>
      <c r="AR55" s="48">
        <f>R55</f>
        <v>1.5</v>
      </c>
      <c r="AS55" s="48">
        <f>S55</f>
        <v>1.5</v>
      </c>
      <c r="AT55" s="48">
        <f>T55</f>
        <v>1.5</v>
      </c>
      <c r="AU55" s="48">
        <f>U55</f>
        <v>1.5</v>
      </c>
    </row>
    <row r="56" spans="1:47" x14ac:dyDescent="0.35">
      <c r="A56" s="88" t="s">
        <v>90</v>
      </c>
      <c r="B56" s="1" t="s">
        <v>24</v>
      </c>
      <c r="C56" s="1" t="s">
        <v>33</v>
      </c>
      <c r="D56" s="97"/>
      <c r="E56" s="1" t="s">
        <v>78</v>
      </c>
      <c r="F56" s="1">
        <v>180</v>
      </c>
      <c r="G56" s="1" t="s">
        <v>43</v>
      </c>
      <c r="H56" s="15">
        <v>1250</v>
      </c>
      <c r="I56" s="15"/>
      <c r="J56" s="15"/>
      <c r="K56" s="15"/>
      <c r="L56" s="15"/>
      <c r="M56" s="15"/>
      <c r="N56" s="14"/>
      <c r="O56" s="14"/>
      <c r="P56" s="14"/>
      <c r="Q56" s="14"/>
      <c r="R56" s="14"/>
      <c r="S56" s="14"/>
      <c r="T56" s="14"/>
      <c r="U56" s="22"/>
      <c r="W56" s="15"/>
      <c r="X56" s="15"/>
      <c r="Y56" s="15"/>
      <c r="Z56" s="15"/>
      <c r="AA56" s="14"/>
      <c r="AB56" s="14"/>
      <c r="AC56" s="14"/>
      <c r="AD56" s="14"/>
      <c r="AE56" s="14"/>
      <c r="AF56" s="14"/>
      <c r="AG56" s="14"/>
      <c r="AH56" s="22"/>
      <c r="AJ56" s="15"/>
      <c r="AK56" s="15"/>
      <c r="AL56" s="15"/>
      <c r="AM56" s="15"/>
      <c r="AN56" s="14"/>
      <c r="AO56" s="14"/>
      <c r="AP56" s="14"/>
      <c r="AQ56" s="14"/>
      <c r="AR56" s="14"/>
      <c r="AS56" s="14"/>
      <c r="AT56" s="14"/>
      <c r="AU56" s="22"/>
    </row>
    <row r="57" spans="1:47" x14ac:dyDescent="0.35">
      <c r="A57" s="88" t="str">
        <f>A56</f>
        <v>SSP</v>
      </c>
      <c r="B57" s="1" t="s">
        <v>24</v>
      </c>
      <c r="C57" s="1" t="s">
        <v>48</v>
      </c>
      <c r="D57" s="97"/>
      <c r="E57" s="1" t="s">
        <v>78</v>
      </c>
      <c r="F57" s="1">
        <v>120</v>
      </c>
      <c r="G57" s="1" t="s">
        <v>43</v>
      </c>
      <c r="H57" s="15">
        <v>1250</v>
      </c>
      <c r="I57" s="15"/>
      <c r="J57" s="48"/>
      <c r="K57" s="48"/>
      <c r="L57" s="48"/>
      <c r="M57" s="48"/>
      <c r="N57" s="14"/>
      <c r="O57" s="14"/>
      <c r="P57" s="14"/>
      <c r="Q57" s="14"/>
      <c r="R57" s="14"/>
      <c r="S57" s="14"/>
      <c r="T57" s="14"/>
      <c r="U57" s="14"/>
      <c r="W57" s="15"/>
      <c r="X57" s="15"/>
      <c r="Y57" s="15"/>
      <c r="Z57" s="15"/>
      <c r="AA57" s="14"/>
      <c r="AB57" s="14"/>
      <c r="AC57" s="14"/>
      <c r="AD57" s="14"/>
      <c r="AE57" s="14"/>
      <c r="AF57" s="14"/>
      <c r="AG57" s="14"/>
      <c r="AH57" s="22"/>
      <c r="AJ57" s="15"/>
      <c r="AK57" s="15"/>
      <c r="AL57" s="15"/>
      <c r="AM57" s="15"/>
      <c r="AN57" s="14"/>
      <c r="AO57" s="14"/>
      <c r="AP57" s="14"/>
      <c r="AQ57" s="14"/>
      <c r="AR57" s="14"/>
      <c r="AS57" s="14"/>
      <c r="AT57" s="14"/>
      <c r="AU57" s="22"/>
    </row>
    <row r="58" spans="1:47" x14ac:dyDescent="0.35">
      <c r="A58" s="8" t="s">
        <v>91</v>
      </c>
      <c r="B58" s="1" t="s">
        <v>24</v>
      </c>
      <c r="C58" s="10" t="s">
        <v>91</v>
      </c>
      <c r="D58" s="94"/>
      <c r="E58" s="10"/>
      <c r="F58" s="1">
        <v>30</v>
      </c>
      <c r="G58" s="1" t="s">
        <v>43</v>
      </c>
      <c r="H58" s="15">
        <v>1450</v>
      </c>
      <c r="I58" s="15"/>
      <c r="J58" s="48">
        <v>9</v>
      </c>
      <c r="K58" s="48">
        <v>9</v>
      </c>
      <c r="L58" s="48">
        <v>9</v>
      </c>
      <c r="M58" s="48">
        <v>9</v>
      </c>
      <c r="N58" s="14">
        <v>5</v>
      </c>
      <c r="O58" s="14">
        <v>5</v>
      </c>
      <c r="P58" s="14">
        <v>5</v>
      </c>
      <c r="Q58" s="14">
        <v>5</v>
      </c>
      <c r="R58" s="14">
        <v>5</v>
      </c>
      <c r="S58" s="14">
        <v>5</v>
      </c>
      <c r="T58" s="14">
        <v>5</v>
      </c>
      <c r="U58" s="14">
        <v>5</v>
      </c>
      <c r="W58" s="43">
        <f t="shared" ref="W58:AH60" si="17">$H58*J58</f>
        <v>13050</v>
      </c>
      <c r="X58" s="43">
        <f t="shared" si="17"/>
        <v>13050</v>
      </c>
      <c r="Y58" s="43">
        <f t="shared" si="17"/>
        <v>13050</v>
      </c>
      <c r="Z58" s="43">
        <f t="shared" si="17"/>
        <v>13050</v>
      </c>
      <c r="AA58" s="43">
        <f t="shared" si="17"/>
        <v>7250</v>
      </c>
      <c r="AB58" s="43">
        <f t="shared" si="17"/>
        <v>7250</v>
      </c>
      <c r="AC58" s="43">
        <f t="shared" si="17"/>
        <v>7250</v>
      </c>
      <c r="AD58" s="43">
        <f t="shared" si="17"/>
        <v>7250</v>
      </c>
      <c r="AE58" s="43">
        <f t="shared" si="17"/>
        <v>7250</v>
      </c>
      <c r="AF58" s="43">
        <f t="shared" si="17"/>
        <v>7250</v>
      </c>
      <c r="AG58" s="43">
        <f t="shared" si="17"/>
        <v>7250</v>
      </c>
      <c r="AH58" s="43">
        <f t="shared" si="17"/>
        <v>7250</v>
      </c>
      <c r="AJ58" s="15">
        <f>J58</f>
        <v>9</v>
      </c>
      <c r="AK58" s="15">
        <f t="shared" ref="AK58:AU58" si="18">K58</f>
        <v>9</v>
      </c>
      <c r="AL58" s="15">
        <f t="shared" si="18"/>
        <v>9</v>
      </c>
      <c r="AM58" s="15">
        <f t="shared" si="18"/>
        <v>9</v>
      </c>
      <c r="AN58" s="15">
        <f t="shared" si="18"/>
        <v>5</v>
      </c>
      <c r="AO58" s="15">
        <f t="shared" si="18"/>
        <v>5</v>
      </c>
      <c r="AP58" s="15">
        <f t="shared" si="18"/>
        <v>5</v>
      </c>
      <c r="AQ58" s="15">
        <f t="shared" si="18"/>
        <v>5</v>
      </c>
      <c r="AR58" s="15">
        <f>R58</f>
        <v>5</v>
      </c>
      <c r="AS58" s="15">
        <f t="shared" si="18"/>
        <v>5</v>
      </c>
      <c r="AT58" s="15">
        <f t="shared" si="18"/>
        <v>5</v>
      </c>
      <c r="AU58" s="15">
        <f t="shared" si="18"/>
        <v>5</v>
      </c>
    </row>
    <row r="59" spans="1:47" x14ac:dyDescent="0.35">
      <c r="A59" s="8" t="s">
        <v>92</v>
      </c>
      <c r="B59" s="1" t="s">
        <v>24</v>
      </c>
      <c r="C59" s="10" t="s">
        <v>93</v>
      </c>
      <c r="D59" s="94"/>
      <c r="E59" s="10"/>
      <c r="F59" s="1"/>
      <c r="G59" s="1" t="s">
        <v>41</v>
      </c>
      <c r="H59" s="49">
        <v>0.06</v>
      </c>
      <c r="I59" s="15"/>
      <c r="J59" s="15">
        <v>100000</v>
      </c>
      <c r="K59" s="15">
        <v>100000</v>
      </c>
      <c r="L59" s="15">
        <v>100000</v>
      </c>
      <c r="M59" s="15">
        <v>100000</v>
      </c>
      <c r="N59" s="15">
        <v>100000</v>
      </c>
      <c r="O59" s="15">
        <v>100000</v>
      </c>
      <c r="P59" s="15">
        <v>100000</v>
      </c>
      <c r="Q59" s="15">
        <v>100000</v>
      </c>
      <c r="R59" s="15">
        <v>100000</v>
      </c>
      <c r="S59" s="15">
        <v>100000</v>
      </c>
      <c r="T59" s="15">
        <v>100000</v>
      </c>
      <c r="U59" s="3">
        <v>100000</v>
      </c>
      <c r="W59" s="43">
        <f t="shared" si="17"/>
        <v>6000</v>
      </c>
      <c r="X59" s="43">
        <f t="shared" si="17"/>
        <v>6000</v>
      </c>
      <c r="Y59" s="43">
        <f t="shared" si="17"/>
        <v>6000</v>
      </c>
      <c r="Z59" s="43">
        <f t="shared" si="17"/>
        <v>6000</v>
      </c>
      <c r="AA59" s="43">
        <f t="shared" si="17"/>
        <v>6000</v>
      </c>
      <c r="AB59" s="43">
        <f t="shared" si="17"/>
        <v>6000</v>
      </c>
      <c r="AC59" s="43">
        <f t="shared" si="17"/>
        <v>6000</v>
      </c>
      <c r="AD59" s="43">
        <f t="shared" si="17"/>
        <v>6000</v>
      </c>
      <c r="AE59" s="43">
        <f t="shared" si="17"/>
        <v>6000</v>
      </c>
      <c r="AF59" s="43">
        <f t="shared" si="17"/>
        <v>6000</v>
      </c>
      <c r="AG59" s="43">
        <f t="shared" si="17"/>
        <v>6000</v>
      </c>
      <c r="AH59" s="43">
        <f t="shared" si="17"/>
        <v>6000</v>
      </c>
      <c r="AJ59" s="42"/>
      <c r="AK59" s="42"/>
      <c r="AL59" s="42"/>
      <c r="AM59" s="42"/>
      <c r="AN59" s="42"/>
      <c r="AO59" s="42"/>
      <c r="AP59" s="42"/>
      <c r="AQ59" s="42"/>
      <c r="AR59" s="42"/>
      <c r="AS59" s="42"/>
      <c r="AT59" s="42"/>
      <c r="AU59" s="61"/>
    </row>
    <row r="60" spans="1:47" x14ac:dyDescent="0.35">
      <c r="A60" s="8" t="s">
        <v>94</v>
      </c>
      <c r="B60" s="1" t="s">
        <v>24</v>
      </c>
      <c r="C60" s="10" t="s">
        <v>93</v>
      </c>
      <c r="D60" s="94"/>
      <c r="E60" s="10"/>
      <c r="F60" s="1"/>
      <c r="G60" s="1" t="s">
        <v>41</v>
      </c>
      <c r="H60" s="49">
        <v>3.5000000000000003E-2</v>
      </c>
      <c r="I60" s="15"/>
      <c r="J60" s="15"/>
      <c r="K60" s="15">
        <v>250000</v>
      </c>
      <c r="L60" s="15">
        <v>250000</v>
      </c>
      <c r="M60" s="15">
        <v>250000</v>
      </c>
      <c r="N60" s="15">
        <v>250000</v>
      </c>
      <c r="O60" s="15">
        <v>250000</v>
      </c>
      <c r="P60" s="15">
        <v>250000</v>
      </c>
      <c r="Q60" s="15">
        <v>250000</v>
      </c>
      <c r="R60" s="15">
        <v>250000</v>
      </c>
      <c r="S60" s="15">
        <v>250000</v>
      </c>
      <c r="T60" s="15">
        <v>250000</v>
      </c>
      <c r="U60" s="3">
        <v>250000</v>
      </c>
      <c r="W60" s="43">
        <f t="shared" si="17"/>
        <v>0</v>
      </c>
      <c r="X60" s="43">
        <f t="shared" si="17"/>
        <v>8750</v>
      </c>
      <c r="Y60" s="43">
        <f t="shared" si="17"/>
        <v>8750</v>
      </c>
      <c r="Z60" s="43">
        <f t="shared" si="17"/>
        <v>8750</v>
      </c>
      <c r="AA60" s="43">
        <f t="shared" si="17"/>
        <v>8750</v>
      </c>
      <c r="AB60" s="43">
        <f t="shared" si="17"/>
        <v>8750</v>
      </c>
      <c r="AC60" s="43">
        <f t="shared" si="17"/>
        <v>8750</v>
      </c>
      <c r="AD60" s="43">
        <f t="shared" si="17"/>
        <v>8750</v>
      </c>
      <c r="AE60" s="43">
        <f t="shared" si="17"/>
        <v>8750</v>
      </c>
      <c r="AF60" s="43">
        <f t="shared" si="17"/>
        <v>8750</v>
      </c>
      <c r="AG60" s="43">
        <f t="shared" si="17"/>
        <v>8750</v>
      </c>
      <c r="AH60" s="43">
        <f t="shared" si="17"/>
        <v>8750</v>
      </c>
      <c r="AJ60" s="42"/>
      <c r="AK60" s="42"/>
      <c r="AL60" s="42"/>
      <c r="AM60" s="42"/>
      <c r="AN60" s="42"/>
      <c r="AO60" s="42"/>
      <c r="AP60" s="42"/>
      <c r="AQ60" s="42"/>
      <c r="AR60" s="42"/>
      <c r="AS60" s="42"/>
      <c r="AT60" s="42"/>
      <c r="AU60" s="61"/>
    </row>
    <row r="61" spans="1:47" s="41" customFormat="1" x14ac:dyDescent="0.35">
      <c r="A61" s="36" t="s">
        <v>95</v>
      </c>
      <c r="B61" s="18" t="s">
        <v>38</v>
      </c>
      <c r="C61" s="37" t="s">
        <v>95</v>
      </c>
      <c r="D61" s="95"/>
      <c r="E61" s="37"/>
      <c r="F61" s="18">
        <v>30</v>
      </c>
      <c r="G61" s="18" t="s">
        <v>43</v>
      </c>
      <c r="H61" s="42">
        <v>1500</v>
      </c>
      <c r="I61" s="42"/>
      <c r="J61" s="42"/>
      <c r="K61" s="42"/>
      <c r="L61" s="42"/>
      <c r="M61" s="42"/>
      <c r="N61" s="39"/>
      <c r="O61" s="39"/>
      <c r="P61" s="39"/>
      <c r="Q61" s="39"/>
      <c r="R61" s="39"/>
      <c r="S61" s="39"/>
      <c r="T61" s="39"/>
      <c r="U61" s="40"/>
      <c r="W61" s="42"/>
      <c r="X61" s="42"/>
      <c r="Y61" s="42"/>
      <c r="Z61" s="42"/>
      <c r="AA61" s="39"/>
      <c r="AB61" s="39"/>
      <c r="AC61" s="39"/>
      <c r="AD61" s="39"/>
      <c r="AE61" s="39"/>
      <c r="AF61" s="39"/>
      <c r="AG61" s="39"/>
      <c r="AH61" s="40"/>
      <c r="AJ61" s="42"/>
      <c r="AK61" s="42"/>
      <c r="AL61" s="42"/>
      <c r="AM61" s="42"/>
      <c r="AN61" s="39"/>
      <c r="AO61" s="39"/>
      <c r="AP61" s="39"/>
      <c r="AQ61" s="39"/>
      <c r="AR61" s="39"/>
      <c r="AS61" s="39"/>
      <c r="AT61" s="39"/>
      <c r="AU61" s="40"/>
    </row>
    <row r="62" spans="1:47" s="41" customFormat="1" x14ac:dyDescent="0.35">
      <c r="A62" s="36" t="s">
        <v>96</v>
      </c>
      <c r="B62" s="18" t="s">
        <v>24</v>
      </c>
      <c r="C62" s="37" t="s">
        <v>97</v>
      </c>
      <c r="D62" s="95"/>
      <c r="E62" s="37"/>
      <c r="F62" s="18">
        <v>200</v>
      </c>
      <c r="G62" s="18" t="s">
        <v>43</v>
      </c>
      <c r="H62" s="42">
        <v>2100</v>
      </c>
      <c r="I62" s="42"/>
      <c r="J62" s="42"/>
      <c r="K62" s="42"/>
      <c r="L62" s="42"/>
      <c r="M62" s="42"/>
      <c r="N62" s="39"/>
      <c r="O62" s="39"/>
      <c r="P62" s="39"/>
      <c r="Q62" s="39"/>
      <c r="R62" s="39"/>
      <c r="S62" s="39"/>
      <c r="T62" s="39"/>
      <c r="U62" s="40"/>
      <c r="W62" s="42"/>
      <c r="X62" s="42"/>
      <c r="Y62" s="42"/>
      <c r="Z62" s="42"/>
      <c r="AA62" s="39"/>
      <c r="AB62" s="39"/>
      <c r="AC62" s="39"/>
      <c r="AD62" s="39"/>
      <c r="AE62" s="39"/>
      <c r="AF62" s="39"/>
      <c r="AG62" s="39"/>
      <c r="AH62" s="40"/>
      <c r="AJ62" s="42"/>
      <c r="AK62" s="42"/>
      <c r="AL62" s="42"/>
      <c r="AM62" s="42"/>
      <c r="AN62" s="39"/>
      <c r="AO62" s="39"/>
      <c r="AP62" s="39"/>
      <c r="AQ62" s="39"/>
      <c r="AR62" s="39"/>
      <c r="AS62" s="39"/>
      <c r="AT62" s="39"/>
      <c r="AU62" s="40"/>
    </row>
    <row r="63" spans="1:47" s="41" customFormat="1" x14ac:dyDescent="0.35">
      <c r="A63" s="36" t="s">
        <v>98</v>
      </c>
      <c r="B63" s="18" t="s">
        <v>38</v>
      </c>
      <c r="C63" s="37" t="s">
        <v>99</v>
      </c>
      <c r="D63" s="95"/>
      <c r="E63" s="37"/>
      <c r="F63" s="18">
        <v>30</v>
      </c>
      <c r="G63" s="18" t="s">
        <v>41</v>
      </c>
      <c r="H63" s="50">
        <v>0.14000000000000001</v>
      </c>
      <c r="I63" s="42"/>
      <c r="J63" s="42"/>
      <c r="K63" s="42"/>
      <c r="L63" s="42"/>
      <c r="M63" s="42"/>
      <c r="N63" s="39"/>
      <c r="O63" s="39"/>
      <c r="P63" s="39"/>
      <c r="Q63" s="39"/>
      <c r="R63" s="39"/>
      <c r="S63" s="39"/>
      <c r="T63" s="39"/>
      <c r="U63" s="40"/>
      <c r="W63" s="42"/>
      <c r="X63" s="42"/>
      <c r="Y63" s="42"/>
      <c r="Z63" s="42"/>
      <c r="AA63" s="39"/>
      <c r="AB63" s="39"/>
      <c r="AC63" s="39"/>
      <c r="AD63" s="39"/>
      <c r="AE63" s="39"/>
      <c r="AF63" s="39"/>
      <c r="AG63" s="39"/>
      <c r="AH63" s="40"/>
      <c r="AJ63" s="42"/>
      <c r="AK63" s="42"/>
      <c r="AL63" s="42"/>
      <c r="AM63" s="42"/>
      <c r="AN63" s="39"/>
      <c r="AO63" s="39"/>
      <c r="AP63" s="39"/>
      <c r="AQ63" s="39"/>
      <c r="AR63" s="39"/>
      <c r="AS63" s="39"/>
      <c r="AT63" s="39"/>
      <c r="AU63" s="40"/>
    </row>
    <row r="64" spans="1:47" s="41" customFormat="1" x14ac:dyDescent="0.35">
      <c r="A64" s="36" t="s">
        <v>100</v>
      </c>
      <c r="B64" s="18" t="s">
        <v>38</v>
      </c>
      <c r="C64" s="37" t="s">
        <v>101</v>
      </c>
      <c r="D64" s="95"/>
      <c r="E64" s="37"/>
      <c r="F64" s="18">
        <v>30</v>
      </c>
      <c r="G64" s="18" t="s">
        <v>43</v>
      </c>
      <c r="H64" s="42">
        <v>1350</v>
      </c>
      <c r="I64" s="42"/>
      <c r="J64" s="42"/>
      <c r="K64" s="42"/>
      <c r="L64" s="42"/>
      <c r="M64" s="42"/>
      <c r="N64" s="39"/>
      <c r="O64" s="39"/>
      <c r="P64" s="39"/>
      <c r="Q64" s="39"/>
      <c r="R64" s="39"/>
      <c r="S64" s="39"/>
      <c r="T64" s="39"/>
      <c r="U64" s="40"/>
      <c r="W64" s="42"/>
      <c r="X64" s="42"/>
      <c r="Y64" s="42"/>
      <c r="Z64" s="42"/>
      <c r="AA64" s="39"/>
      <c r="AB64" s="39"/>
      <c r="AC64" s="39"/>
      <c r="AD64" s="39"/>
      <c r="AE64" s="39"/>
      <c r="AF64" s="39"/>
      <c r="AG64" s="39"/>
      <c r="AH64" s="40"/>
      <c r="AJ64" s="42"/>
      <c r="AK64" s="42"/>
      <c r="AL64" s="42"/>
      <c r="AM64" s="42"/>
      <c r="AN64" s="39"/>
      <c r="AO64" s="39"/>
      <c r="AP64" s="39"/>
      <c r="AQ64" s="39"/>
      <c r="AR64" s="39"/>
      <c r="AS64" s="39"/>
      <c r="AT64" s="39"/>
      <c r="AU64" s="40"/>
    </row>
    <row r="65" spans="1:47" s="41" customFormat="1" x14ac:dyDescent="0.35">
      <c r="A65" s="36" t="s">
        <v>102</v>
      </c>
      <c r="B65" s="18" t="s">
        <v>38</v>
      </c>
      <c r="C65" s="37" t="s">
        <v>99</v>
      </c>
      <c r="D65" s="95"/>
      <c r="E65" s="37"/>
      <c r="F65" s="18">
        <v>30</v>
      </c>
      <c r="G65" s="18" t="s">
        <v>43</v>
      </c>
      <c r="H65" s="42">
        <v>1450</v>
      </c>
      <c r="I65" s="42"/>
      <c r="J65" s="42"/>
      <c r="K65" s="42"/>
      <c r="L65" s="42"/>
      <c r="M65" s="42"/>
      <c r="N65" s="39"/>
      <c r="O65" s="39"/>
      <c r="P65" s="39"/>
      <c r="Q65" s="39"/>
      <c r="R65" s="39"/>
      <c r="S65" s="39"/>
      <c r="T65" s="39"/>
      <c r="U65" s="40"/>
      <c r="W65" s="42"/>
      <c r="X65" s="42"/>
      <c r="Y65" s="42"/>
      <c r="Z65" s="42"/>
      <c r="AA65" s="39"/>
      <c r="AB65" s="39"/>
      <c r="AC65" s="39"/>
      <c r="AD65" s="39"/>
      <c r="AE65" s="39"/>
      <c r="AF65" s="39"/>
      <c r="AG65" s="39"/>
      <c r="AH65" s="40"/>
      <c r="AJ65" s="42"/>
      <c r="AK65" s="42"/>
      <c r="AL65" s="42"/>
      <c r="AM65" s="42"/>
      <c r="AN65" s="39"/>
      <c r="AO65" s="39"/>
      <c r="AP65" s="39"/>
      <c r="AQ65" s="39"/>
      <c r="AR65" s="39"/>
      <c r="AS65" s="39"/>
      <c r="AT65" s="39"/>
      <c r="AU65" s="40"/>
    </row>
    <row r="66" spans="1:47" s="41" customFormat="1" x14ac:dyDescent="0.35">
      <c r="A66" s="51" t="s">
        <v>103</v>
      </c>
      <c r="B66" s="18" t="s">
        <v>38</v>
      </c>
      <c r="C66" s="18" t="s">
        <v>93</v>
      </c>
      <c r="D66" s="96"/>
      <c r="E66" s="52"/>
      <c r="F66" s="52"/>
      <c r="G66" s="18" t="s">
        <v>41</v>
      </c>
      <c r="H66" s="53">
        <v>7.0000000000000007E-2</v>
      </c>
      <c r="I66" s="53"/>
      <c r="J66" s="53"/>
      <c r="K66" s="53"/>
      <c r="L66" s="53"/>
      <c r="M66" s="53"/>
      <c r="N66" s="39"/>
      <c r="O66" s="39"/>
      <c r="P66" s="39"/>
      <c r="Q66" s="39"/>
      <c r="R66" s="39"/>
      <c r="S66" s="39"/>
      <c r="T66" s="39"/>
      <c r="U66" s="40"/>
      <c r="W66" s="53"/>
      <c r="X66" s="53"/>
      <c r="Y66" s="53"/>
      <c r="Z66" s="53"/>
      <c r="AA66" s="39"/>
      <c r="AB66" s="39"/>
      <c r="AC66" s="39"/>
      <c r="AD66" s="39"/>
      <c r="AE66" s="39"/>
      <c r="AF66" s="39"/>
      <c r="AG66" s="39"/>
      <c r="AH66" s="40"/>
      <c r="AJ66" s="53"/>
      <c r="AK66" s="53"/>
      <c r="AL66" s="53"/>
      <c r="AM66" s="53"/>
      <c r="AN66" s="39"/>
      <c r="AO66" s="39"/>
      <c r="AP66" s="39"/>
      <c r="AQ66" s="39"/>
      <c r="AR66" s="39"/>
      <c r="AS66" s="39"/>
      <c r="AT66" s="39"/>
      <c r="AU66" s="40"/>
    </row>
    <row r="67" spans="1:47" s="41" customFormat="1" x14ac:dyDescent="0.35">
      <c r="A67" s="51" t="s">
        <v>104</v>
      </c>
      <c r="B67" s="18" t="s">
        <v>24</v>
      </c>
      <c r="C67" s="18" t="s">
        <v>105</v>
      </c>
      <c r="D67" s="96"/>
      <c r="E67" s="52"/>
      <c r="F67" s="52"/>
      <c r="G67" s="18" t="s">
        <v>106</v>
      </c>
      <c r="H67" s="54">
        <v>100</v>
      </c>
      <c r="I67" s="54"/>
      <c r="J67" s="54"/>
      <c r="K67" s="54"/>
      <c r="L67" s="54"/>
      <c r="M67" s="54"/>
      <c r="N67" s="39"/>
      <c r="O67" s="39"/>
      <c r="P67" s="39"/>
      <c r="Q67" s="39"/>
      <c r="R67" s="39"/>
      <c r="S67" s="39"/>
      <c r="T67" s="39"/>
      <c r="U67" s="40"/>
      <c r="W67" s="54"/>
      <c r="X67" s="54"/>
      <c r="Y67" s="54"/>
      <c r="Z67" s="54"/>
      <c r="AA67" s="39"/>
      <c r="AB67" s="39"/>
      <c r="AC67" s="39"/>
      <c r="AD67" s="39"/>
      <c r="AE67" s="39"/>
      <c r="AF67" s="39"/>
      <c r="AG67" s="39"/>
      <c r="AH67" s="40"/>
      <c r="AJ67" s="54"/>
      <c r="AK67" s="54"/>
      <c r="AL67" s="54"/>
      <c r="AM67" s="54"/>
      <c r="AN67" s="39"/>
      <c r="AO67" s="39"/>
      <c r="AP67" s="39"/>
      <c r="AQ67" s="39"/>
      <c r="AR67" s="39"/>
      <c r="AS67" s="39"/>
      <c r="AT67" s="39"/>
      <c r="AU67" s="40"/>
    </row>
    <row r="68" spans="1:47" s="41" customFormat="1" x14ac:dyDescent="0.35">
      <c r="A68" s="36" t="s">
        <v>107</v>
      </c>
      <c r="B68" s="18" t="s">
        <v>38</v>
      </c>
      <c r="C68" s="37" t="s">
        <v>101</v>
      </c>
      <c r="D68" s="95"/>
      <c r="E68" s="37"/>
      <c r="F68" s="18">
        <v>30</v>
      </c>
      <c r="G68" s="18" t="s">
        <v>43</v>
      </c>
      <c r="H68" s="42">
        <v>1440</v>
      </c>
      <c r="I68" s="42"/>
      <c r="J68" s="42"/>
      <c r="K68" s="42"/>
      <c r="L68" s="42"/>
      <c r="M68" s="42"/>
      <c r="N68" s="39"/>
      <c r="O68" s="39"/>
      <c r="P68" s="39"/>
      <c r="Q68" s="39"/>
      <c r="R68" s="39"/>
      <c r="S68" s="39"/>
      <c r="T68" s="39"/>
      <c r="U68" s="40"/>
      <c r="W68" s="42"/>
      <c r="X68" s="42"/>
      <c r="Y68" s="42"/>
      <c r="Z68" s="42"/>
      <c r="AA68" s="39"/>
      <c r="AB68" s="39"/>
      <c r="AC68" s="39"/>
      <c r="AD68" s="39"/>
      <c r="AE68" s="39"/>
      <c r="AF68" s="39"/>
      <c r="AG68" s="39"/>
      <c r="AH68" s="40"/>
      <c r="AJ68" s="42"/>
      <c r="AK68" s="42"/>
      <c r="AL68" s="42"/>
      <c r="AM68" s="42"/>
      <c r="AN68" s="39"/>
      <c r="AO68" s="39"/>
      <c r="AP68" s="39"/>
      <c r="AQ68" s="39"/>
      <c r="AR68" s="39"/>
      <c r="AS68" s="39"/>
      <c r="AT68" s="39"/>
      <c r="AU68" s="40"/>
    </row>
    <row r="69" spans="1:47" s="41" customFormat="1" x14ac:dyDescent="0.35">
      <c r="A69" s="36" t="s">
        <v>108</v>
      </c>
      <c r="B69" s="18" t="s">
        <v>38</v>
      </c>
      <c r="C69" s="37" t="s">
        <v>93</v>
      </c>
      <c r="D69" s="95"/>
      <c r="E69" s="37"/>
      <c r="F69" s="18"/>
      <c r="G69" s="18" t="s">
        <v>41</v>
      </c>
      <c r="H69" s="42">
        <v>300</v>
      </c>
      <c r="I69" s="42"/>
      <c r="J69" s="42"/>
      <c r="K69" s="42"/>
      <c r="L69" s="42"/>
      <c r="M69" s="42"/>
      <c r="N69" s="39"/>
      <c r="O69" s="39"/>
      <c r="P69" s="39"/>
      <c r="Q69" s="39"/>
      <c r="R69" s="39"/>
      <c r="S69" s="39"/>
      <c r="T69" s="39"/>
      <c r="U69" s="40"/>
      <c r="W69" s="42"/>
      <c r="X69" s="42"/>
      <c r="Y69" s="42"/>
      <c r="Z69" s="42"/>
      <c r="AA69" s="39"/>
      <c r="AB69" s="39"/>
      <c r="AC69" s="39"/>
      <c r="AD69" s="39"/>
      <c r="AE69" s="39"/>
      <c r="AF69" s="39"/>
      <c r="AG69" s="39"/>
      <c r="AH69" s="40"/>
      <c r="AJ69" s="42"/>
      <c r="AK69" s="42"/>
      <c r="AL69" s="42"/>
      <c r="AM69" s="42"/>
      <c r="AN69" s="39"/>
      <c r="AO69" s="39"/>
      <c r="AP69" s="39"/>
      <c r="AQ69" s="39"/>
      <c r="AR69" s="39"/>
      <c r="AS69" s="39"/>
      <c r="AT69" s="39"/>
      <c r="AU69" s="40"/>
    </row>
    <row r="70" spans="1:47" s="41" customFormat="1" x14ac:dyDescent="0.35">
      <c r="A70" s="36" t="s">
        <v>109</v>
      </c>
      <c r="B70" s="18" t="s">
        <v>38</v>
      </c>
      <c r="C70" s="37" t="s">
        <v>44</v>
      </c>
      <c r="D70" s="95"/>
      <c r="E70" s="37"/>
      <c r="F70" s="18"/>
      <c r="G70" s="18" t="s">
        <v>62</v>
      </c>
      <c r="H70" s="42">
        <v>7</v>
      </c>
      <c r="I70" s="42"/>
      <c r="J70" s="42"/>
      <c r="K70" s="42"/>
      <c r="L70" s="42"/>
      <c r="M70" s="42"/>
      <c r="N70" s="39"/>
      <c r="O70" s="39"/>
      <c r="P70" s="39"/>
      <c r="Q70" s="39"/>
      <c r="R70" s="39"/>
      <c r="S70" s="39"/>
      <c r="T70" s="39"/>
      <c r="U70" s="40"/>
      <c r="W70" s="42"/>
      <c r="X70" s="42"/>
      <c r="Y70" s="42"/>
      <c r="Z70" s="42"/>
      <c r="AA70" s="39"/>
      <c r="AB70" s="39"/>
      <c r="AC70" s="39"/>
      <c r="AD70" s="39"/>
      <c r="AE70" s="39"/>
      <c r="AF70" s="39"/>
      <c r="AG70" s="39"/>
      <c r="AH70" s="40"/>
      <c r="AJ70" s="42"/>
      <c r="AK70" s="42"/>
      <c r="AL70" s="42"/>
      <c r="AM70" s="42"/>
      <c r="AN70" s="39"/>
      <c r="AO70" s="39"/>
      <c r="AP70" s="39"/>
      <c r="AQ70" s="39"/>
      <c r="AR70" s="39"/>
      <c r="AS70" s="39"/>
      <c r="AT70" s="39"/>
      <c r="AU70" s="40"/>
    </row>
    <row r="71" spans="1:47" s="41" customFormat="1" x14ac:dyDescent="0.35">
      <c r="A71" s="36" t="s">
        <v>110</v>
      </c>
      <c r="B71" s="18" t="s">
        <v>38</v>
      </c>
      <c r="C71" s="37" t="s">
        <v>111</v>
      </c>
      <c r="D71" s="95"/>
      <c r="E71" s="37"/>
      <c r="F71" s="18"/>
      <c r="G71" s="18" t="s">
        <v>62</v>
      </c>
      <c r="H71" s="42">
        <v>7</v>
      </c>
      <c r="I71" s="42"/>
      <c r="J71" s="42"/>
      <c r="K71" s="42"/>
      <c r="L71" s="42"/>
      <c r="M71" s="42"/>
      <c r="N71" s="39"/>
      <c r="O71" s="39"/>
      <c r="P71" s="39"/>
      <c r="Q71" s="39"/>
      <c r="R71" s="39"/>
      <c r="S71" s="39"/>
      <c r="T71" s="39"/>
      <c r="U71" s="40"/>
      <c r="W71" s="42"/>
      <c r="X71" s="42"/>
      <c r="Y71" s="42"/>
      <c r="Z71" s="42"/>
      <c r="AA71" s="39"/>
      <c r="AB71" s="39"/>
      <c r="AC71" s="39"/>
      <c r="AD71" s="39"/>
      <c r="AE71" s="39"/>
      <c r="AF71" s="39"/>
      <c r="AG71" s="39"/>
      <c r="AH71" s="40"/>
      <c r="AJ71" s="42"/>
      <c r="AK71" s="42"/>
      <c r="AL71" s="42"/>
      <c r="AM71" s="42"/>
      <c r="AN71" s="39"/>
      <c r="AO71" s="39"/>
      <c r="AP71" s="39"/>
      <c r="AQ71" s="39"/>
      <c r="AR71" s="39"/>
      <c r="AS71" s="39"/>
      <c r="AT71" s="39"/>
      <c r="AU71" s="40"/>
    </row>
    <row r="72" spans="1:47" s="41" customFormat="1" x14ac:dyDescent="0.35">
      <c r="A72" s="36" t="s">
        <v>110</v>
      </c>
      <c r="B72" s="18" t="s">
        <v>38</v>
      </c>
      <c r="C72" s="37" t="s">
        <v>112</v>
      </c>
      <c r="D72" s="95"/>
      <c r="E72" s="37"/>
      <c r="F72" s="18"/>
      <c r="G72" s="18" t="s">
        <v>62</v>
      </c>
      <c r="H72" s="42">
        <v>7</v>
      </c>
      <c r="I72" s="42"/>
      <c r="J72" s="42"/>
      <c r="K72" s="42"/>
      <c r="L72" s="42"/>
      <c r="M72" s="42"/>
      <c r="N72" s="39"/>
      <c r="O72" s="39"/>
      <c r="P72" s="39"/>
      <c r="Q72" s="39"/>
      <c r="R72" s="39"/>
      <c r="S72" s="39"/>
      <c r="T72" s="39"/>
      <c r="U72" s="40"/>
      <c r="W72" s="42"/>
      <c r="X72" s="42"/>
      <c r="Y72" s="42"/>
      <c r="Z72" s="42"/>
      <c r="AA72" s="39"/>
      <c r="AB72" s="39"/>
      <c r="AC72" s="39"/>
      <c r="AD72" s="39"/>
      <c r="AE72" s="39"/>
      <c r="AF72" s="39"/>
      <c r="AG72" s="39"/>
      <c r="AH72" s="40"/>
      <c r="AJ72" s="42"/>
      <c r="AK72" s="42"/>
      <c r="AL72" s="42"/>
      <c r="AM72" s="42"/>
      <c r="AN72" s="39"/>
      <c r="AO72" s="39"/>
      <c r="AP72" s="39"/>
      <c r="AQ72" s="39"/>
      <c r="AR72" s="39"/>
      <c r="AS72" s="39"/>
      <c r="AT72" s="39"/>
      <c r="AU72" s="40"/>
    </row>
    <row r="73" spans="1:47" s="41" customFormat="1" x14ac:dyDescent="0.35">
      <c r="A73" s="36" t="s">
        <v>110</v>
      </c>
      <c r="B73" s="18" t="s">
        <v>38</v>
      </c>
      <c r="C73" s="37" t="s">
        <v>113</v>
      </c>
      <c r="D73" s="95"/>
      <c r="E73" s="37"/>
      <c r="F73" s="18"/>
      <c r="G73" s="18" t="s">
        <v>62</v>
      </c>
      <c r="H73" s="42">
        <v>7</v>
      </c>
      <c r="I73" s="42"/>
      <c r="J73" s="42"/>
      <c r="K73" s="42"/>
      <c r="L73" s="42"/>
      <c r="M73" s="42"/>
      <c r="N73" s="39"/>
      <c r="O73" s="39"/>
      <c r="P73" s="39"/>
      <c r="Q73" s="39"/>
      <c r="R73" s="39"/>
      <c r="S73" s="39"/>
      <c r="T73" s="39"/>
      <c r="U73" s="40"/>
      <c r="W73" s="42"/>
      <c r="X73" s="42"/>
      <c r="Y73" s="42"/>
      <c r="Z73" s="42"/>
      <c r="AA73" s="39"/>
      <c r="AB73" s="39"/>
      <c r="AC73" s="39"/>
      <c r="AD73" s="39"/>
      <c r="AE73" s="39"/>
      <c r="AF73" s="39"/>
      <c r="AG73" s="39"/>
      <c r="AH73" s="40"/>
      <c r="AJ73" s="42"/>
      <c r="AK73" s="42"/>
      <c r="AL73" s="42"/>
      <c r="AM73" s="42"/>
      <c r="AN73" s="39"/>
      <c r="AO73" s="39"/>
      <c r="AP73" s="39"/>
      <c r="AQ73" s="39"/>
      <c r="AR73" s="39"/>
      <c r="AS73" s="39"/>
      <c r="AT73" s="39"/>
      <c r="AU73" s="40"/>
    </row>
    <row r="74" spans="1:47" s="41" customFormat="1" x14ac:dyDescent="0.35">
      <c r="A74" s="36" t="s">
        <v>110</v>
      </c>
      <c r="B74" s="18" t="s">
        <v>38</v>
      </c>
      <c r="C74" s="37" t="s">
        <v>101</v>
      </c>
      <c r="D74" s="95"/>
      <c r="E74" s="37"/>
      <c r="F74" s="18"/>
      <c r="G74" s="18" t="s">
        <v>62</v>
      </c>
      <c r="H74" s="42">
        <v>8</v>
      </c>
      <c r="I74" s="42"/>
      <c r="J74" s="42"/>
      <c r="K74" s="42"/>
      <c r="L74" s="42"/>
      <c r="M74" s="42"/>
      <c r="N74" s="39"/>
      <c r="O74" s="39"/>
      <c r="P74" s="39"/>
      <c r="Q74" s="39"/>
      <c r="R74" s="39"/>
      <c r="S74" s="39"/>
      <c r="T74" s="39"/>
      <c r="U74" s="40"/>
      <c r="W74" s="42"/>
      <c r="X74" s="42"/>
      <c r="Y74" s="42"/>
      <c r="Z74" s="42"/>
      <c r="AA74" s="39"/>
      <c r="AB74" s="39"/>
      <c r="AC74" s="39"/>
      <c r="AD74" s="39"/>
      <c r="AE74" s="39"/>
      <c r="AF74" s="39"/>
      <c r="AG74" s="39"/>
      <c r="AH74" s="40"/>
      <c r="AJ74" s="42"/>
      <c r="AK74" s="42"/>
      <c r="AL74" s="42"/>
      <c r="AM74" s="42"/>
      <c r="AN74" s="39"/>
      <c r="AO74" s="39"/>
      <c r="AP74" s="39"/>
      <c r="AQ74" s="39"/>
      <c r="AR74" s="39"/>
      <c r="AS74" s="39"/>
      <c r="AT74" s="39"/>
      <c r="AU74" s="40"/>
    </row>
    <row r="75" spans="1:47" s="41" customFormat="1" ht="15" thickBot="1" x14ac:dyDescent="0.4">
      <c r="A75" s="55" t="s">
        <v>110</v>
      </c>
      <c r="B75" s="56" t="s">
        <v>38</v>
      </c>
      <c r="C75" s="57" t="s">
        <v>114</v>
      </c>
      <c r="D75" s="95"/>
      <c r="E75" s="57"/>
      <c r="F75" s="56"/>
      <c r="G75" s="56" t="s">
        <v>62</v>
      </c>
      <c r="H75" s="58">
        <v>7</v>
      </c>
      <c r="I75" s="58"/>
      <c r="J75" s="58"/>
      <c r="K75" s="58"/>
      <c r="L75" s="58"/>
      <c r="M75" s="58"/>
      <c r="N75" s="59"/>
      <c r="O75" s="59"/>
      <c r="P75" s="59"/>
      <c r="Q75" s="59"/>
      <c r="R75" s="59"/>
      <c r="S75" s="59"/>
      <c r="T75" s="59"/>
      <c r="U75" s="60"/>
      <c r="W75" s="58"/>
      <c r="X75" s="58"/>
      <c r="Y75" s="58"/>
      <c r="Z75" s="58"/>
      <c r="AA75" s="59"/>
      <c r="AB75" s="59"/>
      <c r="AC75" s="59"/>
      <c r="AD75" s="59"/>
      <c r="AE75" s="59"/>
      <c r="AF75" s="59"/>
      <c r="AG75" s="59"/>
      <c r="AH75" s="60"/>
      <c r="AJ75" s="58"/>
      <c r="AK75" s="58"/>
      <c r="AL75" s="58"/>
      <c r="AM75" s="58"/>
      <c r="AN75" s="59"/>
      <c r="AO75" s="59"/>
      <c r="AP75" s="59"/>
      <c r="AQ75" s="59"/>
      <c r="AR75" s="59"/>
      <c r="AS75" s="59"/>
      <c r="AT75" s="59"/>
      <c r="AU75" s="60"/>
    </row>
    <row r="77" spans="1:47" x14ac:dyDescent="0.35">
      <c r="T77" t="s">
        <v>129</v>
      </c>
      <c r="W77" s="63">
        <f>SUM(W6:W75)</f>
        <v>89399.187999999995</v>
      </c>
      <c r="X77" s="63">
        <f t="shared" ref="X77:AH77" si="19">SUM(X6:X75)</f>
        <v>102738.6474</v>
      </c>
      <c r="Y77" s="63">
        <f t="shared" si="19"/>
        <v>105618.6474</v>
      </c>
      <c r="Z77" s="63">
        <f t="shared" si="19"/>
        <v>107688.10680000001</v>
      </c>
      <c r="AA77" s="63">
        <f t="shared" si="19"/>
        <v>99818.647400000002</v>
      </c>
      <c r="AB77" s="63">
        <f t="shared" si="19"/>
        <v>95679.728600000002</v>
      </c>
      <c r="AC77" s="63">
        <f t="shared" si="19"/>
        <v>95679.728600000002</v>
      </c>
      <c r="AD77" s="63">
        <f t="shared" si="19"/>
        <v>99818.647400000002</v>
      </c>
      <c r="AE77" s="63">
        <f t="shared" si="19"/>
        <v>97749.187999999995</v>
      </c>
      <c r="AF77" s="63">
        <f t="shared" si="19"/>
        <v>99818.647400000002</v>
      </c>
      <c r="AG77" s="63">
        <f t="shared" si="19"/>
        <v>95679.728600000002</v>
      </c>
      <c r="AH77" s="63">
        <f t="shared" si="19"/>
        <v>99818.647400000002</v>
      </c>
      <c r="AJ77" s="66">
        <f>SUM(AJ6:AJ75)</f>
        <v>44.535835233918128</v>
      </c>
      <c r="AK77" s="66">
        <f t="shared" ref="AK77:AU77" si="20">SUM(AK6:AK75)</f>
        <v>46.285835233918128</v>
      </c>
      <c r="AL77" s="66">
        <f t="shared" si="20"/>
        <v>48.285835233918128</v>
      </c>
      <c r="AM77" s="66">
        <f t="shared" si="20"/>
        <v>48.285835233918128</v>
      </c>
      <c r="AN77" s="66">
        <f t="shared" si="20"/>
        <v>44.285835233918128</v>
      </c>
      <c r="AO77" s="66">
        <f t="shared" si="20"/>
        <v>44.285835233918128</v>
      </c>
      <c r="AP77" s="66">
        <f t="shared" si="20"/>
        <v>44.285835233918128</v>
      </c>
      <c r="AQ77" s="66">
        <f t="shared" si="20"/>
        <v>44.285835233918128</v>
      </c>
      <c r="AR77" s="66">
        <f t="shared" si="20"/>
        <v>44.285835233918128</v>
      </c>
      <c r="AS77" s="66">
        <f t="shared" si="20"/>
        <v>44.285835233918128</v>
      </c>
      <c r="AT77" s="66">
        <f t="shared" si="20"/>
        <v>44.285835233918128</v>
      </c>
      <c r="AU77" s="66">
        <f t="shared" si="20"/>
        <v>44.285835233918128</v>
      </c>
    </row>
    <row r="78" spans="1:47" x14ac:dyDescent="0.35">
      <c r="T78" t="s">
        <v>130</v>
      </c>
      <c r="W78" s="63">
        <f>W77/AJ77</f>
        <v>2007.3540224505389</v>
      </c>
      <c r="X78" s="63">
        <f t="shared" ref="X78:AH78" si="21">X77/AK77</f>
        <v>2219.6563350489873</v>
      </c>
      <c r="Y78" s="63">
        <f t="shared" si="21"/>
        <v>2187.3629582741223</v>
      </c>
      <c r="Z78" s="63">
        <f t="shared" si="21"/>
        <v>2230.2214775474167</v>
      </c>
      <c r="AA78" s="63">
        <f t="shared" si="21"/>
        <v>2253.9633016461612</v>
      </c>
      <c r="AB78" s="63">
        <f t="shared" si="21"/>
        <v>2160.5041001173158</v>
      </c>
      <c r="AC78" s="63">
        <f t="shared" si="21"/>
        <v>2160.5041001173158</v>
      </c>
      <c r="AD78" s="63">
        <f t="shared" si="21"/>
        <v>2253.9633016461612</v>
      </c>
      <c r="AE78" s="63">
        <f t="shared" si="21"/>
        <v>2207.2337008817385</v>
      </c>
      <c r="AF78" s="63">
        <f t="shared" si="21"/>
        <v>2253.9633016461612</v>
      </c>
      <c r="AG78" s="63">
        <f t="shared" si="21"/>
        <v>2160.5041001173158</v>
      </c>
      <c r="AH78" s="63">
        <f t="shared" si="21"/>
        <v>2253.9633016461612</v>
      </c>
      <c r="AJ78" s="66"/>
      <c r="AK78" s="66"/>
      <c r="AL78" s="66"/>
      <c r="AM78" s="66"/>
      <c r="AN78" s="66"/>
      <c r="AO78" s="66"/>
      <c r="AP78" s="66"/>
      <c r="AQ78" s="66"/>
      <c r="AR78" s="66"/>
      <c r="AS78" s="66"/>
      <c r="AT78" s="66"/>
      <c r="AU78" s="66"/>
    </row>
    <row r="79" spans="1:47" x14ac:dyDescent="0.35">
      <c r="T79" t="s">
        <v>131</v>
      </c>
      <c r="W79" s="67">
        <f>AJ77</f>
        <v>44.535835233918128</v>
      </c>
      <c r="X79" s="67">
        <f t="shared" ref="X79:AH79" si="22">AK77</f>
        <v>46.285835233918128</v>
      </c>
      <c r="Y79" s="67">
        <f t="shared" si="22"/>
        <v>48.285835233918128</v>
      </c>
      <c r="Z79" s="67">
        <f t="shared" si="22"/>
        <v>48.285835233918128</v>
      </c>
      <c r="AA79" s="67">
        <f t="shared" si="22"/>
        <v>44.285835233918128</v>
      </c>
      <c r="AB79" s="67">
        <f t="shared" si="22"/>
        <v>44.285835233918128</v>
      </c>
      <c r="AC79" s="67">
        <f t="shared" si="22"/>
        <v>44.285835233918128</v>
      </c>
      <c r="AD79" s="67">
        <f t="shared" si="22"/>
        <v>44.285835233918128</v>
      </c>
      <c r="AE79" s="67">
        <f t="shared" si="22"/>
        <v>44.285835233918128</v>
      </c>
      <c r="AF79" s="67">
        <f t="shared" si="22"/>
        <v>44.285835233918128</v>
      </c>
      <c r="AG79" s="67">
        <f t="shared" si="22"/>
        <v>44.285835233918128</v>
      </c>
      <c r="AH79" s="67">
        <f t="shared" si="22"/>
        <v>44.285835233918128</v>
      </c>
    </row>
    <row r="82" spans="20:34" x14ac:dyDescent="0.35">
      <c r="T82" t="s">
        <v>132</v>
      </c>
      <c r="W82">
        <v>25000</v>
      </c>
      <c r="X82">
        <f>W82+25000</f>
        <v>50000</v>
      </c>
      <c r="Y82">
        <f t="shared" ref="Y82:AH82" si="23">X82+25000</f>
        <v>75000</v>
      </c>
      <c r="Z82">
        <f t="shared" si="23"/>
        <v>100000</v>
      </c>
      <c r="AA82">
        <f t="shared" si="23"/>
        <v>125000</v>
      </c>
      <c r="AB82">
        <f t="shared" si="23"/>
        <v>150000</v>
      </c>
      <c r="AC82">
        <f t="shared" si="23"/>
        <v>175000</v>
      </c>
      <c r="AD82">
        <f t="shared" si="23"/>
        <v>200000</v>
      </c>
      <c r="AE82">
        <f t="shared" si="23"/>
        <v>225000</v>
      </c>
      <c r="AF82">
        <f t="shared" si="23"/>
        <v>250000</v>
      </c>
      <c r="AG82">
        <f t="shared" si="23"/>
        <v>275000</v>
      </c>
      <c r="AH82">
        <f t="shared" si="23"/>
        <v>300000</v>
      </c>
    </row>
    <row r="83" spans="20:34" x14ac:dyDescent="0.35">
      <c r="T83" t="s">
        <v>130</v>
      </c>
      <c r="W83">
        <v>1800</v>
      </c>
      <c r="X83">
        <v>1800</v>
      </c>
      <c r="Y83">
        <v>1800</v>
      </c>
      <c r="Z83">
        <v>1800</v>
      </c>
      <c r="AA83">
        <v>1800</v>
      </c>
      <c r="AB83">
        <v>1800</v>
      </c>
      <c r="AC83">
        <v>1800</v>
      </c>
      <c r="AD83">
        <v>1800</v>
      </c>
      <c r="AE83">
        <v>1800</v>
      </c>
      <c r="AF83">
        <v>1800</v>
      </c>
      <c r="AG83">
        <v>1800</v>
      </c>
      <c r="AH83">
        <v>1800</v>
      </c>
    </row>
    <row r="84" spans="20:34" x14ac:dyDescent="0.35">
      <c r="T84" t="s">
        <v>131</v>
      </c>
      <c r="W84" s="69">
        <f>W82/W83</f>
        <v>13.888888888888889</v>
      </c>
      <c r="X84" s="69">
        <f t="shared" ref="X84:AH84" si="24">X82/X83</f>
        <v>27.777777777777779</v>
      </c>
      <c r="Y84" s="69">
        <f t="shared" si="24"/>
        <v>41.666666666666664</v>
      </c>
      <c r="Z84" s="69">
        <f t="shared" si="24"/>
        <v>55.555555555555557</v>
      </c>
      <c r="AA84" s="69">
        <f t="shared" si="24"/>
        <v>69.444444444444443</v>
      </c>
      <c r="AB84" s="69">
        <f t="shared" si="24"/>
        <v>83.333333333333329</v>
      </c>
      <c r="AC84" s="69">
        <f t="shared" si="24"/>
        <v>97.222222222222229</v>
      </c>
      <c r="AD84" s="69">
        <f t="shared" si="24"/>
        <v>111.11111111111111</v>
      </c>
      <c r="AE84" s="69">
        <f t="shared" si="24"/>
        <v>125</v>
      </c>
      <c r="AF84" s="69">
        <f t="shared" si="24"/>
        <v>138.88888888888889</v>
      </c>
      <c r="AG84" s="69">
        <f t="shared" si="24"/>
        <v>152.77777777777777</v>
      </c>
      <c r="AH84" s="69">
        <f t="shared" si="24"/>
        <v>166.66666666666666</v>
      </c>
    </row>
    <row r="86" spans="20:34" x14ac:dyDescent="0.35">
      <c r="T86" t="s">
        <v>133</v>
      </c>
      <c r="W86" s="68">
        <f>W84+W79</f>
        <v>58.424724122807021</v>
      </c>
      <c r="X86" s="68">
        <f t="shared" ref="X86:AH86" si="25">X84+X79</f>
        <v>74.063613011695907</v>
      </c>
      <c r="Y86" s="68">
        <f t="shared" si="25"/>
        <v>89.952501900584792</v>
      </c>
      <c r="Z86" s="68">
        <f t="shared" si="25"/>
        <v>103.84139078947368</v>
      </c>
      <c r="AA86" s="68">
        <f t="shared" si="25"/>
        <v>113.73027967836256</v>
      </c>
      <c r="AB86" s="68">
        <f t="shared" si="25"/>
        <v>127.61916856725145</v>
      </c>
      <c r="AC86" s="68">
        <f t="shared" si="25"/>
        <v>141.50805745614036</v>
      </c>
      <c r="AD86" s="68">
        <f t="shared" si="25"/>
        <v>155.39694634502925</v>
      </c>
      <c r="AE86" s="68">
        <f t="shared" si="25"/>
        <v>169.28583523391814</v>
      </c>
      <c r="AF86" s="68">
        <f t="shared" si="25"/>
        <v>183.17472412280702</v>
      </c>
      <c r="AG86" s="68">
        <f t="shared" si="25"/>
        <v>197.06361301169591</v>
      </c>
      <c r="AH86" s="68">
        <f t="shared" si="25"/>
        <v>210.95250190058479</v>
      </c>
    </row>
    <row r="87" spans="20:34" x14ac:dyDescent="0.35">
      <c r="T87" t="s">
        <v>134</v>
      </c>
      <c r="W87" s="68"/>
      <c r="X87" s="68"/>
      <c r="Y87" s="68"/>
      <c r="Z87" s="68"/>
      <c r="AA87" s="68"/>
      <c r="AB87" s="68"/>
      <c r="AC87" s="68"/>
      <c r="AD87" s="68"/>
      <c r="AE87" s="68"/>
      <c r="AF87" s="68"/>
      <c r="AG87" s="68"/>
      <c r="AH87" s="68"/>
    </row>
    <row r="88" spans="20:34" x14ac:dyDescent="0.35">
      <c r="T88" t="s">
        <v>39</v>
      </c>
      <c r="W88" s="68"/>
      <c r="X88" s="68"/>
      <c r="Y88" s="68"/>
      <c r="Z88" s="68"/>
      <c r="AA88" s="68"/>
      <c r="AB88" s="68"/>
      <c r="AC88" s="68"/>
      <c r="AD88" s="68"/>
      <c r="AE88" s="68"/>
      <c r="AF88" s="68"/>
      <c r="AG88" s="68"/>
      <c r="AH88" s="68"/>
    </row>
    <row r="89" spans="20:34" x14ac:dyDescent="0.35">
      <c r="W89" s="68"/>
      <c r="X89" s="68"/>
      <c r="Y89" s="68"/>
      <c r="Z89" s="68"/>
      <c r="AA89" s="68"/>
      <c r="AB89" s="68"/>
      <c r="AC89" s="68"/>
      <c r="AD89" s="68"/>
      <c r="AE89" s="68"/>
      <c r="AF89" s="68"/>
      <c r="AG89" s="68"/>
      <c r="AH89" s="68"/>
    </row>
    <row r="90" spans="20:34" x14ac:dyDescent="0.35">
      <c r="W90" s="68"/>
      <c r="X90" s="68"/>
      <c r="Y90" s="68"/>
      <c r="Z90" s="68"/>
      <c r="AA90" s="68"/>
      <c r="AB90" s="68"/>
      <c r="AC90" s="68"/>
      <c r="AD90" s="68"/>
      <c r="AE90" s="68"/>
      <c r="AF90" s="68"/>
      <c r="AG90" s="68"/>
      <c r="AH90" s="68"/>
    </row>
    <row r="91" spans="20:34" x14ac:dyDescent="0.35">
      <c r="T91" t="s">
        <v>135</v>
      </c>
      <c r="W91" s="70">
        <v>0.65</v>
      </c>
      <c r="X91" s="71">
        <f>W91+5%</f>
        <v>0.70000000000000007</v>
      </c>
      <c r="Y91" s="71">
        <f>X91+5%</f>
        <v>0.75000000000000011</v>
      </c>
      <c r="Z91" s="71">
        <f>Y91+5%</f>
        <v>0.80000000000000016</v>
      </c>
      <c r="AA91" s="71">
        <f>Z91+5%</f>
        <v>0.8500000000000002</v>
      </c>
      <c r="AB91" s="71">
        <f>AA91</f>
        <v>0.8500000000000002</v>
      </c>
      <c r="AC91" s="71">
        <f t="shared" ref="AC91:AH91" si="26">AB91</f>
        <v>0.8500000000000002</v>
      </c>
      <c r="AD91" s="71">
        <f t="shared" si="26"/>
        <v>0.8500000000000002</v>
      </c>
      <c r="AE91" s="71">
        <f t="shared" si="26"/>
        <v>0.8500000000000002</v>
      </c>
      <c r="AF91" s="71">
        <f t="shared" si="26"/>
        <v>0.8500000000000002</v>
      </c>
      <c r="AG91" s="71">
        <f t="shared" si="26"/>
        <v>0.8500000000000002</v>
      </c>
      <c r="AH91" s="71">
        <f t="shared" si="26"/>
        <v>0.8500000000000002</v>
      </c>
    </row>
    <row r="92" spans="20:34" x14ac:dyDescent="0.35">
      <c r="V92" t="s">
        <v>136</v>
      </c>
    </row>
    <row r="93" spans="20:34" x14ac:dyDescent="0.35">
      <c r="T93" t="s">
        <v>137</v>
      </c>
      <c r="W93" s="68">
        <f>W86/W91</f>
        <v>89.884190958164638</v>
      </c>
      <c r="X93" s="68">
        <f t="shared" ref="X93:AH93" si="27">X86/X91</f>
        <v>105.80516144527985</v>
      </c>
      <c r="Y93" s="68">
        <f t="shared" si="27"/>
        <v>119.9366692007797</v>
      </c>
      <c r="Z93" s="68">
        <f t="shared" si="27"/>
        <v>129.80173848684208</v>
      </c>
      <c r="AA93" s="68">
        <f t="shared" si="27"/>
        <v>133.80032903336769</v>
      </c>
      <c r="AB93" s="68">
        <f t="shared" si="27"/>
        <v>150.14019831441342</v>
      </c>
      <c r="AC93" s="68">
        <f t="shared" si="27"/>
        <v>166.48006759545922</v>
      </c>
      <c r="AD93" s="68">
        <f t="shared" si="27"/>
        <v>182.81993687650495</v>
      </c>
      <c r="AE93" s="68">
        <f t="shared" si="27"/>
        <v>199.15980615755069</v>
      </c>
      <c r="AF93" s="68">
        <f t="shared" si="27"/>
        <v>215.49967543859646</v>
      </c>
      <c r="AG93" s="68">
        <f t="shared" si="27"/>
        <v>231.83954471964219</v>
      </c>
      <c r="AH93" s="68">
        <f t="shared" si="27"/>
        <v>248.17941400068793</v>
      </c>
    </row>
    <row r="94" spans="20:34" x14ac:dyDescent="0.35">
      <c r="T94" t="s">
        <v>134</v>
      </c>
      <c r="W94" s="68"/>
      <c r="X94" s="68"/>
      <c r="Y94" s="68"/>
      <c r="Z94" s="68"/>
      <c r="AA94" s="68"/>
      <c r="AB94" s="68"/>
      <c r="AC94" s="68"/>
      <c r="AD94" s="68"/>
      <c r="AE94" s="68"/>
      <c r="AF94" s="68"/>
      <c r="AG94" s="68"/>
      <c r="AH94" s="68"/>
    </row>
    <row r="95" spans="20:34" x14ac:dyDescent="0.35">
      <c r="T95" t="s">
        <v>39</v>
      </c>
      <c r="W95" s="68"/>
      <c r="X95" s="68"/>
      <c r="Y95" s="68"/>
      <c r="Z95" s="68"/>
      <c r="AA95" s="68"/>
      <c r="AB95" s="68"/>
      <c r="AC95" s="68"/>
      <c r="AD95" s="68"/>
      <c r="AE95" s="68"/>
      <c r="AF95" s="68"/>
      <c r="AG95" s="68"/>
      <c r="AH95" s="68"/>
    </row>
    <row r="97" spans="3:34" x14ac:dyDescent="0.35">
      <c r="T97" t="s">
        <v>138</v>
      </c>
      <c r="U97">
        <v>20</v>
      </c>
      <c r="W97" s="68">
        <f>W$93/$U97</f>
        <v>4.4942095479082322</v>
      </c>
      <c r="X97" s="68">
        <f t="shared" ref="X97:AH102" si="28">X$93/$U97</f>
        <v>5.2902580722639927</v>
      </c>
      <c r="Y97" s="68">
        <f t="shared" si="28"/>
        <v>5.9968334600389852</v>
      </c>
      <c r="Z97" s="68">
        <f t="shared" si="28"/>
        <v>6.490086924342104</v>
      </c>
      <c r="AA97" s="68">
        <f t="shared" si="28"/>
        <v>6.6900164516683844</v>
      </c>
      <c r="AB97" s="68">
        <f t="shared" si="28"/>
        <v>7.5070099157206709</v>
      </c>
      <c r="AC97" s="68">
        <f t="shared" si="28"/>
        <v>8.3240033797729609</v>
      </c>
      <c r="AD97" s="68">
        <f t="shared" si="28"/>
        <v>9.1409968438252474</v>
      </c>
      <c r="AE97" s="68">
        <f t="shared" si="28"/>
        <v>9.9579903078775338</v>
      </c>
      <c r="AF97" s="68">
        <f t="shared" si="28"/>
        <v>10.774983771929822</v>
      </c>
      <c r="AG97" s="68">
        <f t="shared" si="28"/>
        <v>11.59197723598211</v>
      </c>
      <c r="AH97" s="68">
        <f t="shared" si="28"/>
        <v>12.408970700034397</v>
      </c>
    </row>
    <row r="98" spans="3:34" x14ac:dyDescent="0.35">
      <c r="T98" t="s">
        <v>139</v>
      </c>
      <c r="U98">
        <v>50</v>
      </c>
      <c r="W98" s="68">
        <f>W$93/$U98</f>
        <v>1.7976838191632927</v>
      </c>
      <c r="X98" s="68">
        <f t="shared" si="28"/>
        <v>2.116103228905597</v>
      </c>
      <c r="Y98" s="68">
        <f t="shared" si="28"/>
        <v>2.398733384015594</v>
      </c>
      <c r="Z98" s="68">
        <f t="shared" si="28"/>
        <v>2.5960347697368418</v>
      </c>
      <c r="AA98" s="68">
        <f t="shared" si="28"/>
        <v>2.6760065806673539</v>
      </c>
      <c r="AB98" s="68">
        <f t="shared" si="28"/>
        <v>3.0028039662882686</v>
      </c>
      <c r="AC98" s="68">
        <f t="shared" si="28"/>
        <v>3.3296013519091843</v>
      </c>
      <c r="AD98" s="68">
        <f t="shared" si="28"/>
        <v>3.656398737530099</v>
      </c>
      <c r="AE98" s="68">
        <f t="shared" si="28"/>
        <v>3.9831961231510138</v>
      </c>
      <c r="AF98" s="68">
        <f t="shared" si="28"/>
        <v>4.309993508771929</v>
      </c>
      <c r="AG98" s="68">
        <f t="shared" si="28"/>
        <v>4.6367908943928438</v>
      </c>
      <c r="AH98" s="68">
        <f t="shared" si="28"/>
        <v>4.9635882800137585</v>
      </c>
    </row>
    <row r="99" spans="3:34" x14ac:dyDescent="0.35">
      <c r="T99" t="s">
        <v>140</v>
      </c>
      <c r="U99">
        <v>100</v>
      </c>
      <c r="W99" s="68">
        <f>W$93/$U99</f>
        <v>0.89884190958164634</v>
      </c>
      <c r="X99" s="68">
        <f t="shared" si="28"/>
        <v>1.0580516144527985</v>
      </c>
      <c r="Y99" s="68">
        <f t="shared" si="28"/>
        <v>1.199366692007797</v>
      </c>
      <c r="Z99" s="68">
        <f t="shared" si="28"/>
        <v>1.2980173848684209</v>
      </c>
      <c r="AA99" s="68">
        <f t="shared" si="28"/>
        <v>1.3380032903336769</v>
      </c>
      <c r="AB99" s="68">
        <f t="shared" si="28"/>
        <v>1.5014019831441343</v>
      </c>
      <c r="AC99" s="68">
        <f t="shared" si="28"/>
        <v>1.6648006759545921</v>
      </c>
      <c r="AD99" s="68">
        <f t="shared" si="28"/>
        <v>1.8281993687650495</v>
      </c>
      <c r="AE99" s="68">
        <f t="shared" si="28"/>
        <v>1.9915980615755069</v>
      </c>
      <c r="AF99" s="68">
        <f t="shared" si="28"/>
        <v>2.1549967543859645</v>
      </c>
      <c r="AG99" s="68">
        <f t="shared" si="28"/>
        <v>2.3183954471964219</v>
      </c>
      <c r="AH99" s="68">
        <f t="shared" si="28"/>
        <v>2.4817941400068793</v>
      </c>
    </row>
    <row r="101" spans="3:34" x14ac:dyDescent="0.35">
      <c r="T101" t="s">
        <v>141</v>
      </c>
      <c r="U101">
        <v>50</v>
      </c>
      <c r="W101" s="68">
        <f>W$93/$U101</f>
        <v>1.7976838191632927</v>
      </c>
      <c r="X101" s="68">
        <f t="shared" si="28"/>
        <v>2.116103228905597</v>
      </c>
      <c r="Y101" s="68">
        <f t="shared" si="28"/>
        <v>2.398733384015594</v>
      </c>
      <c r="Z101" s="68">
        <f t="shared" si="28"/>
        <v>2.5960347697368418</v>
      </c>
      <c r="AA101" s="68">
        <f t="shared" si="28"/>
        <v>2.6760065806673539</v>
      </c>
      <c r="AB101" s="68">
        <f t="shared" si="28"/>
        <v>3.0028039662882686</v>
      </c>
      <c r="AC101" s="68">
        <f t="shared" si="28"/>
        <v>3.3296013519091843</v>
      </c>
      <c r="AD101" s="68">
        <f t="shared" si="28"/>
        <v>3.656398737530099</v>
      </c>
      <c r="AE101" s="68">
        <f t="shared" si="28"/>
        <v>3.9831961231510138</v>
      </c>
      <c r="AF101" s="68">
        <f t="shared" si="28"/>
        <v>4.309993508771929</v>
      </c>
      <c r="AG101" s="68">
        <f t="shared" si="28"/>
        <v>4.6367908943928438</v>
      </c>
      <c r="AH101" s="68">
        <f t="shared" si="28"/>
        <v>4.9635882800137585</v>
      </c>
    </row>
    <row r="102" spans="3:34" x14ac:dyDescent="0.35">
      <c r="T102" t="s">
        <v>142</v>
      </c>
      <c r="U102">
        <v>25</v>
      </c>
      <c r="W102" s="68">
        <f>W$93/$U102</f>
        <v>3.5953676383265853</v>
      </c>
      <c r="X102" s="68">
        <f t="shared" si="28"/>
        <v>4.232206457811194</v>
      </c>
      <c r="Y102" s="68">
        <f t="shared" si="28"/>
        <v>4.797466768031188</v>
      </c>
      <c r="Z102" s="68">
        <f t="shared" si="28"/>
        <v>5.1920695394736835</v>
      </c>
      <c r="AA102" s="68">
        <f t="shared" si="28"/>
        <v>5.3520131613347077</v>
      </c>
      <c r="AB102" s="68">
        <f t="shared" si="28"/>
        <v>6.0056079325765372</v>
      </c>
      <c r="AC102" s="68">
        <f t="shared" si="28"/>
        <v>6.6592027038183685</v>
      </c>
      <c r="AD102" s="68">
        <f t="shared" si="28"/>
        <v>7.3127974750601981</v>
      </c>
      <c r="AE102" s="68">
        <f t="shared" si="28"/>
        <v>7.9663922463020276</v>
      </c>
      <c r="AF102" s="68">
        <f t="shared" si="28"/>
        <v>8.619987017543858</v>
      </c>
      <c r="AG102" s="68">
        <f t="shared" si="28"/>
        <v>9.2735817887856875</v>
      </c>
      <c r="AH102" s="68">
        <f t="shared" si="28"/>
        <v>9.927176560027517</v>
      </c>
    </row>
    <row r="105" spans="3:34" x14ac:dyDescent="0.35">
      <c r="T105" t="s">
        <v>143</v>
      </c>
      <c r="W105" s="68">
        <f t="shared" ref="W105:AH105" si="29">SUM(W93:W104)</f>
        <v>102.46797769230768</v>
      </c>
      <c r="X105" s="68">
        <f t="shared" si="29"/>
        <v>120.61788404761903</v>
      </c>
      <c r="Y105" s="68">
        <f t="shared" si="29"/>
        <v>136.72780288888887</v>
      </c>
      <c r="Z105" s="68">
        <f t="shared" si="29"/>
        <v>147.97398187499996</v>
      </c>
      <c r="AA105" s="68">
        <f t="shared" si="29"/>
        <v>152.53237509803915</v>
      </c>
      <c r="AB105" s="68">
        <f t="shared" si="29"/>
        <v>171.15982607843128</v>
      </c>
      <c r="AC105" s="68">
        <f t="shared" si="29"/>
        <v>189.78727705882352</v>
      </c>
      <c r="AD105" s="68">
        <f t="shared" si="29"/>
        <v>208.41472803921565</v>
      </c>
      <c r="AE105" s="68">
        <f t="shared" si="29"/>
        <v>227.04217901960777</v>
      </c>
      <c r="AF105" s="68">
        <f t="shared" si="29"/>
        <v>245.66962999999993</v>
      </c>
      <c r="AG105" s="68">
        <f t="shared" si="29"/>
        <v>264.29708098039208</v>
      </c>
      <c r="AH105" s="68">
        <f t="shared" si="29"/>
        <v>282.92453196078424</v>
      </c>
    </row>
    <row r="108" spans="3:34" x14ac:dyDescent="0.35">
      <c r="C108" s="72" t="s">
        <v>144</v>
      </c>
    </row>
    <row r="109" spans="3:34" x14ac:dyDescent="0.35">
      <c r="C109" s="73" t="s">
        <v>145</v>
      </c>
    </row>
    <row r="110" spans="3:34" x14ac:dyDescent="0.35">
      <c r="C110" s="73" t="s">
        <v>146</v>
      </c>
    </row>
    <row r="111" spans="3:34" x14ac:dyDescent="0.35">
      <c r="C111" s="73" t="s">
        <v>147</v>
      </c>
    </row>
    <row r="112" spans="3:34" x14ac:dyDescent="0.35">
      <c r="C112" s="73" t="s">
        <v>148</v>
      </c>
    </row>
    <row r="113" spans="3:3" x14ac:dyDescent="0.35">
      <c r="C113" s="72" t="s">
        <v>149</v>
      </c>
    </row>
    <row r="114" spans="3:3" x14ac:dyDescent="0.35">
      <c r="C114" s="72" t="s">
        <v>150</v>
      </c>
    </row>
    <row r="115" spans="3:3" x14ac:dyDescent="0.35">
      <c r="C115" s="72" t="s">
        <v>151</v>
      </c>
    </row>
    <row r="116" spans="3:3" x14ac:dyDescent="0.35">
      <c r="C116" s="73" t="s">
        <v>152</v>
      </c>
    </row>
    <row r="117" spans="3:3" x14ac:dyDescent="0.35">
      <c r="C117" s="73" t="s">
        <v>153</v>
      </c>
    </row>
    <row r="118" spans="3:3" x14ac:dyDescent="0.35">
      <c r="C118" s="73" t="s">
        <v>154</v>
      </c>
    </row>
    <row r="119" spans="3:3" x14ac:dyDescent="0.35">
      <c r="C119" s="73" t="s">
        <v>155</v>
      </c>
    </row>
    <row r="120" spans="3:3" x14ac:dyDescent="0.35">
      <c r="C120" s="73" t="s">
        <v>156</v>
      </c>
    </row>
    <row r="121" spans="3:3" x14ac:dyDescent="0.35">
      <c r="C121" s="72" t="s">
        <v>157</v>
      </c>
    </row>
    <row r="122" spans="3:3" x14ac:dyDescent="0.35">
      <c r="C122" s="72" t="s">
        <v>158</v>
      </c>
    </row>
    <row r="123" spans="3:3" x14ac:dyDescent="0.35">
      <c r="C123" s="73" t="s">
        <v>159</v>
      </c>
    </row>
    <row r="124" spans="3:3" x14ac:dyDescent="0.35">
      <c r="C124" s="72" t="s">
        <v>160</v>
      </c>
    </row>
    <row r="125" spans="3:3" x14ac:dyDescent="0.35">
      <c r="C125" s="73" t="s">
        <v>161</v>
      </c>
    </row>
    <row r="126" spans="3:3" x14ac:dyDescent="0.35">
      <c r="C126" s="72" t="s">
        <v>162</v>
      </c>
    </row>
    <row r="127" spans="3:3" x14ac:dyDescent="0.35">
      <c r="C127" s="73" t="s">
        <v>163</v>
      </c>
    </row>
    <row r="128" spans="3:3" x14ac:dyDescent="0.35">
      <c r="C128" s="72" t="s">
        <v>164</v>
      </c>
    </row>
    <row r="131" spans="3:3" x14ac:dyDescent="0.35">
      <c r="C131" s="72" t="s">
        <v>146</v>
      </c>
    </row>
    <row r="132" spans="3:3" x14ac:dyDescent="0.35">
      <c r="C132" s="73" t="s">
        <v>165</v>
      </c>
    </row>
    <row r="133" spans="3:3" x14ac:dyDescent="0.35">
      <c r="C133" s="73" t="s">
        <v>166</v>
      </c>
    </row>
    <row r="134" spans="3:3" x14ac:dyDescent="0.35">
      <c r="C134" s="73" t="s">
        <v>167</v>
      </c>
    </row>
    <row r="135" spans="3:3" x14ac:dyDescent="0.35">
      <c r="C135" s="73" t="s">
        <v>168</v>
      </c>
    </row>
    <row r="136" spans="3:3" x14ac:dyDescent="0.35">
      <c r="C136" s="72" t="s">
        <v>169</v>
      </c>
    </row>
    <row r="137" spans="3:3" x14ac:dyDescent="0.35">
      <c r="C137" s="73"/>
    </row>
    <row r="138" spans="3:3" x14ac:dyDescent="0.35">
      <c r="C138" s="72" t="s">
        <v>147</v>
      </c>
    </row>
    <row r="139" spans="3:3" x14ac:dyDescent="0.35">
      <c r="C139" s="73" t="s">
        <v>170</v>
      </c>
    </row>
    <row r="140" spans="3:3" x14ac:dyDescent="0.35">
      <c r="C140" s="73" t="s">
        <v>171</v>
      </c>
    </row>
    <row r="141" spans="3:3" x14ac:dyDescent="0.35">
      <c r="C141" s="73" t="s">
        <v>172</v>
      </c>
    </row>
    <row r="142" spans="3:3" x14ac:dyDescent="0.35">
      <c r="C142" s="73" t="s">
        <v>173</v>
      </c>
    </row>
    <row r="143" spans="3:3" x14ac:dyDescent="0.35">
      <c r="C143" s="72" t="s">
        <v>174</v>
      </c>
    </row>
    <row r="144" spans="3:3" x14ac:dyDescent="0.35">
      <c r="C144" s="72"/>
    </row>
    <row r="145" spans="3:3" x14ac:dyDescent="0.35">
      <c r="C145" s="72" t="s">
        <v>175</v>
      </c>
    </row>
    <row r="146" spans="3:3" x14ac:dyDescent="0.35">
      <c r="C146" s="73" t="s">
        <v>176</v>
      </c>
    </row>
    <row r="147" spans="3:3" x14ac:dyDescent="0.35">
      <c r="C147" s="72" t="s">
        <v>174</v>
      </c>
    </row>
    <row r="148" spans="3:3" x14ac:dyDescent="0.35">
      <c r="C148" s="72"/>
    </row>
    <row r="149" spans="3:3" x14ac:dyDescent="0.35">
      <c r="C149" s="72" t="s">
        <v>177</v>
      </c>
    </row>
    <row r="150" spans="3:3" x14ac:dyDescent="0.35">
      <c r="C150" s="73" t="s">
        <v>178</v>
      </c>
    </row>
    <row r="151" spans="3:3" x14ac:dyDescent="0.35">
      <c r="C151" s="73" t="s">
        <v>179</v>
      </c>
    </row>
    <row r="152" spans="3:3" x14ac:dyDescent="0.35">
      <c r="C152" s="73" t="s">
        <v>180</v>
      </c>
    </row>
    <row r="153" spans="3:3" x14ac:dyDescent="0.35">
      <c r="C153" s="73" t="s">
        <v>181</v>
      </c>
    </row>
    <row r="154" spans="3:3" x14ac:dyDescent="0.35">
      <c r="C154" s="73" t="s">
        <v>182</v>
      </c>
    </row>
    <row r="155" spans="3:3" x14ac:dyDescent="0.35">
      <c r="C155" s="72" t="s">
        <v>174</v>
      </c>
    </row>
    <row r="156" spans="3:3" x14ac:dyDescent="0.35">
      <c r="C156" s="72"/>
    </row>
    <row r="157" spans="3:3" x14ac:dyDescent="0.35">
      <c r="C157" s="72" t="s">
        <v>183</v>
      </c>
    </row>
    <row r="158" spans="3:3" x14ac:dyDescent="0.35">
      <c r="C158" s="73" t="s">
        <v>184</v>
      </c>
    </row>
    <row r="159" spans="3:3" x14ac:dyDescent="0.35">
      <c r="C159" s="73" t="s">
        <v>185</v>
      </c>
    </row>
    <row r="160" spans="3:3" x14ac:dyDescent="0.35">
      <c r="C160" s="73" t="s">
        <v>186</v>
      </c>
    </row>
    <row r="161" spans="3:3" x14ac:dyDescent="0.35">
      <c r="C161" s="73" t="s">
        <v>187</v>
      </c>
    </row>
    <row r="162" spans="3:3" x14ac:dyDescent="0.35">
      <c r="C162" s="73" t="s">
        <v>188</v>
      </c>
    </row>
    <row r="163" spans="3:3" x14ac:dyDescent="0.35">
      <c r="C163" s="73" t="s">
        <v>189</v>
      </c>
    </row>
    <row r="164" spans="3:3" x14ac:dyDescent="0.35">
      <c r="C164" s="73" t="s">
        <v>190</v>
      </c>
    </row>
    <row r="165" spans="3:3" x14ac:dyDescent="0.35">
      <c r="C165" s="73" t="s">
        <v>191</v>
      </c>
    </row>
    <row r="166" spans="3:3" x14ac:dyDescent="0.35">
      <c r="C166" s="73" t="s">
        <v>192</v>
      </c>
    </row>
    <row r="167" spans="3:3" x14ac:dyDescent="0.35">
      <c r="C167" s="73" t="s">
        <v>193</v>
      </c>
    </row>
    <row r="168" spans="3:3" x14ac:dyDescent="0.35">
      <c r="C168" s="73" t="s">
        <v>194</v>
      </c>
    </row>
    <row r="169" spans="3:3" x14ac:dyDescent="0.35">
      <c r="C169" s="73" t="s">
        <v>195</v>
      </c>
    </row>
    <row r="170" spans="3:3" x14ac:dyDescent="0.35">
      <c r="C170" s="73" t="s">
        <v>196</v>
      </c>
    </row>
    <row r="171" spans="3:3" x14ac:dyDescent="0.35">
      <c r="C171" s="73" t="s">
        <v>197</v>
      </c>
    </row>
    <row r="172" spans="3:3" x14ac:dyDescent="0.35">
      <c r="C172" s="73" t="s">
        <v>198</v>
      </c>
    </row>
    <row r="173" spans="3:3" x14ac:dyDescent="0.35">
      <c r="C173" s="73" t="s">
        <v>199</v>
      </c>
    </row>
    <row r="174" spans="3:3" x14ac:dyDescent="0.35">
      <c r="C174" s="73" t="s">
        <v>200</v>
      </c>
    </row>
    <row r="175" spans="3:3" x14ac:dyDescent="0.35">
      <c r="C175" s="73" t="s">
        <v>201</v>
      </c>
    </row>
    <row r="176" spans="3:3" x14ac:dyDescent="0.35">
      <c r="C176" s="73" t="s">
        <v>202</v>
      </c>
    </row>
    <row r="177" spans="3:3" x14ac:dyDescent="0.35">
      <c r="C177" s="72" t="s">
        <v>174</v>
      </c>
    </row>
    <row r="178" spans="3:3" x14ac:dyDescent="0.35">
      <c r="C178" s="73"/>
    </row>
    <row r="179" spans="3:3" x14ac:dyDescent="0.35">
      <c r="C179" s="72" t="s">
        <v>203</v>
      </c>
    </row>
    <row r="180" spans="3:3" x14ac:dyDescent="0.35">
      <c r="C180" s="73" t="s">
        <v>204</v>
      </c>
    </row>
    <row r="181" spans="3:3" x14ac:dyDescent="0.35">
      <c r="C181" s="73" t="s">
        <v>205</v>
      </c>
    </row>
    <row r="182" spans="3:3" x14ac:dyDescent="0.35">
      <c r="C182" s="73" t="s">
        <v>206</v>
      </c>
    </row>
    <row r="183" spans="3:3" x14ac:dyDescent="0.35">
      <c r="C183" s="73" t="s">
        <v>207</v>
      </c>
    </row>
    <row r="184" spans="3:3" x14ac:dyDescent="0.35">
      <c r="C184" s="72" t="s">
        <v>174</v>
      </c>
    </row>
    <row r="185" spans="3:3" x14ac:dyDescent="0.35">
      <c r="C185" s="73"/>
    </row>
    <row r="186" spans="3:3" x14ac:dyDescent="0.35">
      <c r="C186" s="72" t="s">
        <v>156</v>
      </c>
    </row>
    <row r="187" spans="3:3" x14ac:dyDescent="0.35">
      <c r="C187" s="73" t="s">
        <v>208</v>
      </c>
    </row>
    <row r="188" spans="3:3" x14ac:dyDescent="0.35">
      <c r="C188" s="73" t="s">
        <v>209</v>
      </c>
    </row>
    <row r="189" spans="3:3" x14ac:dyDescent="0.35">
      <c r="C189" s="73" t="s">
        <v>210</v>
      </c>
    </row>
    <row r="190" spans="3:3" x14ac:dyDescent="0.35">
      <c r="C190" s="73" t="s">
        <v>211</v>
      </c>
    </row>
    <row r="191" spans="3:3" x14ac:dyDescent="0.35">
      <c r="C191" s="74" t="s">
        <v>212</v>
      </c>
    </row>
    <row r="192" spans="3:3" x14ac:dyDescent="0.35">
      <c r="C192" s="73" t="s">
        <v>213</v>
      </c>
    </row>
    <row r="193" spans="3:3" x14ac:dyDescent="0.35">
      <c r="C193" s="73" t="s">
        <v>214</v>
      </c>
    </row>
    <row r="194" spans="3:3" x14ac:dyDescent="0.35">
      <c r="C194" s="73" t="s">
        <v>215</v>
      </c>
    </row>
    <row r="195" spans="3:3" x14ac:dyDescent="0.35">
      <c r="C195" s="73" t="s">
        <v>216</v>
      </c>
    </row>
    <row r="196" spans="3:3" x14ac:dyDescent="0.35">
      <c r="C196" s="73" t="s">
        <v>217</v>
      </c>
    </row>
    <row r="197" spans="3:3" x14ac:dyDescent="0.35">
      <c r="C197" s="73" t="s">
        <v>218</v>
      </c>
    </row>
    <row r="198" spans="3:3" x14ac:dyDescent="0.35">
      <c r="C198" s="73" t="s">
        <v>219</v>
      </c>
    </row>
    <row r="199" spans="3:3" x14ac:dyDescent="0.35">
      <c r="C199" s="73" t="s">
        <v>220</v>
      </c>
    </row>
    <row r="200" spans="3:3" x14ac:dyDescent="0.35">
      <c r="C200" s="73" t="s">
        <v>221</v>
      </c>
    </row>
    <row r="201" spans="3:3" x14ac:dyDescent="0.35">
      <c r="C201" s="73" t="s">
        <v>222</v>
      </c>
    </row>
    <row r="202" spans="3:3" x14ac:dyDescent="0.35">
      <c r="C202" s="73" t="s">
        <v>223</v>
      </c>
    </row>
    <row r="203" spans="3:3" x14ac:dyDescent="0.35">
      <c r="C203" s="73" t="s">
        <v>224</v>
      </c>
    </row>
    <row r="204" spans="3:3" x14ac:dyDescent="0.35">
      <c r="C204" s="73" t="s">
        <v>225</v>
      </c>
    </row>
    <row r="205" spans="3:3" x14ac:dyDescent="0.35">
      <c r="C205" s="73" t="s">
        <v>226</v>
      </c>
    </row>
    <row r="206" spans="3:3" x14ac:dyDescent="0.35">
      <c r="C206" s="73" t="s">
        <v>227</v>
      </c>
    </row>
    <row r="207" spans="3:3" x14ac:dyDescent="0.35">
      <c r="C207" s="73" t="s">
        <v>228</v>
      </c>
    </row>
    <row r="208" spans="3:3" x14ac:dyDescent="0.35">
      <c r="C208" s="73" t="s">
        <v>229</v>
      </c>
    </row>
    <row r="209" spans="3:3" x14ac:dyDescent="0.35">
      <c r="C209" s="73" t="s">
        <v>230</v>
      </c>
    </row>
    <row r="210" spans="3:3" x14ac:dyDescent="0.35">
      <c r="C210" s="74" t="s">
        <v>231</v>
      </c>
    </row>
    <row r="211" spans="3:3" x14ac:dyDescent="0.35">
      <c r="C211" s="73" t="s">
        <v>232</v>
      </c>
    </row>
    <row r="212" spans="3:3" x14ac:dyDescent="0.35">
      <c r="C212" s="73" t="s">
        <v>233</v>
      </c>
    </row>
    <row r="213" spans="3:3" x14ac:dyDescent="0.35">
      <c r="C213" s="73" t="s">
        <v>234</v>
      </c>
    </row>
    <row r="214" spans="3:3" x14ac:dyDescent="0.35">
      <c r="C214" s="73" t="s">
        <v>235</v>
      </c>
    </row>
    <row r="215" spans="3:3" x14ac:dyDescent="0.35">
      <c r="C215" s="73" t="s">
        <v>236</v>
      </c>
    </row>
    <row r="216" spans="3:3" x14ac:dyDescent="0.35">
      <c r="C216" s="73" t="s">
        <v>237</v>
      </c>
    </row>
    <row r="217" spans="3:3" x14ac:dyDescent="0.35">
      <c r="C217" s="72" t="s">
        <v>174</v>
      </c>
    </row>
    <row r="218" spans="3:3" x14ac:dyDescent="0.35">
      <c r="C218" s="73"/>
    </row>
    <row r="219" spans="3:3" x14ac:dyDescent="0.35">
      <c r="C219" s="72" t="s">
        <v>238</v>
      </c>
    </row>
    <row r="220" spans="3:3" x14ac:dyDescent="0.35">
      <c r="C220" s="73" t="s">
        <v>239</v>
      </c>
    </row>
    <row r="221" spans="3:3" x14ac:dyDescent="0.35">
      <c r="C221" s="73" t="s">
        <v>240</v>
      </c>
    </row>
    <row r="222" spans="3:3" x14ac:dyDescent="0.35">
      <c r="C222" s="73" t="s">
        <v>241</v>
      </c>
    </row>
    <row r="223" spans="3:3" x14ac:dyDescent="0.35">
      <c r="C223" s="73" t="s">
        <v>242</v>
      </c>
    </row>
    <row r="224" spans="3:3" x14ac:dyDescent="0.35">
      <c r="C224" s="73" t="s">
        <v>243</v>
      </c>
    </row>
    <row r="225" spans="3:3" x14ac:dyDescent="0.35">
      <c r="C225" s="73" t="s">
        <v>244</v>
      </c>
    </row>
    <row r="226" spans="3:3" x14ac:dyDescent="0.35">
      <c r="C226" s="73" t="s">
        <v>245</v>
      </c>
    </row>
    <row r="227" spans="3:3" x14ac:dyDescent="0.35">
      <c r="C227" s="72" t="s">
        <v>174</v>
      </c>
    </row>
    <row r="228" spans="3:3" x14ac:dyDescent="0.35">
      <c r="C228" s="73"/>
    </row>
    <row r="229" spans="3:3" x14ac:dyDescent="0.35">
      <c r="C229" s="73" t="s">
        <v>246</v>
      </c>
    </row>
    <row r="230" spans="3:3" x14ac:dyDescent="0.35">
      <c r="C230" s="72" t="s">
        <v>174</v>
      </c>
    </row>
    <row r="231" spans="3:3" ht="15.5" x14ac:dyDescent="0.35">
      <c r="C231" s="612"/>
    </row>
    <row r="232" spans="3:3" x14ac:dyDescent="0.35">
      <c r="C232" s="72" t="s">
        <v>154</v>
      </c>
    </row>
    <row r="233" spans="3:3" ht="15.5" x14ac:dyDescent="0.35">
      <c r="C233" s="612" t="s">
        <v>247</v>
      </c>
    </row>
    <row r="234" spans="3:3" x14ac:dyDescent="0.35">
      <c r="C234" s="75" t="s">
        <v>248</v>
      </c>
    </row>
    <row r="235" spans="3:3" ht="15.5" x14ac:dyDescent="0.35">
      <c r="C235" s="612" t="s">
        <v>249</v>
      </c>
    </row>
    <row r="236" spans="3:3" ht="15.5" x14ac:dyDescent="0.35">
      <c r="C236" s="612" t="s">
        <v>250</v>
      </c>
    </row>
    <row r="237" spans="3:3" x14ac:dyDescent="0.35">
      <c r="C237" s="73" t="s">
        <v>251</v>
      </c>
    </row>
    <row r="238" spans="3:3" x14ac:dyDescent="0.35">
      <c r="C238" s="73" t="s">
        <v>252</v>
      </c>
    </row>
    <row r="239" spans="3:3" x14ac:dyDescent="0.35">
      <c r="C239" s="73" t="s">
        <v>253</v>
      </c>
    </row>
    <row r="240" spans="3:3" x14ac:dyDescent="0.35">
      <c r="C240" s="73" t="s">
        <v>254</v>
      </c>
    </row>
    <row r="241" spans="3:3" x14ac:dyDescent="0.35">
      <c r="C241" s="73" t="s">
        <v>255</v>
      </c>
    </row>
    <row r="242" spans="3:3" x14ac:dyDescent="0.35">
      <c r="C242" s="73" t="s">
        <v>256</v>
      </c>
    </row>
    <row r="243" spans="3:3" x14ac:dyDescent="0.35">
      <c r="C243" s="73" t="s">
        <v>257</v>
      </c>
    </row>
    <row r="244" spans="3:3" x14ac:dyDescent="0.35">
      <c r="C244" s="73" t="s">
        <v>258</v>
      </c>
    </row>
    <row r="245" spans="3:3" x14ac:dyDescent="0.35">
      <c r="C245" s="73" t="s">
        <v>259</v>
      </c>
    </row>
    <row r="246" spans="3:3" x14ac:dyDescent="0.35">
      <c r="C246" s="73" t="s">
        <v>260</v>
      </c>
    </row>
    <row r="247" spans="3:3" x14ac:dyDescent="0.35">
      <c r="C247" s="73" t="s">
        <v>261</v>
      </c>
    </row>
    <row r="248" spans="3:3" x14ac:dyDescent="0.35">
      <c r="C248" s="73" t="s">
        <v>262</v>
      </c>
    </row>
    <row r="249" spans="3:3" x14ac:dyDescent="0.35">
      <c r="C249" s="73" t="s">
        <v>263</v>
      </c>
    </row>
    <row r="250" spans="3:3" x14ac:dyDescent="0.35">
      <c r="C250" s="73" t="s">
        <v>264</v>
      </c>
    </row>
    <row r="251" spans="3:3" x14ac:dyDescent="0.35">
      <c r="C251" s="72" t="s">
        <v>174</v>
      </c>
    </row>
  </sheetData>
  <mergeCells count="52">
    <mergeCell ref="AU44:AU46"/>
    <mergeCell ref="AO44:AO46"/>
    <mergeCell ref="AP44:AP46"/>
    <mergeCell ref="AQ44:AQ46"/>
    <mergeCell ref="AR44:AR46"/>
    <mergeCell ref="AS44:AS46"/>
    <mergeCell ref="AT44:AT46"/>
    <mergeCell ref="AN44:AN46"/>
    <mergeCell ref="AB44:AB46"/>
    <mergeCell ref="AC44:AC46"/>
    <mergeCell ref="AD44:AD46"/>
    <mergeCell ref="AE44:AE46"/>
    <mergeCell ref="AF44:AF46"/>
    <mergeCell ref="AG44:AG46"/>
    <mergeCell ref="AH44:AH46"/>
    <mergeCell ref="AJ44:AJ46"/>
    <mergeCell ref="AK44:AK46"/>
    <mergeCell ref="AL44:AL46"/>
    <mergeCell ref="AM44:AM46"/>
    <mergeCell ref="AA44:AA46"/>
    <mergeCell ref="O44:O46"/>
    <mergeCell ref="P44:P46"/>
    <mergeCell ref="Q44:Q46"/>
    <mergeCell ref="R44:R46"/>
    <mergeCell ref="S44:S46"/>
    <mergeCell ref="T44:T46"/>
    <mergeCell ref="U44:U46"/>
    <mergeCell ref="W44:W46"/>
    <mergeCell ref="X44:X46"/>
    <mergeCell ref="Y44:Y46"/>
    <mergeCell ref="Z44:Z46"/>
    <mergeCell ref="J44:J46"/>
    <mergeCell ref="K44:K46"/>
    <mergeCell ref="L44:L46"/>
    <mergeCell ref="M44:M46"/>
    <mergeCell ref="N44:N46"/>
    <mergeCell ref="H33:H37"/>
    <mergeCell ref="R16:R19"/>
    <mergeCell ref="S16:S19"/>
    <mergeCell ref="T16:T19"/>
    <mergeCell ref="U16:U19"/>
    <mergeCell ref="H16:H19"/>
    <mergeCell ref="I16:I19"/>
    <mergeCell ref="J16:J19"/>
    <mergeCell ref="K16:K19"/>
    <mergeCell ref="AJ16:AJ19"/>
    <mergeCell ref="L16:L19"/>
    <mergeCell ref="M16:M19"/>
    <mergeCell ref="N16:N19"/>
    <mergeCell ref="O16:O19"/>
    <mergeCell ref="P16:P19"/>
    <mergeCell ref="Q16:Q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8"/>
  <sheetViews>
    <sheetView showGridLines="0" zoomScale="80" zoomScaleNormal="80" workbookViewId="0">
      <pane xSplit="2" ySplit="5" topLeftCell="E52" activePane="bottomRight" state="frozen"/>
      <selection pane="topRight" activeCell="B25" sqref="B25"/>
      <selection pane="bottomLeft" activeCell="B25" sqref="B25"/>
      <selection pane="bottomRight" activeCell="L66" sqref="L66"/>
    </sheetView>
  </sheetViews>
  <sheetFormatPr defaultColWidth="11.453125" defaultRowHeight="14.5" x14ac:dyDescent="0.35"/>
  <cols>
    <col min="1" max="1" width="2.54296875" customWidth="1"/>
    <col min="2" max="2" width="43.54296875" customWidth="1"/>
    <col min="3" max="6" width="11.81640625" customWidth="1"/>
    <col min="7" max="7" width="14" bestFit="1" customWidth="1"/>
    <col min="8" max="15" width="11.81640625" customWidth="1"/>
  </cols>
  <sheetData>
    <row r="1" spans="1:16" x14ac:dyDescent="0.35">
      <c r="A1" s="100" t="s">
        <v>265</v>
      </c>
    </row>
    <row r="2" spans="1:16" x14ac:dyDescent="0.35">
      <c r="A2" s="100" t="s">
        <v>266</v>
      </c>
    </row>
    <row r="3" spans="1:16" x14ac:dyDescent="0.35">
      <c r="A3" s="100"/>
      <c r="D3" s="98"/>
      <c r="E3" s="68"/>
    </row>
    <row r="4" spans="1:16" x14ac:dyDescent="0.35">
      <c r="A4" s="100"/>
      <c r="B4" s="100" t="s">
        <v>267</v>
      </c>
      <c r="C4" s="100"/>
      <c r="D4" s="100"/>
      <c r="E4" s="100"/>
      <c r="F4" s="100"/>
      <c r="G4" s="100"/>
      <c r="H4" s="100"/>
      <c r="J4" s="392"/>
      <c r="K4" s="100"/>
      <c r="L4" s="100"/>
      <c r="M4" s="100"/>
      <c r="N4" s="100"/>
      <c r="O4" s="100"/>
      <c r="P4" s="100"/>
    </row>
    <row r="5" spans="1:16" s="9" customFormat="1" x14ac:dyDescent="0.35">
      <c r="A5" s="187"/>
      <c r="B5" s="187" t="s">
        <v>268</v>
      </c>
      <c r="C5" s="187" t="s">
        <v>174</v>
      </c>
      <c r="D5" s="180">
        <v>46023</v>
      </c>
      <c r="E5" s="180">
        <v>46054</v>
      </c>
      <c r="F5" s="180">
        <v>46082</v>
      </c>
      <c r="G5" s="180">
        <v>46113</v>
      </c>
      <c r="H5" s="180">
        <v>46143</v>
      </c>
      <c r="I5" s="180">
        <v>46174</v>
      </c>
      <c r="J5" s="180">
        <v>46204</v>
      </c>
      <c r="K5" s="180">
        <v>46235</v>
      </c>
      <c r="L5" s="180">
        <v>46266</v>
      </c>
      <c r="M5" s="180">
        <v>46296</v>
      </c>
      <c r="N5" s="180">
        <v>46327</v>
      </c>
      <c r="O5" s="180">
        <v>46357</v>
      </c>
    </row>
    <row r="6" spans="1:16" x14ac:dyDescent="0.35">
      <c r="A6" s="151">
        <v>1</v>
      </c>
      <c r="B6" s="151" t="s">
        <v>269</v>
      </c>
      <c r="C6" s="105">
        <f>SUM(D6:O6)</f>
        <v>2490257.1799999992</v>
      </c>
      <c r="D6" s="105">
        <f>'Base Revenue Details'!J59</f>
        <v>225414.12</v>
      </c>
      <c r="E6" s="105">
        <f>'Base Revenue Details'!L59</f>
        <v>238765.5</v>
      </c>
      <c r="F6" s="105">
        <f>'Base Revenue Details'!N59</f>
        <v>239597.86</v>
      </c>
      <c r="G6" s="105">
        <f>'Base Revenue Details'!P59</f>
        <v>203603.86</v>
      </c>
      <c r="H6" s="105">
        <f>'Base Revenue Details'!S59</f>
        <v>199015.5</v>
      </c>
      <c r="I6" s="105">
        <f>'Base Revenue Details'!U59</f>
        <v>198603.86</v>
      </c>
      <c r="J6" s="105">
        <f>'Base Revenue Details'!W59</f>
        <v>198603.86</v>
      </c>
      <c r="K6" s="105">
        <f>'Base Revenue Details'!Y59</f>
        <v>196937.7</v>
      </c>
      <c r="L6" s="105">
        <f>'Base Revenue Details'!AA59</f>
        <v>196937.7</v>
      </c>
      <c r="M6" s="105">
        <f>'Base Revenue Details'!AC59</f>
        <v>198603.86</v>
      </c>
      <c r="N6" s="105">
        <f>'Base Revenue Details'!AE59</f>
        <v>195569.5</v>
      </c>
      <c r="O6" s="105">
        <f>'Base Revenue Details'!AG59</f>
        <v>198603.86</v>
      </c>
    </row>
    <row r="7" spans="1:16" x14ac:dyDescent="0.35">
      <c r="A7" s="14"/>
      <c r="B7" s="14" t="s">
        <v>130</v>
      </c>
      <c r="C7" s="14"/>
      <c r="D7" s="105">
        <f>D6/'Base Revenue'!X61</f>
        <v>1751.4515242690927</v>
      </c>
      <c r="E7" s="105">
        <f>E6/'Base Revenue'!Y61</f>
        <v>1806.0750315185696</v>
      </c>
      <c r="F7" s="105">
        <f>F6/'Base Revenue'!Z61</f>
        <v>1960.2002453844329</v>
      </c>
      <c r="G7" s="105">
        <f>G6/'Base Revenue'!AA61</f>
        <v>1665.7257971052734</v>
      </c>
      <c r="H7" s="105">
        <f>H6/'Base Revenue'!AB61</f>
        <v>1628.1874635078361</v>
      </c>
      <c r="I7" s="105">
        <f>I6/'Base Revenue'!AC61</f>
        <v>1624.8197505031787</v>
      </c>
      <c r="J7" s="105">
        <f>J6/'Base Revenue'!AD61</f>
        <v>1624.8197505031787</v>
      </c>
      <c r="K7" s="105">
        <f>K6/'Base Revenue'!AE61</f>
        <v>1611.1885467818697</v>
      </c>
      <c r="L7" s="105">
        <f>L6/'Base Revenue'!AF61</f>
        <v>1611.1885467818697</v>
      </c>
      <c r="M7" s="105">
        <f>M6/'Base Revenue'!AG61</f>
        <v>1624.8197505031787</v>
      </c>
      <c r="N7" s="105">
        <f>N6/'Base Revenue'!AH61</f>
        <v>1599.9950161896725</v>
      </c>
      <c r="O7" s="105">
        <f>O6/'Base Revenue'!AI61</f>
        <v>1624.8197505031787</v>
      </c>
    </row>
    <row r="8" spans="1:16" x14ac:dyDescent="0.35">
      <c r="A8" s="14"/>
      <c r="B8" s="14" t="s">
        <v>131</v>
      </c>
      <c r="C8" s="14"/>
      <c r="D8" s="616">
        <f>'Base Revenue'!X61</f>
        <v>128.70131823606636</v>
      </c>
      <c r="E8" s="616">
        <f>'Base Revenue'!Y61</f>
        <v>132.20131823606636</v>
      </c>
      <c r="F8" s="616">
        <f>'Base Revenue'!Z61</f>
        <v>122.23131823606636</v>
      </c>
      <c r="G8" s="616">
        <f>'Base Revenue'!AA61</f>
        <v>122.23131823606636</v>
      </c>
      <c r="H8" s="616">
        <f>'Base Revenue'!AB61</f>
        <v>122.23131823606636</v>
      </c>
      <c r="I8" s="616">
        <f>'Base Revenue'!AC61</f>
        <v>122.23131823606636</v>
      </c>
      <c r="J8" s="616">
        <f>'Base Revenue'!AD61</f>
        <v>122.23131823606636</v>
      </c>
      <c r="K8" s="616">
        <f>'Base Revenue'!AE61</f>
        <v>122.23131823606636</v>
      </c>
      <c r="L8" s="616">
        <f>'Base Revenue'!AF61</f>
        <v>122.23131823606636</v>
      </c>
      <c r="M8" s="616">
        <f>'Base Revenue'!AG61</f>
        <v>122.23131823606636</v>
      </c>
      <c r="N8" s="616">
        <f>'Base Revenue'!AH61</f>
        <v>122.23131823606636</v>
      </c>
      <c r="O8" s="616">
        <f>'Base Revenue'!AI61</f>
        <v>122.23131823606636</v>
      </c>
      <c r="P8" s="68"/>
    </row>
    <row r="9" spans="1:16" x14ac:dyDescent="0.35">
      <c r="A9" s="151">
        <v>2</v>
      </c>
      <c r="B9" s="151" t="s">
        <v>132</v>
      </c>
      <c r="C9" s="105">
        <f>SUM(D9:O9)</f>
        <v>319500</v>
      </c>
      <c r="D9" s="105"/>
      <c r="E9" s="105"/>
      <c r="F9" s="105"/>
      <c r="G9" s="105"/>
      <c r="H9" s="105">
        <f>H55</f>
        <v>13800</v>
      </c>
      <c r="I9" s="105">
        <f t="shared" ref="I9:O9" si="0">I55</f>
        <v>16800</v>
      </c>
      <c r="J9" s="105">
        <f t="shared" si="0"/>
        <v>17150</v>
      </c>
      <c r="K9" s="105">
        <f t="shared" si="0"/>
        <v>49550</v>
      </c>
      <c r="L9" s="105">
        <f t="shared" si="0"/>
        <v>53550</v>
      </c>
      <c r="M9" s="105">
        <f t="shared" si="0"/>
        <v>53550</v>
      </c>
      <c r="N9" s="105">
        <f t="shared" si="0"/>
        <v>57550</v>
      </c>
      <c r="O9" s="105">
        <f t="shared" si="0"/>
        <v>57550</v>
      </c>
    </row>
    <row r="10" spans="1:16" x14ac:dyDescent="0.35">
      <c r="A10" s="14"/>
      <c r="B10" s="14" t="s">
        <v>130</v>
      </c>
      <c r="C10" s="14"/>
      <c r="D10" s="105">
        <v>1400</v>
      </c>
      <c r="E10" s="105">
        <v>1400</v>
      </c>
      <c r="F10" s="105">
        <v>1400</v>
      </c>
      <c r="G10" s="105">
        <v>1400</v>
      </c>
      <c r="H10" s="105">
        <v>1400</v>
      </c>
      <c r="I10" s="105">
        <v>1400</v>
      </c>
      <c r="J10" s="105">
        <v>1400</v>
      </c>
      <c r="K10" s="105">
        <v>1400</v>
      </c>
      <c r="L10" s="105">
        <v>1400</v>
      </c>
      <c r="M10" s="105">
        <v>1400</v>
      </c>
      <c r="N10" s="105">
        <v>1400</v>
      </c>
      <c r="O10" s="105">
        <v>1400</v>
      </c>
    </row>
    <row r="11" spans="1:16" x14ac:dyDescent="0.35">
      <c r="A11" s="14"/>
      <c r="B11" s="14" t="s">
        <v>270</v>
      </c>
      <c r="C11" s="14"/>
      <c r="D11" s="321">
        <f>IFERROR(D9/D10,0)</f>
        <v>0</v>
      </c>
      <c r="E11" s="321">
        <f t="shared" ref="E11:G11" si="1">IFERROR(E9/E10,0)</f>
        <v>0</v>
      </c>
      <c r="F11" s="321">
        <f t="shared" si="1"/>
        <v>0</v>
      </c>
      <c r="G11" s="321">
        <f t="shared" si="1"/>
        <v>0</v>
      </c>
      <c r="H11" s="321">
        <f>H66</f>
        <v>7</v>
      </c>
      <c r="I11" s="321">
        <f t="shared" ref="I11:O11" si="2">I66</f>
        <v>7</v>
      </c>
      <c r="J11" s="321">
        <f t="shared" si="2"/>
        <v>12</v>
      </c>
      <c r="K11" s="321">
        <f t="shared" si="2"/>
        <v>40</v>
      </c>
      <c r="L11" s="321">
        <f t="shared" si="2"/>
        <v>45</v>
      </c>
      <c r="M11" s="321">
        <f t="shared" si="2"/>
        <v>50</v>
      </c>
      <c r="N11" s="321">
        <f t="shared" si="2"/>
        <v>55</v>
      </c>
      <c r="O11" s="321">
        <f t="shared" si="2"/>
        <v>60</v>
      </c>
      <c r="P11" s="68"/>
    </row>
    <row r="12" spans="1:16" x14ac:dyDescent="0.35">
      <c r="A12" s="14"/>
      <c r="B12" s="14"/>
      <c r="C12" s="14"/>
      <c r="D12" s="321"/>
      <c r="E12" s="321"/>
      <c r="F12" s="321"/>
      <c r="G12" s="321"/>
      <c r="H12" s="321"/>
      <c r="I12" s="321"/>
      <c r="J12" s="321"/>
      <c r="K12" s="321"/>
      <c r="L12" s="321"/>
      <c r="M12" s="321"/>
      <c r="N12" s="321"/>
      <c r="O12" s="321"/>
      <c r="P12" s="68"/>
    </row>
    <row r="13" spans="1:16" x14ac:dyDescent="0.35">
      <c r="A13" s="151"/>
      <c r="B13" s="151" t="s">
        <v>271</v>
      </c>
      <c r="C13" s="105"/>
      <c r="D13" s="152">
        <f>D9+D6</f>
        <v>225414.12</v>
      </c>
      <c r="E13" s="152">
        <f t="shared" ref="E13:O13" si="3">E9+E6</f>
        <v>238765.5</v>
      </c>
      <c r="F13" s="152">
        <f t="shared" si="3"/>
        <v>239597.86</v>
      </c>
      <c r="G13" s="152">
        <f t="shared" si="3"/>
        <v>203603.86</v>
      </c>
      <c r="H13" s="152">
        <f t="shared" si="3"/>
        <v>212815.5</v>
      </c>
      <c r="I13" s="152">
        <f t="shared" si="3"/>
        <v>215403.86</v>
      </c>
      <c r="J13" s="152">
        <f t="shared" si="3"/>
        <v>215753.86</v>
      </c>
      <c r="K13" s="152">
        <f t="shared" si="3"/>
        <v>246487.7</v>
      </c>
      <c r="L13" s="152">
        <f t="shared" si="3"/>
        <v>250487.7</v>
      </c>
      <c r="M13" s="152">
        <f t="shared" si="3"/>
        <v>252153.86</v>
      </c>
      <c r="N13" s="152">
        <f t="shared" si="3"/>
        <v>253119.5</v>
      </c>
      <c r="O13" s="152">
        <f t="shared" si="3"/>
        <v>256153.86</v>
      </c>
    </row>
    <row r="14" spans="1:16" x14ac:dyDescent="0.35">
      <c r="A14" s="151"/>
      <c r="B14" s="151" t="s">
        <v>135</v>
      </c>
      <c r="C14" s="14"/>
      <c r="D14" s="322">
        <v>0.85</v>
      </c>
      <c r="E14" s="322">
        <v>0.85</v>
      </c>
      <c r="F14" s="322">
        <v>0.85</v>
      </c>
      <c r="G14" s="322">
        <v>0.85</v>
      </c>
      <c r="H14" s="322">
        <v>0.85</v>
      </c>
      <c r="I14" s="322">
        <v>0.85</v>
      </c>
      <c r="J14" s="322">
        <v>0.85</v>
      </c>
      <c r="K14" s="322">
        <v>0.85</v>
      </c>
      <c r="L14" s="322">
        <v>0.85</v>
      </c>
      <c r="M14" s="322">
        <v>0.85</v>
      </c>
      <c r="N14" s="322">
        <v>0.85</v>
      </c>
      <c r="O14" s="322">
        <v>0.85</v>
      </c>
    </row>
    <row r="15" spans="1:16" x14ac:dyDescent="0.35">
      <c r="B15" s="151" t="s">
        <v>272</v>
      </c>
      <c r="C15" s="14"/>
      <c r="D15" s="152">
        <f>D8+D11</f>
        <v>128.70131823606636</v>
      </c>
      <c r="E15" s="152">
        <f t="shared" ref="E15:O15" si="4">E8+E11</f>
        <v>132.20131823606636</v>
      </c>
      <c r="F15" s="152">
        <f t="shared" si="4"/>
        <v>122.23131823606636</v>
      </c>
      <c r="G15" s="152">
        <f t="shared" si="4"/>
        <v>122.23131823606636</v>
      </c>
      <c r="H15" s="152">
        <f t="shared" si="4"/>
        <v>129.23131823606636</v>
      </c>
      <c r="I15" s="152">
        <f t="shared" si="4"/>
        <v>129.23131823606636</v>
      </c>
      <c r="J15" s="152">
        <f t="shared" si="4"/>
        <v>134.23131823606636</v>
      </c>
      <c r="K15" s="152">
        <f t="shared" si="4"/>
        <v>162.23131823606636</v>
      </c>
      <c r="L15" s="152">
        <f t="shared" si="4"/>
        <v>167.23131823606636</v>
      </c>
      <c r="M15" s="152">
        <f t="shared" si="4"/>
        <v>172.23131823606636</v>
      </c>
      <c r="N15" s="152">
        <f t="shared" si="4"/>
        <v>177.23131823606636</v>
      </c>
      <c r="O15" s="152">
        <f t="shared" si="4"/>
        <v>182.23131823606636</v>
      </c>
      <c r="P15" s="67">
        <f>SUM(D15:O15)</f>
        <v>1759.215818832796</v>
      </c>
    </row>
    <row r="16" spans="1:16" x14ac:dyDescent="0.35">
      <c r="B16" s="151" t="s">
        <v>273</v>
      </c>
      <c r="C16" s="14"/>
      <c r="D16" s="152">
        <f>D15/D14</f>
        <v>151.41331557184279</v>
      </c>
      <c r="E16" s="152">
        <f t="shared" ref="E16:O16" si="5">E15/E14</f>
        <v>155.53096263066629</v>
      </c>
      <c r="F16" s="152">
        <f t="shared" si="5"/>
        <v>143.80155086596042</v>
      </c>
      <c r="G16" s="152">
        <f t="shared" si="5"/>
        <v>143.80155086596042</v>
      </c>
      <c r="H16" s="152">
        <f t="shared" si="5"/>
        <v>152.03684498360749</v>
      </c>
      <c r="I16" s="152">
        <f t="shared" si="5"/>
        <v>152.03684498360749</v>
      </c>
      <c r="J16" s="152">
        <f t="shared" si="5"/>
        <v>157.91919792478396</v>
      </c>
      <c r="K16" s="152">
        <f t="shared" si="5"/>
        <v>190.86037439537219</v>
      </c>
      <c r="L16" s="152">
        <f t="shared" si="5"/>
        <v>196.74272733654865</v>
      </c>
      <c r="M16" s="152">
        <f t="shared" si="5"/>
        <v>202.62508027772512</v>
      </c>
      <c r="N16" s="152">
        <f t="shared" si="5"/>
        <v>208.50743321890161</v>
      </c>
      <c r="O16" s="152">
        <f t="shared" si="5"/>
        <v>214.38978616007807</v>
      </c>
      <c r="P16" s="67">
        <f>SUM(D16:O16)</f>
        <v>2069.6656692150545</v>
      </c>
    </row>
    <row r="17" spans="2:16" x14ac:dyDescent="0.35">
      <c r="B17" s="151" t="s">
        <v>274</v>
      </c>
      <c r="C17" s="14"/>
      <c r="D17" s="152">
        <f>'India Expenses - Detailed'!E13+19</f>
        <v>185</v>
      </c>
      <c r="E17" s="152">
        <f>'India Expenses - Detailed'!F13+19</f>
        <v>185</v>
      </c>
      <c r="F17" s="152">
        <f>'India Expenses - Detailed'!G13+19</f>
        <v>176</v>
      </c>
      <c r="G17" s="152">
        <f>'India Expenses - Detailed'!H13</f>
        <v>157</v>
      </c>
      <c r="H17" s="152">
        <f>'India Expenses - Detailed'!I13</f>
        <v>164</v>
      </c>
      <c r="I17" s="152">
        <f>'India Expenses - Detailed'!J13</f>
        <v>164</v>
      </c>
      <c r="J17" s="152">
        <f>'India Expenses - Detailed'!K13</f>
        <v>169</v>
      </c>
      <c r="K17" s="152">
        <f>'India Expenses - Detailed'!L13</f>
        <v>197</v>
      </c>
      <c r="L17" s="152">
        <f>'India Expenses - Detailed'!M13</f>
        <v>202</v>
      </c>
      <c r="M17" s="152">
        <f>'India Expenses - Detailed'!N13</f>
        <v>207</v>
      </c>
      <c r="N17" s="152">
        <f>'India Expenses - Detailed'!O13</f>
        <v>212</v>
      </c>
      <c r="O17" s="152">
        <f>'India Expenses - Detailed'!P13</f>
        <v>217</v>
      </c>
      <c r="P17" s="67">
        <f>SUM(D17:O17)</f>
        <v>2235</v>
      </c>
    </row>
    <row r="18" spans="2:16" x14ac:dyDescent="0.35">
      <c r="B18" s="100"/>
      <c r="D18" s="67"/>
      <c r="E18" s="67"/>
      <c r="F18" s="67"/>
      <c r="G18" s="67"/>
      <c r="H18" s="67"/>
      <c r="I18" s="67"/>
      <c r="J18" s="67"/>
      <c r="K18" s="67"/>
      <c r="L18" s="67"/>
      <c r="M18" s="67"/>
      <c r="N18" s="67"/>
      <c r="O18" s="67"/>
    </row>
    <row r="19" spans="2:16" x14ac:dyDescent="0.35">
      <c r="B19" s="100" t="s">
        <v>275</v>
      </c>
      <c r="D19" s="67">
        <f>D13/D15</f>
        <v>1751.4515242690927</v>
      </c>
      <c r="E19" s="67">
        <f t="shared" ref="E19:O19" si="6">E13/E15</f>
        <v>1806.0750315185696</v>
      </c>
      <c r="F19" s="67">
        <f t="shared" si="6"/>
        <v>1960.2002453844329</v>
      </c>
      <c r="G19" s="67">
        <f t="shared" si="6"/>
        <v>1665.7257971052734</v>
      </c>
      <c r="H19" s="67">
        <f t="shared" si="6"/>
        <v>1646.7796112026865</v>
      </c>
      <c r="I19" s="67">
        <f t="shared" si="6"/>
        <v>1666.8085023053202</v>
      </c>
      <c r="J19" s="67">
        <f t="shared" si="6"/>
        <v>1607.3287727128161</v>
      </c>
      <c r="K19" s="67">
        <f t="shared" si="6"/>
        <v>1519.359533535506</v>
      </c>
      <c r="L19" s="67">
        <f t="shared" si="6"/>
        <v>1497.8516144111693</v>
      </c>
      <c r="M19" s="67">
        <f t="shared" si="6"/>
        <v>1464.0418628996902</v>
      </c>
      <c r="N19" s="67">
        <f t="shared" si="6"/>
        <v>1428.187199188199</v>
      </c>
      <c r="O19" s="67">
        <f t="shared" si="6"/>
        <v>1405.6522362867001</v>
      </c>
    </row>
    <row r="20" spans="2:16" x14ac:dyDescent="0.35">
      <c r="B20" s="100" t="s">
        <v>276</v>
      </c>
      <c r="D20" s="67">
        <f>D13/D16</f>
        <v>1488.7337956287286</v>
      </c>
      <c r="E20" s="67">
        <f t="shared" ref="E20:O20" si="7">E13/E16</f>
        <v>1535.1637767907844</v>
      </c>
      <c r="F20" s="67">
        <f t="shared" si="7"/>
        <v>1666.1702085767679</v>
      </c>
      <c r="G20" s="67">
        <f t="shared" si="7"/>
        <v>1415.8669275394825</v>
      </c>
      <c r="H20" s="67">
        <f t="shared" si="7"/>
        <v>1399.7626695222834</v>
      </c>
      <c r="I20" s="67">
        <f t="shared" si="7"/>
        <v>1416.7872269595221</v>
      </c>
      <c r="J20" s="67">
        <f t="shared" si="7"/>
        <v>1366.2294568058935</v>
      </c>
      <c r="K20" s="67">
        <f t="shared" si="7"/>
        <v>1291.4556035051801</v>
      </c>
      <c r="L20" s="67">
        <f t="shared" si="7"/>
        <v>1273.173872249494</v>
      </c>
      <c r="M20" s="67">
        <f t="shared" si="7"/>
        <v>1244.4355834647367</v>
      </c>
      <c r="N20" s="67">
        <f t="shared" si="7"/>
        <v>1213.9591193099691</v>
      </c>
      <c r="O20" s="67">
        <f t="shared" si="7"/>
        <v>1194.804400843695</v>
      </c>
    </row>
    <row r="21" spans="2:16" x14ac:dyDescent="0.35">
      <c r="B21" s="100" t="s">
        <v>277</v>
      </c>
      <c r="D21" s="67">
        <f>D13/D17</f>
        <v>1218.4547027027027</v>
      </c>
      <c r="E21" s="67">
        <f t="shared" ref="E21:O21" si="8">E13/E17</f>
        <v>1290.6243243243243</v>
      </c>
      <c r="F21" s="67">
        <f t="shared" si="8"/>
        <v>1361.3514772727272</v>
      </c>
      <c r="G21" s="67">
        <f t="shared" si="8"/>
        <v>1296.8398726114649</v>
      </c>
      <c r="H21" s="67">
        <f t="shared" si="8"/>
        <v>1297.655487804878</v>
      </c>
      <c r="I21" s="67">
        <f t="shared" si="8"/>
        <v>1313.4381707317073</v>
      </c>
      <c r="J21" s="67">
        <f t="shared" si="8"/>
        <v>1276.6500591715976</v>
      </c>
      <c r="K21" s="67">
        <f t="shared" si="8"/>
        <v>1251.2065989847717</v>
      </c>
      <c r="L21" s="67">
        <f t="shared" si="8"/>
        <v>1240.0381188118813</v>
      </c>
      <c r="M21" s="67">
        <f t="shared" si="8"/>
        <v>1218.1345893719806</v>
      </c>
      <c r="N21" s="67">
        <f t="shared" si="8"/>
        <v>1193.9599056603774</v>
      </c>
      <c r="O21" s="67">
        <f t="shared" si="8"/>
        <v>1180.4325345622119</v>
      </c>
    </row>
    <row r="22" spans="2:16" x14ac:dyDescent="0.35">
      <c r="B22" s="100"/>
      <c r="D22" s="67"/>
      <c r="E22" s="67"/>
      <c r="F22" s="67"/>
      <c r="G22" s="67"/>
      <c r="H22" s="67"/>
      <c r="I22" s="67"/>
      <c r="J22" s="67"/>
      <c r="K22" s="67"/>
      <c r="L22" s="67"/>
      <c r="M22" s="67"/>
      <c r="N22" s="67"/>
      <c r="O22" s="67"/>
    </row>
    <row r="23" spans="2:16" x14ac:dyDescent="0.35">
      <c r="B23" s="100" t="s">
        <v>278</v>
      </c>
      <c r="D23" s="67"/>
      <c r="E23" s="393">
        <f>(E13-D13)/D13</f>
        <v>5.9230451047166011E-2</v>
      </c>
      <c r="F23" s="393">
        <f t="shared" ref="F23:O23" si="9">(F13-E13)/E13</f>
        <v>3.4860982847186297E-3</v>
      </c>
      <c r="G23" s="393">
        <f t="shared" si="9"/>
        <v>-0.15022671738386981</v>
      </c>
      <c r="H23" s="393">
        <f t="shared" si="9"/>
        <v>4.5242953645377913E-2</v>
      </c>
      <c r="I23" s="393">
        <f t="shared" si="9"/>
        <v>1.2162459971195642E-2</v>
      </c>
      <c r="J23" s="393">
        <f t="shared" si="9"/>
        <v>1.6248548192219026E-3</v>
      </c>
      <c r="K23" s="393">
        <f t="shared" si="9"/>
        <v>0.14244862177668585</v>
      </c>
      <c r="L23" s="393">
        <f t="shared" si="9"/>
        <v>1.622799028105662E-2</v>
      </c>
      <c r="M23" s="393">
        <f t="shared" si="9"/>
        <v>6.6516639339974553E-3</v>
      </c>
      <c r="N23" s="393">
        <f t="shared" si="9"/>
        <v>3.8295665987425854E-3</v>
      </c>
      <c r="O23" s="393">
        <f t="shared" si="9"/>
        <v>1.1987855538589425E-2</v>
      </c>
    </row>
    <row r="24" spans="2:16" x14ac:dyDescent="0.35">
      <c r="G24" s="63"/>
    </row>
    <row r="25" spans="2:16" x14ac:dyDescent="0.35">
      <c r="B25" s="408" t="s">
        <v>279</v>
      </c>
    </row>
    <row r="26" spans="2:16" x14ac:dyDescent="0.35">
      <c r="B26" s="187" t="s">
        <v>268</v>
      </c>
      <c r="C26" s="187" t="s">
        <v>174</v>
      </c>
      <c r="D26" s="180">
        <v>45658</v>
      </c>
      <c r="E26" s="180">
        <v>45689</v>
      </c>
      <c r="F26" s="180">
        <v>45717</v>
      </c>
      <c r="G26" s="180">
        <v>45748</v>
      </c>
      <c r="H26" s="180">
        <v>45778</v>
      </c>
      <c r="I26" s="180">
        <v>45809</v>
      </c>
      <c r="J26" s="180">
        <v>45839</v>
      </c>
      <c r="K26" s="180">
        <v>45870</v>
      </c>
      <c r="L26" s="180">
        <v>45901</v>
      </c>
      <c r="M26" s="180">
        <v>45931</v>
      </c>
      <c r="N26" s="180">
        <v>45962</v>
      </c>
      <c r="O26" s="180">
        <v>45992</v>
      </c>
    </row>
    <row r="27" spans="2:16" x14ac:dyDescent="0.35">
      <c r="B27" s="151" t="s">
        <v>129</v>
      </c>
      <c r="C27" s="105">
        <f>SUM(D27:O27)</f>
        <v>2793856.9311627909</v>
      </c>
      <c r="D27" s="105">
        <v>190587.61000000002</v>
      </c>
      <c r="E27" s="105">
        <v>238264.71</v>
      </c>
      <c r="F27" s="105">
        <v>206236</v>
      </c>
      <c r="G27" s="105">
        <v>220307.54</v>
      </c>
      <c r="H27" s="105">
        <v>241763</v>
      </c>
      <c r="I27" s="105">
        <v>255826</v>
      </c>
      <c r="J27" s="105">
        <v>269055.26744186046</v>
      </c>
      <c r="K27" s="105">
        <v>245075.06790697674</v>
      </c>
      <c r="L27" s="105">
        <v>241343.73581395348</v>
      </c>
      <c r="M27" s="105">
        <v>236462</v>
      </c>
      <c r="N27" s="105">
        <v>224468</v>
      </c>
      <c r="O27" s="105">
        <v>224468</v>
      </c>
    </row>
    <row r="28" spans="2:16" x14ac:dyDescent="0.35">
      <c r="B28" s="14" t="s">
        <v>130</v>
      </c>
      <c r="C28" s="14"/>
      <c r="D28" s="105"/>
      <c r="E28" s="105"/>
      <c r="F28" s="105"/>
      <c r="G28" s="105"/>
      <c r="H28" s="105"/>
      <c r="I28" s="105"/>
      <c r="J28" s="105"/>
      <c r="K28" s="105"/>
      <c r="L28" s="105"/>
      <c r="M28" s="105"/>
      <c r="N28" s="105"/>
      <c r="O28" s="105"/>
    </row>
    <row r="29" spans="2:16" x14ac:dyDescent="0.35">
      <c r="B29" s="14" t="s">
        <v>131</v>
      </c>
      <c r="C29" s="14"/>
      <c r="D29" s="152"/>
      <c r="E29" s="152"/>
      <c r="F29" s="152"/>
      <c r="G29" s="152"/>
      <c r="H29" s="152"/>
      <c r="I29" s="152"/>
      <c r="J29" s="152"/>
      <c r="K29" s="152"/>
      <c r="L29" s="152"/>
      <c r="M29" s="152"/>
      <c r="N29" s="152"/>
      <c r="O29" s="152"/>
    </row>
    <row r="30" spans="2:16" x14ac:dyDescent="0.35">
      <c r="B30" s="151"/>
      <c r="C30" s="105"/>
      <c r="D30" s="105"/>
      <c r="E30" s="105"/>
      <c r="F30" s="105"/>
      <c r="G30" s="105"/>
      <c r="H30" s="105"/>
      <c r="I30" s="105"/>
      <c r="J30" s="105"/>
      <c r="K30" s="105"/>
      <c r="L30" s="105"/>
      <c r="M30" s="105"/>
      <c r="N30" s="105"/>
      <c r="O30" s="105"/>
    </row>
    <row r="31" spans="2:16" x14ac:dyDescent="0.35">
      <c r="B31" s="151" t="s">
        <v>280</v>
      </c>
      <c r="C31" s="104">
        <f>SUM(D31:O31)</f>
        <v>2181</v>
      </c>
      <c r="D31" s="104">
        <v>148</v>
      </c>
      <c r="E31" s="104">
        <v>154</v>
      </c>
      <c r="F31" s="104">
        <v>163</v>
      </c>
      <c r="G31" s="104">
        <v>170</v>
      </c>
      <c r="H31" s="104">
        <v>170</v>
      </c>
      <c r="I31" s="104">
        <v>173</v>
      </c>
      <c r="J31" s="104">
        <v>187</v>
      </c>
      <c r="K31" s="104">
        <v>205</v>
      </c>
      <c r="L31" s="104">
        <v>200</v>
      </c>
      <c r="M31" s="104">
        <v>205</v>
      </c>
      <c r="N31" s="104">
        <v>203</v>
      </c>
      <c r="O31" s="104">
        <f>N31</f>
        <v>203</v>
      </c>
    </row>
    <row r="32" spans="2:16" x14ac:dyDescent="0.35">
      <c r="B32" s="151" t="s">
        <v>281</v>
      </c>
      <c r="C32" s="104">
        <f>SUM(D32:O32)</f>
        <v>1399.2135131790681</v>
      </c>
      <c r="D32" s="104">
        <v>118</v>
      </c>
      <c r="E32" s="104">
        <v>87</v>
      </c>
      <c r="F32" s="104">
        <v>95</v>
      </c>
      <c r="G32" s="104">
        <v>102</v>
      </c>
      <c r="H32" s="104">
        <v>103</v>
      </c>
      <c r="I32" s="104">
        <v>110</v>
      </c>
      <c r="J32" s="104">
        <v>116</v>
      </c>
      <c r="K32" s="104">
        <v>139.75091635374761</v>
      </c>
      <c r="L32" s="104">
        <v>137.6231720520789</v>
      </c>
      <c r="M32" s="104">
        <v>134.83942477324163</v>
      </c>
      <c r="N32" s="104">
        <v>128</v>
      </c>
      <c r="O32" s="104">
        <v>128</v>
      </c>
      <c r="P32" s="68"/>
    </row>
    <row r="33" spans="2:15" x14ac:dyDescent="0.35">
      <c r="B33" s="151" t="s">
        <v>282</v>
      </c>
      <c r="C33" s="407">
        <f>C32/C31</f>
        <v>0.64154677358049883</v>
      </c>
      <c r="D33" s="407">
        <f>D32/D31</f>
        <v>0.79729729729729726</v>
      </c>
      <c r="E33" s="407">
        <f t="shared" ref="E33:O33" si="10">E32/E31</f>
        <v>0.56493506493506496</v>
      </c>
      <c r="F33" s="407">
        <f t="shared" si="10"/>
        <v>0.58282208588957052</v>
      </c>
      <c r="G33" s="407">
        <f t="shared" si="10"/>
        <v>0.6</v>
      </c>
      <c r="H33" s="407">
        <f t="shared" si="10"/>
        <v>0.60588235294117643</v>
      </c>
      <c r="I33" s="407">
        <f t="shared" si="10"/>
        <v>0.63583815028901736</v>
      </c>
      <c r="J33" s="407">
        <f t="shared" si="10"/>
        <v>0.6203208556149733</v>
      </c>
      <c r="K33" s="407">
        <f t="shared" si="10"/>
        <v>0.68171178709145175</v>
      </c>
      <c r="L33" s="407">
        <f t="shared" si="10"/>
        <v>0.68811586026039451</v>
      </c>
      <c r="M33" s="407">
        <f t="shared" si="10"/>
        <v>0.65775329157678841</v>
      </c>
      <c r="N33" s="407">
        <f t="shared" si="10"/>
        <v>0.63054187192118227</v>
      </c>
      <c r="O33" s="407">
        <f t="shared" si="10"/>
        <v>0.63054187192118227</v>
      </c>
    </row>
    <row r="34" spans="2:15" x14ac:dyDescent="0.35">
      <c r="B34" s="151"/>
      <c r="C34" s="105"/>
      <c r="D34" s="104"/>
      <c r="E34" s="104"/>
      <c r="F34" s="104"/>
      <c r="G34" s="104"/>
      <c r="H34" s="104"/>
      <c r="I34" s="104"/>
      <c r="J34" s="104"/>
      <c r="K34" s="104"/>
      <c r="L34" s="104"/>
      <c r="M34" s="104"/>
      <c r="N34" s="104"/>
      <c r="O34" s="104"/>
    </row>
    <row r="35" spans="2:15" x14ac:dyDescent="0.35">
      <c r="B35" s="151" t="s">
        <v>135</v>
      </c>
      <c r="C35" s="14"/>
      <c r="D35" s="322">
        <v>0.85</v>
      </c>
      <c r="E35" s="322">
        <v>0.85</v>
      </c>
      <c r="F35" s="322">
        <v>0.85</v>
      </c>
      <c r="G35" s="322">
        <v>0.85</v>
      </c>
      <c r="H35" s="322">
        <v>0.85</v>
      </c>
      <c r="I35" s="322">
        <v>0.85</v>
      </c>
      <c r="J35" s="322">
        <v>0.85</v>
      </c>
      <c r="K35" s="322">
        <v>0.85</v>
      </c>
      <c r="L35" s="322">
        <v>0.85</v>
      </c>
      <c r="M35" s="322">
        <v>0.85</v>
      </c>
      <c r="N35" s="322">
        <v>0.85</v>
      </c>
      <c r="O35" s="322">
        <v>0.85</v>
      </c>
    </row>
    <row r="36" spans="2:15" x14ac:dyDescent="0.35">
      <c r="B36" s="151" t="s">
        <v>283</v>
      </c>
      <c r="C36" s="152">
        <f>C27/C31</f>
        <v>1280.9981344166854</v>
      </c>
      <c r="D36" s="152">
        <f>D27/D31</f>
        <v>1287.7541216216218</v>
      </c>
      <c r="E36" s="152">
        <f t="shared" ref="E36:O36" si="11">E27/E31</f>
        <v>1547.1734415584415</v>
      </c>
      <c r="F36" s="152">
        <f t="shared" si="11"/>
        <v>1265.2515337423313</v>
      </c>
      <c r="G36" s="152">
        <f t="shared" si="11"/>
        <v>1295.926705882353</v>
      </c>
      <c r="H36" s="152">
        <f t="shared" si="11"/>
        <v>1422.1352941176472</v>
      </c>
      <c r="I36" s="152">
        <f t="shared" si="11"/>
        <v>1478.7630057803469</v>
      </c>
      <c r="J36" s="152">
        <f t="shared" si="11"/>
        <v>1438.798221614227</v>
      </c>
      <c r="K36" s="152">
        <f t="shared" si="11"/>
        <v>1195.4881361315938</v>
      </c>
      <c r="L36" s="152">
        <f t="shared" si="11"/>
        <v>1206.7186790697674</v>
      </c>
      <c r="M36" s="152">
        <f t="shared" si="11"/>
        <v>1153.4731707317073</v>
      </c>
      <c r="N36" s="152">
        <f t="shared" si="11"/>
        <v>1105.7536945812808</v>
      </c>
      <c r="O36" s="152">
        <f t="shared" si="11"/>
        <v>1105.7536945812808</v>
      </c>
    </row>
    <row r="37" spans="2:15" x14ac:dyDescent="0.35">
      <c r="B37" s="151" t="s">
        <v>284</v>
      </c>
      <c r="C37" s="14"/>
      <c r="D37" s="152">
        <f>D27/(D32/85%)</f>
        <v>1372.8768516949156</v>
      </c>
      <c r="E37" s="152">
        <f t="shared" ref="E37:O37" si="12">E27/(E32/85%)</f>
        <v>2327.8736034482758</v>
      </c>
      <c r="F37" s="152">
        <f t="shared" si="12"/>
        <v>1845.2694736842104</v>
      </c>
      <c r="G37" s="152">
        <f t="shared" si="12"/>
        <v>1835.8961666666667</v>
      </c>
      <c r="H37" s="152">
        <f t="shared" si="12"/>
        <v>1995.131553398058</v>
      </c>
      <c r="I37" s="152">
        <f t="shared" si="12"/>
        <v>1976.8372727272729</v>
      </c>
      <c r="J37" s="152">
        <f t="shared" si="12"/>
        <v>1971.5256665998395</v>
      </c>
      <c r="K37" s="152">
        <f t="shared" si="12"/>
        <v>1490.6078125000001</v>
      </c>
      <c r="L37" s="152">
        <f t="shared" si="12"/>
        <v>1490.6078124999997</v>
      </c>
      <c r="M37" s="152">
        <f t="shared" si="12"/>
        <v>1490.6078124999997</v>
      </c>
      <c r="N37" s="152">
        <f t="shared" si="12"/>
        <v>1490.6078124999999</v>
      </c>
      <c r="O37" s="152">
        <f t="shared" si="12"/>
        <v>1490.6078124999999</v>
      </c>
    </row>
    <row r="38" spans="2:15" x14ac:dyDescent="0.35">
      <c r="B38" s="151" t="s">
        <v>285</v>
      </c>
      <c r="C38" s="14"/>
      <c r="D38" s="152">
        <v>739.17474412868489</v>
      </c>
      <c r="E38" s="152">
        <v>682.37080515040941</v>
      </c>
      <c r="F38" s="152">
        <v>810</v>
      </c>
      <c r="G38" s="152">
        <v>719</v>
      </c>
      <c r="H38" s="152">
        <v>744</v>
      </c>
      <c r="I38" s="152">
        <v>746</v>
      </c>
      <c r="J38" s="152">
        <v>777</v>
      </c>
      <c r="K38" s="152">
        <v>860</v>
      </c>
      <c r="L38" s="152">
        <v>793</v>
      </c>
      <c r="M38" s="152">
        <v>840</v>
      </c>
      <c r="N38" s="152">
        <v>842</v>
      </c>
      <c r="O38" s="152">
        <v>842</v>
      </c>
    </row>
    <row r="39" spans="2:15" x14ac:dyDescent="0.35">
      <c r="B39" s="100"/>
      <c r="I39" s="405"/>
      <c r="J39" s="405"/>
      <c r="K39" s="405"/>
      <c r="L39" s="405"/>
      <c r="M39" s="405"/>
      <c r="N39" s="98"/>
    </row>
    <row r="40" spans="2:15" x14ac:dyDescent="0.35">
      <c r="B40" s="100"/>
      <c r="C40" s="98"/>
      <c r="I40" s="86"/>
      <c r="J40" s="86"/>
      <c r="K40" s="216"/>
      <c r="L40" s="216"/>
      <c r="M40" s="216"/>
      <c r="N40" s="216"/>
      <c r="O40" s="216"/>
    </row>
    <row r="41" spans="2:15" x14ac:dyDescent="0.35">
      <c r="I41" s="405"/>
    </row>
    <row r="42" spans="2:15" x14ac:dyDescent="0.35">
      <c r="D42" s="98"/>
      <c r="E42" s="98"/>
      <c r="F42" s="98"/>
      <c r="G42" s="98"/>
      <c r="H42" s="98"/>
      <c r="I42" s="98"/>
      <c r="J42" s="98"/>
      <c r="K42" s="98"/>
      <c r="L42" s="98"/>
      <c r="M42" s="98"/>
    </row>
    <row r="48" spans="2:15" x14ac:dyDescent="0.35">
      <c r="B48" t="s">
        <v>1688</v>
      </c>
    </row>
    <row r="49" spans="2:15" x14ac:dyDescent="0.35">
      <c r="B49" t="s">
        <v>1685</v>
      </c>
      <c r="H49">
        <f>7*1450</f>
        <v>10150</v>
      </c>
      <c r="I49">
        <f>7*1450</f>
        <v>10150</v>
      </c>
      <c r="J49">
        <f t="shared" ref="J49:O49" si="13">7*1450</f>
        <v>10150</v>
      </c>
      <c r="K49">
        <f t="shared" si="13"/>
        <v>10150</v>
      </c>
      <c r="L49">
        <f t="shared" si="13"/>
        <v>10150</v>
      </c>
      <c r="M49">
        <f t="shared" si="13"/>
        <v>10150</v>
      </c>
      <c r="N49">
        <f t="shared" si="13"/>
        <v>10150</v>
      </c>
      <c r="O49">
        <f t="shared" si="13"/>
        <v>10150</v>
      </c>
    </row>
    <row r="50" spans="2:15" x14ac:dyDescent="0.35">
      <c r="B50" t="s">
        <v>1686</v>
      </c>
      <c r="H50">
        <v>2650</v>
      </c>
      <c r="I50">
        <v>2650</v>
      </c>
    </row>
    <row r="51" spans="2:15" x14ac:dyDescent="0.35">
      <c r="B51" t="s">
        <v>1687</v>
      </c>
      <c r="H51">
        <v>1000</v>
      </c>
      <c r="I51">
        <v>1000</v>
      </c>
    </row>
    <row r="52" spans="2:15" x14ac:dyDescent="0.35">
      <c r="B52" t="s">
        <v>1689</v>
      </c>
      <c r="K52">
        <v>32400</v>
      </c>
      <c r="L52">
        <v>32400</v>
      </c>
      <c r="M52">
        <v>32400</v>
      </c>
      <c r="N52">
        <v>32400</v>
      </c>
      <c r="O52">
        <v>32400</v>
      </c>
    </row>
    <row r="53" spans="2:15" x14ac:dyDescent="0.35">
      <c r="B53" t="s">
        <v>1690</v>
      </c>
      <c r="J53">
        <f>200000*2%</f>
        <v>4000</v>
      </c>
      <c r="K53">
        <f t="shared" ref="K53" si="14">200000*2%</f>
        <v>4000</v>
      </c>
      <c r="L53">
        <f>200000*2%+200000*2%</f>
        <v>8000</v>
      </c>
      <c r="M53">
        <f t="shared" ref="M53" si="15">200000*2%+200000*2%</f>
        <v>8000</v>
      </c>
      <c r="N53">
        <f>200000*2%+200000*2%+200000*2%</f>
        <v>12000</v>
      </c>
      <c r="O53">
        <f>200000*2%+200000*2%+200000*2%</f>
        <v>12000</v>
      </c>
    </row>
    <row r="54" spans="2:15" x14ac:dyDescent="0.35">
      <c r="B54" t="s">
        <v>1691</v>
      </c>
      <c r="I54">
        <v>3000</v>
      </c>
      <c r="J54">
        <v>3000</v>
      </c>
      <c r="K54">
        <v>3000</v>
      </c>
      <c r="L54">
        <v>3000</v>
      </c>
      <c r="M54">
        <v>3000</v>
      </c>
      <c r="N54">
        <v>3000</v>
      </c>
      <c r="O54">
        <v>3000</v>
      </c>
    </row>
    <row r="55" spans="2:15" x14ac:dyDescent="0.35">
      <c r="H55" s="100">
        <f>SUM(H49:H54)</f>
        <v>13800</v>
      </c>
      <c r="I55" s="100">
        <f t="shared" ref="I55:O55" si="16">SUM(I49:I54)</f>
        <v>16800</v>
      </c>
      <c r="J55" s="100">
        <f t="shared" si="16"/>
        <v>17150</v>
      </c>
      <c r="K55" s="100">
        <f t="shared" si="16"/>
        <v>49550</v>
      </c>
      <c r="L55" s="100">
        <f t="shared" si="16"/>
        <v>53550</v>
      </c>
      <c r="M55" s="100">
        <f t="shared" si="16"/>
        <v>53550</v>
      </c>
      <c r="N55" s="100">
        <f t="shared" si="16"/>
        <v>57550</v>
      </c>
      <c r="O55" s="100">
        <f t="shared" si="16"/>
        <v>57550</v>
      </c>
    </row>
    <row r="57" spans="2:15" x14ac:dyDescent="0.35">
      <c r="B57" t="s">
        <v>1692</v>
      </c>
    </row>
    <row r="58" spans="2:15" x14ac:dyDescent="0.35">
      <c r="B58" t="s">
        <v>1693</v>
      </c>
      <c r="H58">
        <v>7</v>
      </c>
      <c r="I58">
        <v>7</v>
      </c>
      <c r="J58">
        <v>7</v>
      </c>
      <c r="K58">
        <v>7</v>
      </c>
      <c r="L58">
        <v>7</v>
      </c>
      <c r="M58">
        <v>7</v>
      </c>
      <c r="N58">
        <v>7</v>
      </c>
      <c r="O58">
        <v>7</v>
      </c>
    </row>
    <row r="59" spans="2:15" x14ac:dyDescent="0.35">
      <c r="B59" t="s">
        <v>1694</v>
      </c>
      <c r="J59">
        <v>5</v>
      </c>
      <c r="K59">
        <v>5</v>
      </c>
      <c r="L59">
        <v>5</v>
      </c>
      <c r="M59">
        <v>5</v>
      </c>
      <c r="N59">
        <v>5</v>
      </c>
      <c r="O59">
        <v>5</v>
      </c>
    </row>
    <row r="60" spans="2:15" x14ac:dyDescent="0.35">
      <c r="B60" t="s">
        <v>1694</v>
      </c>
      <c r="K60">
        <v>5</v>
      </c>
      <c r="L60">
        <v>5</v>
      </c>
      <c r="M60">
        <v>5</v>
      </c>
      <c r="N60">
        <v>5</v>
      </c>
      <c r="O60">
        <v>5</v>
      </c>
    </row>
    <row r="61" spans="2:15" x14ac:dyDescent="0.35">
      <c r="B61" t="s">
        <v>1694</v>
      </c>
      <c r="L61">
        <v>5</v>
      </c>
      <c r="M61">
        <v>5</v>
      </c>
      <c r="N61">
        <v>5</v>
      </c>
      <c r="O61">
        <v>5</v>
      </c>
    </row>
    <row r="62" spans="2:15" x14ac:dyDescent="0.35">
      <c r="B62" t="s">
        <v>1694</v>
      </c>
      <c r="M62">
        <v>5</v>
      </c>
      <c r="N62">
        <v>5</v>
      </c>
      <c r="O62">
        <v>5</v>
      </c>
    </row>
    <row r="63" spans="2:15" x14ac:dyDescent="0.35">
      <c r="B63" t="s">
        <v>1694</v>
      </c>
      <c r="N63">
        <v>5</v>
      </c>
      <c r="O63">
        <v>5</v>
      </c>
    </row>
    <row r="64" spans="2:15" x14ac:dyDescent="0.35">
      <c r="B64" t="s">
        <v>1694</v>
      </c>
      <c r="O64">
        <v>5</v>
      </c>
    </row>
    <row r="65" spans="2:15" x14ac:dyDescent="0.35">
      <c r="B65" t="s">
        <v>1695</v>
      </c>
      <c r="K65">
        <f>ROUND(K52/1400,0)</f>
        <v>23</v>
      </c>
      <c r="L65">
        <f t="shared" ref="L65:O65" si="17">ROUND(L52/1400,0)</f>
        <v>23</v>
      </c>
      <c r="M65">
        <f t="shared" si="17"/>
        <v>23</v>
      </c>
      <c r="N65">
        <f t="shared" si="17"/>
        <v>23</v>
      </c>
      <c r="O65">
        <f t="shared" si="17"/>
        <v>23</v>
      </c>
    </row>
    <row r="66" spans="2:15" x14ac:dyDescent="0.35">
      <c r="H66">
        <f>SUM(H58:H65)</f>
        <v>7</v>
      </c>
      <c r="I66">
        <f t="shared" ref="I66:O66" si="18">SUM(I58:I65)</f>
        <v>7</v>
      </c>
      <c r="J66">
        <f t="shared" si="18"/>
        <v>12</v>
      </c>
      <c r="K66">
        <f t="shared" si="18"/>
        <v>40</v>
      </c>
      <c r="L66">
        <f t="shared" si="18"/>
        <v>45</v>
      </c>
      <c r="M66">
        <f t="shared" si="18"/>
        <v>50</v>
      </c>
      <c r="N66">
        <f t="shared" si="18"/>
        <v>55</v>
      </c>
      <c r="O66">
        <f t="shared" si="18"/>
        <v>60</v>
      </c>
    </row>
    <row r="67" spans="2:15" x14ac:dyDescent="0.35">
      <c r="J67">
        <f>J66*360</f>
        <v>4320</v>
      </c>
    </row>
    <row r="68" spans="2:15" x14ac:dyDescent="0.35">
      <c r="J68">
        <f>J67*12%</f>
        <v>518.4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O205"/>
  <sheetViews>
    <sheetView showGridLines="0" zoomScale="82" zoomScaleNormal="80" workbookViewId="0">
      <pane xSplit="5" ySplit="5" topLeftCell="W54" activePane="bottomRight" state="frozen"/>
      <selection pane="topRight" activeCell="J30" sqref="J30"/>
      <selection pane="bottomLeft" activeCell="J30" sqref="J30"/>
      <selection pane="bottomRight" activeCell="X61" sqref="X61"/>
    </sheetView>
  </sheetViews>
  <sheetFormatPr defaultColWidth="8.81640625" defaultRowHeight="14.5" x14ac:dyDescent="0.35"/>
  <cols>
    <col min="1" max="2" width="12" style="139" customWidth="1"/>
    <col min="3" max="3" width="26.54296875" style="85" customWidth="1"/>
    <col min="4" max="4" width="13.453125" customWidth="1"/>
    <col min="5" max="5" width="35.453125" style="85" customWidth="1"/>
    <col min="6" max="6" width="10.453125" bestFit="1" customWidth="1"/>
    <col min="7" max="7" width="10.453125" customWidth="1"/>
    <col min="8" max="8" width="21.453125" bestFit="1" customWidth="1"/>
    <col min="9" max="9" width="21.453125" customWidth="1"/>
    <col min="10" max="10" width="11.453125" bestFit="1" customWidth="1"/>
    <col min="11" max="11" width="10" bestFit="1" customWidth="1"/>
    <col min="12" max="12" width="10.453125" bestFit="1" customWidth="1"/>
    <col min="13" max="13" width="10" bestFit="1" customWidth="1"/>
    <col min="14" max="14" width="10.453125" bestFit="1" customWidth="1"/>
    <col min="15" max="15" width="9.81640625" bestFit="1" customWidth="1"/>
    <col min="16" max="16" width="9.453125" bestFit="1" customWidth="1"/>
    <col min="17" max="17" width="10.1796875" bestFit="1" customWidth="1"/>
    <col min="18" max="18" width="10" bestFit="1" customWidth="1"/>
    <col min="19" max="19" width="9.81640625" bestFit="1" customWidth="1"/>
    <col min="20" max="21" width="10.1796875" bestFit="1" customWidth="1"/>
    <col min="22" max="22" width="11.453125" bestFit="1" customWidth="1"/>
    <col min="23" max="23" width="11.453125" customWidth="1"/>
    <col min="24" max="24" width="9.453125" bestFit="1" customWidth="1"/>
    <col min="25" max="50" width="8.54296875" customWidth="1"/>
    <col min="51" max="51" width="12.54296875" customWidth="1"/>
    <col min="52" max="58" width="8.54296875" customWidth="1"/>
    <col min="59" max="60" width="13.453125" customWidth="1"/>
    <col min="61" max="61" width="8.54296875" customWidth="1"/>
    <col min="63" max="63" width="24.453125" bestFit="1" customWidth="1"/>
    <col min="64" max="64" width="11.54296875" bestFit="1" customWidth="1"/>
    <col min="65" max="65" width="9.81640625" bestFit="1" customWidth="1"/>
    <col min="66" max="66" width="12.7265625" bestFit="1" customWidth="1"/>
  </cols>
  <sheetData>
    <row r="1" spans="1:67" x14ac:dyDescent="0.35">
      <c r="A1" s="139" t="s">
        <v>832</v>
      </c>
      <c r="BK1" t="s">
        <v>117</v>
      </c>
      <c r="BL1" s="45">
        <f>SUM(AJ6:AJ60)</f>
        <v>1483.2158188327965</v>
      </c>
      <c r="BN1" t="s">
        <v>118</v>
      </c>
    </row>
    <row r="2" spans="1:67" ht="29" x14ac:dyDescent="0.35">
      <c r="A2" s="139" t="s">
        <v>129</v>
      </c>
      <c r="J2" s="9"/>
      <c r="K2" s="9"/>
      <c r="L2" s="9"/>
      <c r="M2" s="9"/>
      <c r="N2" s="9"/>
      <c r="O2" s="9"/>
      <c r="P2" s="9"/>
      <c r="Q2" s="9"/>
      <c r="R2" s="9"/>
      <c r="S2" s="9"/>
      <c r="T2" s="9"/>
      <c r="U2" s="9"/>
      <c r="V2" s="9"/>
      <c r="W2" s="9"/>
      <c r="X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K2" s="9" t="s">
        <v>120</v>
      </c>
      <c r="BL2" s="46">
        <v>0.1</v>
      </c>
      <c r="BM2" s="588">
        <f>100%-BL2-BL3</f>
        <v>0.85</v>
      </c>
      <c r="BN2" s="9">
        <f>BL1/BM2</f>
        <v>1744.9597868621136</v>
      </c>
      <c r="BO2" s="45">
        <f>BN2*BM2</f>
        <v>1483.2158188327965</v>
      </c>
    </row>
    <row r="3" spans="1:67" x14ac:dyDescent="0.35">
      <c r="J3" s="9"/>
      <c r="K3" s="9"/>
      <c r="L3" s="9"/>
      <c r="M3" s="9"/>
      <c r="N3" s="9"/>
      <c r="O3" s="9"/>
      <c r="P3" s="9"/>
      <c r="Q3" s="9"/>
      <c r="R3" s="9"/>
      <c r="S3" s="9"/>
      <c r="T3" s="9"/>
      <c r="U3" s="9"/>
      <c r="V3" s="9"/>
      <c r="W3" s="9"/>
      <c r="X3" s="9" t="s">
        <v>122</v>
      </c>
      <c r="AD3" s="9"/>
      <c r="AE3" s="9"/>
      <c r="AF3" s="9"/>
      <c r="AG3" s="9"/>
      <c r="AH3" s="9"/>
      <c r="AI3" s="9"/>
      <c r="AJ3" s="9"/>
      <c r="AK3" s="9"/>
      <c r="AL3" s="85" t="s">
        <v>833</v>
      </c>
      <c r="AM3" s="9"/>
      <c r="AN3" s="9"/>
      <c r="AO3" s="9"/>
      <c r="AP3" s="9"/>
      <c r="AQ3" s="9"/>
      <c r="AR3" s="9"/>
      <c r="AS3" s="9"/>
      <c r="AT3" s="9"/>
      <c r="AU3" s="9"/>
      <c r="AV3" s="9"/>
      <c r="AW3" s="9"/>
      <c r="AX3" s="9"/>
      <c r="AY3" s="9"/>
      <c r="AZ3" s="9"/>
      <c r="BA3" s="9"/>
      <c r="BB3" s="9"/>
      <c r="BC3" s="9"/>
      <c r="BD3" s="9"/>
      <c r="BE3" s="9"/>
      <c r="BF3" s="9"/>
      <c r="BG3" s="9"/>
      <c r="BH3" s="9"/>
      <c r="BI3" s="9"/>
      <c r="BK3" s="9" t="s">
        <v>123</v>
      </c>
      <c r="BL3" s="46">
        <v>0.05</v>
      </c>
      <c r="BM3" s="9"/>
      <c r="BN3" s="9"/>
      <c r="BO3" s="9"/>
    </row>
    <row r="4" spans="1:67" x14ac:dyDescent="0.35">
      <c r="J4" s="68"/>
      <c r="K4" s="9"/>
      <c r="L4" s="9"/>
      <c r="M4" s="9"/>
      <c r="N4" s="9"/>
      <c r="O4" s="9"/>
      <c r="P4" s="9"/>
      <c r="Q4" s="9"/>
      <c r="R4" s="9"/>
      <c r="S4" s="9"/>
      <c r="T4" s="9"/>
      <c r="U4" s="9"/>
      <c r="V4" s="9"/>
      <c r="W4" s="9"/>
      <c r="X4" s="68"/>
      <c r="Y4" s="9"/>
      <c r="Z4" s="9"/>
      <c r="AA4" s="9"/>
      <c r="AB4" s="9"/>
      <c r="AC4" s="9"/>
      <c r="AD4" s="9"/>
      <c r="AE4" s="9"/>
      <c r="AF4" s="9"/>
      <c r="AG4" s="9"/>
      <c r="AH4" s="9"/>
      <c r="AI4" s="9"/>
      <c r="AJ4" s="9"/>
      <c r="AK4" s="9"/>
      <c r="AL4" s="660">
        <v>0.8</v>
      </c>
      <c r="AM4" s="9"/>
      <c r="AN4" s="9"/>
      <c r="AO4" s="9"/>
      <c r="AP4" s="9"/>
      <c r="AQ4" s="9"/>
      <c r="AR4" s="9"/>
      <c r="AS4" s="9"/>
      <c r="AT4" s="9"/>
      <c r="AU4" s="9"/>
      <c r="AV4" s="9"/>
      <c r="AW4" s="9"/>
      <c r="AX4" s="9"/>
      <c r="AY4" s="9"/>
      <c r="AZ4" s="9"/>
      <c r="BA4" s="9"/>
      <c r="BB4" s="9"/>
      <c r="BC4" s="9"/>
      <c r="BD4" s="9"/>
      <c r="BE4" s="9"/>
      <c r="BF4" s="9"/>
      <c r="BG4" s="9"/>
      <c r="BH4" s="9"/>
      <c r="BI4" s="9"/>
    </row>
    <row r="5" spans="1:67" x14ac:dyDescent="0.35">
      <c r="A5" s="294" t="s">
        <v>834</v>
      </c>
      <c r="B5" s="294" t="s">
        <v>835</v>
      </c>
      <c r="C5" s="294" t="s">
        <v>836</v>
      </c>
      <c r="D5" s="589" t="s">
        <v>4</v>
      </c>
      <c r="E5" s="299" t="s">
        <v>5</v>
      </c>
      <c r="F5" s="589" t="s">
        <v>8</v>
      </c>
      <c r="G5" s="589" t="s">
        <v>756</v>
      </c>
      <c r="H5" s="589" t="s">
        <v>9</v>
      </c>
      <c r="I5" s="589" t="s">
        <v>837</v>
      </c>
      <c r="J5" s="589" t="s">
        <v>11</v>
      </c>
      <c r="K5" s="589" t="s">
        <v>12</v>
      </c>
      <c r="L5" s="589" t="s">
        <v>13</v>
      </c>
      <c r="M5" s="589" t="s">
        <v>14</v>
      </c>
      <c r="N5" s="589" t="s">
        <v>15</v>
      </c>
      <c r="O5" s="589" t="s">
        <v>16</v>
      </c>
      <c r="P5" s="589" t="s">
        <v>17</v>
      </c>
      <c r="Q5" s="589" t="s">
        <v>18</v>
      </c>
      <c r="R5" s="589" t="s">
        <v>19</v>
      </c>
      <c r="S5" s="589" t="s">
        <v>20</v>
      </c>
      <c r="T5" s="589" t="s">
        <v>21</v>
      </c>
      <c r="U5" s="590" t="s">
        <v>22</v>
      </c>
      <c r="V5" s="589" t="s">
        <v>174</v>
      </c>
      <c r="W5" s="9"/>
      <c r="X5" s="101" t="s">
        <v>11</v>
      </c>
      <c r="Y5" s="101" t="s">
        <v>12</v>
      </c>
      <c r="Z5" s="101" t="s">
        <v>13</v>
      </c>
      <c r="AA5" s="101" t="s">
        <v>14</v>
      </c>
      <c r="AB5" s="101" t="s">
        <v>15</v>
      </c>
      <c r="AC5" s="101" t="s">
        <v>16</v>
      </c>
      <c r="AD5" s="101" t="s">
        <v>17</v>
      </c>
      <c r="AE5" s="101" t="s">
        <v>18</v>
      </c>
      <c r="AF5" s="101" t="s">
        <v>19</v>
      </c>
      <c r="AG5" s="101" t="s">
        <v>20</v>
      </c>
      <c r="AH5" s="101" t="s">
        <v>21</v>
      </c>
      <c r="AI5" s="101" t="s">
        <v>22</v>
      </c>
      <c r="AJ5" s="101" t="s">
        <v>174</v>
      </c>
      <c r="AK5" s="658"/>
      <c r="AL5" s="101" t="s">
        <v>11</v>
      </c>
      <c r="AM5" s="101" t="s">
        <v>12</v>
      </c>
      <c r="AN5" s="101" t="s">
        <v>13</v>
      </c>
      <c r="AO5" s="101" t="s">
        <v>14</v>
      </c>
      <c r="AP5" s="101" t="s">
        <v>15</v>
      </c>
      <c r="AQ5" s="101" t="s">
        <v>16</v>
      </c>
      <c r="AR5" s="101" t="s">
        <v>17</v>
      </c>
      <c r="AS5" s="101" t="s">
        <v>18</v>
      </c>
      <c r="AT5" s="101" t="s">
        <v>19</v>
      </c>
      <c r="AU5" s="101" t="s">
        <v>20</v>
      </c>
      <c r="AV5" s="101" t="s">
        <v>21</v>
      </c>
      <c r="AW5" s="101" t="s">
        <v>22</v>
      </c>
      <c r="AX5" s="101" t="s">
        <v>174</v>
      </c>
      <c r="AY5" s="101" t="s">
        <v>1310</v>
      </c>
      <c r="AZ5" s="658"/>
      <c r="BA5" s="101" t="s">
        <v>317</v>
      </c>
      <c r="BB5" s="101" t="s">
        <v>319</v>
      </c>
      <c r="BC5" s="101" t="s">
        <v>140</v>
      </c>
      <c r="BD5" s="101" t="s">
        <v>142</v>
      </c>
      <c r="BE5" s="101" t="s">
        <v>1269</v>
      </c>
      <c r="BF5" s="101" t="s">
        <v>333</v>
      </c>
      <c r="BG5" s="101" t="s">
        <v>1309</v>
      </c>
      <c r="BH5" s="101" t="s">
        <v>314</v>
      </c>
      <c r="BI5" s="658"/>
      <c r="BK5" s="101" t="s">
        <v>435</v>
      </c>
      <c r="BL5" s="101" t="s">
        <v>838</v>
      </c>
      <c r="BM5" s="101" t="s">
        <v>131</v>
      </c>
      <c r="BN5" s="101" t="s">
        <v>275</v>
      </c>
    </row>
    <row r="6" spans="1:67" ht="21" customHeight="1" x14ac:dyDescent="0.35">
      <c r="A6" s="295"/>
      <c r="B6" s="295" t="s">
        <v>117</v>
      </c>
      <c r="C6" s="296" t="s">
        <v>790</v>
      </c>
      <c r="D6" s="16"/>
      <c r="E6" s="296" t="s">
        <v>791</v>
      </c>
      <c r="F6" s="542" t="s">
        <v>41</v>
      </c>
      <c r="G6" s="542">
        <v>150</v>
      </c>
      <c r="H6" s="543">
        <v>4.3E-3</v>
      </c>
      <c r="I6" s="587"/>
      <c r="J6" s="298">
        <v>2365</v>
      </c>
      <c r="K6" s="298">
        <v>2365</v>
      </c>
      <c r="L6" s="298">
        <v>2451</v>
      </c>
      <c r="M6" s="298">
        <v>2580</v>
      </c>
      <c r="N6" s="298">
        <v>2365</v>
      </c>
      <c r="O6" s="298">
        <v>2580</v>
      </c>
      <c r="P6" s="298">
        <v>2580</v>
      </c>
      <c r="Q6" s="298">
        <v>2580</v>
      </c>
      <c r="R6" s="298">
        <v>2580</v>
      </c>
      <c r="S6" s="298">
        <v>2580</v>
      </c>
      <c r="T6" s="298">
        <v>2580</v>
      </c>
      <c r="U6" s="298">
        <v>2580</v>
      </c>
      <c r="V6" s="298">
        <f>SUM(J6:U6)</f>
        <v>30186</v>
      </c>
      <c r="W6" s="9"/>
      <c r="X6" s="613">
        <f>'Base FTE'!$I36</f>
        <v>2.2857142857142856</v>
      </c>
      <c r="Y6" s="613">
        <f>'Base FTE'!$I36</f>
        <v>2.2857142857142856</v>
      </c>
      <c r="Z6" s="613">
        <f>'Base FTE'!$I36</f>
        <v>2.2857142857142856</v>
      </c>
      <c r="AA6" s="613">
        <f>'Base FTE'!$I36</f>
        <v>2.2857142857142856</v>
      </c>
      <c r="AB6" s="613">
        <f>'Base FTE'!$I36</f>
        <v>2.2857142857142856</v>
      </c>
      <c r="AC6" s="613">
        <f>'Base FTE'!$I36</f>
        <v>2.2857142857142856</v>
      </c>
      <c r="AD6" s="613">
        <f>'Base FTE'!$I36</f>
        <v>2.2857142857142856</v>
      </c>
      <c r="AE6" s="613">
        <f>'Base FTE'!$I36</f>
        <v>2.2857142857142856</v>
      </c>
      <c r="AF6" s="613">
        <f>'Base FTE'!$I36</f>
        <v>2.2857142857142856</v>
      </c>
      <c r="AG6" s="613">
        <f>'Base FTE'!$I36</f>
        <v>2.2857142857142856</v>
      </c>
      <c r="AH6" s="613">
        <f>'Base FTE'!$I36</f>
        <v>2.2857142857142856</v>
      </c>
      <c r="AI6" s="613">
        <f>'Base FTE'!$I36</f>
        <v>2.2857142857142856</v>
      </c>
      <c r="AJ6" s="99">
        <f>SUM(X6:AI6)</f>
        <v>27.42857142857142</v>
      </c>
      <c r="AK6" s="141"/>
      <c r="AL6" s="613">
        <f>X6/$AL$4</f>
        <v>2.8571428571428568</v>
      </c>
      <c r="AM6" s="613">
        <f t="shared" ref="AM6:AW6" si="0">Y6/$AL$4</f>
        <v>2.8571428571428568</v>
      </c>
      <c r="AN6" s="613">
        <f t="shared" si="0"/>
        <v>2.8571428571428568</v>
      </c>
      <c r="AO6" s="613">
        <f t="shared" si="0"/>
        <v>2.8571428571428568</v>
      </c>
      <c r="AP6" s="613">
        <f t="shared" si="0"/>
        <v>2.8571428571428568</v>
      </c>
      <c r="AQ6" s="613">
        <f t="shared" si="0"/>
        <v>2.8571428571428568</v>
      </c>
      <c r="AR6" s="613">
        <f t="shared" si="0"/>
        <v>2.8571428571428568</v>
      </c>
      <c r="AS6" s="613">
        <f t="shared" si="0"/>
        <v>2.8571428571428568</v>
      </c>
      <c r="AT6" s="613">
        <f t="shared" si="0"/>
        <v>2.8571428571428568</v>
      </c>
      <c r="AU6" s="613">
        <f t="shared" si="0"/>
        <v>2.8571428571428568</v>
      </c>
      <c r="AV6" s="613">
        <f t="shared" si="0"/>
        <v>2.8571428571428568</v>
      </c>
      <c r="AW6" s="613">
        <f t="shared" si="0"/>
        <v>2.8571428571428568</v>
      </c>
      <c r="AX6" s="99">
        <f>SUM(AL6:AW6)</f>
        <v>34.285714285714285</v>
      </c>
      <c r="AY6" s="99">
        <f>AX6/12</f>
        <v>2.8571428571428572</v>
      </c>
      <c r="AZ6" s="141"/>
      <c r="BA6" s="99">
        <f>AY6/'2. Headcount Buildup'!$D$36</f>
        <v>0.19047619047619049</v>
      </c>
      <c r="BB6" s="99">
        <f>AY6/'2. Headcount Buildup'!$D$37</f>
        <v>5.7142857142857141E-2</v>
      </c>
      <c r="BC6" s="99">
        <f>AY6/'2. Headcount Buildup'!$D$38</f>
        <v>2.8571428571428571E-2</v>
      </c>
      <c r="BD6" s="99">
        <f>AY6/'2. Headcount Buildup'!$D$43</f>
        <v>2.8571428571428571E-2</v>
      </c>
      <c r="BE6" s="99">
        <f>(SUM('2. Headcount Buildup'!$F$44:$Q$44)/12)*('Base Revenue'!$AY6/'Base Revenue'!$AY$61)</f>
        <v>5.5477910389648021E-2</v>
      </c>
      <c r="BF6" s="99">
        <f>(SUM('2. Headcount Buildup'!$F$45:$Q$45)/12)*('Base Revenue'!$AY6/'Base Revenue'!$AY$61)</f>
        <v>9.2463183982746694E-2</v>
      </c>
      <c r="BG6" s="99">
        <f>(SUM('2. Headcount Buildup'!$F$46:$Q$46)/12)*('Base Revenue'!$AY6/'Base Revenue'!$AY$61)</f>
        <v>0.14794109437239472</v>
      </c>
      <c r="BH6" s="99">
        <f>SUM(BA6:BG6)</f>
        <v>0.60064409350669412</v>
      </c>
      <c r="BI6" s="141"/>
      <c r="BK6" s="14" t="s">
        <v>790</v>
      </c>
      <c r="BL6" s="102">
        <f t="shared" ref="BL6:BL18" si="1">IFERROR(SUMIF($C$6:$C$60,BK6,$V$6:$V$60),0)</f>
        <v>136567</v>
      </c>
      <c r="BM6" s="103">
        <f t="shared" ref="BM6:BM18" si="2">IFERROR(SUMIF($C$5:$C$60,BK6,$AJ$5:$AJ$60),0)</f>
        <v>27.42857142857142</v>
      </c>
      <c r="BN6" s="104">
        <f t="shared" ref="BN6:BN27" si="3">IFERROR(BL6/BM6,0)</f>
        <v>4979.0052083333348</v>
      </c>
    </row>
    <row r="7" spans="1:67" x14ac:dyDescent="0.35">
      <c r="A7" s="295"/>
      <c r="B7" s="295" t="s">
        <v>117</v>
      </c>
      <c r="C7" s="296" t="s">
        <v>790</v>
      </c>
      <c r="D7" s="16"/>
      <c r="E7" s="296" t="s">
        <v>792</v>
      </c>
      <c r="F7" s="542" t="s">
        <v>41</v>
      </c>
      <c r="G7" s="542">
        <v>150</v>
      </c>
      <c r="H7" s="543">
        <v>2.5499999999999998E-2</v>
      </c>
      <c r="I7" s="587"/>
      <c r="J7" s="304">
        <v>7649.9999999999991</v>
      </c>
      <c r="K7" s="304">
        <v>7649.9999999999991</v>
      </c>
      <c r="L7" s="304">
        <v>8415</v>
      </c>
      <c r="M7" s="304">
        <v>8925</v>
      </c>
      <c r="N7" s="304">
        <v>7649.9999999999991</v>
      </c>
      <c r="O7" s="304">
        <v>8925</v>
      </c>
      <c r="P7" s="304">
        <v>8925</v>
      </c>
      <c r="Q7" s="304">
        <v>8925</v>
      </c>
      <c r="R7" s="304">
        <v>8925</v>
      </c>
      <c r="S7" s="304">
        <v>8925</v>
      </c>
      <c r="T7" s="304">
        <v>8925</v>
      </c>
      <c r="U7" s="304">
        <v>8925</v>
      </c>
      <c r="V7" s="304">
        <f t="shared" ref="V7:V48" si="4">SUM(J7:U7)</f>
        <v>102765</v>
      </c>
      <c r="W7" s="9"/>
      <c r="X7" s="297"/>
      <c r="Y7" s="297"/>
      <c r="Z7" s="297"/>
      <c r="AA7" s="297"/>
      <c r="AB7" s="297"/>
      <c r="AC7" s="297"/>
      <c r="AD7" s="297"/>
      <c r="AE7" s="297"/>
      <c r="AF7" s="297"/>
      <c r="AG7" s="297"/>
      <c r="AH7" s="297"/>
      <c r="AI7" s="297"/>
      <c r="AJ7" s="99">
        <f t="shared" ref="AJ7:AJ60" si="5">SUM(X7:AI7)</f>
        <v>0</v>
      </c>
      <c r="AK7" s="141"/>
      <c r="AL7" s="297"/>
      <c r="AM7" s="297"/>
      <c r="AN7" s="297"/>
      <c r="AO7" s="297"/>
      <c r="AP7" s="297"/>
      <c r="AQ7" s="297"/>
      <c r="AR7" s="297"/>
      <c r="AS7" s="297"/>
      <c r="AT7" s="297"/>
      <c r="AU7" s="297"/>
      <c r="AV7" s="297"/>
      <c r="AW7" s="297"/>
      <c r="AX7" s="99">
        <f t="shared" ref="AX7:AX60" si="6">SUM(AL7:AW7)</f>
        <v>0</v>
      </c>
      <c r="AY7" s="99">
        <f t="shared" ref="AY7:AY60" si="7">AX7/12</f>
        <v>0</v>
      </c>
      <c r="AZ7" s="141"/>
      <c r="BA7" s="99">
        <f>AY7/'2. Headcount Buildup'!$D$36</f>
        <v>0</v>
      </c>
      <c r="BB7" s="99">
        <f>AY7/'2. Headcount Buildup'!$D$37</f>
        <v>0</v>
      </c>
      <c r="BC7" s="99">
        <f>AY7/'2. Headcount Buildup'!$D$38</f>
        <v>0</v>
      </c>
      <c r="BD7" s="99">
        <f>AY7/'2. Headcount Buildup'!$D$43</f>
        <v>0</v>
      </c>
      <c r="BE7" s="99">
        <f>(SUM('2. Headcount Buildup'!$F$44:$Q$44)/12)*('Base Revenue'!$AY7/'Base Revenue'!$AY$61)</f>
        <v>0</v>
      </c>
      <c r="BF7" s="99">
        <f>(SUM('2. Headcount Buildup'!$F$45:$Q$45)/12)*('Base Revenue'!$AY7/'Base Revenue'!$AY$61)</f>
        <v>0</v>
      </c>
      <c r="BG7" s="99">
        <f>(SUM('2. Headcount Buildup'!$F$46:$Q$46)/12)*('Base Revenue'!$AY7/'Base Revenue'!$AY$61)</f>
        <v>0</v>
      </c>
      <c r="BH7" s="99">
        <f t="shared" ref="BH7:BH61" si="8">SUM(BA7:BG7)</f>
        <v>0</v>
      </c>
      <c r="BI7" s="141"/>
      <c r="BK7" s="14" t="s">
        <v>782</v>
      </c>
      <c r="BL7" s="102">
        <f t="shared" si="1"/>
        <v>365662.68</v>
      </c>
      <c r="BM7" s="103">
        <f t="shared" si="2"/>
        <v>341.4131113498031</v>
      </c>
      <c r="BN7" s="104">
        <f t="shared" si="3"/>
        <v>1071.0270573802054</v>
      </c>
    </row>
    <row r="8" spans="1:67" x14ac:dyDescent="0.35">
      <c r="A8" s="295"/>
      <c r="B8" s="295" t="s">
        <v>117</v>
      </c>
      <c r="C8" s="296" t="s">
        <v>790</v>
      </c>
      <c r="D8" s="16"/>
      <c r="E8" s="296" t="s">
        <v>59</v>
      </c>
      <c r="F8" s="542" t="s">
        <v>41</v>
      </c>
      <c r="G8" s="542">
        <v>150</v>
      </c>
      <c r="H8" s="543">
        <v>6.4000000000000003E-3</v>
      </c>
      <c r="I8" s="587"/>
      <c r="J8" s="304">
        <v>256</v>
      </c>
      <c r="K8" s="304">
        <v>256</v>
      </c>
      <c r="L8" s="304">
        <v>288</v>
      </c>
      <c r="M8" s="304">
        <v>320</v>
      </c>
      <c r="N8" s="304">
        <v>256</v>
      </c>
      <c r="O8" s="304">
        <v>320</v>
      </c>
      <c r="P8" s="304">
        <v>320</v>
      </c>
      <c r="Q8" s="304">
        <v>320</v>
      </c>
      <c r="R8" s="304">
        <v>320</v>
      </c>
      <c r="S8" s="304">
        <v>320</v>
      </c>
      <c r="T8" s="304">
        <v>320</v>
      </c>
      <c r="U8" s="304">
        <v>320</v>
      </c>
      <c r="V8" s="304">
        <f t="shared" si="4"/>
        <v>3616</v>
      </c>
      <c r="W8" s="9"/>
      <c r="X8" s="297"/>
      <c r="Y8" s="297"/>
      <c r="Z8" s="297"/>
      <c r="AA8" s="297"/>
      <c r="AB8" s="297"/>
      <c r="AC8" s="297"/>
      <c r="AD8" s="297"/>
      <c r="AE8" s="297"/>
      <c r="AF8" s="297"/>
      <c r="AG8" s="297"/>
      <c r="AH8" s="297"/>
      <c r="AI8" s="297"/>
      <c r="AJ8" s="99">
        <f t="shared" si="5"/>
        <v>0</v>
      </c>
      <c r="AK8" s="141"/>
      <c r="AL8" s="297"/>
      <c r="AM8" s="297"/>
      <c r="AN8" s="297"/>
      <c r="AO8" s="297"/>
      <c r="AP8" s="297"/>
      <c r="AQ8" s="297"/>
      <c r="AR8" s="297"/>
      <c r="AS8" s="297"/>
      <c r="AT8" s="297"/>
      <c r="AU8" s="297"/>
      <c r="AV8" s="297"/>
      <c r="AW8" s="297"/>
      <c r="AX8" s="99">
        <f t="shared" si="6"/>
        <v>0</v>
      </c>
      <c r="AY8" s="99">
        <f t="shared" si="7"/>
        <v>0</v>
      </c>
      <c r="AZ8" s="141"/>
      <c r="BA8" s="99">
        <f>AY8/'2. Headcount Buildup'!$D$36</f>
        <v>0</v>
      </c>
      <c r="BB8" s="99">
        <f>AY8/'2. Headcount Buildup'!$D$37</f>
        <v>0</v>
      </c>
      <c r="BC8" s="99">
        <f>AY8/'2. Headcount Buildup'!$D$38</f>
        <v>0</v>
      </c>
      <c r="BD8" s="99">
        <f>AY8/'2. Headcount Buildup'!$D$43</f>
        <v>0</v>
      </c>
      <c r="BE8" s="99">
        <f>(SUM('2. Headcount Buildup'!$F$44:$Q$44)/12)*('Base Revenue'!$AY8/'Base Revenue'!$AY$61)</f>
        <v>0</v>
      </c>
      <c r="BF8" s="99">
        <f>(SUM('2. Headcount Buildup'!$F$45:$Q$45)/12)*('Base Revenue'!$AY8/'Base Revenue'!$AY$61)</f>
        <v>0</v>
      </c>
      <c r="BG8" s="99">
        <f>(SUM('2. Headcount Buildup'!$F$46:$Q$46)/12)*('Base Revenue'!$AY8/'Base Revenue'!$AY$61)</f>
        <v>0</v>
      </c>
      <c r="BH8" s="99">
        <f t="shared" si="8"/>
        <v>0</v>
      </c>
      <c r="BI8" s="141"/>
      <c r="BK8" s="14" t="s">
        <v>802</v>
      </c>
      <c r="BL8" s="102">
        <f t="shared" si="1"/>
        <v>104400</v>
      </c>
      <c r="BM8" s="103">
        <f t="shared" si="2"/>
        <v>87.770326530612252</v>
      </c>
      <c r="BN8" s="104">
        <f t="shared" si="3"/>
        <v>1189.4680597273123</v>
      </c>
    </row>
    <row r="9" spans="1:67" x14ac:dyDescent="0.35">
      <c r="A9" s="295"/>
      <c r="B9" s="295" t="s">
        <v>117</v>
      </c>
      <c r="C9" s="296" t="s">
        <v>782</v>
      </c>
      <c r="D9" s="16"/>
      <c r="E9" s="296" t="s">
        <v>87</v>
      </c>
      <c r="F9" s="542" t="s">
        <v>62</v>
      </c>
      <c r="G9" s="542">
        <v>300</v>
      </c>
      <c r="H9" s="546">
        <v>0.55000000000000004</v>
      </c>
      <c r="I9" s="587">
        <v>840</v>
      </c>
      <c r="J9" s="304">
        <v>462.00000000000006</v>
      </c>
      <c r="K9" s="304">
        <v>462.00000000000006</v>
      </c>
      <c r="L9" s="304">
        <v>462.00000000000006</v>
      </c>
      <c r="M9" s="304">
        <v>462.00000000000006</v>
      </c>
      <c r="N9" s="304">
        <v>462.00000000000006</v>
      </c>
      <c r="O9" s="304">
        <v>462.00000000000006</v>
      </c>
      <c r="P9" s="304">
        <v>462.00000000000006</v>
      </c>
      <c r="Q9" s="304">
        <v>462.00000000000006</v>
      </c>
      <c r="R9" s="304">
        <v>462.00000000000006</v>
      </c>
      <c r="S9" s="304">
        <v>462.00000000000006</v>
      </c>
      <c r="T9" s="304">
        <v>462.00000000000006</v>
      </c>
      <c r="U9" s="304">
        <v>462.00000000000006</v>
      </c>
      <c r="V9" s="304">
        <f t="shared" si="4"/>
        <v>5544.0000000000009</v>
      </c>
      <c r="W9" s="9"/>
      <c r="X9" s="613">
        <f>$I9/$G9/21</f>
        <v>0.13333333333333333</v>
      </c>
      <c r="Y9" s="613">
        <f t="shared" ref="Y9:AI9" si="9">$I9/$G9/21</f>
        <v>0.13333333333333333</v>
      </c>
      <c r="Z9" s="613">
        <f t="shared" si="9"/>
        <v>0.13333333333333333</v>
      </c>
      <c r="AA9" s="613">
        <f t="shared" si="9"/>
        <v>0.13333333333333333</v>
      </c>
      <c r="AB9" s="613">
        <f t="shared" si="9"/>
        <v>0.13333333333333333</v>
      </c>
      <c r="AC9" s="613">
        <f t="shared" si="9"/>
        <v>0.13333333333333333</v>
      </c>
      <c r="AD9" s="613">
        <f t="shared" si="9"/>
        <v>0.13333333333333333</v>
      </c>
      <c r="AE9" s="613">
        <f t="shared" si="9"/>
        <v>0.13333333333333333</v>
      </c>
      <c r="AF9" s="613">
        <f t="shared" si="9"/>
        <v>0.13333333333333333</v>
      </c>
      <c r="AG9" s="613">
        <f t="shared" si="9"/>
        <v>0.13333333333333333</v>
      </c>
      <c r="AH9" s="613">
        <f t="shared" si="9"/>
        <v>0.13333333333333333</v>
      </c>
      <c r="AI9" s="613">
        <f t="shared" si="9"/>
        <v>0.13333333333333333</v>
      </c>
      <c r="AJ9" s="99">
        <f t="shared" si="5"/>
        <v>1.5999999999999999</v>
      </c>
      <c r="AK9" s="141"/>
      <c r="AL9" s="613">
        <f>X9/$AL$4</f>
        <v>0.16666666666666666</v>
      </c>
      <c r="AM9" s="613">
        <f t="shared" ref="AM9" si="10">Y9/$AL$4</f>
        <v>0.16666666666666666</v>
      </c>
      <c r="AN9" s="613">
        <f t="shared" ref="AN9" si="11">Z9/$AL$4</f>
        <v>0.16666666666666666</v>
      </c>
      <c r="AO9" s="613">
        <f t="shared" ref="AO9" si="12">AA9/$AL$4</f>
        <v>0.16666666666666666</v>
      </c>
      <c r="AP9" s="613">
        <f t="shared" ref="AP9" si="13">AB9/$AL$4</f>
        <v>0.16666666666666666</v>
      </c>
      <c r="AQ9" s="613">
        <f t="shared" ref="AQ9" si="14">AC9/$AL$4</f>
        <v>0.16666666666666666</v>
      </c>
      <c r="AR9" s="613">
        <f t="shared" ref="AR9" si="15">AD9/$AL$4</f>
        <v>0.16666666666666666</v>
      </c>
      <c r="AS9" s="613">
        <f t="shared" ref="AS9" si="16">AE9/$AL$4</f>
        <v>0.16666666666666666</v>
      </c>
      <c r="AT9" s="613">
        <f t="shared" ref="AT9" si="17">AF9/$AL$4</f>
        <v>0.16666666666666666</v>
      </c>
      <c r="AU9" s="613">
        <f t="shared" ref="AU9" si="18">AG9/$AL$4</f>
        <v>0.16666666666666666</v>
      </c>
      <c r="AV9" s="613">
        <f t="shared" ref="AV9" si="19">AH9/$AL$4</f>
        <v>0.16666666666666666</v>
      </c>
      <c r="AW9" s="613">
        <f t="shared" ref="AW9" si="20">AI9/$AL$4</f>
        <v>0.16666666666666666</v>
      </c>
      <c r="AX9" s="99">
        <f t="shared" si="6"/>
        <v>2</v>
      </c>
      <c r="AY9" s="99">
        <f t="shared" si="7"/>
        <v>0.16666666666666666</v>
      </c>
      <c r="AZ9" s="141"/>
      <c r="BA9" s="99">
        <f>AY9/'2. Headcount Buildup'!$D$36</f>
        <v>1.111111111111111E-2</v>
      </c>
      <c r="BB9" s="99">
        <f>AY9/'2. Headcount Buildup'!$D$37</f>
        <v>3.3333333333333331E-3</v>
      </c>
      <c r="BC9" s="99">
        <f>AY9/'2. Headcount Buildup'!$D$38</f>
        <v>1.6666666666666666E-3</v>
      </c>
      <c r="BD9" s="99">
        <f>AY9/'2. Headcount Buildup'!$D$43</f>
        <v>1.6666666666666666E-3</v>
      </c>
      <c r="BE9" s="99">
        <f>(SUM('2. Headcount Buildup'!$F$44:$Q$44)/12)*('Base Revenue'!$AY9/'Base Revenue'!$AY$61)</f>
        <v>3.2362114393961342E-3</v>
      </c>
      <c r="BF9" s="99">
        <f>(SUM('2. Headcount Buildup'!$F$45:$Q$45)/12)*('Base Revenue'!$AY9/'Base Revenue'!$AY$61)</f>
        <v>5.3936857323268897E-3</v>
      </c>
      <c r="BG9" s="99">
        <f>(SUM('2. Headcount Buildup'!$F$46:$Q$46)/12)*('Base Revenue'!$AY9/'Base Revenue'!$AY$61)</f>
        <v>8.6298971717230239E-3</v>
      </c>
      <c r="BH9" s="99">
        <f t="shared" si="8"/>
        <v>3.5037572121223826E-2</v>
      </c>
      <c r="BI9" s="141"/>
      <c r="BK9" s="14" t="s">
        <v>798</v>
      </c>
      <c r="BL9" s="102">
        <f t="shared" si="1"/>
        <v>30720</v>
      </c>
      <c r="BM9" s="103">
        <f t="shared" si="2"/>
        <v>24</v>
      </c>
      <c r="BN9" s="104">
        <f t="shared" si="3"/>
        <v>1280</v>
      </c>
    </row>
    <row r="10" spans="1:67" x14ac:dyDescent="0.35">
      <c r="A10" s="295"/>
      <c r="B10" s="295" t="s">
        <v>117</v>
      </c>
      <c r="C10" s="296" t="s">
        <v>782</v>
      </c>
      <c r="D10" s="16"/>
      <c r="E10" s="296" t="s">
        <v>86</v>
      </c>
      <c r="F10" s="542" t="s">
        <v>62</v>
      </c>
      <c r="G10" s="542">
        <v>300</v>
      </c>
      <c r="H10" s="546">
        <v>0.27</v>
      </c>
      <c r="I10" s="587">
        <v>6143.5</v>
      </c>
      <c r="J10" s="304">
        <v>1620</v>
      </c>
      <c r="K10" s="304">
        <v>1593</v>
      </c>
      <c r="L10" s="304">
        <v>1710.99</v>
      </c>
      <c r="M10" s="304">
        <v>1710.99</v>
      </c>
      <c r="N10" s="304">
        <v>1593</v>
      </c>
      <c r="O10" s="304">
        <v>1710.99</v>
      </c>
      <c r="P10" s="304">
        <v>1710.99</v>
      </c>
      <c r="Q10" s="304">
        <v>1620</v>
      </c>
      <c r="R10" s="304">
        <v>1620</v>
      </c>
      <c r="S10" s="304">
        <v>1710.99</v>
      </c>
      <c r="T10" s="304">
        <v>1593</v>
      </c>
      <c r="U10" s="304">
        <v>1710.99</v>
      </c>
      <c r="V10" s="304">
        <f t="shared" si="4"/>
        <v>19904.940000000002</v>
      </c>
      <c r="W10" s="9"/>
      <c r="X10" s="613">
        <f t="shared" ref="X10:AI17" si="21">$I10/$G10/21</f>
        <v>0.97515873015873011</v>
      </c>
      <c r="Y10" s="613">
        <f t="shared" si="21"/>
        <v>0.97515873015873011</v>
      </c>
      <c r="Z10" s="613">
        <f t="shared" si="21"/>
        <v>0.97515873015873011</v>
      </c>
      <c r="AA10" s="613">
        <f t="shared" si="21"/>
        <v>0.97515873015873011</v>
      </c>
      <c r="AB10" s="613">
        <f t="shared" si="21"/>
        <v>0.97515873015873011</v>
      </c>
      <c r="AC10" s="613">
        <f t="shared" si="21"/>
        <v>0.97515873015873011</v>
      </c>
      <c r="AD10" s="613">
        <f t="shared" si="21"/>
        <v>0.97515873015873011</v>
      </c>
      <c r="AE10" s="613">
        <f t="shared" si="21"/>
        <v>0.97515873015873011</v>
      </c>
      <c r="AF10" s="613">
        <f t="shared" si="21"/>
        <v>0.97515873015873011</v>
      </c>
      <c r="AG10" s="613">
        <f t="shared" si="21"/>
        <v>0.97515873015873011</v>
      </c>
      <c r="AH10" s="613">
        <f t="shared" si="21"/>
        <v>0.97515873015873011</v>
      </c>
      <c r="AI10" s="613">
        <f t="shared" si="21"/>
        <v>0.97515873015873011</v>
      </c>
      <c r="AJ10" s="99">
        <f t="shared" si="5"/>
        <v>11.701904761904762</v>
      </c>
      <c r="AK10" s="141"/>
      <c r="AL10" s="613">
        <f t="shared" ref="AL10:AL59" si="22">X10/$AL$4</f>
        <v>1.2189484126984125</v>
      </c>
      <c r="AM10" s="613">
        <f t="shared" ref="AM10:AM59" si="23">Y10/$AL$4</f>
        <v>1.2189484126984125</v>
      </c>
      <c r="AN10" s="613">
        <f t="shared" ref="AN10:AN59" si="24">Z10/$AL$4</f>
        <v>1.2189484126984125</v>
      </c>
      <c r="AO10" s="613">
        <f t="shared" ref="AO10:AO59" si="25">AA10/$AL$4</f>
        <v>1.2189484126984125</v>
      </c>
      <c r="AP10" s="613">
        <f t="shared" ref="AP10:AP59" si="26">AB10/$AL$4</f>
        <v>1.2189484126984125</v>
      </c>
      <c r="AQ10" s="613">
        <f t="shared" ref="AQ10:AQ59" si="27">AC10/$AL$4</f>
        <v>1.2189484126984125</v>
      </c>
      <c r="AR10" s="613">
        <f t="shared" ref="AR10:AR59" si="28">AD10/$AL$4</f>
        <v>1.2189484126984125</v>
      </c>
      <c r="AS10" s="613">
        <f t="shared" ref="AS10:AS59" si="29">AE10/$AL$4</f>
        <v>1.2189484126984125</v>
      </c>
      <c r="AT10" s="613">
        <f t="shared" ref="AT10:AT59" si="30">AF10/$AL$4</f>
        <v>1.2189484126984125</v>
      </c>
      <c r="AU10" s="613">
        <f t="shared" ref="AU10:AU59" si="31">AG10/$AL$4</f>
        <v>1.2189484126984125</v>
      </c>
      <c r="AV10" s="613">
        <f t="shared" ref="AV10:AV59" si="32">AH10/$AL$4</f>
        <v>1.2189484126984125</v>
      </c>
      <c r="AW10" s="613">
        <f t="shared" ref="AW10:AW59" si="33">AI10/$AL$4</f>
        <v>1.2189484126984125</v>
      </c>
      <c r="AX10" s="99">
        <f t="shared" si="6"/>
        <v>14.627380952380953</v>
      </c>
      <c r="AY10" s="99">
        <f t="shared" si="7"/>
        <v>1.2189484126984127</v>
      </c>
      <c r="AZ10" s="141"/>
      <c r="BA10" s="99">
        <f>AY10/'2. Headcount Buildup'!$D$36</f>
        <v>8.1263227513227509E-2</v>
      </c>
      <c r="BB10" s="99">
        <f>AY10/'2. Headcount Buildup'!$D$37</f>
        <v>2.4378968253968254E-2</v>
      </c>
      <c r="BC10" s="99">
        <f>AY10/'2. Headcount Buildup'!$D$38</f>
        <v>1.2189484126984127E-2</v>
      </c>
      <c r="BD10" s="99">
        <f>AY10/'2. Headcount Buildup'!$D$43</f>
        <v>1.2189484126984127E-2</v>
      </c>
      <c r="BE10" s="99">
        <f>(SUM('2. Headcount Buildup'!$F$44:$Q$44)/12)*('Base Revenue'!$AY10/'Base Revenue'!$AY$61)</f>
        <v>2.366864878325018E-2</v>
      </c>
      <c r="BF10" s="99">
        <f>(SUM('2. Headcount Buildup'!$F$45:$Q$45)/12)*('Base Revenue'!$AY10/'Base Revenue'!$AY$61)</f>
        <v>3.9447747972083634E-2</v>
      </c>
      <c r="BG10" s="99">
        <f>(SUM('2. Headcount Buildup'!$F$46:$Q$46)/12)*('Base Revenue'!$AY10/'Base Revenue'!$AY$61)</f>
        <v>6.3116396755333815E-2</v>
      </c>
      <c r="BH10" s="99">
        <f t="shared" si="8"/>
        <v>0.25625395753183167</v>
      </c>
      <c r="BI10" s="141"/>
      <c r="BK10" s="14" t="s">
        <v>764</v>
      </c>
      <c r="BL10" s="102">
        <f t="shared" si="1"/>
        <v>34560</v>
      </c>
      <c r="BM10" s="103">
        <f t="shared" si="2"/>
        <v>24</v>
      </c>
      <c r="BN10" s="104">
        <f t="shared" si="3"/>
        <v>1440</v>
      </c>
    </row>
    <row r="11" spans="1:67" x14ac:dyDescent="0.35">
      <c r="A11" s="295"/>
      <c r="B11" s="295" t="s">
        <v>117</v>
      </c>
      <c r="C11" s="296" t="s">
        <v>782</v>
      </c>
      <c r="D11" s="16"/>
      <c r="E11" s="296" t="s">
        <v>783</v>
      </c>
      <c r="F11" s="542" t="s">
        <v>62</v>
      </c>
      <c r="G11" s="542">
        <v>150</v>
      </c>
      <c r="H11" s="546">
        <v>0.54</v>
      </c>
      <c r="I11" s="587">
        <v>813</v>
      </c>
      <c r="J11" s="304">
        <v>447.12</v>
      </c>
      <c r="K11" s="304">
        <v>432</v>
      </c>
      <c r="L11" s="304">
        <v>447.12</v>
      </c>
      <c r="M11" s="304">
        <v>447.12</v>
      </c>
      <c r="N11" s="304">
        <v>432</v>
      </c>
      <c r="O11" s="304">
        <v>447.12</v>
      </c>
      <c r="P11" s="304">
        <v>447.12</v>
      </c>
      <c r="Q11" s="304">
        <v>421.20000000000005</v>
      </c>
      <c r="R11" s="304">
        <v>421.20000000000005</v>
      </c>
      <c r="S11" s="304">
        <v>447.12</v>
      </c>
      <c r="T11" s="304">
        <v>432</v>
      </c>
      <c r="U11" s="304">
        <v>447.12</v>
      </c>
      <c r="V11" s="304">
        <f t="shared" si="4"/>
        <v>5268.24</v>
      </c>
      <c r="W11" s="9"/>
      <c r="X11" s="613">
        <f t="shared" si="21"/>
        <v>0.2580952380952381</v>
      </c>
      <c r="Y11" s="613">
        <f t="shared" si="21"/>
        <v>0.2580952380952381</v>
      </c>
      <c r="Z11" s="613">
        <f t="shared" si="21"/>
        <v>0.2580952380952381</v>
      </c>
      <c r="AA11" s="613">
        <f t="shared" si="21"/>
        <v>0.2580952380952381</v>
      </c>
      <c r="AB11" s="613">
        <f t="shared" si="21"/>
        <v>0.2580952380952381</v>
      </c>
      <c r="AC11" s="613">
        <f t="shared" si="21"/>
        <v>0.2580952380952381</v>
      </c>
      <c r="AD11" s="613">
        <f t="shared" si="21"/>
        <v>0.2580952380952381</v>
      </c>
      <c r="AE11" s="613">
        <f t="shared" si="21"/>
        <v>0.2580952380952381</v>
      </c>
      <c r="AF11" s="613">
        <f t="shared" si="21"/>
        <v>0.2580952380952381</v>
      </c>
      <c r="AG11" s="613">
        <f t="shared" si="21"/>
        <v>0.2580952380952381</v>
      </c>
      <c r="AH11" s="613">
        <f t="shared" si="21"/>
        <v>0.2580952380952381</v>
      </c>
      <c r="AI11" s="613">
        <f t="shared" si="21"/>
        <v>0.2580952380952381</v>
      </c>
      <c r="AJ11" s="99">
        <f t="shared" si="5"/>
        <v>3.0971428571428574</v>
      </c>
      <c r="AK11" s="141"/>
      <c r="AL11" s="613">
        <f t="shared" si="22"/>
        <v>0.32261904761904758</v>
      </c>
      <c r="AM11" s="613">
        <f t="shared" si="23"/>
        <v>0.32261904761904758</v>
      </c>
      <c r="AN11" s="613">
        <f t="shared" si="24"/>
        <v>0.32261904761904758</v>
      </c>
      <c r="AO11" s="613">
        <f t="shared" si="25"/>
        <v>0.32261904761904758</v>
      </c>
      <c r="AP11" s="613">
        <f t="shared" si="26"/>
        <v>0.32261904761904758</v>
      </c>
      <c r="AQ11" s="613">
        <f t="shared" si="27"/>
        <v>0.32261904761904758</v>
      </c>
      <c r="AR11" s="613">
        <f t="shared" si="28"/>
        <v>0.32261904761904758</v>
      </c>
      <c r="AS11" s="613">
        <f t="shared" si="29"/>
        <v>0.32261904761904758</v>
      </c>
      <c r="AT11" s="613">
        <f t="shared" si="30"/>
        <v>0.32261904761904758</v>
      </c>
      <c r="AU11" s="613">
        <f t="shared" si="31"/>
        <v>0.32261904761904758</v>
      </c>
      <c r="AV11" s="613">
        <f t="shared" si="32"/>
        <v>0.32261904761904758</v>
      </c>
      <c r="AW11" s="613">
        <f t="shared" si="33"/>
        <v>0.32261904761904758</v>
      </c>
      <c r="AX11" s="99">
        <f t="shared" si="6"/>
        <v>3.8714285714285719</v>
      </c>
      <c r="AY11" s="99">
        <f t="shared" si="7"/>
        <v>0.32261904761904764</v>
      </c>
      <c r="AZ11" s="141"/>
      <c r="BA11" s="99">
        <f>AY11/'2. Headcount Buildup'!$D$36</f>
        <v>2.1507936507936511E-2</v>
      </c>
      <c r="BB11" s="99">
        <f>AY11/'2. Headcount Buildup'!$D$37</f>
        <v>6.4523809523809525E-3</v>
      </c>
      <c r="BC11" s="99">
        <f>AY11/'2. Headcount Buildup'!$D$38</f>
        <v>3.2261904761904762E-3</v>
      </c>
      <c r="BD11" s="99">
        <f>AY11/'2. Headcount Buildup'!$D$43</f>
        <v>3.2261904761904762E-3</v>
      </c>
      <c r="BE11" s="99">
        <f>(SUM('2. Headcount Buildup'!$F$44:$Q$44)/12)*('Base Revenue'!$AY11/'Base Revenue'!$AY$61)</f>
        <v>6.2643807148310892E-3</v>
      </c>
      <c r="BF11" s="99">
        <f>(SUM('2. Headcount Buildup'!$F$45:$Q$45)/12)*('Base Revenue'!$AY11/'Base Revenue'!$AY$61)</f>
        <v>1.0440634524718481E-2</v>
      </c>
      <c r="BG11" s="99">
        <f>(SUM('2. Headcount Buildup'!$F$46:$Q$46)/12)*('Base Revenue'!$AY11/'Base Revenue'!$AY$61)</f>
        <v>1.6705015239549571E-2</v>
      </c>
      <c r="BH11" s="99">
        <f t="shared" si="8"/>
        <v>6.7822728891797551E-2</v>
      </c>
      <c r="BI11" s="141"/>
      <c r="BK11" s="14" t="s">
        <v>839</v>
      </c>
      <c r="BL11" s="102">
        <f t="shared" si="1"/>
        <v>0</v>
      </c>
      <c r="BM11" s="103">
        <f t="shared" si="2"/>
        <v>0</v>
      </c>
      <c r="BN11" s="104">
        <f t="shared" si="3"/>
        <v>0</v>
      </c>
    </row>
    <row r="12" spans="1:67" x14ac:dyDescent="0.35">
      <c r="A12" s="295"/>
      <c r="B12" s="295" t="s">
        <v>117</v>
      </c>
      <c r="C12" s="296" t="s">
        <v>782</v>
      </c>
      <c r="D12" s="16"/>
      <c r="E12" s="296" t="s">
        <v>784</v>
      </c>
      <c r="F12" s="542" t="s">
        <v>62</v>
      </c>
      <c r="G12" s="542">
        <v>150</v>
      </c>
      <c r="H12" s="546">
        <v>0.25</v>
      </c>
      <c r="I12" s="587">
        <v>6114.5</v>
      </c>
      <c r="J12" s="304">
        <v>1500</v>
      </c>
      <c r="K12" s="304">
        <v>1500</v>
      </c>
      <c r="L12" s="304">
        <v>1557.25</v>
      </c>
      <c r="M12" s="304">
        <v>1557.25</v>
      </c>
      <c r="N12" s="304">
        <v>1500</v>
      </c>
      <c r="O12" s="304">
        <v>1557.25</v>
      </c>
      <c r="P12" s="304">
        <v>1557.25</v>
      </c>
      <c r="Q12" s="304">
        <v>1500</v>
      </c>
      <c r="R12" s="304">
        <v>1500</v>
      </c>
      <c r="S12" s="304">
        <v>1557.25</v>
      </c>
      <c r="T12" s="304">
        <v>1500</v>
      </c>
      <c r="U12" s="304">
        <v>1557.25</v>
      </c>
      <c r="V12" s="304">
        <f t="shared" si="4"/>
        <v>18343.5</v>
      </c>
      <c r="W12" s="9"/>
      <c r="X12" s="613">
        <f t="shared" si="21"/>
        <v>1.9411111111111112</v>
      </c>
      <c r="Y12" s="613">
        <f t="shared" si="21"/>
        <v>1.9411111111111112</v>
      </c>
      <c r="Z12" s="613">
        <f t="shared" si="21"/>
        <v>1.9411111111111112</v>
      </c>
      <c r="AA12" s="613">
        <f t="shared" si="21"/>
        <v>1.9411111111111112</v>
      </c>
      <c r="AB12" s="613">
        <f t="shared" si="21"/>
        <v>1.9411111111111112</v>
      </c>
      <c r="AC12" s="613">
        <f t="shared" si="21"/>
        <v>1.9411111111111112</v>
      </c>
      <c r="AD12" s="613">
        <f t="shared" si="21"/>
        <v>1.9411111111111112</v>
      </c>
      <c r="AE12" s="613">
        <f t="shared" si="21"/>
        <v>1.9411111111111112</v>
      </c>
      <c r="AF12" s="613">
        <f t="shared" si="21"/>
        <v>1.9411111111111112</v>
      </c>
      <c r="AG12" s="613">
        <f t="shared" si="21"/>
        <v>1.9411111111111112</v>
      </c>
      <c r="AH12" s="613">
        <f t="shared" si="21"/>
        <v>1.9411111111111112</v>
      </c>
      <c r="AI12" s="613">
        <f t="shared" si="21"/>
        <v>1.9411111111111112</v>
      </c>
      <c r="AJ12" s="99">
        <f t="shared" si="5"/>
        <v>23.293333333333337</v>
      </c>
      <c r="AK12" s="141"/>
      <c r="AL12" s="613">
        <f t="shared" si="22"/>
        <v>2.4263888888888889</v>
      </c>
      <c r="AM12" s="613">
        <f t="shared" si="23"/>
        <v>2.4263888888888889</v>
      </c>
      <c r="AN12" s="613">
        <f t="shared" si="24"/>
        <v>2.4263888888888889</v>
      </c>
      <c r="AO12" s="613">
        <f t="shared" si="25"/>
        <v>2.4263888888888889</v>
      </c>
      <c r="AP12" s="613">
        <f t="shared" si="26"/>
        <v>2.4263888888888889</v>
      </c>
      <c r="AQ12" s="613">
        <f t="shared" si="27"/>
        <v>2.4263888888888889</v>
      </c>
      <c r="AR12" s="613">
        <f t="shared" si="28"/>
        <v>2.4263888888888889</v>
      </c>
      <c r="AS12" s="613">
        <f t="shared" si="29"/>
        <v>2.4263888888888889</v>
      </c>
      <c r="AT12" s="613">
        <f t="shared" si="30"/>
        <v>2.4263888888888889</v>
      </c>
      <c r="AU12" s="613">
        <f t="shared" si="31"/>
        <v>2.4263888888888889</v>
      </c>
      <c r="AV12" s="613">
        <f t="shared" si="32"/>
        <v>2.4263888888888889</v>
      </c>
      <c r="AW12" s="613">
        <f t="shared" si="33"/>
        <v>2.4263888888888889</v>
      </c>
      <c r="AX12" s="99">
        <f t="shared" si="6"/>
        <v>29.11666666666666</v>
      </c>
      <c r="AY12" s="99">
        <f t="shared" si="7"/>
        <v>2.4263888888888885</v>
      </c>
      <c r="AZ12" s="141"/>
      <c r="BA12" s="99">
        <f>AY12/'2. Headcount Buildup'!$D$36</f>
        <v>0.16175925925925924</v>
      </c>
      <c r="BB12" s="99">
        <f>AY12/'2. Headcount Buildup'!$D$37</f>
        <v>4.8527777777777767E-2</v>
      </c>
      <c r="BC12" s="99">
        <f>AY12/'2. Headcount Buildup'!$D$38</f>
        <v>2.4263888888888883E-2</v>
      </c>
      <c r="BD12" s="99">
        <f>AY12/'2. Headcount Buildup'!$D$43</f>
        <v>2.4263888888888883E-2</v>
      </c>
      <c r="BE12" s="99">
        <f>(SUM('2. Headcount Buildup'!$F$44:$Q$44)/12)*('Base Revenue'!$AY12/'Base Revenue'!$AY$61)</f>
        <v>4.7113844871875379E-2</v>
      </c>
      <c r="BF12" s="99">
        <f>(SUM('2. Headcount Buildup'!$F$45:$Q$45)/12)*('Base Revenue'!$AY12/'Base Revenue'!$AY$61)</f>
        <v>7.8523074786458966E-2</v>
      </c>
      <c r="BG12" s="99">
        <f>(SUM('2. Headcount Buildup'!$F$46:$Q$46)/12)*('Base Revenue'!$AY12/'Base Revenue'!$AY$61)</f>
        <v>0.12563691965833435</v>
      </c>
      <c r="BH12" s="99">
        <f t="shared" si="8"/>
        <v>0.51008865413148352</v>
      </c>
      <c r="BI12" s="141"/>
      <c r="BK12" s="14" t="s">
        <v>794</v>
      </c>
      <c r="BL12" s="102">
        <f t="shared" si="1"/>
        <v>86400</v>
      </c>
      <c r="BM12" s="103">
        <f t="shared" si="2"/>
        <v>24.212380952380943</v>
      </c>
      <c r="BN12" s="104">
        <f t="shared" si="3"/>
        <v>3568.4222947724516</v>
      </c>
    </row>
    <row r="13" spans="1:67" x14ac:dyDescent="0.35">
      <c r="A13" s="295"/>
      <c r="B13" s="295" t="s">
        <v>117</v>
      </c>
      <c r="C13" s="296" t="s">
        <v>782</v>
      </c>
      <c r="D13" s="16"/>
      <c r="E13" s="296" t="s">
        <v>101</v>
      </c>
      <c r="F13" s="542" t="s">
        <v>62</v>
      </c>
      <c r="G13" s="542">
        <v>40</v>
      </c>
      <c r="H13" s="546">
        <v>1</v>
      </c>
      <c r="I13" s="587">
        <v>9250</v>
      </c>
      <c r="J13" s="304">
        <v>9000</v>
      </c>
      <c r="K13" s="304">
        <v>8000</v>
      </c>
      <c r="L13" s="304">
        <v>10000</v>
      </c>
      <c r="M13" s="304">
        <v>10000</v>
      </c>
      <c r="N13" s="304">
        <v>8000</v>
      </c>
      <c r="O13" s="304">
        <v>10000</v>
      </c>
      <c r="P13" s="304">
        <v>10000</v>
      </c>
      <c r="Q13" s="304">
        <v>9000</v>
      </c>
      <c r="R13" s="304">
        <v>9000</v>
      </c>
      <c r="S13" s="304">
        <v>10000</v>
      </c>
      <c r="T13" s="304">
        <v>8000</v>
      </c>
      <c r="U13" s="304">
        <v>10000</v>
      </c>
      <c r="V13" s="304">
        <f t="shared" si="4"/>
        <v>111000</v>
      </c>
      <c r="W13" s="9"/>
      <c r="X13" s="613">
        <f t="shared" si="21"/>
        <v>11.011904761904763</v>
      </c>
      <c r="Y13" s="613">
        <f t="shared" si="21"/>
        <v>11.011904761904763</v>
      </c>
      <c r="Z13" s="613">
        <f t="shared" si="21"/>
        <v>11.011904761904763</v>
      </c>
      <c r="AA13" s="613">
        <f t="shared" si="21"/>
        <v>11.011904761904763</v>
      </c>
      <c r="AB13" s="613">
        <f t="shared" si="21"/>
        <v>11.011904761904763</v>
      </c>
      <c r="AC13" s="613">
        <f t="shared" si="21"/>
        <v>11.011904761904763</v>
      </c>
      <c r="AD13" s="613">
        <f t="shared" si="21"/>
        <v>11.011904761904763</v>
      </c>
      <c r="AE13" s="613">
        <f t="shared" si="21"/>
        <v>11.011904761904763</v>
      </c>
      <c r="AF13" s="613">
        <f t="shared" si="21"/>
        <v>11.011904761904763</v>
      </c>
      <c r="AG13" s="613">
        <f t="shared" si="21"/>
        <v>11.011904761904763</v>
      </c>
      <c r="AH13" s="613">
        <f t="shared" si="21"/>
        <v>11.011904761904763</v>
      </c>
      <c r="AI13" s="613">
        <f t="shared" si="21"/>
        <v>11.011904761904763</v>
      </c>
      <c r="AJ13" s="99">
        <f t="shared" si="5"/>
        <v>132.14285714285714</v>
      </c>
      <c r="AK13" s="141"/>
      <c r="AL13" s="613">
        <f t="shared" si="22"/>
        <v>13.764880952380953</v>
      </c>
      <c r="AM13" s="613">
        <f t="shared" si="23"/>
        <v>13.764880952380953</v>
      </c>
      <c r="AN13" s="613">
        <f t="shared" si="24"/>
        <v>13.764880952380953</v>
      </c>
      <c r="AO13" s="613">
        <f t="shared" si="25"/>
        <v>13.764880952380953</v>
      </c>
      <c r="AP13" s="613">
        <f t="shared" si="26"/>
        <v>13.764880952380953</v>
      </c>
      <c r="AQ13" s="613">
        <f t="shared" si="27"/>
        <v>13.764880952380953</v>
      </c>
      <c r="AR13" s="613">
        <f t="shared" si="28"/>
        <v>13.764880952380953</v>
      </c>
      <c r="AS13" s="613">
        <f t="shared" si="29"/>
        <v>13.764880952380953</v>
      </c>
      <c r="AT13" s="613">
        <f t="shared" si="30"/>
        <v>13.764880952380953</v>
      </c>
      <c r="AU13" s="613">
        <f t="shared" si="31"/>
        <v>13.764880952380953</v>
      </c>
      <c r="AV13" s="613">
        <f t="shared" si="32"/>
        <v>13.764880952380953</v>
      </c>
      <c r="AW13" s="613">
        <f t="shared" si="33"/>
        <v>13.764880952380953</v>
      </c>
      <c r="AX13" s="99">
        <f t="shared" si="6"/>
        <v>165.17857142857144</v>
      </c>
      <c r="AY13" s="99">
        <f t="shared" si="7"/>
        <v>13.764880952380954</v>
      </c>
      <c r="AZ13" s="141"/>
      <c r="BA13" s="99">
        <f>AY13/'2. Headcount Buildup'!$D$36</f>
        <v>0.91765873015873034</v>
      </c>
      <c r="BB13" s="99">
        <f>AY13/'2. Headcount Buildup'!$D$37</f>
        <v>0.27529761904761907</v>
      </c>
      <c r="BC13" s="99">
        <f>AY13/'2. Headcount Buildup'!$D$38</f>
        <v>0.13764880952380953</v>
      </c>
      <c r="BD13" s="99">
        <f>AY13/'2. Headcount Buildup'!$D$43</f>
        <v>0.13764880952380953</v>
      </c>
      <c r="BE13" s="99">
        <f>(SUM('2. Headcount Buildup'!$F$44:$Q$44)/12)*('Base Revenue'!$AY13/'Base Revenue'!$AY$61)</f>
        <v>0.26727639120012719</v>
      </c>
      <c r="BF13" s="99">
        <f>(SUM('2. Headcount Buildup'!$F$45:$Q$45)/12)*('Base Revenue'!$AY13/'Base Revenue'!$AY$61)</f>
        <v>0.44546065200021195</v>
      </c>
      <c r="BG13" s="99">
        <f>(SUM('2. Headcount Buildup'!$F$46:$Q$46)/12)*('Base Revenue'!$AY13/'Base Revenue'!$AY$61)</f>
        <v>0.71273704320033915</v>
      </c>
      <c r="BH13" s="99">
        <f t="shared" si="8"/>
        <v>2.8937280546546464</v>
      </c>
      <c r="BI13" s="141"/>
      <c r="BK13" s="14" t="s">
        <v>91</v>
      </c>
      <c r="BL13" s="102">
        <f t="shared" si="1"/>
        <v>784400</v>
      </c>
      <c r="BM13" s="103">
        <f t="shared" si="2"/>
        <v>551</v>
      </c>
      <c r="BN13" s="104">
        <f t="shared" si="3"/>
        <v>1423.5934664246824</v>
      </c>
    </row>
    <row r="14" spans="1:67" x14ac:dyDescent="0.35">
      <c r="A14" s="295"/>
      <c r="B14" s="295" t="s">
        <v>117</v>
      </c>
      <c r="C14" s="296" t="s">
        <v>782</v>
      </c>
      <c r="D14" s="16"/>
      <c r="E14" s="296" t="s">
        <v>786</v>
      </c>
      <c r="F14" s="542" t="s">
        <v>62</v>
      </c>
      <c r="G14" s="542">
        <v>380</v>
      </c>
      <c r="H14" s="546">
        <v>0.14000000000000001</v>
      </c>
      <c r="I14" s="587">
        <v>41750</v>
      </c>
      <c r="J14" s="304">
        <v>5740.0000000000009</v>
      </c>
      <c r="K14" s="304">
        <v>5600.0000000000009</v>
      </c>
      <c r="L14" s="304">
        <v>6020.0000000000009</v>
      </c>
      <c r="M14" s="304">
        <v>6020.0000000000009</v>
      </c>
      <c r="N14" s="304">
        <v>5600.0000000000009</v>
      </c>
      <c r="O14" s="304">
        <v>6020.0000000000009</v>
      </c>
      <c r="P14" s="304">
        <v>6020.0000000000009</v>
      </c>
      <c r="Q14" s="304">
        <v>5740.0000000000009</v>
      </c>
      <c r="R14" s="304">
        <v>5740.0000000000009</v>
      </c>
      <c r="S14" s="304">
        <v>6020.0000000000009</v>
      </c>
      <c r="T14" s="304">
        <v>5600.0000000000009</v>
      </c>
      <c r="U14" s="304">
        <v>6020.0000000000009</v>
      </c>
      <c r="V14" s="304">
        <f t="shared" si="4"/>
        <v>70140.000000000015</v>
      </c>
      <c r="W14" s="9"/>
      <c r="X14" s="613">
        <f t="shared" si="21"/>
        <v>5.2318295739348368</v>
      </c>
      <c r="Y14" s="613">
        <f t="shared" si="21"/>
        <v>5.2318295739348368</v>
      </c>
      <c r="Z14" s="613">
        <f t="shared" si="21"/>
        <v>5.2318295739348368</v>
      </c>
      <c r="AA14" s="613">
        <f t="shared" si="21"/>
        <v>5.2318295739348368</v>
      </c>
      <c r="AB14" s="613">
        <f t="shared" si="21"/>
        <v>5.2318295739348368</v>
      </c>
      <c r="AC14" s="613">
        <f t="shared" si="21"/>
        <v>5.2318295739348368</v>
      </c>
      <c r="AD14" s="613">
        <f t="shared" si="21"/>
        <v>5.2318295739348368</v>
      </c>
      <c r="AE14" s="613">
        <f t="shared" si="21"/>
        <v>5.2318295739348368</v>
      </c>
      <c r="AF14" s="613">
        <f t="shared" si="21"/>
        <v>5.2318295739348368</v>
      </c>
      <c r="AG14" s="613">
        <f t="shared" si="21"/>
        <v>5.2318295739348368</v>
      </c>
      <c r="AH14" s="613">
        <f t="shared" si="21"/>
        <v>5.2318295739348368</v>
      </c>
      <c r="AI14" s="613">
        <f t="shared" si="21"/>
        <v>5.2318295739348368</v>
      </c>
      <c r="AJ14" s="99">
        <f t="shared" si="5"/>
        <v>62.781954887218056</v>
      </c>
      <c r="AK14" s="141"/>
      <c r="AL14" s="613">
        <f t="shared" si="22"/>
        <v>6.5397869674185456</v>
      </c>
      <c r="AM14" s="613">
        <f t="shared" si="23"/>
        <v>6.5397869674185456</v>
      </c>
      <c r="AN14" s="613">
        <f t="shared" si="24"/>
        <v>6.5397869674185456</v>
      </c>
      <c r="AO14" s="613">
        <f t="shared" si="25"/>
        <v>6.5397869674185456</v>
      </c>
      <c r="AP14" s="613">
        <f t="shared" si="26"/>
        <v>6.5397869674185456</v>
      </c>
      <c r="AQ14" s="613">
        <f t="shared" si="27"/>
        <v>6.5397869674185456</v>
      </c>
      <c r="AR14" s="613">
        <f t="shared" si="28"/>
        <v>6.5397869674185456</v>
      </c>
      <c r="AS14" s="613">
        <f t="shared" si="29"/>
        <v>6.5397869674185456</v>
      </c>
      <c r="AT14" s="613">
        <f t="shared" si="30"/>
        <v>6.5397869674185456</v>
      </c>
      <c r="AU14" s="613">
        <f t="shared" si="31"/>
        <v>6.5397869674185456</v>
      </c>
      <c r="AV14" s="613">
        <f t="shared" si="32"/>
        <v>6.5397869674185456</v>
      </c>
      <c r="AW14" s="613">
        <f t="shared" si="33"/>
        <v>6.5397869674185456</v>
      </c>
      <c r="AX14" s="99">
        <f t="shared" si="6"/>
        <v>78.477443609022544</v>
      </c>
      <c r="AY14" s="99">
        <f t="shared" si="7"/>
        <v>6.5397869674185456</v>
      </c>
      <c r="AZ14" s="141"/>
      <c r="BA14" s="99">
        <f>AY14/'2. Headcount Buildup'!$D$36</f>
        <v>0.43598579782790303</v>
      </c>
      <c r="BB14" s="99">
        <f>AY14/'2. Headcount Buildup'!$D$37</f>
        <v>0.13079573934837091</v>
      </c>
      <c r="BC14" s="99">
        <f>AY14/'2. Headcount Buildup'!$D$38</f>
        <v>6.5397869674185455E-2</v>
      </c>
      <c r="BD14" s="99">
        <f>AY14/'2. Headcount Buildup'!$D$43</f>
        <v>6.5397869674185455E-2</v>
      </c>
      <c r="BE14" s="99">
        <f>(SUM('2. Headcount Buildup'!$F$44:$Q$44)/12)*('Base Revenue'!$AY14/'Base Revenue'!$AY$61)</f>
        <v>0.12698480037104193</v>
      </c>
      <c r="BF14" s="99">
        <f>(SUM('2. Headcount Buildup'!$F$45:$Q$45)/12)*('Base Revenue'!$AY14/'Base Revenue'!$AY$61)</f>
        <v>0.21164133395173651</v>
      </c>
      <c r="BG14" s="99">
        <f>(SUM('2. Headcount Buildup'!$F$46:$Q$46)/12)*('Base Revenue'!$AY14/'Base Revenue'!$AY$61)</f>
        <v>0.33862613432277844</v>
      </c>
      <c r="BH14" s="99">
        <f t="shared" si="8"/>
        <v>1.3748295451702015</v>
      </c>
      <c r="BI14" s="141"/>
      <c r="BK14" s="14" t="s">
        <v>804</v>
      </c>
      <c r="BL14" s="102">
        <f t="shared" si="1"/>
        <v>130315</v>
      </c>
      <c r="BM14" s="103">
        <f t="shared" si="2"/>
        <v>36.94</v>
      </c>
      <c r="BN14" s="104">
        <f t="shared" si="3"/>
        <v>3527.747698971305</v>
      </c>
    </row>
    <row r="15" spans="1:67" x14ac:dyDescent="0.35">
      <c r="A15" s="295"/>
      <c r="B15" s="295" t="s">
        <v>117</v>
      </c>
      <c r="C15" s="296" t="s">
        <v>782</v>
      </c>
      <c r="D15" s="16"/>
      <c r="E15" s="296" t="s">
        <v>840</v>
      </c>
      <c r="F15" s="542" t="s">
        <v>62</v>
      </c>
      <c r="G15" s="542">
        <v>2000</v>
      </c>
      <c r="H15" s="549">
        <v>2.5999999999999999E-2</v>
      </c>
      <c r="I15" s="587">
        <v>38500</v>
      </c>
      <c r="J15" s="304">
        <v>988</v>
      </c>
      <c r="K15" s="304">
        <v>936</v>
      </c>
      <c r="L15" s="304">
        <v>1040</v>
      </c>
      <c r="M15" s="304">
        <v>1040</v>
      </c>
      <c r="N15" s="304">
        <v>936</v>
      </c>
      <c r="O15" s="304">
        <v>1040</v>
      </c>
      <c r="P15" s="304">
        <v>1040</v>
      </c>
      <c r="Q15" s="304">
        <v>988</v>
      </c>
      <c r="R15" s="304">
        <v>988</v>
      </c>
      <c r="S15" s="304">
        <v>1040</v>
      </c>
      <c r="T15" s="304">
        <v>936</v>
      </c>
      <c r="U15" s="304">
        <v>1040</v>
      </c>
      <c r="V15" s="304">
        <f t="shared" si="4"/>
        <v>12012</v>
      </c>
      <c r="W15" s="9"/>
      <c r="X15" s="613">
        <f t="shared" si="21"/>
        <v>0.91666666666666663</v>
      </c>
      <c r="Y15" s="613">
        <f t="shared" si="21"/>
        <v>0.91666666666666663</v>
      </c>
      <c r="Z15" s="613">
        <f t="shared" si="21"/>
        <v>0.91666666666666663</v>
      </c>
      <c r="AA15" s="613">
        <f t="shared" si="21"/>
        <v>0.91666666666666663</v>
      </c>
      <c r="AB15" s="613">
        <f t="shared" si="21"/>
        <v>0.91666666666666663</v>
      </c>
      <c r="AC15" s="613">
        <f t="shared" si="21"/>
        <v>0.91666666666666663</v>
      </c>
      <c r="AD15" s="613">
        <f t="shared" si="21"/>
        <v>0.91666666666666663</v>
      </c>
      <c r="AE15" s="613">
        <f t="shared" si="21"/>
        <v>0.91666666666666663</v>
      </c>
      <c r="AF15" s="613">
        <f t="shared" si="21"/>
        <v>0.91666666666666663</v>
      </c>
      <c r="AG15" s="613">
        <f t="shared" si="21"/>
        <v>0.91666666666666663</v>
      </c>
      <c r="AH15" s="613">
        <f t="shared" si="21"/>
        <v>0.91666666666666663</v>
      </c>
      <c r="AI15" s="613">
        <f t="shared" si="21"/>
        <v>0.91666666666666663</v>
      </c>
      <c r="AJ15" s="99">
        <f t="shared" si="5"/>
        <v>10.999999999999998</v>
      </c>
      <c r="AK15" s="141"/>
      <c r="AL15" s="613">
        <f t="shared" si="22"/>
        <v>1.1458333333333333</v>
      </c>
      <c r="AM15" s="613">
        <f t="shared" si="23"/>
        <v>1.1458333333333333</v>
      </c>
      <c r="AN15" s="613">
        <f t="shared" si="24"/>
        <v>1.1458333333333333</v>
      </c>
      <c r="AO15" s="613">
        <f t="shared" si="25"/>
        <v>1.1458333333333333</v>
      </c>
      <c r="AP15" s="613">
        <f t="shared" si="26"/>
        <v>1.1458333333333333</v>
      </c>
      <c r="AQ15" s="613">
        <f t="shared" si="27"/>
        <v>1.1458333333333333</v>
      </c>
      <c r="AR15" s="613">
        <f t="shared" si="28"/>
        <v>1.1458333333333333</v>
      </c>
      <c r="AS15" s="613">
        <f t="shared" si="29"/>
        <v>1.1458333333333333</v>
      </c>
      <c r="AT15" s="613">
        <f t="shared" si="30"/>
        <v>1.1458333333333333</v>
      </c>
      <c r="AU15" s="613">
        <f t="shared" si="31"/>
        <v>1.1458333333333333</v>
      </c>
      <c r="AV15" s="613">
        <f t="shared" si="32"/>
        <v>1.1458333333333333</v>
      </c>
      <c r="AW15" s="613">
        <f t="shared" si="33"/>
        <v>1.1458333333333333</v>
      </c>
      <c r="AX15" s="99">
        <f t="shared" si="6"/>
        <v>13.750000000000002</v>
      </c>
      <c r="AY15" s="99">
        <f t="shared" si="7"/>
        <v>1.1458333333333335</v>
      </c>
      <c r="AZ15" s="141"/>
      <c r="BA15" s="99">
        <f>AY15/'2. Headcount Buildup'!$D$36</f>
        <v>7.6388888888888895E-2</v>
      </c>
      <c r="BB15" s="99">
        <f>AY15/'2. Headcount Buildup'!$D$37</f>
        <v>2.2916666666666669E-2</v>
      </c>
      <c r="BC15" s="99">
        <f>AY15/'2. Headcount Buildup'!$D$38</f>
        <v>1.1458333333333334E-2</v>
      </c>
      <c r="BD15" s="99">
        <f>AY15/'2. Headcount Buildup'!$D$43</f>
        <v>1.1458333333333334E-2</v>
      </c>
      <c r="BE15" s="99">
        <f>(SUM('2. Headcount Buildup'!$F$44:$Q$44)/12)*('Base Revenue'!$AY15/'Base Revenue'!$AY$61)</f>
        <v>2.2248953645848425E-2</v>
      </c>
      <c r="BF15" s="99">
        <f>(SUM('2. Headcount Buildup'!$F$45:$Q$45)/12)*('Base Revenue'!$AY15/'Base Revenue'!$AY$61)</f>
        <v>3.708158940974738E-2</v>
      </c>
      <c r="BG15" s="99">
        <f>(SUM('2. Headcount Buildup'!$F$46:$Q$46)/12)*('Base Revenue'!$AY15/'Base Revenue'!$AY$61)</f>
        <v>5.9330543055595805E-2</v>
      </c>
      <c r="BH15" s="99">
        <f t="shared" si="8"/>
        <v>0.24088330833341381</v>
      </c>
      <c r="BI15" s="141"/>
      <c r="BK15" s="14" t="s">
        <v>799</v>
      </c>
      <c r="BL15" s="102">
        <f t="shared" si="1"/>
        <v>31875</v>
      </c>
      <c r="BM15" s="103">
        <f t="shared" si="2"/>
        <v>31.857142857142858</v>
      </c>
      <c r="BN15" s="104">
        <f t="shared" si="3"/>
        <v>1000.5605381165919</v>
      </c>
    </row>
    <row r="16" spans="1:67" x14ac:dyDescent="0.35">
      <c r="A16" s="295"/>
      <c r="B16" s="295" t="s">
        <v>117</v>
      </c>
      <c r="C16" s="296" t="s">
        <v>782</v>
      </c>
      <c r="D16" s="16"/>
      <c r="E16" s="296" t="s">
        <v>841</v>
      </c>
      <c r="F16" s="542" t="s">
        <v>62</v>
      </c>
      <c r="G16" s="542">
        <v>350</v>
      </c>
      <c r="H16" s="546">
        <v>0.16</v>
      </c>
      <c r="I16" s="587">
        <v>18250</v>
      </c>
      <c r="J16" s="304">
        <v>2880</v>
      </c>
      <c r="K16" s="304">
        <v>2720</v>
      </c>
      <c r="L16" s="304">
        <v>3040</v>
      </c>
      <c r="M16" s="304">
        <v>3040</v>
      </c>
      <c r="N16" s="304">
        <v>2720</v>
      </c>
      <c r="O16" s="304">
        <v>3040</v>
      </c>
      <c r="P16" s="304">
        <v>3040</v>
      </c>
      <c r="Q16" s="304">
        <v>2880</v>
      </c>
      <c r="R16" s="304">
        <v>2880</v>
      </c>
      <c r="S16" s="304">
        <v>3040</v>
      </c>
      <c r="T16" s="304">
        <v>2720</v>
      </c>
      <c r="U16" s="304">
        <v>3040</v>
      </c>
      <c r="V16" s="304">
        <f t="shared" si="4"/>
        <v>35040</v>
      </c>
      <c r="W16" s="9"/>
      <c r="X16" s="613">
        <f t="shared" si="21"/>
        <v>2.4829931972789119</v>
      </c>
      <c r="Y16" s="613">
        <f t="shared" si="21"/>
        <v>2.4829931972789119</v>
      </c>
      <c r="Z16" s="613">
        <f t="shared" si="21"/>
        <v>2.4829931972789119</v>
      </c>
      <c r="AA16" s="613">
        <f t="shared" si="21"/>
        <v>2.4829931972789119</v>
      </c>
      <c r="AB16" s="613">
        <f t="shared" si="21"/>
        <v>2.4829931972789119</v>
      </c>
      <c r="AC16" s="613">
        <f t="shared" si="21"/>
        <v>2.4829931972789119</v>
      </c>
      <c r="AD16" s="613">
        <f t="shared" si="21"/>
        <v>2.4829931972789119</v>
      </c>
      <c r="AE16" s="613">
        <f t="shared" si="21"/>
        <v>2.4829931972789119</v>
      </c>
      <c r="AF16" s="613">
        <f t="shared" si="21"/>
        <v>2.4829931972789119</v>
      </c>
      <c r="AG16" s="613">
        <f t="shared" si="21"/>
        <v>2.4829931972789119</v>
      </c>
      <c r="AH16" s="613">
        <f t="shared" si="21"/>
        <v>2.4829931972789119</v>
      </c>
      <c r="AI16" s="613">
        <f t="shared" si="21"/>
        <v>2.4829931972789119</v>
      </c>
      <c r="AJ16" s="99">
        <f t="shared" si="5"/>
        <v>29.795918367346943</v>
      </c>
      <c r="AK16" s="141"/>
      <c r="AL16" s="613">
        <f t="shared" si="22"/>
        <v>3.1037414965986398</v>
      </c>
      <c r="AM16" s="613">
        <f t="shared" si="23"/>
        <v>3.1037414965986398</v>
      </c>
      <c r="AN16" s="613">
        <f t="shared" si="24"/>
        <v>3.1037414965986398</v>
      </c>
      <c r="AO16" s="613">
        <f t="shared" si="25"/>
        <v>3.1037414965986398</v>
      </c>
      <c r="AP16" s="613">
        <f t="shared" si="26"/>
        <v>3.1037414965986398</v>
      </c>
      <c r="AQ16" s="613">
        <f t="shared" si="27"/>
        <v>3.1037414965986398</v>
      </c>
      <c r="AR16" s="613">
        <f t="shared" si="28"/>
        <v>3.1037414965986398</v>
      </c>
      <c r="AS16" s="613">
        <f t="shared" si="29"/>
        <v>3.1037414965986398</v>
      </c>
      <c r="AT16" s="613">
        <f t="shared" si="30"/>
        <v>3.1037414965986398</v>
      </c>
      <c r="AU16" s="613">
        <f t="shared" si="31"/>
        <v>3.1037414965986398</v>
      </c>
      <c r="AV16" s="613">
        <f t="shared" si="32"/>
        <v>3.1037414965986398</v>
      </c>
      <c r="AW16" s="613">
        <f t="shared" si="33"/>
        <v>3.1037414965986398</v>
      </c>
      <c r="AX16" s="99">
        <f t="shared" si="6"/>
        <v>37.244897959183682</v>
      </c>
      <c r="AY16" s="99">
        <f t="shared" si="7"/>
        <v>3.1037414965986403</v>
      </c>
      <c r="AZ16" s="141"/>
      <c r="BA16" s="99">
        <f>AY16/'2. Headcount Buildup'!$D$36</f>
        <v>0.20691609977324268</v>
      </c>
      <c r="BB16" s="99">
        <f>AY16/'2. Headcount Buildup'!$D$37</f>
        <v>6.2074829931972803E-2</v>
      </c>
      <c r="BC16" s="99">
        <f>AY16/'2. Headcount Buildup'!$D$38</f>
        <v>3.1037414965986401E-2</v>
      </c>
      <c r="BD16" s="99">
        <f>AY16/'2. Headcount Buildup'!$D$43</f>
        <v>3.1037414965986401E-2</v>
      </c>
      <c r="BE16" s="99">
        <f>(SUM('2. Headcount Buildup'!$F$44:$Q$44)/12)*('Base Revenue'!$AY16/'Base Revenue'!$AY$61)</f>
        <v>6.0266182417325988E-2</v>
      </c>
      <c r="BF16" s="99">
        <f>(SUM('2. Headcount Buildup'!$F$45:$Q$45)/12)*('Base Revenue'!$AY16/'Base Revenue'!$AY$61)</f>
        <v>0.10044363736220999</v>
      </c>
      <c r="BG16" s="99">
        <f>(SUM('2. Headcount Buildup'!$F$46:$Q$46)/12)*('Base Revenue'!$AY16/'Base Revenue'!$AY$61)</f>
        <v>0.16070981977953597</v>
      </c>
      <c r="BH16" s="99">
        <f t="shared" si="8"/>
        <v>0.65248539919626025</v>
      </c>
      <c r="BI16" s="141"/>
      <c r="BK16" s="14" t="s">
        <v>810</v>
      </c>
      <c r="BL16" s="102">
        <f t="shared" si="1"/>
        <v>14400</v>
      </c>
      <c r="BM16" s="103">
        <f t="shared" si="2"/>
        <v>15.21428571428571</v>
      </c>
      <c r="BN16" s="104">
        <f t="shared" si="3"/>
        <v>946.47887323943689</v>
      </c>
    </row>
    <row r="17" spans="1:66" x14ac:dyDescent="0.35">
      <c r="A17" s="295"/>
      <c r="B17" s="295" t="s">
        <v>117</v>
      </c>
      <c r="C17" s="296" t="s">
        <v>782</v>
      </c>
      <c r="D17" s="16"/>
      <c r="E17" s="296" t="s">
        <v>34</v>
      </c>
      <c r="F17" s="542" t="s">
        <v>62</v>
      </c>
      <c r="G17" s="542">
        <v>200</v>
      </c>
      <c r="H17" s="546">
        <v>0.3</v>
      </c>
      <c r="I17" s="587">
        <v>350</v>
      </c>
      <c r="J17" s="304">
        <v>105</v>
      </c>
      <c r="K17" s="304">
        <v>105</v>
      </c>
      <c r="L17" s="304">
        <v>105</v>
      </c>
      <c r="M17" s="304">
        <v>105</v>
      </c>
      <c r="N17" s="304">
        <v>105</v>
      </c>
      <c r="O17" s="304">
        <v>105</v>
      </c>
      <c r="P17" s="304">
        <v>105</v>
      </c>
      <c r="Q17" s="304">
        <v>105</v>
      </c>
      <c r="R17" s="304">
        <v>105</v>
      </c>
      <c r="S17" s="304">
        <v>105</v>
      </c>
      <c r="T17" s="304">
        <v>105</v>
      </c>
      <c r="U17" s="304">
        <v>105</v>
      </c>
      <c r="V17" s="304">
        <f t="shared" si="4"/>
        <v>1260</v>
      </c>
      <c r="W17" s="9"/>
      <c r="X17" s="613">
        <f t="shared" si="21"/>
        <v>8.3333333333333329E-2</v>
      </c>
      <c r="Y17" s="613">
        <f t="shared" si="21"/>
        <v>8.3333333333333329E-2</v>
      </c>
      <c r="Z17" s="613">
        <f t="shared" si="21"/>
        <v>8.3333333333333329E-2</v>
      </c>
      <c r="AA17" s="613">
        <f t="shared" si="21"/>
        <v>8.3333333333333329E-2</v>
      </c>
      <c r="AB17" s="613">
        <f t="shared" si="21"/>
        <v>8.3333333333333329E-2</v>
      </c>
      <c r="AC17" s="613">
        <f t="shared" si="21"/>
        <v>8.3333333333333329E-2</v>
      </c>
      <c r="AD17" s="613">
        <f t="shared" si="21"/>
        <v>8.3333333333333329E-2</v>
      </c>
      <c r="AE17" s="613">
        <f t="shared" si="21"/>
        <v>8.3333333333333329E-2</v>
      </c>
      <c r="AF17" s="613">
        <f t="shared" si="21"/>
        <v>8.3333333333333329E-2</v>
      </c>
      <c r="AG17" s="613">
        <f t="shared" si="21"/>
        <v>8.3333333333333329E-2</v>
      </c>
      <c r="AH17" s="613">
        <f t="shared" si="21"/>
        <v>8.3333333333333329E-2</v>
      </c>
      <c r="AI17" s="613">
        <f t="shared" si="21"/>
        <v>8.3333333333333329E-2</v>
      </c>
      <c r="AJ17" s="99">
        <f t="shared" si="5"/>
        <v>1</v>
      </c>
      <c r="AK17" s="141"/>
      <c r="AL17" s="613">
        <f t="shared" si="22"/>
        <v>0.10416666666666666</v>
      </c>
      <c r="AM17" s="613">
        <f t="shared" si="23"/>
        <v>0.10416666666666666</v>
      </c>
      <c r="AN17" s="613">
        <f t="shared" si="24"/>
        <v>0.10416666666666666</v>
      </c>
      <c r="AO17" s="613">
        <f t="shared" si="25"/>
        <v>0.10416666666666666</v>
      </c>
      <c r="AP17" s="613">
        <f t="shared" si="26"/>
        <v>0.10416666666666666</v>
      </c>
      <c r="AQ17" s="613">
        <f t="shared" si="27"/>
        <v>0.10416666666666666</v>
      </c>
      <c r="AR17" s="613">
        <f t="shared" si="28"/>
        <v>0.10416666666666666</v>
      </c>
      <c r="AS17" s="613">
        <f t="shared" si="29"/>
        <v>0.10416666666666666</v>
      </c>
      <c r="AT17" s="613">
        <f t="shared" si="30"/>
        <v>0.10416666666666666</v>
      </c>
      <c r="AU17" s="613">
        <f t="shared" si="31"/>
        <v>0.10416666666666666</v>
      </c>
      <c r="AV17" s="613">
        <f t="shared" si="32"/>
        <v>0.10416666666666666</v>
      </c>
      <c r="AW17" s="613">
        <f t="shared" si="33"/>
        <v>0.10416666666666666</v>
      </c>
      <c r="AX17" s="99">
        <f t="shared" si="6"/>
        <v>1.25</v>
      </c>
      <c r="AY17" s="99">
        <f t="shared" si="7"/>
        <v>0.10416666666666667</v>
      </c>
      <c r="AZ17" s="141"/>
      <c r="BA17" s="99">
        <f>AY17/'2. Headcount Buildup'!$D$36</f>
        <v>6.9444444444444449E-3</v>
      </c>
      <c r="BB17" s="99">
        <f>AY17/'2. Headcount Buildup'!$D$37</f>
        <v>2.0833333333333333E-3</v>
      </c>
      <c r="BC17" s="99">
        <f>AY17/'2. Headcount Buildup'!$D$38</f>
        <v>1.0416666666666667E-3</v>
      </c>
      <c r="BD17" s="99">
        <f>AY17/'2. Headcount Buildup'!$D$43</f>
        <v>1.0416666666666667E-3</v>
      </c>
      <c r="BE17" s="99">
        <f>(SUM('2. Headcount Buildup'!$F$44:$Q$44)/12)*('Base Revenue'!$AY17/'Base Revenue'!$AY$61)</f>
        <v>2.0226321496225842E-3</v>
      </c>
      <c r="BF17" s="99">
        <f>(SUM('2. Headcount Buildup'!$F$45:$Q$45)/12)*('Base Revenue'!$AY17/'Base Revenue'!$AY$61)</f>
        <v>3.3710535827043064E-3</v>
      </c>
      <c r="BG17" s="99">
        <f>(SUM('2. Headcount Buildup'!$F$46:$Q$46)/12)*('Base Revenue'!$AY17/'Base Revenue'!$AY$61)</f>
        <v>5.3936857323268906E-3</v>
      </c>
      <c r="BH17" s="99">
        <f t="shared" si="8"/>
        <v>2.1898482575764891E-2</v>
      </c>
      <c r="BI17" s="141"/>
      <c r="BK17" s="14" t="s">
        <v>811</v>
      </c>
      <c r="BL17" s="102">
        <f t="shared" si="1"/>
        <v>63000</v>
      </c>
      <c r="BM17" s="103">
        <f t="shared" si="2"/>
        <v>37.428571428571431</v>
      </c>
      <c r="BN17" s="104">
        <f t="shared" si="3"/>
        <v>1683.206106870229</v>
      </c>
    </row>
    <row r="18" spans="1:66" x14ac:dyDescent="0.35">
      <c r="A18" s="295"/>
      <c r="B18" s="295" t="s">
        <v>117</v>
      </c>
      <c r="C18" s="296" t="s">
        <v>782</v>
      </c>
      <c r="D18" s="16"/>
      <c r="E18" s="296" t="s">
        <v>788</v>
      </c>
      <c r="F18" s="542" t="s">
        <v>43</v>
      </c>
      <c r="G18" s="542">
        <v>40</v>
      </c>
      <c r="H18" s="546">
        <v>1300</v>
      </c>
      <c r="I18" s="587">
        <v>1</v>
      </c>
      <c r="J18" s="304">
        <v>1300</v>
      </c>
      <c r="K18" s="304">
        <v>1300</v>
      </c>
      <c r="L18" s="304">
        <v>1300</v>
      </c>
      <c r="M18" s="304">
        <v>1300</v>
      </c>
      <c r="N18" s="304">
        <v>1300</v>
      </c>
      <c r="O18" s="304">
        <v>1300</v>
      </c>
      <c r="P18" s="304">
        <v>1300</v>
      </c>
      <c r="Q18" s="304">
        <v>1300</v>
      </c>
      <c r="R18" s="304">
        <v>1300</v>
      </c>
      <c r="S18" s="304">
        <v>1300</v>
      </c>
      <c r="T18" s="304">
        <v>1300</v>
      </c>
      <c r="U18" s="304">
        <v>1300</v>
      </c>
      <c r="V18" s="304">
        <f t="shared" si="4"/>
        <v>15600</v>
      </c>
      <c r="W18" s="9"/>
      <c r="X18" s="613">
        <f t="shared" ref="X18:AI18" si="34">$I18</f>
        <v>1</v>
      </c>
      <c r="Y18" s="613">
        <f t="shared" si="34"/>
        <v>1</v>
      </c>
      <c r="Z18" s="613">
        <f t="shared" si="34"/>
        <v>1</v>
      </c>
      <c r="AA18" s="613">
        <f t="shared" si="34"/>
        <v>1</v>
      </c>
      <c r="AB18" s="613">
        <f t="shared" si="34"/>
        <v>1</v>
      </c>
      <c r="AC18" s="613">
        <f t="shared" si="34"/>
        <v>1</v>
      </c>
      <c r="AD18" s="613">
        <f t="shared" si="34"/>
        <v>1</v>
      </c>
      <c r="AE18" s="613">
        <f t="shared" si="34"/>
        <v>1</v>
      </c>
      <c r="AF18" s="613">
        <f t="shared" si="34"/>
        <v>1</v>
      </c>
      <c r="AG18" s="613">
        <f t="shared" si="34"/>
        <v>1</v>
      </c>
      <c r="AH18" s="613">
        <f t="shared" si="34"/>
        <v>1</v>
      </c>
      <c r="AI18" s="613">
        <f t="shared" si="34"/>
        <v>1</v>
      </c>
      <c r="AJ18" s="99">
        <f t="shared" si="5"/>
        <v>12</v>
      </c>
      <c r="AK18" s="141"/>
      <c r="AL18" s="613">
        <f t="shared" si="22"/>
        <v>1.25</v>
      </c>
      <c r="AM18" s="613">
        <f t="shared" si="23"/>
        <v>1.25</v>
      </c>
      <c r="AN18" s="613">
        <f t="shared" si="24"/>
        <v>1.25</v>
      </c>
      <c r="AO18" s="613">
        <f t="shared" si="25"/>
        <v>1.25</v>
      </c>
      <c r="AP18" s="613">
        <f t="shared" si="26"/>
        <v>1.25</v>
      </c>
      <c r="AQ18" s="613">
        <f t="shared" si="27"/>
        <v>1.25</v>
      </c>
      <c r="AR18" s="613">
        <f t="shared" si="28"/>
        <v>1.25</v>
      </c>
      <c r="AS18" s="613">
        <f t="shared" si="29"/>
        <v>1.25</v>
      </c>
      <c r="AT18" s="613">
        <f t="shared" si="30"/>
        <v>1.25</v>
      </c>
      <c r="AU18" s="613">
        <f t="shared" si="31"/>
        <v>1.25</v>
      </c>
      <c r="AV18" s="613">
        <f t="shared" si="32"/>
        <v>1.25</v>
      </c>
      <c r="AW18" s="613">
        <f t="shared" si="33"/>
        <v>1.25</v>
      </c>
      <c r="AX18" s="99">
        <f t="shared" si="6"/>
        <v>15</v>
      </c>
      <c r="AY18" s="99">
        <f t="shared" si="7"/>
        <v>1.25</v>
      </c>
      <c r="AZ18" s="141"/>
      <c r="BA18" s="99">
        <f>AY18/'2. Headcount Buildup'!$D$36</f>
        <v>8.3333333333333329E-2</v>
      </c>
      <c r="BB18" s="99">
        <f>AY18/'2. Headcount Buildup'!$D$37</f>
        <v>2.5000000000000001E-2</v>
      </c>
      <c r="BC18" s="99">
        <f>AY18/'2. Headcount Buildup'!$D$38</f>
        <v>1.2500000000000001E-2</v>
      </c>
      <c r="BD18" s="99">
        <f>AY18/'2. Headcount Buildup'!$D$43</f>
        <v>1.2500000000000001E-2</v>
      </c>
      <c r="BE18" s="99">
        <f>(SUM('2. Headcount Buildup'!$F$44:$Q$44)/12)*('Base Revenue'!$AY18/'Base Revenue'!$AY$61)</f>
        <v>2.4271585795471007E-2</v>
      </c>
      <c r="BF18" s="99">
        <f>(SUM('2. Headcount Buildup'!$F$45:$Q$45)/12)*('Base Revenue'!$AY18/'Base Revenue'!$AY$61)</f>
        <v>4.0452642992451673E-2</v>
      </c>
      <c r="BG18" s="99">
        <f>(SUM('2. Headcount Buildup'!$F$46:$Q$46)/12)*('Base Revenue'!$AY18/'Base Revenue'!$AY$61)</f>
        <v>6.472422878792268E-2</v>
      </c>
      <c r="BH18" s="99">
        <f t="shared" si="8"/>
        <v>0.26278179090917869</v>
      </c>
      <c r="BI18" s="141"/>
      <c r="BK18" s="14" t="s">
        <v>809</v>
      </c>
      <c r="BL18" s="102">
        <f t="shared" si="1"/>
        <v>81000</v>
      </c>
      <c r="BM18" s="103">
        <f t="shared" si="2"/>
        <v>16.46857142857143</v>
      </c>
      <c r="BN18" s="104">
        <f t="shared" si="3"/>
        <v>4918.459403192227</v>
      </c>
    </row>
    <row r="19" spans="1:66" x14ac:dyDescent="0.35">
      <c r="A19" s="295"/>
      <c r="B19" s="295" t="s">
        <v>1665</v>
      </c>
      <c r="C19" s="296" t="s">
        <v>782</v>
      </c>
      <c r="D19" s="16"/>
      <c r="E19" s="296" t="s">
        <v>1302</v>
      </c>
      <c r="F19" s="542" t="s">
        <v>43</v>
      </c>
      <c r="G19" s="542"/>
      <c r="H19" s="546">
        <v>1350</v>
      </c>
      <c r="I19" s="587"/>
      <c r="J19" s="304"/>
      <c r="K19" s="304">
        <v>2025</v>
      </c>
      <c r="L19" s="304">
        <v>2700</v>
      </c>
      <c r="M19" s="304">
        <v>2700</v>
      </c>
      <c r="N19" s="304">
        <v>2700</v>
      </c>
      <c r="O19" s="304">
        <v>2700</v>
      </c>
      <c r="P19" s="304">
        <v>2700</v>
      </c>
      <c r="Q19" s="304">
        <v>2700</v>
      </c>
      <c r="R19" s="304">
        <v>2700</v>
      </c>
      <c r="S19" s="304">
        <v>2700</v>
      </c>
      <c r="T19" s="304">
        <v>2700</v>
      </c>
      <c r="U19" s="304">
        <v>2700</v>
      </c>
      <c r="V19" s="304">
        <f t="shared" si="4"/>
        <v>29025</v>
      </c>
      <c r="W19" s="9"/>
      <c r="X19" s="613"/>
      <c r="Y19" s="613">
        <v>1.5</v>
      </c>
      <c r="Z19" s="613">
        <v>2</v>
      </c>
      <c r="AA19" s="613">
        <v>2</v>
      </c>
      <c r="AB19" s="613">
        <v>2</v>
      </c>
      <c r="AC19" s="613">
        <v>2</v>
      </c>
      <c r="AD19" s="613">
        <v>2</v>
      </c>
      <c r="AE19" s="613">
        <v>2</v>
      </c>
      <c r="AF19" s="613">
        <v>2</v>
      </c>
      <c r="AG19" s="613">
        <v>2</v>
      </c>
      <c r="AH19" s="613">
        <v>2</v>
      </c>
      <c r="AI19" s="613">
        <v>2</v>
      </c>
      <c r="AJ19" s="99">
        <f t="shared" si="5"/>
        <v>21.5</v>
      </c>
      <c r="AK19" s="141"/>
      <c r="AL19" s="613">
        <f t="shared" ref="AL19:AL20" si="35">X19/$AL$4</f>
        <v>0</v>
      </c>
      <c r="AM19" s="613">
        <f t="shared" ref="AM19:AM20" si="36">Y19/$AL$4</f>
        <v>1.875</v>
      </c>
      <c r="AN19" s="613">
        <f t="shared" ref="AN19:AN20" si="37">Z19/$AL$4</f>
        <v>2.5</v>
      </c>
      <c r="AO19" s="613">
        <f t="shared" ref="AO19:AO20" si="38">AA19/$AL$4</f>
        <v>2.5</v>
      </c>
      <c r="AP19" s="613">
        <f t="shared" ref="AP19:AP20" si="39">AB19/$AL$4</f>
        <v>2.5</v>
      </c>
      <c r="AQ19" s="613">
        <f t="shared" ref="AQ19:AQ20" si="40">AC19/$AL$4</f>
        <v>2.5</v>
      </c>
      <c r="AR19" s="613">
        <f t="shared" ref="AR19:AR20" si="41">AD19/$AL$4</f>
        <v>2.5</v>
      </c>
      <c r="AS19" s="613">
        <f t="shared" ref="AS19:AS20" si="42">AE19/$AL$4</f>
        <v>2.5</v>
      </c>
      <c r="AT19" s="613">
        <f t="shared" ref="AT19:AT20" si="43">AF19/$AL$4</f>
        <v>2.5</v>
      </c>
      <c r="AU19" s="613">
        <f t="shared" ref="AU19:AU20" si="44">AG19/$AL$4</f>
        <v>2.5</v>
      </c>
      <c r="AV19" s="613">
        <f t="shared" ref="AV19:AV20" si="45">AH19/$AL$4</f>
        <v>2.5</v>
      </c>
      <c r="AW19" s="613">
        <f t="shared" ref="AW19:AW20" si="46">AI19/$AL$4</f>
        <v>2.5</v>
      </c>
      <c r="AX19" s="99">
        <f t="shared" ref="AX19:AX20" si="47">SUM(AL19:AW19)</f>
        <v>26.875</v>
      </c>
      <c r="AY19" s="99">
        <f t="shared" ref="AY19:AY20" si="48">AX19/12</f>
        <v>2.2395833333333335</v>
      </c>
      <c r="AZ19" s="141"/>
      <c r="BA19" s="99">
        <f>AY19/'2. Headcount Buildup'!$D$36</f>
        <v>0.14930555555555555</v>
      </c>
      <c r="BB19" s="99">
        <f>AY19/'2. Headcount Buildup'!$D$37</f>
        <v>4.4791666666666667E-2</v>
      </c>
      <c r="BC19" s="99">
        <f>AY19/'2. Headcount Buildup'!$D$38</f>
        <v>2.2395833333333334E-2</v>
      </c>
      <c r="BD19" s="99">
        <f>AY19/'2. Headcount Buildup'!$D$43</f>
        <v>2.2395833333333334E-2</v>
      </c>
      <c r="BE19" s="99">
        <f>(SUM('2. Headcount Buildup'!$F$44:$Q$44)/12)*('Base Revenue'!$AY19/'Base Revenue'!$AY$61)</f>
        <v>4.3486591216885556E-2</v>
      </c>
      <c r="BF19" s="99">
        <f>(SUM('2. Headcount Buildup'!$F$45:$Q$45)/12)*('Base Revenue'!$AY19/'Base Revenue'!$AY$61)</f>
        <v>7.2477652028142603E-2</v>
      </c>
      <c r="BG19" s="99">
        <f>(SUM('2. Headcount Buildup'!$F$46:$Q$46)/12)*('Base Revenue'!$AY19/'Base Revenue'!$AY$61)</f>
        <v>0.11596424324502816</v>
      </c>
      <c r="BH19" s="99">
        <f t="shared" ref="BH19:BH20" si="49">SUM(BA19:BG19)</f>
        <v>0.47081737537894519</v>
      </c>
      <c r="BI19" s="141"/>
      <c r="BK19" s="14"/>
      <c r="BL19" s="102"/>
      <c r="BM19" s="103"/>
      <c r="BN19" s="104"/>
    </row>
    <row r="20" spans="1:66" x14ac:dyDescent="0.35">
      <c r="A20" s="295"/>
      <c r="B20" s="295" t="s">
        <v>1665</v>
      </c>
      <c r="C20" s="296" t="s">
        <v>782</v>
      </c>
      <c r="D20" s="16"/>
      <c r="E20" s="296" t="s">
        <v>1662</v>
      </c>
      <c r="F20" s="542" t="s">
        <v>43</v>
      </c>
      <c r="G20" s="542"/>
      <c r="H20" s="546">
        <v>1350</v>
      </c>
      <c r="I20" s="587"/>
      <c r="J20" s="304"/>
      <c r="K20" s="304">
        <v>2025</v>
      </c>
      <c r="L20" s="304">
        <v>4050</v>
      </c>
      <c r="M20" s="304">
        <v>4050</v>
      </c>
      <c r="N20" s="304">
        <v>4050</v>
      </c>
      <c r="O20" s="304">
        <v>4050</v>
      </c>
      <c r="P20" s="304">
        <v>4050</v>
      </c>
      <c r="Q20" s="304">
        <v>4050</v>
      </c>
      <c r="R20" s="304">
        <v>4050</v>
      </c>
      <c r="S20" s="304">
        <v>4050</v>
      </c>
      <c r="T20" s="304">
        <v>4050</v>
      </c>
      <c r="U20" s="304">
        <v>4050</v>
      </c>
      <c r="V20" s="304">
        <f t="shared" si="4"/>
        <v>42525</v>
      </c>
      <c r="W20" s="9"/>
      <c r="X20" s="613"/>
      <c r="Y20" s="613">
        <v>1.5</v>
      </c>
      <c r="Z20" s="613">
        <v>3</v>
      </c>
      <c r="AA20" s="613">
        <v>3</v>
      </c>
      <c r="AB20" s="613">
        <v>3</v>
      </c>
      <c r="AC20" s="613">
        <v>3</v>
      </c>
      <c r="AD20" s="613">
        <v>3</v>
      </c>
      <c r="AE20" s="613">
        <v>3</v>
      </c>
      <c r="AF20" s="613">
        <v>3</v>
      </c>
      <c r="AG20" s="613">
        <v>3</v>
      </c>
      <c r="AH20" s="613">
        <v>3</v>
      </c>
      <c r="AI20" s="613">
        <v>3</v>
      </c>
      <c r="AJ20" s="99">
        <f t="shared" si="5"/>
        <v>31.5</v>
      </c>
      <c r="AK20" s="141"/>
      <c r="AL20" s="613">
        <f t="shared" si="35"/>
        <v>0</v>
      </c>
      <c r="AM20" s="613">
        <f t="shared" si="36"/>
        <v>1.875</v>
      </c>
      <c r="AN20" s="613">
        <f t="shared" si="37"/>
        <v>3.75</v>
      </c>
      <c r="AO20" s="613">
        <f t="shared" si="38"/>
        <v>3.75</v>
      </c>
      <c r="AP20" s="613">
        <f t="shared" si="39"/>
        <v>3.75</v>
      </c>
      <c r="AQ20" s="613">
        <f t="shared" si="40"/>
        <v>3.75</v>
      </c>
      <c r="AR20" s="613">
        <f t="shared" si="41"/>
        <v>3.75</v>
      </c>
      <c r="AS20" s="613">
        <f t="shared" si="42"/>
        <v>3.75</v>
      </c>
      <c r="AT20" s="613">
        <f t="shared" si="43"/>
        <v>3.75</v>
      </c>
      <c r="AU20" s="613">
        <f t="shared" si="44"/>
        <v>3.75</v>
      </c>
      <c r="AV20" s="613">
        <f t="shared" si="45"/>
        <v>3.75</v>
      </c>
      <c r="AW20" s="613">
        <f t="shared" si="46"/>
        <v>3.75</v>
      </c>
      <c r="AX20" s="99">
        <f t="shared" si="47"/>
        <v>39.375</v>
      </c>
      <c r="AY20" s="99">
        <f t="shared" si="48"/>
        <v>3.28125</v>
      </c>
      <c r="AZ20" s="141"/>
      <c r="BA20" s="99">
        <f>AY20/'2. Headcount Buildup'!$D$36</f>
        <v>0.21875</v>
      </c>
      <c r="BB20" s="99">
        <f>AY20/'2. Headcount Buildup'!$D$37</f>
        <v>6.5625000000000003E-2</v>
      </c>
      <c r="BC20" s="99">
        <f>AY20/'2. Headcount Buildup'!$D$38</f>
        <v>3.2812500000000001E-2</v>
      </c>
      <c r="BD20" s="99">
        <f>AY20/'2. Headcount Buildup'!$D$43</f>
        <v>3.2812500000000001E-2</v>
      </c>
      <c r="BE20" s="99">
        <f>(SUM('2. Headcount Buildup'!$F$44:$Q$44)/12)*('Base Revenue'!$AY20/'Base Revenue'!$AY$61)</f>
        <v>6.3712912713111386E-2</v>
      </c>
      <c r="BF20" s="99">
        <f>(SUM('2. Headcount Buildup'!$F$45:$Q$45)/12)*('Base Revenue'!$AY20/'Base Revenue'!$AY$61)</f>
        <v>0.10618818785518566</v>
      </c>
      <c r="BG20" s="99">
        <f>(SUM('2. Headcount Buildup'!$F$46:$Q$46)/12)*('Base Revenue'!$AY20/'Base Revenue'!$AY$61)</f>
        <v>0.16990110056829705</v>
      </c>
      <c r="BH20" s="99">
        <f t="shared" si="49"/>
        <v>0.68980220113659407</v>
      </c>
      <c r="BI20" s="141"/>
      <c r="BK20" s="14"/>
      <c r="BL20" s="102"/>
      <c r="BM20" s="103"/>
      <c r="BN20" s="104"/>
    </row>
    <row r="21" spans="1:66" x14ac:dyDescent="0.35">
      <c r="A21" s="295"/>
      <c r="B21" s="295" t="s">
        <v>117</v>
      </c>
      <c r="C21" s="296" t="s">
        <v>802</v>
      </c>
      <c r="D21" s="16"/>
      <c r="E21" s="296" t="s">
        <v>93</v>
      </c>
      <c r="F21" s="542" t="s">
        <v>41</v>
      </c>
      <c r="G21" s="542"/>
      <c r="H21" s="546">
        <v>0.03</v>
      </c>
      <c r="I21" s="587">
        <v>290000</v>
      </c>
      <c r="J21" s="304">
        <v>8700</v>
      </c>
      <c r="K21" s="304">
        <v>8700</v>
      </c>
      <c r="L21" s="304">
        <v>8700</v>
      </c>
      <c r="M21" s="304">
        <v>8700</v>
      </c>
      <c r="N21" s="304">
        <v>8700</v>
      </c>
      <c r="O21" s="304">
        <v>8700</v>
      </c>
      <c r="P21" s="304">
        <v>8700</v>
      </c>
      <c r="Q21" s="304">
        <v>8700</v>
      </c>
      <c r="R21" s="304">
        <v>8700</v>
      </c>
      <c r="S21" s="304">
        <v>8700</v>
      </c>
      <c r="T21" s="304">
        <v>8700</v>
      </c>
      <c r="U21" s="304">
        <v>8700</v>
      </c>
      <c r="V21" s="304">
        <f t="shared" si="4"/>
        <v>104400</v>
      </c>
      <c r="W21" s="9"/>
      <c r="X21" s="613">
        <f>'Base FTE'!$I55</f>
        <v>7.3141938775510207</v>
      </c>
      <c r="Y21" s="613">
        <f>'Base FTE'!$I55</f>
        <v>7.3141938775510207</v>
      </c>
      <c r="Z21" s="613">
        <f>'Base FTE'!$I55</f>
        <v>7.3141938775510207</v>
      </c>
      <c r="AA21" s="613">
        <f>'Base FTE'!$I55</f>
        <v>7.3141938775510207</v>
      </c>
      <c r="AB21" s="613">
        <f>'Base FTE'!$I55</f>
        <v>7.3141938775510207</v>
      </c>
      <c r="AC21" s="613">
        <f>'Base FTE'!$I55</f>
        <v>7.3141938775510207</v>
      </c>
      <c r="AD21" s="613">
        <f>'Base FTE'!$I55</f>
        <v>7.3141938775510207</v>
      </c>
      <c r="AE21" s="613">
        <f>'Base FTE'!$I55</f>
        <v>7.3141938775510207</v>
      </c>
      <c r="AF21" s="613">
        <f>'Base FTE'!$I55</f>
        <v>7.3141938775510207</v>
      </c>
      <c r="AG21" s="613">
        <f>'Base FTE'!$I55</f>
        <v>7.3141938775510207</v>
      </c>
      <c r="AH21" s="613">
        <f>'Base FTE'!$I55</f>
        <v>7.3141938775510207</v>
      </c>
      <c r="AI21" s="613">
        <f>'Base FTE'!$I55</f>
        <v>7.3141938775510207</v>
      </c>
      <c r="AJ21" s="99">
        <f t="shared" si="5"/>
        <v>87.770326530612252</v>
      </c>
      <c r="AK21" s="141"/>
      <c r="AL21" s="613">
        <f t="shared" si="22"/>
        <v>9.1427423469387747</v>
      </c>
      <c r="AM21" s="613">
        <f t="shared" si="23"/>
        <v>9.1427423469387747</v>
      </c>
      <c r="AN21" s="613">
        <f t="shared" si="24"/>
        <v>9.1427423469387747</v>
      </c>
      <c r="AO21" s="613">
        <f t="shared" si="25"/>
        <v>9.1427423469387747</v>
      </c>
      <c r="AP21" s="613">
        <f t="shared" si="26"/>
        <v>9.1427423469387747</v>
      </c>
      <c r="AQ21" s="613">
        <f t="shared" si="27"/>
        <v>9.1427423469387747</v>
      </c>
      <c r="AR21" s="613">
        <f t="shared" si="28"/>
        <v>9.1427423469387747</v>
      </c>
      <c r="AS21" s="613">
        <f t="shared" si="29"/>
        <v>9.1427423469387747</v>
      </c>
      <c r="AT21" s="613">
        <f t="shared" si="30"/>
        <v>9.1427423469387747</v>
      </c>
      <c r="AU21" s="613">
        <f t="shared" si="31"/>
        <v>9.1427423469387747</v>
      </c>
      <c r="AV21" s="613">
        <f t="shared" si="32"/>
        <v>9.1427423469387747</v>
      </c>
      <c r="AW21" s="613">
        <f t="shared" si="33"/>
        <v>9.1427423469387747</v>
      </c>
      <c r="AX21" s="99">
        <f t="shared" si="6"/>
        <v>109.7129081632653</v>
      </c>
      <c r="AY21" s="99">
        <f t="shared" si="7"/>
        <v>9.1427423469387747</v>
      </c>
      <c r="AZ21" s="141"/>
      <c r="BA21" s="99">
        <f>AY21/'2. Headcount Buildup'!$D$36</f>
        <v>0.60951615646258495</v>
      </c>
      <c r="BB21" s="99">
        <f>AY21/'2. Headcount Buildup'!$D$37</f>
        <v>0.18285484693877549</v>
      </c>
      <c r="BC21" s="99">
        <f>AY21/'2. Headcount Buildup'!$D$38</f>
        <v>9.1427423469387745E-2</v>
      </c>
      <c r="BD21" s="99">
        <f>AY21/'2. Headcount Buildup'!$D$43</f>
        <v>9.1427423469387745E-2</v>
      </c>
      <c r="BE21" s="99">
        <f>(SUM('2. Headcount Buildup'!$F$44:$Q$44)/12)*('Base Revenue'!$AY21/'Base Revenue'!$AY$61)</f>
        <v>0.17752708422368835</v>
      </c>
      <c r="BF21" s="99">
        <f>(SUM('2. Headcount Buildup'!$F$45:$Q$45)/12)*('Base Revenue'!$AY21/'Base Revenue'!$AY$61)</f>
        <v>0.29587847370614723</v>
      </c>
      <c r="BG21" s="99">
        <f>(SUM('2. Headcount Buildup'!$F$46:$Q$46)/12)*('Base Revenue'!$AY21/'Base Revenue'!$AY$61)</f>
        <v>0.47340555792983557</v>
      </c>
      <c r="BH21" s="99">
        <f t="shared" si="8"/>
        <v>1.9220369661998069</v>
      </c>
      <c r="BI21" s="141"/>
      <c r="BK21" s="14" t="s">
        <v>812</v>
      </c>
      <c r="BL21" s="102">
        <f t="shared" ref="BL21:BL27" si="50">IFERROR(SUMIF($C$6:$C$60,BK21,$V$6:$V$60),0)</f>
        <v>252500</v>
      </c>
      <c r="BM21" s="103">
        <f t="shared" ref="BM21:BM27" si="51">IFERROR(SUMIF($C$5:$C$60,BK21,$AJ$5:$AJ$60),0)</f>
        <v>120</v>
      </c>
      <c r="BN21" s="104">
        <f t="shared" si="3"/>
        <v>2104.1666666666665</v>
      </c>
    </row>
    <row r="22" spans="1:66" x14ac:dyDescent="0.35">
      <c r="A22" s="295"/>
      <c r="B22" s="295" t="s">
        <v>117</v>
      </c>
      <c r="C22" s="296" t="s">
        <v>798</v>
      </c>
      <c r="D22" s="16"/>
      <c r="E22" s="296" t="s">
        <v>44</v>
      </c>
      <c r="F22" s="542" t="s">
        <v>43</v>
      </c>
      <c r="G22" s="542">
        <v>80</v>
      </c>
      <c r="H22" s="546">
        <v>1280</v>
      </c>
      <c r="I22" s="587">
        <v>2</v>
      </c>
      <c r="J22" s="304">
        <v>2560</v>
      </c>
      <c r="K22" s="304">
        <v>2560</v>
      </c>
      <c r="L22" s="304">
        <v>2560</v>
      </c>
      <c r="M22" s="304">
        <v>2560</v>
      </c>
      <c r="N22" s="304">
        <v>2560</v>
      </c>
      <c r="O22" s="304">
        <v>2560</v>
      </c>
      <c r="P22" s="304">
        <v>2560</v>
      </c>
      <c r="Q22" s="304">
        <v>2560</v>
      </c>
      <c r="R22" s="304">
        <v>2560</v>
      </c>
      <c r="S22" s="304">
        <v>2560</v>
      </c>
      <c r="T22" s="304">
        <v>2560</v>
      </c>
      <c r="U22" s="304">
        <v>2560</v>
      </c>
      <c r="V22" s="304">
        <f t="shared" si="4"/>
        <v>30720</v>
      </c>
      <c r="W22" s="9"/>
      <c r="X22" s="613">
        <f>'Base FTE'!$I47</f>
        <v>2</v>
      </c>
      <c r="Y22" s="613">
        <f>'Base FTE'!$I47</f>
        <v>2</v>
      </c>
      <c r="Z22" s="613">
        <f>'Base FTE'!$I47</f>
        <v>2</v>
      </c>
      <c r="AA22" s="613">
        <f>'Base FTE'!$I47</f>
        <v>2</v>
      </c>
      <c r="AB22" s="613">
        <f>'Base FTE'!$I47</f>
        <v>2</v>
      </c>
      <c r="AC22" s="613">
        <f>'Base FTE'!$I47</f>
        <v>2</v>
      </c>
      <c r="AD22" s="613">
        <f>'Base FTE'!$I47</f>
        <v>2</v>
      </c>
      <c r="AE22" s="613">
        <f>'Base FTE'!$I47</f>
        <v>2</v>
      </c>
      <c r="AF22" s="613">
        <f>'Base FTE'!$I47</f>
        <v>2</v>
      </c>
      <c r="AG22" s="613">
        <f>'Base FTE'!$I47</f>
        <v>2</v>
      </c>
      <c r="AH22" s="613">
        <f>'Base FTE'!$I47</f>
        <v>2</v>
      </c>
      <c r="AI22" s="613">
        <f>'Base FTE'!$I47</f>
        <v>2</v>
      </c>
      <c r="AJ22" s="99">
        <f t="shared" si="5"/>
        <v>24</v>
      </c>
      <c r="AK22" s="141"/>
      <c r="AL22" s="613">
        <f t="shared" si="22"/>
        <v>2.5</v>
      </c>
      <c r="AM22" s="613">
        <f t="shared" si="23"/>
        <v>2.5</v>
      </c>
      <c r="AN22" s="613">
        <f t="shared" si="24"/>
        <v>2.5</v>
      </c>
      <c r="AO22" s="613">
        <f t="shared" si="25"/>
        <v>2.5</v>
      </c>
      <c r="AP22" s="613">
        <f t="shared" si="26"/>
        <v>2.5</v>
      </c>
      <c r="AQ22" s="613">
        <f t="shared" si="27"/>
        <v>2.5</v>
      </c>
      <c r="AR22" s="613">
        <f t="shared" si="28"/>
        <v>2.5</v>
      </c>
      <c r="AS22" s="613">
        <f t="shared" si="29"/>
        <v>2.5</v>
      </c>
      <c r="AT22" s="613">
        <f t="shared" si="30"/>
        <v>2.5</v>
      </c>
      <c r="AU22" s="613">
        <f t="shared" si="31"/>
        <v>2.5</v>
      </c>
      <c r="AV22" s="613">
        <f t="shared" si="32"/>
        <v>2.5</v>
      </c>
      <c r="AW22" s="613">
        <f t="shared" si="33"/>
        <v>2.5</v>
      </c>
      <c r="AX22" s="99">
        <f t="shared" si="6"/>
        <v>30</v>
      </c>
      <c r="AY22" s="99">
        <f t="shared" si="7"/>
        <v>2.5</v>
      </c>
      <c r="AZ22" s="141"/>
      <c r="BA22" s="99">
        <f>AY22/'2. Headcount Buildup'!$D$36</f>
        <v>0.16666666666666666</v>
      </c>
      <c r="BB22" s="99">
        <f>AY22/'2. Headcount Buildup'!$D$37</f>
        <v>0.05</v>
      </c>
      <c r="BC22" s="99">
        <f>AY22/'2. Headcount Buildup'!$D$38</f>
        <v>2.5000000000000001E-2</v>
      </c>
      <c r="BD22" s="99">
        <f>AY22/'2. Headcount Buildup'!$D$43</f>
        <v>2.5000000000000001E-2</v>
      </c>
      <c r="BE22" s="99">
        <f>(SUM('2. Headcount Buildup'!$F$44:$Q$44)/12)*('Base Revenue'!$AY22/'Base Revenue'!$AY$61)</f>
        <v>4.8543171590942014E-2</v>
      </c>
      <c r="BF22" s="99">
        <f>(SUM('2. Headcount Buildup'!$F$45:$Q$45)/12)*('Base Revenue'!$AY22/'Base Revenue'!$AY$61)</f>
        <v>8.0905285984903347E-2</v>
      </c>
      <c r="BG22" s="99">
        <f>(SUM('2. Headcount Buildup'!$F$46:$Q$46)/12)*('Base Revenue'!$AY22/'Base Revenue'!$AY$61)</f>
        <v>0.12944845757584536</v>
      </c>
      <c r="BH22" s="99">
        <f t="shared" si="8"/>
        <v>0.52556358181835738</v>
      </c>
      <c r="BI22" s="141"/>
      <c r="BK22" s="14" t="s">
        <v>793</v>
      </c>
      <c r="BL22" s="102">
        <f t="shared" si="50"/>
        <v>17400</v>
      </c>
      <c r="BM22" s="103">
        <f t="shared" si="51"/>
        <v>12</v>
      </c>
      <c r="BN22" s="104">
        <f t="shared" si="3"/>
        <v>1450</v>
      </c>
    </row>
    <row r="23" spans="1:66" x14ac:dyDescent="0.35">
      <c r="A23" s="295"/>
      <c r="B23" s="295" t="s">
        <v>117</v>
      </c>
      <c r="C23" s="296" t="s">
        <v>764</v>
      </c>
      <c r="D23" s="16"/>
      <c r="E23" s="296" t="s">
        <v>101</v>
      </c>
      <c r="F23" s="542" t="s">
        <v>43</v>
      </c>
      <c r="G23" s="542"/>
      <c r="H23" s="546">
        <v>1440</v>
      </c>
      <c r="I23" s="587">
        <v>2</v>
      </c>
      <c r="J23" s="304">
        <v>2880</v>
      </c>
      <c r="K23" s="304">
        <v>2880</v>
      </c>
      <c r="L23" s="304">
        <v>2880</v>
      </c>
      <c r="M23" s="304">
        <v>2880</v>
      </c>
      <c r="N23" s="304">
        <v>2880</v>
      </c>
      <c r="O23" s="304">
        <v>2880</v>
      </c>
      <c r="P23" s="304">
        <v>2880</v>
      </c>
      <c r="Q23" s="304">
        <v>2880</v>
      </c>
      <c r="R23" s="304">
        <v>2880</v>
      </c>
      <c r="S23" s="304">
        <v>2880</v>
      </c>
      <c r="T23" s="304">
        <v>2880</v>
      </c>
      <c r="U23" s="304">
        <v>2880</v>
      </c>
      <c r="V23" s="304">
        <f t="shared" si="4"/>
        <v>34560</v>
      </c>
      <c r="W23" s="9"/>
      <c r="X23" s="613">
        <f>'Base FTE'!$I2</f>
        <v>2</v>
      </c>
      <c r="Y23" s="613">
        <f>'Base FTE'!$I2</f>
        <v>2</v>
      </c>
      <c r="Z23" s="613">
        <f>'Base FTE'!$I2</f>
        <v>2</v>
      </c>
      <c r="AA23" s="613">
        <f>'Base FTE'!$I2</f>
        <v>2</v>
      </c>
      <c r="AB23" s="613">
        <f>'Base FTE'!$I2</f>
        <v>2</v>
      </c>
      <c r="AC23" s="613">
        <f>'Base FTE'!$I2</f>
        <v>2</v>
      </c>
      <c r="AD23" s="613">
        <f>'Base FTE'!$I2</f>
        <v>2</v>
      </c>
      <c r="AE23" s="613">
        <f>'Base FTE'!$I2</f>
        <v>2</v>
      </c>
      <c r="AF23" s="613">
        <f>'Base FTE'!$I2</f>
        <v>2</v>
      </c>
      <c r="AG23" s="613">
        <f>'Base FTE'!$I2</f>
        <v>2</v>
      </c>
      <c r="AH23" s="613">
        <f>'Base FTE'!$I2</f>
        <v>2</v>
      </c>
      <c r="AI23" s="613">
        <f>'Base FTE'!$I2</f>
        <v>2</v>
      </c>
      <c r="AJ23" s="99">
        <f t="shared" si="5"/>
        <v>24</v>
      </c>
      <c r="AK23" s="141"/>
      <c r="AL23" s="613">
        <f t="shared" si="22"/>
        <v>2.5</v>
      </c>
      <c r="AM23" s="613">
        <f t="shared" si="23"/>
        <v>2.5</v>
      </c>
      <c r="AN23" s="613">
        <f t="shared" si="24"/>
        <v>2.5</v>
      </c>
      <c r="AO23" s="613">
        <f t="shared" si="25"/>
        <v>2.5</v>
      </c>
      <c r="AP23" s="613">
        <f t="shared" si="26"/>
        <v>2.5</v>
      </c>
      <c r="AQ23" s="613">
        <f t="shared" si="27"/>
        <v>2.5</v>
      </c>
      <c r="AR23" s="613">
        <f t="shared" si="28"/>
        <v>2.5</v>
      </c>
      <c r="AS23" s="613">
        <f t="shared" si="29"/>
        <v>2.5</v>
      </c>
      <c r="AT23" s="613">
        <f t="shared" si="30"/>
        <v>2.5</v>
      </c>
      <c r="AU23" s="613">
        <f t="shared" si="31"/>
        <v>2.5</v>
      </c>
      <c r="AV23" s="613">
        <f t="shared" si="32"/>
        <v>2.5</v>
      </c>
      <c r="AW23" s="613">
        <f t="shared" si="33"/>
        <v>2.5</v>
      </c>
      <c r="AX23" s="99">
        <f t="shared" si="6"/>
        <v>30</v>
      </c>
      <c r="AY23" s="99">
        <f t="shared" si="7"/>
        <v>2.5</v>
      </c>
      <c r="AZ23" s="141"/>
      <c r="BA23" s="99">
        <f>AY23/'2. Headcount Buildup'!$D$36</f>
        <v>0.16666666666666666</v>
      </c>
      <c r="BB23" s="99">
        <f>AY23/'2. Headcount Buildup'!$D$37</f>
        <v>0.05</v>
      </c>
      <c r="BC23" s="99">
        <f>AY23/'2. Headcount Buildup'!$D$38</f>
        <v>2.5000000000000001E-2</v>
      </c>
      <c r="BD23" s="99">
        <f>AY23/'2. Headcount Buildup'!$D$43</f>
        <v>2.5000000000000001E-2</v>
      </c>
      <c r="BE23" s="99">
        <f>(SUM('2. Headcount Buildup'!$F$44:$Q$44)/12)*('Base Revenue'!$AY23/'Base Revenue'!$AY$61)</f>
        <v>4.8543171590942014E-2</v>
      </c>
      <c r="BF23" s="99">
        <f>(SUM('2. Headcount Buildup'!$F$45:$Q$45)/12)*('Base Revenue'!$AY23/'Base Revenue'!$AY$61)</f>
        <v>8.0905285984903347E-2</v>
      </c>
      <c r="BG23" s="99">
        <f>(SUM('2. Headcount Buildup'!$F$46:$Q$46)/12)*('Base Revenue'!$AY23/'Base Revenue'!$AY$61)</f>
        <v>0.12944845757584536</v>
      </c>
      <c r="BH23" s="99">
        <f t="shared" si="8"/>
        <v>0.52556358181835738</v>
      </c>
      <c r="BI23" s="141"/>
      <c r="BK23" s="14" t="s">
        <v>813</v>
      </c>
      <c r="BL23" s="102">
        <f t="shared" si="50"/>
        <v>76032</v>
      </c>
      <c r="BM23" s="103">
        <f t="shared" si="51"/>
        <v>0.41142857142857153</v>
      </c>
      <c r="BN23" s="104">
        <f t="shared" si="3"/>
        <v>184799.99999999994</v>
      </c>
    </row>
    <row r="24" spans="1:66" x14ac:dyDescent="0.35">
      <c r="A24" s="295"/>
      <c r="B24" s="295" t="s">
        <v>117</v>
      </c>
      <c r="C24" s="296" t="s">
        <v>794</v>
      </c>
      <c r="D24" s="16"/>
      <c r="E24" s="296" t="s">
        <v>842</v>
      </c>
      <c r="F24" s="542" t="s">
        <v>41</v>
      </c>
      <c r="G24" s="542">
        <v>900</v>
      </c>
      <c r="H24" s="546">
        <v>0.06</v>
      </c>
      <c r="I24" s="587">
        <v>120000</v>
      </c>
      <c r="J24" s="304">
        <v>7200</v>
      </c>
      <c r="K24" s="304">
        <v>7200</v>
      </c>
      <c r="L24" s="304">
        <v>7200</v>
      </c>
      <c r="M24" s="304">
        <v>7200</v>
      </c>
      <c r="N24" s="304">
        <v>7200</v>
      </c>
      <c r="O24" s="304">
        <v>7200</v>
      </c>
      <c r="P24" s="304">
        <v>7200</v>
      </c>
      <c r="Q24" s="304">
        <v>7200</v>
      </c>
      <c r="R24" s="304">
        <v>7200</v>
      </c>
      <c r="S24" s="304">
        <v>7200</v>
      </c>
      <c r="T24" s="304">
        <v>7200</v>
      </c>
      <c r="U24" s="304">
        <v>7200</v>
      </c>
      <c r="V24" s="304">
        <f t="shared" si="4"/>
        <v>86400</v>
      </c>
      <c r="W24" s="9"/>
      <c r="X24" s="613">
        <f>'Base FTE'!$I45</f>
        <v>2.0176984126984125</v>
      </c>
      <c r="Y24" s="613">
        <f>'Base FTE'!$I45</f>
        <v>2.0176984126984125</v>
      </c>
      <c r="Z24" s="613">
        <f>'Base FTE'!$I45</f>
        <v>2.0176984126984125</v>
      </c>
      <c r="AA24" s="613">
        <f>'Base FTE'!$I45</f>
        <v>2.0176984126984125</v>
      </c>
      <c r="AB24" s="613">
        <f>'Base FTE'!$I45</f>
        <v>2.0176984126984125</v>
      </c>
      <c r="AC24" s="613">
        <f>'Base FTE'!$I45</f>
        <v>2.0176984126984125</v>
      </c>
      <c r="AD24" s="613">
        <f>'Base FTE'!$I45</f>
        <v>2.0176984126984125</v>
      </c>
      <c r="AE24" s="613">
        <f>'Base FTE'!$I45</f>
        <v>2.0176984126984125</v>
      </c>
      <c r="AF24" s="613">
        <f>'Base FTE'!$I45</f>
        <v>2.0176984126984125</v>
      </c>
      <c r="AG24" s="613">
        <f>'Base FTE'!$I45</f>
        <v>2.0176984126984125</v>
      </c>
      <c r="AH24" s="613">
        <f>'Base FTE'!$I45</f>
        <v>2.0176984126984125</v>
      </c>
      <c r="AI24" s="613">
        <f>'Base FTE'!$I45</f>
        <v>2.0176984126984125</v>
      </c>
      <c r="AJ24" s="99">
        <f t="shared" si="5"/>
        <v>24.212380952380943</v>
      </c>
      <c r="AK24" s="141"/>
      <c r="AL24" s="613">
        <f t="shared" si="22"/>
        <v>2.5221230158730155</v>
      </c>
      <c r="AM24" s="613">
        <f t="shared" si="23"/>
        <v>2.5221230158730155</v>
      </c>
      <c r="AN24" s="613">
        <f t="shared" si="24"/>
        <v>2.5221230158730155</v>
      </c>
      <c r="AO24" s="613">
        <f t="shared" si="25"/>
        <v>2.5221230158730155</v>
      </c>
      <c r="AP24" s="613">
        <f t="shared" si="26"/>
        <v>2.5221230158730155</v>
      </c>
      <c r="AQ24" s="613">
        <f t="shared" si="27"/>
        <v>2.5221230158730155</v>
      </c>
      <c r="AR24" s="613">
        <f t="shared" si="28"/>
        <v>2.5221230158730155</v>
      </c>
      <c r="AS24" s="613">
        <f t="shared" si="29"/>
        <v>2.5221230158730155</v>
      </c>
      <c r="AT24" s="613">
        <f t="shared" si="30"/>
        <v>2.5221230158730155</v>
      </c>
      <c r="AU24" s="613">
        <f t="shared" si="31"/>
        <v>2.5221230158730155</v>
      </c>
      <c r="AV24" s="613">
        <f t="shared" si="32"/>
        <v>2.5221230158730155</v>
      </c>
      <c r="AW24" s="613">
        <f t="shared" si="33"/>
        <v>2.5221230158730155</v>
      </c>
      <c r="AX24" s="99">
        <f t="shared" si="6"/>
        <v>30.265476190476178</v>
      </c>
      <c r="AY24" s="99">
        <f t="shared" si="7"/>
        <v>2.522123015873015</v>
      </c>
      <c r="AZ24" s="141"/>
      <c r="BA24" s="99">
        <f>AY24/'2. Headcount Buildup'!$D$36</f>
        <v>0.16814153439153434</v>
      </c>
      <c r="BB24" s="99">
        <f>AY24/'2. Headcount Buildup'!$D$37</f>
        <v>5.0442460317460303E-2</v>
      </c>
      <c r="BC24" s="99">
        <f>AY24/'2. Headcount Buildup'!$D$38</f>
        <v>2.5221230158730151E-2</v>
      </c>
      <c r="BD24" s="99">
        <f>AY24/'2. Headcount Buildup'!$D$43</f>
        <v>2.5221230158730151E-2</v>
      </c>
      <c r="BE24" s="99">
        <f>(SUM('2. Headcount Buildup'!$F$44:$Q$44)/12)*('Base Revenue'!$AY24/'Base Revenue'!$AY$61)</f>
        <v>4.8972740133195178E-2</v>
      </c>
      <c r="BF24" s="99">
        <f>(SUM('2. Headcount Buildup'!$F$45:$Q$45)/12)*('Base Revenue'!$AY24/'Base Revenue'!$AY$61)</f>
        <v>8.1621233555325287E-2</v>
      </c>
      <c r="BG24" s="99">
        <f>(SUM('2. Headcount Buildup'!$F$46:$Q$46)/12)*('Base Revenue'!$AY24/'Base Revenue'!$AY$61)</f>
        <v>0.13059397368852046</v>
      </c>
      <c r="BH24" s="99">
        <f t="shared" si="8"/>
        <v>0.53021440240349593</v>
      </c>
      <c r="BI24" s="141"/>
      <c r="BK24" s="14" t="s">
        <v>815</v>
      </c>
      <c r="BL24" s="102">
        <f t="shared" si="50"/>
        <v>56700</v>
      </c>
      <c r="BM24" s="103">
        <f t="shared" si="51"/>
        <v>28.571428571428566</v>
      </c>
      <c r="BN24" s="104">
        <f t="shared" si="3"/>
        <v>1984.5000000000005</v>
      </c>
    </row>
    <row r="25" spans="1:66" x14ac:dyDescent="0.35">
      <c r="A25" s="295"/>
      <c r="B25" s="295" t="s">
        <v>117</v>
      </c>
      <c r="C25" s="296" t="s">
        <v>91</v>
      </c>
      <c r="D25" s="16"/>
      <c r="E25" s="296" t="s">
        <v>74</v>
      </c>
      <c r="F25" s="542" t="s">
        <v>43</v>
      </c>
      <c r="G25" s="542">
        <v>60</v>
      </c>
      <c r="H25" s="546">
        <v>1300</v>
      </c>
      <c r="I25" s="587">
        <v>10</v>
      </c>
      <c r="J25" s="304">
        <v>13000</v>
      </c>
      <c r="K25" s="304">
        <v>13000</v>
      </c>
      <c r="L25" s="304">
        <v>13000</v>
      </c>
      <c r="M25" s="304">
        <v>13000</v>
      </c>
      <c r="N25" s="304">
        <v>13000</v>
      </c>
      <c r="O25" s="304">
        <v>13000</v>
      </c>
      <c r="P25" s="304">
        <v>13000</v>
      </c>
      <c r="Q25" s="304">
        <v>13000</v>
      </c>
      <c r="R25" s="304">
        <v>13000</v>
      </c>
      <c r="S25" s="304">
        <v>13000</v>
      </c>
      <c r="T25" s="304">
        <v>13000</v>
      </c>
      <c r="U25" s="304">
        <v>13000</v>
      </c>
      <c r="V25" s="304">
        <f t="shared" si="4"/>
        <v>156000</v>
      </c>
      <c r="W25" s="9"/>
      <c r="X25" s="297">
        <v>10</v>
      </c>
      <c r="Y25" s="297">
        <v>10</v>
      </c>
      <c r="Z25" s="297">
        <v>10</v>
      </c>
      <c r="AA25" s="297">
        <v>10</v>
      </c>
      <c r="AB25" s="297">
        <v>10</v>
      </c>
      <c r="AC25" s="297">
        <v>10</v>
      </c>
      <c r="AD25" s="297">
        <v>10</v>
      </c>
      <c r="AE25" s="297">
        <v>10</v>
      </c>
      <c r="AF25" s="297">
        <v>10</v>
      </c>
      <c r="AG25" s="297">
        <v>10</v>
      </c>
      <c r="AH25" s="297">
        <v>10</v>
      </c>
      <c r="AI25" s="297">
        <v>10</v>
      </c>
      <c r="AJ25" s="99">
        <f t="shared" si="5"/>
        <v>120</v>
      </c>
      <c r="AK25" s="141"/>
      <c r="AL25" s="613">
        <f t="shared" si="22"/>
        <v>12.5</v>
      </c>
      <c r="AM25" s="613">
        <f t="shared" si="23"/>
        <v>12.5</v>
      </c>
      <c r="AN25" s="613">
        <f t="shared" si="24"/>
        <v>12.5</v>
      </c>
      <c r="AO25" s="613">
        <f t="shared" si="25"/>
        <v>12.5</v>
      </c>
      <c r="AP25" s="613">
        <f t="shared" si="26"/>
        <v>12.5</v>
      </c>
      <c r="AQ25" s="613">
        <f t="shared" si="27"/>
        <v>12.5</v>
      </c>
      <c r="AR25" s="613">
        <f t="shared" si="28"/>
        <v>12.5</v>
      </c>
      <c r="AS25" s="613">
        <f t="shared" si="29"/>
        <v>12.5</v>
      </c>
      <c r="AT25" s="613">
        <f t="shared" si="30"/>
        <v>12.5</v>
      </c>
      <c r="AU25" s="613">
        <f t="shared" si="31"/>
        <v>12.5</v>
      </c>
      <c r="AV25" s="613">
        <f t="shared" si="32"/>
        <v>12.5</v>
      </c>
      <c r="AW25" s="613">
        <f t="shared" si="33"/>
        <v>12.5</v>
      </c>
      <c r="AX25" s="99">
        <f t="shared" si="6"/>
        <v>150</v>
      </c>
      <c r="AY25" s="99">
        <f t="shared" si="7"/>
        <v>12.5</v>
      </c>
      <c r="AZ25" s="141"/>
      <c r="BA25" s="99">
        <f>AY25/'2. Headcount Buildup'!$D$36</f>
        <v>0.83333333333333337</v>
      </c>
      <c r="BB25" s="99">
        <f>AY25/'2. Headcount Buildup'!$D$37</f>
        <v>0.25</v>
      </c>
      <c r="BC25" s="99">
        <f>AY25/'2. Headcount Buildup'!$D$38</f>
        <v>0.125</v>
      </c>
      <c r="BD25" s="99">
        <f>AY25/'2. Headcount Buildup'!$D$43</f>
        <v>0.125</v>
      </c>
      <c r="BE25" s="99">
        <f>(SUM('2. Headcount Buildup'!$F$44:$Q$44)/12)*('Base Revenue'!$AY25/'Base Revenue'!$AY$61)</f>
        <v>0.24271585795471007</v>
      </c>
      <c r="BF25" s="99">
        <f>(SUM('2. Headcount Buildup'!$F$45:$Q$45)/12)*('Base Revenue'!$AY25/'Base Revenue'!$AY$61)</f>
        <v>0.40452642992451682</v>
      </c>
      <c r="BG25" s="99">
        <f>(SUM('2. Headcount Buildup'!$F$46:$Q$46)/12)*('Base Revenue'!$AY25/'Base Revenue'!$AY$61)</f>
        <v>0.64724228787922689</v>
      </c>
      <c r="BH25" s="99">
        <f t="shared" si="8"/>
        <v>2.627817909091787</v>
      </c>
      <c r="BI25" s="141"/>
      <c r="BK25" s="14" t="s">
        <v>781</v>
      </c>
      <c r="BL25" s="102">
        <f t="shared" si="50"/>
        <v>160471</v>
      </c>
      <c r="BM25" s="103">
        <f t="shared" si="51"/>
        <v>61</v>
      </c>
      <c r="BN25" s="104">
        <f t="shared" si="3"/>
        <v>2630.6721311475408</v>
      </c>
    </row>
    <row r="26" spans="1:66" x14ac:dyDescent="0.35">
      <c r="A26" s="295"/>
      <c r="B26" s="295" t="s">
        <v>117</v>
      </c>
      <c r="C26" s="296" t="s">
        <v>91</v>
      </c>
      <c r="D26" s="16"/>
      <c r="E26" s="296" t="s">
        <v>775</v>
      </c>
      <c r="F26" s="542" t="s">
        <v>43</v>
      </c>
      <c r="G26" s="542">
        <v>40</v>
      </c>
      <c r="H26" s="546">
        <v>1400</v>
      </c>
      <c r="I26" s="587">
        <v>9</v>
      </c>
      <c r="J26" s="304">
        <v>12600</v>
      </c>
      <c r="K26" s="304">
        <v>12600</v>
      </c>
      <c r="L26" s="304">
        <v>12600</v>
      </c>
      <c r="M26" s="304">
        <v>12600</v>
      </c>
      <c r="N26" s="304">
        <v>12600</v>
      </c>
      <c r="O26" s="304">
        <v>12600</v>
      </c>
      <c r="P26" s="304">
        <v>12600</v>
      </c>
      <c r="Q26" s="304">
        <v>12600</v>
      </c>
      <c r="R26" s="304">
        <v>12600</v>
      </c>
      <c r="S26" s="304">
        <v>12600</v>
      </c>
      <c r="T26" s="304">
        <v>12600</v>
      </c>
      <c r="U26" s="304">
        <v>12600</v>
      </c>
      <c r="V26" s="304">
        <f t="shared" si="4"/>
        <v>151200</v>
      </c>
      <c r="W26" s="9"/>
      <c r="X26" s="297">
        <v>9</v>
      </c>
      <c r="Y26" s="297">
        <v>9</v>
      </c>
      <c r="Z26" s="297">
        <v>9</v>
      </c>
      <c r="AA26" s="297">
        <v>9</v>
      </c>
      <c r="AB26" s="297">
        <v>9</v>
      </c>
      <c r="AC26" s="297">
        <v>9</v>
      </c>
      <c r="AD26" s="297">
        <v>9</v>
      </c>
      <c r="AE26" s="297">
        <v>9</v>
      </c>
      <c r="AF26" s="297">
        <v>9</v>
      </c>
      <c r="AG26" s="297">
        <v>9</v>
      </c>
      <c r="AH26" s="297">
        <v>9</v>
      </c>
      <c r="AI26" s="297">
        <v>9</v>
      </c>
      <c r="AJ26" s="99">
        <f t="shared" si="5"/>
        <v>108</v>
      </c>
      <c r="AK26" s="141"/>
      <c r="AL26" s="613">
        <f t="shared" si="22"/>
        <v>11.25</v>
      </c>
      <c r="AM26" s="613">
        <f t="shared" si="23"/>
        <v>11.25</v>
      </c>
      <c r="AN26" s="613">
        <f t="shared" si="24"/>
        <v>11.25</v>
      </c>
      <c r="AO26" s="613">
        <f t="shared" si="25"/>
        <v>11.25</v>
      </c>
      <c r="AP26" s="613">
        <f t="shared" si="26"/>
        <v>11.25</v>
      </c>
      <c r="AQ26" s="613">
        <f t="shared" si="27"/>
        <v>11.25</v>
      </c>
      <c r="AR26" s="613">
        <f t="shared" si="28"/>
        <v>11.25</v>
      </c>
      <c r="AS26" s="613">
        <f t="shared" si="29"/>
        <v>11.25</v>
      </c>
      <c r="AT26" s="613">
        <f t="shared" si="30"/>
        <v>11.25</v>
      </c>
      <c r="AU26" s="613">
        <f t="shared" si="31"/>
        <v>11.25</v>
      </c>
      <c r="AV26" s="613">
        <f t="shared" si="32"/>
        <v>11.25</v>
      </c>
      <c r="AW26" s="613">
        <f t="shared" si="33"/>
        <v>11.25</v>
      </c>
      <c r="AX26" s="99">
        <f t="shared" si="6"/>
        <v>135</v>
      </c>
      <c r="AY26" s="99">
        <f t="shared" si="7"/>
        <v>11.25</v>
      </c>
      <c r="AZ26" s="141"/>
      <c r="BA26" s="99">
        <f>AY26/'2. Headcount Buildup'!$D$36</f>
        <v>0.75</v>
      </c>
      <c r="BB26" s="99">
        <f>AY26/'2. Headcount Buildup'!$D$37</f>
        <v>0.22500000000000001</v>
      </c>
      <c r="BC26" s="99">
        <f>AY26/'2. Headcount Buildup'!$D$38</f>
        <v>0.1125</v>
      </c>
      <c r="BD26" s="99">
        <f>AY26/'2. Headcount Buildup'!$D$43</f>
        <v>0.1125</v>
      </c>
      <c r="BE26" s="99">
        <f>(SUM('2. Headcount Buildup'!$F$44:$Q$44)/12)*('Base Revenue'!$AY26/'Base Revenue'!$AY$61)</f>
        <v>0.21844427215923906</v>
      </c>
      <c r="BF26" s="99">
        <f>(SUM('2. Headcount Buildup'!$F$45:$Q$45)/12)*('Base Revenue'!$AY26/'Base Revenue'!$AY$61)</f>
        <v>0.3640737869320651</v>
      </c>
      <c r="BG26" s="99">
        <f>(SUM('2. Headcount Buildup'!$F$46:$Q$46)/12)*('Base Revenue'!$AY26/'Base Revenue'!$AY$61)</f>
        <v>0.58251805909130416</v>
      </c>
      <c r="BH26" s="99">
        <f t="shared" si="8"/>
        <v>2.3650361181826085</v>
      </c>
      <c r="BI26" s="141"/>
      <c r="BK26" s="14" t="s">
        <v>817</v>
      </c>
      <c r="BL26" s="102">
        <f t="shared" si="50"/>
        <v>43200</v>
      </c>
      <c r="BM26" s="103">
        <f t="shared" si="51"/>
        <v>33</v>
      </c>
      <c r="BN26" s="104">
        <f t="shared" si="3"/>
        <v>1309.090909090909</v>
      </c>
    </row>
    <row r="27" spans="1:66" x14ac:dyDescent="0.35">
      <c r="A27" s="295"/>
      <c r="B27" s="295" t="s">
        <v>117</v>
      </c>
      <c r="C27" s="296" t="s">
        <v>91</v>
      </c>
      <c r="D27" s="16"/>
      <c r="E27" s="296" t="s">
        <v>776</v>
      </c>
      <c r="F27" s="542" t="s">
        <v>43</v>
      </c>
      <c r="G27" s="542">
        <v>70</v>
      </c>
      <c r="H27" s="546">
        <v>1400</v>
      </c>
      <c r="I27" s="587">
        <v>6</v>
      </c>
      <c r="J27" s="304">
        <v>8400</v>
      </c>
      <c r="K27" s="304">
        <v>8400</v>
      </c>
      <c r="L27" s="304">
        <v>8400</v>
      </c>
      <c r="M27" s="304">
        <v>8400</v>
      </c>
      <c r="N27" s="304">
        <v>8400</v>
      </c>
      <c r="O27" s="304">
        <v>8400</v>
      </c>
      <c r="P27" s="304">
        <v>8400</v>
      </c>
      <c r="Q27" s="304">
        <v>8400</v>
      </c>
      <c r="R27" s="304">
        <v>8400</v>
      </c>
      <c r="S27" s="304">
        <v>8400</v>
      </c>
      <c r="T27" s="304">
        <v>8400</v>
      </c>
      <c r="U27" s="304">
        <v>8400</v>
      </c>
      <c r="V27" s="304">
        <f t="shared" si="4"/>
        <v>100800</v>
      </c>
      <c r="W27" s="9"/>
      <c r="X27" s="297">
        <v>6</v>
      </c>
      <c r="Y27" s="297">
        <v>6</v>
      </c>
      <c r="Z27" s="297">
        <v>6</v>
      </c>
      <c r="AA27" s="297">
        <v>6</v>
      </c>
      <c r="AB27" s="297">
        <v>6</v>
      </c>
      <c r="AC27" s="297">
        <v>6</v>
      </c>
      <c r="AD27" s="297">
        <v>6</v>
      </c>
      <c r="AE27" s="297">
        <v>6</v>
      </c>
      <c r="AF27" s="297">
        <v>6</v>
      </c>
      <c r="AG27" s="297">
        <v>6</v>
      </c>
      <c r="AH27" s="297">
        <v>6</v>
      </c>
      <c r="AI27" s="297">
        <v>6</v>
      </c>
      <c r="AJ27" s="99">
        <f t="shared" si="5"/>
        <v>72</v>
      </c>
      <c r="AK27" s="141"/>
      <c r="AL27" s="613">
        <f t="shared" si="22"/>
        <v>7.5</v>
      </c>
      <c r="AM27" s="613">
        <f t="shared" si="23"/>
        <v>7.5</v>
      </c>
      <c r="AN27" s="613">
        <f t="shared" si="24"/>
        <v>7.5</v>
      </c>
      <c r="AO27" s="613">
        <f t="shared" si="25"/>
        <v>7.5</v>
      </c>
      <c r="AP27" s="613">
        <f t="shared" si="26"/>
        <v>7.5</v>
      </c>
      <c r="AQ27" s="613">
        <f t="shared" si="27"/>
        <v>7.5</v>
      </c>
      <c r="AR27" s="613">
        <f t="shared" si="28"/>
        <v>7.5</v>
      </c>
      <c r="AS27" s="613">
        <f t="shared" si="29"/>
        <v>7.5</v>
      </c>
      <c r="AT27" s="613">
        <f t="shared" si="30"/>
        <v>7.5</v>
      </c>
      <c r="AU27" s="613">
        <f t="shared" si="31"/>
        <v>7.5</v>
      </c>
      <c r="AV27" s="613">
        <f t="shared" si="32"/>
        <v>7.5</v>
      </c>
      <c r="AW27" s="613">
        <f t="shared" si="33"/>
        <v>7.5</v>
      </c>
      <c r="AX27" s="99">
        <f t="shared" si="6"/>
        <v>90</v>
      </c>
      <c r="AY27" s="99">
        <f t="shared" si="7"/>
        <v>7.5</v>
      </c>
      <c r="AZ27" s="141"/>
      <c r="BA27" s="99">
        <f>AY27/'2. Headcount Buildup'!$D$36</f>
        <v>0.5</v>
      </c>
      <c r="BB27" s="99">
        <f>AY27/'2. Headcount Buildup'!$D$37</f>
        <v>0.15</v>
      </c>
      <c r="BC27" s="99">
        <f>AY27/'2. Headcount Buildup'!$D$38</f>
        <v>7.4999999999999997E-2</v>
      </c>
      <c r="BD27" s="99">
        <f>AY27/'2. Headcount Buildup'!$D$43</f>
        <v>7.4999999999999997E-2</v>
      </c>
      <c r="BE27" s="99">
        <f>(SUM('2. Headcount Buildup'!$F$44:$Q$44)/12)*('Base Revenue'!$AY27/'Base Revenue'!$AY$61)</f>
        <v>0.14562951477282604</v>
      </c>
      <c r="BF27" s="99">
        <f>(SUM('2. Headcount Buildup'!$F$45:$Q$45)/12)*('Base Revenue'!$AY27/'Base Revenue'!$AY$61)</f>
        <v>0.24271585795471007</v>
      </c>
      <c r="BG27" s="99">
        <f>(SUM('2. Headcount Buildup'!$F$46:$Q$46)/12)*('Base Revenue'!$AY27/'Base Revenue'!$AY$61)</f>
        <v>0.38834537272753611</v>
      </c>
      <c r="BH27" s="99">
        <f t="shared" si="8"/>
        <v>1.576690745455072</v>
      </c>
      <c r="BI27" s="141"/>
      <c r="BK27" s="14" t="s">
        <v>843</v>
      </c>
      <c r="BL27" s="102">
        <f t="shared" si="50"/>
        <v>0</v>
      </c>
      <c r="BM27" s="103">
        <f t="shared" si="51"/>
        <v>0</v>
      </c>
      <c r="BN27" s="104">
        <f t="shared" si="3"/>
        <v>0</v>
      </c>
    </row>
    <row r="28" spans="1:66" x14ac:dyDescent="0.35">
      <c r="A28" s="295"/>
      <c r="B28" s="295" t="s">
        <v>117</v>
      </c>
      <c r="C28" s="296" t="s">
        <v>91</v>
      </c>
      <c r="D28" s="16"/>
      <c r="E28" s="296" t="s">
        <v>777</v>
      </c>
      <c r="F28" s="542" t="s">
        <v>43</v>
      </c>
      <c r="G28" s="542">
        <v>70</v>
      </c>
      <c r="H28" s="546">
        <v>1400</v>
      </c>
      <c r="I28" s="587">
        <v>6</v>
      </c>
      <c r="J28" s="304">
        <v>8400</v>
      </c>
      <c r="K28" s="304">
        <v>8400</v>
      </c>
      <c r="L28" s="304">
        <v>8400</v>
      </c>
      <c r="M28" s="304">
        <v>8400</v>
      </c>
      <c r="N28" s="304">
        <v>8400</v>
      </c>
      <c r="O28" s="304">
        <v>8400</v>
      </c>
      <c r="P28" s="304">
        <v>8400</v>
      </c>
      <c r="Q28" s="304">
        <v>8400</v>
      </c>
      <c r="R28" s="304">
        <v>8400</v>
      </c>
      <c r="S28" s="304">
        <v>8400</v>
      </c>
      <c r="T28" s="304">
        <v>8400</v>
      </c>
      <c r="U28" s="304">
        <v>8400</v>
      </c>
      <c r="V28" s="304">
        <f t="shared" si="4"/>
        <v>100800</v>
      </c>
      <c r="W28" s="9"/>
      <c r="X28" s="297">
        <v>6</v>
      </c>
      <c r="Y28" s="297">
        <v>6</v>
      </c>
      <c r="Z28" s="297">
        <v>6</v>
      </c>
      <c r="AA28" s="297">
        <v>6</v>
      </c>
      <c r="AB28" s="297">
        <v>6</v>
      </c>
      <c r="AC28" s="297">
        <v>6</v>
      </c>
      <c r="AD28" s="297">
        <v>6</v>
      </c>
      <c r="AE28" s="297">
        <v>6</v>
      </c>
      <c r="AF28" s="297">
        <v>6</v>
      </c>
      <c r="AG28" s="297">
        <v>6</v>
      </c>
      <c r="AH28" s="297">
        <v>6</v>
      </c>
      <c r="AI28" s="297">
        <v>6</v>
      </c>
      <c r="AJ28" s="99">
        <f t="shared" si="5"/>
        <v>72</v>
      </c>
      <c r="AK28" s="141"/>
      <c r="AL28" s="613">
        <f t="shared" si="22"/>
        <v>7.5</v>
      </c>
      <c r="AM28" s="613">
        <f t="shared" si="23"/>
        <v>7.5</v>
      </c>
      <c r="AN28" s="613">
        <f t="shared" si="24"/>
        <v>7.5</v>
      </c>
      <c r="AO28" s="613">
        <f t="shared" si="25"/>
        <v>7.5</v>
      </c>
      <c r="AP28" s="613">
        <f t="shared" si="26"/>
        <v>7.5</v>
      </c>
      <c r="AQ28" s="613">
        <f t="shared" si="27"/>
        <v>7.5</v>
      </c>
      <c r="AR28" s="613">
        <f t="shared" si="28"/>
        <v>7.5</v>
      </c>
      <c r="AS28" s="613">
        <f t="shared" si="29"/>
        <v>7.5</v>
      </c>
      <c r="AT28" s="613">
        <f t="shared" si="30"/>
        <v>7.5</v>
      </c>
      <c r="AU28" s="613">
        <f t="shared" si="31"/>
        <v>7.5</v>
      </c>
      <c r="AV28" s="613">
        <f t="shared" si="32"/>
        <v>7.5</v>
      </c>
      <c r="AW28" s="613">
        <f t="shared" si="33"/>
        <v>7.5</v>
      </c>
      <c r="AX28" s="99">
        <f t="shared" si="6"/>
        <v>90</v>
      </c>
      <c r="AY28" s="99">
        <f t="shared" si="7"/>
        <v>7.5</v>
      </c>
      <c r="AZ28" s="141"/>
      <c r="BA28" s="99">
        <f>AY28/'2. Headcount Buildup'!$D$36</f>
        <v>0.5</v>
      </c>
      <c r="BB28" s="99">
        <f>AY28/'2. Headcount Buildup'!$D$37</f>
        <v>0.15</v>
      </c>
      <c r="BC28" s="99">
        <f>AY28/'2. Headcount Buildup'!$D$38</f>
        <v>7.4999999999999997E-2</v>
      </c>
      <c r="BD28" s="99">
        <f>AY28/'2. Headcount Buildup'!$D$43</f>
        <v>7.4999999999999997E-2</v>
      </c>
      <c r="BE28" s="99">
        <f>(SUM('2. Headcount Buildup'!$F$44:$Q$44)/12)*('Base Revenue'!$AY28/'Base Revenue'!$AY$61)</f>
        <v>0.14562951477282604</v>
      </c>
      <c r="BF28" s="99">
        <f>(SUM('2. Headcount Buildup'!$F$45:$Q$45)/12)*('Base Revenue'!$AY28/'Base Revenue'!$AY$61)</f>
        <v>0.24271585795471007</v>
      </c>
      <c r="BG28" s="99">
        <f>(SUM('2. Headcount Buildup'!$F$46:$Q$46)/12)*('Base Revenue'!$AY28/'Base Revenue'!$AY$61)</f>
        <v>0.38834537272753611</v>
      </c>
      <c r="BH28" s="99">
        <f t="shared" si="8"/>
        <v>1.576690745455072</v>
      </c>
      <c r="BI28" s="141"/>
      <c r="BK28" s="14" t="s">
        <v>174</v>
      </c>
      <c r="BL28" s="102">
        <f>SUM(BL6:BL27)</f>
        <v>2469602.6799999997</v>
      </c>
      <c r="BM28" s="103">
        <f>SUM(BM6:BM27)</f>
        <v>1472.7158188327965</v>
      </c>
      <c r="BN28" s="104">
        <f t="shared" ref="BN28" si="52">BL28/BM28</f>
        <v>1676.9037504854723</v>
      </c>
    </row>
    <row r="29" spans="1:66" x14ac:dyDescent="0.35">
      <c r="A29" s="295"/>
      <c r="B29" s="295" t="s">
        <v>117</v>
      </c>
      <c r="C29" s="296" t="s">
        <v>91</v>
      </c>
      <c r="D29" s="16"/>
      <c r="E29" s="296" t="s">
        <v>778</v>
      </c>
      <c r="F29" s="542" t="s">
        <v>43</v>
      </c>
      <c r="G29" s="542">
        <v>55</v>
      </c>
      <c r="H29" s="546">
        <v>1400</v>
      </c>
      <c r="I29" s="587">
        <v>1</v>
      </c>
      <c r="J29" s="304">
        <v>1400</v>
      </c>
      <c r="K29" s="304">
        <v>1400</v>
      </c>
      <c r="L29" s="304">
        <v>1400</v>
      </c>
      <c r="M29" s="304">
        <v>1400</v>
      </c>
      <c r="N29" s="304">
        <v>1400</v>
      </c>
      <c r="O29" s="304">
        <v>1400</v>
      </c>
      <c r="P29" s="304">
        <v>1400</v>
      </c>
      <c r="Q29" s="304">
        <v>1400</v>
      </c>
      <c r="R29" s="304">
        <v>1400</v>
      </c>
      <c r="S29" s="304">
        <v>1400</v>
      </c>
      <c r="T29" s="304">
        <v>1400</v>
      </c>
      <c r="U29" s="304">
        <v>1400</v>
      </c>
      <c r="V29" s="304">
        <f t="shared" si="4"/>
        <v>16800</v>
      </c>
      <c r="W29" s="9"/>
      <c r="X29" s="297">
        <v>1</v>
      </c>
      <c r="Y29" s="297">
        <v>1</v>
      </c>
      <c r="Z29" s="297">
        <v>1</v>
      </c>
      <c r="AA29" s="297">
        <v>1</v>
      </c>
      <c r="AB29" s="297">
        <v>1</v>
      </c>
      <c r="AC29" s="297">
        <v>1</v>
      </c>
      <c r="AD29" s="297">
        <v>1</v>
      </c>
      <c r="AE29" s="297">
        <v>1</v>
      </c>
      <c r="AF29" s="297">
        <v>1</v>
      </c>
      <c r="AG29" s="297">
        <v>1</v>
      </c>
      <c r="AH29" s="297">
        <v>1</v>
      </c>
      <c r="AI29" s="297">
        <v>1</v>
      </c>
      <c r="AJ29" s="99">
        <f t="shared" si="5"/>
        <v>12</v>
      </c>
      <c r="AK29" s="141"/>
      <c r="AL29" s="613">
        <f t="shared" si="22"/>
        <v>1.25</v>
      </c>
      <c r="AM29" s="613">
        <f t="shared" si="23"/>
        <v>1.25</v>
      </c>
      <c r="AN29" s="613">
        <f t="shared" si="24"/>
        <v>1.25</v>
      </c>
      <c r="AO29" s="613">
        <f t="shared" si="25"/>
        <v>1.25</v>
      </c>
      <c r="AP29" s="613">
        <f t="shared" si="26"/>
        <v>1.25</v>
      </c>
      <c r="AQ29" s="613">
        <f t="shared" si="27"/>
        <v>1.25</v>
      </c>
      <c r="AR29" s="613">
        <f t="shared" si="28"/>
        <v>1.25</v>
      </c>
      <c r="AS29" s="613">
        <f t="shared" si="29"/>
        <v>1.25</v>
      </c>
      <c r="AT29" s="613">
        <f t="shared" si="30"/>
        <v>1.25</v>
      </c>
      <c r="AU29" s="613">
        <f t="shared" si="31"/>
        <v>1.25</v>
      </c>
      <c r="AV29" s="613">
        <f t="shared" si="32"/>
        <v>1.25</v>
      </c>
      <c r="AW29" s="613">
        <f t="shared" si="33"/>
        <v>1.25</v>
      </c>
      <c r="AX29" s="99">
        <f t="shared" si="6"/>
        <v>15</v>
      </c>
      <c r="AY29" s="99">
        <f t="shared" si="7"/>
        <v>1.25</v>
      </c>
      <c r="AZ29" s="141"/>
      <c r="BA29" s="99">
        <f>AY29/'2. Headcount Buildup'!$D$36</f>
        <v>8.3333333333333329E-2</v>
      </c>
      <c r="BB29" s="99">
        <f>AY29/'2. Headcount Buildup'!$D$37</f>
        <v>2.5000000000000001E-2</v>
      </c>
      <c r="BC29" s="99">
        <f>AY29/'2. Headcount Buildup'!$D$38</f>
        <v>1.2500000000000001E-2</v>
      </c>
      <c r="BD29" s="99">
        <f>AY29/'2. Headcount Buildup'!$D$43</f>
        <v>1.2500000000000001E-2</v>
      </c>
      <c r="BE29" s="99">
        <f>(SUM('2. Headcount Buildup'!$F$44:$Q$44)/12)*('Base Revenue'!$AY29/'Base Revenue'!$AY$61)</f>
        <v>2.4271585795471007E-2</v>
      </c>
      <c r="BF29" s="99">
        <f>(SUM('2. Headcount Buildup'!$F$45:$Q$45)/12)*('Base Revenue'!$AY29/'Base Revenue'!$AY$61)</f>
        <v>4.0452642992451673E-2</v>
      </c>
      <c r="BG29" s="99">
        <f>(SUM('2. Headcount Buildup'!$F$46:$Q$46)/12)*('Base Revenue'!$AY29/'Base Revenue'!$AY$61)</f>
        <v>6.472422878792268E-2</v>
      </c>
      <c r="BH29" s="99">
        <f t="shared" si="8"/>
        <v>0.26278179090917869</v>
      </c>
      <c r="BI29" s="141"/>
      <c r="BK29" s="14"/>
      <c r="BL29" s="102"/>
      <c r="BM29" s="103"/>
      <c r="BN29" s="14"/>
    </row>
    <row r="30" spans="1:66" x14ac:dyDescent="0.35">
      <c r="A30" s="295"/>
      <c r="B30" s="295" t="s">
        <v>117</v>
      </c>
      <c r="C30" s="296" t="s">
        <v>91</v>
      </c>
      <c r="D30" s="16"/>
      <c r="E30" s="296" t="s">
        <v>772</v>
      </c>
      <c r="F30" s="542" t="s">
        <v>43</v>
      </c>
      <c r="G30" s="542">
        <v>40</v>
      </c>
      <c r="H30" s="546">
        <v>1300</v>
      </c>
      <c r="I30" s="587">
        <v>1</v>
      </c>
      <c r="J30" s="304">
        <v>1300</v>
      </c>
      <c r="K30" s="304">
        <v>1300</v>
      </c>
      <c r="L30" s="304">
        <v>1300</v>
      </c>
      <c r="M30" s="304">
        <v>1300</v>
      </c>
      <c r="N30" s="304">
        <v>1300</v>
      </c>
      <c r="O30" s="304">
        <v>1300</v>
      </c>
      <c r="P30" s="304">
        <v>1300</v>
      </c>
      <c r="Q30" s="304">
        <v>1300</v>
      </c>
      <c r="R30" s="304">
        <v>1300</v>
      </c>
      <c r="S30" s="304">
        <v>1300</v>
      </c>
      <c r="T30" s="304">
        <v>1300</v>
      </c>
      <c r="U30" s="304">
        <v>1300</v>
      </c>
      <c r="V30" s="304">
        <f t="shared" si="4"/>
        <v>15600</v>
      </c>
      <c r="W30" s="9"/>
      <c r="X30" s="297">
        <v>1</v>
      </c>
      <c r="Y30" s="297">
        <v>1</v>
      </c>
      <c r="Z30" s="297">
        <v>1</v>
      </c>
      <c r="AA30" s="297">
        <v>1</v>
      </c>
      <c r="AB30" s="297">
        <v>1</v>
      </c>
      <c r="AC30" s="297">
        <v>1</v>
      </c>
      <c r="AD30" s="297">
        <v>1</v>
      </c>
      <c r="AE30" s="297">
        <v>1</v>
      </c>
      <c r="AF30" s="297">
        <v>1</v>
      </c>
      <c r="AG30" s="297">
        <v>1</v>
      </c>
      <c r="AH30" s="297">
        <v>1</v>
      </c>
      <c r="AI30" s="297">
        <v>1</v>
      </c>
      <c r="AJ30" s="99">
        <f t="shared" si="5"/>
        <v>12</v>
      </c>
      <c r="AK30" s="141"/>
      <c r="AL30" s="613">
        <f t="shared" si="22"/>
        <v>1.25</v>
      </c>
      <c r="AM30" s="613">
        <f t="shared" si="23"/>
        <v>1.25</v>
      </c>
      <c r="AN30" s="613">
        <f t="shared" si="24"/>
        <v>1.25</v>
      </c>
      <c r="AO30" s="613">
        <f t="shared" si="25"/>
        <v>1.25</v>
      </c>
      <c r="AP30" s="613">
        <f t="shared" si="26"/>
        <v>1.25</v>
      </c>
      <c r="AQ30" s="613">
        <f t="shared" si="27"/>
        <v>1.25</v>
      </c>
      <c r="AR30" s="613">
        <f t="shared" si="28"/>
        <v>1.25</v>
      </c>
      <c r="AS30" s="613">
        <f t="shared" si="29"/>
        <v>1.25</v>
      </c>
      <c r="AT30" s="613">
        <f t="shared" si="30"/>
        <v>1.25</v>
      </c>
      <c r="AU30" s="613">
        <f t="shared" si="31"/>
        <v>1.25</v>
      </c>
      <c r="AV30" s="613">
        <f t="shared" si="32"/>
        <v>1.25</v>
      </c>
      <c r="AW30" s="613">
        <f t="shared" si="33"/>
        <v>1.25</v>
      </c>
      <c r="AX30" s="99">
        <f t="shared" si="6"/>
        <v>15</v>
      </c>
      <c r="AY30" s="99">
        <f t="shared" si="7"/>
        <v>1.25</v>
      </c>
      <c r="AZ30" s="141"/>
      <c r="BA30" s="99">
        <f>AY30/'2. Headcount Buildup'!$D$36</f>
        <v>8.3333333333333329E-2</v>
      </c>
      <c r="BB30" s="99">
        <f>AY30/'2. Headcount Buildup'!$D$37</f>
        <v>2.5000000000000001E-2</v>
      </c>
      <c r="BC30" s="99">
        <f>AY30/'2. Headcount Buildup'!$D$38</f>
        <v>1.2500000000000001E-2</v>
      </c>
      <c r="BD30" s="99">
        <f>AY30/'2. Headcount Buildup'!$D$43</f>
        <v>1.2500000000000001E-2</v>
      </c>
      <c r="BE30" s="99">
        <f>(SUM('2. Headcount Buildup'!$F$44:$Q$44)/12)*('Base Revenue'!$AY30/'Base Revenue'!$AY$61)</f>
        <v>2.4271585795471007E-2</v>
      </c>
      <c r="BF30" s="99">
        <f>(SUM('2. Headcount Buildup'!$F$45:$Q$45)/12)*('Base Revenue'!$AY30/'Base Revenue'!$AY$61)</f>
        <v>4.0452642992451673E-2</v>
      </c>
      <c r="BG30" s="99">
        <f>(SUM('2. Headcount Buildup'!$F$46:$Q$46)/12)*('Base Revenue'!$AY30/'Base Revenue'!$AY$61)</f>
        <v>6.472422878792268E-2</v>
      </c>
      <c r="BH30" s="99">
        <f t="shared" si="8"/>
        <v>0.26278179090917869</v>
      </c>
      <c r="BI30" s="141"/>
      <c r="BK30" s="14" t="s">
        <v>844</v>
      </c>
      <c r="BL30" s="102" t="s">
        <v>838</v>
      </c>
      <c r="BM30" s="103" t="s">
        <v>131</v>
      </c>
      <c r="BN30" s="14" t="s">
        <v>9</v>
      </c>
    </row>
    <row r="31" spans="1:66" x14ac:dyDescent="0.35">
      <c r="A31" s="295"/>
      <c r="B31" s="295" t="s">
        <v>117</v>
      </c>
      <c r="C31" s="296" t="s">
        <v>91</v>
      </c>
      <c r="D31" s="16"/>
      <c r="E31" s="296" t="s">
        <v>774</v>
      </c>
      <c r="F31" s="542" t="s">
        <v>43</v>
      </c>
      <c r="G31" s="542">
        <v>40</v>
      </c>
      <c r="H31" s="546">
        <v>1400</v>
      </c>
      <c r="I31" s="587">
        <v>1</v>
      </c>
      <c r="J31" s="304">
        <v>1400</v>
      </c>
      <c r="K31" s="304">
        <v>1400</v>
      </c>
      <c r="L31" s="304">
        <v>1400</v>
      </c>
      <c r="M31" s="304">
        <v>1400</v>
      </c>
      <c r="N31" s="304">
        <v>1400</v>
      </c>
      <c r="O31" s="304">
        <v>1400</v>
      </c>
      <c r="P31" s="304">
        <v>1400</v>
      </c>
      <c r="Q31" s="304">
        <v>1400</v>
      </c>
      <c r="R31" s="304">
        <v>1400</v>
      </c>
      <c r="S31" s="304">
        <v>1400</v>
      </c>
      <c r="T31" s="304">
        <v>1400</v>
      </c>
      <c r="U31" s="304">
        <v>1400</v>
      </c>
      <c r="V31" s="304">
        <f t="shared" si="4"/>
        <v>16800</v>
      </c>
      <c r="W31" s="9"/>
      <c r="X31" s="297">
        <v>1</v>
      </c>
      <c r="Y31" s="297">
        <v>1</v>
      </c>
      <c r="Z31" s="297">
        <v>1</v>
      </c>
      <c r="AA31" s="297">
        <v>1</v>
      </c>
      <c r="AB31" s="297">
        <v>1</v>
      </c>
      <c r="AC31" s="297">
        <v>1</v>
      </c>
      <c r="AD31" s="297">
        <v>1</v>
      </c>
      <c r="AE31" s="297">
        <v>1</v>
      </c>
      <c r="AF31" s="297">
        <v>1</v>
      </c>
      <c r="AG31" s="297">
        <v>1</v>
      </c>
      <c r="AH31" s="297">
        <v>1</v>
      </c>
      <c r="AI31" s="297">
        <v>1</v>
      </c>
      <c r="AJ31" s="99">
        <f t="shared" si="5"/>
        <v>12</v>
      </c>
      <c r="AK31" s="141"/>
      <c r="AL31" s="613">
        <f t="shared" si="22"/>
        <v>1.25</v>
      </c>
      <c r="AM31" s="613">
        <f t="shared" si="23"/>
        <v>1.25</v>
      </c>
      <c r="AN31" s="613">
        <f t="shared" si="24"/>
        <v>1.25</v>
      </c>
      <c r="AO31" s="613">
        <f t="shared" si="25"/>
        <v>1.25</v>
      </c>
      <c r="AP31" s="613">
        <f t="shared" si="26"/>
        <v>1.25</v>
      </c>
      <c r="AQ31" s="613">
        <f t="shared" si="27"/>
        <v>1.25</v>
      </c>
      <c r="AR31" s="613">
        <f t="shared" si="28"/>
        <v>1.25</v>
      </c>
      <c r="AS31" s="613">
        <f t="shared" si="29"/>
        <v>1.25</v>
      </c>
      <c r="AT31" s="613">
        <f t="shared" si="30"/>
        <v>1.25</v>
      </c>
      <c r="AU31" s="613">
        <f t="shared" si="31"/>
        <v>1.25</v>
      </c>
      <c r="AV31" s="613">
        <f t="shared" si="32"/>
        <v>1.25</v>
      </c>
      <c r="AW31" s="613">
        <f t="shared" si="33"/>
        <v>1.25</v>
      </c>
      <c r="AX31" s="99">
        <f t="shared" si="6"/>
        <v>15</v>
      </c>
      <c r="AY31" s="99">
        <f t="shared" si="7"/>
        <v>1.25</v>
      </c>
      <c r="AZ31" s="141"/>
      <c r="BA31" s="99">
        <f>AY31/'2. Headcount Buildup'!$D$36</f>
        <v>8.3333333333333329E-2</v>
      </c>
      <c r="BB31" s="99">
        <f>AY31/'2. Headcount Buildup'!$D$37</f>
        <v>2.5000000000000001E-2</v>
      </c>
      <c r="BC31" s="99">
        <f>AY31/'2. Headcount Buildup'!$D$38</f>
        <v>1.2500000000000001E-2</v>
      </c>
      <c r="BD31" s="99">
        <f>AY31/'2. Headcount Buildup'!$D$43</f>
        <v>1.2500000000000001E-2</v>
      </c>
      <c r="BE31" s="99">
        <f>(SUM('2. Headcount Buildup'!$F$44:$Q$44)/12)*('Base Revenue'!$AY31/'Base Revenue'!$AY$61)</f>
        <v>2.4271585795471007E-2</v>
      </c>
      <c r="BF31" s="99">
        <f>(SUM('2. Headcount Buildup'!$F$45:$Q$45)/12)*('Base Revenue'!$AY31/'Base Revenue'!$AY$61)</f>
        <v>4.0452642992451673E-2</v>
      </c>
      <c r="BG31" s="99">
        <f>(SUM('2. Headcount Buildup'!$F$46:$Q$46)/12)*('Base Revenue'!$AY31/'Base Revenue'!$AY$61)</f>
        <v>6.472422878792268E-2</v>
      </c>
      <c r="BH31" s="99">
        <f t="shared" si="8"/>
        <v>0.26278179090917869</v>
      </c>
      <c r="BI31" s="141"/>
      <c r="BK31" s="14" t="s">
        <v>790</v>
      </c>
      <c r="BL31" s="102"/>
      <c r="BM31" s="103"/>
      <c r="BN31" s="14">
        <f>IFERROR(BL31/BM31,0)</f>
        <v>0</v>
      </c>
    </row>
    <row r="32" spans="1:66" x14ac:dyDescent="0.35">
      <c r="A32" s="295"/>
      <c r="B32" s="295" t="s">
        <v>117</v>
      </c>
      <c r="C32" s="296" t="s">
        <v>91</v>
      </c>
      <c r="D32" s="16"/>
      <c r="E32" s="296" t="s">
        <v>845</v>
      </c>
      <c r="F32" s="542" t="s">
        <v>43</v>
      </c>
      <c r="G32" s="542">
        <v>40</v>
      </c>
      <c r="H32" s="546">
        <v>1400</v>
      </c>
      <c r="I32" s="587">
        <v>2</v>
      </c>
      <c r="J32" s="304">
        <v>2800</v>
      </c>
      <c r="K32" s="304">
        <v>2800</v>
      </c>
      <c r="L32" s="304">
        <v>2800</v>
      </c>
      <c r="M32" s="304">
        <v>2800</v>
      </c>
      <c r="N32" s="304">
        <v>2800</v>
      </c>
      <c r="O32" s="304">
        <v>2800</v>
      </c>
      <c r="P32" s="304">
        <v>2800</v>
      </c>
      <c r="Q32" s="304">
        <v>2800</v>
      </c>
      <c r="R32" s="304">
        <v>2800</v>
      </c>
      <c r="S32" s="304">
        <v>2800</v>
      </c>
      <c r="T32" s="304">
        <v>2800</v>
      </c>
      <c r="U32" s="304">
        <v>2800</v>
      </c>
      <c r="V32" s="304">
        <f t="shared" si="4"/>
        <v>33600</v>
      </c>
      <c r="W32" s="9"/>
      <c r="X32" s="297">
        <v>2</v>
      </c>
      <c r="Y32" s="297">
        <v>2</v>
      </c>
      <c r="Z32" s="297">
        <v>2</v>
      </c>
      <c r="AA32" s="297">
        <v>2</v>
      </c>
      <c r="AB32" s="297">
        <v>2</v>
      </c>
      <c r="AC32" s="297">
        <v>2</v>
      </c>
      <c r="AD32" s="297">
        <v>2</v>
      </c>
      <c r="AE32" s="297">
        <v>2</v>
      </c>
      <c r="AF32" s="297">
        <v>2</v>
      </c>
      <c r="AG32" s="297">
        <v>2</v>
      </c>
      <c r="AH32" s="297">
        <v>2</v>
      </c>
      <c r="AI32" s="297">
        <v>2</v>
      </c>
      <c r="AJ32" s="99">
        <f t="shared" si="5"/>
        <v>24</v>
      </c>
      <c r="AK32" s="141"/>
      <c r="AL32" s="613">
        <f t="shared" si="22"/>
        <v>2.5</v>
      </c>
      <c r="AM32" s="613">
        <f t="shared" si="23"/>
        <v>2.5</v>
      </c>
      <c r="AN32" s="613">
        <f t="shared" si="24"/>
        <v>2.5</v>
      </c>
      <c r="AO32" s="613">
        <f t="shared" si="25"/>
        <v>2.5</v>
      </c>
      <c r="AP32" s="613">
        <f t="shared" si="26"/>
        <v>2.5</v>
      </c>
      <c r="AQ32" s="613">
        <f t="shared" si="27"/>
        <v>2.5</v>
      </c>
      <c r="AR32" s="613">
        <f t="shared" si="28"/>
        <v>2.5</v>
      </c>
      <c r="AS32" s="613">
        <f t="shared" si="29"/>
        <v>2.5</v>
      </c>
      <c r="AT32" s="613">
        <f t="shared" si="30"/>
        <v>2.5</v>
      </c>
      <c r="AU32" s="613">
        <f t="shared" si="31"/>
        <v>2.5</v>
      </c>
      <c r="AV32" s="613">
        <f t="shared" si="32"/>
        <v>2.5</v>
      </c>
      <c r="AW32" s="613">
        <f t="shared" si="33"/>
        <v>2.5</v>
      </c>
      <c r="AX32" s="99">
        <f t="shared" si="6"/>
        <v>30</v>
      </c>
      <c r="AY32" s="99">
        <f t="shared" si="7"/>
        <v>2.5</v>
      </c>
      <c r="AZ32" s="141"/>
      <c r="BA32" s="99">
        <f>AY32/'2. Headcount Buildup'!$D$36</f>
        <v>0.16666666666666666</v>
      </c>
      <c r="BB32" s="99">
        <f>AY32/'2. Headcount Buildup'!$D$37</f>
        <v>0.05</v>
      </c>
      <c r="BC32" s="99">
        <f>AY32/'2. Headcount Buildup'!$D$38</f>
        <v>2.5000000000000001E-2</v>
      </c>
      <c r="BD32" s="99">
        <f>AY32/'2. Headcount Buildup'!$D$43</f>
        <v>2.5000000000000001E-2</v>
      </c>
      <c r="BE32" s="99">
        <f>(SUM('2. Headcount Buildup'!$F$44:$Q$44)/12)*('Base Revenue'!$AY32/'Base Revenue'!$AY$61)</f>
        <v>4.8543171590942014E-2</v>
      </c>
      <c r="BF32" s="99">
        <f>(SUM('2. Headcount Buildup'!$F$45:$Q$45)/12)*('Base Revenue'!$AY32/'Base Revenue'!$AY$61)</f>
        <v>8.0905285984903347E-2</v>
      </c>
      <c r="BG32" s="99">
        <f>(SUM('2. Headcount Buildup'!$F$46:$Q$46)/12)*('Base Revenue'!$AY32/'Base Revenue'!$AY$61)</f>
        <v>0.12944845757584536</v>
      </c>
      <c r="BH32" s="99">
        <f t="shared" si="8"/>
        <v>0.52556358181835738</v>
      </c>
      <c r="BI32" s="141"/>
      <c r="BK32" s="14" t="s">
        <v>782</v>
      </c>
      <c r="BL32" s="102"/>
      <c r="BM32" s="103"/>
      <c r="BN32" s="14">
        <f t="shared" ref="BN32:BN57" si="53">IFERROR(BL32/BM32,0)</f>
        <v>0</v>
      </c>
    </row>
    <row r="33" spans="1:66" x14ac:dyDescent="0.35">
      <c r="A33" s="295"/>
      <c r="B33" s="295" t="s">
        <v>117</v>
      </c>
      <c r="C33" s="296" t="s">
        <v>91</v>
      </c>
      <c r="D33" s="16"/>
      <c r="E33" s="296" t="s">
        <v>846</v>
      </c>
      <c r="F33" s="542" t="s">
        <v>43</v>
      </c>
      <c r="G33" s="542">
        <v>50</v>
      </c>
      <c r="H33" s="546">
        <v>1400</v>
      </c>
      <c r="I33" s="587">
        <v>2</v>
      </c>
      <c r="J33" s="304">
        <v>2800</v>
      </c>
      <c r="K33" s="304">
        <v>2800</v>
      </c>
      <c r="L33" s="304">
        <v>2800</v>
      </c>
      <c r="M33" s="304">
        <v>2800</v>
      </c>
      <c r="N33" s="304">
        <v>2800</v>
      </c>
      <c r="O33" s="304">
        <v>2800</v>
      </c>
      <c r="P33" s="304">
        <v>2800</v>
      </c>
      <c r="Q33" s="304">
        <v>2800</v>
      </c>
      <c r="R33" s="304">
        <v>2800</v>
      </c>
      <c r="S33" s="304">
        <v>2800</v>
      </c>
      <c r="T33" s="304">
        <v>2800</v>
      </c>
      <c r="U33" s="304">
        <v>2800</v>
      </c>
      <c r="V33" s="304">
        <f t="shared" si="4"/>
        <v>33600</v>
      </c>
      <c r="W33" s="9"/>
      <c r="X33" s="297">
        <v>2</v>
      </c>
      <c r="Y33" s="297">
        <v>2</v>
      </c>
      <c r="Z33" s="297">
        <v>2</v>
      </c>
      <c r="AA33" s="297">
        <v>2</v>
      </c>
      <c r="AB33" s="297">
        <v>2</v>
      </c>
      <c r="AC33" s="297">
        <v>2</v>
      </c>
      <c r="AD33" s="297">
        <v>2</v>
      </c>
      <c r="AE33" s="297">
        <v>2</v>
      </c>
      <c r="AF33" s="297">
        <v>2</v>
      </c>
      <c r="AG33" s="297">
        <v>2</v>
      </c>
      <c r="AH33" s="297">
        <v>2</v>
      </c>
      <c r="AI33" s="297">
        <v>2</v>
      </c>
      <c r="AJ33" s="99">
        <f t="shared" si="5"/>
        <v>24</v>
      </c>
      <c r="AK33" s="141"/>
      <c r="AL33" s="613">
        <f t="shared" si="22"/>
        <v>2.5</v>
      </c>
      <c r="AM33" s="613">
        <f t="shared" si="23"/>
        <v>2.5</v>
      </c>
      <c r="AN33" s="613">
        <f t="shared" si="24"/>
        <v>2.5</v>
      </c>
      <c r="AO33" s="613">
        <f t="shared" si="25"/>
        <v>2.5</v>
      </c>
      <c r="AP33" s="613">
        <f t="shared" si="26"/>
        <v>2.5</v>
      </c>
      <c r="AQ33" s="613">
        <f t="shared" si="27"/>
        <v>2.5</v>
      </c>
      <c r="AR33" s="613">
        <f t="shared" si="28"/>
        <v>2.5</v>
      </c>
      <c r="AS33" s="613">
        <f t="shared" si="29"/>
        <v>2.5</v>
      </c>
      <c r="AT33" s="613">
        <f t="shared" si="30"/>
        <v>2.5</v>
      </c>
      <c r="AU33" s="613">
        <f t="shared" si="31"/>
        <v>2.5</v>
      </c>
      <c r="AV33" s="613">
        <f t="shared" si="32"/>
        <v>2.5</v>
      </c>
      <c r="AW33" s="613">
        <f t="shared" si="33"/>
        <v>2.5</v>
      </c>
      <c r="AX33" s="99">
        <f t="shared" si="6"/>
        <v>30</v>
      </c>
      <c r="AY33" s="99">
        <f t="shared" si="7"/>
        <v>2.5</v>
      </c>
      <c r="AZ33" s="141"/>
      <c r="BA33" s="99">
        <f>AY33/'2. Headcount Buildup'!$D$36</f>
        <v>0.16666666666666666</v>
      </c>
      <c r="BB33" s="99">
        <f>AY33/'2. Headcount Buildup'!$D$37</f>
        <v>0.05</v>
      </c>
      <c r="BC33" s="99">
        <f>AY33/'2. Headcount Buildup'!$D$38</f>
        <v>2.5000000000000001E-2</v>
      </c>
      <c r="BD33" s="99">
        <f>AY33/'2. Headcount Buildup'!$D$43</f>
        <v>2.5000000000000001E-2</v>
      </c>
      <c r="BE33" s="99">
        <f>(SUM('2. Headcount Buildup'!$F$44:$Q$44)/12)*('Base Revenue'!$AY33/'Base Revenue'!$AY$61)</f>
        <v>4.8543171590942014E-2</v>
      </c>
      <c r="BF33" s="99">
        <f>(SUM('2. Headcount Buildup'!$F$45:$Q$45)/12)*('Base Revenue'!$AY33/'Base Revenue'!$AY$61)</f>
        <v>8.0905285984903347E-2</v>
      </c>
      <c r="BG33" s="99">
        <f>(SUM('2. Headcount Buildup'!$F$46:$Q$46)/12)*('Base Revenue'!$AY33/'Base Revenue'!$AY$61)</f>
        <v>0.12944845757584536</v>
      </c>
      <c r="BH33" s="99">
        <f t="shared" si="8"/>
        <v>0.52556358181835738</v>
      </c>
      <c r="BI33" s="141"/>
      <c r="BK33" s="14" t="s">
        <v>802</v>
      </c>
      <c r="BL33" s="102"/>
      <c r="BM33" s="103"/>
      <c r="BN33" s="14">
        <f t="shared" si="53"/>
        <v>0</v>
      </c>
    </row>
    <row r="34" spans="1:66" x14ac:dyDescent="0.35">
      <c r="A34" s="295"/>
      <c r="B34" s="295" t="s">
        <v>117</v>
      </c>
      <c r="C34" s="296" t="s">
        <v>91</v>
      </c>
      <c r="D34" s="16"/>
      <c r="E34" s="296" t="s">
        <v>847</v>
      </c>
      <c r="F34" s="542" t="s">
        <v>43</v>
      </c>
      <c r="G34" s="542">
        <v>40</v>
      </c>
      <c r="H34" s="546">
        <v>1400</v>
      </c>
      <c r="I34" s="587">
        <v>1</v>
      </c>
      <c r="J34" s="304">
        <v>1400</v>
      </c>
      <c r="K34" s="304">
        <v>1400</v>
      </c>
      <c r="L34" s="304">
        <v>1400</v>
      </c>
      <c r="M34" s="304">
        <v>1400</v>
      </c>
      <c r="N34" s="304">
        <v>1400</v>
      </c>
      <c r="O34" s="304">
        <v>1400</v>
      </c>
      <c r="P34" s="304">
        <v>1400</v>
      </c>
      <c r="Q34" s="304">
        <v>1400</v>
      </c>
      <c r="R34" s="304">
        <v>1400</v>
      </c>
      <c r="S34" s="304">
        <v>1400</v>
      </c>
      <c r="T34" s="304">
        <v>1400</v>
      </c>
      <c r="U34" s="304">
        <v>1400</v>
      </c>
      <c r="V34" s="304">
        <f t="shared" si="4"/>
        <v>16800</v>
      </c>
      <c r="W34" s="9"/>
      <c r="X34" s="297">
        <v>1</v>
      </c>
      <c r="Y34" s="297">
        <v>1</v>
      </c>
      <c r="Z34" s="297">
        <v>1</v>
      </c>
      <c r="AA34" s="297">
        <v>1</v>
      </c>
      <c r="AB34" s="297">
        <v>1</v>
      </c>
      <c r="AC34" s="297">
        <v>1</v>
      </c>
      <c r="AD34" s="297">
        <v>1</v>
      </c>
      <c r="AE34" s="297">
        <v>1</v>
      </c>
      <c r="AF34" s="297">
        <v>1</v>
      </c>
      <c r="AG34" s="297">
        <v>1</v>
      </c>
      <c r="AH34" s="297">
        <v>1</v>
      </c>
      <c r="AI34" s="297">
        <v>1</v>
      </c>
      <c r="AJ34" s="99">
        <f t="shared" si="5"/>
        <v>12</v>
      </c>
      <c r="AK34" s="141"/>
      <c r="AL34" s="613">
        <f t="shared" si="22"/>
        <v>1.25</v>
      </c>
      <c r="AM34" s="613">
        <f t="shared" si="23"/>
        <v>1.25</v>
      </c>
      <c r="AN34" s="613">
        <f t="shared" si="24"/>
        <v>1.25</v>
      </c>
      <c r="AO34" s="613">
        <f t="shared" si="25"/>
        <v>1.25</v>
      </c>
      <c r="AP34" s="613">
        <f t="shared" si="26"/>
        <v>1.25</v>
      </c>
      <c r="AQ34" s="613">
        <f t="shared" si="27"/>
        <v>1.25</v>
      </c>
      <c r="AR34" s="613">
        <f t="shared" si="28"/>
        <v>1.25</v>
      </c>
      <c r="AS34" s="613">
        <f t="shared" si="29"/>
        <v>1.25</v>
      </c>
      <c r="AT34" s="613">
        <f t="shared" si="30"/>
        <v>1.25</v>
      </c>
      <c r="AU34" s="613">
        <f t="shared" si="31"/>
        <v>1.25</v>
      </c>
      <c r="AV34" s="613">
        <f t="shared" si="32"/>
        <v>1.25</v>
      </c>
      <c r="AW34" s="613">
        <f t="shared" si="33"/>
        <v>1.25</v>
      </c>
      <c r="AX34" s="99">
        <f t="shared" si="6"/>
        <v>15</v>
      </c>
      <c r="AY34" s="99">
        <f t="shared" si="7"/>
        <v>1.25</v>
      </c>
      <c r="AZ34" s="141"/>
      <c r="BA34" s="99">
        <f>AY34/'2. Headcount Buildup'!$D$36</f>
        <v>8.3333333333333329E-2</v>
      </c>
      <c r="BB34" s="99">
        <f>AY34/'2. Headcount Buildup'!$D$37</f>
        <v>2.5000000000000001E-2</v>
      </c>
      <c r="BC34" s="99">
        <f>AY34/'2. Headcount Buildup'!$D$38</f>
        <v>1.2500000000000001E-2</v>
      </c>
      <c r="BD34" s="99">
        <f>AY34/'2. Headcount Buildup'!$D$43</f>
        <v>1.2500000000000001E-2</v>
      </c>
      <c r="BE34" s="99">
        <f>(SUM('2. Headcount Buildup'!$F$44:$Q$44)/12)*('Base Revenue'!$AY34/'Base Revenue'!$AY$61)</f>
        <v>2.4271585795471007E-2</v>
      </c>
      <c r="BF34" s="99">
        <f>(SUM('2. Headcount Buildup'!$F$45:$Q$45)/12)*('Base Revenue'!$AY34/'Base Revenue'!$AY$61)</f>
        <v>4.0452642992451673E-2</v>
      </c>
      <c r="BG34" s="99">
        <f>(SUM('2. Headcount Buildup'!$F$46:$Q$46)/12)*('Base Revenue'!$AY34/'Base Revenue'!$AY$61)</f>
        <v>6.472422878792268E-2</v>
      </c>
      <c r="BH34" s="99">
        <f t="shared" si="8"/>
        <v>0.26278179090917869</v>
      </c>
      <c r="BI34" s="141"/>
      <c r="BK34" s="14" t="s">
        <v>798</v>
      </c>
      <c r="BL34" s="102"/>
      <c r="BM34" s="103"/>
      <c r="BN34" s="14">
        <f t="shared" si="53"/>
        <v>0</v>
      </c>
    </row>
    <row r="35" spans="1:66" x14ac:dyDescent="0.35">
      <c r="A35" s="295"/>
      <c r="B35" s="295" t="s">
        <v>117</v>
      </c>
      <c r="C35" s="296" t="s">
        <v>91</v>
      </c>
      <c r="D35" s="16"/>
      <c r="E35" s="296" t="s">
        <v>848</v>
      </c>
      <c r="F35" s="542" t="s">
        <v>43</v>
      </c>
      <c r="G35" s="542">
        <v>60</v>
      </c>
      <c r="H35" s="546">
        <v>1400</v>
      </c>
      <c r="I35" s="587">
        <v>1</v>
      </c>
      <c r="J35" s="304">
        <v>1400</v>
      </c>
      <c r="K35" s="304">
        <v>1400</v>
      </c>
      <c r="L35" s="304">
        <v>1400</v>
      </c>
      <c r="M35" s="304">
        <v>1400</v>
      </c>
      <c r="N35" s="304">
        <v>1400</v>
      </c>
      <c r="O35" s="304">
        <v>1400</v>
      </c>
      <c r="P35" s="304">
        <v>1400</v>
      </c>
      <c r="Q35" s="304">
        <v>1400</v>
      </c>
      <c r="R35" s="304">
        <v>1400</v>
      </c>
      <c r="S35" s="304">
        <v>1400</v>
      </c>
      <c r="T35" s="304">
        <v>1400</v>
      </c>
      <c r="U35" s="304">
        <v>1400</v>
      </c>
      <c r="V35" s="304">
        <f t="shared" si="4"/>
        <v>16800</v>
      </c>
      <c r="W35" s="9"/>
      <c r="X35" s="297">
        <v>1</v>
      </c>
      <c r="Y35" s="297">
        <v>1</v>
      </c>
      <c r="Z35" s="297">
        <v>1</v>
      </c>
      <c r="AA35" s="297">
        <v>1</v>
      </c>
      <c r="AB35" s="297">
        <v>1</v>
      </c>
      <c r="AC35" s="297">
        <v>1</v>
      </c>
      <c r="AD35" s="297">
        <v>1</v>
      </c>
      <c r="AE35" s="297">
        <v>1</v>
      </c>
      <c r="AF35" s="297">
        <v>1</v>
      </c>
      <c r="AG35" s="297">
        <v>1</v>
      </c>
      <c r="AH35" s="297">
        <v>1</v>
      </c>
      <c r="AI35" s="297">
        <v>1</v>
      </c>
      <c r="AJ35" s="99">
        <f t="shared" si="5"/>
        <v>12</v>
      </c>
      <c r="AK35" s="141"/>
      <c r="AL35" s="613">
        <f t="shared" si="22"/>
        <v>1.25</v>
      </c>
      <c r="AM35" s="613">
        <f t="shared" si="23"/>
        <v>1.25</v>
      </c>
      <c r="AN35" s="613">
        <f t="shared" si="24"/>
        <v>1.25</v>
      </c>
      <c r="AO35" s="613">
        <f t="shared" si="25"/>
        <v>1.25</v>
      </c>
      <c r="AP35" s="613">
        <f t="shared" si="26"/>
        <v>1.25</v>
      </c>
      <c r="AQ35" s="613">
        <f t="shared" si="27"/>
        <v>1.25</v>
      </c>
      <c r="AR35" s="613">
        <f t="shared" si="28"/>
        <v>1.25</v>
      </c>
      <c r="AS35" s="613">
        <f t="shared" si="29"/>
        <v>1.25</v>
      </c>
      <c r="AT35" s="613">
        <f t="shared" si="30"/>
        <v>1.25</v>
      </c>
      <c r="AU35" s="613">
        <f t="shared" si="31"/>
        <v>1.25</v>
      </c>
      <c r="AV35" s="613">
        <f t="shared" si="32"/>
        <v>1.25</v>
      </c>
      <c r="AW35" s="613">
        <f t="shared" si="33"/>
        <v>1.25</v>
      </c>
      <c r="AX35" s="99">
        <f t="shared" si="6"/>
        <v>15</v>
      </c>
      <c r="AY35" s="99">
        <f t="shared" si="7"/>
        <v>1.25</v>
      </c>
      <c r="AZ35" s="141"/>
      <c r="BA35" s="99">
        <f>AY35/'2. Headcount Buildup'!$D$36</f>
        <v>8.3333333333333329E-2</v>
      </c>
      <c r="BB35" s="99">
        <f>AY35/'2. Headcount Buildup'!$D$37</f>
        <v>2.5000000000000001E-2</v>
      </c>
      <c r="BC35" s="99">
        <f>AY35/'2. Headcount Buildup'!$D$38</f>
        <v>1.2500000000000001E-2</v>
      </c>
      <c r="BD35" s="99">
        <f>AY35/'2. Headcount Buildup'!$D$43</f>
        <v>1.2500000000000001E-2</v>
      </c>
      <c r="BE35" s="99">
        <f>(SUM('2. Headcount Buildup'!$F$44:$Q$44)/12)*('Base Revenue'!$AY35/'Base Revenue'!$AY$61)</f>
        <v>2.4271585795471007E-2</v>
      </c>
      <c r="BF35" s="99">
        <f>(SUM('2. Headcount Buildup'!$F$45:$Q$45)/12)*('Base Revenue'!$AY35/'Base Revenue'!$AY$61)</f>
        <v>4.0452642992451673E-2</v>
      </c>
      <c r="BG35" s="99">
        <f>(SUM('2. Headcount Buildup'!$F$46:$Q$46)/12)*('Base Revenue'!$AY35/'Base Revenue'!$AY$61)</f>
        <v>6.472422878792268E-2</v>
      </c>
      <c r="BH35" s="99">
        <f t="shared" si="8"/>
        <v>0.26278179090917869</v>
      </c>
      <c r="BI35" s="141"/>
      <c r="BK35" s="14" t="s">
        <v>764</v>
      </c>
      <c r="BL35" s="102"/>
      <c r="BM35" s="103"/>
      <c r="BN35" s="14">
        <f t="shared" si="53"/>
        <v>0</v>
      </c>
    </row>
    <row r="36" spans="1:66" x14ac:dyDescent="0.35">
      <c r="A36" s="295"/>
      <c r="B36" s="295" t="s">
        <v>1665</v>
      </c>
      <c r="C36" s="296" t="s">
        <v>91</v>
      </c>
      <c r="D36" s="16"/>
      <c r="E36" s="296" t="s">
        <v>1660</v>
      </c>
      <c r="F36" s="542" t="s">
        <v>43</v>
      </c>
      <c r="G36" s="542"/>
      <c r="H36" s="546">
        <v>1350</v>
      </c>
      <c r="I36" s="587"/>
      <c r="J36" s="304"/>
      <c r="K36" s="304"/>
      <c r="L36" s="304">
        <f t="shared" ref="L36:U36" si="54">$H36*8</f>
        <v>10800</v>
      </c>
      <c r="M36" s="304">
        <f t="shared" si="54"/>
        <v>10800</v>
      </c>
      <c r="N36" s="304">
        <f t="shared" si="54"/>
        <v>10800</v>
      </c>
      <c r="O36" s="304">
        <f t="shared" si="54"/>
        <v>10800</v>
      </c>
      <c r="P36" s="304">
        <f t="shared" si="54"/>
        <v>10800</v>
      </c>
      <c r="Q36" s="304">
        <f t="shared" si="54"/>
        <v>10800</v>
      </c>
      <c r="R36" s="304">
        <f t="shared" si="54"/>
        <v>10800</v>
      </c>
      <c r="S36" s="304">
        <f t="shared" si="54"/>
        <v>10800</v>
      </c>
      <c r="T36" s="304">
        <f t="shared" si="54"/>
        <v>10800</v>
      </c>
      <c r="U36" s="304">
        <f t="shared" si="54"/>
        <v>10800</v>
      </c>
      <c r="V36" s="304">
        <f t="shared" si="4"/>
        <v>108000</v>
      </c>
      <c r="W36" s="9"/>
      <c r="X36" s="297"/>
      <c r="Y36" s="297"/>
      <c r="Z36" s="297">
        <v>6</v>
      </c>
      <c r="AA36" s="297">
        <v>6</v>
      </c>
      <c r="AB36" s="297">
        <v>6</v>
      </c>
      <c r="AC36" s="297">
        <v>6</v>
      </c>
      <c r="AD36" s="297">
        <v>6</v>
      </c>
      <c r="AE36" s="297">
        <v>6</v>
      </c>
      <c r="AF36" s="297">
        <v>6</v>
      </c>
      <c r="AG36" s="297">
        <v>6</v>
      </c>
      <c r="AH36" s="297">
        <v>6</v>
      </c>
      <c r="AI36" s="297">
        <v>6</v>
      </c>
      <c r="AJ36" s="99">
        <f t="shared" si="5"/>
        <v>60</v>
      </c>
      <c r="AK36" s="141"/>
      <c r="AL36" s="613">
        <f t="shared" si="22"/>
        <v>0</v>
      </c>
      <c r="AM36" s="613">
        <f t="shared" si="23"/>
        <v>0</v>
      </c>
      <c r="AN36" s="613">
        <f t="shared" si="24"/>
        <v>7.5</v>
      </c>
      <c r="AO36" s="613">
        <f t="shared" si="25"/>
        <v>7.5</v>
      </c>
      <c r="AP36" s="613">
        <f t="shared" si="26"/>
        <v>7.5</v>
      </c>
      <c r="AQ36" s="613">
        <f t="shared" si="27"/>
        <v>7.5</v>
      </c>
      <c r="AR36" s="613">
        <f t="shared" si="28"/>
        <v>7.5</v>
      </c>
      <c r="AS36" s="613">
        <f t="shared" si="29"/>
        <v>7.5</v>
      </c>
      <c r="AT36" s="613">
        <f t="shared" si="30"/>
        <v>7.5</v>
      </c>
      <c r="AU36" s="613">
        <f t="shared" si="31"/>
        <v>7.5</v>
      </c>
      <c r="AV36" s="613">
        <f t="shared" si="32"/>
        <v>7.5</v>
      </c>
      <c r="AW36" s="613">
        <f t="shared" si="33"/>
        <v>7.5</v>
      </c>
      <c r="AX36" s="613">
        <f t="shared" ref="AX36:AX38" si="55">AJ36/$AL$4</f>
        <v>75</v>
      </c>
      <c r="AY36" s="99">
        <f t="shared" si="7"/>
        <v>6.25</v>
      </c>
      <c r="AZ36" s="141"/>
      <c r="BA36" s="99">
        <f>AY36/'2. Headcount Buildup'!$D$36</f>
        <v>0.41666666666666669</v>
      </c>
      <c r="BB36" s="99">
        <f>AY36/'2. Headcount Buildup'!$D$37</f>
        <v>0.125</v>
      </c>
      <c r="BC36" s="99">
        <f>AY36/'2. Headcount Buildup'!$D$38</f>
        <v>6.25E-2</v>
      </c>
      <c r="BD36" s="99">
        <f>AY36/'2. Headcount Buildup'!$D$43</f>
        <v>6.25E-2</v>
      </c>
      <c r="BE36" s="99">
        <f>(SUM('2. Headcount Buildup'!$F$44:$Q$44)/12)*('Base Revenue'!$AY36/'Base Revenue'!$AY$61)</f>
        <v>0.12135792897735503</v>
      </c>
      <c r="BF36" s="99">
        <f>(SUM('2. Headcount Buildup'!$F$45:$Q$45)/12)*('Base Revenue'!$AY36/'Base Revenue'!$AY$61)</f>
        <v>0.20226321496225841</v>
      </c>
      <c r="BG36" s="99">
        <f>(SUM('2. Headcount Buildup'!$F$46:$Q$46)/12)*('Base Revenue'!$AY36/'Base Revenue'!$AY$61)</f>
        <v>0.32362114393961344</v>
      </c>
      <c r="BH36" s="99">
        <f t="shared" ref="BH36:BH38" si="56">SUM(BA36:BG36)</f>
        <v>1.3139089545458935</v>
      </c>
      <c r="BI36" s="141"/>
      <c r="BK36" s="14"/>
      <c r="BL36" s="102"/>
      <c r="BM36" s="103"/>
      <c r="BN36" s="14"/>
    </row>
    <row r="37" spans="1:66" x14ac:dyDescent="0.35">
      <c r="A37" s="295"/>
      <c r="B37" s="295" t="s">
        <v>1665</v>
      </c>
      <c r="C37" s="296" t="s">
        <v>91</v>
      </c>
      <c r="D37" s="16"/>
      <c r="E37" s="296" t="s">
        <v>1661</v>
      </c>
      <c r="F37" s="542" t="s">
        <v>43</v>
      </c>
      <c r="G37" s="542"/>
      <c r="H37" s="546">
        <v>1600</v>
      </c>
      <c r="I37" s="587"/>
      <c r="J37" s="304"/>
      <c r="K37" s="304">
        <v>1600</v>
      </c>
      <c r="L37" s="304">
        <v>1600</v>
      </c>
      <c r="M37" s="304">
        <v>1600</v>
      </c>
      <c r="N37" s="304">
        <v>1600</v>
      </c>
      <c r="O37" s="304">
        <v>1600</v>
      </c>
      <c r="P37" s="304">
        <v>1600</v>
      </c>
      <c r="Q37" s="304">
        <v>1600</v>
      </c>
      <c r="R37" s="304">
        <v>1600</v>
      </c>
      <c r="S37" s="304">
        <v>1600</v>
      </c>
      <c r="T37" s="304">
        <v>1600</v>
      </c>
      <c r="U37" s="304">
        <v>1600</v>
      </c>
      <c r="V37" s="304">
        <f t="shared" si="4"/>
        <v>17600</v>
      </c>
      <c r="W37" s="9"/>
      <c r="X37" s="297"/>
      <c r="Y37" s="297">
        <v>1</v>
      </c>
      <c r="Z37" s="297">
        <v>1</v>
      </c>
      <c r="AA37" s="297">
        <v>1</v>
      </c>
      <c r="AB37" s="297">
        <v>1</v>
      </c>
      <c r="AC37" s="297">
        <v>1</v>
      </c>
      <c r="AD37" s="297">
        <v>1</v>
      </c>
      <c r="AE37" s="297">
        <v>1</v>
      </c>
      <c r="AF37" s="297">
        <v>1</v>
      </c>
      <c r="AG37" s="297">
        <v>1</v>
      </c>
      <c r="AH37" s="297">
        <v>1</v>
      </c>
      <c r="AI37" s="297">
        <v>1</v>
      </c>
      <c r="AJ37" s="99">
        <f t="shared" si="5"/>
        <v>11</v>
      </c>
      <c r="AK37" s="141"/>
      <c r="AL37" s="613">
        <f t="shared" si="22"/>
        <v>0</v>
      </c>
      <c r="AM37" s="613">
        <f t="shared" si="23"/>
        <v>1.25</v>
      </c>
      <c r="AN37" s="613">
        <f t="shared" si="24"/>
        <v>1.25</v>
      </c>
      <c r="AO37" s="613">
        <f t="shared" si="25"/>
        <v>1.25</v>
      </c>
      <c r="AP37" s="613">
        <f t="shared" si="26"/>
        <v>1.25</v>
      </c>
      <c r="AQ37" s="613">
        <f t="shared" si="27"/>
        <v>1.25</v>
      </c>
      <c r="AR37" s="613">
        <f t="shared" si="28"/>
        <v>1.25</v>
      </c>
      <c r="AS37" s="613">
        <f t="shared" si="29"/>
        <v>1.25</v>
      </c>
      <c r="AT37" s="613">
        <f t="shared" si="30"/>
        <v>1.25</v>
      </c>
      <c r="AU37" s="613">
        <f t="shared" si="31"/>
        <v>1.25</v>
      </c>
      <c r="AV37" s="613">
        <f t="shared" si="32"/>
        <v>1.25</v>
      </c>
      <c r="AW37" s="613">
        <f t="shared" si="33"/>
        <v>1.25</v>
      </c>
      <c r="AX37" s="613">
        <f t="shared" si="55"/>
        <v>13.75</v>
      </c>
      <c r="AY37" s="99">
        <f t="shared" si="7"/>
        <v>1.1458333333333333</v>
      </c>
      <c r="AZ37" s="141"/>
      <c r="BA37" s="99">
        <f>AY37/'2. Headcount Buildup'!$D$36</f>
        <v>7.6388888888888881E-2</v>
      </c>
      <c r="BB37" s="99">
        <f>AY37/'2. Headcount Buildup'!$D$37</f>
        <v>2.2916666666666665E-2</v>
      </c>
      <c r="BC37" s="99">
        <f>AY37/'2. Headcount Buildup'!$D$38</f>
        <v>1.1458333333333333E-2</v>
      </c>
      <c r="BD37" s="99">
        <f>AY37/'2. Headcount Buildup'!$D$43</f>
        <v>1.1458333333333333E-2</v>
      </c>
      <c r="BE37" s="99">
        <f>(SUM('2. Headcount Buildup'!$F$44:$Q$44)/12)*('Base Revenue'!$AY37/'Base Revenue'!$AY$61)</f>
        <v>2.2248953645848422E-2</v>
      </c>
      <c r="BF37" s="99">
        <f>(SUM('2. Headcount Buildup'!$F$45:$Q$45)/12)*('Base Revenue'!$AY37/'Base Revenue'!$AY$61)</f>
        <v>3.7081589409747373E-2</v>
      </c>
      <c r="BG37" s="99">
        <f>(SUM('2. Headcount Buildup'!$F$46:$Q$46)/12)*('Base Revenue'!$AY37/'Base Revenue'!$AY$61)</f>
        <v>5.9330543055595791E-2</v>
      </c>
      <c r="BH37" s="99">
        <f t="shared" si="56"/>
        <v>0.24088330833341381</v>
      </c>
      <c r="BI37" s="141"/>
      <c r="BK37" s="14"/>
      <c r="BL37" s="102"/>
      <c r="BM37" s="103"/>
      <c r="BN37" s="14"/>
    </row>
    <row r="38" spans="1:66" x14ac:dyDescent="0.35">
      <c r="A38" s="295"/>
      <c r="B38" s="295" t="s">
        <v>1665</v>
      </c>
      <c r="C38" s="296" t="s">
        <v>1663</v>
      </c>
      <c r="D38" s="16"/>
      <c r="E38" s="296" t="s">
        <v>1664</v>
      </c>
      <c r="F38" s="542" t="s">
        <v>43</v>
      </c>
      <c r="G38" s="542"/>
      <c r="H38" s="546">
        <v>1350</v>
      </c>
      <c r="I38" s="587"/>
      <c r="J38" s="304"/>
      <c r="K38" s="304">
        <v>675</v>
      </c>
      <c r="L38" s="304">
        <v>1350</v>
      </c>
      <c r="M38" s="304">
        <v>1350</v>
      </c>
      <c r="N38" s="304">
        <v>1350</v>
      </c>
      <c r="O38" s="304">
        <v>1350</v>
      </c>
      <c r="P38" s="304">
        <v>1350</v>
      </c>
      <c r="Q38" s="304">
        <v>1350</v>
      </c>
      <c r="R38" s="304">
        <v>1350</v>
      </c>
      <c r="S38" s="304">
        <v>1350</v>
      </c>
      <c r="T38" s="304">
        <v>1350</v>
      </c>
      <c r="U38" s="304">
        <v>1350</v>
      </c>
      <c r="V38" s="304">
        <f t="shared" si="4"/>
        <v>14175</v>
      </c>
      <c r="W38" s="9"/>
      <c r="X38" s="297"/>
      <c r="Y38" s="297">
        <v>0.5</v>
      </c>
      <c r="Z38" s="297">
        <v>1</v>
      </c>
      <c r="AA38" s="297">
        <v>1</v>
      </c>
      <c r="AB38" s="297">
        <v>1</v>
      </c>
      <c r="AC38" s="297">
        <v>1</v>
      </c>
      <c r="AD38" s="297">
        <v>1</v>
      </c>
      <c r="AE38" s="297">
        <v>1</v>
      </c>
      <c r="AF38" s="297">
        <v>1</v>
      </c>
      <c r="AG38" s="297">
        <v>1</v>
      </c>
      <c r="AH38" s="297">
        <v>1</v>
      </c>
      <c r="AI38" s="297">
        <v>1</v>
      </c>
      <c r="AJ38" s="99">
        <f t="shared" si="5"/>
        <v>10.5</v>
      </c>
      <c r="AK38" s="141"/>
      <c r="AL38" s="613">
        <f t="shared" si="22"/>
        <v>0</v>
      </c>
      <c r="AM38" s="613">
        <f t="shared" si="23"/>
        <v>0.625</v>
      </c>
      <c r="AN38" s="613">
        <f t="shared" si="24"/>
        <v>1.25</v>
      </c>
      <c r="AO38" s="613">
        <f t="shared" si="25"/>
        <v>1.25</v>
      </c>
      <c r="AP38" s="613">
        <f t="shared" si="26"/>
        <v>1.25</v>
      </c>
      <c r="AQ38" s="613">
        <f t="shared" si="27"/>
        <v>1.25</v>
      </c>
      <c r="AR38" s="613">
        <f t="shared" si="28"/>
        <v>1.25</v>
      </c>
      <c r="AS38" s="613">
        <f t="shared" si="29"/>
        <v>1.25</v>
      </c>
      <c r="AT38" s="613">
        <f t="shared" si="30"/>
        <v>1.25</v>
      </c>
      <c r="AU38" s="613">
        <f t="shared" si="31"/>
        <v>1.25</v>
      </c>
      <c r="AV38" s="613">
        <f t="shared" si="32"/>
        <v>1.25</v>
      </c>
      <c r="AW38" s="613">
        <f t="shared" si="33"/>
        <v>1.25</v>
      </c>
      <c r="AX38" s="613">
        <f t="shared" si="55"/>
        <v>13.125</v>
      </c>
      <c r="AY38" s="99">
        <f t="shared" si="7"/>
        <v>1.09375</v>
      </c>
      <c r="AZ38" s="141"/>
      <c r="BA38" s="99">
        <f>AY38/'2. Headcount Buildup'!$D$36</f>
        <v>7.2916666666666671E-2</v>
      </c>
      <c r="BB38" s="99">
        <f>AY38/'2. Headcount Buildup'!$D$37</f>
        <v>2.1874999999999999E-2</v>
      </c>
      <c r="BC38" s="99">
        <f>AY38/'2. Headcount Buildup'!$D$38</f>
        <v>1.0937499999999999E-2</v>
      </c>
      <c r="BD38" s="99">
        <f>AY38/'2. Headcount Buildup'!$D$43</f>
        <v>1.0937499999999999E-2</v>
      </c>
      <c r="BE38" s="99">
        <f>(SUM('2. Headcount Buildup'!$F$44:$Q$44)/12)*('Base Revenue'!$AY38/'Base Revenue'!$AY$61)</f>
        <v>2.1237637571037131E-2</v>
      </c>
      <c r="BF38" s="99">
        <f>(SUM('2. Headcount Buildup'!$F$45:$Q$45)/12)*('Base Revenue'!$AY38/'Base Revenue'!$AY$61)</f>
        <v>3.5396062618395216E-2</v>
      </c>
      <c r="BG38" s="99">
        <f>(SUM('2. Headcount Buildup'!$F$46:$Q$46)/12)*('Base Revenue'!$AY38/'Base Revenue'!$AY$61)</f>
        <v>5.6633700189432347E-2</v>
      </c>
      <c r="BH38" s="99">
        <f t="shared" si="56"/>
        <v>0.22993406704553135</v>
      </c>
      <c r="BI38" s="141"/>
      <c r="BK38" s="14"/>
      <c r="BL38" s="102"/>
      <c r="BM38" s="103"/>
      <c r="BN38" s="14"/>
    </row>
    <row r="39" spans="1:66" x14ac:dyDescent="0.35">
      <c r="A39" s="295"/>
      <c r="B39" s="295" t="s">
        <v>117</v>
      </c>
      <c r="C39" s="296" t="s">
        <v>804</v>
      </c>
      <c r="D39" s="16"/>
      <c r="E39" s="296" t="s">
        <v>93</v>
      </c>
      <c r="F39" s="542" t="s">
        <v>41</v>
      </c>
      <c r="G39" s="615"/>
      <c r="H39" s="546" t="s">
        <v>1306</v>
      </c>
      <c r="I39" s="587">
        <v>820000</v>
      </c>
      <c r="J39" s="304">
        <v>45100</v>
      </c>
      <c r="K39" s="304">
        <v>45100</v>
      </c>
      <c r="L39" s="304">
        <v>30415</v>
      </c>
      <c r="M39" s="304"/>
      <c r="N39" s="304"/>
      <c r="O39" s="304"/>
      <c r="P39" s="304"/>
      <c r="Q39" s="304"/>
      <c r="R39" s="304"/>
      <c r="S39" s="304"/>
      <c r="T39" s="304"/>
      <c r="U39" s="304"/>
      <c r="V39" s="304">
        <f t="shared" si="4"/>
        <v>120615</v>
      </c>
      <c r="W39" s="9"/>
      <c r="X39" s="297">
        <v>15.47</v>
      </c>
      <c r="Y39" s="297">
        <v>15.47</v>
      </c>
      <c r="Z39" s="297"/>
      <c r="AA39" s="297"/>
      <c r="AB39" s="297"/>
      <c r="AC39" s="297"/>
      <c r="AD39" s="297"/>
      <c r="AE39" s="297"/>
      <c r="AF39" s="297"/>
      <c r="AG39" s="297"/>
      <c r="AH39" s="297"/>
      <c r="AI39" s="297"/>
      <c r="AJ39" s="99">
        <f t="shared" si="5"/>
        <v>30.94</v>
      </c>
      <c r="AK39" s="141"/>
      <c r="AL39" s="613">
        <f t="shared" si="22"/>
        <v>19.337499999999999</v>
      </c>
      <c r="AM39" s="613">
        <f t="shared" si="23"/>
        <v>19.337499999999999</v>
      </c>
      <c r="AN39" s="613">
        <f t="shared" si="24"/>
        <v>0</v>
      </c>
      <c r="AO39" s="613">
        <f t="shared" si="25"/>
        <v>0</v>
      </c>
      <c r="AP39" s="613">
        <f t="shared" si="26"/>
        <v>0</v>
      </c>
      <c r="AQ39" s="613">
        <f t="shared" si="27"/>
        <v>0</v>
      </c>
      <c r="AR39" s="613">
        <f t="shared" si="28"/>
        <v>0</v>
      </c>
      <c r="AS39" s="613">
        <f t="shared" si="29"/>
        <v>0</v>
      </c>
      <c r="AT39" s="613">
        <f t="shared" si="30"/>
        <v>0</v>
      </c>
      <c r="AU39" s="613">
        <f t="shared" si="31"/>
        <v>0</v>
      </c>
      <c r="AV39" s="613">
        <f t="shared" si="32"/>
        <v>0</v>
      </c>
      <c r="AW39" s="613">
        <f t="shared" si="33"/>
        <v>0</v>
      </c>
      <c r="AX39" s="99">
        <f t="shared" si="6"/>
        <v>38.674999999999997</v>
      </c>
      <c r="AY39" s="99">
        <f t="shared" si="7"/>
        <v>3.2229166666666664</v>
      </c>
      <c r="AZ39" s="141"/>
      <c r="BA39" s="99">
        <f>AY39/'2. Headcount Buildup'!$D$36</f>
        <v>0.21486111111111109</v>
      </c>
      <c r="BB39" s="99">
        <f>AY39/'2. Headcount Buildup'!$D$37</f>
        <v>6.4458333333333326E-2</v>
      </c>
      <c r="BC39" s="99">
        <f>AY39/'2. Headcount Buildup'!$D$38</f>
        <v>3.2229166666666663E-2</v>
      </c>
      <c r="BD39" s="99">
        <f>AY39/'2. Headcount Buildup'!$D$43</f>
        <v>3.2229166666666663E-2</v>
      </c>
      <c r="BE39" s="99">
        <f>(SUM('2. Headcount Buildup'!$F$44:$Q$44)/12)*('Base Revenue'!$AY39/'Base Revenue'!$AY$61)</f>
        <v>6.258023870932275E-2</v>
      </c>
      <c r="BF39" s="99">
        <f>(SUM('2. Headcount Buildup'!$F$45:$Q$45)/12)*('Base Revenue'!$AY39/'Base Revenue'!$AY$61)</f>
        <v>0.10430039784887124</v>
      </c>
      <c r="BG39" s="99">
        <f>(SUM('2. Headcount Buildup'!$F$46:$Q$46)/12)*('Base Revenue'!$AY39/'Base Revenue'!$AY$61)</f>
        <v>0.16688063655819399</v>
      </c>
      <c r="BH39" s="99">
        <f t="shared" si="8"/>
        <v>0.67753905089416566</v>
      </c>
      <c r="BI39" s="141"/>
      <c r="BK39" s="14" t="s">
        <v>839</v>
      </c>
      <c r="BL39" s="102"/>
      <c r="BM39" s="103"/>
      <c r="BN39" s="14">
        <f t="shared" si="53"/>
        <v>0</v>
      </c>
    </row>
    <row r="40" spans="1:66" x14ac:dyDescent="0.35">
      <c r="A40" s="295"/>
      <c r="B40" s="295" t="s">
        <v>117</v>
      </c>
      <c r="C40" s="296" t="s">
        <v>804</v>
      </c>
      <c r="D40" s="16"/>
      <c r="E40" s="296" t="s">
        <v>849</v>
      </c>
      <c r="F40" s="542" t="s">
        <v>43</v>
      </c>
      <c r="G40" s="542">
        <v>80</v>
      </c>
      <c r="H40" s="546" t="s">
        <v>1307</v>
      </c>
      <c r="I40" s="587">
        <v>2</v>
      </c>
      <c r="J40" s="304">
        <v>3500</v>
      </c>
      <c r="K40" s="304">
        <v>3500</v>
      </c>
      <c r="L40" s="304"/>
      <c r="M40" s="304"/>
      <c r="N40" s="304"/>
      <c r="O40" s="304"/>
      <c r="P40" s="304"/>
      <c r="Q40" s="304"/>
      <c r="R40" s="304"/>
      <c r="S40" s="304"/>
      <c r="T40" s="304"/>
      <c r="U40" s="304"/>
      <c r="V40" s="304">
        <f t="shared" si="4"/>
        <v>7000</v>
      </c>
      <c r="W40" s="9"/>
      <c r="X40" s="297">
        <v>2</v>
      </c>
      <c r="Y40" s="297">
        <v>2</v>
      </c>
      <c r="Z40" s="297"/>
      <c r="AA40" s="297"/>
      <c r="AB40" s="297"/>
      <c r="AC40" s="297"/>
      <c r="AD40" s="297"/>
      <c r="AE40" s="297"/>
      <c r="AF40" s="297"/>
      <c r="AG40" s="297"/>
      <c r="AH40" s="297"/>
      <c r="AI40" s="297"/>
      <c r="AJ40" s="99">
        <f t="shared" si="5"/>
        <v>4</v>
      </c>
      <c r="AK40" s="141"/>
      <c r="AL40" s="613">
        <f t="shared" si="22"/>
        <v>2.5</v>
      </c>
      <c r="AM40" s="613">
        <f t="shared" si="23"/>
        <v>2.5</v>
      </c>
      <c r="AN40" s="613">
        <f t="shared" si="24"/>
        <v>0</v>
      </c>
      <c r="AO40" s="613">
        <f t="shared" si="25"/>
        <v>0</v>
      </c>
      <c r="AP40" s="613">
        <f t="shared" si="26"/>
        <v>0</v>
      </c>
      <c r="AQ40" s="613">
        <f t="shared" si="27"/>
        <v>0</v>
      </c>
      <c r="AR40" s="613">
        <f t="shared" si="28"/>
        <v>0</v>
      </c>
      <c r="AS40" s="613">
        <f t="shared" si="29"/>
        <v>0</v>
      </c>
      <c r="AT40" s="613">
        <f t="shared" si="30"/>
        <v>0</v>
      </c>
      <c r="AU40" s="613">
        <f t="shared" si="31"/>
        <v>0</v>
      </c>
      <c r="AV40" s="613">
        <f t="shared" si="32"/>
        <v>0</v>
      </c>
      <c r="AW40" s="613">
        <f t="shared" si="33"/>
        <v>0</v>
      </c>
      <c r="AX40" s="99">
        <f t="shared" si="6"/>
        <v>5</v>
      </c>
      <c r="AY40" s="99">
        <f t="shared" si="7"/>
        <v>0.41666666666666669</v>
      </c>
      <c r="AZ40" s="141"/>
      <c r="BA40" s="99">
        <f>AY40/'2. Headcount Buildup'!$D$36</f>
        <v>2.777777777777778E-2</v>
      </c>
      <c r="BB40" s="99">
        <f>AY40/'2. Headcount Buildup'!$D$37</f>
        <v>8.3333333333333332E-3</v>
      </c>
      <c r="BC40" s="99">
        <f>AY40/'2. Headcount Buildup'!$D$38</f>
        <v>4.1666666666666666E-3</v>
      </c>
      <c r="BD40" s="99">
        <f>AY40/'2. Headcount Buildup'!$D$43</f>
        <v>4.1666666666666666E-3</v>
      </c>
      <c r="BE40" s="99">
        <f>(SUM('2. Headcount Buildup'!$F$44:$Q$44)/12)*('Base Revenue'!$AY40/'Base Revenue'!$AY$61)</f>
        <v>8.0905285984903368E-3</v>
      </c>
      <c r="BF40" s="99">
        <f>(SUM('2. Headcount Buildup'!$F$45:$Q$45)/12)*('Base Revenue'!$AY40/'Base Revenue'!$AY$61)</f>
        <v>1.3484214330817226E-2</v>
      </c>
      <c r="BG40" s="99">
        <f>(SUM('2. Headcount Buildup'!$F$46:$Q$46)/12)*('Base Revenue'!$AY40/'Base Revenue'!$AY$61)</f>
        <v>2.1574742929307562E-2</v>
      </c>
      <c r="BH40" s="99">
        <f t="shared" si="8"/>
        <v>8.7593930303059564E-2</v>
      </c>
      <c r="BI40" s="141"/>
      <c r="BK40" s="14" t="s">
        <v>794</v>
      </c>
      <c r="BL40" s="102"/>
      <c r="BM40" s="103"/>
      <c r="BN40" s="14">
        <f t="shared" si="53"/>
        <v>0</v>
      </c>
    </row>
    <row r="41" spans="1:66" x14ac:dyDescent="0.35">
      <c r="A41" s="295"/>
      <c r="B41" s="295" t="s">
        <v>117</v>
      </c>
      <c r="C41" s="296" t="s">
        <v>804</v>
      </c>
      <c r="D41" s="16"/>
      <c r="E41" s="296" t="s">
        <v>850</v>
      </c>
      <c r="F41" s="542" t="s">
        <v>43</v>
      </c>
      <c r="G41" s="542"/>
      <c r="H41" s="546" t="s">
        <v>1308</v>
      </c>
      <c r="I41" s="587">
        <v>1</v>
      </c>
      <c r="J41" s="304">
        <v>1350</v>
      </c>
      <c r="K41" s="304">
        <v>1350</v>
      </c>
      <c r="L41" s="304"/>
      <c r="M41" s="304"/>
      <c r="N41" s="304"/>
      <c r="O41" s="304"/>
      <c r="P41" s="304"/>
      <c r="Q41" s="304"/>
      <c r="R41" s="304"/>
      <c r="S41" s="304"/>
      <c r="T41" s="304"/>
      <c r="U41" s="304"/>
      <c r="V41" s="304">
        <f t="shared" si="4"/>
        <v>2700</v>
      </c>
      <c r="W41" s="9"/>
      <c r="X41" s="297">
        <v>1</v>
      </c>
      <c r="Y41" s="297">
        <v>1</v>
      </c>
      <c r="Z41" s="297"/>
      <c r="AA41" s="297"/>
      <c r="AB41" s="297"/>
      <c r="AC41" s="297"/>
      <c r="AD41" s="297"/>
      <c r="AE41" s="297"/>
      <c r="AF41" s="297"/>
      <c r="AG41" s="297"/>
      <c r="AH41" s="297"/>
      <c r="AI41" s="297"/>
      <c r="AJ41" s="99">
        <f t="shared" si="5"/>
        <v>2</v>
      </c>
      <c r="AK41" s="141"/>
      <c r="AL41" s="613">
        <f t="shared" si="22"/>
        <v>1.25</v>
      </c>
      <c r="AM41" s="613">
        <f t="shared" si="23"/>
        <v>1.25</v>
      </c>
      <c r="AN41" s="613">
        <f t="shared" si="24"/>
        <v>0</v>
      </c>
      <c r="AO41" s="613">
        <f t="shared" si="25"/>
        <v>0</v>
      </c>
      <c r="AP41" s="613">
        <f t="shared" si="26"/>
        <v>0</v>
      </c>
      <c r="AQ41" s="613">
        <f t="shared" si="27"/>
        <v>0</v>
      </c>
      <c r="AR41" s="613">
        <f t="shared" si="28"/>
        <v>0</v>
      </c>
      <c r="AS41" s="613">
        <f t="shared" si="29"/>
        <v>0</v>
      </c>
      <c r="AT41" s="613">
        <f t="shared" si="30"/>
        <v>0</v>
      </c>
      <c r="AU41" s="613">
        <f t="shared" si="31"/>
        <v>0</v>
      </c>
      <c r="AV41" s="613">
        <f t="shared" si="32"/>
        <v>0</v>
      </c>
      <c r="AW41" s="613">
        <f t="shared" si="33"/>
        <v>0</v>
      </c>
      <c r="AX41" s="99">
        <f t="shared" si="6"/>
        <v>2.5</v>
      </c>
      <c r="AY41" s="99">
        <f t="shared" si="7"/>
        <v>0.20833333333333334</v>
      </c>
      <c r="AZ41" s="141"/>
      <c r="BA41" s="99">
        <f>AY41/'2. Headcount Buildup'!$D$36</f>
        <v>1.388888888888889E-2</v>
      </c>
      <c r="BB41" s="99">
        <f>AY41/'2. Headcount Buildup'!$D$37</f>
        <v>4.1666666666666666E-3</v>
      </c>
      <c r="BC41" s="99">
        <f>AY41/'2. Headcount Buildup'!$D$38</f>
        <v>2.0833333333333333E-3</v>
      </c>
      <c r="BD41" s="99">
        <f>AY41/'2. Headcount Buildup'!$D$43</f>
        <v>2.0833333333333333E-3</v>
      </c>
      <c r="BE41" s="99">
        <f>(SUM('2. Headcount Buildup'!$F$44:$Q$44)/12)*('Base Revenue'!$AY41/'Base Revenue'!$AY$61)</f>
        <v>4.0452642992451684E-3</v>
      </c>
      <c r="BF41" s="99">
        <f>(SUM('2. Headcount Buildup'!$F$45:$Q$45)/12)*('Base Revenue'!$AY41/'Base Revenue'!$AY$61)</f>
        <v>6.7421071654086128E-3</v>
      </c>
      <c r="BG41" s="99">
        <f>(SUM('2. Headcount Buildup'!$F$46:$Q$46)/12)*('Base Revenue'!$AY41/'Base Revenue'!$AY$61)</f>
        <v>1.0787371464653781E-2</v>
      </c>
      <c r="BH41" s="99">
        <f t="shared" si="8"/>
        <v>4.3796965151529782E-2</v>
      </c>
      <c r="BI41" s="141"/>
      <c r="BK41" s="14" t="s">
        <v>91</v>
      </c>
      <c r="BL41" s="102"/>
      <c r="BM41" s="103"/>
      <c r="BN41" s="14">
        <f t="shared" si="53"/>
        <v>0</v>
      </c>
    </row>
    <row r="42" spans="1:66" x14ac:dyDescent="0.35">
      <c r="A42" s="295"/>
      <c r="B42" s="295" t="s">
        <v>117</v>
      </c>
      <c r="C42" s="296" t="s">
        <v>799</v>
      </c>
      <c r="D42" s="16"/>
      <c r="E42" s="296" t="s">
        <v>47</v>
      </c>
      <c r="F42" s="542" t="s">
        <v>62</v>
      </c>
      <c r="G42" s="542">
        <v>40</v>
      </c>
      <c r="H42" s="546"/>
      <c r="I42" s="587"/>
      <c r="J42" s="304">
        <v>2475</v>
      </c>
      <c r="K42" s="304">
        <v>2475</v>
      </c>
      <c r="L42" s="304">
        <v>2475</v>
      </c>
      <c r="M42" s="304">
        <v>2475</v>
      </c>
      <c r="N42" s="304">
        <v>2475</v>
      </c>
      <c r="O42" s="304">
        <v>2475</v>
      </c>
      <c r="P42" s="304">
        <v>2475</v>
      </c>
      <c r="Q42" s="304">
        <v>2475</v>
      </c>
      <c r="R42" s="304">
        <v>2475</v>
      </c>
      <c r="S42" s="304">
        <v>2475</v>
      </c>
      <c r="T42" s="304">
        <v>2475</v>
      </c>
      <c r="U42" s="304">
        <v>2475</v>
      </c>
      <c r="V42" s="304">
        <f t="shared" si="4"/>
        <v>29700</v>
      </c>
      <c r="W42" s="9"/>
      <c r="X42" s="613">
        <f>'Base FTE'!$I48</f>
        <v>0.65476190476190477</v>
      </c>
      <c r="Y42" s="613">
        <f>'Base FTE'!$I48</f>
        <v>0.65476190476190477</v>
      </c>
      <c r="Z42" s="613">
        <f>'Base FTE'!$I48</f>
        <v>0.65476190476190477</v>
      </c>
      <c r="AA42" s="613">
        <f>'Base FTE'!$I48</f>
        <v>0.65476190476190477</v>
      </c>
      <c r="AB42" s="613">
        <f>'Base FTE'!$I48</f>
        <v>0.65476190476190477</v>
      </c>
      <c r="AC42" s="613">
        <f>'Base FTE'!$I48</f>
        <v>0.65476190476190477</v>
      </c>
      <c r="AD42" s="613">
        <f>'Base FTE'!$I48</f>
        <v>0.65476190476190477</v>
      </c>
      <c r="AE42" s="613">
        <f>'Base FTE'!$I48</f>
        <v>0.65476190476190477</v>
      </c>
      <c r="AF42" s="613">
        <f>'Base FTE'!$I48</f>
        <v>0.65476190476190477</v>
      </c>
      <c r="AG42" s="613">
        <f>'Base FTE'!$I48</f>
        <v>0.65476190476190477</v>
      </c>
      <c r="AH42" s="613">
        <f>'Base FTE'!$I48</f>
        <v>0.65476190476190477</v>
      </c>
      <c r="AI42" s="613">
        <f>'Base FTE'!$I48</f>
        <v>0.65476190476190477</v>
      </c>
      <c r="AJ42" s="99">
        <f t="shared" si="5"/>
        <v>7.8571428571428585</v>
      </c>
      <c r="AK42" s="141"/>
      <c r="AL42" s="613">
        <f t="shared" si="22"/>
        <v>0.81845238095238093</v>
      </c>
      <c r="AM42" s="613">
        <f t="shared" si="23"/>
        <v>0.81845238095238093</v>
      </c>
      <c r="AN42" s="613">
        <f t="shared" si="24"/>
        <v>0.81845238095238093</v>
      </c>
      <c r="AO42" s="613">
        <f t="shared" si="25"/>
        <v>0.81845238095238093</v>
      </c>
      <c r="AP42" s="613">
        <f t="shared" si="26"/>
        <v>0.81845238095238093</v>
      </c>
      <c r="AQ42" s="613">
        <f t="shared" si="27"/>
        <v>0.81845238095238093</v>
      </c>
      <c r="AR42" s="613">
        <f t="shared" si="28"/>
        <v>0.81845238095238093</v>
      </c>
      <c r="AS42" s="613">
        <f t="shared" si="29"/>
        <v>0.81845238095238093</v>
      </c>
      <c r="AT42" s="613">
        <f t="shared" si="30"/>
        <v>0.81845238095238093</v>
      </c>
      <c r="AU42" s="613">
        <f t="shared" si="31"/>
        <v>0.81845238095238093</v>
      </c>
      <c r="AV42" s="613">
        <f t="shared" si="32"/>
        <v>0.81845238095238093</v>
      </c>
      <c r="AW42" s="613">
        <f t="shared" si="33"/>
        <v>0.81845238095238093</v>
      </c>
      <c r="AX42" s="99">
        <f t="shared" si="6"/>
        <v>9.8214285714285747</v>
      </c>
      <c r="AY42" s="99">
        <f t="shared" si="7"/>
        <v>0.81845238095238126</v>
      </c>
      <c r="AZ42" s="141"/>
      <c r="BA42" s="99">
        <f>AY42/'2. Headcount Buildup'!$D$36</f>
        <v>5.4563492063492085E-2</v>
      </c>
      <c r="BB42" s="99">
        <f>AY42/'2. Headcount Buildup'!$D$37</f>
        <v>1.6369047619047627E-2</v>
      </c>
      <c r="BC42" s="99">
        <f>AY42/'2. Headcount Buildup'!$D$38</f>
        <v>8.1845238095238134E-3</v>
      </c>
      <c r="BD42" s="99">
        <f>AY42/'2. Headcount Buildup'!$D$43</f>
        <v>8.1845238095238134E-3</v>
      </c>
      <c r="BE42" s="99">
        <f>(SUM('2. Headcount Buildup'!$F$44:$Q$44)/12)*('Base Revenue'!$AY42/'Base Revenue'!$AY$61)</f>
        <v>1.5892109747034595E-2</v>
      </c>
      <c r="BF42" s="99">
        <f>(SUM('2. Headcount Buildup'!$F$45:$Q$45)/12)*('Base Revenue'!$AY42/'Base Revenue'!$AY$61)</f>
        <v>2.6486849578390988E-2</v>
      </c>
      <c r="BG42" s="99">
        <f>(SUM('2. Headcount Buildup'!$F$46:$Q$46)/12)*('Base Revenue'!$AY42/'Base Revenue'!$AY$61)</f>
        <v>4.2378959325425583E-2</v>
      </c>
      <c r="BH42" s="99">
        <f t="shared" si="8"/>
        <v>0.17205950595243846</v>
      </c>
      <c r="BI42" s="141"/>
      <c r="BK42" s="14" t="s">
        <v>804</v>
      </c>
      <c r="BL42" s="102"/>
      <c r="BM42" s="103"/>
      <c r="BN42" s="14">
        <f t="shared" si="53"/>
        <v>0</v>
      </c>
    </row>
    <row r="43" spans="1:66" x14ac:dyDescent="0.35">
      <c r="A43" s="295"/>
      <c r="B43" s="295" t="s">
        <v>117</v>
      </c>
      <c r="C43" s="296" t="s">
        <v>810</v>
      </c>
      <c r="D43" s="16"/>
      <c r="E43" s="296" t="s">
        <v>93</v>
      </c>
      <c r="F43" s="542" t="s">
        <v>41</v>
      </c>
      <c r="G43" s="542">
        <v>120</v>
      </c>
      <c r="H43" s="546">
        <v>0.03</v>
      </c>
      <c r="I43" s="587">
        <v>40000</v>
      </c>
      <c r="J43" s="304">
        <v>1200</v>
      </c>
      <c r="K43" s="304">
        <v>1200</v>
      </c>
      <c r="L43" s="304">
        <v>1200</v>
      </c>
      <c r="M43" s="304">
        <v>1200</v>
      </c>
      <c r="N43" s="304">
        <v>1200</v>
      </c>
      <c r="O43" s="304">
        <v>1200</v>
      </c>
      <c r="P43" s="304">
        <v>1200</v>
      </c>
      <c r="Q43" s="304">
        <v>1200</v>
      </c>
      <c r="R43" s="304">
        <v>1200</v>
      </c>
      <c r="S43" s="304">
        <v>1200</v>
      </c>
      <c r="T43" s="304">
        <v>1200</v>
      </c>
      <c r="U43" s="304">
        <v>1200</v>
      </c>
      <c r="V43" s="304">
        <f t="shared" si="4"/>
        <v>14400</v>
      </c>
      <c r="W43" s="9"/>
      <c r="X43" s="613">
        <f>'Base FTE'!$I75</f>
        <v>1.2678571428571428</v>
      </c>
      <c r="Y43" s="613">
        <f>'Base FTE'!$I75</f>
        <v>1.2678571428571428</v>
      </c>
      <c r="Z43" s="613">
        <f>'Base FTE'!$I75</f>
        <v>1.2678571428571428</v>
      </c>
      <c r="AA43" s="613">
        <f>'Base FTE'!$I75</f>
        <v>1.2678571428571428</v>
      </c>
      <c r="AB43" s="613">
        <f>'Base FTE'!$I75</f>
        <v>1.2678571428571428</v>
      </c>
      <c r="AC43" s="613">
        <f>'Base FTE'!$I75</f>
        <v>1.2678571428571428</v>
      </c>
      <c r="AD43" s="613">
        <f>'Base FTE'!$I75</f>
        <v>1.2678571428571428</v>
      </c>
      <c r="AE43" s="613">
        <f>'Base FTE'!$I75</f>
        <v>1.2678571428571428</v>
      </c>
      <c r="AF43" s="613">
        <f>'Base FTE'!$I75</f>
        <v>1.2678571428571428</v>
      </c>
      <c r="AG43" s="613">
        <f>'Base FTE'!$I75</f>
        <v>1.2678571428571428</v>
      </c>
      <c r="AH43" s="613">
        <f>'Base FTE'!$I75</f>
        <v>1.2678571428571428</v>
      </c>
      <c r="AI43" s="613">
        <f>'Base FTE'!$I75</f>
        <v>1.2678571428571428</v>
      </c>
      <c r="AJ43" s="99">
        <f t="shared" si="5"/>
        <v>15.21428571428571</v>
      </c>
      <c r="AK43" s="141"/>
      <c r="AL43" s="613">
        <f t="shared" si="22"/>
        <v>1.5848214285714284</v>
      </c>
      <c r="AM43" s="613">
        <f t="shared" si="23"/>
        <v>1.5848214285714284</v>
      </c>
      <c r="AN43" s="613">
        <f t="shared" si="24"/>
        <v>1.5848214285714284</v>
      </c>
      <c r="AO43" s="613">
        <f t="shared" si="25"/>
        <v>1.5848214285714284</v>
      </c>
      <c r="AP43" s="613">
        <f t="shared" si="26"/>
        <v>1.5848214285714284</v>
      </c>
      <c r="AQ43" s="613">
        <f t="shared" si="27"/>
        <v>1.5848214285714284</v>
      </c>
      <c r="AR43" s="613">
        <f t="shared" si="28"/>
        <v>1.5848214285714284</v>
      </c>
      <c r="AS43" s="613">
        <f t="shared" si="29"/>
        <v>1.5848214285714284</v>
      </c>
      <c r="AT43" s="613">
        <f t="shared" si="30"/>
        <v>1.5848214285714284</v>
      </c>
      <c r="AU43" s="613">
        <f t="shared" si="31"/>
        <v>1.5848214285714284</v>
      </c>
      <c r="AV43" s="613">
        <f t="shared" si="32"/>
        <v>1.5848214285714284</v>
      </c>
      <c r="AW43" s="613">
        <f t="shared" si="33"/>
        <v>1.5848214285714284</v>
      </c>
      <c r="AX43" s="99">
        <f t="shared" si="6"/>
        <v>19.017857142857142</v>
      </c>
      <c r="AY43" s="99">
        <f t="shared" si="7"/>
        <v>1.5848214285714286</v>
      </c>
      <c r="AZ43" s="141"/>
      <c r="BA43" s="99">
        <f>AY43/'2. Headcount Buildup'!$D$36</f>
        <v>0.1056547619047619</v>
      </c>
      <c r="BB43" s="99">
        <f>AY43/'2. Headcount Buildup'!$D$37</f>
        <v>3.169642857142857E-2</v>
      </c>
      <c r="BC43" s="99">
        <f>AY43/'2. Headcount Buildup'!$D$38</f>
        <v>1.5848214285714285E-2</v>
      </c>
      <c r="BD43" s="99">
        <f>AY43/'2. Headcount Buildup'!$D$43</f>
        <v>1.5848214285714285E-2</v>
      </c>
      <c r="BE43" s="99">
        <f>(SUM('2. Headcount Buildup'!$F$44:$Q$44)/12)*('Base Revenue'!$AY43/'Base Revenue'!$AY$61)</f>
        <v>3.0772903419257883E-2</v>
      </c>
      <c r="BF43" s="99">
        <f>(SUM('2. Headcount Buildup'!$F$45:$Q$45)/12)*('Base Revenue'!$AY43/'Base Revenue'!$AY$61)</f>
        <v>5.1288172365429804E-2</v>
      </c>
      <c r="BG43" s="99">
        <f>(SUM('2. Headcount Buildup'!$F$46:$Q$46)/12)*('Base Revenue'!$AY43/'Base Revenue'!$AY$61)</f>
        <v>8.2061075784687687E-2</v>
      </c>
      <c r="BH43" s="99">
        <f t="shared" si="8"/>
        <v>0.33316977061699443</v>
      </c>
      <c r="BI43" s="141"/>
      <c r="BK43" s="14" t="s">
        <v>799</v>
      </c>
      <c r="BL43" s="102"/>
      <c r="BM43" s="103"/>
      <c r="BN43" s="14">
        <f t="shared" si="53"/>
        <v>0</v>
      </c>
    </row>
    <row r="44" spans="1:66" x14ac:dyDescent="0.35">
      <c r="A44" s="295"/>
      <c r="B44" s="295" t="s">
        <v>117</v>
      </c>
      <c r="C44" s="296" t="s">
        <v>811</v>
      </c>
      <c r="D44" s="16"/>
      <c r="E44" s="296" t="s">
        <v>101</v>
      </c>
      <c r="F44" s="542" t="s">
        <v>43</v>
      </c>
      <c r="G44" s="542"/>
      <c r="H44" s="546">
        <v>1600</v>
      </c>
      <c r="I44" s="587">
        <v>3</v>
      </c>
      <c r="J44" s="304">
        <v>4800</v>
      </c>
      <c r="K44" s="304">
        <v>4800</v>
      </c>
      <c r="L44" s="304">
        <v>4800</v>
      </c>
      <c r="M44" s="304">
        <v>4800</v>
      </c>
      <c r="N44" s="304">
        <v>4800</v>
      </c>
      <c r="O44" s="304">
        <v>4800</v>
      </c>
      <c r="P44" s="304">
        <v>4800</v>
      </c>
      <c r="Q44" s="304">
        <v>4800</v>
      </c>
      <c r="R44" s="304">
        <v>4800</v>
      </c>
      <c r="S44" s="304">
        <v>4800</v>
      </c>
      <c r="T44" s="304">
        <v>4800</v>
      </c>
      <c r="U44" s="304">
        <v>4800</v>
      </c>
      <c r="V44" s="304">
        <f t="shared" si="4"/>
        <v>57600</v>
      </c>
      <c r="W44" s="9"/>
      <c r="X44" s="613">
        <f>'Base FTE'!$I76</f>
        <v>3</v>
      </c>
      <c r="Y44" s="613">
        <f>'Base FTE'!$I76</f>
        <v>3</v>
      </c>
      <c r="Z44" s="613">
        <f>'Base FTE'!$I76</f>
        <v>3</v>
      </c>
      <c r="AA44" s="613">
        <f>'Base FTE'!$I76</f>
        <v>3</v>
      </c>
      <c r="AB44" s="613">
        <f>'Base FTE'!$I76</f>
        <v>3</v>
      </c>
      <c r="AC44" s="613">
        <f>'Base FTE'!$I76</f>
        <v>3</v>
      </c>
      <c r="AD44" s="613">
        <f>'Base FTE'!$I76</f>
        <v>3</v>
      </c>
      <c r="AE44" s="613">
        <f>'Base FTE'!$I76</f>
        <v>3</v>
      </c>
      <c r="AF44" s="613">
        <f>'Base FTE'!$I76</f>
        <v>3</v>
      </c>
      <c r="AG44" s="613">
        <f>'Base FTE'!$I76</f>
        <v>3</v>
      </c>
      <c r="AH44" s="613">
        <f>'Base FTE'!$I76</f>
        <v>3</v>
      </c>
      <c r="AI44" s="613">
        <f>'Base FTE'!$I76</f>
        <v>3</v>
      </c>
      <c r="AJ44" s="99">
        <f t="shared" si="5"/>
        <v>36</v>
      </c>
      <c r="AK44" s="141"/>
      <c r="AL44" s="613">
        <f t="shared" si="22"/>
        <v>3.75</v>
      </c>
      <c r="AM44" s="613">
        <f t="shared" si="23"/>
        <v>3.75</v>
      </c>
      <c r="AN44" s="613">
        <f t="shared" si="24"/>
        <v>3.75</v>
      </c>
      <c r="AO44" s="613">
        <f t="shared" si="25"/>
        <v>3.75</v>
      </c>
      <c r="AP44" s="613">
        <f t="shared" si="26"/>
        <v>3.75</v>
      </c>
      <c r="AQ44" s="613">
        <f t="shared" si="27"/>
        <v>3.75</v>
      </c>
      <c r="AR44" s="613">
        <f t="shared" si="28"/>
        <v>3.75</v>
      </c>
      <c r="AS44" s="613">
        <f t="shared" si="29"/>
        <v>3.75</v>
      </c>
      <c r="AT44" s="613">
        <f t="shared" si="30"/>
        <v>3.75</v>
      </c>
      <c r="AU44" s="613">
        <f t="shared" si="31"/>
        <v>3.75</v>
      </c>
      <c r="AV44" s="613">
        <f t="shared" si="32"/>
        <v>3.75</v>
      </c>
      <c r="AW44" s="613">
        <f t="shared" si="33"/>
        <v>3.75</v>
      </c>
      <c r="AX44" s="99">
        <f t="shared" si="6"/>
        <v>45</v>
      </c>
      <c r="AY44" s="99">
        <f t="shared" si="7"/>
        <v>3.75</v>
      </c>
      <c r="AZ44" s="141"/>
      <c r="BA44" s="99">
        <f>AY44/'2. Headcount Buildup'!$D$36</f>
        <v>0.25</v>
      </c>
      <c r="BB44" s="99">
        <f>AY44/'2. Headcount Buildup'!$D$37</f>
        <v>7.4999999999999997E-2</v>
      </c>
      <c r="BC44" s="99">
        <f>AY44/'2. Headcount Buildup'!$D$38</f>
        <v>3.7499999999999999E-2</v>
      </c>
      <c r="BD44" s="99">
        <f>AY44/'2. Headcount Buildup'!$D$43</f>
        <v>3.7499999999999999E-2</v>
      </c>
      <c r="BE44" s="99">
        <f>(SUM('2. Headcount Buildup'!$F$44:$Q$44)/12)*('Base Revenue'!$AY44/'Base Revenue'!$AY$61)</f>
        <v>7.281475738641302E-2</v>
      </c>
      <c r="BF44" s="99">
        <f>(SUM('2. Headcount Buildup'!$F$45:$Q$45)/12)*('Base Revenue'!$AY44/'Base Revenue'!$AY$61)</f>
        <v>0.12135792897735503</v>
      </c>
      <c r="BG44" s="99">
        <f>(SUM('2. Headcount Buildup'!$F$46:$Q$46)/12)*('Base Revenue'!$AY44/'Base Revenue'!$AY$61)</f>
        <v>0.19417268636376805</v>
      </c>
      <c r="BH44" s="99">
        <f t="shared" si="8"/>
        <v>0.78834537272753602</v>
      </c>
      <c r="BI44" s="141"/>
      <c r="BK44" s="14" t="s">
        <v>810</v>
      </c>
      <c r="BL44" s="102"/>
      <c r="BM44" s="103"/>
      <c r="BN44" s="14">
        <f t="shared" si="53"/>
        <v>0</v>
      </c>
    </row>
    <row r="45" spans="1:66" x14ac:dyDescent="0.35">
      <c r="A45" s="295"/>
      <c r="B45" s="295" t="s">
        <v>117</v>
      </c>
      <c r="C45" s="296" t="s">
        <v>811</v>
      </c>
      <c r="D45" s="16"/>
      <c r="E45" s="296" t="s">
        <v>47</v>
      </c>
      <c r="F45" s="542" t="s">
        <v>62</v>
      </c>
      <c r="G45" s="542"/>
      <c r="H45" s="546">
        <v>4.5</v>
      </c>
      <c r="I45" s="587">
        <v>100</v>
      </c>
      <c r="J45" s="304">
        <v>450</v>
      </c>
      <c r="K45" s="304">
        <v>450</v>
      </c>
      <c r="L45" s="304">
        <v>450</v>
      </c>
      <c r="M45" s="304">
        <v>450</v>
      </c>
      <c r="N45" s="304">
        <v>450</v>
      </c>
      <c r="O45" s="304">
        <v>450</v>
      </c>
      <c r="P45" s="304">
        <v>450</v>
      </c>
      <c r="Q45" s="304">
        <v>450</v>
      </c>
      <c r="R45" s="304">
        <v>450</v>
      </c>
      <c r="S45" s="304">
        <v>450</v>
      </c>
      <c r="T45" s="304">
        <v>450</v>
      </c>
      <c r="U45" s="304">
        <v>450</v>
      </c>
      <c r="V45" s="304">
        <f t="shared" si="4"/>
        <v>5400</v>
      </c>
      <c r="W45" s="9"/>
      <c r="X45" s="613">
        <f>'Base FTE'!$I77</f>
        <v>0.11904761904761904</v>
      </c>
      <c r="Y45" s="613">
        <f>'Base FTE'!$I77</f>
        <v>0.11904761904761904</v>
      </c>
      <c r="Z45" s="613">
        <f>'Base FTE'!$I77</f>
        <v>0.11904761904761904</v>
      </c>
      <c r="AA45" s="613">
        <f>'Base FTE'!$I77</f>
        <v>0.11904761904761904</v>
      </c>
      <c r="AB45" s="613">
        <f>'Base FTE'!$I77</f>
        <v>0.11904761904761904</v>
      </c>
      <c r="AC45" s="613">
        <f>'Base FTE'!$I77</f>
        <v>0.11904761904761904</v>
      </c>
      <c r="AD45" s="613">
        <f>'Base FTE'!$I77</f>
        <v>0.11904761904761904</v>
      </c>
      <c r="AE45" s="613">
        <f>'Base FTE'!$I77</f>
        <v>0.11904761904761904</v>
      </c>
      <c r="AF45" s="613">
        <f>'Base FTE'!$I77</f>
        <v>0.11904761904761904</v>
      </c>
      <c r="AG45" s="613">
        <f>'Base FTE'!$I77</f>
        <v>0.11904761904761904</v>
      </c>
      <c r="AH45" s="613">
        <f>'Base FTE'!$I77</f>
        <v>0.11904761904761904</v>
      </c>
      <c r="AI45" s="613">
        <f>'Base FTE'!$I77</f>
        <v>0.11904761904761904</v>
      </c>
      <c r="AJ45" s="99">
        <f t="shared" si="5"/>
        <v>1.4285714285714286</v>
      </c>
      <c r="AK45" s="141"/>
      <c r="AL45" s="613">
        <f t="shared" si="22"/>
        <v>0.14880952380952378</v>
      </c>
      <c r="AM45" s="613">
        <f t="shared" si="23"/>
        <v>0.14880952380952378</v>
      </c>
      <c r="AN45" s="613">
        <f t="shared" si="24"/>
        <v>0.14880952380952378</v>
      </c>
      <c r="AO45" s="613">
        <f t="shared" si="25"/>
        <v>0.14880952380952378</v>
      </c>
      <c r="AP45" s="613">
        <f t="shared" si="26"/>
        <v>0.14880952380952378</v>
      </c>
      <c r="AQ45" s="613">
        <f t="shared" si="27"/>
        <v>0.14880952380952378</v>
      </c>
      <c r="AR45" s="613">
        <f t="shared" si="28"/>
        <v>0.14880952380952378</v>
      </c>
      <c r="AS45" s="613">
        <f t="shared" si="29"/>
        <v>0.14880952380952378</v>
      </c>
      <c r="AT45" s="613">
        <f t="shared" si="30"/>
        <v>0.14880952380952378</v>
      </c>
      <c r="AU45" s="613">
        <f t="shared" si="31"/>
        <v>0.14880952380952378</v>
      </c>
      <c r="AV45" s="613">
        <f t="shared" si="32"/>
        <v>0.14880952380952378</v>
      </c>
      <c r="AW45" s="613">
        <f t="shared" si="33"/>
        <v>0.14880952380952378</v>
      </c>
      <c r="AX45" s="99">
        <f t="shared" si="6"/>
        <v>1.7857142857142849</v>
      </c>
      <c r="AY45" s="99">
        <f t="shared" si="7"/>
        <v>0.14880952380952375</v>
      </c>
      <c r="AZ45" s="141"/>
      <c r="BA45" s="99">
        <f>AY45/'2. Headcount Buildup'!$D$36</f>
        <v>9.9206349206349166E-3</v>
      </c>
      <c r="BB45" s="99">
        <f>AY45/'2. Headcount Buildup'!$D$37</f>
        <v>2.9761904761904752E-3</v>
      </c>
      <c r="BC45" s="99">
        <f>AY45/'2. Headcount Buildup'!$D$38</f>
        <v>1.4880952380952376E-3</v>
      </c>
      <c r="BD45" s="99">
        <f>AY45/'2. Headcount Buildup'!$D$43</f>
        <v>1.4880952380952376E-3</v>
      </c>
      <c r="BE45" s="99">
        <f>(SUM('2. Headcount Buildup'!$F$44:$Q$44)/12)*('Base Revenue'!$AY45/'Base Revenue'!$AY$61)</f>
        <v>2.8894744994608329E-3</v>
      </c>
      <c r="BF45" s="99">
        <f>(SUM('2. Headcount Buildup'!$F$45:$Q$45)/12)*('Base Revenue'!$AY45/'Base Revenue'!$AY$61)</f>
        <v>4.8157908324347213E-3</v>
      </c>
      <c r="BG45" s="99">
        <f>(SUM('2. Headcount Buildup'!$F$46:$Q$46)/12)*('Base Revenue'!$AY45/'Base Revenue'!$AY$61)</f>
        <v>7.7052653318955546E-3</v>
      </c>
      <c r="BH45" s="99">
        <f t="shared" si="8"/>
        <v>3.1283546536806976E-2</v>
      </c>
      <c r="BI45" s="141"/>
      <c r="BK45" s="14" t="s">
        <v>811</v>
      </c>
      <c r="BL45" s="102"/>
      <c r="BM45" s="103"/>
      <c r="BN45" s="14">
        <f t="shared" si="53"/>
        <v>0</v>
      </c>
    </row>
    <row r="46" spans="1:66" x14ac:dyDescent="0.35">
      <c r="A46" s="295"/>
      <c r="B46" s="295" t="s">
        <v>117</v>
      </c>
      <c r="C46" s="296" t="s">
        <v>809</v>
      </c>
      <c r="D46" s="16"/>
      <c r="E46" s="296" t="s">
        <v>101</v>
      </c>
      <c r="F46" s="542" t="s">
        <v>43</v>
      </c>
      <c r="G46" s="542">
        <v>130</v>
      </c>
      <c r="H46" s="546">
        <v>1750</v>
      </c>
      <c r="I46" s="587">
        <v>1</v>
      </c>
      <c r="J46" s="304">
        <v>1750</v>
      </c>
      <c r="K46" s="304">
        <v>1750</v>
      </c>
      <c r="L46" s="304">
        <v>1750</v>
      </c>
      <c r="M46" s="304">
        <v>1750</v>
      </c>
      <c r="N46" s="304">
        <v>1750</v>
      </c>
      <c r="O46" s="304">
        <v>1750</v>
      </c>
      <c r="P46" s="304">
        <v>1750</v>
      </c>
      <c r="Q46" s="304">
        <v>1750</v>
      </c>
      <c r="R46" s="304">
        <v>1750</v>
      </c>
      <c r="S46" s="304">
        <v>1750</v>
      </c>
      <c r="T46" s="304">
        <v>1750</v>
      </c>
      <c r="U46" s="304">
        <v>1750</v>
      </c>
      <c r="V46" s="304">
        <f t="shared" si="4"/>
        <v>21000</v>
      </c>
      <c r="W46" s="9"/>
      <c r="X46" s="613">
        <f>'Base FTE'!$I70</f>
        <v>1</v>
      </c>
      <c r="Y46" s="613">
        <f>'Base FTE'!$I70</f>
        <v>1</v>
      </c>
      <c r="Z46" s="613">
        <f>'Base FTE'!$I70</f>
        <v>1</v>
      </c>
      <c r="AA46" s="613">
        <f>'Base FTE'!$I70</f>
        <v>1</v>
      </c>
      <c r="AB46" s="613">
        <f>'Base FTE'!$I70</f>
        <v>1</v>
      </c>
      <c r="AC46" s="613">
        <f>'Base FTE'!$I70</f>
        <v>1</v>
      </c>
      <c r="AD46" s="613">
        <f>'Base FTE'!$I70</f>
        <v>1</v>
      </c>
      <c r="AE46" s="613">
        <f>'Base FTE'!$I70</f>
        <v>1</v>
      </c>
      <c r="AF46" s="613">
        <f>'Base FTE'!$I70</f>
        <v>1</v>
      </c>
      <c r="AG46" s="613">
        <f>'Base FTE'!$I70</f>
        <v>1</v>
      </c>
      <c r="AH46" s="613">
        <f>'Base FTE'!$I70</f>
        <v>1</v>
      </c>
      <c r="AI46" s="613">
        <f>'Base FTE'!$I70</f>
        <v>1</v>
      </c>
      <c r="AJ46" s="99">
        <f t="shared" si="5"/>
        <v>12</v>
      </c>
      <c r="AK46" s="141"/>
      <c r="AL46" s="613">
        <f t="shared" si="22"/>
        <v>1.25</v>
      </c>
      <c r="AM46" s="613">
        <f t="shared" si="23"/>
        <v>1.25</v>
      </c>
      <c r="AN46" s="613">
        <f t="shared" si="24"/>
        <v>1.25</v>
      </c>
      <c r="AO46" s="613">
        <f t="shared" si="25"/>
        <v>1.25</v>
      </c>
      <c r="AP46" s="613">
        <f t="shared" si="26"/>
        <v>1.25</v>
      </c>
      <c r="AQ46" s="613">
        <f t="shared" si="27"/>
        <v>1.25</v>
      </c>
      <c r="AR46" s="613">
        <f t="shared" si="28"/>
        <v>1.25</v>
      </c>
      <c r="AS46" s="613">
        <f t="shared" si="29"/>
        <v>1.25</v>
      </c>
      <c r="AT46" s="613">
        <f t="shared" si="30"/>
        <v>1.25</v>
      </c>
      <c r="AU46" s="613">
        <f t="shared" si="31"/>
        <v>1.25</v>
      </c>
      <c r="AV46" s="613">
        <f t="shared" si="32"/>
        <v>1.25</v>
      </c>
      <c r="AW46" s="613">
        <f t="shared" si="33"/>
        <v>1.25</v>
      </c>
      <c r="AX46" s="99">
        <f t="shared" si="6"/>
        <v>15</v>
      </c>
      <c r="AY46" s="99">
        <f t="shared" si="7"/>
        <v>1.25</v>
      </c>
      <c r="AZ46" s="141"/>
      <c r="BA46" s="99">
        <f>AY46/'2. Headcount Buildup'!$D$36</f>
        <v>8.3333333333333329E-2</v>
      </c>
      <c r="BB46" s="99">
        <f>AY46/'2. Headcount Buildup'!$D$37</f>
        <v>2.5000000000000001E-2</v>
      </c>
      <c r="BC46" s="99">
        <f>AY46/'2. Headcount Buildup'!$D$38</f>
        <v>1.2500000000000001E-2</v>
      </c>
      <c r="BD46" s="99">
        <f>AY46/'2. Headcount Buildup'!$D$43</f>
        <v>1.2500000000000001E-2</v>
      </c>
      <c r="BE46" s="99">
        <f>(SUM('2. Headcount Buildup'!$F$44:$Q$44)/12)*('Base Revenue'!$AY46/'Base Revenue'!$AY$61)</f>
        <v>2.4271585795471007E-2</v>
      </c>
      <c r="BF46" s="99">
        <f>(SUM('2. Headcount Buildup'!$F$45:$Q$45)/12)*('Base Revenue'!$AY46/'Base Revenue'!$AY$61)</f>
        <v>4.0452642992451673E-2</v>
      </c>
      <c r="BG46" s="99">
        <f>(SUM('2. Headcount Buildup'!$F$46:$Q$46)/12)*('Base Revenue'!$AY46/'Base Revenue'!$AY$61)</f>
        <v>6.472422878792268E-2</v>
      </c>
      <c r="BH46" s="99">
        <f t="shared" si="8"/>
        <v>0.26278179090917869</v>
      </c>
      <c r="BI46" s="141"/>
      <c r="BK46" s="14" t="s">
        <v>809</v>
      </c>
      <c r="BL46" s="102"/>
      <c r="BM46" s="103"/>
      <c r="BN46" s="14">
        <f t="shared" si="53"/>
        <v>0</v>
      </c>
    </row>
    <row r="47" spans="1:66" x14ac:dyDescent="0.35">
      <c r="A47" s="295"/>
      <c r="B47" s="295" t="s">
        <v>117</v>
      </c>
      <c r="C47" s="296" t="s">
        <v>809</v>
      </c>
      <c r="D47" s="16"/>
      <c r="E47" s="296" t="s">
        <v>93</v>
      </c>
      <c r="F47" s="542" t="s">
        <v>41</v>
      </c>
      <c r="G47" s="542"/>
      <c r="H47" s="546">
        <v>0.05</v>
      </c>
      <c r="I47" s="587">
        <v>100000</v>
      </c>
      <c r="J47" s="304">
        <v>5000</v>
      </c>
      <c r="K47" s="304">
        <v>5000</v>
      </c>
      <c r="L47" s="304">
        <v>5000</v>
      </c>
      <c r="M47" s="304">
        <v>5000</v>
      </c>
      <c r="N47" s="304">
        <v>5000</v>
      </c>
      <c r="O47" s="304">
        <v>5000</v>
      </c>
      <c r="P47" s="304">
        <v>5000</v>
      </c>
      <c r="Q47" s="304">
        <v>5000</v>
      </c>
      <c r="R47" s="304">
        <v>5000</v>
      </c>
      <c r="S47" s="304">
        <v>5000</v>
      </c>
      <c r="T47" s="304">
        <v>5000</v>
      </c>
      <c r="U47" s="304">
        <v>5000</v>
      </c>
      <c r="V47" s="304">
        <f t="shared" si="4"/>
        <v>60000</v>
      </c>
      <c r="W47" s="9"/>
      <c r="X47" s="613">
        <f>'Base FTE'!$I71</f>
        <v>0.37238095238095237</v>
      </c>
      <c r="Y47" s="613">
        <f>'Base FTE'!$I71</f>
        <v>0.37238095238095237</v>
      </c>
      <c r="Z47" s="613">
        <f>'Base FTE'!$I71</f>
        <v>0.37238095238095237</v>
      </c>
      <c r="AA47" s="613">
        <f>'Base FTE'!$I71</f>
        <v>0.37238095238095237</v>
      </c>
      <c r="AB47" s="613">
        <f>'Base FTE'!$I71</f>
        <v>0.37238095238095237</v>
      </c>
      <c r="AC47" s="613">
        <f>'Base FTE'!$I71</f>
        <v>0.37238095238095237</v>
      </c>
      <c r="AD47" s="613">
        <f>'Base FTE'!$I71</f>
        <v>0.37238095238095237</v>
      </c>
      <c r="AE47" s="613">
        <f>'Base FTE'!$I71</f>
        <v>0.37238095238095237</v>
      </c>
      <c r="AF47" s="613">
        <f>'Base FTE'!$I71</f>
        <v>0.37238095238095237</v>
      </c>
      <c r="AG47" s="613">
        <f>'Base FTE'!$I71</f>
        <v>0.37238095238095237</v>
      </c>
      <c r="AH47" s="613">
        <f>'Base FTE'!$I71</f>
        <v>0.37238095238095237</v>
      </c>
      <c r="AI47" s="613">
        <f>'Base FTE'!$I71</f>
        <v>0.37238095238095237</v>
      </c>
      <c r="AJ47" s="99">
        <f t="shared" si="5"/>
        <v>4.4685714285714289</v>
      </c>
      <c r="AK47" s="141"/>
      <c r="AL47" s="613">
        <f t="shared" si="22"/>
        <v>0.46547619047619043</v>
      </c>
      <c r="AM47" s="613">
        <f t="shared" si="23"/>
        <v>0.46547619047619043</v>
      </c>
      <c r="AN47" s="613">
        <f t="shared" si="24"/>
        <v>0.46547619047619043</v>
      </c>
      <c r="AO47" s="613">
        <f t="shared" si="25"/>
        <v>0.46547619047619043</v>
      </c>
      <c r="AP47" s="613">
        <f t="shared" si="26"/>
        <v>0.46547619047619043</v>
      </c>
      <c r="AQ47" s="613">
        <f t="shared" si="27"/>
        <v>0.46547619047619043</v>
      </c>
      <c r="AR47" s="613">
        <f t="shared" si="28"/>
        <v>0.46547619047619043</v>
      </c>
      <c r="AS47" s="613">
        <f t="shared" si="29"/>
        <v>0.46547619047619043</v>
      </c>
      <c r="AT47" s="613">
        <f t="shared" si="30"/>
        <v>0.46547619047619043</v>
      </c>
      <c r="AU47" s="613">
        <f t="shared" si="31"/>
        <v>0.46547619047619043</v>
      </c>
      <c r="AV47" s="613">
        <f t="shared" si="32"/>
        <v>0.46547619047619043</v>
      </c>
      <c r="AW47" s="613">
        <f t="shared" si="33"/>
        <v>0.46547619047619043</v>
      </c>
      <c r="AX47" s="99">
        <f t="shared" si="6"/>
        <v>5.5857142857142845</v>
      </c>
      <c r="AY47" s="99">
        <f t="shared" si="7"/>
        <v>0.46547619047619038</v>
      </c>
      <c r="AZ47" s="141"/>
      <c r="BA47" s="99">
        <f>AY47/'2. Headcount Buildup'!$D$36</f>
        <v>3.1031746031746025E-2</v>
      </c>
      <c r="BB47" s="99">
        <f>AY47/'2. Headcount Buildup'!$D$37</f>
        <v>9.3095238095238075E-3</v>
      </c>
      <c r="BC47" s="99">
        <f>AY47/'2. Headcount Buildup'!$D$38</f>
        <v>4.6547619047619037E-3</v>
      </c>
      <c r="BD47" s="99">
        <f>AY47/'2. Headcount Buildup'!$D$43</f>
        <v>4.6547619047619037E-3</v>
      </c>
      <c r="BE47" s="99">
        <f>(SUM('2. Headcount Buildup'!$F$44:$Q$44)/12)*('Base Revenue'!$AY47/'Base Revenue'!$AY$61)</f>
        <v>9.0382762343134884E-3</v>
      </c>
      <c r="BF47" s="99">
        <f>(SUM('2. Headcount Buildup'!$F$45:$Q$45)/12)*('Base Revenue'!$AY47/'Base Revenue'!$AY$61)</f>
        <v>1.5063793723855813E-2</v>
      </c>
      <c r="BG47" s="99">
        <f>(SUM('2. Headcount Buildup'!$F$46:$Q$46)/12)*('Base Revenue'!$AY47/'Base Revenue'!$AY$61)</f>
        <v>2.4102069958169301E-2</v>
      </c>
      <c r="BH47" s="99">
        <f t="shared" si="8"/>
        <v>9.7854933567132235E-2</v>
      </c>
      <c r="BI47" s="141"/>
      <c r="BK47" s="14" t="s">
        <v>812</v>
      </c>
      <c r="BL47" s="102"/>
      <c r="BM47" s="103"/>
      <c r="BN47" s="14">
        <f t="shared" si="53"/>
        <v>0</v>
      </c>
    </row>
    <row r="48" spans="1:66" x14ac:dyDescent="0.35">
      <c r="A48" s="295"/>
      <c r="B48" s="295" t="s">
        <v>117</v>
      </c>
      <c r="C48" s="296" t="s">
        <v>812</v>
      </c>
      <c r="D48" s="16"/>
      <c r="E48" s="296" t="s">
        <v>851</v>
      </c>
      <c r="F48" s="542" t="s">
        <v>43</v>
      </c>
      <c r="G48" s="542">
        <v>30</v>
      </c>
      <c r="H48" s="546">
        <v>2500</v>
      </c>
      <c r="I48" s="587">
        <v>10</v>
      </c>
      <c r="J48" s="304">
        <v>25000</v>
      </c>
      <c r="K48" s="304">
        <v>25000</v>
      </c>
      <c r="L48" s="304">
        <v>22500</v>
      </c>
      <c r="M48" s="304">
        <v>20000</v>
      </c>
      <c r="N48" s="304">
        <v>20000</v>
      </c>
      <c r="O48" s="304">
        <v>20000</v>
      </c>
      <c r="P48" s="304">
        <v>20000</v>
      </c>
      <c r="Q48" s="304">
        <v>20000</v>
      </c>
      <c r="R48" s="304">
        <v>20000</v>
      </c>
      <c r="S48" s="304">
        <v>20000</v>
      </c>
      <c r="T48" s="304">
        <v>20000</v>
      </c>
      <c r="U48" s="304">
        <v>20000</v>
      </c>
      <c r="V48" s="304">
        <f t="shared" si="4"/>
        <v>252500</v>
      </c>
      <c r="W48" s="9"/>
      <c r="X48" s="297">
        <v>10</v>
      </c>
      <c r="Y48" s="297">
        <v>10</v>
      </c>
      <c r="Z48" s="297">
        <v>10</v>
      </c>
      <c r="AA48" s="297">
        <v>10</v>
      </c>
      <c r="AB48" s="297">
        <v>10</v>
      </c>
      <c r="AC48" s="297">
        <v>10</v>
      </c>
      <c r="AD48" s="297">
        <v>10</v>
      </c>
      <c r="AE48" s="297">
        <v>10</v>
      </c>
      <c r="AF48" s="297">
        <v>10</v>
      </c>
      <c r="AG48" s="297">
        <v>10</v>
      </c>
      <c r="AH48" s="297">
        <v>10</v>
      </c>
      <c r="AI48" s="297">
        <v>10</v>
      </c>
      <c r="AJ48" s="99">
        <f t="shared" si="5"/>
        <v>120</v>
      </c>
      <c r="AK48" s="141"/>
      <c r="AL48" s="613">
        <f t="shared" si="22"/>
        <v>12.5</v>
      </c>
      <c r="AM48" s="613">
        <f t="shared" si="23"/>
        <v>12.5</v>
      </c>
      <c r="AN48" s="613">
        <f t="shared" si="24"/>
        <v>12.5</v>
      </c>
      <c r="AO48" s="613">
        <f t="shared" si="25"/>
        <v>12.5</v>
      </c>
      <c r="AP48" s="613">
        <f t="shared" si="26"/>
        <v>12.5</v>
      </c>
      <c r="AQ48" s="613">
        <f t="shared" si="27"/>
        <v>12.5</v>
      </c>
      <c r="AR48" s="613">
        <f t="shared" si="28"/>
        <v>12.5</v>
      </c>
      <c r="AS48" s="613">
        <f t="shared" si="29"/>
        <v>12.5</v>
      </c>
      <c r="AT48" s="613">
        <f t="shared" si="30"/>
        <v>12.5</v>
      </c>
      <c r="AU48" s="613">
        <f t="shared" si="31"/>
        <v>12.5</v>
      </c>
      <c r="AV48" s="613">
        <f t="shared" si="32"/>
        <v>12.5</v>
      </c>
      <c r="AW48" s="613">
        <f t="shared" si="33"/>
        <v>12.5</v>
      </c>
      <c r="AX48" s="99">
        <f t="shared" si="6"/>
        <v>150</v>
      </c>
      <c r="AY48" s="99">
        <f t="shared" si="7"/>
        <v>12.5</v>
      </c>
      <c r="AZ48" s="141"/>
      <c r="BA48" s="99">
        <f>AY48/'2. Headcount Buildup'!$D$36</f>
        <v>0.83333333333333337</v>
      </c>
      <c r="BB48" s="99">
        <f>AY48/'2. Headcount Buildup'!$D$37</f>
        <v>0.25</v>
      </c>
      <c r="BC48" s="99">
        <f>AY48/'2. Headcount Buildup'!$D$38</f>
        <v>0.125</v>
      </c>
      <c r="BD48" s="99">
        <f>AY48/'2. Headcount Buildup'!$D$43</f>
        <v>0.125</v>
      </c>
      <c r="BE48" s="99">
        <f>(SUM('2. Headcount Buildup'!$F$44:$Q$44)/12)*('Base Revenue'!$AY48/'Base Revenue'!$AY$61)</f>
        <v>0.24271585795471007</v>
      </c>
      <c r="BF48" s="99">
        <f>(SUM('2. Headcount Buildup'!$F$45:$Q$45)/12)*('Base Revenue'!$AY48/'Base Revenue'!$AY$61)</f>
        <v>0.40452642992451682</v>
      </c>
      <c r="BG48" s="99">
        <f>(SUM('2. Headcount Buildup'!$F$46:$Q$46)/12)*('Base Revenue'!$AY48/'Base Revenue'!$AY$61)</f>
        <v>0.64724228787922689</v>
      </c>
      <c r="BH48" s="99">
        <f t="shared" si="8"/>
        <v>2.627817909091787</v>
      </c>
      <c r="BI48" s="141"/>
      <c r="BK48" s="14" t="s">
        <v>793</v>
      </c>
      <c r="BL48" s="102"/>
      <c r="BM48" s="103"/>
      <c r="BN48" s="14">
        <f t="shared" si="53"/>
        <v>0</v>
      </c>
    </row>
    <row r="49" spans="1:66" x14ac:dyDescent="0.35">
      <c r="A49" s="295"/>
      <c r="B49" s="295" t="s">
        <v>117</v>
      </c>
      <c r="C49" s="296" t="s">
        <v>793</v>
      </c>
      <c r="D49" s="16"/>
      <c r="E49" s="296" t="s">
        <v>101</v>
      </c>
      <c r="F49" s="542" t="s">
        <v>43</v>
      </c>
      <c r="G49" s="542">
        <v>40</v>
      </c>
      <c r="H49" s="546">
        <v>1450</v>
      </c>
      <c r="I49" s="587">
        <v>1</v>
      </c>
      <c r="J49" s="304">
        <v>1450</v>
      </c>
      <c r="K49" s="304">
        <v>1450</v>
      </c>
      <c r="L49" s="304">
        <v>1450</v>
      </c>
      <c r="M49" s="304">
        <v>1450</v>
      </c>
      <c r="N49" s="304">
        <v>1450</v>
      </c>
      <c r="O49" s="304">
        <v>1450</v>
      </c>
      <c r="P49" s="304">
        <v>1450</v>
      </c>
      <c r="Q49" s="304">
        <v>1450</v>
      </c>
      <c r="R49" s="304">
        <v>1450</v>
      </c>
      <c r="S49" s="304">
        <v>1450</v>
      </c>
      <c r="T49" s="304">
        <v>1450</v>
      </c>
      <c r="U49" s="304">
        <v>1450</v>
      </c>
      <c r="V49" s="304">
        <f>SUM(J49:U49)</f>
        <v>17400</v>
      </c>
      <c r="W49" s="9"/>
      <c r="X49" s="297">
        <v>1</v>
      </c>
      <c r="Y49" s="297">
        <v>1</v>
      </c>
      <c r="Z49" s="297">
        <v>1</v>
      </c>
      <c r="AA49" s="297">
        <v>1</v>
      </c>
      <c r="AB49" s="297">
        <v>1</v>
      </c>
      <c r="AC49" s="297">
        <v>1</v>
      </c>
      <c r="AD49" s="297">
        <v>1</v>
      </c>
      <c r="AE49" s="297">
        <v>1</v>
      </c>
      <c r="AF49" s="297">
        <v>1</v>
      </c>
      <c r="AG49" s="297">
        <v>1</v>
      </c>
      <c r="AH49" s="297">
        <v>1</v>
      </c>
      <c r="AI49" s="297">
        <v>1</v>
      </c>
      <c r="AJ49" s="99">
        <f t="shared" si="5"/>
        <v>12</v>
      </c>
      <c r="AK49" s="141"/>
      <c r="AL49" s="613">
        <f t="shared" si="22"/>
        <v>1.25</v>
      </c>
      <c r="AM49" s="613">
        <f t="shared" si="23"/>
        <v>1.25</v>
      </c>
      <c r="AN49" s="613">
        <f t="shared" si="24"/>
        <v>1.25</v>
      </c>
      <c r="AO49" s="613">
        <f t="shared" si="25"/>
        <v>1.25</v>
      </c>
      <c r="AP49" s="613">
        <f t="shared" si="26"/>
        <v>1.25</v>
      </c>
      <c r="AQ49" s="613">
        <f t="shared" si="27"/>
        <v>1.25</v>
      </c>
      <c r="AR49" s="613">
        <f t="shared" si="28"/>
        <v>1.25</v>
      </c>
      <c r="AS49" s="613">
        <f t="shared" si="29"/>
        <v>1.25</v>
      </c>
      <c r="AT49" s="613">
        <f t="shared" si="30"/>
        <v>1.25</v>
      </c>
      <c r="AU49" s="613">
        <f t="shared" si="31"/>
        <v>1.25</v>
      </c>
      <c r="AV49" s="613">
        <f t="shared" si="32"/>
        <v>1.25</v>
      </c>
      <c r="AW49" s="613">
        <f t="shared" si="33"/>
        <v>1.25</v>
      </c>
      <c r="AX49" s="99">
        <f t="shared" si="6"/>
        <v>15</v>
      </c>
      <c r="AY49" s="99">
        <f t="shared" si="7"/>
        <v>1.25</v>
      </c>
      <c r="AZ49" s="141"/>
      <c r="BA49" s="99">
        <f>AY49/'2. Headcount Buildup'!$D$36</f>
        <v>8.3333333333333329E-2</v>
      </c>
      <c r="BB49" s="99">
        <f>AY49/'2. Headcount Buildup'!$D$37</f>
        <v>2.5000000000000001E-2</v>
      </c>
      <c r="BC49" s="99">
        <f>AY49/'2. Headcount Buildup'!$D$38</f>
        <v>1.2500000000000001E-2</v>
      </c>
      <c r="BD49" s="99">
        <f>AY49/'2. Headcount Buildup'!$D$43</f>
        <v>1.2500000000000001E-2</v>
      </c>
      <c r="BE49" s="99">
        <f>(SUM('2. Headcount Buildup'!$F$44:$Q$44)/12)*('Base Revenue'!$AY49/'Base Revenue'!$AY$61)</f>
        <v>2.4271585795471007E-2</v>
      </c>
      <c r="BF49" s="99">
        <f>(SUM('2. Headcount Buildup'!$F$45:$Q$45)/12)*('Base Revenue'!$AY49/'Base Revenue'!$AY$61)</f>
        <v>4.0452642992451673E-2</v>
      </c>
      <c r="BG49" s="99">
        <f>(SUM('2. Headcount Buildup'!$F$46:$Q$46)/12)*('Base Revenue'!$AY49/'Base Revenue'!$AY$61)</f>
        <v>6.472422878792268E-2</v>
      </c>
      <c r="BH49" s="99">
        <f t="shared" si="8"/>
        <v>0.26278179090917869</v>
      </c>
      <c r="BI49" s="141"/>
      <c r="BK49" s="14" t="s">
        <v>813</v>
      </c>
      <c r="BL49" s="102"/>
      <c r="BM49" s="103"/>
      <c r="BN49" s="14">
        <f t="shared" si="53"/>
        <v>0</v>
      </c>
    </row>
    <row r="50" spans="1:66" x14ac:dyDescent="0.35">
      <c r="A50" s="295"/>
      <c r="B50" s="295" t="s">
        <v>117</v>
      </c>
      <c r="C50" s="296" t="s">
        <v>813</v>
      </c>
      <c r="D50" s="16"/>
      <c r="E50" s="296" t="s">
        <v>814</v>
      </c>
      <c r="F50" s="542" t="s">
        <v>43</v>
      </c>
      <c r="G50" s="542">
        <v>400</v>
      </c>
      <c r="H50" s="546">
        <v>18</v>
      </c>
      <c r="I50" s="587">
        <v>352</v>
      </c>
      <c r="J50" s="304">
        <v>6336</v>
      </c>
      <c r="K50" s="304">
        <v>6336</v>
      </c>
      <c r="L50" s="304">
        <v>6336</v>
      </c>
      <c r="M50" s="304">
        <v>6336</v>
      </c>
      <c r="N50" s="304">
        <v>6336</v>
      </c>
      <c r="O50" s="304">
        <v>6336</v>
      </c>
      <c r="P50" s="304">
        <v>6336</v>
      </c>
      <c r="Q50" s="304">
        <v>6336</v>
      </c>
      <c r="R50" s="304">
        <v>6336</v>
      </c>
      <c r="S50" s="304">
        <v>6336</v>
      </c>
      <c r="T50" s="304">
        <v>6336</v>
      </c>
      <c r="U50" s="304">
        <v>6336</v>
      </c>
      <c r="V50" s="304">
        <f>SUM(J50:U50)</f>
        <v>76032</v>
      </c>
      <c r="W50" s="9"/>
      <c r="X50" s="613">
        <f>'Base FTE'!$I81</f>
        <v>3.4285714285714287E-2</v>
      </c>
      <c r="Y50" s="613">
        <f>'Base FTE'!$I81</f>
        <v>3.4285714285714287E-2</v>
      </c>
      <c r="Z50" s="613">
        <f>'Base FTE'!$I81</f>
        <v>3.4285714285714287E-2</v>
      </c>
      <c r="AA50" s="613">
        <f>'Base FTE'!$I81</f>
        <v>3.4285714285714287E-2</v>
      </c>
      <c r="AB50" s="613">
        <f>'Base FTE'!$I81</f>
        <v>3.4285714285714287E-2</v>
      </c>
      <c r="AC50" s="613">
        <f>'Base FTE'!$I81</f>
        <v>3.4285714285714287E-2</v>
      </c>
      <c r="AD50" s="613">
        <f>'Base FTE'!$I81</f>
        <v>3.4285714285714287E-2</v>
      </c>
      <c r="AE50" s="613">
        <f>'Base FTE'!$I81</f>
        <v>3.4285714285714287E-2</v>
      </c>
      <c r="AF50" s="613">
        <f>'Base FTE'!$I81</f>
        <v>3.4285714285714287E-2</v>
      </c>
      <c r="AG50" s="613">
        <f>'Base FTE'!$I81</f>
        <v>3.4285714285714287E-2</v>
      </c>
      <c r="AH50" s="613">
        <f>'Base FTE'!$I81</f>
        <v>3.4285714285714287E-2</v>
      </c>
      <c r="AI50" s="613">
        <f>'Base FTE'!$I81</f>
        <v>3.4285714285714287E-2</v>
      </c>
      <c r="AJ50" s="99">
        <f t="shared" si="5"/>
        <v>0.41142857142857153</v>
      </c>
      <c r="AK50" s="141"/>
      <c r="AL50" s="613">
        <f t="shared" si="22"/>
        <v>4.2857142857142858E-2</v>
      </c>
      <c r="AM50" s="613">
        <f t="shared" si="23"/>
        <v>4.2857142857142858E-2</v>
      </c>
      <c r="AN50" s="613">
        <f t="shared" si="24"/>
        <v>4.2857142857142858E-2</v>
      </c>
      <c r="AO50" s="613">
        <f t="shared" si="25"/>
        <v>4.2857142857142858E-2</v>
      </c>
      <c r="AP50" s="613">
        <f t="shared" si="26"/>
        <v>4.2857142857142858E-2</v>
      </c>
      <c r="AQ50" s="613">
        <f t="shared" si="27"/>
        <v>4.2857142857142858E-2</v>
      </c>
      <c r="AR50" s="613">
        <f t="shared" si="28"/>
        <v>4.2857142857142858E-2</v>
      </c>
      <c r="AS50" s="613">
        <f t="shared" si="29"/>
        <v>4.2857142857142858E-2</v>
      </c>
      <c r="AT50" s="613">
        <f t="shared" si="30"/>
        <v>4.2857142857142858E-2</v>
      </c>
      <c r="AU50" s="613">
        <f t="shared" si="31"/>
        <v>4.2857142857142858E-2</v>
      </c>
      <c r="AV50" s="613">
        <f t="shared" si="32"/>
        <v>4.2857142857142858E-2</v>
      </c>
      <c r="AW50" s="613">
        <f t="shared" si="33"/>
        <v>4.2857142857142858E-2</v>
      </c>
      <c r="AX50" s="99">
        <f t="shared" si="6"/>
        <v>0.51428571428571435</v>
      </c>
      <c r="AY50" s="99">
        <f t="shared" si="7"/>
        <v>4.2857142857142864E-2</v>
      </c>
      <c r="AZ50" s="141"/>
      <c r="BA50" s="99">
        <f>AY50/'2. Headcount Buildup'!$D$36</f>
        <v>2.8571428571428576E-3</v>
      </c>
      <c r="BB50" s="99">
        <f>AY50/'2. Headcount Buildup'!$D$37</f>
        <v>8.5714285714285732E-4</v>
      </c>
      <c r="BC50" s="99">
        <f>AY50/'2. Headcount Buildup'!$D$38</f>
        <v>4.2857142857142866E-4</v>
      </c>
      <c r="BD50" s="99">
        <f>AY50/'2. Headcount Buildup'!$D$43</f>
        <v>4.2857142857142866E-4</v>
      </c>
      <c r="BE50" s="99">
        <f>(SUM('2. Headcount Buildup'!$F$44:$Q$44)/12)*('Base Revenue'!$AY50/'Base Revenue'!$AY$61)</f>
        <v>8.3216865584472032E-4</v>
      </c>
      <c r="BF50" s="99">
        <f>(SUM('2. Headcount Buildup'!$F$45:$Q$45)/12)*('Base Revenue'!$AY50/'Base Revenue'!$AY$61)</f>
        <v>1.3869477597412004E-3</v>
      </c>
      <c r="BG50" s="99">
        <f>(SUM('2. Headcount Buildup'!$F$46:$Q$46)/12)*('Base Revenue'!$AY50/'Base Revenue'!$AY$61)</f>
        <v>2.2191164155859209E-3</v>
      </c>
      <c r="BH50" s="99">
        <f t="shared" si="8"/>
        <v>9.0096614026004135E-3</v>
      </c>
      <c r="BI50" s="141"/>
      <c r="BK50" s="14" t="s">
        <v>815</v>
      </c>
      <c r="BL50" s="102"/>
      <c r="BM50" s="103"/>
      <c r="BN50" s="14">
        <f t="shared" si="53"/>
        <v>0</v>
      </c>
    </row>
    <row r="51" spans="1:66" x14ac:dyDescent="0.35">
      <c r="A51" s="295"/>
      <c r="B51" s="295" t="s">
        <v>117</v>
      </c>
      <c r="C51" s="296" t="s">
        <v>815</v>
      </c>
      <c r="D51" s="16"/>
      <c r="E51" s="296" t="s">
        <v>121</v>
      </c>
      <c r="F51" s="542" t="s">
        <v>43</v>
      </c>
      <c r="G51" s="542">
        <v>70</v>
      </c>
      <c r="H51" s="546">
        <v>1.35</v>
      </c>
      <c r="I51" s="587">
        <v>3500</v>
      </c>
      <c r="J51" s="304">
        <v>4725</v>
      </c>
      <c r="K51" s="304">
        <v>4725</v>
      </c>
      <c r="L51" s="304">
        <v>4725</v>
      </c>
      <c r="M51" s="304">
        <v>4725</v>
      </c>
      <c r="N51" s="304">
        <v>4725</v>
      </c>
      <c r="O51" s="304">
        <v>4725</v>
      </c>
      <c r="P51" s="304">
        <v>4725</v>
      </c>
      <c r="Q51" s="304">
        <v>4725</v>
      </c>
      <c r="R51" s="304">
        <v>4725</v>
      </c>
      <c r="S51" s="304">
        <v>4725</v>
      </c>
      <c r="T51" s="304">
        <v>4725</v>
      </c>
      <c r="U51" s="304">
        <v>4725</v>
      </c>
      <c r="V51" s="304">
        <f t="shared" ref="V51:V60" si="57">SUM(J51:U51)</f>
        <v>56700</v>
      </c>
      <c r="W51" s="9"/>
      <c r="X51" s="613">
        <f>$I51/$G51/21</f>
        <v>2.3809523809523809</v>
      </c>
      <c r="Y51" s="613">
        <f t="shared" ref="Y51:AI51" si="58">$I51/$G51/21</f>
        <v>2.3809523809523809</v>
      </c>
      <c r="Z51" s="613">
        <f t="shared" si="58"/>
        <v>2.3809523809523809</v>
      </c>
      <c r="AA51" s="613">
        <f t="shared" si="58"/>
        <v>2.3809523809523809</v>
      </c>
      <c r="AB51" s="613">
        <f t="shared" si="58"/>
        <v>2.3809523809523809</v>
      </c>
      <c r="AC51" s="613">
        <f t="shared" si="58"/>
        <v>2.3809523809523809</v>
      </c>
      <c r="AD51" s="613">
        <f t="shared" si="58"/>
        <v>2.3809523809523809</v>
      </c>
      <c r="AE51" s="613">
        <f t="shared" si="58"/>
        <v>2.3809523809523809</v>
      </c>
      <c r="AF51" s="613">
        <f t="shared" si="58"/>
        <v>2.3809523809523809</v>
      </c>
      <c r="AG51" s="613">
        <f t="shared" si="58"/>
        <v>2.3809523809523809</v>
      </c>
      <c r="AH51" s="613">
        <f t="shared" si="58"/>
        <v>2.3809523809523809</v>
      </c>
      <c r="AI51" s="613">
        <f t="shared" si="58"/>
        <v>2.3809523809523809</v>
      </c>
      <c r="AJ51" s="99">
        <f t="shared" si="5"/>
        <v>28.571428571428566</v>
      </c>
      <c r="AK51" s="141"/>
      <c r="AL51" s="613">
        <f t="shared" si="22"/>
        <v>2.9761904761904758</v>
      </c>
      <c r="AM51" s="613">
        <f t="shared" si="23"/>
        <v>2.9761904761904758</v>
      </c>
      <c r="AN51" s="613">
        <f t="shared" si="24"/>
        <v>2.9761904761904758</v>
      </c>
      <c r="AO51" s="613">
        <f t="shared" si="25"/>
        <v>2.9761904761904758</v>
      </c>
      <c r="AP51" s="613">
        <f t="shared" si="26"/>
        <v>2.9761904761904758</v>
      </c>
      <c r="AQ51" s="613">
        <f t="shared" si="27"/>
        <v>2.9761904761904758</v>
      </c>
      <c r="AR51" s="613">
        <f t="shared" si="28"/>
        <v>2.9761904761904758</v>
      </c>
      <c r="AS51" s="613">
        <f t="shared" si="29"/>
        <v>2.9761904761904758</v>
      </c>
      <c r="AT51" s="613">
        <f t="shared" si="30"/>
        <v>2.9761904761904758</v>
      </c>
      <c r="AU51" s="613">
        <f t="shared" si="31"/>
        <v>2.9761904761904758</v>
      </c>
      <c r="AV51" s="613">
        <f t="shared" si="32"/>
        <v>2.9761904761904758</v>
      </c>
      <c r="AW51" s="613">
        <f t="shared" si="33"/>
        <v>2.9761904761904758</v>
      </c>
      <c r="AX51" s="99">
        <f t="shared" si="6"/>
        <v>35.714285714285701</v>
      </c>
      <c r="AY51" s="99">
        <f t="shared" si="7"/>
        <v>2.9761904761904749</v>
      </c>
      <c r="AZ51" s="141"/>
      <c r="BA51" s="99">
        <f>AY51/'2. Headcount Buildup'!$D$36</f>
        <v>0.19841269841269832</v>
      </c>
      <c r="BB51" s="99">
        <f>AY51/'2. Headcount Buildup'!$D$37</f>
        <v>5.95238095238095E-2</v>
      </c>
      <c r="BC51" s="99">
        <f>AY51/'2. Headcount Buildup'!$D$38</f>
        <v>2.976190476190475E-2</v>
      </c>
      <c r="BD51" s="99">
        <f>AY51/'2. Headcount Buildup'!$D$43</f>
        <v>2.976190476190475E-2</v>
      </c>
      <c r="BE51" s="99">
        <f>(SUM('2. Headcount Buildup'!$F$44:$Q$44)/12)*('Base Revenue'!$AY51/'Base Revenue'!$AY$61)</f>
        <v>5.7789489989216652E-2</v>
      </c>
      <c r="BF51" s="99">
        <f>(SUM('2. Headcount Buildup'!$F$45:$Q$45)/12)*('Base Revenue'!$AY51/'Base Revenue'!$AY$61)</f>
        <v>9.631581664869443E-2</v>
      </c>
      <c r="BG51" s="99">
        <f>(SUM('2. Headcount Buildup'!$F$46:$Q$46)/12)*('Base Revenue'!$AY51/'Base Revenue'!$AY$61)</f>
        <v>0.15410530663791108</v>
      </c>
      <c r="BH51" s="99">
        <f t="shared" si="8"/>
        <v>0.62567093073613944</v>
      </c>
      <c r="BI51" s="141"/>
      <c r="BK51" s="14" t="s">
        <v>781</v>
      </c>
      <c r="BL51" s="102"/>
      <c r="BM51" s="103"/>
      <c r="BN51" s="14">
        <f t="shared" si="53"/>
        <v>0</v>
      </c>
    </row>
    <row r="52" spans="1:66" x14ac:dyDescent="0.35">
      <c r="A52" s="295"/>
      <c r="B52" s="295" t="s">
        <v>117</v>
      </c>
      <c r="C52" s="296" t="s">
        <v>781</v>
      </c>
      <c r="D52" s="16"/>
      <c r="E52" s="296" t="s">
        <v>93</v>
      </c>
      <c r="F52" s="542" t="s">
        <v>62</v>
      </c>
      <c r="G52" s="542">
        <v>25</v>
      </c>
      <c r="H52" s="546">
        <v>0.38</v>
      </c>
      <c r="I52" s="587">
        <v>30975</v>
      </c>
      <c r="J52" s="304">
        <v>11770.5</v>
      </c>
      <c r="K52" s="304">
        <v>11770.5</v>
      </c>
      <c r="L52" s="304">
        <v>11770.5</v>
      </c>
      <c r="M52" s="304">
        <v>11770.5</v>
      </c>
      <c r="N52" s="304">
        <v>11770.5</v>
      </c>
      <c r="O52" s="304">
        <v>11770.5</v>
      </c>
      <c r="P52" s="304">
        <v>11770.5</v>
      </c>
      <c r="Q52" s="304">
        <v>11770.5</v>
      </c>
      <c r="R52" s="304">
        <v>11770.5</v>
      </c>
      <c r="S52" s="304">
        <v>11770.5</v>
      </c>
      <c r="T52" s="304">
        <v>11770.5</v>
      </c>
      <c r="U52" s="304">
        <v>11770.5</v>
      </c>
      <c r="V52" s="304">
        <f t="shared" si="57"/>
        <v>141246</v>
      </c>
      <c r="W52" s="9"/>
      <c r="X52" s="297">
        <v>5</v>
      </c>
      <c r="Y52" s="297">
        <v>5</v>
      </c>
      <c r="Z52" s="297">
        <v>5</v>
      </c>
      <c r="AA52" s="297">
        <v>5</v>
      </c>
      <c r="AB52" s="297">
        <v>5</v>
      </c>
      <c r="AC52" s="297">
        <v>5</v>
      </c>
      <c r="AD52" s="297">
        <v>5</v>
      </c>
      <c r="AE52" s="297">
        <v>5</v>
      </c>
      <c r="AF52" s="297">
        <v>5</v>
      </c>
      <c r="AG52" s="297">
        <v>5</v>
      </c>
      <c r="AH52" s="297">
        <v>5</v>
      </c>
      <c r="AI52" s="297">
        <v>5</v>
      </c>
      <c r="AJ52" s="99">
        <f t="shared" si="5"/>
        <v>60</v>
      </c>
      <c r="AK52" s="141"/>
      <c r="AL52" s="613">
        <f t="shared" si="22"/>
        <v>6.25</v>
      </c>
      <c r="AM52" s="613">
        <f t="shared" si="23"/>
        <v>6.25</v>
      </c>
      <c r="AN52" s="613">
        <f t="shared" si="24"/>
        <v>6.25</v>
      </c>
      <c r="AO52" s="613">
        <f t="shared" si="25"/>
        <v>6.25</v>
      </c>
      <c r="AP52" s="613">
        <f t="shared" si="26"/>
        <v>6.25</v>
      </c>
      <c r="AQ52" s="613">
        <f t="shared" si="27"/>
        <v>6.25</v>
      </c>
      <c r="AR52" s="613">
        <f t="shared" si="28"/>
        <v>6.25</v>
      </c>
      <c r="AS52" s="613">
        <f t="shared" si="29"/>
        <v>6.25</v>
      </c>
      <c r="AT52" s="613">
        <f t="shared" si="30"/>
        <v>6.25</v>
      </c>
      <c r="AU52" s="613">
        <f t="shared" si="31"/>
        <v>6.25</v>
      </c>
      <c r="AV52" s="613">
        <f t="shared" si="32"/>
        <v>6.25</v>
      </c>
      <c r="AW52" s="613">
        <f t="shared" si="33"/>
        <v>6.25</v>
      </c>
      <c r="AX52" s="99">
        <f t="shared" si="6"/>
        <v>75</v>
      </c>
      <c r="AY52" s="99">
        <f t="shared" si="7"/>
        <v>6.25</v>
      </c>
      <c r="AZ52" s="141"/>
      <c r="BA52" s="99">
        <f>AY52/'2. Headcount Buildup'!$D$36</f>
        <v>0.41666666666666669</v>
      </c>
      <c r="BB52" s="99">
        <f>AY52/'2. Headcount Buildup'!$D$37</f>
        <v>0.125</v>
      </c>
      <c r="BC52" s="99">
        <f>AY52/'2. Headcount Buildup'!$D$38</f>
        <v>6.25E-2</v>
      </c>
      <c r="BD52" s="99">
        <f>AY52/'2. Headcount Buildup'!$D$43</f>
        <v>6.25E-2</v>
      </c>
      <c r="BE52" s="99">
        <f>(SUM('2. Headcount Buildup'!$F$44:$Q$44)/12)*('Base Revenue'!$AY52/'Base Revenue'!$AY$61)</f>
        <v>0.12135792897735503</v>
      </c>
      <c r="BF52" s="99">
        <f>(SUM('2. Headcount Buildup'!$F$45:$Q$45)/12)*('Base Revenue'!$AY52/'Base Revenue'!$AY$61)</f>
        <v>0.20226321496225841</v>
      </c>
      <c r="BG52" s="99">
        <f>(SUM('2. Headcount Buildup'!$F$46:$Q$46)/12)*('Base Revenue'!$AY52/'Base Revenue'!$AY$61)</f>
        <v>0.32362114393961344</v>
      </c>
      <c r="BH52" s="99">
        <f t="shared" si="8"/>
        <v>1.3139089545458935</v>
      </c>
      <c r="BI52" s="141"/>
      <c r="BK52" s="14" t="s">
        <v>817</v>
      </c>
      <c r="BL52" s="102"/>
      <c r="BM52" s="103"/>
      <c r="BN52" s="14">
        <f t="shared" si="53"/>
        <v>0</v>
      </c>
    </row>
    <row r="53" spans="1:66" x14ac:dyDescent="0.35">
      <c r="A53" s="295"/>
      <c r="B53" s="295" t="s">
        <v>117</v>
      </c>
      <c r="C53" s="296" t="s">
        <v>781</v>
      </c>
      <c r="D53" s="16"/>
      <c r="E53" s="296" t="s">
        <v>852</v>
      </c>
      <c r="F53" s="542" t="s">
        <v>62</v>
      </c>
      <c r="G53" s="542">
        <v>120</v>
      </c>
      <c r="H53" s="546">
        <v>1675</v>
      </c>
      <c r="I53" s="587">
        <v>1</v>
      </c>
      <c r="J53" s="304">
        <v>1675</v>
      </c>
      <c r="K53" s="304"/>
      <c r="L53" s="304"/>
      <c r="M53" s="304"/>
      <c r="N53" s="304"/>
      <c r="O53" s="304"/>
      <c r="P53" s="304"/>
      <c r="Q53" s="304"/>
      <c r="R53" s="304"/>
      <c r="S53" s="304"/>
      <c r="T53" s="304"/>
      <c r="U53" s="304"/>
      <c r="V53" s="304">
        <f t="shared" si="57"/>
        <v>1675</v>
      </c>
      <c r="W53" s="9"/>
      <c r="X53" s="297">
        <v>1</v>
      </c>
      <c r="Y53" s="297"/>
      <c r="Z53" s="297"/>
      <c r="AA53" s="297"/>
      <c r="AB53" s="297"/>
      <c r="AC53" s="297"/>
      <c r="AD53" s="297"/>
      <c r="AE53" s="297"/>
      <c r="AF53" s="297"/>
      <c r="AG53" s="297"/>
      <c r="AH53" s="297"/>
      <c r="AI53" s="297"/>
      <c r="AJ53" s="99">
        <f t="shared" si="5"/>
        <v>1</v>
      </c>
      <c r="AK53" s="141"/>
      <c r="AL53" s="613">
        <f t="shared" si="22"/>
        <v>1.25</v>
      </c>
      <c r="AM53" s="613">
        <f t="shared" si="23"/>
        <v>0</v>
      </c>
      <c r="AN53" s="613">
        <f t="shared" si="24"/>
        <v>0</v>
      </c>
      <c r="AO53" s="613">
        <f t="shared" si="25"/>
        <v>0</v>
      </c>
      <c r="AP53" s="613">
        <f t="shared" si="26"/>
        <v>0</v>
      </c>
      <c r="AQ53" s="613">
        <f t="shared" si="27"/>
        <v>0</v>
      </c>
      <c r="AR53" s="613">
        <f t="shared" si="28"/>
        <v>0</v>
      </c>
      <c r="AS53" s="613">
        <f t="shared" si="29"/>
        <v>0</v>
      </c>
      <c r="AT53" s="613">
        <f t="shared" si="30"/>
        <v>0</v>
      </c>
      <c r="AU53" s="613">
        <f t="shared" si="31"/>
        <v>0</v>
      </c>
      <c r="AV53" s="613">
        <f t="shared" si="32"/>
        <v>0</v>
      </c>
      <c r="AW53" s="613">
        <f t="shared" si="33"/>
        <v>0</v>
      </c>
      <c r="AX53" s="99">
        <f t="shared" si="6"/>
        <v>1.25</v>
      </c>
      <c r="AY53" s="99">
        <f t="shared" si="7"/>
        <v>0.10416666666666667</v>
      </c>
      <c r="AZ53" s="141"/>
      <c r="BA53" s="99">
        <f>AY53/'2. Headcount Buildup'!$D$36</f>
        <v>6.9444444444444449E-3</v>
      </c>
      <c r="BB53" s="99">
        <f>AY53/'2. Headcount Buildup'!$D$37</f>
        <v>2.0833333333333333E-3</v>
      </c>
      <c r="BC53" s="99">
        <f>AY53/'2. Headcount Buildup'!$D$38</f>
        <v>1.0416666666666667E-3</v>
      </c>
      <c r="BD53" s="99">
        <f>AY53/'2. Headcount Buildup'!$D$43</f>
        <v>1.0416666666666667E-3</v>
      </c>
      <c r="BE53" s="99">
        <f>(SUM('2. Headcount Buildup'!$F$44:$Q$44)/12)*('Base Revenue'!$AY53/'Base Revenue'!$AY$61)</f>
        <v>2.0226321496225842E-3</v>
      </c>
      <c r="BF53" s="99">
        <f>(SUM('2. Headcount Buildup'!$F$45:$Q$45)/12)*('Base Revenue'!$AY53/'Base Revenue'!$AY$61)</f>
        <v>3.3710535827043064E-3</v>
      </c>
      <c r="BG53" s="99">
        <f>(SUM('2. Headcount Buildup'!$F$46:$Q$46)/12)*('Base Revenue'!$AY53/'Base Revenue'!$AY$61)</f>
        <v>5.3936857323268906E-3</v>
      </c>
      <c r="BH53" s="99">
        <f t="shared" si="8"/>
        <v>2.1898482575764891E-2</v>
      </c>
      <c r="BI53" s="141"/>
      <c r="BK53" s="14" t="s">
        <v>843</v>
      </c>
      <c r="BL53" s="102"/>
      <c r="BM53" s="103"/>
      <c r="BN53" s="14">
        <f t="shared" si="53"/>
        <v>0</v>
      </c>
    </row>
    <row r="54" spans="1:66" x14ac:dyDescent="0.35">
      <c r="A54" s="295"/>
      <c r="B54" s="295" t="s">
        <v>117</v>
      </c>
      <c r="C54" s="296" t="s">
        <v>781</v>
      </c>
      <c r="D54" s="16"/>
      <c r="E54" s="296" t="s">
        <v>43</v>
      </c>
      <c r="F54" s="542" t="s">
        <v>43</v>
      </c>
      <c r="G54" s="542"/>
      <c r="H54" s="546">
        <v>1250</v>
      </c>
      <c r="I54" s="587">
        <v>4</v>
      </c>
      <c r="J54" s="304"/>
      <c r="K54" s="304">
        <f>$I$54*$H$54</f>
        <v>5000</v>
      </c>
      <c r="L54" s="304"/>
      <c r="M54" s="304"/>
      <c r="N54" s="304"/>
      <c r="O54" s="304"/>
      <c r="P54" s="304"/>
      <c r="Q54" s="304"/>
      <c r="R54" s="304"/>
      <c r="S54" s="304"/>
      <c r="T54" s="304"/>
      <c r="U54" s="304"/>
      <c r="V54" s="304">
        <f t="shared" si="57"/>
        <v>5000</v>
      </c>
      <c r="W54" s="9"/>
      <c r="X54" s="297"/>
      <c r="Y54" s="297"/>
      <c r="Z54" s="297"/>
      <c r="AA54" s="297"/>
      <c r="AB54" s="297"/>
      <c r="AC54" s="297"/>
      <c r="AD54" s="297"/>
      <c r="AE54" s="297"/>
      <c r="AF54" s="297"/>
      <c r="AG54" s="297"/>
      <c r="AH54" s="297"/>
      <c r="AI54" s="297"/>
      <c r="AJ54" s="99"/>
      <c r="AK54" s="141"/>
      <c r="AL54" s="613"/>
      <c r="AM54" s="613"/>
      <c r="AN54" s="613"/>
      <c r="AO54" s="613"/>
      <c r="AP54" s="613"/>
      <c r="AQ54" s="613"/>
      <c r="AR54" s="613"/>
      <c r="AS54" s="613"/>
      <c r="AT54" s="613"/>
      <c r="AU54" s="613"/>
      <c r="AV54" s="613"/>
      <c r="AW54" s="613"/>
      <c r="AX54" s="99"/>
      <c r="AY54" s="99"/>
      <c r="AZ54" s="141"/>
      <c r="BA54" s="99"/>
      <c r="BB54" s="99"/>
      <c r="BC54" s="99"/>
      <c r="BD54" s="99"/>
      <c r="BE54" s="99"/>
      <c r="BF54" s="99"/>
      <c r="BG54" s="99"/>
      <c r="BH54" s="99"/>
      <c r="BI54" s="141"/>
      <c r="BK54" s="14"/>
      <c r="BL54" s="102"/>
      <c r="BM54" s="103"/>
      <c r="BN54" s="14"/>
    </row>
    <row r="55" spans="1:66" x14ac:dyDescent="0.35">
      <c r="A55" s="295"/>
      <c r="B55" s="295" t="s">
        <v>1665</v>
      </c>
      <c r="C55" s="296" t="s">
        <v>781</v>
      </c>
      <c r="D55" s="16"/>
      <c r="E55" s="296" t="s">
        <v>1667</v>
      </c>
      <c r="F55" s="542" t="s">
        <v>62</v>
      </c>
      <c r="G55" s="542"/>
      <c r="H55" s="546"/>
      <c r="I55" s="587"/>
      <c r="J55" s="304"/>
      <c r="K55" s="304">
        <v>800</v>
      </c>
      <c r="L55" s="304">
        <v>800</v>
      </c>
      <c r="M55" s="304">
        <v>800</v>
      </c>
      <c r="N55" s="304">
        <v>800</v>
      </c>
      <c r="O55" s="304">
        <v>800</v>
      </c>
      <c r="P55" s="304">
        <v>800</v>
      </c>
      <c r="Q55" s="304">
        <v>800</v>
      </c>
      <c r="R55" s="304">
        <v>800</v>
      </c>
      <c r="S55" s="304">
        <v>800</v>
      </c>
      <c r="T55" s="304">
        <v>800</v>
      </c>
      <c r="U55" s="304">
        <v>800</v>
      </c>
      <c r="V55" s="304">
        <f t="shared" ref="V55:V56" si="59">SUM(J55:U55)</f>
        <v>8800</v>
      </c>
      <c r="W55" s="9"/>
      <c r="X55" s="297"/>
      <c r="Y55" s="297"/>
      <c r="Z55" s="297"/>
      <c r="AA55" s="297"/>
      <c r="AB55" s="297"/>
      <c r="AC55" s="297"/>
      <c r="AD55" s="297"/>
      <c r="AE55" s="297"/>
      <c r="AF55" s="297"/>
      <c r="AG55" s="297"/>
      <c r="AH55" s="297"/>
      <c r="AI55" s="297"/>
      <c r="AJ55" s="99"/>
      <c r="AK55" s="141"/>
      <c r="AL55" s="613"/>
      <c r="AM55" s="613"/>
      <c r="AN55" s="613"/>
      <c r="AO55" s="613"/>
      <c r="AP55" s="613"/>
      <c r="AQ55" s="613"/>
      <c r="AR55" s="613"/>
      <c r="AS55" s="613"/>
      <c r="AT55" s="613"/>
      <c r="AU55" s="613"/>
      <c r="AV55" s="613"/>
      <c r="AW55" s="613"/>
      <c r="AX55" s="99"/>
      <c r="AY55" s="99"/>
      <c r="AZ55" s="141"/>
      <c r="BA55" s="99"/>
      <c r="BB55" s="99"/>
      <c r="BC55" s="99"/>
      <c r="BD55" s="99"/>
      <c r="BE55" s="99"/>
      <c r="BF55" s="99"/>
      <c r="BG55" s="99"/>
      <c r="BH55" s="99"/>
      <c r="BI55" s="141"/>
      <c r="BK55" s="14"/>
      <c r="BL55" s="102"/>
      <c r="BM55" s="103"/>
      <c r="BN55" s="14"/>
    </row>
    <row r="56" spans="1:66" x14ac:dyDescent="0.35">
      <c r="A56" s="295"/>
      <c r="B56" s="295" t="s">
        <v>1665</v>
      </c>
      <c r="C56" s="296" t="s">
        <v>781</v>
      </c>
      <c r="D56" s="16"/>
      <c r="E56" s="296" t="s">
        <v>1668</v>
      </c>
      <c r="F56" s="542" t="s">
        <v>62</v>
      </c>
      <c r="G56" s="542"/>
      <c r="H56" s="546">
        <v>1250</v>
      </c>
      <c r="I56" s="587">
        <v>3</v>
      </c>
      <c r="J56" s="304"/>
      <c r="K56" s="304">
        <f>H56*I56</f>
        <v>3750</v>
      </c>
      <c r="L56" s="304"/>
      <c r="M56" s="304"/>
      <c r="N56" s="304"/>
      <c r="O56" s="304"/>
      <c r="P56" s="304"/>
      <c r="Q56" s="304"/>
      <c r="R56" s="304"/>
      <c r="S56" s="304"/>
      <c r="T56" s="304"/>
      <c r="U56" s="304"/>
      <c r="V56" s="304">
        <f t="shared" si="59"/>
        <v>3750</v>
      </c>
      <c r="W56" s="9"/>
      <c r="X56" s="297"/>
      <c r="Y56" s="297"/>
      <c r="Z56" s="297"/>
      <c r="AA56" s="297"/>
      <c r="AB56" s="297"/>
      <c r="AC56" s="297"/>
      <c r="AD56" s="297"/>
      <c r="AE56" s="297"/>
      <c r="AF56" s="297"/>
      <c r="AG56" s="297"/>
      <c r="AH56" s="297"/>
      <c r="AI56" s="297"/>
      <c r="AJ56" s="99"/>
      <c r="AK56" s="141"/>
      <c r="AL56" s="613"/>
      <c r="AM56" s="613"/>
      <c r="AN56" s="613"/>
      <c r="AO56" s="613"/>
      <c r="AP56" s="613"/>
      <c r="AQ56" s="613"/>
      <c r="AR56" s="613"/>
      <c r="AS56" s="613"/>
      <c r="AT56" s="613"/>
      <c r="AU56" s="613"/>
      <c r="AV56" s="613"/>
      <c r="AW56" s="613"/>
      <c r="AX56" s="99"/>
      <c r="AY56" s="99"/>
      <c r="AZ56" s="141"/>
      <c r="BA56" s="99"/>
      <c r="BB56" s="99"/>
      <c r="BC56" s="99"/>
      <c r="BD56" s="99"/>
      <c r="BE56" s="99"/>
      <c r="BF56" s="99"/>
      <c r="BG56" s="99"/>
      <c r="BH56" s="99"/>
      <c r="BI56" s="141"/>
      <c r="BK56" s="14"/>
      <c r="BL56" s="102"/>
      <c r="BM56" s="103"/>
      <c r="BN56" s="14"/>
    </row>
    <row r="57" spans="1:66" x14ac:dyDescent="0.35">
      <c r="A57" s="295"/>
      <c r="B57" s="295" t="s">
        <v>117</v>
      </c>
      <c r="C57" s="296" t="s">
        <v>817</v>
      </c>
      <c r="D57" s="16"/>
      <c r="E57" s="296" t="s">
        <v>101</v>
      </c>
      <c r="F57" s="542" t="s">
        <v>43</v>
      </c>
      <c r="G57" s="542">
        <v>40</v>
      </c>
      <c r="H57" s="546">
        <v>1300</v>
      </c>
      <c r="I57" s="587">
        <v>2</v>
      </c>
      <c r="J57" s="304">
        <v>2600</v>
      </c>
      <c r="K57" s="304">
        <v>2600</v>
      </c>
      <c r="L57" s="304">
        <v>2600</v>
      </c>
      <c r="M57" s="304">
        <v>2600</v>
      </c>
      <c r="N57" s="304">
        <v>2600</v>
      </c>
      <c r="O57" s="304">
        <v>2600</v>
      </c>
      <c r="P57" s="304">
        <v>2600</v>
      </c>
      <c r="Q57" s="304">
        <v>2600</v>
      </c>
      <c r="R57" s="304">
        <v>2600</v>
      </c>
      <c r="S57" s="304">
        <v>2600</v>
      </c>
      <c r="T57" s="304">
        <v>2600</v>
      </c>
      <c r="U57" s="304">
        <v>2600</v>
      </c>
      <c r="V57" s="304">
        <f t="shared" si="57"/>
        <v>31200</v>
      </c>
      <c r="W57" s="9"/>
      <c r="X57" s="613">
        <f>'Base FTE'!$I85</f>
        <v>2</v>
      </c>
      <c r="Y57" s="613">
        <f>'Base FTE'!$I85</f>
        <v>2</v>
      </c>
      <c r="Z57" s="613">
        <f>'Base FTE'!$I85</f>
        <v>2</v>
      </c>
      <c r="AA57" s="613">
        <f>'Base FTE'!$I85</f>
        <v>2</v>
      </c>
      <c r="AB57" s="613">
        <f>'Base FTE'!$I85</f>
        <v>2</v>
      </c>
      <c r="AC57" s="613">
        <f>'Base FTE'!$I85</f>
        <v>2</v>
      </c>
      <c r="AD57" s="613">
        <f>'Base FTE'!$I85</f>
        <v>2</v>
      </c>
      <c r="AE57" s="613">
        <f>'Base FTE'!$I85</f>
        <v>2</v>
      </c>
      <c r="AF57" s="613">
        <f>'Base FTE'!$I85</f>
        <v>2</v>
      </c>
      <c r="AG57" s="613">
        <f>'Base FTE'!$I85</f>
        <v>2</v>
      </c>
      <c r="AH57" s="613">
        <f>'Base FTE'!$I85</f>
        <v>2</v>
      </c>
      <c r="AI57" s="613">
        <f>'Base FTE'!$I85</f>
        <v>2</v>
      </c>
      <c r="AJ57" s="99">
        <f t="shared" si="5"/>
        <v>24</v>
      </c>
      <c r="AK57" s="141"/>
      <c r="AL57" s="613">
        <f t="shared" si="22"/>
        <v>2.5</v>
      </c>
      <c r="AM57" s="613">
        <f t="shared" si="23"/>
        <v>2.5</v>
      </c>
      <c r="AN57" s="613">
        <f t="shared" si="24"/>
        <v>2.5</v>
      </c>
      <c r="AO57" s="613">
        <f t="shared" si="25"/>
        <v>2.5</v>
      </c>
      <c r="AP57" s="613">
        <f t="shared" si="26"/>
        <v>2.5</v>
      </c>
      <c r="AQ57" s="613">
        <f t="shared" si="27"/>
        <v>2.5</v>
      </c>
      <c r="AR57" s="613">
        <f t="shared" si="28"/>
        <v>2.5</v>
      </c>
      <c r="AS57" s="613">
        <f t="shared" si="29"/>
        <v>2.5</v>
      </c>
      <c r="AT57" s="613">
        <f t="shared" si="30"/>
        <v>2.5</v>
      </c>
      <c r="AU57" s="613">
        <f t="shared" si="31"/>
        <v>2.5</v>
      </c>
      <c r="AV57" s="613">
        <f t="shared" si="32"/>
        <v>2.5</v>
      </c>
      <c r="AW57" s="613">
        <f t="shared" si="33"/>
        <v>2.5</v>
      </c>
      <c r="AX57" s="99">
        <f t="shared" si="6"/>
        <v>30</v>
      </c>
      <c r="AY57" s="99">
        <f t="shared" si="7"/>
        <v>2.5</v>
      </c>
      <c r="AZ57" s="141"/>
      <c r="BA57" s="99">
        <f>AY57/'2. Headcount Buildup'!$D$36</f>
        <v>0.16666666666666666</v>
      </c>
      <c r="BB57" s="99">
        <f>AY57/'2. Headcount Buildup'!$D$37</f>
        <v>0.05</v>
      </c>
      <c r="BC57" s="99">
        <f>AY57/'2. Headcount Buildup'!$D$38</f>
        <v>2.5000000000000001E-2</v>
      </c>
      <c r="BD57" s="99">
        <f>AY57/'2. Headcount Buildup'!$D$43</f>
        <v>2.5000000000000001E-2</v>
      </c>
      <c r="BE57" s="99">
        <f>(SUM('2. Headcount Buildup'!$F$44:$Q$44)/12)*('Base Revenue'!$AY57/'Base Revenue'!$AY$61)</f>
        <v>4.8543171590942014E-2</v>
      </c>
      <c r="BF57" s="99">
        <f>(SUM('2. Headcount Buildup'!$F$45:$Q$45)/12)*('Base Revenue'!$AY57/'Base Revenue'!$AY$61)</f>
        <v>8.0905285984903347E-2</v>
      </c>
      <c r="BG57" s="99">
        <f>(SUM('2. Headcount Buildup'!$F$46:$Q$46)/12)*('Base Revenue'!$AY57/'Base Revenue'!$AY$61)</f>
        <v>0.12944845757584536</v>
      </c>
      <c r="BH57" s="99">
        <f t="shared" si="8"/>
        <v>0.52556358181835738</v>
      </c>
      <c r="BI57" s="141"/>
      <c r="BK57" s="14"/>
      <c r="BL57" s="102"/>
      <c r="BM57" s="103"/>
      <c r="BN57" s="14">
        <f t="shared" si="53"/>
        <v>0</v>
      </c>
    </row>
    <row r="58" spans="1:66" x14ac:dyDescent="0.35">
      <c r="A58" s="295"/>
      <c r="B58" s="295" t="s">
        <v>117</v>
      </c>
      <c r="C58" s="296" t="s">
        <v>817</v>
      </c>
      <c r="D58" s="16"/>
      <c r="E58" s="296" t="s">
        <v>818</v>
      </c>
      <c r="F58" s="542" t="s">
        <v>43</v>
      </c>
      <c r="G58" s="542">
        <v>40</v>
      </c>
      <c r="H58" s="546">
        <v>200</v>
      </c>
      <c r="I58" s="587">
        <v>5</v>
      </c>
      <c r="J58" s="304">
        <v>1000</v>
      </c>
      <c r="K58" s="304">
        <v>1000</v>
      </c>
      <c r="L58" s="304">
        <v>1000</v>
      </c>
      <c r="M58" s="304">
        <v>1000</v>
      </c>
      <c r="N58" s="304">
        <v>1000</v>
      </c>
      <c r="O58" s="304">
        <v>1000</v>
      </c>
      <c r="P58" s="304">
        <v>1000</v>
      </c>
      <c r="Q58" s="304">
        <v>1000</v>
      </c>
      <c r="R58" s="304">
        <v>1000</v>
      </c>
      <c r="S58" s="304">
        <v>1000</v>
      </c>
      <c r="T58" s="304">
        <v>1000</v>
      </c>
      <c r="U58" s="304">
        <v>1000</v>
      </c>
      <c r="V58" s="304">
        <f t="shared" si="57"/>
        <v>12000</v>
      </c>
      <c r="W58" s="9"/>
      <c r="X58" s="613">
        <f>'Base FTE'!$I84</f>
        <v>0.75</v>
      </c>
      <c r="Y58" s="613">
        <f>'Base FTE'!$I84</f>
        <v>0.75</v>
      </c>
      <c r="Z58" s="613">
        <f>'Base FTE'!$I84</f>
        <v>0.75</v>
      </c>
      <c r="AA58" s="613">
        <f>'Base FTE'!$I84</f>
        <v>0.75</v>
      </c>
      <c r="AB58" s="613">
        <f>'Base FTE'!$I84</f>
        <v>0.75</v>
      </c>
      <c r="AC58" s="613">
        <f>'Base FTE'!$I84</f>
        <v>0.75</v>
      </c>
      <c r="AD58" s="613">
        <f>'Base FTE'!$I84</f>
        <v>0.75</v>
      </c>
      <c r="AE58" s="613">
        <f>'Base FTE'!$I84</f>
        <v>0.75</v>
      </c>
      <c r="AF58" s="613">
        <f>'Base FTE'!$I84</f>
        <v>0.75</v>
      </c>
      <c r="AG58" s="613">
        <f>'Base FTE'!$I84</f>
        <v>0.75</v>
      </c>
      <c r="AH58" s="613">
        <f>'Base FTE'!$I84</f>
        <v>0.75</v>
      </c>
      <c r="AI58" s="613">
        <f>'Base FTE'!$I84</f>
        <v>0.75</v>
      </c>
      <c r="AJ58" s="99">
        <f t="shared" si="5"/>
        <v>9</v>
      </c>
      <c r="AK58" s="141"/>
      <c r="AL58" s="613">
        <f t="shared" si="22"/>
        <v>0.9375</v>
      </c>
      <c r="AM58" s="613">
        <f t="shared" si="23"/>
        <v>0.9375</v>
      </c>
      <c r="AN58" s="613">
        <f t="shared" si="24"/>
        <v>0.9375</v>
      </c>
      <c r="AO58" s="613">
        <f t="shared" si="25"/>
        <v>0.9375</v>
      </c>
      <c r="AP58" s="613">
        <f t="shared" si="26"/>
        <v>0.9375</v>
      </c>
      <c r="AQ58" s="613">
        <f t="shared" si="27"/>
        <v>0.9375</v>
      </c>
      <c r="AR58" s="613">
        <f t="shared" si="28"/>
        <v>0.9375</v>
      </c>
      <c r="AS58" s="613">
        <f t="shared" si="29"/>
        <v>0.9375</v>
      </c>
      <c r="AT58" s="613">
        <f t="shared" si="30"/>
        <v>0.9375</v>
      </c>
      <c r="AU58" s="613">
        <f t="shared" si="31"/>
        <v>0.9375</v>
      </c>
      <c r="AV58" s="613">
        <f t="shared" si="32"/>
        <v>0.9375</v>
      </c>
      <c r="AW58" s="613">
        <f t="shared" si="33"/>
        <v>0.9375</v>
      </c>
      <c r="AX58" s="99">
        <f t="shared" si="6"/>
        <v>11.25</v>
      </c>
      <c r="AY58" s="99">
        <f t="shared" si="7"/>
        <v>0.9375</v>
      </c>
      <c r="AZ58" s="141"/>
      <c r="BA58" s="99">
        <f>AY58/'2. Headcount Buildup'!$D$36</f>
        <v>6.25E-2</v>
      </c>
      <c r="BB58" s="99">
        <f>AY58/'2. Headcount Buildup'!$D$37</f>
        <v>1.8749999999999999E-2</v>
      </c>
      <c r="BC58" s="99">
        <f>AY58/'2. Headcount Buildup'!$D$38</f>
        <v>9.3749999999999997E-3</v>
      </c>
      <c r="BD58" s="99">
        <f>AY58/'2. Headcount Buildup'!$D$43</f>
        <v>9.3749999999999997E-3</v>
      </c>
      <c r="BE58" s="99">
        <f>(SUM('2. Headcount Buildup'!$F$44:$Q$44)/12)*('Base Revenue'!$AY58/'Base Revenue'!$AY$61)</f>
        <v>1.8203689346603255E-2</v>
      </c>
      <c r="BF58" s="99">
        <f>(SUM('2. Headcount Buildup'!$F$45:$Q$45)/12)*('Base Revenue'!$AY58/'Base Revenue'!$AY$61)</f>
        <v>3.0339482244338759E-2</v>
      </c>
      <c r="BG58" s="99">
        <f>(SUM('2. Headcount Buildup'!$F$46:$Q$46)/12)*('Base Revenue'!$AY58/'Base Revenue'!$AY$61)</f>
        <v>4.8543171590942014E-2</v>
      </c>
      <c r="BH58" s="99">
        <f t="shared" si="8"/>
        <v>0.19708634318188401</v>
      </c>
      <c r="BI58" s="141"/>
      <c r="BK58" s="14" t="s">
        <v>174</v>
      </c>
      <c r="BL58" s="102">
        <f>SUM(BL31:BL57)</f>
        <v>0</v>
      </c>
      <c r="BM58" s="103">
        <f>SUM(BM31:BM57)</f>
        <v>0</v>
      </c>
      <c r="BN58" s="14">
        <f>IFERROR(BL58/BM58,0)</f>
        <v>0</v>
      </c>
    </row>
    <row r="59" spans="1:66" x14ac:dyDescent="0.35">
      <c r="A59" s="295"/>
      <c r="B59" s="295" t="s">
        <v>117</v>
      </c>
      <c r="C59" s="296" t="s">
        <v>799</v>
      </c>
      <c r="D59" s="16"/>
      <c r="E59" s="296" t="s">
        <v>801</v>
      </c>
      <c r="F59" s="542" t="s">
        <v>43</v>
      </c>
      <c r="G59" s="542">
        <v>24</v>
      </c>
      <c r="H59" s="546">
        <v>1450</v>
      </c>
      <c r="I59" s="587">
        <v>1</v>
      </c>
      <c r="J59" s="304">
        <v>1450</v>
      </c>
      <c r="K59" s="304">
        <f>1450*50%</f>
        <v>725</v>
      </c>
      <c r="L59" s="304">
        <v>0</v>
      </c>
      <c r="M59" s="304">
        <v>0</v>
      </c>
      <c r="N59" s="304">
        <v>0</v>
      </c>
      <c r="O59" s="304">
        <v>0</v>
      </c>
      <c r="P59" s="304">
        <v>0</v>
      </c>
      <c r="Q59" s="304">
        <v>0</v>
      </c>
      <c r="R59" s="304">
        <v>0</v>
      </c>
      <c r="S59" s="304">
        <v>0</v>
      </c>
      <c r="T59" s="304">
        <v>0</v>
      </c>
      <c r="U59" s="304">
        <v>0</v>
      </c>
      <c r="V59" s="304">
        <f t="shared" si="57"/>
        <v>2175</v>
      </c>
      <c r="W59" s="9"/>
      <c r="X59" s="613">
        <f>'Base FTE'!$I49</f>
        <v>2</v>
      </c>
      <c r="Y59" s="613">
        <f>'Base FTE'!$I49</f>
        <v>2</v>
      </c>
      <c r="Z59" s="613">
        <f>'Base FTE'!$I49</f>
        <v>2</v>
      </c>
      <c r="AA59" s="613">
        <f>'Base FTE'!$I49</f>
        <v>2</v>
      </c>
      <c r="AB59" s="613">
        <f>'Base FTE'!$I49</f>
        <v>2</v>
      </c>
      <c r="AC59" s="613">
        <f>'Base FTE'!$I49</f>
        <v>2</v>
      </c>
      <c r="AD59" s="613">
        <f>'Base FTE'!$I49</f>
        <v>2</v>
      </c>
      <c r="AE59" s="613">
        <f>'Base FTE'!$I49</f>
        <v>2</v>
      </c>
      <c r="AF59" s="613">
        <f>'Base FTE'!$I49</f>
        <v>2</v>
      </c>
      <c r="AG59" s="613">
        <f>'Base FTE'!$I49</f>
        <v>2</v>
      </c>
      <c r="AH59" s="613">
        <f>'Base FTE'!$I49</f>
        <v>2</v>
      </c>
      <c r="AI59" s="613">
        <f>'Base FTE'!$I49</f>
        <v>2</v>
      </c>
      <c r="AJ59" s="99">
        <f t="shared" si="5"/>
        <v>24</v>
      </c>
      <c r="AK59" s="141"/>
      <c r="AL59" s="613">
        <f t="shared" si="22"/>
        <v>2.5</v>
      </c>
      <c r="AM59" s="613">
        <f t="shared" si="23"/>
        <v>2.5</v>
      </c>
      <c r="AN59" s="613">
        <f t="shared" si="24"/>
        <v>2.5</v>
      </c>
      <c r="AO59" s="613">
        <f t="shared" si="25"/>
        <v>2.5</v>
      </c>
      <c r="AP59" s="613">
        <f t="shared" si="26"/>
        <v>2.5</v>
      </c>
      <c r="AQ59" s="613">
        <f t="shared" si="27"/>
        <v>2.5</v>
      </c>
      <c r="AR59" s="613">
        <f t="shared" si="28"/>
        <v>2.5</v>
      </c>
      <c r="AS59" s="613">
        <f t="shared" si="29"/>
        <v>2.5</v>
      </c>
      <c r="AT59" s="613">
        <f t="shared" si="30"/>
        <v>2.5</v>
      </c>
      <c r="AU59" s="613">
        <f t="shared" si="31"/>
        <v>2.5</v>
      </c>
      <c r="AV59" s="613">
        <f t="shared" si="32"/>
        <v>2.5</v>
      </c>
      <c r="AW59" s="613">
        <f t="shared" si="33"/>
        <v>2.5</v>
      </c>
      <c r="AX59" s="99">
        <f t="shared" si="6"/>
        <v>30</v>
      </c>
      <c r="AY59" s="99">
        <f t="shared" si="7"/>
        <v>2.5</v>
      </c>
      <c r="AZ59" s="141"/>
      <c r="BA59" s="99">
        <f>AY59/'2. Headcount Buildup'!$D$36</f>
        <v>0.16666666666666666</v>
      </c>
      <c r="BB59" s="99">
        <f>AY59/'2. Headcount Buildup'!$D$37</f>
        <v>0.05</v>
      </c>
      <c r="BC59" s="99">
        <f>AY59/'2. Headcount Buildup'!$D$38</f>
        <v>2.5000000000000001E-2</v>
      </c>
      <c r="BD59" s="99">
        <f>AY59/'2. Headcount Buildup'!$D$43</f>
        <v>2.5000000000000001E-2</v>
      </c>
      <c r="BE59" s="99">
        <f>(SUM('2. Headcount Buildup'!$F$44:$Q$44)/12)*('Base Revenue'!$AY59/'Base Revenue'!$AY$61)</f>
        <v>4.8543171590942014E-2</v>
      </c>
      <c r="BF59" s="99">
        <f>(SUM('2. Headcount Buildup'!$F$45:$Q$45)/12)*('Base Revenue'!$AY59/'Base Revenue'!$AY$61)</f>
        <v>8.0905285984903347E-2</v>
      </c>
      <c r="BG59" s="99">
        <f>(SUM('2. Headcount Buildup'!$F$46:$Q$46)/12)*('Base Revenue'!$AY59/'Base Revenue'!$AY$61)</f>
        <v>0.12944845757584536</v>
      </c>
      <c r="BH59" s="99">
        <f t="shared" si="8"/>
        <v>0.52556358181835738</v>
      </c>
      <c r="BI59" s="141"/>
      <c r="BK59" s="14"/>
      <c r="BL59" s="102"/>
      <c r="BM59" s="103"/>
      <c r="BN59" s="14"/>
    </row>
    <row r="60" spans="1:66" x14ac:dyDescent="0.35">
      <c r="A60" s="591"/>
      <c r="B60" s="591" t="s">
        <v>117</v>
      </c>
      <c r="C60" s="592" t="s">
        <v>843</v>
      </c>
      <c r="D60" s="16"/>
      <c r="E60" s="592" t="s">
        <v>818</v>
      </c>
      <c r="F60" s="542"/>
      <c r="G60" s="542"/>
      <c r="H60" s="546">
        <v>200</v>
      </c>
      <c r="I60" s="587">
        <v>0</v>
      </c>
      <c r="J60" s="304">
        <f t="shared" ref="J60" si="60">$H60*$I60</f>
        <v>0</v>
      </c>
      <c r="K60" s="304">
        <f t="shared" ref="K60" si="61">J60</f>
        <v>0</v>
      </c>
      <c r="L60" s="304">
        <f t="shared" ref="L60" si="62">K60</f>
        <v>0</v>
      </c>
      <c r="M60" s="304">
        <f t="shared" ref="M60" si="63">L60</f>
        <v>0</v>
      </c>
      <c r="N60" s="304">
        <f t="shared" ref="N60" si="64">M60</f>
        <v>0</v>
      </c>
      <c r="O60" s="304">
        <f t="shared" ref="O60" si="65">N60</f>
        <v>0</v>
      </c>
      <c r="P60" s="304">
        <f t="shared" ref="P60" si="66">O60</f>
        <v>0</v>
      </c>
      <c r="Q60" s="304">
        <f t="shared" ref="Q60" si="67">P60</f>
        <v>0</v>
      </c>
      <c r="R60" s="304">
        <f t="shared" ref="R60" si="68">Q60</f>
        <v>0</v>
      </c>
      <c r="S60" s="304">
        <f t="shared" ref="S60" si="69">R60</f>
        <v>0</v>
      </c>
      <c r="T60" s="304">
        <f t="shared" ref="T60" si="70">S60</f>
        <v>0</v>
      </c>
      <c r="U60" s="304">
        <f t="shared" ref="U60" si="71">T60</f>
        <v>0</v>
      </c>
      <c r="V60" s="304">
        <f t="shared" si="57"/>
        <v>0</v>
      </c>
      <c r="W60" s="9"/>
      <c r="X60" s="297"/>
      <c r="Y60" s="297"/>
      <c r="Z60" s="297"/>
      <c r="AA60" s="297"/>
      <c r="AB60" s="297"/>
      <c r="AC60" s="297"/>
      <c r="AD60" s="297"/>
      <c r="AE60" s="297"/>
      <c r="AF60" s="297"/>
      <c r="AG60" s="297"/>
      <c r="AH60" s="297"/>
      <c r="AI60" s="297"/>
      <c r="AJ60" s="99">
        <f t="shared" si="5"/>
        <v>0</v>
      </c>
      <c r="AK60" s="141"/>
      <c r="AL60" s="613"/>
      <c r="AM60" s="613"/>
      <c r="AN60" s="613"/>
      <c r="AO60" s="613"/>
      <c r="AP60" s="613"/>
      <c r="AQ60" s="613"/>
      <c r="AR60" s="613"/>
      <c r="AS60" s="613"/>
      <c r="AT60" s="613"/>
      <c r="AU60" s="613"/>
      <c r="AV60" s="613"/>
      <c r="AW60" s="613"/>
      <c r="AX60" s="99">
        <f t="shared" si="6"/>
        <v>0</v>
      </c>
      <c r="AY60" s="99">
        <f t="shared" si="7"/>
        <v>0</v>
      </c>
      <c r="AZ60" s="141"/>
      <c r="BA60" s="99">
        <f>AY60/'2. Headcount Buildup'!$D$36</f>
        <v>0</v>
      </c>
      <c r="BB60" s="99">
        <f>AY60/'2. Headcount Buildup'!$D$37</f>
        <v>0</v>
      </c>
      <c r="BC60" s="99">
        <f>AY60/'2. Headcount Buildup'!$D$38</f>
        <v>0</v>
      </c>
      <c r="BD60" s="99">
        <f>AY60/'2. Headcount Buildup'!$D$43</f>
        <v>0</v>
      </c>
      <c r="BE60" s="99">
        <f>(SUM('2. Headcount Buildup'!$F$44:$Q$44)/12)*('Base Revenue'!$AY60/'Base Revenue'!$AY$61)</f>
        <v>0</v>
      </c>
      <c r="BF60" s="99">
        <f>(SUM('2. Headcount Buildup'!$F$45:$Q$45)/12)*('Base Revenue'!$AY60/'Base Revenue'!$AY$61)</f>
        <v>0</v>
      </c>
      <c r="BG60" s="99">
        <f>(SUM('2. Headcount Buildup'!$F$46:$Q$46)/12)*('Base Revenue'!$AY60/'Base Revenue'!$AY$61)</f>
        <v>0</v>
      </c>
      <c r="BH60" s="99">
        <f t="shared" si="8"/>
        <v>0</v>
      </c>
      <c r="BI60" s="141"/>
      <c r="BK60" s="14" t="s">
        <v>39</v>
      </c>
      <c r="BL60" s="102" t="s">
        <v>838</v>
      </c>
      <c r="BM60" s="103" t="s">
        <v>131</v>
      </c>
      <c r="BN60" s="14" t="s">
        <v>9</v>
      </c>
    </row>
    <row r="61" spans="1:66" x14ac:dyDescent="0.35">
      <c r="A61" s="591"/>
      <c r="B61" s="591"/>
      <c r="C61" s="591" t="s">
        <v>174</v>
      </c>
      <c r="D61" s="16"/>
      <c r="E61" s="592"/>
      <c r="F61" s="542"/>
      <c r="G61" s="542"/>
      <c r="H61" s="546"/>
      <c r="I61" s="587"/>
      <c r="J61" s="304">
        <f t="shared" ref="J61:U61" si="72">SUM(J6:J60)</f>
        <v>232184.62</v>
      </c>
      <c r="K61" s="304">
        <f t="shared" si="72"/>
        <v>244265.5</v>
      </c>
      <c r="L61" s="304">
        <f t="shared" si="72"/>
        <v>230847.86</v>
      </c>
      <c r="M61" s="304">
        <f t="shared" si="72"/>
        <v>198603.86</v>
      </c>
      <c r="N61" s="304">
        <f t="shared" si="72"/>
        <v>194015.5</v>
      </c>
      <c r="O61" s="304">
        <f t="shared" si="72"/>
        <v>198603.86</v>
      </c>
      <c r="P61" s="304">
        <f t="shared" si="72"/>
        <v>198603.86</v>
      </c>
      <c r="Q61" s="304">
        <f t="shared" si="72"/>
        <v>196937.7</v>
      </c>
      <c r="R61" s="304">
        <f t="shared" si="72"/>
        <v>196937.7</v>
      </c>
      <c r="S61" s="304">
        <f t="shared" si="72"/>
        <v>198603.86</v>
      </c>
      <c r="T61" s="304">
        <f t="shared" si="72"/>
        <v>195569.5</v>
      </c>
      <c r="U61" s="304">
        <f t="shared" si="72"/>
        <v>198603.86</v>
      </c>
      <c r="V61" s="304">
        <f>SUM(V6:V60)</f>
        <v>2483777.6799999997</v>
      </c>
      <c r="W61" s="9"/>
      <c r="X61" s="44">
        <f t="shared" ref="X61:AJ61" si="73">SUM(X6:X60)</f>
        <v>128.70131823606636</v>
      </c>
      <c r="Y61" s="44">
        <f t="shared" si="73"/>
        <v>132.20131823606636</v>
      </c>
      <c r="Z61" s="44">
        <f t="shared" si="73"/>
        <v>122.23131823606636</v>
      </c>
      <c r="AA61" s="44">
        <f>SUM(AA6:AA60)</f>
        <v>122.23131823606636</v>
      </c>
      <c r="AB61" s="44">
        <f t="shared" si="73"/>
        <v>122.23131823606636</v>
      </c>
      <c r="AC61" s="44">
        <f t="shared" si="73"/>
        <v>122.23131823606636</v>
      </c>
      <c r="AD61" s="44">
        <f t="shared" si="73"/>
        <v>122.23131823606636</v>
      </c>
      <c r="AE61" s="44">
        <f t="shared" si="73"/>
        <v>122.23131823606636</v>
      </c>
      <c r="AF61" s="44">
        <f t="shared" si="73"/>
        <v>122.23131823606636</v>
      </c>
      <c r="AG61" s="44">
        <f t="shared" si="73"/>
        <v>122.23131823606636</v>
      </c>
      <c r="AH61" s="44">
        <f t="shared" si="73"/>
        <v>122.23131823606636</v>
      </c>
      <c r="AI61" s="44">
        <f t="shared" si="73"/>
        <v>122.23131823606636</v>
      </c>
      <c r="AJ61" s="304">
        <f t="shared" si="73"/>
        <v>1483.2158188327965</v>
      </c>
      <c r="AK61" s="659"/>
      <c r="AL61" s="44">
        <f t="shared" ref="AL61:AZ61" si="74">SUM(AL6:AL60)</f>
        <v>160.87664779508293</v>
      </c>
      <c r="AM61" s="44">
        <f t="shared" si="74"/>
        <v>165.25164779508293</v>
      </c>
      <c r="AN61" s="44">
        <f t="shared" si="74"/>
        <v>152.78914779508295</v>
      </c>
      <c r="AO61" s="44">
        <f t="shared" si="74"/>
        <v>152.78914779508295</v>
      </c>
      <c r="AP61" s="44">
        <f t="shared" si="74"/>
        <v>152.78914779508295</v>
      </c>
      <c r="AQ61" s="44">
        <f t="shared" si="74"/>
        <v>152.78914779508295</v>
      </c>
      <c r="AR61" s="44">
        <f t="shared" si="74"/>
        <v>152.78914779508295</v>
      </c>
      <c r="AS61" s="44">
        <f t="shared" si="74"/>
        <v>152.78914779508295</v>
      </c>
      <c r="AT61" s="44">
        <f t="shared" si="74"/>
        <v>152.78914779508295</v>
      </c>
      <c r="AU61" s="44">
        <f t="shared" si="74"/>
        <v>152.78914779508295</v>
      </c>
      <c r="AV61" s="44">
        <f t="shared" si="74"/>
        <v>152.78914779508295</v>
      </c>
      <c r="AW61" s="44">
        <f t="shared" si="74"/>
        <v>152.78914779508295</v>
      </c>
      <c r="AX61" s="304">
        <f t="shared" si="74"/>
        <v>1854.0197735409952</v>
      </c>
      <c r="AY61" s="304">
        <f t="shared" si="74"/>
        <v>154.50164779508296</v>
      </c>
      <c r="AZ61" s="304">
        <f t="shared" si="74"/>
        <v>0</v>
      </c>
      <c r="BA61" s="304">
        <f t="shared" ref="BA61:BG61" si="75">ROUNDUP(SUM(BA6:BA60),0)</f>
        <v>11</v>
      </c>
      <c r="BB61" s="304">
        <f t="shared" si="75"/>
        <v>4</v>
      </c>
      <c r="BC61" s="304">
        <f t="shared" si="75"/>
        <v>2</v>
      </c>
      <c r="BD61" s="304">
        <f t="shared" si="75"/>
        <v>2</v>
      </c>
      <c r="BE61" s="304">
        <f t="shared" si="75"/>
        <v>3</v>
      </c>
      <c r="BF61" s="304">
        <f t="shared" si="75"/>
        <v>5</v>
      </c>
      <c r="BG61" s="304">
        <f t="shared" si="75"/>
        <v>8</v>
      </c>
      <c r="BH61" s="99">
        <f t="shared" si="8"/>
        <v>35</v>
      </c>
      <c r="BI61" s="659"/>
      <c r="BK61" s="14" t="s">
        <v>790</v>
      </c>
      <c r="BL61" s="102"/>
      <c r="BM61" s="103"/>
      <c r="BN61" s="14">
        <f>IFERROR(BL61/BM61,0)</f>
        <v>0</v>
      </c>
    </row>
    <row r="62" spans="1:66" x14ac:dyDescent="0.35">
      <c r="E62" s="140"/>
      <c r="P62" s="67"/>
      <c r="W62" s="9"/>
      <c r="BK62" s="14" t="s">
        <v>782</v>
      </c>
      <c r="BL62" s="102"/>
      <c r="BM62" s="103"/>
      <c r="BN62" s="14">
        <f t="shared" ref="BN62:BN80" si="76">IFERROR(BL62/BM62,0)</f>
        <v>0</v>
      </c>
    </row>
    <row r="63" spans="1:66" x14ac:dyDescent="0.35">
      <c r="E63" s="140"/>
      <c r="L63" s="67"/>
      <c r="M63" s="67"/>
      <c r="W63" s="9"/>
      <c r="AN63" s="216"/>
      <c r="BK63" s="14" t="s">
        <v>802</v>
      </c>
      <c r="BL63" s="102"/>
      <c r="BM63" s="103"/>
      <c r="BN63" s="14">
        <f t="shared" si="76"/>
        <v>0</v>
      </c>
    </row>
    <row r="64" spans="1:66" x14ac:dyDescent="0.35">
      <c r="E64" s="140"/>
      <c r="W64" s="9"/>
      <c r="BK64" s="14" t="s">
        <v>798</v>
      </c>
      <c r="BL64" s="102"/>
      <c r="BM64" s="103"/>
      <c r="BN64" s="14">
        <f t="shared" si="76"/>
        <v>0</v>
      </c>
    </row>
    <row r="65" spans="5:66" x14ac:dyDescent="0.35">
      <c r="E65" s="301"/>
      <c r="BK65" s="14" t="s">
        <v>764</v>
      </c>
      <c r="BL65" s="102"/>
      <c r="BM65" s="103"/>
      <c r="BN65" s="14">
        <f t="shared" si="76"/>
        <v>0</v>
      </c>
    </row>
    <row r="66" spans="5:66" x14ac:dyDescent="0.35">
      <c r="E66" s="301"/>
      <c r="BK66" s="14" t="s">
        <v>839</v>
      </c>
      <c r="BL66" s="102"/>
      <c r="BM66" s="103"/>
      <c r="BN66" s="14">
        <f t="shared" si="76"/>
        <v>0</v>
      </c>
    </row>
    <row r="67" spans="5:66" x14ac:dyDescent="0.35">
      <c r="E67" s="300"/>
      <c r="BK67" s="14" t="s">
        <v>794</v>
      </c>
      <c r="BL67" s="102"/>
      <c r="BM67" s="103"/>
      <c r="BN67" s="14">
        <f t="shared" si="76"/>
        <v>0</v>
      </c>
    </row>
    <row r="68" spans="5:66" x14ac:dyDescent="0.35">
      <c r="E68" s="300"/>
      <c r="BK68" s="14" t="s">
        <v>91</v>
      </c>
      <c r="BL68" s="102"/>
      <c r="BM68" s="103"/>
      <c r="BN68" s="14">
        <f t="shared" si="76"/>
        <v>0</v>
      </c>
    </row>
    <row r="69" spans="5:66" x14ac:dyDescent="0.35">
      <c r="E69" s="300"/>
      <c r="BK69" s="14" t="s">
        <v>804</v>
      </c>
      <c r="BL69" s="102"/>
      <c r="BM69" s="103"/>
      <c r="BN69" s="14">
        <f t="shared" si="76"/>
        <v>0</v>
      </c>
    </row>
    <row r="70" spans="5:66" x14ac:dyDescent="0.35">
      <c r="E70" s="301"/>
      <c r="BK70" s="14" t="s">
        <v>799</v>
      </c>
      <c r="BL70" s="102"/>
      <c r="BM70" s="103"/>
      <c r="BN70" s="14">
        <f t="shared" si="76"/>
        <v>0</v>
      </c>
    </row>
    <row r="71" spans="5:66" x14ac:dyDescent="0.35">
      <c r="E71" s="301"/>
      <c r="BK71" s="14" t="s">
        <v>810</v>
      </c>
      <c r="BL71" s="102"/>
      <c r="BM71" s="103"/>
      <c r="BN71" s="14">
        <f t="shared" si="76"/>
        <v>0</v>
      </c>
    </row>
    <row r="72" spans="5:66" x14ac:dyDescent="0.35">
      <c r="E72" s="301"/>
      <c r="BK72" s="14" t="s">
        <v>811</v>
      </c>
      <c r="BL72" s="102"/>
      <c r="BM72" s="103"/>
      <c r="BN72" s="14">
        <f t="shared" si="76"/>
        <v>0</v>
      </c>
    </row>
    <row r="73" spans="5:66" x14ac:dyDescent="0.35">
      <c r="E73" s="301"/>
      <c r="BK73" s="14" t="s">
        <v>809</v>
      </c>
      <c r="BL73" s="102"/>
      <c r="BM73" s="103"/>
      <c r="BN73" s="14">
        <f t="shared" si="76"/>
        <v>0</v>
      </c>
    </row>
    <row r="74" spans="5:66" x14ac:dyDescent="0.35">
      <c r="E74" s="301"/>
      <c r="BK74" s="14" t="s">
        <v>812</v>
      </c>
      <c r="BL74" s="102"/>
      <c r="BM74" s="103"/>
      <c r="BN74" s="14">
        <f t="shared" si="76"/>
        <v>0</v>
      </c>
    </row>
    <row r="75" spans="5:66" x14ac:dyDescent="0.35">
      <c r="E75" s="300"/>
      <c r="BK75" s="14" t="s">
        <v>793</v>
      </c>
      <c r="BL75" s="102"/>
      <c r="BM75" s="103"/>
      <c r="BN75" s="14">
        <f t="shared" si="76"/>
        <v>0</v>
      </c>
    </row>
    <row r="76" spans="5:66" x14ac:dyDescent="0.35">
      <c r="E76" s="300"/>
      <c r="BK76" s="14" t="s">
        <v>813</v>
      </c>
      <c r="BL76" s="102"/>
      <c r="BM76" s="103"/>
      <c r="BN76" s="14">
        <f t="shared" si="76"/>
        <v>0</v>
      </c>
    </row>
    <row r="77" spans="5:66" x14ac:dyDescent="0.35">
      <c r="E77" s="301"/>
      <c r="BK77" s="14" t="s">
        <v>815</v>
      </c>
      <c r="BL77" s="102"/>
      <c r="BM77" s="103"/>
      <c r="BN77" s="14">
        <f t="shared" si="76"/>
        <v>0</v>
      </c>
    </row>
    <row r="78" spans="5:66" x14ac:dyDescent="0.35">
      <c r="E78" s="300"/>
      <c r="BK78" s="14" t="s">
        <v>781</v>
      </c>
      <c r="BL78" s="102"/>
      <c r="BM78" s="103"/>
      <c r="BN78" s="14">
        <f t="shared" si="76"/>
        <v>0</v>
      </c>
    </row>
    <row r="79" spans="5:66" x14ac:dyDescent="0.35">
      <c r="E79" s="301"/>
      <c r="BK79" s="14" t="s">
        <v>817</v>
      </c>
      <c r="BL79" s="102"/>
      <c r="BM79" s="103"/>
      <c r="BN79" s="14">
        <f t="shared" si="76"/>
        <v>0</v>
      </c>
    </row>
    <row r="80" spans="5:66" x14ac:dyDescent="0.35">
      <c r="E80" s="300"/>
      <c r="BK80" s="14" t="s">
        <v>843</v>
      </c>
      <c r="BL80" s="102"/>
      <c r="BM80" s="103"/>
      <c r="BN80" s="14">
        <f t="shared" si="76"/>
        <v>0</v>
      </c>
    </row>
    <row r="81" spans="5:66" x14ac:dyDescent="0.35">
      <c r="E81" s="301"/>
      <c r="BK81" s="14" t="s">
        <v>174</v>
      </c>
      <c r="BL81" s="102">
        <f>SUM(BL61:BL80)</f>
        <v>0</v>
      </c>
      <c r="BM81" s="103">
        <f>SUM(BM61:BM80)</f>
        <v>0</v>
      </c>
      <c r="BN81" s="14">
        <f>IFERROR(BL81/BM81,0)</f>
        <v>0</v>
      </c>
    </row>
    <row r="82" spans="5:66" x14ac:dyDescent="0.35">
      <c r="E82" s="300"/>
    </row>
    <row r="85" spans="5:66" x14ac:dyDescent="0.35">
      <c r="E85" s="300"/>
    </row>
    <row r="86" spans="5:66" x14ac:dyDescent="0.35">
      <c r="E86" s="301"/>
    </row>
    <row r="87" spans="5:66" x14ac:dyDescent="0.35">
      <c r="E87" s="301"/>
    </row>
    <row r="88" spans="5:66" x14ac:dyDescent="0.35">
      <c r="E88" s="301"/>
    </row>
    <row r="89" spans="5:66" x14ac:dyDescent="0.35">
      <c r="E89" s="301"/>
    </row>
    <row r="90" spans="5:66" x14ac:dyDescent="0.35">
      <c r="E90" s="300"/>
    </row>
    <row r="91" spans="5:66" x14ac:dyDescent="0.35">
      <c r="E91" s="301"/>
    </row>
    <row r="92" spans="5:66" x14ac:dyDescent="0.35">
      <c r="E92" s="300"/>
    </row>
    <row r="93" spans="5:66" x14ac:dyDescent="0.35">
      <c r="E93" s="301"/>
    </row>
    <row r="94" spans="5:66" x14ac:dyDescent="0.35">
      <c r="E94" s="301"/>
    </row>
    <row r="95" spans="5:66" x14ac:dyDescent="0.35">
      <c r="E95" s="301"/>
    </row>
    <row r="96" spans="5:66" x14ac:dyDescent="0.35">
      <c r="E96" s="301"/>
    </row>
    <row r="97" spans="5:5" x14ac:dyDescent="0.35">
      <c r="E97" s="300"/>
    </row>
    <row r="98" spans="5:5" x14ac:dyDescent="0.35">
      <c r="E98" s="300"/>
    </row>
    <row r="99" spans="5:5" x14ac:dyDescent="0.35">
      <c r="E99" s="300"/>
    </row>
    <row r="100" spans="5:5" x14ac:dyDescent="0.35">
      <c r="E100" s="301"/>
    </row>
    <row r="101" spans="5:5" x14ac:dyDescent="0.35">
      <c r="E101" s="300"/>
    </row>
    <row r="102" spans="5:5" x14ac:dyDescent="0.35">
      <c r="E102" s="300"/>
    </row>
    <row r="103" spans="5:5" x14ac:dyDescent="0.35">
      <c r="E103" s="300"/>
    </row>
    <row r="104" spans="5:5" x14ac:dyDescent="0.35">
      <c r="E104" s="301"/>
    </row>
    <row r="105" spans="5:5" x14ac:dyDescent="0.35">
      <c r="E105" s="301"/>
    </row>
    <row r="106" spans="5:5" x14ac:dyDescent="0.35">
      <c r="E106" s="301"/>
    </row>
    <row r="107" spans="5:5" x14ac:dyDescent="0.35">
      <c r="E107" s="301"/>
    </row>
    <row r="108" spans="5:5" x14ac:dyDescent="0.35">
      <c r="E108" s="301"/>
    </row>
    <row r="109" spans="5:5" x14ac:dyDescent="0.35">
      <c r="E109" s="300"/>
    </row>
    <row r="110" spans="5:5" x14ac:dyDescent="0.35">
      <c r="E110" s="300"/>
    </row>
    <row r="111" spans="5:5" x14ac:dyDescent="0.35">
      <c r="E111" s="300"/>
    </row>
    <row r="112" spans="5:5" x14ac:dyDescent="0.35">
      <c r="E112" s="301"/>
    </row>
    <row r="113" spans="5:5" x14ac:dyDescent="0.35">
      <c r="E113" s="301"/>
    </row>
    <row r="114" spans="5:5" x14ac:dyDescent="0.35">
      <c r="E114" s="301"/>
    </row>
    <row r="115" spans="5:5" x14ac:dyDescent="0.35">
      <c r="E115" s="301"/>
    </row>
    <row r="116" spans="5:5" x14ac:dyDescent="0.35">
      <c r="E116" s="301"/>
    </row>
    <row r="117" spans="5:5" x14ac:dyDescent="0.35">
      <c r="E117" s="301"/>
    </row>
    <row r="118" spans="5:5" x14ac:dyDescent="0.35">
      <c r="E118" s="301"/>
    </row>
    <row r="119" spans="5:5" x14ac:dyDescent="0.35">
      <c r="E119" s="301"/>
    </row>
    <row r="120" spans="5:5" x14ac:dyDescent="0.35">
      <c r="E120" s="301"/>
    </row>
    <row r="121" spans="5:5" x14ac:dyDescent="0.35">
      <c r="E121" s="301"/>
    </row>
    <row r="122" spans="5:5" x14ac:dyDescent="0.35">
      <c r="E122" s="301"/>
    </row>
    <row r="123" spans="5:5" x14ac:dyDescent="0.35">
      <c r="E123" s="301"/>
    </row>
    <row r="124" spans="5:5" x14ac:dyDescent="0.35">
      <c r="E124" s="301"/>
    </row>
    <row r="125" spans="5:5" x14ac:dyDescent="0.35">
      <c r="E125" s="301"/>
    </row>
    <row r="126" spans="5:5" x14ac:dyDescent="0.35">
      <c r="E126" s="301"/>
    </row>
    <row r="127" spans="5:5" x14ac:dyDescent="0.35">
      <c r="E127" s="301"/>
    </row>
    <row r="128" spans="5:5" x14ac:dyDescent="0.35">
      <c r="E128" s="301"/>
    </row>
    <row r="129" spans="5:5" x14ac:dyDescent="0.35">
      <c r="E129" s="301"/>
    </row>
    <row r="130" spans="5:5" x14ac:dyDescent="0.35">
      <c r="E130" s="301"/>
    </row>
    <row r="131" spans="5:5" x14ac:dyDescent="0.35">
      <c r="E131" s="300"/>
    </row>
    <row r="132" spans="5:5" x14ac:dyDescent="0.35">
      <c r="E132" s="301"/>
    </row>
    <row r="133" spans="5:5" x14ac:dyDescent="0.35">
      <c r="E133" s="300"/>
    </row>
    <row r="134" spans="5:5" x14ac:dyDescent="0.35">
      <c r="E134" s="301"/>
    </row>
    <row r="135" spans="5:5" x14ac:dyDescent="0.35">
      <c r="E135" s="301"/>
    </row>
    <row r="136" spans="5:5" x14ac:dyDescent="0.35">
      <c r="E136" s="301"/>
    </row>
    <row r="137" spans="5:5" x14ac:dyDescent="0.35">
      <c r="E137" s="301"/>
    </row>
    <row r="138" spans="5:5" x14ac:dyDescent="0.35">
      <c r="E138" s="300"/>
    </row>
    <row r="139" spans="5:5" x14ac:dyDescent="0.35">
      <c r="E139" s="301"/>
    </row>
    <row r="140" spans="5:5" x14ac:dyDescent="0.35">
      <c r="E140" s="300"/>
    </row>
    <row r="141" spans="5:5" x14ac:dyDescent="0.35">
      <c r="E141" s="301"/>
    </row>
    <row r="142" spans="5:5" x14ac:dyDescent="0.35">
      <c r="E142" s="301"/>
    </row>
    <row r="143" spans="5:5" x14ac:dyDescent="0.35">
      <c r="E143" s="301"/>
    </row>
    <row r="144" spans="5:5" x14ac:dyDescent="0.35">
      <c r="E144" s="301"/>
    </row>
    <row r="145" spans="5:5" x14ac:dyDescent="0.35">
      <c r="E145" s="302"/>
    </row>
    <row r="146" spans="5:5" x14ac:dyDescent="0.35">
      <c r="E146" s="301"/>
    </row>
    <row r="147" spans="5:5" x14ac:dyDescent="0.35">
      <c r="E147" s="301"/>
    </row>
    <row r="148" spans="5:5" x14ac:dyDescent="0.35">
      <c r="E148" s="301"/>
    </row>
    <row r="149" spans="5:5" x14ac:dyDescent="0.35">
      <c r="E149" s="301"/>
    </row>
    <row r="150" spans="5:5" x14ac:dyDescent="0.35">
      <c r="E150" s="301"/>
    </row>
    <row r="151" spans="5:5" x14ac:dyDescent="0.35">
      <c r="E151" s="301"/>
    </row>
    <row r="152" spans="5:5" x14ac:dyDescent="0.35">
      <c r="E152" s="301"/>
    </row>
    <row r="153" spans="5:5" x14ac:dyDescent="0.35">
      <c r="E153" s="301"/>
    </row>
    <row r="154" spans="5:5" x14ac:dyDescent="0.35">
      <c r="E154" s="301"/>
    </row>
    <row r="155" spans="5:5" x14ac:dyDescent="0.35">
      <c r="E155" s="301"/>
    </row>
    <row r="156" spans="5:5" x14ac:dyDescent="0.35">
      <c r="E156" s="301"/>
    </row>
    <row r="157" spans="5:5" x14ac:dyDescent="0.35">
      <c r="E157" s="301"/>
    </row>
    <row r="158" spans="5:5" x14ac:dyDescent="0.35">
      <c r="E158" s="301"/>
    </row>
    <row r="159" spans="5:5" x14ac:dyDescent="0.35">
      <c r="E159" s="301"/>
    </row>
    <row r="160" spans="5:5" x14ac:dyDescent="0.35">
      <c r="E160" s="301"/>
    </row>
    <row r="161" spans="5:5" x14ac:dyDescent="0.35">
      <c r="E161" s="301"/>
    </row>
    <row r="162" spans="5:5" x14ac:dyDescent="0.35">
      <c r="E162" s="301"/>
    </row>
    <row r="163" spans="5:5" x14ac:dyDescent="0.35">
      <c r="E163" s="301"/>
    </row>
    <row r="164" spans="5:5" x14ac:dyDescent="0.35">
      <c r="E164" s="302"/>
    </row>
    <row r="165" spans="5:5" x14ac:dyDescent="0.35">
      <c r="E165" s="301"/>
    </row>
    <row r="166" spans="5:5" x14ac:dyDescent="0.35">
      <c r="E166" s="301"/>
    </row>
    <row r="167" spans="5:5" x14ac:dyDescent="0.35">
      <c r="E167" s="301"/>
    </row>
    <row r="168" spans="5:5" x14ac:dyDescent="0.35">
      <c r="E168" s="301"/>
    </row>
    <row r="169" spans="5:5" x14ac:dyDescent="0.35">
      <c r="E169" s="301"/>
    </row>
    <row r="170" spans="5:5" x14ac:dyDescent="0.35">
      <c r="E170" s="301"/>
    </row>
    <row r="171" spans="5:5" x14ac:dyDescent="0.35">
      <c r="E171" s="300"/>
    </row>
    <row r="172" spans="5:5" x14ac:dyDescent="0.35">
      <c r="E172" s="301"/>
    </row>
    <row r="173" spans="5:5" x14ac:dyDescent="0.35">
      <c r="E173" s="300"/>
    </row>
    <row r="174" spans="5:5" x14ac:dyDescent="0.35">
      <c r="E174" s="301"/>
    </row>
    <row r="175" spans="5:5" x14ac:dyDescent="0.35">
      <c r="E175" s="301"/>
    </row>
    <row r="176" spans="5:5" x14ac:dyDescent="0.35">
      <c r="E176" s="301"/>
    </row>
    <row r="177" spans="5:5" x14ac:dyDescent="0.35">
      <c r="E177" s="301"/>
    </row>
    <row r="178" spans="5:5" x14ac:dyDescent="0.35">
      <c r="E178" s="301"/>
    </row>
    <row r="179" spans="5:5" x14ac:dyDescent="0.35">
      <c r="E179" s="301"/>
    </row>
    <row r="180" spans="5:5" x14ac:dyDescent="0.35">
      <c r="E180" s="301"/>
    </row>
    <row r="181" spans="5:5" x14ac:dyDescent="0.35">
      <c r="E181" s="300"/>
    </row>
    <row r="182" spans="5:5" x14ac:dyDescent="0.35">
      <c r="E182" s="301"/>
    </row>
    <row r="183" spans="5:5" x14ac:dyDescent="0.35">
      <c r="E183" s="301"/>
    </row>
    <row r="184" spans="5:5" x14ac:dyDescent="0.35">
      <c r="E184" s="300"/>
    </row>
    <row r="185" spans="5:5" ht="15.5" x14ac:dyDescent="0.35">
      <c r="E185" s="686"/>
    </row>
    <row r="186" spans="5:5" x14ac:dyDescent="0.35">
      <c r="E186" s="300"/>
    </row>
    <row r="187" spans="5:5" ht="15.5" x14ac:dyDescent="0.35">
      <c r="E187" s="686"/>
    </row>
    <row r="188" spans="5:5" x14ac:dyDescent="0.35">
      <c r="E188" s="303"/>
    </row>
    <row r="189" spans="5:5" ht="15.5" x14ac:dyDescent="0.35">
      <c r="E189" s="686"/>
    </row>
    <row r="190" spans="5:5" ht="15.5" x14ac:dyDescent="0.35">
      <c r="E190" s="686"/>
    </row>
    <row r="191" spans="5:5" x14ac:dyDescent="0.35">
      <c r="E191" s="301"/>
    </row>
    <row r="192" spans="5:5" x14ac:dyDescent="0.35">
      <c r="E192" s="301"/>
    </row>
    <row r="193" spans="5:5" x14ac:dyDescent="0.35">
      <c r="E193" s="301"/>
    </row>
    <row r="194" spans="5:5" x14ac:dyDescent="0.35">
      <c r="E194" s="301"/>
    </row>
    <row r="195" spans="5:5" x14ac:dyDescent="0.35">
      <c r="E195" s="301"/>
    </row>
    <row r="196" spans="5:5" x14ac:dyDescent="0.35">
      <c r="E196" s="301"/>
    </row>
    <row r="197" spans="5:5" x14ac:dyDescent="0.35">
      <c r="E197" s="301"/>
    </row>
    <row r="198" spans="5:5" x14ac:dyDescent="0.35">
      <c r="E198" s="301"/>
    </row>
    <row r="199" spans="5:5" x14ac:dyDescent="0.35">
      <c r="E199" s="301"/>
    </row>
    <row r="200" spans="5:5" x14ac:dyDescent="0.35">
      <c r="E200" s="301"/>
    </row>
    <row r="201" spans="5:5" x14ac:dyDescent="0.35">
      <c r="E201" s="301"/>
    </row>
    <row r="202" spans="5:5" x14ac:dyDescent="0.35">
      <c r="E202" s="301"/>
    </row>
    <row r="203" spans="5:5" x14ac:dyDescent="0.35">
      <c r="E203" s="301"/>
    </row>
    <row r="204" spans="5:5" x14ac:dyDescent="0.35">
      <c r="E204" s="301"/>
    </row>
    <row r="205" spans="5:5" x14ac:dyDescent="0.35">
      <c r="E205" s="300"/>
    </row>
  </sheetData>
  <autoFilter ref="A5:AJ61" xr:uid="{00000000-0001-0000-0C00-000000000000}"/>
  <sortState xmlns:xlrd2="http://schemas.microsoft.com/office/spreadsheetml/2017/richdata2" ref="BK6:BK48">
    <sortCondition ref="BK5:BK4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48576"/>
  <sheetViews>
    <sheetView showGridLines="0" zoomScale="80" zoomScaleNormal="80" workbookViewId="0">
      <pane xSplit="2" ySplit="3" topLeftCell="C41" activePane="bottomRight" state="frozen"/>
      <selection pane="topRight" activeCell="B25" sqref="B25"/>
      <selection pane="bottomLeft" activeCell="B25" sqref="B25"/>
      <selection pane="bottomRight" activeCell="I57" sqref="I57"/>
    </sheetView>
  </sheetViews>
  <sheetFormatPr defaultColWidth="11.453125" defaultRowHeight="14.5" x14ac:dyDescent="0.35"/>
  <cols>
    <col min="1" max="1" width="5" style="9" customWidth="1"/>
    <col min="2" max="2" width="32.81640625" customWidth="1"/>
    <col min="3" max="3" width="15.1796875" customWidth="1"/>
    <col min="4" max="4" width="9.1796875" style="9" customWidth="1"/>
    <col min="5" max="5" width="11.453125" bestFit="1" customWidth="1"/>
    <col min="6" max="6" width="13.453125" bestFit="1" customWidth="1"/>
    <col min="7" max="17" width="12.453125" bestFit="1" customWidth="1"/>
  </cols>
  <sheetData>
    <row r="1" spans="1:19" x14ac:dyDescent="0.35">
      <c r="B1" s="100" t="s">
        <v>265</v>
      </c>
      <c r="C1" s="100"/>
      <c r="E1" s="41" t="s">
        <v>286</v>
      </c>
    </row>
    <row r="2" spans="1:19" x14ac:dyDescent="0.35">
      <c r="B2" s="100" t="s">
        <v>287</v>
      </c>
      <c r="C2" s="100"/>
    </row>
    <row r="3" spans="1:19" x14ac:dyDescent="0.35">
      <c r="B3" s="180" t="s">
        <v>288</v>
      </c>
      <c r="C3" s="180"/>
      <c r="D3" s="184"/>
      <c r="E3" s="180" t="s">
        <v>289</v>
      </c>
      <c r="F3" s="180">
        <v>46023</v>
      </c>
      <c r="G3" s="180">
        <v>46054</v>
      </c>
      <c r="H3" s="180">
        <v>46082</v>
      </c>
      <c r="I3" s="180">
        <v>46113</v>
      </c>
      <c r="J3" s="180">
        <v>46143</v>
      </c>
      <c r="K3" s="180">
        <v>46174</v>
      </c>
      <c r="L3" s="180">
        <v>46204</v>
      </c>
      <c r="M3" s="180">
        <v>46235</v>
      </c>
      <c r="N3" s="180">
        <v>46266</v>
      </c>
      <c r="O3" s="180">
        <v>46296</v>
      </c>
      <c r="P3" s="180">
        <v>46327</v>
      </c>
      <c r="Q3" s="180">
        <v>46357</v>
      </c>
    </row>
    <row r="4" spans="1:19" x14ac:dyDescent="0.35">
      <c r="B4" s="183" t="s">
        <v>280</v>
      </c>
      <c r="C4" s="183"/>
      <c r="D4" s="185"/>
      <c r="E4" s="183"/>
      <c r="F4" s="183"/>
      <c r="G4" s="183"/>
      <c r="H4" s="183"/>
      <c r="I4" s="183"/>
      <c r="J4" s="183"/>
      <c r="K4" s="183"/>
      <c r="L4" s="183"/>
      <c r="M4" s="183"/>
      <c r="N4" s="183"/>
      <c r="O4" s="183"/>
      <c r="P4" s="183"/>
      <c r="Q4" s="183"/>
    </row>
    <row r="5" spans="1:19" x14ac:dyDescent="0.35">
      <c r="A5" s="9">
        <v>1</v>
      </c>
      <c r="B5" t="s">
        <v>290</v>
      </c>
      <c r="F5" s="67">
        <f>'1. Revenue Buildup 2026'!D16</f>
        <v>151.41331557184279</v>
      </c>
      <c r="G5" s="67">
        <f>'1. Revenue Buildup 2026'!E16</f>
        <v>155.53096263066629</v>
      </c>
      <c r="H5" s="67">
        <f>'1. Revenue Buildup 2026'!F16</f>
        <v>143.80155086596042</v>
      </c>
      <c r="I5" s="67">
        <f>'1. Revenue Buildup 2026'!G16</f>
        <v>143.80155086596042</v>
      </c>
      <c r="J5" s="67">
        <f>'1. Revenue Buildup 2026'!H16</f>
        <v>152.03684498360749</v>
      </c>
      <c r="K5" s="67">
        <f>'1. Revenue Buildup 2026'!I16</f>
        <v>152.03684498360749</v>
      </c>
      <c r="L5" s="67">
        <f>'1. Revenue Buildup 2026'!J16</f>
        <v>157.91919792478396</v>
      </c>
      <c r="M5" s="67">
        <f>'1. Revenue Buildup 2026'!K16</f>
        <v>190.86037439537219</v>
      </c>
      <c r="N5" s="67">
        <f>'1. Revenue Buildup 2026'!L16</f>
        <v>196.74272733654865</v>
      </c>
      <c r="O5" s="67">
        <f>'1. Revenue Buildup 2026'!M16</f>
        <v>202.62508027772512</v>
      </c>
      <c r="P5" s="67">
        <f>'1. Revenue Buildup 2026'!N16</f>
        <v>208.50743321890161</v>
      </c>
      <c r="Q5" s="67">
        <f>'1. Revenue Buildup 2026'!O16</f>
        <v>214.38978616007807</v>
      </c>
    </row>
    <row r="6" spans="1:19" x14ac:dyDescent="0.35">
      <c r="F6" s="67"/>
      <c r="G6" s="67"/>
      <c r="H6" s="67"/>
      <c r="I6" s="67"/>
      <c r="J6" s="67"/>
      <c r="K6" s="67"/>
      <c r="L6" s="67"/>
      <c r="M6" s="67"/>
      <c r="N6" s="67"/>
      <c r="O6" s="67"/>
      <c r="P6" s="67"/>
      <c r="Q6" s="67"/>
    </row>
    <row r="7" spans="1:19" x14ac:dyDescent="0.35">
      <c r="A7" s="9">
        <v>2</v>
      </c>
      <c r="B7" t="s">
        <v>291</v>
      </c>
      <c r="E7" s="149">
        <v>26343</v>
      </c>
      <c r="F7" s="67">
        <f>'India Expenses - Detailed'!E13+19</f>
        <v>185</v>
      </c>
      <c r="G7" s="67">
        <f>'India Expenses - Detailed'!F13+19</f>
        <v>185</v>
      </c>
      <c r="H7" s="67">
        <f>'India Expenses - Detailed'!G13+19</f>
        <v>176</v>
      </c>
      <c r="I7" s="67">
        <f>'India Expenses - Detailed'!H13+19</f>
        <v>176</v>
      </c>
      <c r="J7" s="67">
        <f>'India Expenses - Detailed'!I13+19</f>
        <v>183</v>
      </c>
      <c r="K7" s="67">
        <f>'India Expenses - Detailed'!J13+19</f>
        <v>183</v>
      </c>
      <c r="L7" s="67">
        <f>'India Expenses - Detailed'!K13+19</f>
        <v>188</v>
      </c>
      <c r="M7" s="67">
        <f>'India Expenses - Detailed'!L13+19</f>
        <v>216</v>
      </c>
      <c r="N7" s="67">
        <f>'India Expenses - Detailed'!M13+19</f>
        <v>221</v>
      </c>
      <c r="O7" s="67">
        <f>'India Expenses - Detailed'!N13+19</f>
        <v>226</v>
      </c>
      <c r="P7" s="67">
        <f>'India Expenses - Detailed'!O13+19</f>
        <v>231</v>
      </c>
      <c r="Q7" s="67">
        <f>'India Expenses - Detailed'!P13+19</f>
        <v>236</v>
      </c>
      <c r="S7" s="67"/>
    </row>
    <row r="8" spans="1:19" x14ac:dyDescent="0.35">
      <c r="B8" t="s">
        <v>292</v>
      </c>
      <c r="E8" s="149"/>
      <c r="F8" s="67">
        <f>'Base FTE'!F105</f>
        <v>11.200000000000001</v>
      </c>
      <c r="G8" s="67">
        <f>'Base FTE'!G105</f>
        <v>11.200000000000001</v>
      </c>
      <c r="H8" s="67">
        <f>'Base FTE'!H105</f>
        <v>11.200000000000001</v>
      </c>
      <c r="I8" s="67">
        <f>'Base FTE'!I105</f>
        <v>16.8</v>
      </c>
      <c r="J8" s="67">
        <f>'Base FTE'!J105</f>
        <v>16.8</v>
      </c>
      <c r="K8" s="67">
        <f>'Base FTE'!K105</f>
        <v>16.8</v>
      </c>
      <c r="L8" s="67">
        <f>'Base FTE'!L105</f>
        <v>22.400000000000002</v>
      </c>
      <c r="M8" s="67">
        <f>'Base FTE'!M105</f>
        <v>22.400000000000002</v>
      </c>
      <c r="N8" s="67">
        <f>'Base FTE'!N105</f>
        <v>22.400000000000002</v>
      </c>
      <c r="O8" s="67">
        <f>'Base FTE'!O105</f>
        <v>28</v>
      </c>
      <c r="P8" s="67">
        <f>'Base FTE'!P105</f>
        <v>28</v>
      </c>
      <c r="Q8" s="67">
        <f>'Base FTE'!Q105</f>
        <v>28</v>
      </c>
      <c r="S8" s="67"/>
    </row>
    <row r="9" spans="1:19" x14ac:dyDescent="0.35">
      <c r="E9" s="149"/>
      <c r="F9" s="67"/>
      <c r="G9" s="67"/>
      <c r="H9" s="67"/>
      <c r="I9" s="67"/>
      <c r="J9" s="67"/>
      <c r="K9" s="67"/>
      <c r="L9" s="67"/>
      <c r="M9" s="67"/>
      <c r="N9" s="67"/>
      <c r="O9" s="67"/>
      <c r="P9" s="67"/>
      <c r="Q9" s="67"/>
      <c r="S9" s="67"/>
    </row>
    <row r="10" spans="1:19" x14ac:dyDescent="0.35">
      <c r="A10" s="9">
        <v>3</v>
      </c>
      <c r="B10" t="s">
        <v>293</v>
      </c>
      <c r="F10" s="67">
        <f>IF((F5-F7)&lt;0,0,(F5-F7))</f>
        <v>0</v>
      </c>
      <c r="G10" s="67">
        <f t="shared" ref="G10:Q10" si="0">IF((G5-G7)&lt;0,0,(G5-G7))</f>
        <v>0</v>
      </c>
      <c r="H10" s="67">
        <f t="shared" si="0"/>
        <v>0</v>
      </c>
      <c r="I10" s="67">
        <f t="shared" si="0"/>
        <v>0</v>
      </c>
      <c r="J10" s="67">
        <f t="shared" si="0"/>
        <v>0</v>
      </c>
      <c r="K10" s="67">
        <f t="shared" si="0"/>
        <v>0</v>
      </c>
      <c r="L10" s="67">
        <f t="shared" si="0"/>
        <v>0</v>
      </c>
      <c r="M10" s="67">
        <f t="shared" si="0"/>
        <v>0</v>
      </c>
      <c r="N10" s="67">
        <f t="shared" si="0"/>
        <v>0</v>
      </c>
      <c r="O10" s="67">
        <f t="shared" si="0"/>
        <v>0</v>
      </c>
      <c r="P10" s="67">
        <f t="shared" si="0"/>
        <v>0</v>
      </c>
      <c r="Q10" s="67">
        <f t="shared" si="0"/>
        <v>0</v>
      </c>
    </row>
    <row r="11" spans="1:19" x14ac:dyDescent="0.35">
      <c r="F11" s="67"/>
      <c r="G11" s="67"/>
      <c r="H11" s="67"/>
      <c r="I11" s="67"/>
      <c r="J11" s="67"/>
      <c r="K11" s="67"/>
      <c r="L11" s="67"/>
      <c r="M11" s="67"/>
      <c r="N11" s="67"/>
      <c r="O11" s="67"/>
      <c r="P11" s="67"/>
      <c r="Q11" s="67"/>
    </row>
    <row r="12" spans="1:19" x14ac:dyDescent="0.35">
      <c r="A12" s="9" t="s">
        <v>294</v>
      </c>
      <c r="B12" t="s">
        <v>295</v>
      </c>
      <c r="E12" s="70">
        <v>0.7</v>
      </c>
      <c r="F12" s="67">
        <f>F10*$E$12</f>
        <v>0</v>
      </c>
      <c r="G12" s="67">
        <f t="shared" ref="G12:Q12" si="1">G10*$E$12</f>
        <v>0</v>
      </c>
      <c r="H12" s="67">
        <f t="shared" si="1"/>
        <v>0</v>
      </c>
      <c r="I12" s="67">
        <f t="shared" si="1"/>
        <v>0</v>
      </c>
      <c r="J12" s="67">
        <f t="shared" si="1"/>
        <v>0</v>
      </c>
      <c r="K12" s="67">
        <f t="shared" si="1"/>
        <v>0</v>
      </c>
      <c r="L12" s="67">
        <f t="shared" si="1"/>
        <v>0</v>
      </c>
      <c r="M12" s="67">
        <f t="shared" si="1"/>
        <v>0</v>
      </c>
      <c r="N12" s="67">
        <f t="shared" si="1"/>
        <v>0</v>
      </c>
      <c r="O12" s="67">
        <f t="shared" si="1"/>
        <v>0</v>
      </c>
      <c r="P12" s="67">
        <f t="shared" si="1"/>
        <v>0</v>
      </c>
      <c r="Q12" s="67">
        <f t="shared" si="1"/>
        <v>0</v>
      </c>
    </row>
    <row r="13" spans="1:19" x14ac:dyDescent="0.35">
      <c r="A13" s="9" t="s">
        <v>296</v>
      </c>
      <c r="B13" t="s">
        <v>297</v>
      </c>
      <c r="E13" s="70">
        <v>0.3</v>
      </c>
      <c r="F13" s="67">
        <f>F10-F12</f>
        <v>0</v>
      </c>
      <c r="G13" s="67">
        <f t="shared" ref="G13:Q13" si="2">G10-G12</f>
        <v>0</v>
      </c>
      <c r="H13" s="67">
        <f t="shared" si="2"/>
        <v>0</v>
      </c>
      <c r="I13" s="67">
        <f t="shared" si="2"/>
        <v>0</v>
      </c>
      <c r="J13" s="67">
        <f t="shared" si="2"/>
        <v>0</v>
      </c>
      <c r="K13" s="67">
        <f t="shared" si="2"/>
        <v>0</v>
      </c>
      <c r="L13" s="67">
        <f t="shared" si="2"/>
        <v>0</v>
      </c>
      <c r="M13" s="67">
        <f t="shared" si="2"/>
        <v>0</v>
      </c>
      <c r="N13" s="67">
        <f t="shared" si="2"/>
        <v>0</v>
      </c>
      <c r="O13" s="67">
        <f t="shared" si="2"/>
        <v>0</v>
      </c>
      <c r="P13" s="67">
        <f t="shared" si="2"/>
        <v>0</v>
      </c>
      <c r="Q13" s="67">
        <f t="shared" si="2"/>
        <v>0</v>
      </c>
    </row>
    <row r="14" spans="1:19" x14ac:dyDescent="0.35">
      <c r="F14" s="67"/>
      <c r="G14" s="67"/>
      <c r="H14" s="67"/>
      <c r="I14" s="67"/>
      <c r="J14" s="67"/>
      <c r="K14" s="67"/>
      <c r="L14" s="67"/>
      <c r="M14" s="67"/>
      <c r="N14" s="67"/>
      <c r="O14" s="67"/>
      <c r="P14" s="67"/>
      <c r="Q14" s="67"/>
    </row>
    <row r="15" spans="1:19" x14ac:dyDescent="0.35">
      <c r="A15" s="9" t="s">
        <v>298</v>
      </c>
      <c r="B15" t="s">
        <v>39</v>
      </c>
      <c r="D15" s="9" t="s">
        <v>299</v>
      </c>
      <c r="F15" s="67"/>
      <c r="G15" s="68"/>
      <c r="H15" s="68"/>
      <c r="I15" s="68"/>
      <c r="J15" s="68"/>
      <c r="K15" s="68"/>
      <c r="L15" s="68"/>
      <c r="M15" s="68"/>
      <c r="N15" s="68"/>
      <c r="O15" s="68"/>
      <c r="P15" s="68"/>
      <c r="Q15" s="67"/>
    </row>
    <row r="16" spans="1:19" x14ac:dyDescent="0.35">
      <c r="B16" t="s">
        <v>300</v>
      </c>
      <c r="D16" s="46">
        <v>0.3</v>
      </c>
      <c r="E16" s="149">
        <v>35000</v>
      </c>
      <c r="F16" s="67">
        <f>F12*$D$16</f>
        <v>0</v>
      </c>
      <c r="G16" s="67">
        <f t="shared" ref="G16:Q16" si="3">G13*$D$16</f>
        <v>0</v>
      </c>
      <c r="H16" s="67">
        <f t="shared" si="3"/>
        <v>0</v>
      </c>
      <c r="I16" s="67">
        <f t="shared" si="3"/>
        <v>0</v>
      </c>
      <c r="J16" s="67">
        <f t="shared" si="3"/>
        <v>0</v>
      </c>
      <c r="K16" s="67">
        <f t="shared" si="3"/>
        <v>0</v>
      </c>
      <c r="L16" s="67">
        <f t="shared" si="3"/>
        <v>0</v>
      </c>
      <c r="M16" s="67">
        <f t="shared" si="3"/>
        <v>0</v>
      </c>
      <c r="N16" s="67">
        <f t="shared" si="3"/>
        <v>0</v>
      </c>
      <c r="O16" s="67">
        <f t="shared" si="3"/>
        <v>0</v>
      </c>
      <c r="P16" s="67">
        <f t="shared" si="3"/>
        <v>0</v>
      </c>
      <c r="Q16" s="67">
        <f t="shared" si="3"/>
        <v>0</v>
      </c>
    </row>
    <row r="17" spans="1:18" x14ac:dyDescent="0.35">
      <c r="B17" t="s">
        <v>301</v>
      </c>
      <c r="D17" s="46">
        <v>0.7</v>
      </c>
      <c r="E17" s="149">
        <v>18000</v>
      </c>
      <c r="F17" s="67">
        <f>H12-H16-F8</f>
        <v>-11.200000000000001</v>
      </c>
      <c r="G17" s="67">
        <f>I12-I16-G8</f>
        <v>-11.200000000000001</v>
      </c>
      <c r="H17" s="67">
        <f t="shared" ref="H17:O17" si="4">J12-J16-H8</f>
        <v>-11.200000000000001</v>
      </c>
      <c r="I17" s="67">
        <f t="shared" si="4"/>
        <v>-16.8</v>
      </c>
      <c r="J17" s="67">
        <f t="shared" si="4"/>
        <v>-16.8</v>
      </c>
      <c r="K17" s="67">
        <f t="shared" si="4"/>
        <v>-16.8</v>
      </c>
      <c r="L17" s="67">
        <f t="shared" si="4"/>
        <v>-22.400000000000002</v>
      </c>
      <c r="M17" s="67">
        <f t="shared" si="4"/>
        <v>-22.400000000000002</v>
      </c>
      <c r="N17" s="67">
        <f t="shared" si="4"/>
        <v>-22.400000000000002</v>
      </c>
      <c r="O17" s="67">
        <f t="shared" si="4"/>
        <v>-28</v>
      </c>
      <c r="P17" s="67">
        <f>O17</f>
        <v>-28</v>
      </c>
      <c r="Q17" s="67">
        <f>P17</f>
        <v>-28</v>
      </c>
      <c r="R17" t="s">
        <v>302</v>
      </c>
    </row>
    <row r="18" spans="1:18" x14ac:dyDescent="0.35">
      <c r="A18" s="9" t="s">
        <v>303</v>
      </c>
      <c r="B18" t="s">
        <v>134</v>
      </c>
      <c r="E18" s="149"/>
      <c r="F18" s="67"/>
      <c r="G18" s="68"/>
      <c r="H18" s="68"/>
      <c r="I18" s="68"/>
      <c r="J18" s="68"/>
      <c r="K18" s="68"/>
      <c r="L18" s="68"/>
      <c r="M18" s="68"/>
      <c r="N18" s="68"/>
      <c r="O18" s="68"/>
      <c r="P18" s="68"/>
      <c r="Q18" s="67"/>
    </row>
    <row r="19" spans="1:18" x14ac:dyDescent="0.35">
      <c r="B19" t="s">
        <v>300</v>
      </c>
      <c r="D19" s="46">
        <v>0.2</v>
      </c>
      <c r="E19" s="149">
        <v>28000</v>
      </c>
      <c r="F19" s="67">
        <f>$D$19*F13</f>
        <v>0</v>
      </c>
      <c r="G19" s="67">
        <f t="shared" ref="G19:Q19" si="5">$D$19*G13</f>
        <v>0</v>
      </c>
      <c r="H19" s="67">
        <f t="shared" si="5"/>
        <v>0</v>
      </c>
      <c r="I19" s="67">
        <f t="shared" si="5"/>
        <v>0</v>
      </c>
      <c r="J19" s="67">
        <f t="shared" si="5"/>
        <v>0</v>
      </c>
      <c r="K19" s="67">
        <f t="shared" si="5"/>
        <v>0</v>
      </c>
      <c r="L19" s="67">
        <f t="shared" si="5"/>
        <v>0</v>
      </c>
      <c r="M19" s="67">
        <f t="shared" si="5"/>
        <v>0</v>
      </c>
      <c r="N19" s="67">
        <f t="shared" si="5"/>
        <v>0</v>
      </c>
      <c r="O19" s="67">
        <f t="shared" si="5"/>
        <v>0</v>
      </c>
      <c r="P19" s="67">
        <f t="shared" si="5"/>
        <v>0</v>
      </c>
      <c r="Q19" s="67">
        <f t="shared" si="5"/>
        <v>0</v>
      </c>
    </row>
    <row r="20" spans="1:18" x14ac:dyDescent="0.35">
      <c r="B20" t="s">
        <v>301</v>
      </c>
      <c r="D20" s="46">
        <v>0.8</v>
      </c>
      <c r="E20" s="149">
        <v>16000</v>
      </c>
      <c r="F20" s="67">
        <f t="shared" ref="F20:N20" si="6">H13-H19</f>
        <v>0</v>
      </c>
      <c r="G20" s="67">
        <f t="shared" si="6"/>
        <v>0</v>
      </c>
      <c r="H20" s="67">
        <f t="shared" si="6"/>
        <v>0</v>
      </c>
      <c r="I20" s="67">
        <f t="shared" si="6"/>
        <v>0</v>
      </c>
      <c r="J20" s="67">
        <f t="shared" si="6"/>
        <v>0</v>
      </c>
      <c r="K20" s="67">
        <f t="shared" si="6"/>
        <v>0</v>
      </c>
      <c r="L20" s="67">
        <f t="shared" si="6"/>
        <v>0</v>
      </c>
      <c r="M20" s="67">
        <f t="shared" si="6"/>
        <v>0</v>
      </c>
      <c r="N20" s="67">
        <f t="shared" si="6"/>
        <v>0</v>
      </c>
      <c r="O20" s="67">
        <f>N20</f>
        <v>0</v>
      </c>
      <c r="P20" s="67">
        <f>O20</f>
        <v>0</v>
      </c>
      <c r="Q20" s="67">
        <f>P20</f>
        <v>0</v>
      </c>
    </row>
    <row r="21" spans="1:18" x14ac:dyDescent="0.35">
      <c r="D21" s="46"/>
      <c r="E21" s="149"/>
      <c r="F21" s="67"/>
      <c r="G21" s="67"/>
      <c r="H21" s="67"/>
      <c r="I21" s="67"/>
      <c r="J21" s="67"/>
      <c r="K21" s="67"/>
      <c r="L21" s="67"/>
      <c r="M21" s="67"/>
      <c r="N21" s="67"/>
      <c r="O21" s="67"/>
      <c r="P21" s="67"/>
      <c r="Q21" s="67"/>
    </row>
    <row r="22" spans="1:18" x14ac:dyDescent="0.35">
      <c r="A22" s="9" t="s">
        <v>304</v>
      </c>
      <c r="B22" t="s">
        <v>305</v>
      </c>
      <c r="E22" s="367">
        <v>25000</v>
      </c>
      <c r="F22">
        <v>2</v>
      </c>
      <c r="G22">
        <v>2</v>
      </c>
      <c r="H22">
        <v>2</v>
      </c>
      <c r="I22">
        <v>2</v>
      </c>
      <c r="J22">
        <v>2</v>
      </c>
      <c r="K22">
        <v>2</v>
      </c>
      <c r="L22">
        <v>2</v>
      </c>
      <c r="M22">
        <v>2</v>
      </c>
      <c r="N22">
        <v>2</v>
      </c>
      <c r="O22">
        <v>2</v>
      </c>
      <c r="P22">
        <v>2</v>
      </c>
      <c r="Q22">
        <v>2</v>
      </c>
    </row>
    <row r="23" spans="1:18" x14ac:dyDescent="0.35">
      <c r="D23" s="46"/>
      <c r="F23" s="67"/>
      <c r="G23" s="67"/>
      <c r="H23" s="67"/>
      <c r="I23" s="67"/>
      <c r="J23" s="67"/>
      <c r="K23" s="67"/>
      <c r="L23" s="67"/>
      <c r="M23" s="67"/>
      <c r="N23" s="67"/>
      <c r="O23" s="67"/>
      <c r="P23" s="67"/>
      <c r="Q23" s="67"/>
    </row>
    <row r="24" spans="1:18" x14ac:dyDescent="0.35">
      <c r="B24" s="100" t="s">
        <v>306</v>
      </c>
      <c r="C24" s="100"/>
      <c r="D24" s="46"/>
      <c r="F24" s="67"/>
      <c r="G24" s="67"/>
      <c r="H24" s="67"/>
      <c r="I24" s="67"/>
      <c r="J24" s="67"/>
      <c r="K24" s="67"/>
      <c r="L24" s="67"/>
      <c r="M24" s="67"/>
      <c r="N24" s="67"/>
      <c r="O24" s="67"/>
      <c r="P24" s="67"/>
      <c r="Q24" s="67"/>
    </row>
    <row r="25" spans="1:18" x14ac:dyDescent="0.35">
      <c r="B25" t="s">
        <v>307</v>
      </c>
      <c r="D25" s="46"/>
      <c r="F25" s="67">
        <f>F7</f>
        <v>185</v>
      </c>
      <c r="G25" s="67">
        <f t="shared" ref="G25:Q25" si="7">G7</f>
        <v>185</v>
      </c>
      <c r="H25" s="67">
        <f t="shared" si="7"/>
        <v>176</v>
      </c>
      <c r="I25" s="67">
        <f t="shared" si="7"/>
        <v>176</v>
      </c>
      <c r="J25" s="67">
        <f t="shared" si="7"/>
        <v>183</v>
      </c>
      <c r="K25" s="67">
        <f t="shared" si="7"/>
        <v>183</v>
      </c>
      <c r="L25" s="67">
        <f t="shared" si="7"/>
        <v>188</v>
      </c>
      <c r="M25" s="67">
        <f t="shared" si="7"/>
        <v>216</v>
      </c>
      <c r="N25" s="67">
        <f t="shared" si="7"/>
        <v>221</v>
      </c>
      <c r="O25" s="67">
        <f t="shared" si="7"/>
        <v>226</v>
      </c>
      <c r="P25" s="67">
        <f t="shared" si="7"/>
        <v>231</v>
      </c>
      <c r="Q25" s="67">
        <f t="shared" si="7"/>
        <v>236</v>
      </c>
    </row>
    <row r="26" spans="1:18" x14ac:dyDescent="0.35">
      <c r="B26" t="s">
        <v>308</v>
      </c>
      <c r="D26" s="46"/>
      <c r="E26" s="67"/>
      <c r="F26" s="67">
        <f>SUM(F16:F20)</f>
        <v>-11.200000000000001</v>
      </c>
      <c r="G26" s="67">
        <f t="shared" ref="G26:Q26" si="8">SUM(G16:G20)</f>
        <v>-11.200000000000001</v>
      </c>
      <c r="H26" s="67">
        <f t="shared" si="8"/>
        <v>-11.200000000000001</v>
      </c>
      <c r="I26" s="67">
        <f t="shared" si="8"/>
        <v>-16.8</v>
      </c>
      <c r="J26" s="67">
        <f t="shared" si="8"/>
        <v>-16.8</v>
      </c>
      <c r="K26" s="67">
        <f t="shared" si="8"/>
        <v>-16.8</v>
      </c>
      <c r="L26" s="67">
        <f t="shared" si="8"/>
        <v>-22.400000000000002</v>
      </c>
      <c r="M26" s="67">
        <f t="shared" si="8"/>
        <v>-22.400000000000002</v>
      </c>
      <c r="N26" s="67">
        <f t="shared" si="8"/>
        <v>-22.400000000000002</v>
      </c>
      <c r="O26" s="67">
        <f t="shared" si="8"/>
        <v>-28</v>
      </c>
      <c r="P26" s="67">
        <f t="shared" si="8"/>
        <v>-28</v>
      </c>
      <c r="Q26" s="67">
        <f t="shared" si="8"/>
        <v>-28</v>
      </c>
    </row>
    <row r="27" spans="1:18" x14ac:dyDescent="0.35">
      <c r="B27" t="s">
        <v>174</v>
      </c>
      <c r="D27" s="46"/>
      <c r="F27" s="171">
        <f>SUM(F25:F26)</f>
        <v>173.8</v>
      </c>
      <c r="G27" s="171">
        <f t="shared" ref="G27:Q27" si="9">SUM(G25:G26)</f>
        <v>173.8</v>
      </c>
      <c r="H27" s="171">
        <f t="shared" si="9"/>
        <v>164.8</v>
      </c>
      <c r="I27" s="171">
        <f t="shared" si="9"/>
        <v>159.19999999999999</v>
      </c>
      <c r="J27" s="171">
        <f t="shared" si="9"/>
        <v>166.2</v>
      </c>
      <c r="K27" s="171">
        <f t="shared" si="9"/>
        <v>166.2</v>
      </c>
      <c r="L27" s="171">
        <f t="shared" si="9"/>
        <v>165.6</v>
      </c>
      <c r="M27" s="171">
        <f t="shared" si="9"/>
        <v>193.6</v>
      </c>
      <c r="N27" s="171">
        <f t="shared" si="9"/>
        <v>198.6</v>
      </c>
      <c r="O27" s="171">
        <f t="shared" si="9"/>
        <v>198</v>
      </c>
      <c r="P27" s="171">
        <f t="shared" si="9"/>
        <v>203</v>
      </c>
      <c r="Q27" s="171">
        <f t="shared" si="9"/>
        <v>208</v>
      </c>
    </row>
    <row r="28" spans="1:18" x14ac:dyDescent="0.35">
      <c r="B28" s="100" t="s">
        <v>309</v>
      </c>
      <c r="C28" s="100"/>
      <c r="D28" s="46"/>
      <c r="F28" s="67"/>
      <c r="G28" s="67"/>
      <c r="H28" s="67"/>
      <c r="I28" s="67"/>
      <c r="J28" s="67"/>
      <c r="K28" s="67"/>
      <c r="L28" s="67"/>
      <c r="M28" s="67"/>
      <c r="N28" s="67"/>
      <c r="O28" s="67"/>
      <c r="P28" s="67"/>
      <c r="Q28" s="67"/>
    </row>
    <row r="29" spans="1:18" x14ac:dyDescent="0.35">
      <c r="B29" t="s">
        <v>307</v>
      </c>
      <c r="D29" s="46"/>
      <c r="F29" s="365">
        <f>F7*$E$7</f>
        <v>4873455</v>
      </c>
      <c r="G29" s="365">
        <f t="shared" ref="G29:Q29" si="10">G7*$E$7</f>
        <v>4873455</v>
      </c>
      <c r="H29" s="365">
        <f t="shared" si="10"/>
        <v>4636368</v>
      </c>
      <c r="I29" s="365">
        <f t="shared" si="10"/>
        <v>4636368</v>
      </c>
      <c r="J29" s="365">
        <f t="shared" si="10"/>
        <v>4820769</v>
      </c>
      <c r="K29" s="365">
        <f t="shared" si="10"/>
        <v>4820769</v>
      </c>
      <c r="L29" s="365">
        <f t="shared" si="10"/>
        <v>4952484</v>
      </c>
      <c r="M29" s="365">
        <f t="shared" si="10"/>
        <v>5690088</v>
      </c>
      <c r="N29" s="365">
        <f t="shared" si="10"/>
        <v>5821803</v>
      </c>
      <c r="O29" s="365">
        <f t="shared" si="10"/>
        <v>5953518</v>
      </c>
      <c r="P29" s="365">
        <f t="shared" si="10"/>
        <v>6085233</v>
      </c>
      <c r="Q29" s="365">
        <f t="shared" si="10"/>
        <v>6216948</v>
      </c>
    </row>
    <row r="30" spans="1:18" x14ac:dyDescent="0.35">
      <c r="B30" t="s">
        <v>308</v>
      </c>
      <c r="D30" s="46"/>
      <c r="E30" s="67"/>
      <c r="F30" s="365">
        <f>SUMPRODUCT(F16:F20,$E$16:$E$20)</f>
        <v>-201600.00000000003</v>
      </c>
      <c r="G30" s="365">
        <f t="shared" ref="G30:Q30" si="11">SUMPRODUCT(G16:G20,$E$16:$E$20)</f>
        <v>-201600.00000000003</v>
      </c>
      <c r="H30" s="365">
        <f t="shared" si="11"/>
        <v>-201600.00000000003</v>
      </c>
      <c r="I30" s="365">
        <f t="shared" si="11"/>
        <v>-302400</v>
      </c>
      <c r="J30" s="365">
        <f t="shared" si="11"/>
        <v>-302400</v>
      </c>
      <c r="K30" s="365">
        <f t="shared" si="11"/>
        <v>-302400</v>
      </c>
      <c r="L30" s="365">
        <f t="shared" si="11"/>
        <v>-403200.00000000006</v>
      </c>
      <c r="M30" s="365">
        <f t="shared" si="11"/>
        <v>-403200.00000000006</v>
      </c>
      <c r="N30" s="365">
        <f t="shared" si="11"/>
        <v>-403200.00000000006</v>
      </c>
      <c r="O30" s="365">
        <f t="shared" si="11"/>
        <v>-504000</v>
      </c>
      <c r="P30" s="365">
        <f t="shared" si="11"/>
        <v>-504000</v>
      </c>
      <c r="Q30" s="365">
        <f t="shared" si="11"/>
        <v>-504000</v>
      </c>
    </row>
    <row r="31" spans="1:18" s="100" customFormat="1" x14ac:dyDescent="0.35">
      <c r="A31" s="76"/>
      <c r="B31" s="100" t="s">
        <v>174</v>
      </c>
      <c r="D31" s="186"/>
      <c r="F31" s="171">
        <f>SUM(F29:F30)</f>
        <v>4671855</v>
      </c>
      <c r="G31" s="171">
        <f t="shared" ref="G31:Q31" si="12">SUM(G29:G30)</f>
        <v>4671855</v>
      </c>
      <c r="H31" s="171">
        <f t="shared" si="12"/>
        <v>4434768</v>
      </c>
      <c r="I31" s="171">
        <f t="shared" si="12"/>
        <v>4333968</v>
      </c>
      <c r="J31" s="171">
        <f t="shared" si="12"/>
        <v>4518369</v>
      </c>
      <c r="K31" s="171">
        <f t="shared" si="12"/>
        <v>4518369</v>
      </c>
      <c r="L31" s="171">
        <f t="shared" si="12"/>
        <v>4549284</v>
      </c>
      <c r="M31" s="171">
        <f t="shared" si="12"/>
        <v>5286888</v>
      </c>
      <c r="N31" s="171">
        <f t="shared" si="12"/>
        <v>5418603</v>
      </c>
      <c r="O31" s="171">
        <f t="shared" si="12"/>
        <v>5449518</v>
      </c>
      <c r="P31" s="171">
        <f t="shared" si="12"/>
        <v>5581233</v>
      </c>
      <c r="Q31" s="171">
        <f t="shared" si="12"/>
        <v>5712948</v>
      </c>
    </row>
    <row r="32" spans="1:18" x14ac:dyDescent="0.35">
      <c r="F32" s="68"/>
      <c r="G32" s="68"/>
      <c r="H32" s="68"/>
      <c r="I32" s="68"/>
      <c r="J32" s="68"/>
      <c r="K32" s="68"/>
      <c r="L32" s="68"/>
      <c r="M32" s="68"/>
      <c r="N32" s="68"/>
      <c r="O32" s="68"/>
      <c r="P32" s="68"/>
      <c r="Q32" s="67"/>
      <c r="R32" t="s">
        <v>310</v>
      </c>
    </row>
    <row r="33" spans="1:24" x14ac:dyDescent="0.35">
      <c r="B33" s="183" t="s">
        <v>311</v>
      </c>
      <c r="C33" s="183"/>
      <c r="D33" s="185"/>
      <c r="E33" s="183"/>
      <c r="F33" s="183"/>
      <c r="G33" s="183"/>
      <c r="H33" s="183"/>
      <c r="I33" s="183"/>
      <c r="J33" s="183"/>
      <c r="K33" s="183"/>
      <c r="L33" s="183"/>
      <c r="M33" s="183"/>
      <c r="N33" s="183"/>
      <c r="O33" s="183"/>
      <c r="P33" s="183"/>
      <c r="Q33" s="183"/>
    </row>
    <row r="34" spans="1:24" x14ac:dyDescent="0.35">
      <c r="A34" s="9">
        <v>4</v>
      </c>
      <c r="B34" s="100" t="s">
        <v>312</v>
      </c>
      <c r="C34" s="100"/>
      <c r="F34" s="68"/>
      <c r="G34" s="68"/>
      <c r="H34" s="68"/>
      <c r="I34" s="68"/>
      <c r="J34" s="68"/>
      <c r="K34" s="68"/>
      <c r="L34" s="68"/>
      <c r="M34" s="68"/>
      <c r="N34" s="68"/>
      <c r="O34" s="68"/>
      <c r="P34" s="68"/>
      <c r="Q34" s="68"/>
      <c r="R34" t="s">
        <v>313</v>
      </c>
      <c r="S34">
        <v>1</v>
      </c>
      <c r="T34">
        <v>2</v>
      </c>
      <c r="U34">
        <v>3</v>
      </c>
      <c r="V34">
        <v>4</v>
      </c>
      <c r="W34">
        <v>5</v>
      </c>
      <c r="X34">
        <v>6</v>
      </c>
    </row>
    <row r="35" spans="1:24" x14ac:dyDescent="0.35">
      <c r="B35" s="100" t="s">
        <v>314</v>
      </c>
      <c r="C35" s="100"/>
      <c r="D35" s="76" t="s">
        <v>315</v>
      </c>
      <c r="E35" s="100"/>
      <c r="R35" t="s">
        <v>43</v>
      </c>
      <c r="S35" s="98">
        <v>0</v>
      </c>
      <c r="T35" s="98">
        <v>0</v>
      </c>
      <c r="U35" s="98">
        <v>0.25</v>
      </c>
      <c r="V35" s="98">
        <v>0.5</v>
      </c>
      <c r="W35" s="98">
        <v>0.75</v>
      </c>
      <c r="X35" s="98">
        <v>1</v>
      </c>
    </row>
    <row r="36" spans="1:24" s="170" customFormat="1" x14ac:dyDescent="0.35">
      <c r="A36" s="9" t="s">
        <v>316</v>
      </c>
      <c r="B36" s="170" t="s">
        <v>317</v>
      </c>
      <c r="C36" s="170" t="s">
        <v>314</v>
      </c>
      <c r="D36" s="178">
        <v>15</v>
      </c>
      <c r="F36" s="73">
        <f>ROUNDUP(F$5/$D36,0)</f>
        <v>11</v>
      </c>
      <c r="G36" s="73">
        <f>ROUNDUP(G$5/$D36,0)</f>
        <v>11</v>
      </c>
      <c r="H36" s="73">
        <f>ROUNDUP(H$5/$D36,0)</f>
        <v>10</v>
      </c>
      <c r="I36" s="73">
        <f t="shared" ref="I36:Q36" si="13">ROUNDUP(I$5/$D36,0)</f>
        <v>10</v>
      </c>
      <c r="J36" s="73">
        <f t="shared" si="13"/>
        <v>11</v>
      </c>
      <c r="K36" s="73">
        <f t="shared" si="13"/>
        <v>11</v>
      </c>
      <c r="L36" s="73">
        <f t="shared" si="13"/>
        <v>11</v>
      </c>
      <c r="M36" s="73">
        <f t="shared" si="13"/>
        <v>13</v>
      </c>
      <c r="N36" s="73">
        <f t="shared" si="13"/>
        <v>14</v>
      </c>
      <c r="O36" s="73">
        <f t="shared" si="13"/>
        <v>14</v>
      </c>
      <c r="P36" s="73">
        <f t="shared" si="13"/>
        <v>14</v>
      </c>
      <c r="Q36" s="73">
        <f t="shared" si="13"/>
        <v>15</v>
      </c>
    </row>
    <row r="37" spans="1:24" x14ac:dyDescent="0.35">
      <c r="A37" s="178" t="s">
        <v>318</v>
      </c>
      <c r="B37" t="s">
        <v>319</v>
      </c>
      <c r="C37" s="170" t="s">
        <v>314</v>
      </c>
      <c r="D37" s="9">
        <v>50</v>
      </c>
      <c r="F37" s="73">
        <f>ROUNDUP(F$5/$D37,0)</f>
        <v>4</v>
      </c>
      <c r="G37" s="73">
        <f>ROUNDUP(G$5/$D37,0)</f>
        <v>4</v>
      </c>
      <c r="H37" s="73">
        <f t="shared" ref="H37:Q37" si="14">ROUNDUP(H$5/$D37,0)</f>
        <v>3</v>
      </c>
      <c r="I37" s="73">
        <f t="shared" si="14"/>
        <v>3</v>
      </c>
      <c r="J37" s="73">
        <f t="shared" si="14"/>
        <v>4</v>
      </c>
      <c r="K37" s="73">
        <f t="shared" si="14"/>
        <v>4</v>
      </c>
      <c r="L37" s="73">
        <f t="shared" si="14"/>
        <v>4</v>
      </c>
      <c r="M37" s="73">
        <f t="shared" si="14"/>
        <v>4</v>
      </c>
      <c r="N37" s="73">
        <f t="shared" si="14"/>
        <v>4</v>
      </c>
      <c r="O37" s="73">
        <f t="shared" si="14"/>
        <v>5</v>
      </c>
      <c r="P37" s="73">
        <f t="shared" si="14"/>
        <v>5</v>
      </c>
      <c r="Q37" s="73">
        <f t="shared" si="14"/>
        <v>5</v>
      </c>
    </row>
    <row r="38" spans="1:24" x14ac:dyDescent="0.35">
      <c r="A38" s="9" t="s">
        <v>320</v>
      </c>
      <c r="B38" t="s">
        <v>140</v>
      </c>
      <c r="C38" s="170" t="s">
        <v>314</v>
      </c>
      <c r="D38" s="9">
        <v>100</v>
      </c>
      <c r="F38" s="73">
        <f>ROUNDUP(F$5/$D38,0)</f>
        <v>2</v>
      </c>
      <c r="G38" s="73">
        <f t="shared" ref="G38:Q38" si="15">ROUNDUP(G$5/$D38,0)</f>
        <v>2</v>
      </c>
      <c r="H38" s="73">
        <f t="shared" si="15"/>
        <v>2</v>
      </c>
      <c r="I38" s="73">
        <f t="shared" si="15"/>
        <v>2</v>
      </c>
      <c r="J38" s="73">
        <f t="shared" si="15"/>
        <v>2</v>
      </c>
      <c r="K38" s="73">
        <f t="shared" si="15"/>
        <v>2</v>
      </c>
      <c r="L38" s="73">
        <f t="shared" si="15"/>
        <v>2</v>
      </c>
      <c r="M38" s="73">
        <f t="shared" si="15"/>
        <v>2</v>
      </c>
      <c r="N38" s="73">
        <f t="shared" si="15"/>
        <v>2</v>
      </c>
      <c r="O38" s="73">
        <f t="shared" si="15"/>
        <v>3</v>
      </c>
      <c r="P38" s="73">
        <f t="shared" si="15"/>
        <v>3</v>
      </c>
      <c r="Q38" s="73">
        <f t="shared" si="15"/>
        <v>3</v>
      </c>
    </row>
    <row r="39" spans="1:24" x14ac:dyDescent="0.35">
      <c r="A39" s="9" t="s">
        <v>321</v>
      </c>
      <c r="B39" t="s">
        <v>322</v>
      </c>
      <c r="C39" t="s">
        <v>874</v>
      </c>
      <c r="D39" s="9" t="s">
        <v>323</v>
      </c>
      <c r="F39" s="149">
        <v>1</v>
      </c>
      <c r="G39" s="149">
        <v>1</v>
      </c>
      <c r="H39" s="149">
        <v>1</v>
      </c>
      <c r="I39" s="149">
        <v>1</v>
      </c>
      <c r="J39" s="149">
        <v>1</v>
      </c>
      <c r="K39" s="149">
        <v>1</v>
      </c>
      <c r="L39" s="149">
        <v>1</v>
      </c>
      <c r="M39" s="149">
        <v>1</v>
      </c>
      <c r="N39" s="149">
        <v>1</v>
      </c>
      <c r="O39" s="149">
        <v>1</v>
      </c>
      <c r="P39" s="149">
        <v>1</v>
      </c>
      <c r="Q39" s="149">
        <v>1</v>
      </c>
    </row>
    <row r="40" spans="1:24" x14ac:dyDescent="0.35">
      <c r="A40" s="9" t="s">
        <v>324</v>
      </c>
      <c r="B40" t="s">
        <v>325</v>
      </c>
      <c r="C40" t="s">
        <v>874</v>
      </c>
      <c r="D40" s="9" t="s">
        <v>323</v>
      </c>
      <c r="F40" s="149">
        <v>1</v>
      </c>
      <c r="G40" s="149">
        <v>1</v>
      </c>
      <c r="H40" s="149">
        <v>1</v>
      </c>
      <c r="I40" s="149">
        <v>1</v>
      </c>
      <c r="J40" s="149">
        <v>1</v>
      </c>
      <c r="K40" s="149">
        <v>1</v>
      </c>
      <c r="L40" s="149">
        <v>1</v>
      </c>
      <c r="M40" s="149">
        <v>1</v>
      </c>
      <c r="N40" s="149">
        <v>1</v>
      </c>
      <c r="O40" s="149">
        <v>1</v>
      </c>
      <c r="P40" s="149">
        <v>1</v>
      </c>
      <c r="Q40" s="149">
        <v>1</v>
      </c>
    </row>
    <row r="41" spans="1:24" x14ac:dyDescent="0.35">
      <c r="A41" s="9" t="s">
        <v>326</v>
      </c>
      <c r="B41" t="s">
        <v>327</v>
      </c>
      <c r="C41" t="s">
        <v>874</v>
      </c>
      <c r="D41" s="9" t="s">
        <v>323</v>
      </c>
      <c r="F41" s="149"/>
      <c r="G41" s="149"/>
      <c r="H41" s="149"/>
      <c r="I41" s="149"/>
      <c r="J41" s="149"/>
      <c r="K41" s="149"/>
      <c r="L41" s="149"/>
      <c r="M41" s="149"/>
      <c r="N41" s="149"/>
      <c r="O41" s="149"/>
      <c r="P41" s="149"/>
      <c r="Q41" s="149"/>
    </row>
    <row r="42" spans="1:24" x14ac:dyDescent="0.35">
      <c r="A42" s="9" t="s">
        <v>328</v>
      </c>
      <c r="B42" t="s">
        <v>141</v>
      </c>
      <c r="C42" t="s">
        <v>875</v>
      </c>
      <c r="D42" s="9">
        <v>10</v>
      </c>
      <c r="F42" s="73">
        <f t="shared" ref="F42:Q43" si="16">ROUNDUP(F$5/$D42,0)</f>
        <v>16</v>
      </c>
      <c r="G42" s="73">
        <f>ROUNDUP(G$5/$D42,0)+1</f>
        <v>17</v>
      </c>
      <c r="H42" s="73">
        <f t="shared" ref="H42:Q42" si="17">ROUNDUP(H$5/$D42,0)+1</f>
        <v>16</v>
      </c>
      <c r="I42" s="73">
        <f t="shared" si="17"/>
        <v>16</v>
      </c>
      <c r="J42" s="73">
        <f t="shared" si="17"/>
        <v>17</v>
      </c>
      <c r="K42" s="73">
        <f t="shared" si="17"/>
        <v>17</v>
      </c>
      <c r="L42" s="73">
        <f t="shared" si="17"/>
        <v>17</v>
      </c>
      <c r="M42" s="73">
        <f t="shared" si="17"/>
        <v>21</v>
      </c>
      <c r="N42" s="73">
        <f t="shared" si="17"/>
        <v>21</v>
      </c>
      <c r="O42" s="73">
        <f t="shared" si="17"/>
        <v>22</v>
      </c>
      <c r="P42" s="73">
        <f t="shared" si="17"/>
        <v>22</v>
      </c>
      <c r="Q42" s="73">
        <f t="shared" si="17"/>
        <v>23</v>
      </c>
    </row>
    <row r="43" spans="1:24" x14ac:dyDescent="0.35">
      <c r="A43" s="9" t="s">
        <v>329</v>
      </c>
      <c r="B43" t="s">
        <v>142</v>
      </c>
      <c r="C43" s="170" t="s">
        <v>314</v>
      </c>
      <c r="D43" s="9">
        <v>100</v>
      </c>
      <c r="F43" s="73">
        <f>ROUNDUP(F$5/$D43,0)</f>
        <v>2</v>
      </c>
      <c r="G43" s="73">
        <f t="shared" si="16"/>
        <v>2</v>
      </c>
      <c r="H43" s="73">
        <f t="shared" si="16"/>
        <v>2</v>
      </c>
      <c r="I43" s="73">
        <f t="shared" si="16"/>
        <v>2</v>
      </c>
      <c r="J43" s="73">
        <f t="shared" si="16"/>
        <v>2</v>
      </c>
      <c r="K43" s="73">
        <f t="shared" si="16"/>
        <v>2</v>
      </c>
      <c r="L43" s="73">
        <f t="shared" si="16"/>
        <v>2</v>
      </c>
      <c r="M43" s="73">
        <f t="shared" si="16"/>
        <v>2</v>
      </c>
      <c r="N43" s="73">
        <f t="shared" si="16"/>
        <v>2</v>
      </c>
      <c r="O43" s="73">
        <f t="shared" si="16"/>
        <v>3</v>
      </c>
      <c r="P43" s="73">
        <f t="shared" si="16"/>
        <v>3</v>
      </c>
      <c r="Q43" s="73">
        <f t="shared" si="16"/>
        <v>3</v>
      </c>
    </row>
    <row r="44" spans="1:24" x14ac:dyDescent="0.35">
      <c r="A44" s="9" t="s">
        <v>330</v>
      </c>
      <c r="B44" t="s">
        <v>331</v>
      </c>
      <c r="C44" s="170" t="s">
        <v>314</v>
      </c>
      <c r="D44" s="9" t="s">
        <v>323</v>
      </c>
      <c r="F44" s="149">
        <v>3</v>
      </c>
      <c r="G44" s="149">
        <v>3</v>
      </c>
      <c r="H44" s="149">
        <v>3</v>
      </c>
      <c r="I44" s="149">
        <v>3</v>
      </c>
      <c r="J44" s="149">
        <v>3</v>
      </c>
      <c r="K44" s="149">
        <v>3</v>
      </c>
      <c r="L44" s="149">
        <v>3</v>
      </c>
      <c r="M44" s="149">
        <v>3</v>
      </c>
      <c r="N44" s="149">
        <v>3</v>
      </c>
      <c r="O44" s="149">
        <v>3</v>
      </c>
      <c r="P44" s="149">
        <v>3</v>
      </c>
      <c r="Q44" s="149">
        <v>3</v>
      </c>
      <c r="S44" s="67">
        <f>E44*F44</f>
        <v>0</v>
      </c>
    </row>
    <row r="45" spans="1:24" x14ac:dyDescent="0.35">
      <c r="A45" s="9" t="s">
        <v>332</v>
      </c>
      <c r="B45" t="s">
        <v>333</v>
      </c>
      <c r="C45" s="170" t="s">
        <v>314</v>
      </c>
      <c r="D45" s="9" t="s">
        <v>323</v>
      </c>
      <c r="F45" s="149">
        <v>5</v>
      </c>
      <c r="G45" s="149">
        <v>5</v>
      </c>
      <c r="H45" s="149">
        <v>5</v>
      </c>
      <c r="I45" s="149">
        <v>5</v>
      </c>
      <c r="J45" s="149">
        <v>5</v>
      </c>
      <c r="K45" s="149">
        <v>5</v>
      </c>
      <c r="L45" s="149">
        <v>5</v>
      </c>
      <c r="M45" s="149">
        <v>5</v>
      </c>
      <c r="N45" s="149">
        <v>5</v>
      </c>
      <c r="O45" s="149">
        <v>5</v>
      </c>
      <c r="P45" s="149">
        <v>5</v>
      </c>
      <c r="Q45" s="149">
        <v>5</v>
      </c>
      <c r="S45" s="67"/>
    </row>
    <row r="46" spans="1:24" x14ac:dyDescent="0.35">
      <c r="A46" s="9" t="s">
        <v>334</v>
      </c>
      <c r="B46" t="s">
        <v>335</v>
      </c>
      <c r="C46" s="170" t="s">
        <v>314</v>
      </c>
      <c r="D46" s="9" t="s">
        <v>323</v>
      </c>
      <c r="F46" s="149">
        <v>8</v>
      </c>
      <c r="G46" s="149">
        <v>8</v>
      </c>
      <c r="H46" s="149">
        <v>8</v>
      </c>
      <c r="I46" s="149">
        <v>8</v>
      </c>
      <c r="J46" s="149">
        <v>8</v>
      </c>
      <c r="K46" s="149">
        <v>8</v>
      </c>
      <c r="L46" s="149">
        <v>8</v>
      </c>
      <c r="M46" s="149">
        <v>8</v>
      </c>
      <c r="N46" s="149">
        <v>8</v>
      </c>
      <c r="O46" s="149">
        <v>8</v>
      </c>
      <c r="P46" s="149">
        <v>8</v>
      </c>
      <c r="Q46" s="149">
        <v>8</v>
      </c>
      <c r="S46" s="67"/>
    </row>
    <row r="47" spans="1:24" x14ac:dyDescent="0.35">
      <c r="A47" s="9" t="s">
        <v>336</v>
      </c>
      <c r="B47" t="s">
        <v>337</v>
      </c>
      <c r="D47" s="9" t="s">
        <v>323</v>
      </c>
      <c r="F47" s="149"/>
      <c r="G47" s="149"/>
      <c r="H47" s="149"/>
      <c r="I47" s="149"/>
      <c r="J47" s="149"/>
      <c r="K47" s="149"/>
      <c r="L47" s="149"/>
      <c r="M47" s="149"/>
      <c r="N47" s="149"/>
      <c r="O47" s="149"/>
      <c r="P47" s="149"/>
      <c r="Q47" s="149"/>
      <c r="S47" s="67">
        <f>E47*F47</f>
        <v>0</v>
      </c>
    </row>
    <row r="48" spans="1:24" x14ac:dyDescent="0.35">
      <c r="F48" s="149">
        <f t="shared" ref="F48:Q48" si="18">SUM(F36:F47)</f>
        <v>53</v>
      </c>
      <c r="G48" s="149">
        <f t="shared" si="18"/>
        <v>54</v>
      </c>
      <c r="H48" s="149">
        <f t="shared" si="18"/>
        <v>51</v>
      </c>
      <c r="I48" s="149">
        <f t="shared" si="18"/>
        <v>51</v>
      </c>
      <c r="J48" s="149">
        <f t="shared" si="18"/>
        <v>54</v>
      </c>
      <c r="K48" s="149">
        <f t="shared" si="18"/>
        <v>54</v>
      </c>
      <c r="L48" s="149">
        <f t="shared" si="18"/>
        <v>54</v>
      </c>
      <c r="M48" s="149">
        <f t="shared" si="18"/>
        <v>60</v>
      </c>
      <c r="N48" s="149">
        <f t="shared" si="18"/>
        <v>61</v>
      </c>
      <c r="O48" s="149">
        <f t="shared" si="18"/>
        <v>65</v>
      </c>
      <c r="P48" s="149">
        <f t="shared" si="18"/>
        <v>65</v>
      </c>
      <c r="Q48" s="149">
        <f t="shared" si="18"/>
        <v>67</v>
      </c>
    </row>
    <row r="49" spans="1:21" x14ac:dyDescent="0.35">
      <c r="F49" s="149"/>
      <c r="G49" s="149"/>
      <c r="H49" s="149"/>
      <c r="I49" s="149"/>
      <c r="J49" s="149"/>
      <c r="K49" s="149"/>
      <c r="L49" s="149"/>
      <c r="M49" s="149"/>
      <c r="N49" s="149"/>
      <c r="O49" s="149"/>
      <c r="P49" s="149"/>
      <c r="Q49" s="149"/>
    </row>
    <row r="50" spans="1:21" x14ac:dyDescent="0.35">
      <c r="A50" s="9">
        <v>5</v>
      </c>
      <c r="B50" s="100" t="s">
        <v>338</v>
      </c>
      <c r="C50" s="100"/>
      <c r="D50" s="76" t="s">
        <v>315</v>
      </c>
      <c r="E50" s="100"/>
      <c r="F50" s="149"/>
      <c r="G50" s="149"/>
      <c r="H50" s="149"/>
      <c r="I50" s="149"/>
      <c r="J50" s="149"/>
      <c r="K50" s="149"/>
      <c r="L50" s="149"/>
      <c r="M50" s="149"/>
      <c r="N50" s="149"/>
      <c r="O50" s="149"/>
      <c r="P50" s="149"/>
      <c r="Q50" s="149"/>
    </row>
    <row r="51" spans="1:21" x14ac:dyDescent="0.35">
      <c r="A51" s="9" t="s">
        <v>316</v>
      </c>
      <c r="B51" t="s">
        <v>317</v>
      </c>
      <c r="C51" s="170" t="s">
        <v>314</v>
      </c>
      <c r="D51" s="9">
        <v>15</v>
      </c>
      <c r="E51" s="149">
        <v>57569</v>
      </c>
      <c r="F51" s="320">
        <v>14</v>
      </c>
      <c r="G51" s="320">
        <v>14</v>
      </c>
      <c r="H51" s="320">
        <v>14</v>
      </c>
      <c r="I51" s="320">
        <v>14</v>
      </c>
      <c r="J51" s="320">
        <v>14</v>
      </c>
      <c r="K51" s="320">
        <v>14</v>
      </c>
      <c r="L51" s="320">
        <v>14</v>
      </c>
      <c r="M51" s="320">
        <v>14</v>
      </c>
      <c r="N51" s="320">
        <v>14</v>
      </c>
      <c r="O51" s="320">
        <v>14</v>
      </c>
      <c r="P51" s="320">
        <v>14</v>
      </c>
      <c r="Q51" s="320">
        <v>14</v>
      </c>
      <c r="S51" s="67">
        <f>E51*F51</f>
        <v>805966</v>
      </c>
    </row>
    <row r="52" spans="1:21" x14ac:dyDescent="0.35">
      <c r="A52" s="178" t="s">
        <v>318</v>
      </c>
      <c r="B52" t="s">
        <v>319</v>
      </c>
      <c r="C52" s="170" t="s">
        <v>314</v>
      </c>
      <c r="D52" s="9">
        <v>50</v>
      </c>
      <c r="E52" s="149">
        <v>75421</v>
      </c>
      <c r="F52" s="320">
        <v>5</v>
      </c>
      <c r="G52" s="320">
        <v>5</v>
      </c>
      <c r="H52" s="320">
        <v>5</v>
      </c>
      <c r="I52" s="320">
        <v>5</v>
      </c>
      <c r="J52" s="320">
        <v>5</v>
      </c>
      <c r="K52" s="320">
        <v>5</v>
      </c>
      <c r="L52" s="320">
        <v>5</v>
      </c>
      <c r="M52" s="320">
        <v>5</v>
      </c>
      <c r="N52" s="320">
        <v>5</v>
      </c>
      <c r="O52" s="320">
        <v>5</v>
      </c>
      <c r="P52" s="320">
        <v>5</v>
      </c>
      <c r="Q52" s="320">
        <v>5</v>
      </c>
      <c r="S52" s="67">
        <f t="shared" ref="S52:S62" si="19">E52*F52</f>
        <v>377105</v>
      </c>
    </row>
    <row r="53" spans="1:21" x14ac:dyDescent="0.35">
      <c r="A53" s="9" t="s">
        <v>320</v>
      </c>
      <c r="B53" t="s">
        <v>140</v>
      </c>
      <c r="C53" s="170" t="s">
        <v>314</v>
      </c>
      <c r="D53" s="9">
        <v>100</v>
      </c>
      <c r="E53" s="149">
        <v>81480</v>
      </c>
      <c r="F53" s="320">
        <v>2</v>
      </c>
      <c r="G53" s="320">
        <v>2</v>
      </c>
      <c r="H53" s="320">
        <v>2</v>
      </c>
      <c r="I53" s="320">
        <v>2</v>
      </c>
      <c r="J53" s="320">
        <v>2</v>
      </c>
      <c r="K53" s="320">
        <v>2</v>
      </c>
      <c r="L53" s="320">
        <v>2</v>
      </c>
      <c r="M53" s="320">
        <v>2</v>
      </c>
      <c r="N53" s="320">
        <v>2</v>
      </c>
      <c r="O53" s="320">
        <v>2</v>
      </c>
      <c r="P53" s="320">
        <v>2</v>
      </c>
      <c r="Q53" s="320">
        <v>2</v>
      </c>
      <c r="S53" s="67">
        <f t="shared" si="19"/>
        <v>162960</v>
      </c>
    </row>
    <row r="54" spans="1:21" x14ac:dyDescent="0.35">
      <c r="A54" s="9" t="s">
        <v>321</v>
      </c>
      <c r="B54" t="s">
        <v>322</v>
      </c>
      <c r="C54" t="s">
        <v>874</v>
      </c>
      <c r="D54" s="9" t="s">
        <v>323</v>
      </c>
      <c r="E54" s="149">
        <v>123292</v>
      </c>
      <c r="F54" s="149">
        <v>2</v>
      </c>
      <c r="G54" s="149">
        <v>2</v>
      </c>
      <c r="H54" s="149">
        <v>2</v>
      </c>
      <c r="I54" s="149">
        <v>2</v>
      </c>
      <c r="J54" s="149">
        <v>2</v>
      </c>
      <c r="K54" s="149">
        <v>2</v>
      </c>
      <c r="L54" s="149">
        <v>2</v>
      </c>
      <c r="M54" s="149">
        <v>2</v>
      </c>
      <c r="N54" s="149">
        <v>2</v>
      </c>
      <c r="O54" s="149">
        <v>2</v>
      </c>
      <c r="P54" s="149">
        <v>2</v>
      </c>
      <c r="Q54" s="149">
        <v>2</v>
      </c>
      <c r="S54" s="67">
        <f t="shared" si="19"/>
        <v>246584</v>
      </c>
    </row>
    <row r="55" spans="1:21" x14ac:dyDescent="0.35">
      <c r="A55" s="9" t="s">
        <v>324</v>
      </c>
      <c r="B55" t="s">
        <v>325</v>
      </c>
      <c r="C55" t="s">
        <v>874</v>
      </c>
      <c r="D55" s="9" t="s">
        <v>323</v>
      </c>
      <c r="E55" s="149">
        <v>145000</v>
      </c>
      <c r="F55" s="320">
        <v>1</v>
      </c>
      <c r="G55" s="320">
        <v>1</v>
      </c>
      <c r="H55" s="320">
        <v>1</v>
      </c>
      <c r="I55" s="320">
        <v>1</v>
      </c>
      <c r="J55" s="320">
        <v>1</v>
      </c>
      <c r="K55" s="320">
        <v>1</v>
      </c>
      <c r="L55" s="320">
        <v>1</v>
      </c>
      <c r="M55" s="320">
        <v>1</v>
      </c>
      <c r="N55" s="320">
        <v>1</v>
      </c>
      <c r="O55" s="320">
        <v>1</v>
      </c>
      <c r="P55" s="320">
        <v>1</v>
      </c>
      <c r="Q55" s="320">
        <v>1</v>
      </c>
      <c r="S55" s="67">
        <f t="shared" si="19"/>
        <v>145000</v>
      </c>
    </row>
    <row r="56" spans="1:21" x14ac:dyDescent="0.35">
      <c r="A56" s="9" t="s">
        <v>326</v>
      </c>
      <c r="B56" t="s">
        <v>339</v>
      </c>
      <c r="C56" t="s">
        <v>874</v>
      </c>
      <c r="D56" s="9" t="s">
        <v>323</v>
      </c>
      <c r="E56" s="149">
        <v>170000</v>
      </c>
      <c r="F56" s="320">
        <v>1</v>
      </c>
      <c r="G56" s="320">
        <v>1</v>
      </c>
      <c r="H56" s="320">
        <v>1</v>
      </c>
      <c r="I56" s="320">
        <v>1</v>
      </c>
      <c r="J56" s="320">
        <v>1</v>
      </c>
      <c r="K56" s="320">
        <v>1</v>
      </c>
      <c r="L56" s="320">
        <v>1</v>
      </c>
      <c r="M56" s="320">
        <v>1</v>
      </c>
      <c r="N56" s="320">
        <v>1</v>
      </c>
      <c r="O56" s="320">
        <v>1</v>
      </c>
      <c r="P56" s="320">
        <v>1</v>
      </c>
      <c r="Q56" s="320">
        <v>1</v>
      </c>
      <c r="S56" s="67">
        <f t="shared" si="19"/>
        <v>170000</v>
      </c>
    </row>
    <row r="57" spans="1:21" x14ac:dyDescent="0.35">
      <c r="A57" s="9" t="s">
        <v>328</v>
      </c>
      <c r="B57" t="s">
        <v>141</v>
      </c>
      <c r="C57" t="s">
        <v>875</v>
      </c>
      <c r="D57" s="9">
        <v>10</v>
      </c>
      <c r="E57" s="149">
        <v>40000</v>
      </c>
      <c r="F57" s="320">
        <v>18</v>
      </c>
      <c r="G57" s="320">
        <v>18</v>
      </c>
      <c r="H57" s="320">
        <v>18</v>
      </c>
      <c r="I57" s="320">
        <v>18</v>
      </c>
      <c r="J57" s="320">
        <v>18</v>
      </c>
      <c r="K57" s="320">
        <v>18</v>
      </c>
      <c r="L57" s="320">
        <v>18</v>
      </c>
      <c r="M57" s="320">
        <v>18</v>
      </c>
      <c r="N57" s="320">
        <v>18</v>
      </c>
      <c r="O57" s="320">
        <v>18</v>
      </c>
      <c r="P57" s="320">
        <v>18</v>
      </c>
      <c r="Q57" s="320">
        <v>18</v>
      </c>
      <c r="S57" s="67">
        <f t="shared" si="19"/>
        <v>720000</v>
      </c>
    </row>
    <row r="58" spans="1:21" x14ac:dyDescent="0.35">
      <c r="A58" s="9" t="s">
        <v>329</v>
      </c>
      <c r="B58" t="s">
        <v>142</v>
      </c>
      <c r="C58" s="170" t="s">
        <v>314</v>
      </c>
      <c r="D58" s="9">
        <v>100</v>
      </c>
      <c r="E58" s="149">
        <v>40000</v>
      </c>
      <c r="F58" s="486">
        <v>2</v>
      </c>
      <c r="G58" s="486">
        <v>2</v>
      </c>
      <c r="H58" s="486">
        <v>2</v>
      </c>
      <c r="I58" s="486">
        <v>2</v>
      </c>
      <c r="J58" s="486">
        <v>2</v>
      </c>
      <c r="K58" s="486">
        <v>2</v>
      </c>
      <c r="L58" s="486">
        <v>2</v>
      </c>
      <c r="M58" s="486">
        <v>2</v>
      </c>
      <c r="N58" s="486">
        <v>2</v>
      </c>
      <c r="O58" s="486">
        <v>2</v>
      </c>
      <c r="P58" s="486">
        <v>2</v>
      </c>
      <c r="Q58" s="486">
        <v>2</v>
      </c>
      <c r="S58" s="67">
        <f t="shared" si="19"/>
        <v>80000</v>
      </c>
    </row>
    <row r="59" spans="1:21" x14ac:dyDescent="0.35">
      <c r="A59" s="9" t="s">
        <v>330</v>
      </c>
      <c r="B59" t="s">
        <v>331</v>
      </c>
      <c r="C59" s="170" t="s">
        <v>314</v>
      </c>
      <c r="D59" s="9" t="s">
        <v>323</v>
      </c>
      <c r="E59" s="149">
        <v>28000</v>
      </c>
      <c r="F59" s="149">
        <v>3</v>
      </c>
      <c r="G59" s="149">
        <v>3</v>
      </c>
      <c r="H59" s="149">
        <v>3</v>
      </c>
      <c r="I59" s="149">
        <v>3</v>
      </c>
      <c r="J59" s="149">
        <v>3</v>
      </c>
      <c r="K59" s="149">
        <v>3</v>
      </c>
      <c r="L59" s="149">
        <v>3</v>
      </c>
      <c r="M59" s="149">
        <v>3</v>
      </c>
      <c r="N59" s="149">
        <v>3</v>
      </c>
      <c r="O59" s="149">
        <v>3</v>
      </c>
      <c r="P59" s="149">
        <v>3</v>
      </c>
      <c r="Q59" s="149">
        <v>3</v>
      </c>
      <c r="S59" s="67">
        <f t="shared" si="19"/>
        <v>84000</v>
      </c>
    </row>
    <row r="60" spans="1:21" x14ac:dyDescent="0.35">
      <c r="A60" s="9" t="s">
        <v>332</v>
      </c>
      <c r="B60" t="s">
        <v>333</v>
      </c>
      <c r="C60" s="170" t="s">
        <v>314</v>
      </c>
      <c r="D60" s="9" t="s">
        <v>323</v>
      </c>
      <c r="E60" s="149">
        <v>15938</v>
      </c>
      <c r="F60" s="320">
        <v>6</v>
      </c>
      <c r="G60" s="320">
        <v>6</v>
      </c>
      <c r="H60" s="320">
        <v>6</v>
      </c>
      <c r="I60" s="320">
        <v>6</v>
      </c>
      <c r="J60" s="320">
        <v>6</v>
      </c>
      <c r="K60" s="320">
        <v>6</v>
      </c>
      <c r="L60" s="320">
        <v>6</v>
      </c>
      <c r="M60" s="320">
        <v>6</v>
      </c>
      <c r="N60" s="320">
        <v>6</v>
      </c>
      <c r="O60" s="320">
        <v>6</v>
      </c>
      <c r="P60" s="320">
        <v>6</v>
      </c>
      <c r="Q60" s="320">
        <v>6</v>
      </c>
      <c r="S60" s="67">
        <f t="shared" si="19"/>
        <v>95628</v>
      </c>
    </row>
    <row r="61" spans="1:21" x14ac:dyDescent="0.35">
      <c r="A61" s="9" t="s">
        <v>334</v>
      </c>
      <c r="B61" t="s">
        <v>335</v>
      </c>
      <c r="C61" s="170" t="s">
        <v>314</v>
      </c>
      <c r="D61" s="9" t="s">
        <v>323</v>
      </c>
      <c r="E61" s="149">
        <v>16934</v>
      </c>
      <c r="F61" s="320">
        <v>9</v>
      </c>
      <c r="G61" s="320">
        <v>9</v>
      </c>
      <c r="H61" s="320">
        <v>9</v>
      </c>
      <c r="I61" s="320">
        <v>9</v>
      </c>
      <c r="J61" s="320">
        <v>9</v>
      </c>
      <c r="K61" s="320">
        <v>9</v>
      </c>
      <c r="L61" s="320">
        <v>9</v>
      </c>
      <c r="M61" s="320">
        <v>9</v>
      </c>
      <c r="N61" s="320">
        <v>9</v>
      </c>
      <c r="O61" s="320">
        <v>9</v>
      </c>
      <c r="P61" s="320">
        <v>9</v>
      </c>
      <c r="Q61" s="320">
        <v>9</v>
      </c>
      <c r="S61" s="67">
        <f t="shared" ref="S61" si="20">E61*F61</f>
        <v>152406</v>
      </c>
    </row>
    <row r="62" spans="1:21" x14ac:dyDescent="0.35">
      <c r="A62" s="9" t="s">
        <v>336</v>
      </c>
      <c r="B62" t="s">
        <v>335</v>
      </c>
      <c r="D62" s="9" t="s">
        <v>323</v>
      </c>
      <c r="E62" s="149">
        <v>50000</v>
      </c>
      <c r="F62" s="149"/>
      <c r="G62" s="149"/>
      <c r="H62" s="149"/>
      <c r="I62" s="149"/>
      <c r="J62" s="149"/>
      <c r="K62" s="149"/>
      <c r="L62" s="149"/>
      <c r="M62" s="149"/>
      <c r="N62" s="149"/>
      <c r="O62" s="149"/>
      <c r="P62" s="149"/>
      <c r="Q62" s="149"/>
      <c r="S62" s="67">
        <f t="shared" si="19"/>
        <v>0</v>
      </c>
    </row>
    <row r="63" spans="1:21" s="100" customFormat="1" x14ac:dyDescent="0.35">
      <c r="A63" s="9"/>
      <c r="B63" s="100" t="s">
        <v>340</v>
      </c>
      <c r="D63" s="76"/>
      <c r="F63" s="366">
        <f t="shared" ref="F63:Q63" si="21">SUM(F51:F62)</f>
        <v>63</v>
      </c>
      <c r="G63" s="366">
        <f t="shared" si="21"/>
        <v>63</v>
      </c>
      <c r="H63" s="366">
        <f t="shared" si="21"/>
        <v>63</v>
      </c>
      <c r="I63" s="366">
        <f t="shared" si="21"/>
        <v>63</v>
      </c>
      <c r="J63" s="366">
        <f t="shared" si="21"/>
        <v>63</v>
      </c>
      <c r="K63" s="366">
        <f t="shared" si="21"/>
        <v>63</v>
      </c>
      <c r="L63" s="366">
        <f t="shared" si="21"/>
        <v>63</v>
      </c>
      <c r="M63" s="366">
        <f t="shared" si="21"/>
        <v>63</v>
      </c>
      <c r="N63" s="366">
        <f t="shared" si="21"/>
        <v>63</v>
      </c>
      <c r="O63" s="366">
        <f t="shared" si="21"/>
        <v>63</v>
      </c>
      <c r="P63" s="366">
        <f t="shared" si="21"/>
        <v>63</v>
      </c>
      <c r="Q63" s="366">
        <f t="shared" si="21"/>
        <v>63</v>
      </c>
      <c r="U63" s="171" t="e">
        <f>SUM(S51:S62,S7,#REF!)</f>
        <v>#REF!</v>
      </c>
    </row>
    <row r="64" spans="1:21" s="100" customFormat="1" x14ac:dyDescent="0.35">
      <c r="A64" s="76"/>
      <c r="D64" s="76"/>
      <c r="F64" s="366">
        <f t="shared" ref="F64:Q64" si="22">SUMPRODUCT(F51:F62,$E$51:$E$62)</f>
        <v>3039649</v>
      </c>
      <c r="G64" s="366">
        <f t="shared" si="22"/>
        <v>3039649</v>
      </c>
      <c r="H64" s="366">
        <f t="shared" si="22"/>
        <v>3039649</v>
      </c>
      <c r="I64" s="366">
        <f t="shared" si="22"/>
        <v>3039649</v>
      </c>
      <c r="J64" s="366">
        <f t="shared" si="22"/>
        <v>3039649</v>
      </c>
      <c r="K64" s="366">
        <f t="shared" si="22"/>
        <v>3039649</v>
      </c>
      <c r="L64" s="366">
        <f t="shared" si="22"/>
        <v>3039649</v>
      </c>
      <c r="M64" s="366">
        <f t="shared" si="22"/>
        <v>3039649</v>
      </c>
      <c r="N64" s="366">
        <f t="shared" si="22"/>
        <v>3039649</v>
      </c>
      <c r="O64" s="366">
        <f t="shared" si="22"/>
        <v>3039649</v>
      </c>
      <c r="P64" s="366">
        <f t="shared" si="22"/>
        <v>3039649</v>
      </c>
      <c r="Q64" s="366">
        <f t="shared" si="22"/>
        <v>3039649</v>
      </c>
      <c r="S64" s="655"/>
      <c r="U64" s="171"/>
    </row>
    <row r="65" spans="1:22" x14ac:dyDescent="0.35">
      <c r="A65" s="9">
        <v>6</v>
      </c>
      <c r="B65" s="100" t="s">
        <v>341</v>
      </c>
      <c r="C65" s="100"/>
      <c r="D65" s="76"/>
      <c r="E65" s="100"/>
      <c r="F65" s="149"/>
      <c r="G65" s="149"/>
      <c r="H65" s="149"/>
      <c r="I65" s="149"/>
      <c r="J65" s="149"/>
      <c r="K65" s="149"/>
      <c r="L65" s="149"/>
      <c r="M65" s="149"/>
      <c r="N65" s="149"/>
      <c r="O65" s="149"/>
      <c r="P65" s="149"/>
      <c r="Q65" s="149"/>
    </row>
    <row r="66" spans="1:22" x14ac:dyDescent="0.35">
      <c r="A66" s="9" t="s">
        <v>316</v>
      </c>
      <c r="B66" t="s">
        <v>317</v>
      </c>
      <c r="E66" s="149">
        <v>57569</v>
      </c>
      <c r="F66" s="149">
        <f t="shared" ref="F66:Q66" si="23">F51-F36</f>
        <v>3</v>
      </c>
      <c r="G66" s="149">
        <f t="shared" si="23"/>
        <v>3</v>
      </c>
      <c r="H66" s="149">
        <f t="shared" si="23"/>
        <v>4</v>
      </c>
      <c r="I66" s="149">
        <f t="shared" si="23"/>
        <v>4</v>
      </c>
      <c r="J66" s="149">
        <f t="shared" si="23"/>
        <v>3</v>
      </c>
      <c r="K66" s="149">
        <f t="shared" si="23"/>
        <v>3</v>
      </c>
      <c r="L66" s="149">
        <f t="shared" si="23"/>
        <v>3</v>
      </c>
      <c r="M66" s="149">
        <f t="shared" si="23"/>
        <v>1</v>
      </c>
      <c r="N66" s="149">
        <f t="shared" si="23"/>
        <v>0</v>
      </c>
      <c r="O66" s="149">
        <f t="shared" si="23"/>
        <v>0</v>
      </c>
      <c r="P66" s="149">
        <f t="shared" si="23"/>
        <v>0</v>
      </c>
      <c r="Q66" s="149">
        <f t="shared" si="23"/>
        <v>-1</v>
      </c>
    </row>
    <row r="67" spans="1:22" x14ac:dyDescent="0.35">
      <c r="A67" s="178" t="s">
        <v>318</v>
      </c>
      <c r="B67" t="s">
        <v>319</v>
      </c>
      <c r="E67" s="149">
        <v>75421</v>
      </c>
      <c r="F67" s="149">
        <f t="shared" ref="F67:Q67" si="24">F52-F37</f>
        <v>1</v>
      </c>
      <c r="G67" s="149">
        <f t="shared" si="24"/>
        <v>1</v>
      </c>
      <c r="H67" s="149">
        <f t="shared" si="24"/>
        <v>2</v>
      </c>
      <c r="I67" s="149">
        <f t="shared" si="24"/>
        <v>2</v>
      </c>
      <c r="J67" s="149">
        <f t="shared" si="24"/>
        <v>1</v>
      </c>
      <c r="K67" s="149">
        <f t="shared" si="24"/>
        <v>1</v>
      </c>
      <c r="L67" s="149">
        <f t="shared" si="24"/>
        <v>1</v>
      </c>
      <c r="M67" s="149">
        <f t="shared" si="24"/>
        <v>1</v>
      </c>
      <c r="N67" s="149">
        <f t="shared" si="24"/>
        <v>1</v>
      </c>
      <c r="O67" s="149">
        <f t="shared" si="24"/>
        <v>0</v>
      </c>
      <c r="P67" s="149">
        <f t="shared" si="24"/>
        <v>0</v>
      </c>
      <c r="Q67" s="149">
        <f t="shared" si="24"/>
        <v>0</v>
      </c>
    </row>
    <row r="68" spans="1:22" x14ac:dyDescent="0.35">
      <c r="A68" s="9" t="s">
        <v>320</v>
      </c>
      <c r="B68" t="s">
        <v>140</v>
      </c>
      <c r="E68" s="149">
        <v>81480</v>
      </c>
      <c r="F68" s="149">
        <f t="shared" ref="F68:Q68" si="25">F53-F38</f>
        <v>0</v>
      </c>
      <c r="G68" s="149">
        <f t="shared" si="25"/>
        <v>0</v>
      </c>
      <c r="H68" s="149">
        <f t="shared" si="25"/>
        <v>0</v>
      </c>
      <c r="I68" s="149">
        <f t="shared" si="25"/>
        <v>0</v>
      </c>
      <c r="J68" s="149">
        <f t="shared" si="25"/>
        <v>0</v>
      </c>
      <c r="K68" s="149">
        <f t="shared" si="25"/>
        <v>0</v>
      </c>
      <c r="L68" s="149">
        <f t="shared" si="25"/>
        <v>0</v>
      </c>
      <c r="M68" s="149">
        <f t="shared" si="25"/>
        <v>0</v>
      </c>
      <c r="N68" s="149">
        <f t="shared" si="25"/>
        <v>0</v>
      </c>
      <c r="O68" s="149">
        <f t="shared" si="25"/>
        <v>-1</v>
      </c>
      <c r="P68" s="149">
        <f t="shared" si="25"/>
        <v>-1</v>
      </c>
      <c r="Q68" s="149">
        <f t="shared" si="25"/>
        <v>-1</v>
      </c>
    </row>
    <row r="69" spans="1:22" x14ac:dyDescent="0.35">
      <c r="A69" s="9" t="s">
        <v>321</v>
      </c>
      <c r="B69" t="s">
        <v>322</v>
      </c>
      <c r="E69" s="149">
        <v>123292</v>
      </c>
      <c r="F69" s="149">
        <f t="shared" ref="F69:Q69" si="26">F54-F39</f>
        <v>1</v>
      </c>
      <c r="G69" s="149">
        <f t="shared" si="26"/>
        <v>1</v>
      </c>
      <c r="H69" s="149">
        <f t="shared" si="26"/>
        <v>1</v>
      </c>
      <c r="I69" s="149">
        <f t="shared" si="26"/>
        <v>1</v>
      </c>
      <c r="J69" s="149">
        <f t="shared" si="26"/>
        <v>1</v>
      </c>
      <c r="K69" s="149">
        <f t="shared" si="26"/>
        <v>1</v>
      </c>
      <c r="L69" s="149">
        <f t="shared" si="26"/>
        <v>1</v>
      </c>
      <c r="M69" s="149">
        <f t="shared" si="26"/>
        <v>1</v>
      </c>
      <c r="N69" s="149">
        <f t="shared" si="26"/>
        <v>1</v>
      </c>
      <c r="O69" s="149">
        <f t="shared" si="26"/>
        <v>1</v>
      </c>
      <c r="P69" s="149">
        <f t="shared" si="26"/>
        <v>1</v>
      </c>
      <c r="Q69" s="149">
        <f t="shared" si="26"/>
        <v>1</v>
      </c>
      <c r="T69">
        <v>10</v>
      </c>
      <c r="U69">
        <v>2</v>
      </c>
      <c r="V69">
        <v>5</v>
      </c>
    </row>
    <row r="70" spans="1:22" x14ac:dyDescent="0.35">
      <c r="A70" s="9" t="s">
        <v>324</v>
      </c>
      <c r="B70" t="s">
        <v>325</v>
      </c>
      <c r="E70" s="149">
        <v>145000</v>
      </c>
      <c r="F70" s="149">
        <f t="shared" ref="F70:Q70" si="27">F55-F40</f>
        <v>0</v>
      </c>
      <c r="G70" s="149">
        <f t="shared" si="27"/>
        <v>0</v>
      </c>
      <c r="H70" s="149">
        <f t="shared" si="27"/>
        <v>0</v>
      </c>
      <c r="I70" s="149">
        <f t="shared" si="27"/>
        <v>0</v>
      </c>
      <c r="J70" s="149">
        <f t="shared" si="27"/>
        <v>0</v>
      </c>
      <c r="K70" s="149">
        <f t="shared" si="27"/>
        <v>0</v>
      </c>
      <c r="L70" s="149">
        <f t="shared" si="27"/>
        <v>0</v>
      </c>
      <c r="M70" s="149">
        <f t="shared" si="27"/>
        <v>0</v>
      </c>
      <c r="N70" s="149">
        <f t="shared" si="27"/>
        <v>0</v>
      </c>
      <c r="O70" s="149">
        <f t="shared" si="27"/>
        <v>0</v>
      </c>
      <c r="P70" s="149">
        <f t="shared" si="27"/>
        <v>0</v>
      </c>
      <c r="Q70" s="149">
        <f t="shared" si="27"/>
        <v>0</v>
      </c>
      <c r="R70" s="67"/>
      <c r="T70">
        <v>16</v>
      </c>
      <c r="U70">
        <v>4</v>
      </c>
      <c r="V70">
        <v>4</v>
      </c>
    </row>
    <row r="71" spans="1:22" x14ac:dyDescent="0.35">
      <c r="A71" s="9" t="s">
        <v>326</v>
      </c>
      <c r="B71" t="s">
        <v>327</v>
      </c>
      <c r="E71" s="149">
        <v>170000</v>
      </c>
      <c r="F71" s="149">
        <f t="shared" ref="F71:Q71" si="28">F56-F41</f>
        <v>1</v>
      </c>
      <c r="G71" s="149">
        <f t="shared" si="28"/>
        <v>1</v>
      </c>
      <c r="H71" s="149">
        <f t="shared" si="28"/>
        <v>1</v>
      </c>
      <c r="I71" s="149">
        <f t="shared" si="28"/>
        <v>1</v>
      </c>
      <c r="J71" s="149">
        <f t="shared" si="28"/>
        <v>1</v>
      </c>
      <c r="K71" s="149">
        <f t="shared" si="28"/>
        <v>1</v>
      </c>
      <c r="L71" s="149">
        <f t="shared" si="28"/>
        <v>1</v>
      </c>
      <c r="M71" s="149">
        <f t="shared" si="28"/>
        <v>1</v>
      </c>
      <c r="N71" s="149">
        <f t="shared" si="28"/>
        <v>1</v>
      </c>
      <c r="O71" s="149">
        <f t="shared" si="28"/>
        <v>1</v>
      </c>
      <c r="P71" s="149">
        <f t="shared" si="28"/>
        <v>1</v>
      </c>
      <c r="Q71" s="149">
        <f t="shared" si="28"/>
        <v>1</v>
      </c>
    </row>
    <row r="72" spans="1:22" x14ac:dyDescent="0.35">
      <c r="A72" s="9" t="s">
        <v>328</v>
      </c>
      <c r="B72" t="s">
        <v>141</v>
      </c>
      <c r="E72" s="149">
        <v>40000</v>
      </c>
      <c r="F72" s="149">
        <f t="shared" ref="F72:Q72" si="29">F57-F42</f>
        <v>2</v>
      </c>
      <c r="G72" s="149">
        <f t="shared" si="29"/>
        <v>1</v>
      </c>
      <c r="H72" s="149">
        <f t="shared" si="29"/>
        <v>2</v>
      </c>
      <c r="I72" s="149">
        <f t="shared" si="29"/>
        <v>2</v>
      </c>
      <c r="J72" s="149">
        <f t="shared" si="29"/>
        <v>1</v>
      </c>
      <c r="K72" s="149">
        <f t="shared" si="29"/>
        <v>1</v>
      </c>
      <c r="L72" s="149">
        <f t="shared" si="29"/>
        <v>1</v>
      </c>
      <c r="M72" s="149">
        <f t="shared" si="29"/>
        <v>-3</v>
      </c>
      <c r="N72" s="149">
        <f t="shared" si="29"/>
        <v>-3</v>
      </c>
      <c r="O72" s="149">
        <f t="shared" si="29"/>
        <v>-4</v>
      </c>
      <c r="P72" s="149">
        <f t="shared" si="29"/>
        <v>-4</v>
      </c>
      <c r="Q72" s="149">
        <f t="shared" si="29"/>
        <v>-5</v>
      </c>
      <c r="U72">
        <f>SUMPRODUCT(U69:U70,V69:V70)</f>
        <v>26</v>
      </c>
    </row>
    <row r="73" spans="1:22" x14ac:dyDescent="0.35">
      <c r="A73" s="9" t="s">
        <v>329</v>
      </c>
      <c r="B73" t="s">
        <v>142</v>
      </c>
      <c r="E73" s="149">
        <v>40000</v>
      </c>
      <c r="F73" s="149">
        <f t="shared" ref="F73:Q73" si="30">F58-F43</f>
        <v>0</v>
      </c>
      <c r="G73" s="149">
        <f t="shared" si="30"/>
        <v>0</v>
      </c>
      <c r="H73" s="149">
        <f t="shared" si="30"/>
        <v>0</v>
      </c>
      <c r="I73" s="149">
        <f t="shared" si="30"/>
        <v>0</v>
      </c>
      <c r="J73" s="149">
        <f t="shared" si="30"/>
        <v>0</v>
      </c>
      <c r="K73" s="149">
        <f t="shared" si="30"/>
        <v>0</v>
      </c>
      <c r="L73" s="149">
        <f t="shared" si="30"/>
        <v>0</v>
      </c>
      <c r="M73" s="149">
        <f t="shared" si="30"/>
        <v>0</v>
      </c>
      <c r="N73" s="149">
        <f t="shared" si="30"/>
        <v>0</v>
      </c>
      <c r="O73" s="149">
        <f t="shared" si="30"/>
        <v>-1</v>
      </c>
      <c r="P73" s="149">
        <f t="shared" si="30"/>
        <v>-1</v>
      </c>
      <c r="Q73" s="149">
        <f t="shared" si="30"/>
        <v>-1</v>
      </c>
    </row>
    <row r="74" spans="1:22" x14ac:dyDescent="0.35">
      <c r="A74" s="9" t="s">
        <v>330</v>
      </c>
      <c r="B74" t="s">
        <v>331</v>
      </c>
      <c r="E74" s="149">
        <v>28000</v>
      </c>
      <c r="F74" s="149">
        <f t="shared" ref="F74:Q74" si="31">F59-F44</f>
        <v>0</v>
      </c>
      <c r="G74" s="149">
        <f t="shared" si="31"/>
        <v>0</v>
      </c>
      <c r="H74" s="149">
        <f t="shared" si="31"/>
        <v>0</v>
      </c>
      <c r="I74" s="149">
        <f t="shared" si="31"/>
        <v>0</v>
      </c>
      <c r="J74" s="149">
        <f t="shared" si="31"/>
        <v>0</v>
      </c>
      <c r="K74" s="149">
        <f t="shared" si="31"/>
        <v>0</v>
      </c>
      <c r="L74" s="149">
        <f t="shared" si="31"/>
        <v>0</v>
      </c>
      <c r="M74" s="149">
        <f t="shared" si="31"/>
        <v>0</v>
      </c>
      <c r="N74" s="149">
        <f t="shared" si="31"/>
        <v>0</v>
      </c>
      <c r="O74" s="149">
        <f t="shared" si="31"/>
        <v>0</v>
      </c>
      <c r="P74" s="149">
        <f t="shared" si="31"/>
        <v>0</v>
      </c>
      <c r="Q74" s="149">
        <f t="shared" si="31"/>
        <v>0</v>
      </c>
      <c r="S74" s="67">
        <f>E74*F74</f>
        <v>0</v>
      </c>
    </row>
    <row r="75" spans="1:22" x14ac:dyDescent="0.35">
      <c r="A75" s="9" t="s">
        <v>332</v>
      </c>
      <c r="B75" t="s">
        <v>333</v>
      </c>
      <c r="E75" s="149">
        <v>15938</v>
      </c>
      <c r="F75" s="149">
        <f t="shared" ref="F75:Q75" si="32">F60-F45</f>
        <v>1</v>
      </c>
      <c r="G75" s="149">
        <f t="shared" si="32"/>
        <v>1</v>
      </c>
      <c r="H75" s="149">
        <f t="shared" si="32"/>
        <v>1</v>
      </c>
      <c r="I75" s="149">
        <f t="shared" si="32"/>
        <v>1</v>
      </c>
      <c r="J75" s="149">
        <f t="shared" si="32"/>
        <v>1</v>
      </c>
      <c r="K75" s="149">
        <f t="shared" si="32"/>
        <v>1</v>
      </c>
      <c r="L75" s="149">
        <f t="shared" si="32"/>
        <v>1</v>
      </c>
      <c r="M75" s="149">
        <f t="shared" si="32"/>
        <v>1</v>
      </c>
      <c r="N75" s="149">
        <f t="shared" si="32"/>
        <v>1</v>
      </c>
      <c r="O75" s="149">
        <f t="shared" si="32"/>
        <v>1</v>
      </c>
      <c r="P75" s="149">
        <f t="shared" si="32"/>
        <v>1</v>
      </c>
      <c r="Q75" s="149">
        <f t="shared" si="32"/>
        <v>1</v>
      </c>
      <c r="S75" s="67"/>
    </row>
    <row r="76" spans="1:22" x14ac:dyDescent="0.35">
      <c r="A76" s="9" t="s">
        <v>334</v>
      </c>
      <c r="B76" t="s">
        <v>342</v>
      </c>
      <c r="E76" s="149">
        <v>16934</v>
      </c>
      <c r="F76" s="149">
        <f t="shared" ref="F76:Q76" si="33">F61-F46</f>
        <v>1</v>
      </c>
      <c r="G76" s="149">
        <f t="shared" si="33"/>
        <v>1</v>
      </c>
      <c r="H76" s="149">
        <f t="shared" si="33"/>
        <v>1</v>
      </c>
      <c r="I76" s="149">
        <f t="shared" si="33"/>
        <v>1</v>
      </c>
      <c r="J76" s="149">
        <f t="shared" si="33"/>
        <v>1</v>
      </c>
      <c r="K76" s="149">
        <f t="shared" si="33"/>
        <v>1</v>
      </c>
      <c r="L76" s="149">
        <f t="shared" si="33"/>
        <v>1</v>
      </c>
      <c r="M76" s="149">
        <f t="shared" si="33"/>
        <v>1</v>
      </c>
      <c r="N76" s="149">
        <f t="shared" si="33"/>
        <v>1</v>
      </c>
      <c r="O76" s="149">
        <f t="shared" si="33"/>
        <v>1</v>
      </c>
      <c r="P76" s="149">
        <f t="shared" si="33"/>
        <v>1</v>
      </c>
      <c r="Q76" s="149">
        <f t="shared" si="33"/>
        <v>1</v>
      </c>
      <c r="S76" s="67">
        <f>E76*F76</f>
        <v>16934</v>
      </c>
    </row>
    <row r="77" spans="1:22" x14ac:dyDescent="0.35">
      <c r="A77" s="9" t="s">
        <v>336</v>
      </c>
      <c r="B77" t="s">
        <v>340</v>
      </c>
      <c r="E77" s="149"/>
      <c r="F77" s="149">
        <f t="shared" ref="F77:Q77" si="34">SUM(F66:F76)</f>
        <v>10</v>
      </c>
      <c r="G77" s="149">
        <f t="shared" si="34"/>
        <v>9</v>
      </c>
      <c r="H77" s="149">
        <f t="shared" si="34"/>
        <v>12</v>
      </c>
      <c r="I77" s="149">
        <f t="shared" si="34"/>
        <v>12</v>
      </c>
      <c r="J77" s="149">
        <f t="shared" si="34"/>
        <v>9</v>
      </c>
      <c r="K77" s="149">
        <f t="shared" si="34"/>
        <v>9</v>
      </c>
      <c r="L77" s="149">
        <f t="shared" si="34"/>
        <v>9</v>
      </c>
      <c r="M77" s="149">
        <f t="shared" si="34"/>
        <v>3</v>
      </c>
      <c r="N77" s="149">
        <f t="shared" si="34"/>
        <v>2</v>
      </c>
      <c r="O77" s="149">
        <f t="shared" si="34"/>
        <v>-2</v>
      </c>
      <c r="P77" s="149">
        <f t="shared" si="34"/>
        <v>-2</v>
      </c>
      <c r="Q77" s="149">
        <f t="shared" si="34"/>
        <v>-4</v>
      </c>
      <c r="S77" s="67"/>
    </row>
    <row r="78" spans="1:22" s="100" customFormat="1" x14ac:dyDescent="0.35">
      <c r="A78" s="76"/>
      <c r="D78" s="76"/>
      <c r="F78" s="366">
        <f t="shared" ref="F78:Q78" si="35">SUMPRODUCT(F66:F76,$E$66:$E$76)</f>
        <v>654292</v>
      </c>
      <c r="G78" s="366">
        <f t="shared" si="35"/>
        <v>614292</v>
      </c>
      <c r="H78" s="366">
        <f t="shared" si="35"/>
        <v>787282</v>
      </c>
      <c r="I78" s="366">
        <f t="shared" si="35"/>
        <v>787282</v>
      </c>
      <c r="J78" s="366">
        <f t="shared" si="35"/>
        <v>614292</v>
      </c>
      <c r="K78" s="366">
        <f t="shared" si="35"/>
        <v>614292</v>
      </c>
      <c r="L78" s="366">
        <f t="shared" si="35"/>
        <v>614292</v>
      </c>
      <c r="M78" s="366">
        <f t="shared" si="35"/>
        <v>339154</v>
      </c>
      <c r="N78" s="366">
        <f t="shared" si="35"/>
        <v>281585</v>
      </c>
      <c r="O78" s="366">
        <f t="shared" si="35"/>
        <v>44684</v>
      </c>
      <c r="P78" s="366">
        <f t="shared" si="35"/>
        <v>44684</v>
      </c>
      <c r="Q78" s="366">
        <f t="shared" si="35"/>
        <v>-52885</v>
      </c>
      <c r="S78" s="171"/>
    </row>
    <row r="79" spans="1:22" x14ac:dyDescent="0.35">
      <c r="B79" s="100" t="s">
        <v>343</v>
      </c>
      <c r="C79" s="100"/>
      <c r="F79" s="149"/>
      <c r="G79" s="149"/>
      <c r="H79" s="149"/>
      <c r="I79" s="149"/>
      <c r="J79" s="149"/>
      <c r="K79" s="149"/>
      <c r="L79" s="149"/>
      <c r="M79" s="149"/>
      <c r="N79" s="149"/>
      <c r="O79" s="149"/>
      <c r="P79" s="149"/>
      <c r="Q79" s="149"/>
      <c r="S79" s="67"/>
    </row>
    <row r="80" spans="1:22" x14ac:dyDescent="0.35">
      <c r="B80" t="s">
        <v>344</v>
      </c>
      <c r="F80" s="149">
        <f t="shared" ref="F80:Q80" si="36">F63</f>
        <v>63</v>
      </c>
      <c r="G80" s="149">
        <f t="shared" si="36"/>
        <v>63</v>
      </c>
      <c r="H80" s="149">
        <f t="shared" si="36"/>
        <v>63</v>
      </c>
      <c r="I80" s="149">
        <f t="shared" si="36"/>
        <v>63</v>
      </c>
      <c r="J80" s="149">
        <f t="shared" si="36"/>
        <v>63</v>
      </c>
      <c r="K80" s="149">
        <f t="shared" si="36"/>
        <v>63</v>
      </c>
      <c r="L80" s="149">
        <f t="shared" si="36"/>
        <v>63</v>
      </c>
      <c r="M80" s="149">
        <f t="shared" si="36"/>
        <v>63</v>
      </c>
      <c r="N80" s="149">
        <f t="shared" si="36"/>
        <v>63</v>
      </c>
      <c r="O80" s="149">
        <f t="shared" si="36"/>
        <v>63</v>
      </c>
      <c r="P80" s="149">
        <f t="shared" si="36"/>
        <v>63</v>
      </c>
      <c r="Q80" s="149">
        <f t="shared" si="36"/>
        <v>63</v>
      </c>
      <c r="S80" s="67"/>
    </row>
    <row r="81" spans="1:19" x14ac:dyDescent="0.35">
      <c r="B81" t="s">
        <v>345</v>
      </c>
      <c r="F81" s="149">
        <f>F77</f>
        <v>10</v>
      </c>
      <c r="G81" s="149">
        <f t="shared" ref="G81:Q81" si="37">G77</f>
        <v>9</v>
      </c>
      <c r="H81" s="149">
        <f t="shared" si="37"/>
        <v>12</v>
      </c>
      <c r="I81" s="149">
        <f t="shared" si="37"/>
        <v>12</v>
      </c>
      <c r="J81" s="149">
        <f t="shared" si="37"/>
        <v>9</v>
      </c>
      <c r="K81" s="149">
        <f t="shared" si="37"/>
        <v>9</v>
      </c>
      <c r="L81" s="149">
        <f t="shared" si="37"/>
        <v>9</v>
      </c>
      <c r="M81" s="149">
        <f t="shared" si="37"/>
        <v>3</v>
      </c>
      <c r="N81" s="149">
        <f t="shared" si="37"/>
        <v>2</v>
      </c>
      <c r="O81" s="149">
        <f t="shared" si="37"/>
        <v>-2</v>
      </c>
      <c r="P81" s="149">
        <f t="shared" si="37"/>
        <v>-2</v>
      </c>
      <c r="Q81" s="149">
        <f t="shared" si="37"/>
        <v>-4</v>
      </c>
      <c r="S81" s="67"/>
    </row>
    <row r="82" spans="1:19" s="100" customFormat="1" x14ac:dyDescent="0.35">
      <c r="A82" s="76"/>
      <c r="B82" s="100" t="s">
        <v>174</v>
      </c>
      <c r="D82" s="76"/>
      <c r="F82" s="366">
        <f>F81+F80</f>
        <v>73</v>
      </c>
      <c r="G82" s="366">
        <f t="shared" ref="G82:Q82" si="38">G81+G80</f>
        <v>72</v>
      </c>
      <c r="H82" s="366">
        <f t="shared" si="38"/>
        <v>75</v>
      </c>
      <c r="I82" s="366">
        <f t="shared" si="38"/>
        <v>75</v>
      </c>
      <c r="J82" s="366">
        <f t="shared" si="38"/>
        <v>72</v>
      </c>
      <c r="K82" s="366">
        <f t="shared" si="38"/>
        <v>72</v>
      </c>
      <c r="L82" s="366">
        <f t="shared" si="38"/>
        <v>72</v>
      </c>
      <c r="M82" s="366">
        <f t="shared" si="38"/>
        <v>66</v>
      </c>
      <c r="N82" s="366">
        <f t="shared" si="38"/>
        <v>65</v>
      </c>
      <c r="O82" s="366">
        <f t="shared" si="38"/>
        <v>61</v>
      </c>
      <c r="P82" s="366">
        <f t="shared" si="38"/>
        <v>61</v>
      </c>
      <c r="Q82" s="366">
        <f t="shared" si="38"/>
        <v>59</v>
      </c>
      <c r="S82" s="171"/>
    </row>
    <row r="83" spans="1:19" x14ac:dyDescent="0.35">
      <c r="B83" s="100" t="s">
        <v>309</v>
      </c>
      <c r="C83" s="100"/>
      <c r="F83" s="149"/>
      <c r="G83" s="149"/>
      <c r="H83" s="149"/>
      <c r="I83" s="149"/>
      <c r="J83" s="149"/>
      <c r="K83" s="149"/>
      <c r="L83" s="149"/>
      <c r="M83" s="149"/>
      <c r="N83" s="149"/>
      <c r="O83" s="149"/>
      <c r="P83" s="149"/>
      <c r="Q83" s="149"/>
      <c r="S83" s="67"/>
    </row>
    <row r="84" spans="1:19" x14ac:dyDescent="0.35">
      <c r="B84" t="s">
        <v>344</v>
      </c>
      <c r="F84" s="320">
        <f t="shared" ref="F84:Q84" si="39">F64</f>
        <v>3039649</v>
      </c>
      <c r="G84" s="320">
        <f t="shared" si="39"/>
        <v>3039649</v>
      </c>
      <c r="H84" s="320">
        <f t="shared" si="39"/>
        <v>3039649</v>
      </c>
      <c r="I84" s="320">
        <f t="shared" si="39"/>
        <v>3039649</v>
      </c>
      <c r="J84" s="320">
        <f t="shared" si="39"/>
        <v>3039649</v>
      </c>
      <c r="K84" s="320">
        <f t="shared" si="39"/>
        <v>3039649</v>
      </c>
      <c r="L84" s="320">
        <f t="shared" si="39"/>
        <v>3039649</v>
      </c>
      <c r="M84" s="320">
        <f t="shared" si="39"/>
        <v>3039649</v>
      </c>
      <c r="N84" s="320">
        <f t="shared" si="39"/>
        <v>3039649</v>
      </c>
      <c r="O84" s="320">
        <f t="shared" si="39"/>
        <v>3039649</v>
      </c>
      <c r="P84" s="320">
        <f t="shared" si="39"/>
        <v>3039649</v>
      </c>
      <c r="Q84" s="320">
        <f t="shared" si="39"/>
        <v>3039649</v>
      </c>
      <c r="S84" s="67"/>
    </row>
    <row r="85" spans="1:19" x14ac:dyDescent="0.35">
      <c r="B85" t="s">
        <v>345</v>
      </c>
      <c r="F85" s="320">
        <f>F78</f>
        <v>654292</v>
      </c>
      <c r="G85" s="320">
        <f t="shared" ref="G85:Q85" si="40">G78</f>
        <v>614292</v>
      </c>
      <c r="H85" s="320">
        <f t="shared" si="40"/>
        <v>787282</v>
      </c>
      <c r="I85" s="320">
        <f t="shared" si="40"/>
        <v>787282</v>
      </c>
      <c r="J85" s="320">
        <f t="shared" si="40"/>
        <v>614292</v>
      </c>
      <c r="K85" s="320">
        <f t="shared" si="40"/>
        <v>614292</v>
      </c>
      <c r="L85" s="320">
        <f t="shared" si="40"/>
        <v>614292</v>
      </c>
      <c r="M85" s="320">
        <f t="shared" si="40"/>
        <v>339154</v>
      </c>
      <c r="N85" s="320">
        <f t="shared" si="40"/>
        <v>281585</v>
      </c>
      <c r="O85" s="320">
        <f t="shared" si="40"/>
        <v>44684</v>
      </c>
      <c r="P85" s="320">
        <f t="shared" si="40"/>
        <v>44684</v>
      </c>
      <c r="Q85" s="320">
        <f t="shared" si="40"/>
        <v>-52885</v>
      </c>
      <c r="S85" s="67"/>
    </row>
    <row r="86" spans="1:19" x14ac:dyDescent="0.35">
      <c r="B86" s="100" t="s">
        <v>174</v>
      </c>
      <c r="C86" s="100"/>
      <c r="F86" s="366">
        <f t="shared" ref="F86:Q86" si="41">F85+F84</f>
        <v>3693941</v>
      </c>
      <c r="G86" s="366">
        <f t="shared" si="41"/>
        <v>3653941</v>
      </c>
      <c r="H86" s="366">
        <f t="shared" si="41"/>
        <v>3826931</v>
      </c>
      <c r="I86" s="366">
        <f t="shared" si="41"/>
        <v>3826931</v>
      </c>
      <c r="J86" s="366">
        <f t="shared" si="41"/>
        <v>3653941</v>
      </c>
      <c r="K86" s="366">
        <f t="shared" si="41"/>
        <v>3653941</v>
      </c>
      <c r="L86" s="366">
        <f t="shared" si="41"/>
        <v>3653941</v>
      </c>
      <c r="M86" s="366">
        <f t="shared" si="41"/>
        <v>3378803</v>
      </c>
      <c r="N86" s="366">
        <f t="shared" si="41"/>
        <v>3321234</v>
      </c>
      <c r="O86" s="366">
        <f t="shared" si="41"/>
        <v>3084333</v>
      </c>
      <c r="P86" s="366">
        <f t="shared" si="41"/>
        <v>3084333</v>
      </c>
      <c r="Q86" s="366">
        <f t="shared" si="41"/>
        <v>2986764</v>
      </c>
      <c r="S86" s="67"/>
    </row>
    <row r="87" spans="1:19" x14ac:dyDescent="0.35">
      <c r="B87" s="100"/>
      <c r="C87" s="100"/>
      <c r="F87" s="181"/>
      <c r="G87" s="181"/>
      <c r="H87" s="181"/>
      <c r="I87" s="181"/>
      <c r="J87" s="181"/>
      <c r="K87" s="181"/>
      <c r="L87" s="181"/>
      <c r="M87" s="181"/>
      <c r="N87" s="181"/>
      <c r="O87" s="181"/>
      <c r="P87" s="181"/>
      <c r="Q87" s="181"/>
      <c r="S87" s="67"/>
    </row>
    <row r="88" spans="1:19" x14ac:dyDescent="0.35">
      <c r="B88" s="183" t="s">
        <v>346</v>
      </c>
      <c r="C88" s="183"/>
      <c r="D88" s="185"/>
      <c r="E88" s="183"/>
      <c r="F88" s="183"/>
      <c r="G88" s="183"/>
      <c r="H88" s="183"/>
      <c r="I88" s="183"/>
      <c r="J88" s="183"/>
      <c r="K88" s="183"/>
      <c r="L88" s="183"/>
      <c r="M88" s="183"/>
      <c r="N88" s="183"/>
      <c r="O88" s="183"/>
      <c r="P88" s="183"/>
      <c r="Q88" s="183"/>
    </row>
    <row r="89" spans="1:19" x14ac:dyDescent="0.35">
      <c r="B89" s="100" t="s">
        <v>344</v>
      </c>
      <c r="C89" s="100"/>
    </row>
    <row r="90" spans="1:19" x14ac:dyDescent="0.35">
      <c r="B90" s="100" t="s">
        <v>347</v>
      </c>
      <c r="C90" s="100"/>
      <c r="E90" s="216"/>
    </row>
    <row r="91" spans="1:19" x14ac:dyDescent="0.35">
      <c r="B91" t="s">
        <v>348</v>
      </c>
      <c r="E91" s="323">
        <v>15656</v>
      </c>
      <c r="F91" s="372">
        <v>8</v>
      </c>
      <c r="G91" s="372">
        <v>8</v>
      </c>
      <c r="H91" s="372">
        <v>8</v>
      </c>
      <c r="I91" s="372">
        <v>8</v>
      </c>
      <c r="J91" s="372">
        <v>8</v>
      </c>
      <c r="K91" s="372">
        <v>8</v>
      </c>
      <c r="L91" s="372">
        <v>8</v>
      </c>
      <c r="M91" s="372">
        <v>8</v>
      </c>
      <c r="N91" s="372">
        <v>8</v>
      </c>
      <c r="O91" s="372">
        <v>8</v>
      </c>
      <c r="P91" s="372">
        <v>8</v>
      </c>
      <c r="Q91" s="372">
        <v>8</v>
      </c>
      <c r="R91" s="68"/>
    </row>
    <row r="92" spans="1:19" x14ac:dyDescent="0.35">
      <c r="B92" t="s">
        <v>349</v>
      </c>
      <c r="E92" s="323">
        <v>115000</v>
      </c>
      <c r="F92" s="372">
        <v>2</v>
      </c>
      <c r="G92" s="372">
        <v>2</v>
      </c>
      <c r="H92" s="372">
        <v>2</v>
      </c>
      <c r="I92" s="372">
        <v>2</v>
      </c>
      <c r="J92" s="372">
        <v>2</v>
      </c>
      <c r="K92" s="372">
        <v>2</v>
      </c>
      <c r="L92" s="372">
        <v>2</v>
      </c>
      <c r="M92" s="372">
        <v>2</v>
      </c>
      <c r="N92" s="372">
        <v>2</v>
      </c>
      <c r="O92" s="372">
        <v>2</v>
      </c>
      <c r="P92" s="372">
        <v>2</v>
      </c>
      <c r="Q92" s="372">
        <v>2</v>
      </c>
      <c r="R92" s="68"/>
    </row>
    <row r="93" spans="1:19" x14ac:dyDescent="0.35">
      <c r="B93" t="s">
        <v>350</v>
      </c>
      <c r="E93" s="323"/>
      <c r="F93" s="372"/>
      <c r="G93" s="372"/>
      <c r="H93" s="372"/>
      <c r="I93" s="372"/>
      <c r="J93" s="372"/>
      <c r="K93" s="372"/>
      <c r="L93" s="372"/>
      <c r="M93" s="372"/>
      <c r="N93" s="372"/>
      <c r="O93" s="372"/>
      <c r="P93" s="372"/>
      <c r="Q93" s="372"/>
      <c r="R93" s="68"/>
    </row>
    <row r="94" spans="1:19" x14ac:dyDescent="0.35">
      <c r="B94" t="s">
        <v>351</v>
      </c>
      <c r="E94" s="323"/>
      <c r="F94" s="372"/>
      <c r="G94" s="372"/>
      <c r="H94" s="372"/>
      <c r="I94" s="372"/>
      <c r="J94" s="372"/>
      <c r="K94" s="372"/>
      <c r="L94" s="372"/>
      <c r="M94" s="372"/>
      <c r="N94" s="372"/>
      <c r="O94" s="372"/>
      <c r="P94" s="372"/>
      <c r="Q94" s="372"/>
      <c r="R94" s="68"/>
    </row>
    <row r="95" spans="1:19" x14ac:dyDescent="0.35">
      <c r="B95" s="100" t="s">
        <v>352</v>
      </c>
      <c r="C95" s="100"/>
      <c r="E95" s="367"/>
    </row>
    <row r="96" spans="1:19" x14ac:dyDescent="0.35">
      <c r="B96" t="s">
        <v>353</v>
      </c>
      <c r="E96" s="367">
        <v>23436</v>
      </c>
      <c r="F96">
        <v>5</v>
      </c>
      <c r="G96">
        <v>5</v>
      </c>
      <c r="H96">
        <v>5</v>
      </c>
      <c r="I96">
        <v>5</v>
      </c>
      <c r="J96">
        <v>5</v>
      </c>
      <c r="K96">
        <v>5</v>
      </c>
      <c r="L96">
        <v>5</v>
      </c>
      <c r="M96">
        <v>5</v>
      </c>
      <c r="N96">
        <v>5</v>
      </c>
      <c r="O96">
        <v>5</v>
      </c>
      <c r="P96">
        <v>5</v>
      </c>
      <c r="Q96">
        <v>5</v>
      </c>
    </row>
    <row r="97" spans="2:17" x14ac:dyDescent="0.35">
      <c r="B97" t="s">
        <v>354</v>
      </c>
      <c r="E97" s="367">
        <v>95000</v>
      </c>
      <c r="F97">
        <v>1</v>
      </c>
      <c r="G97">
        <v>1</v>
      </c>
      <c r="H97">
        <v>1</v>
      </c>
      <c r="I97">
        <v>1</v>
      </c>
      <c r="J97">
        <v>1</v>
      </c>
      <c r="K97">
        <v>1</v>
      </c>
      <c r="L97">
        <v>1</v>
      </c>
      <c r="M97">
        <v>1</v>
      </c>
      <c r="N97">
        <v>1</v>
      </c>
      <c r="O97">
        <v>1</v>
      </c>
      <c r="P97">
        <v>1</v>
      </c>
      <c r="Q97">
        <v>1</v>
      </c>
    </row>
    <row r="98" spans="2:17" x14ac:dyDescent="0.35">
      <c r="B98" t="s">
        <v>355</v>
      </c>
      <c r="E98" s="367">
        <v>30000</v>
      </c>
      <c r="F98">
        <v>3</v>
      </c>
      <c r="G98">
        <v>3</v>
      </c>
      <c r="H98">
        <v>3</v>
      </c>
      <c r="I98">
        <v>3</v>
      </c>
      <c r="J98">
        <v>3</v>
      </c>
      <c r="K98">
        <v>3</v>
      </c>
      <c r="L98">
        <v>3</v>
      </c>
      <c r="M98">
        <v>3</v>
      </c>
      <c r="N98">
        <v>3</v>
      </c>
      <c r="O98">
        <v>3</v>
      </c>
      <c r="P98">
        <v>3</v>
      </c>
      <c r="Q98">
        <v>3</v>
      </c>
    </row>
    <row r="99" spans="2:17" x14ac:dyDescent="0.35">
      <c r="B99" s="100" t="s">
        <v>356</v>
      </c>
      <c r="C99" s="100"/>
      <c r="E99" s="367"/>
    </row>
    <row r="100" spans="2:17" x14ac:dyDescent="0.35">
      <c r="B100" t="s">
        <v>357</v>
      </c>
      <c r="E100" s="367"/>
    </row>
    <row r="101" spans="2:17" x14ac:dyDescent="0.35">
      <c r="B101" t="s">
        <v>358</v>
      </c>
      <c r="E101" s="367">
        <v>30000</v>
      </c>
      <c r="F101">
        <v>1</v>
      </c>
      <c r="G101">
        <v>1</v>
      </c>
      <c r="H101">
        <v>1</v>
      </c>
      <c r="I101">
        <v>1</v>
      </c>
      <c r="J101">
        <v>1</v>
      </c>
      <c r="K101">
        <v>1</v>
      </c>
      <c r="L101">
        <v>1</v>
      </c>
      <c r="M101">
        <v>1</v>
      </c>
      <c r="N101">
        <v>1</v>
      </c>
      <c r="O101">
        <v>1</v>
      </c>
      <c r="P101">
        <v>1</v>
      </c>
      <c r="Q101">
        <v>1</v>
      </c>
    </row>
    <row r="102" spans="2:17" x14ac:dyDescent="0.35">
      <c r="B102" t="s">
        <v>359</v>
      </c>
      <c r="E102" s="367">
        <v>125000</v>
      </c>
      <c r="F102">
        <v>1</v>
      </c>
      <c r="G102">
        <v>1</v>
      </c>
      <c r="H102">
        <v>1</v>
      </c>
      <c r="I102">
        <v>1</v>
      </c>
      <c r="J102">
        <v>1</v>
      </c>
      <c r="K102">
        <v>1</v>
      </c>
      <c r="L102">
        <v>1</v>
      </c>
      <c r="M102">
        <v>1</v>
      </c>
      <c r="N102">
        <v>1</v>
      </c>
      <c r="O102">
        <v>1</v>
      </c>
      <c r="P102">
        <v>1</v>
      </c>
      <c r="Q102">
        <v>1</v>
      </c>
    </row>
    <row r="103" spans="2:17" x14ac:dyDescent="0.35">
      <c r="B103" s="100" t="s">
        <v>346</v>
      </c>
      <c r="C103" s="100"/>
      <c r="E103" s="179"/>
      <c r="F103" s="100">
        <f t="shared" ref="F103:Q103" si="42">SUM(F91:F102)</f>
        <v>21</v>
      </c>
      <c r="G103" s="100">
        <f t="shared" si="42"/>
        <v>21</v>
      </c>
      <c r="H103" s="100">
        <f t="shared" si="42"/>
        <v>21</v>
      </c>
      <c r="I103" s="100">
        <f t="shared" si="42"/>
        <v>21</v>
      </c>
      <c r="J103" s="100">
        <f t="shared" si="42"/>
        <v>21</v>
      </c>
      <c r="K103" s="100">
        <f t="shared" si="42"/>
        <v>21</v>
      </c>
      <c r="L103" s="100">
        <f t="shared" si="42"/>
        <v>21</v>
      </c>
      <c r="M103" s="100">
        <f t="shared" si="42"/>
        <v>21</v>
      </c>
      <c r="N103" s="100">
        <f t="shared" si="42"/>
        <v>21</v>
      </c>
      <c r="O103" s="100">
        <f t="shared" si="42"/>
        <v>21</v>
      </c>
      <c r="P103" s="100">
        <f t="shared" si="42"/>
        <v>21</v>
      </c>
      <c r="Q103" s="100">
        <f t="shared" si="42"/>
        <v>21</v>
      </c>
    </row>
    <row r="104" spans="2:17" x14ac:dyDescent="0.35">
      <c r="B104" s="100" t="s">
        <v>289</v>
      </c>
      <c r="C104" s="100"/>
      <c r="E104" s="66"/>
      <c r="F104" s="66">
        <f t="shared" ref="F104:Q104" si="43">SUMPRODUCT(F91:F102,$E$91:$E$102)</f>
        <v>812428</v>
      </c>
      <c r="G104" s="66">
        <f t="shared" si="43"/>
        <v>812428</v>
      </c>
      <c r="H104" s="66">
        <f t="shared" si="43"/>
        <v>812428</v>
      </c>
      <c r="I104" s="66">
        <f t="shared" si="43"/>
        <v>812428</v>
      </c>
      <c r="J104" s="66">
        <f t="shared" si="43"/>
        <v>812428</v>
      </c>
      <c r="K104" s="66">
        <f t="shared" si="43"/>
        <v>812428</v>
      </c>
      <c r="L104" s="66">
        <f t="shared" si="43"/>
        <v>812428</v>
      </c>
      <c r="M104" s="66">
        <f t="shared" si="43"/>
        <v>812428</v>
      </c>
      <c r="N104" s="66">
        <f t="shared" si="43"/>
        <v>812428</v>
      </c>
      <c r="O104" s="66">
        <f t="shared" si="43"/>
        <v>812428</v>
      </c>
      <c r="P104" s="66">
        <f t="shared" si="43"/>
        <v>812428</v>
      </c>
      <c r="Q104" s="66">
        <f t="shared" si="43"/>
        <v>812428</v>
      </c>
    </row>
    <row r="105" spans="2:17" x14ac:dyDescent="0.35">
      <c r="B105" s="100"/>
      <c r="C105" s="100"/>
      <c r="E105" s="66"/>
      <c r="F105" s="68"/>
    </row>
    <row r="106" spans="2:17" x14ac:dyDescent="0.35">
      <c r="B106" s="100" t="s">
        <v>360</v>
      </c>
      <c r="C106" s="100"/>
      <c r="E106" s="66"/>
      <c r="F106" s="68"/>
      <c r="K106" s="68"/>
    </row>
    <row r="107" spans="2:17" x14ac:dyDescent="0.35">
      <c r="B107" s="100" t="s">
        <v>347</v>
      </c>
      <c r="C107" s="100"/>
      <c r="E107" s="66"/>
    </row>
    <row r="108" spans="2:17" x14ac:dyDescent="0.35">
      <c r="B108" t="s">
        <v>348</v>
      </c>
      <c r="E108" s="66">
        <v>20000</v>
      </c>
      <c r="F108" s="41"/>
      <c r="G108" s="41"/>
      <c r="H108" s="41"/>
      <c r="I108" s="41"/>
      <c r="J108" s="41"/>
      <c r="K108" s="41"/>
      <c r="L108" s="41"/>
      <c r="M108" s="41"/>
      <c r="N108" s="41"/>
      <c r="O108" s="41"/>
      <c r="P108" s="41"/>
      <c r="Q108" s="41"/>
    </row>
    <row r="109" spans="2:17" x14ac:dyDescent="0.35">
      <c r="B109" t="s">
        <v>349</v>
      </c>
      <c r="E109" s="367">
        <v>55928</v>
      </c>
      <c r="F109" s="41"/>
      <c r="G109" s="41"/>
      <c r="H109" s="41"/>
      <c r="I109" s="41"/>
      <c r="J109" s="41"/>
      <c r="K109" s="41"/>
      <c r="L109" s="41"/>
      <c r="M109" s="41"/>
      <c r="N109" s="41"/>
      <c r="O109" s="41"/>
      <c r="P109" s="41"/>
      <c r="Q109" s="41"/>
    </row>
    <row r="110" spans="2:17" x14ac:dyDescent="0.35">
      <c r="B110" t="s">
        <v>350</v>
      </c>
      <c r="E110" s="66">
        <f>369*84</f>
        <v>30996</v>
      </c>
      <c r="F110" s="41"/>
      <c r="G110" s="41"/>
      <c r="H110" s="41"/>
      <c r="I110" s="41"/>
      <c r="J110" s="41"/>
      <c r="K110" s="41"/>
      <c r="L110" s="41"/>
      <c r="M110" s="41"/>
      <c r="N110" s="41"/>
      <c r="O110" s="41"/>
      <c r="P110" s="41"/>
      <c r="Q110" s="41"/>
    </row>
    <row r="111" spans="2:17" x14ac:dyDescent="0.35">
      <c r="B111" t="s">
        <v>361</v>
      </c>
      <c r="E111" s="66">
        <v>50000</v>
      </c>
      <c r="F111" s="41"/>
      <c r="G111" s="41"/>
      <c r="H111" s="41"/>
      <c r="I111" s="41"/>
      <c r="J111" s="41"/>
      <c r="K111" s="41"/>
      <c r="L111" s="41"/>
      <c r="M111" s="41"/>
      <c r="N111" s="41"/>
      <c r="O111" s="41"/>
      <c r="P111" s="41"/>
      <c r="Q111" s="41"/>
    </row>
    <row r="112" spans="2:17" x14ac:dyDescent="0.35">
      <c r="B112" s="100" t="s">
        <v>352</v>
      </c>
      <c r="C112" s="100"/>
      <c r="E112" s="66"/>
    </row>
    <row r="113" spans="2:17" x14ac:dyDescent="0.35">
      <c r="B113" t="s">
        <v>353</v>
      </c>
      <c r="E113" s="367">
        <v>25000</v>
      </c>
      <c r="F113" s="41"/>
      <c r="G113" s="41"/>
      <c r="H113" s="41"/>
      <c r="I113" s="41"/>
      <c r="J113" s="41"/>
      <c r="K113" s="41"/>
      <c r="L113" s="41"/>
      <c r="M113" s="41"/>
      <c r="N113" s="41"/>
      <c r="O113" s="41"/>
      <c r="P113" s="41"/>
      <c r="Q113" s="41"/>
    </row>
    <row r="114" spans="2:17" x14ac:dyDescent="0.35">
      <c r="B114" t="s">
        <v>354</v>
      </c>
      <c r="E114" s="367">
        <v>95000</v>
      </c>
      <c r="F114" s="41"/>
      <c r="G114" s="41"/>
      <c r="H114" s="41"/>
      <c r="I114" s="41"/>
      <c r="J114" s="41"/>
      <c r="K114" s="41"/>
      <c r="L114" s="41"/>
      <c r="M114" s="41"/>
      <c r="N114" s="41"/>
      <c r="O114" s="41"/>
      <c r="P114" s="41"/>
      <c r="Q114" s="41"/>
    </row>
    <row r="115" spans="2:17" x14ac:dyDescent="0.35">
      <c r="B115" t="s">
        <v>355</v>
      </c>
      <c r="E115" s="367">
        <v>18285</v>
      </c>
      <c r="F115" s="41"/>
      <c r="G115" s="41"/>
      <c r="H115" s="41"/>
      <c r="I115" s="41"/>
      <c r="J115" s="41"/>
      <c r="K115" s="41"/>
      <c r="L115" s="41"/>
      <c r="M115" s="41"/>
      <c r="N115" s="41"/>
      <c r="O115" s="41"/>
      <c r="P115" s="41"/>
      <c r="Q115" s="41"/>
    </row>
    <row r="116" spans="2:17" x14ac:dyDescent="0.35">
      <c r="B116" s="100" t="s">
        <v>356</v>
      </c>
      <c r="C116" s="100"/>
      <c r="E116" s="66"/>
      <c r="F116" s="66"/>
      <c r="G116" s="66"/>
      <c r="H116" s="66"/>
      <c r="I116" s="66"/>
      <c r="J116" s="66"/>
      <c r="K116" s="66"/>
      <c r="L116" s="66"/>
      <c r="M116" s="66"/>
      <c r="N116" s="66"/>
      <c r="O116" s="66"/>
      <c r="P116" s="66"/>
      <c r="Q116" s="66"/>
    </row>
    <row r="117" spans="2:17" x14ac:dyDescent="0.35">
      <c r="B117" t="s">
        <v>357</v>
      </c>
      <c r="E117" s="66">
        <v>27000</v>
      </c>
      <c r="F117" s="41"/>
      <c r="G117" s="41"/>
      <c r="H117" s="41"/>
      <c r="I117" s="41"/>
      <c r="J117" s="41"/>
      <c r="K117" s="41"/>
      <c r="L117" s="41"/>
      <c r="M117" s="41"/>
      <c r="N117" s="41"/>
      <c r="O117" s="41"/>
      <c r="P117" s="41"/>
      <c r="Q117" s="41"/>
    </row>
    <row r="118" spans="2:17" x14ac:dyDescent="0.35">
      <c r="B118" t="s">
        <v>358</v>
      </c>
      <c r="E118" s="66">
        <v>30000</v>
      </c>
      <c r="F118" s="41"/>
      <c r="G118" s="41"/>
      <c r="H118" s="41"/>
      <c r="I118" s="41"/>
      <c r="J118" s="41"/>
      <c r="K118" s="41"/>
      <c r="L118" s="41"/>
      <c r="M118" s="41"/>
      <c r="N118" s="41"/>
      <c r="O118" s="41"/>
      <c r="P118" s="41"/>
      <c r="Q118" s="41"/>
    </row>
    <row r="119" spans="2:17" x14ac:dyDescent="0.35">
      <c r="B119" t="s">
        <v>359</v>
      </c>
      <c r="E119" s="66"/>
      <c r="F119" s="41"/>
      <c r="G119" s="41"/>
      <c r="H119" s="41"/>
      <c r="I119" s="41"/>
      <c r="J119" s="41"/>
      <c r="K119" s="41"/>
      <c r="L119" s="41"/>
      <c r="M119" s="41"/>
      <c r="N119" s="41"/>
      <c r="O119" s="41"/>
      <c r="P119" s="41"/>
      <c r="Q119" s="41"/>
    </row>
    <row r="120" spans="2:17" x14ac:dyDescent="0.35">
      <c r="B120" s="100" t="s">
        <v>346</v>
      </c>
      <c r="C120" s="100"/>
      <c r="E120" s="179"/>
      <c r="F120" s="100">
        <f t="shared" ref="F120:Q120" si="44">SUM(F108:F119)</f>
        <v>0</v>
      </c>
      <c r="G120" s="100">
        <f t="shared" si="44"/>
        <v>0</v>
      </c>
      <c r="H120" s="100">
        <f t="shared" si="44"/>
        <v>0</v>
      </c>
      <c r="I120" s="100">
        <f t="shared" si="44"/>
        <v>0</v>
      </c>
      <c r="J120" s="100">
        <f t="shared" si="44"/>
        <v>0</v>
      </c>
      <c r="K120" s="100">
        <f t="shared" si="44"/>
        <v>0</v>
      </c>
      <c r="L120" s="100">
        <f t="shared" si="44"/>
        <v>0</v>
      </c>
      <c r="M120" s="100">
        <f t="shared" si="44"/>
        <v>0</v>
      </c>
      <c r="N120" s="100">
        <f t="shared" si="44"/>
        <v>0</v>
      </c>
      <c r="O120" s="100">
        <f t="shared" si="44"/>
        <v>0</v>
      </c>
      <c r="P120" s="100">
        <f t="shared" si="44"/>
        <v>0</v>
      </c>
      <c r="Q120" s="100">
        <f t="shared" si="44"/>
        <v>0</v>
      </c>
    </row>
    <row r="121" spans="2:17" x14ac:dyDescent="0.35">
      <c r="B121" s="100" t="s">
        <v>289</v>
      </c>
      <c r="C121" s="100"/>
      <c r="E121" s="179"/>
      <c r="F121" s="179">
        <f t="shared" ref="F121:Q121" si="45">SUMPRODUCT(F108:F119,$E$108:$E$119)</f>
        <v>0</v>
      </c>
      <c r="G121" s="179">
        <f t="shared" si="45"/>
        <v>0</v>
      </c>
      <c r="H121" s="179">
        <f t="shared" si="45"/>
        <v>0</v>
      </c>
      <c r="I121" s="179">
        <f t="shared" si="45"/>
        <v>0</v>
      </c>
      <c r="J121" s="179">
        <f t="shared" si="45"/>
        <v>0</v>
      </c>
      <c r="K121" s="179">
        <f t="shared" si="45"/>
        <v>0</v>
      </c>
      <c r="L121" s="179">
        <f t="shared" si="45"/>
        <v>0</v>
      </c>
      <c r="M121" s="179">
        <f t="shared" si="45"/>
        <v>0</v>
      </c>
      <c r="N121" s="179">
        <f t="shared" si="45"/>
        <v>0</v>
      </c>
      <c r="O121" s="179">
        <f t="shared" si="45"/>
        <v>0</v>
      </c>
      <c r="P121" s="179">
        <f t="shared" si="45"/>
        <v>0</v>
      </c>
      <c r="Q121" s="179">
        <f t="shared" si="45"/>
        <v>0</v>
      </c>
    </row>
    <row r="122" spans="2:17" x14ac:dyDescent="0.35">
      <c r="B122" s="100"/>
      <c r="C122" s="100"/>
      <c r="E122" s="179"/>
      <c r="F122" s="100"/>
      <c r="G122" s="100"/>
      <c r="H122" s="100"/>
      <c r="I122" s="100"/>
      <c r="J122" s="100"/>
      <c r="K122" s="100"/>
      <c r="L122" s="100"/>
      <c r="M122" s="100"/>
      <c r="N122" s="100"/>
      <c r="O122" s="100"/>
      <c r="P122" s="100"/>
      <c r="Q122" s="100"/>
    </row>
    <row r="123" spans="2:17" x14ac:dyDescent="0.35">
      <c r="B123" s="100" t="s">
        <v>174</v>
      </c>
      <c r="C123" s="100"/>
      <c r="E123" s="66"/>
    </row>
    <row r="124" spans="2:17" x14ac:dyDescent="0.35">
      <c r="B124" s="100" t="s">
        <v>347</v>
      </c>
      <c r="C124" s="100"/>
      <c r="E124" s="66"/>
    </row>
    <row r="125" spans="2:17" x14ac:dyDescent="0.35">
      <c r="B125" t="s">
        <v>348</v>
      </c>
      <c r="E125" s="66"/>
      <c r="F125">
        <f t="shared" ref="F125:Q125" si="46">F108+F91</f>
        <v>8</v>
      </c>
      <c r="G125">
        <f t="shared" si="46"/>
        <v>8</v>
      </c>
      <c r="H125">
        <f t="shared" si="46"/>
        <v>8</v>
      </c>
      <c r="I125">
        <f t="shared" si="46"/>
        <v>8</v>
      </c>
      <c r="J125">
        <f t="shared" si="46"/>
        <v>8</v>
      </c>
      <c r="K125">
        <f t="shared" si="46"/>
        <v>8</v>
      </c>
      <c r="L125">
        <f t="shared" si="46"/>
        <v>8</v>
      </c>
      <c r="M125">
        <f t="shared" si="46"/>
        <v>8</v>
      </c>
      <c r="N125">
        <f t="shared" si="46"/>
        <v>8</v>
      </c>
      <c r="O125">
        <f t="shared" si="46"/>
        <v>8</v>
      </c>
      <c r="P125">
        <f t="shared" si="46"/>
        <v>8</v>
      </c>
      <c r="Q125">
        <f t="shared" si="46"/>
        <v>8</v>
      </c>
    </row>
    <row r="126" spans="2:17" x14ac:dyDescent="0.35">
      <c r="B126" t="s">
        <v>349</v>
      </c>
      <c r="E126" s="66"/>
      <c r="F126">
        <f t="shared" ref="F126:Q126" si="47">F109+F92</f>
        <v>2</v>
      </c>
      <c r="G126">
        <f t="shared" si="47"/>
        <v>2</v>
      </c>
      <c r="H126">
        <f t="shared" si="47"/>
        <v>2</v>
      </c>
      <c r="I126">
        <f t="shared" si="47"/>
        <v>2</v>
      </c>
      <c r="J126">
        <f t="shared" si="47"/>
        <v>2</v>
      </c>
      <c r="K126">
        <f t="shared" si="47"/>
        <v>2</v>
      </c>
      <c r="L126">
        <f t="shared" si="47"/>
        <v>2</v>
      </c>
      <c r="M126">
        <f t="shared" si="47"/>
        <v>2</v>
      </c>
      <c r="N126">
        <f t="shared" si="47"/>
        <v>2</v>
      </c>
      <c r="O126">
        <f t="shared" si="47"/>
        <v>2</v>
      </c>
      <c r="P126">
        <f t="shared" si="47"/>
        <v>2</v>
      </c>
      <c r="Q126">
        <f t="shared" si="47"/>
        <v>2</v>
      </c>
    </row>
    <row r="127" spans="2:17" x14ac:dyDescent="0.35">
      <c r="B127" t="s">
        <v>350</v>
      </c>
      <c r="E127" s="66"/>
      <c r="F127">
        <f t="shared" ref="F127:Q127" si="48">F110+F93</f>
        <v>0</v>
      </c>
      <c r="G127">
        <f t="shared" si="48"/>
        <v>0</v>
      </c>
      <c r="H127">
        <f t="shared" si="48"/>
        <v>0</v>
      </c>
      <c r="I127">
        <f t="shared" si="48"/>
        <v>0</v>
      </c>
      <c r="J127">
        <f t="shared" si="48"/>
        <v>0</v>
      </c>
      <c r="K127">
        <f t="shared" si="48"/>
        <v>0</v>
      </c>
      <c r="L127">
        <f t="shared" si="48"/>
        <v>0</v>
      </c>
      <c r="M127">
        <f t="shared" si="48"/>
        <v>0</v>
      </c>
      <c r="N127">
        <f t="shared" si="48"/>
        <v>0</v>
      </c>
      <c r="O127">
        <f t="shared" si="48"/>
        <v>0</v>
      </c>
      <c r="P127">
        <f t="shared" si="48"/>
        <v>0</v>
      </c>
      <c r="Q127">
        <f t="shared" si="48"/>
        <v>0</v>
      </c>
    </row>
    <row r="128" spans="2:17" x14ac:dyDescent="0.35">
      <c r="B128" t="s">
        <v>361</v>
      </c>
      <c r="E128" s="66"/>
      <c r="F128">
        <f t="shared" ref="F128:Q128" si="49">F111+F94</f>
        <v>0</v>
      </c>
      <c r="G128">
        <f t="shared" si="49"/>
        <v>0</v>
      </c>
      <c r="H128">
        <f t="shared" si="49"/>
        <v>0</v>
      </c>
      <c r="I128">
        <f t="shared" si="49"/>
        <v>0</v>
      </c>
      <c r="J128">
        <f t="shared" si="49"/>
        <v>0</v>
      </c>
      <c r="K128">
        <f t="shared" si="49"/>
        <v>0</v>
      </c>
      <c r="L128">
        <f t="shared" si="49"/>
        <v>0</v>
      </c>
      <c r="M128">
        <f t="shared" si="49"/>
        <v>0</v>
      </c>
      <c r="N128">
        <f t="shared" si="49"/>
        <v>0</v>
      </c>
      <c r="O128">
        <f t="shared" si="49"/>
        <v>0</v>
      </c>
      <c r="P128">
        <f t="shared" si="49"/>
        <v>0</v>
      </c>
      <c r="Q128">
        <f t="shared" si="49"/>
        <v>0</v>
      </c>
    </row>
    <row r="129" spans="2:17" x14ac:dyDescent="0.35">
      <c r="B129" s="100" t="s">
        <v>352</v>
      </c>
      <c r="C129" s="100"/>
      <c r="E129" s="66"/>
    </row>
    <row r="130" spans="2:17" x14ac:dyDescent="0.35">
      <c r="B130" t="s">
        <v>353</v>
      </c>
      <c r="E130" s="66"/>
      <c r="F130">
        <f t="shared" ref="F130:Q130" si="50">F113+F96</f>
        <v>5</v>
      </c>
      <c r="G130">
        <f t="shared" si="50"/>
        <v>5</v>
      </c>
      <c r="H130">
        <f t="shared" si="50"/>
        <v>5</v>
      </c>
      <c r="I130">
        <f t="shared" si="50"/>
        <v>5</v>
      </c>
      <c r="J130">
        <f t="shared" si="50"/>
        <v>5</v>
      </c>
      <c r="K130">
        <f t="shared" si="50"/>
        <v>5</v>
      </c>
      <c r="L130">
        <f t="shared" si="50"/>
        <v>5</v>
      </c>
      <c r="M130">
        <f t="shared" si="50"/>
        <v>5</v>
      </c>
      <c r="N130">
        <f t="shared" si="50"/>
        <v>5</v>
      </c>
      <c r="O130">
        <f t="shared" si="50"/>
        <v>5</v>
      </c>
      <c r="P130">
        <f t="shared" si="50"/>
        <v>5</v>
      </c>
      <c r="Q130">
        <f t="shared" si="50"/>
        <v>5</v>
      </c>
    </row>
    <row r="131" spans="2:17" x14ac:dyDescent="0.35">
      <c r="B131" t="s">
        <v>354</v>
      </c>
      <c r="E131" s="66"/>
      <c r="F131">
        <v>1</v>
      </c>
      <c r="G131">
        <v>1</v>
      </c>
      <c r="H131">
        <v>1</v>
      </c>
      <c r="I131">
        <v>1</v>
      </c>
      <c r="J131">
        <v>1</v>
      </c>
      <c r="K131">
        <v>1</v>
      </c>
      <c r="L131">
        <v>1</v>
      </c>
      <c r="M131">
        <v>1</v>
      </c>
      <c r="N131">
        <v>1</v>
      </c>
      <c r="O131">
        <v>1</v>
      </c>
      <c r="P131">
        <v>1</v>
      </c>
      <c r="Q131">
        <v>1</v>
      </c>
    </row>
    <row r="132" spans="2:17" x14ac:dyDescent="0.35">
      <c r="B132" t="s">
        <v>355</v>
      </c>
      <c r="E132" s="66"/>
      <c r="F132">
        <f t="shared" ref="F132:Q132" si="51">F115+F98</f>
        <v>3</v>
      </c>
      <c r="G132">
        <f t="shared" si="51"/>
        <v>3</v>
      </c>
      <c r="H132">
        <f t="shared" si="51"/>
        <v>3</v>
      </c>
      <c r="I132">
        <f t="shared" si="51"/>
        <v>3</v>
      </c>
      <c r="J132">
        <f t="shared" si="51"/>
        <v>3</v>
      </c>
      <c r="K132">
        <f t="shared" si="51"/>
        <v>3</v>
      </c>
      <c r="L132">
        <f t="shared" si="51"/>
        <v>3</v>
      </c>
      <c r="M132">
        <f t="shared" si="51"/>
        <v>3</v>
      </c>
      <c r="N132">
        <f t="shared" si="51"/>
        <v>3</v>
      </c>
      <c r="O132">
        <f t="shared" si="51"/>
        <v>3</v>
      </c>
      <c r="P132">
        <f t="shared" si="51"/>
        <v>3</v>
      </c>
      <c r="Q132">
        <f t="shared" si="51"/>
        <v>3</v>
      </c>
    </row>
    <row r="133" spans="2:17" x14ac:dyDescent="0.35">
      <c r="B133" s="100" t="s">
        <v>356</v>
      </c>
      <c r="C133" s="100"/>
      <c r="E133" s="66"/>
    </row>
    <row r="134" spans="2:17" x14ac:dyDescent="0.35">
      <c r="B134" t="s">
        <v>357</v>
      </c>
      <c r="E134" s="66"/>
      <c r="F134">
        <f t="shared" ref="F134:Q134" si="52">F117+F100</f>
        <v>0</v>
      </c>
      <c r="G134">
        <f t="shared" si="52"/>
        <v>0</v>
      </c>
      <c r="H134">
        <f t="shared" si="52"/>
        <v>0</v>
      </c>
      <c r="I134">
        <f t="shared" si="52"/>
        <v>0</v>
      </c>
      <c r="J134">
        <f t="shared" si="52"/>
        <v>0</v>
      </c>
      <c r="K134">
        <f t="shared" si="52"/>
        <v>0</v>
      </c>
      <c r="L134">
        <f t="shared" si="52"/>
        <v>0</v>
      </c>
      <c r="M134">
        <f t="shared" si="52"/>
        <v>0</v>
      </c>
      <c r="N134">
        <f t="shared" si="52"/>
        <v>0</v>
      </c>
      <c r="O134">
        <f t="shared" si="52"/>
        <v>0</v>
      </c>
      <c r="P134">
        <f t="shared" si="52"/>
        <v>0</v>
      </c>
      <c r="Q134">
        <f t="shared" si="52"/>
        <v>0</v>
      </c>
    </row>
    <row r="135" spans="2:17" x14ac:dyDescent="0.35">
      <c r="B135" t="s">
        <v>358</v>
      </c>
      <c r="E135" s="66"/>
      <c r="F135">
        <f t="shared" ref="F135:Q135" si="53">F118+F101</f>
        <v>1</v>
      </c>
      <c r="G135">
        <f t="shared" si="53"/>
        <v>1</v>
      </c>
      <c r="H135">
        <f t="shared" si="53"/>
        <v>1</v>
      </c>
      <c r="I135">
        <f t="shared" si="53"/>
        <v>1</v>
      </c>
      <c r="J135">
        <f t="shared" si="53"/>
        <v>1</v>
      </c>
      <c r="K135">
        <f t="shared" si="53"/>
        <v>1</v>
      </c>
      <c r="L135">
        <f t="shared" si="53"/>
        <v>1</v>
      </c>
      <c r="M135">
        <f t="shared" si="53"/>
        <v>1</v>
      </c>
      <c r="N135">
        <f t="shared" si="53"/>
        <v>1</v>
      </c>
      <c r="O135">
        <f t="shared" si="53"/>
        <v>1</v>
      </c>
      <c r="P135">
        <f t="shared" si="53"/>
        <v>1</v>
      </c>
      <c r="Q135">
        <f t="shared" si="53"/>
        <v>1</v>
      </c>
    </row>
    <row r="136" spans="2:17" x14ac:dyDescent="0.35">
      <c r="B136" t="s">
        <v>359</v>
      </c>
      <c r="E136" s="66"/>
      <c r="F136">
        <f t="shared" ref="F136:Q136" si="54">F119+F102</f>
        <v>1</v>
      </c>
      <c r="G136">
        <f t="shared" si="54"/>
        <v>1</v>
      </c>
      <c r="H136">
        <f t="shared" si="54"/>
        <v>1</v>
      </c>
      <c r="I136">
        <f t="shared" si="54"/>
        <v>1</v>
      </c>
      <c r="J136">
        <f t="shared" si="54"/>
        <v>1</v>
      </c>
      <c r="K136">
        <f t="shared" si="54"/>
        <v>1</v>
      </c>
      <c r="L136">
        <f t="shared" si="54"/>
        <v>1</v>
      </c>
      <c r="M136">
        <f t="shared" si="54"/>
        <v>1</v>
      </c>
      <c r="N136">
        <f t="shared" si="54"/>
        <v>1</v>
      </c>
      <c r="O136">
        <f t="shared" si="54"/>
        <v>1</v>
      </c>
      <c r="P136">
        <f t="shared" si="54"/>
        <v>1</v>
      </c>
      <c r="Q136">
        <f t="shared" si="54"/>
        <v>1</v>
      </c>
    </row>
    <row r="137" spans="2:17" x14ac:dyDescent="0.35">
      <c r="B137" s="100" t="s">
        <v>346</v>
      </c>
      <c r="C137" s="100"/>
      <c r="E137" s="66"/>
      <c r="F137" s="100">
        <f t="shared" ref="F137:Q137" si="55">SUM(F125:F136)</f>
        <v>21</v>
      </c>
      <c r="G137" s="100">
        <f t="shared" si="55"/>
        <v>21</v>
      </c>
      <c r="H137" s="100">
        <f t="shared" si="55"/>
        <v>21</v>
      </c>
      <c r="I137" s="100">
        <f t="shared" si="55"/>
        <v>21</v>
      </c>
      <c r="J137" s="100">
        <f t="shared" si="55"/>
        <v>21</v>
      </c>
      <c r="K137" s="100">
        <f t="shared" si="55"/>
        <v>21</v>
      </c>
      <c r="L137" s="100">
        <f t="shared" si="55"/>
        <v>21</v>
      </c>
      <c r="M137" s="100">
        <f t="shared" si="55"/>
        <v>21</v>
      </c>
      <c r="N137" s="100">
        <f t="shared" si="55"/>
        <v>21</v>
      </c>
      <c r="O137" s="100">
        <f t="shared" si="55"/>
        <v>21</v>
      </c>
      <c r="P137" s="100">
        <f t="shared" si="55"/>
        <v>21</v>
      </c>
      <c r="Q137" s="100">
        <f t="shared" si="55"/>
        <v>21</v>
      </c>
    </row>
    <row r="138" spans="2:17" x14ac:dyDescent="0.35">
      <c r="B138" s="100" t="s">
        <v>289</v>
      </c>
      <c r="C138" s="100"/>
      <c r="E138" s="66"/>
      <c r="F138" s="179">
        <f t="shared" ref="F138:Q138" si="56">F121+F104</f>
        <v>812428</v>
      </c>
      <c r="G138" s="179">
        <f t="shared" si="56"/>
        <v>812428</v>
      </c>
      <c r="H138" s="179">
        <f t="shared" si="56"/>
        <v>812428</v>
      </c>
      <c r="I138" s="179">
        <f t="shared" si="56"/>
        <v>812428</v>
      </c>
      <c r="J138" s="179">
        <f t="shared" si="56"/>
        <v>812428</v>
      </c>
      <c r="K138" s="179">
        <f t="shared" si="56"/>
        <v>812428</v>
      </c>
      <c r="L138" s="179">
        <f t="shared" si="56"/>
        <v>812428</v>
      </c>
      <c r="M138" s="179">
        <f t="shared" si="56"/>
        <v>812428</v>
      </c>
      <c r="N138" s="179">
        <f t="shared" si="56"/>
        <v>812428</v>
      </c>
      <c r="O138" s="179">
        <f t="shared" si="56"/>
        <v>812428</v>
      </c>
      <c r="P138" s="179">
        <f t="shared" si="56"/>
        <v>812428</v>
      </c>
      <c r="Q138" s="179">
        <f t="shared" si="56"/>
        <v>812428</v>
      </c>
    </row>
    <row r="139" spans="2:17" x14ac:dyDescent="0.35">
      <c r="B139" s="100"/>
      <c r="C139" s="100"/>
      <c r="E139" s="66"/>
      <c r="F139" s="100"/>
      <c r="G139" s="100"/>
      <c r="H139" s="100"/>
      <c r="I139" s="100"/>
      <c r="J139" s="100"/>
      <c r="K139" s="100"/>
      <c r="L139" s="100"/>
      <c r="M139" s="100"/>
      <c r="N139" s="100"/>
      <c r="O139" s="100"/>
      <c r="P139" s="100"/>
      <c r="Q139" s="100"/>
    </row>
    <row r="140" spans="2:17" x14ac:dyDescent="0.35">
      <c r="B140" s="100" t="s">
        <v>343</v>
      </c>
      <c r="C140" s="100"/>
      <c r="E140" s="66"/>
      <c r="F140" s="100"/>
      <c r="G140" s="100"/>
      <c r="H140" s="100"/>
      <c r="I140" s="100"/>
      <c r="J140" s="100"/>
      <c r="K140" s="100"/>
      <c r="L140" s="100"/>
      <c r="M140" s="100"/>
      <c r="N140" s="100"/>
      <c r="O140" s="100"/>
      <c r="P140" s="100"/>
      <c r="Q140" s="100"/>
    </row>
    <row r="141" spans="2:17" x14ac:dyDescent="0.35">
      <c r="B141" t="s">
        <v>344</v>
      </c>
      <c r="E141" s="66"/>
      <c r="F141">
        <f t="shared" ref="F141:Q141" si="57">F103</f>
        <v>21</v>
      </c>
      <c r="G141">
        <f t="shared" si="57"/>
        <v>21</v>
      </c>
      <c r="H141">
        <f t="shared" si="57"/>
        <v>21</v>
      </c>
      <c r="I141">
        <f t="shared" si="57"/>
        <v>21</v>
      </c>
      <c r="J141">
        <f t="shared" si="57"/>
        <v>21</v>
      </c>
      <c r="K141">
        <f t="shared" si="57"/>
        <v>21</v>
      </c>
      <c r="L141">
        <f t="shared" si="57"/>
        <v>21</v>
      </c>
      <c r="M141">
        <f t="shared" si="57"/>
        <v>21</v>
      </c>
      <c r="N141">
        <f t="shared" si="57"/>
        <v>21</v>
      </c>
      <c r="O141">
        <f t="shared" si="57"/>
        <v>21</v>
      </c>
      <c r="P141">
        <f t="shared" si="57"/>
        <v>21</v>
      </c>
      <c r="Q141">
        <f t="shared" si="57"/>
        <v>21</v>
      </c>
    </row>
    <row r="142" spans="2:17" x14ac:dyDescent="0.35">
      <c r="B142" t="s">
        <v>362</v>
      </c>
      <c r="E142" s="100"/>
      <c r="F142" s="66">
        <f t="shared" ref="F142:Q142" si="58">F120</f>
        <v>0</v>
      </c>
      <c r="G142" s="66">
        <f t="shared" si="58"/>
        <v>0</v>
      </c>
      <c r="H142" s="66">
        <f t="shared" si="58"/>
        <v>0</v>
      </c>
      <c r="I142" s="66">
        <f t="shared" si="58"/>
        <v>0</v>
      </c>
      <c r="J142" s="66">
        <f t="shared" si="58"/>
        <v>0</v>
      </c>
      <c r="K142" s="66">
        <f t="shared" si="58"/>
        <v>0</v>
      </c>
      <c r="L142" s="66">
        <f t="shared" si="58"/>
        <v>0</v>
      </c>
      <c r="M142" s="66">
        <f t="shared" si="58"/>
        <v>0</v>
      </c>
      <c r="N142" s="66">
        <f t="shared" si="58"/>
        <v>0</v>
      </c>
      <c r="O142" s="66">
        <f t="shared" si="58"/>
        <v>0</v>
      </c>
      <c r="P142" s="66">
        <f t="shared" si="58"/>
        <v>0</v>
      </c>
      <c r="Q142" s="66">
        <f t="shared" si="58"/>
        <v>0</v>
      </c>
    </row>
    <row r="143" spans="2:17" x14ac:dyDescent="0.35">
      <c r="B143" s="100" t="s">
        <v>174</v>
      </c>
      <c r="C143" s="100"/>
      <c r="E143" s="171"/>
      <c r="F143" s="179">
        <f>SUM(F141:F142)</f>
        <v>21</v>
      </c>
      <c r="G143" s="179">
        <f t="shared" ref="G143:Q143" si="59">SUM(G141:G142)</f>
        <v>21</v>
      </c>
      <c r="H143" s="179">
        <f t="shared" si="59"/>
        <v>21</v>
      </c>
      <c r="I143" s="179">
        <f t="shared" si="59"/>
        <v>21</v>
      </c>
      <c r="J143" s="179">
        <f t="shared" si="59"/>
        <v>21</v>
      </c>
      <c r="K143" s="179">
        <f t="shared" si="59"/>
        <v>21</v>
      </c>
      <c r="L143" s="179">
        <f t="shared" si="59"/>
        <v>21</v>
      </c>
      <c r="M143" s="179">
        <f t="shared" si="59"/>
        <v>21</v>
      </c>
      <c r="N143" s="179">
        <f t="shared" si="59"/>
        <v>21</v>
      </c>
      <c r="O143" s="179">
        <f t="shared" si="59"/>
        <v>21</v>
      </c>
      <c r="P143" s="179">
        <f t="shared" si="59"/>
        <v>21</v>
      </c>
      <c r="Q143" s="179">
        <f t="shared" si="59"/>
        <v>21</v>
      </c>
    </row>
    <row r="144" spans="2:17" x14ac:dyDescent="0.35">
      <c r="B144" s="100" t="s">
        <v>309</v>
      </c>
      <c r="C144" s="100"/>
      <c r="F144" s="67"/>
      <c r="G144" s="67"/>
      <c r="H144" s="67"/>
      <c r="I144" s="67"/>
      <c r="J144" s="67"/>
      <c r="K144" s="67"/>
      <c r="L144" s="67"/>
      <c r="M144" s="67"/>
      <c r="N144" s="67"/>
      <c r="O144" s="67"/>
      <c r="P144" s="67"/>
      <c r="Q144" s="67"/>
    </row>
    <row r="145" spans="2:18" x14ac:dyDescent="0.35">
      <c r="B145" t="s">
        <v>344</v>
      </c>
      <c r="F145" s="67">
        <f t="shared" ref="F145:Q145" si="60">F104</f>
        <v>812428</v>
      </c>
      <c r="G145" s="67">
        <f t="shared" si="60"/>
        <v>812428</v>
      </c>
      <c r="H145" s="67">
        <f t="shared" si="60"/>
        <v>812428</v>
      </c>
      <c r="I145" s="67">
        <f t="shared" si="60"/>
        <v>812428</v>
      </c>
      <c r="J145" s="67">
        <f t="shared" si="60"/>
        <v>812428</v>
      </c>
      <c r="K145" s="67">
        <f t="shared" si="60"/>
        <v>812428</v>
      </c>
      <c r="L145" s="67">
        <f t="shared" si="60"/>
        <v>812428</v>
      </c>
      <c r="M145" s="67">
        <f t="shared" si="60"/>
        <v>812428</v>
      </c>
      <c r="N145" s="67">
        <f t="shared" si="60"/>
        <v>812428</v>
      </c>
      <c r="O145" s="67">
        <f t="shared" si="60"/>
        <v>812428</v>
      </c>
      <c r="P145" s="67">
        <f t="shared" si="60"/>
        <v>812428</v>
      </c>
      <c r="Q145" s="67">
        <f t="shared" si="60"/>
        <v>812428</v>
      </c>
    </row>
    <row r="146" spans="2:18" x14ac:dyDescent="0.35">
      <c r="B146" t="s">
        <v>362</v>
      </c>
      <c r="F146" s="67">
        <f t="shared" ref="F146:Q146" si="61">F121</f>
        <v>0</v>
      </c>
      <c r="G146" s="67">
        <f t="shared" si="61"/>
        <v>0</v>
      </c>
      <c r="H146" s="67">
        <f t="shared" si="61"/>
        <v>0</v>
      </c>
      <c r="I146" s="67">
        <f t="shared" si="61"/>
        <v>0</v>
      </c>
      <c r="J146" s="67">
        <f t="shared" si="61"/>
        <v>0</v>
      </c>
      <c r="K146" s="67">
        <f t="shared" si="61"/>
        <v>0</v>
      </c>
      <c r="L146" s="67">
        <f t="shared" si="61"/>
        <v>0</v>
      </c>
      <c r="M146" s="67">
        <f t="shared" si="61"/>
        <v>0</v>
      </c>
      <c r="N146" s="67">
        <f t="shared" si="61"/>
        <v>0</v>
      </c>
      <c r="O146" s="67">
        <f t="shared" si="61"/>
        <v>0</v>
      </c>
      <c r="P146" s="67">
        <f t="shared" si="61"/>
        <v>0</v>
      </c>
      <c r="Q146" s="67">
        <f t="shared" si="61"/>
        <v>0</v>
      </c>
    </row>
    <row r="147" spans="2:18" x14ac:dyDescent="0.35">
      <c r="B147" s="100" t="s">
        <v>174</v>
      </c>
      <c r="C147" s="100"/>
      <c r="F147" s="179">
        <f>SUM(F145:F146)</f>
        <v>812428</v>
      </c>
      <c r="G147" s="179">
        <f t="shared" ref="G147:Q147" si="62">SUM(G145:G146)</f>
        <v>812428</v>
      </c>
      <c r="H147" s="179">
        <f t="shared" si="62"/>
        <v>812428</v>
      </c>
      <c r="I147" s="179">
        <f t="shared" si="62"/>
        <v>812428</v>
      </c>
      <c r="J147" s="179">
        <f t="shared" si="62"/>
        <v>812428</v>
      </c>
      <c r="K147" s="179">
        <f t="shared" si="62"/>
        <v>812428</v>
      </c>
      <c r="L147" s="179">
        <f t="shared" si="62"/>
        <v>812428</v>
      </c>
      <c r="M147" s="179">
        <f t="shared" si="62"/>
        <v>812428</v>
      </c>
      <c r="N147" s="179">
        <f t="shared" si="62"/>
        <v>812428</v>
      </c>
      <c r="O147" s="179">
        <f t="shared" si="62"/>
        <v>812428</v>
      </c>
      <c r="P147" s="179">
        <f t="shared" si="62"/>
        <v>812428</v>
      </c>
      <c r="Q147" s="179">
        <f t="shared" si="62"/>
        <v>812428</v>
      </c>
    </row>
    <row r="148" spans="2:18" x14ac:dyDescent="0.35">
      <c r="B148" s="100"/>
      <c r="C148" s="100"/>
      <c r="F148" s="179"/>
      <c r="G148" s="179"/>
      <c r="H148" s="179"/>
      <c r="I148" s="179"/>
      <c r="J148" s="179"/>
      <c r="K148" s="179"/>
      <c r="L148" s="179"/>
      <c r="M148" s="179"/>
      <c r="N148" s="179"/>
      <c r="O148" s="179"/>
      <c r="P148" s="179"/>
      <c r="Q148" s="179"/>
    </row>
    <row r="149" spans="2:18" x14ac:dyDescent="0.35">
      <c r="B149" s="100" t="s">
        <v>306</v>
      </c>
      <c r="C149" s="100"/>
    </row>
    <row r="150" spans="2:18" x14ac:dyDescent="0.35">
      <c r="B150" s="100" t="s">
        <v>344</v>
      </c>
      <c r="C150" s="100"/>
      <c r="F150" s="67">
        <f t="shared" ref="F150:Q150" si="63">F141+F80+F25</f>
        <v>269</v>
      </c>
      <c r="G150" s="67">
        <f t="shared" si="63"/>
        <v>269</v>
      </c>
      <c r="H150" s="67">
        <f t="shared" si="63"/>
        <v>260</v>
      </c>
      <c r="I150" s="67">
        <f t="shared" si="63"/>
        <v>260</v>
      </c>
      <c r="J150" s="67">
        <f t="shared" si="63"/>
        <v>267</v>
      </c>
      <c r="K150" s="67">
        <f t="shared" si="63"/>
        <v>267</v>
      </c>
      <c r="L150" s="67">
        <f t="shared" si="63"/>
        <v>272</v>
      </c>
      <c r="M150" s="67">
        <f t="shared" si="63"/>
        <v>300</v>
      </c>
      <c r="N150" s="67">
        <f t="shared" si="63"/>
        <v>305</v>
      </c>
      <c r="O150" s="67">
        <f t="shared" si="63"/>
        <v>310</v>
      </c>
      <c r="P150" s="67">
        <f t="shared" si="63"/>
        <v>315</v>
      </c>
      <c r="Q150" s="67">
        <f t="shared" si="63"/>
        <v>320</v>
      </c>
    </row>
    <row r="151" spans="2:18" x14ac:dyDescent="0.35">
      <c r="B151" s="100" t="s">
        <v>360</v>
      </c>
      <c r="C151" s="100"/>
      <c r="F151" s="67">
        <f t="shared" ref="F151:Q151" si="64">F142+F81+F26</f>
        <v>-1.2000000000000011</v>
      </c>
      <c r="G151" s="67">
        <f t="shared" si="64"/>
        <v>-2.2000000000000011</v>
      </c>
      <c r="H151" s="67">
        <f t="shared" si="64"/>
        <v>0.79999999999999893</v>
      </c>
      <c r="I151" s="67">
        <f t="shared" si="64"/>
        <v>-4.8000000000000007</v>
      </c>
      <c r="J151" s="67">
        <f t="shared" si="64"/>
        <v>-7.8000000000000007</v>
      </c>
      <c r="K151" s="67">
        <f t="shared" si="64"/>
        <v>-7.8000000000000007</v>
      </c>
      <c r="L151" s="67">
        <f t="shared" si="64"/>
        <v>-13.400000000000002</v>
      </c>
      <c r="M151" s="67">
        <f t="shared" si="64"/>
        <v>-19.400000000000002</v>
      </c>
      <c r="N151" s="67">
        <f t="shared" si="64"/>
        <v>-20.400000000000002</v>
      </c>
      <c r="O151" s="67">
        <f t="shared" si="64"/>
        <v>-30</v>
      </c>
      <c r="P151" s="67">
        <f t="shared" si="64"/>
        <v>-30</v>
      </c>
      <c r="Q151" s="67">
        <f t="shared" si="64"/>
        <v>-32</v>
      </c>
    </row>
    <row r="152" spans="2:18" x14ac:dyDescent="0.35">
      <c r="B152" s="100" t="s">
        <v>174</v>
      </c>
      <c r="C152" s="100"/>
      <c r="F152" s="67">
        <f>SUM(F150:F151)</f>
        <v>267.8</v>
      </c>
      <c r="G152" s="67">
        <f t="shared" ref="G152:Q152" si="65">SUM(G150:G151)</f>
        <v>266.8</v>
      </c>
      <c r="H152" s="67">
        <f t="shared" si="65"/>
        <v>260.8</v>
      </c>
      <c r="I152" s="67">
        <f t="shared" si="65"/>
        <v>255.2</v>
      </c>
      <c r="J152" s="67">
        <f t="shared" si="65"/>
        <v>259.2</v>
      </c>
      <c r="K152" s="67">
        <f t="shared" si="65"/>
        <v>259.2</v>
      </c>
      <c r="L152" s="67">
        <f t="shared" si="65"/>
        <v>258.60000000000002</v>
      </c>
      <c r="M152" s="67">
        <f t="shared" si="65"/>
        <v>280.60000000000002</v>
      </c>
      <c r="N152" s="67">
        <f t="shared" si="65"/>
        <v>284.60000000000002</v>
      </c>
      <c r="O152" s="67">
        <f t="shared" si="65"/>
        <v>280</v>
      </c>
      <c r="P152" s="67">
        <f t="shared" si="65"/>
        <v>285</v>
      </c>
      <c r="Q152" s="67">
        <f t="shared" si="65"/>
        <v>288</v>
      </c>
      <c r="R152" s="67"/>
    </row>
    <row r="153" spans="2:18" x14ac:dyDescent="0.35">
      <c r="B153" s="100"/>
      <c r="C153" s="100"/>
    </row>
    <row r="1048576" spans="3:3" x14ac:dyDescent="0.35">
      <c r="C1048576" s="17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3653F-4885-4BD3-ACFE-FCDA4FDAF7F4}">
  <dimension ref="A1:W166"/>
  <sheetViews>
    <sheetView showGridLines="0" zoomScale="80" zoomScaleNormal="80" workbookViewId="0">
      <pane xSplit="2" ySplit="3" topLeftCell="C4" activePane="bottomRight" state="frozen"/>
      <selection pane="topRight" activeCell="B25" sqref="B25"/>
      <selection pane="bottomLeft" activeCell="B25" sqref="B25"/>
      <selection pane="bottomRight" activeCell="E14" sqref="E14"/>
    </sheetView>
  </sheetViews>
  <sheetFormatPr defaultColWidth="11.453125" defaultRowHeight="14.5" x14ac:dyDescent="0.35"/>
  <cols>
    <col min="1" max="1" width="5" style="9" customWidth="1"/>
    <col min="2" max="2" width="27.453125" bestFit="1" customWidth="1"/>
    <col min="3" max="3" width="9.1796875" style="9" customWidth="1"/>
    <col min="4" max="4" width="11.453125" bestFit="1" customWidth="1"/>
    <col min="5" max="5" width="13.453125" bestFit="1" customWidth="1"/>
    <col min="6" max="16" width="12.453125" bestFit="1" customWidth="1"/>
  </cols>
  <sheetData>
    <row r="1" spans="1:19" x14ac:dyDescent="0.35">
      <c r="B1" s="100" t="s">
        <v>265</v>
      </c>
      <c r="D1" s="41" t="s">
        <v>286</v>
      </c>
    </row>
    <row r="2" spans="1:19" x14ac:dyDescent="0.35">
      <c r="B2" s="100" t="s">
        <v>287</v>
      </c>
    </row>
    <row r="3" spans="1:19" x14ac:dyDescent="0.35">
      <c r="B3" s="180" t="s">
        <v>288</v>
      </c>
      <c r="C3" s="184"/>
      <c r="D3" s="180" t="s">
        <v>289</v>
      </c>
      <c r="E3" s="180">
        <v>46023</v>
      </c>
      <c r="F3" s="180">
        <v>46054</v>
      </c>
      <c r="G3" s="180">
        <v>46082</v>
      </c>
      <c r="H3" s="180">
        <v>46113</v>
      </c>
      <c r="I3" s="180">
        <v>46143</v>
      </c>
      <c r="J3" s="180">
        <v>46174</v>
      </c>
      <c r="K3" s="180">
        <v>46204</v>
      </c>
      <c r="L3" s="180">
        <v>46235</v>
      </c>
      <c r="M3" s="180">
        <v>46266</v>
      </c>
      <c r="N3" s="180">
        <v>46296</v>
      </c>
      <c r="O3" s="180">
        <v>46327</v>
      </c>
      <c r="P3" s="180">
        <v>46357</v>
      </c>
    </row>
    <row r="4" spans="1:19" x14ac:dyDescent="0.35">
      <c r="B4" s="183" t="s">
        <v>280</v>
      </c>
      <c r="C4" s="185"/>
      <c r="D4" s="183"/>
      <c r="E4" s="183"/>
      <c r="F4" s="183"/>
      <c r="G4" s="183"/>
      <c r="H4" s="183"/>
      <c r="I4" s="183"/>
      <c r="J4" s="183"/>
      <c r="K4" s="183"/>
      <c r="L4" s="183"/>
      <c r="M4" s="183"/>
      <c r="N4" s="183"/>
      <c r="O4" s="183"/>
      <c r="P4" s="183"/>
    </row>
    <row r="5" spans="1:19" x14ac:dyDescent="0.35">
      <c r="A5" s="9">
        <v>1</v>
      </c>
      <c r="B5" t="s">
        <v>290</v>
      </c>
      <c r="E5" s="67" t="e">
        <f>'1. Revenue Buildup 2026'!#REF!</f>
        <v>#REF!</v>
      </c>
      <c r="F5" s="67" t="e">
        <f>'1. Revenue Buildup 2026'!#REF!</f>
        <v>#REF!</v>
      </c>
      <c r="G5" s="67" t="e">
        <f>'1. Revenue Buildup 2026'!#REF!</f>
        <v>#REF!</v>
      </c>
      <c r="H5" s="67" t="e">
        <f>'1. Revenue Buildup 2026'!#REF!</f>
        <v>#REF!</v>
      </c>
      <c r="I5" s="67" t="e">
        <f>'1. Revenue Buildup 2026'!#REF!</f>
        <v>#REF!</v>
      </c>
      <c r="J5" s="67" t="e">
        <f>'1. Revenue Buildup 2026'!#REF!</f>
        <v>#REF!</v>
      </c>
      <c r="K5" s="67" t="e">
        <f>'1. Revenue Buildup 2026'!#REF!</f>
        <v>#REF!</v>
      </c>
      <c r="L5" s="67" t="e">
        <f>'1. Revenue Buildup 2026'!#REF!</f>
        <v>#REF!</v>
      </c>
      <c r="M5" s="67" t="e">
        <f>'1. Revenue Buildup 2026'!#REF!</f>
        <v>#REF!</v>
      </c>
      <c r="N5" s="67" t="e">
        <f>'1. Revenue Buildup 2026'!#REF!</f>
        <v>#REF!</v>
      </c>
      <c r="O5" s="67" t="e">
        <f>'1. Revenue Buildup 2026'!#REF!</f>
        <v>#REF!</v>
      </c>
      <c r="P5" s="67" t="e">
        <f>'1. Revenue Buildup 2026'!#REF!</f>
        <v>#REF!</v>
      </c>
    </row>
    <row r="6" spans="1:19" x14ac:dyDescent="0.35">
      <c r="E6" s="67"/>
      <c r="F6" s="67"/>
      <c r="G6" s="67"/>
      <c r="H6" s="67"/>
      <c r="I6" s="67"/>
      <c r="J6" s="67"/>
      <c r="K6" s="67"/>
      <c r="L6" s="67"/>
      <c r="M6" s="67"/>
      <c r="N6" s="67"/>
      <c r="O6" s="67"/>
      <c r="P6" s="67"/>
    </row>
    <row r="7" spans="1:19" x14ac:dyDescent="0.35">
      <c r="A7" s="9">
        <v>2</v>
      </c>
      <c r="B7" t="s">
        <v>291</v>
      </c>
      <c r="D7" s="149">
        <v>0</v>
      </c>
      <c r="E7" s="67">
        <v>0</v>
      </c>
      <c r="F7" s="67">
        <v>0</v>
      </c>
      <c r="G7" s="67">
        <v>0</v>
      </c>
      <c r="H7" s="67">
        <v>0</v>
      </c>
      <c r="I7" s="67">
        <v>0</v>
      </c>
      <c r="J7" s="67">
        <v>0</v>
      </c>
      <c r="K7" s="67">
        <v>0</v>
      </c>
      <c r="L7" s="67">
        <v>0</v>
      </c>
      <c r="M7" s="67">
        <v>0</v>
      </c>
      <c r="N7" s="67">
        <v>0</v>
      </c>
      <c r="O7" s="67">
        <v>0</v>
      </c>
      <c r="P7" s="67">
        <v>0</v>
      </c>
      <c r="R7" s="67"/>
    </row>
    <row r="8" spans="1:19" x14ac:dyDescent="0.35">
      <c r="D8" s="149"/>
      <c r="E8" s="67"/>
      <c r="F8" s="67"/>
      <c r="G8" s="67"/>
      <c r="H8" s="67"/>
      <c r="I8" s="67"/>
      <c r="J8" s="67"/>
      <c r="K8" s="67"/>
      <c r="L8" s="67"/>
      <c r="M8" s="67"/>
      <c r="N8" s="67"/>
      <c r="O8" s="67"/>
      <c r="P8" s="67"/>
      <c r="R8" s="67"/>
    </row>
    <row r="9" spans="1:19" x14ac:dyDescent="0.35">
      <c r="A9" s="9">
        <v>3</v>
      </c>
      <c r="B9" t="s">
        <v>293</v>
      </c>
      <c r="E9" s="67" t="e">
        <f>IF((E5-E7)&lt;0,0,(E5-E7))</f>
        <v>#REF!</v>
      </c>
      <c r="F9" s="67" t="e">
        <f t="shared" ref="F9:P9" si="0">IF((F5-F7)&lt;0,0,(F5-F7))</f>
        <v>#REF!</v>
      </c>
      <c r="G9" s="67" t="e">
        <f t="shared" si="0"/>
        <v>#REF!</v>
      </c>
      <c r="H9" s="67" t="e">
        <f t="shared" si="0"/>
        <v>#REF!</v>
      </c>
      <c r="I9" s="67" t="e">
        <f t="shared" si="0"/>
        <v>#REF!</v>
      </c>
      <c r="J9" s="67" t="e">
        <f t="shared" si="0"/>
        <v>#REF!</v>
      </c>
      <c r="K9" s="67" t="e">
        <f t="shared" si="0"/>
        <v>#REF!</v>
      </c>
      <c r="L9" s="67" t="e">
        <f t="shared" si="0"/>
        <v>#REF!</v>
      </c>
      <c r="M9" s="67" t="e">
        <f t="shared" si="0"/>
        <v>#REF!</v>
      </c>
      <c r="N9" s="67" t="e">
        <f t="shared" si="0"/>
        <v>#REF!</v>
      </c>
      <c r="O9" s="67" t="e">
        <f t="shared" si="0"/>
        <v>#REF!</v>
      </c>
      <c r="P9" s="67" t="e">
        <f t="shared" si="0"/>
        <v>#REF!</v>
      </c>
    </row>
    <row r="10" spans="1:19" x14ac:dyDescent="0.35">
      <c r="E10" s="67"/>
      <c r="F10" s="67"/>
      <c r="G10" s="67"/>
      <c r="H10" s="67"/>
      <c r="I10" s="67"/>
      <c r="J10" s="67"/>
      <c r="K10" s="67"/>
      <c r="L10" s="67"/>
      <c r="M10" s="67"/>
      <c r="N10" s="67"/>
      <c r="O10" s="67"/>
      <c r="P10" s="67"/>
    </row>
    <row r="11" spans="1:19" x14ac:dyDescent="0.35">
      <c r="A11" s="9" t="s">
        <v>294</v>
      </c>
      <c r="B11" t="s">
        <v>295</v>
      </c>
      <c r="C11" s="46">
        <v>0.85</v>
      </c>
      <c r="D11" s="70"/>
      <c r="E11" s="67" t="e">
        <f>'1. Revenue Buildup 2026'!#REF!/$C$11</f>
        <v>#REF!</v>
      </c>
      <c r="F11" s="67" t="e">
        <f>'1. Revenue Buildup 2026'!#REF!/$C$11</f>
        <v>#REF!</v>
      </c>
      <c r="G11" s="67" t="e">
        <f>'1. Revenue Buildup 2026'!#REF!/$C$11</f>
        <v>#REF!</v>
      </c>
      <c r="H11" s="67" t="e">
        <f>'1. Revenue Buildup 2026'!#REF!/$C$11</f>
        <v>#REF!</v>
      </c>
      <c r="I11" s="67" t="e">
        <f>'1. Revenue Buildup 2026'!#REF!/$C$11</f>
        <v>#REF!</v>
      </c>
      <c r="J11" s="67" t="e">
        <f>'1. Revenue Buildup 2026'!#REF!/$C$11</f>
        <v>#REF!</v>
      </c>
      <c r="K11" s="67" t="e">
        <f>'1. Revenue Buildup 2026'!#REF!/$C$11</f>
        <v>#REF!</v>
      </c>
      <c r="L11" s="67" t="e">
        <f>'1. Revenue Buildup 2026'!#REF!/$C$11</f>
        <v>#REF!</v>
      </c>
      <c r="M11" s="67" t="e">
        <f>'1. Revenue Buildup 2026'!#REF!/$C$11</f>
        <v>#REF!</v>
      </c>
      <c r="N11" s="67" t="e">
        <f>'1. Revenue Buildup 2026'!#REF!/$C$11</f>
        <v>#REF!</v>
      </c>
      <c r="O11" s="67" t="e">
        <f>'1. Revenue Buildup 2026'!#REF!/$C$11</f>
        <v>#REF!</v>
      </c>
      <c r="P11" s="67" t="e">
        <f>'1. Revenue Buildup 2026'!#REF!/$C$11</f>
        <v>#REF!</v>
      </c>
    </row>
    <row r="12" spans="1:19" x14ac:dyDescent="0.35">
      <c r="A12" s="9" t="s">
        <v>296</v>
      </c>
      <c r="B12" t="s">
        <v>297</v>
      </c>
      <c r="C12" s="46">
        <v>0.85</v>
      </c>
      <c r="D12" s="70"/>
      <c r="E12" s="67" t="e">
        <f>'1. Revenue Buildup 2026'!#REF!/$C$12</f>
        <v>#REF!</v>
      </c>
      <c r="F12" s="67" t="e">
        <f>'1. Revenue Buildup 2026'!#REF!/$C$12</f>
        <v>#REF!</v>
      </c>
      <c r="G12" s="67" t="e">
        <f>'1. Revenue Buildup 2026'!#REF!/$C$12</f>
        <v>#REF!</v>
      </c>
      <c r="H12" s="67" t="e">
        <f>'1. Revenue Buildup 2026'!#REF!/$C$12</f>
        <v>#REF!</v>
      </c>
      <c r="I12" s="67" t="e">
        <f>'1. Revenue Buildup 2026'!#REF!/$C$12</f>
        <v>#REF!</v>
      </c>
      <c r="J12" s="67" t="e">
        <f>'1. Revenue Buildup 2026'!#REF!/$C$12</f>
        <v>#REF!</v>
      </c>
      <c r="K12" s="67" t="e">
        <f>'1. Revenue Buildup 2026'!#REF!/$C$12</f>
        <v>#REF!</v>
      </c>
      <c r="L12" s="67" t="e">
        <f>'1. Revenue Buildup 2026'!#REF!/$C$12</f>
        <v>#REF!</v>
      </c>
      <c r="M12" s="67" t="e">
        <f>'1. Revenue Buildup 2026'!#REF!/$C$12</f>
        <v>#REF!</v>
      </c>
      <c r="N12" s="67" t="e">
        <f>'1. Revenue Buildup 2026'!#REF!/$C$12</f>
        <v>#REF!</v>
      </c>
      <c r="O12" s="67" t="e">
        <f>'1. Revenue Buildup 2026'!#REF!/$C$12</f>
        <v>#REF!</v>
      </c>
      <c r="P12" s="67" t="e">
        <f>'1. Revenue Buildup 2026'!#REF!/$C$12</f>
        <v>#REF!</v>
      </c>
    </row>
    <row r="13" spans="1:19" x14ac:dyDescent="0.35">
      <c r="A13" s="9" t="s">
        <v>363</v>
      </c>
      <c r="B13" t="s">
        <v>364</v>
      </c>
      <c r="C13" s="46">
        <v>0.85</v>
      </c>
      <c r="D13" s="70"/>
      <c r="E13" s="67" t="e">
        <f>'1. Revenue Buildup 2026'!#REF!/$C$13</f>
        <v>#REF!</v>
      </c>
      <c r="F13" s="67" t="e">
        <f>'1. Revenue Buildup 2026'!#REF!/$C$13</f>
        <v>#REF!</v>
      </c>
      <c r="G13" s="67" t="e">
        <f>'1. Revenue Buildup 2026'!#REF!/$C$13</f>
        <v>#REF!</v>
      </c>
      <c r="H13" s="67" t="e">
        <f>'1. Revenue Buildup 2026'!#REF!/$C$13</f>
        <v>#REF!</v>
      </c>
      <c r="I13" s="67" t="e">
        <f>'1. Revenue Buildup 2026'!#REF!/$C$13</f>
        <v>#REF!</v>
      </c>
      <c r="J13" s="67" t="e">
        <f>'1. Revenue Buildup 2026'!#REF!/$C$13</f>
        <v>#REF!</v>
      </c>
      <c r="K13" s="67" t="e">
        <f>'1. Revenue Buildup 2026'!#REF!/$C$13</f>
        <v>#REF!</v>
      </c>
      <c r="L13" s="67" t="e">
        <f>'1. Revenue Buildup 2026'!#REF!/$C$13</f>
        <v>#REF!</v>
      </c>
      <c r="M13" s="67" t="e">
        <f>'1. Revenue Buildup 2026'!#REF!/$C$13</f>
        <v>#REF!</v>
      </c>
      <c r="N13" s="67" t="e">
        <f>'1. Revenue Buildup 2026'!#REF!/$C$13</f>
        <v>#REF!</v>
      </c>
      <c r="O13" s="67" t="e">
        <f>'1. Revenue Buildup 2026'!#REF!/$C$13</f>
        <v>#REF!</v>
      </c>
      <c r="P13" s="67" t="e">
        <f>'1. Revenue Buildup 2026'!#REF!/$C$13</f>
        <v>#REF!</v>
      </c>
    </row>
    <row r="14" spans="1:19" x14ac:dyDescent="0.35">
      <c r="E14" s="67"/>
      <c r="F14" s="67"/>
      <c r="G14" s="67"/>
      <c r="H14" s="67"/>
      <c r="I14" s="67"/>
      <c r="J14" s="67"/>
      <c r="K14" s="67"/>
      <c r="L14" s="67"/>
      <c r="M14" s="67"/>
      <c r="N14" s="67"/>
      <c r="O14" s="67"/>
      <c r="P14" s="67"/>
    </row>
    <row r="15" spans="1:19" x14ac:dyDescent="0.35">
      <c r="A15" s="9" t="s">
        <v>298</v>
      </c>
      <c r="B15" t="s">
        <v>39</v>
      </c>
      <c r="C15" s="9" t="s">
        <v>299</v>
      </c>
      <c r="E15" s="67"/>
      <c r="F15" s="68"/>
      <c r="G15" s="68"/>
      <c r="H15" s="68"/>
      <c r="I15" s="68"/>
      <c r="J15" s="68"/>
      <c r="K15" s="68"/>
      <c r="L15" s="68"/>
      <c r="M15" s="68"/>
      <c r="N15" s="68"/>
      <c r="O15" s="68"/>
      <c r="P15" s="67"/>
    </row>
    <row r="16" spans="1:19" x14ac:dyDescent="0.35">
      <c r="B16" t="s">
        <v>300</v>
      </c>
      <c r="C16" s="46">
        <v>0.5</v>
      </c>
      <c r="D16" s="149">
        <v>35000</v>
      </c>
      <c r="E16" s="67" t="e">
        <f>E11</f>
        <v>#REF!</v>
      </c>
      <c r="F16" s="67" t="e">
        <f t="shared" ref="F16:J16" si="1">F11</f>
        <v>#REF!</v>
      </c>
      <c r="G16" s="67" t="e">
        <f t="shared" si="1"/>
        <v>#REF!</v>
      </c>
      <c r="H16" s="67" t="e">
        <f t="shared" si="1"/>
        <v>#REF!</v>
      </c>
      <c r="I16" s="67" t="e">
        <f t="shared" si="1"/>
        <v>#REF!</v>
      </c>
      <c r="J16" s="67" t="e">
        <f t="shared" si="1"/>
        <v>#REF!</v>
      </c>
      <c r="K16" s="67" t="e">
        <f t="shared" ref="K16:P16" si="2">K12*$C$16</f>
        <v>#REF!</v>
      </c>
      <c r="L16" s="67" t="e">
        <f t="shared" si="2"/>
        <v>#REF!</v>
      </c>
      <c r="M16" s="67" t="e">
        <f t="shared" si="2"/>
        <v>#REF!</v>
      </c>
      <c r="N16" s="67" t="e">
        <f t="shared" si="2"/>
        <v>#REF!</v>
      </c>
      <c r="O16" s="67" t="e">
        <f t="shared" si="2"/>
        <v>#REF!</v>
      </c>
      <c r="P16" s="67" t="e">
        <f t="shared" si="2"/>
        <v>#REF!</v>
      </c>
      <c r="R16" s="745" t="s">
        <v>365</v>
      </c>
      <c r="S16" s="745"/>
    </row>
    <row r="17" spans="1:19" x14ac:dyDescent="0.35">
      <c r="B17" t="s">
        <v>301</v>
      </c>
      <c r="C17" s="46">
        <v>0.5</v>
      </c>
      <c r="D17" s="149">
        <v>18000</v>
      </c>
      <c r="E17" s="67"/>
      <c r="F17" s="67"/>
      <c r="G17" s="67"/>
      <c r="H17" s="67"/>
      <c r="I17" s="67"/>
      <c r="J17" s="67"/>
      <c r="K17" s="67" t="e">
        <f t="shared" ref="K17:N17" si="3">M11-M16</f>
        <v>#REF!</v>
      </c>
      <c r="L17" s="67" t="e">
        <f t="shared" si="3"/>
        <v>#REF!</v>
      </c>
      <c r="M17" s="67" t="e">
        <f t="shared" si="3"/>
        <v>#REF!</v>
      </c>
      <c r="N17" s="67" t="e">
        <f t="shared" si="3"/>
        <v>#REF!</v>
      </c>
      <c r="O17" s="67" t="e">
        <f>N17</f>
        <v>#REF!</v>
      </c>
      <c r="P17" s="67" t="e">
        <f>O17</f>
        <v>#REF!</v>
      </c>
      <c r="R17" s="745"/>
      <c r="S17" s="745"/>
    </row>
    <row r="18" spans="1:19" x14ac:dyDescent="0.35">
      <c r="A18" s="9" t="s">
        <v>303</v>
      </c>
      <c r="B18" t="s">
        <v>366</v>
      </c>
      <c r="D18" s="149"/>
      <c r="E18" s="67"/>
      <c r="F18" s="68"/>
      <c r="G18" s="68"/>
      <c r="H18" s="68"/>
      <c r="I18" s="68"/>
      <c r="J18" s="68"/>
      <c r="K18" s="68"/>
      <c r="L18" s="68"/>
      <c r="M18" s="68"/>
      <c r="N18" s="68"/>
      <c r="O18" s="68"/>
      <c r="P18" s="67"/>
      <c r="R18" s="745"/>
      <c r="S18" s="745"/>
    </row>
    <row r="19" spans="1:19" x14ac:dyDescent="0.35">
      <c r="B19" t="s">
        <v>300</v>
      </c>
      <c r="C19" s="46">
        <v>0.5</v>
      </c>
      <c r="D19" s="149">
        <v>28000</v>
      </c>
      <c r="E19" s="67" t="e">
        <f>E12</f>
        <v>#REF!</v>
      </c>
      <c r="F19" s="67" t="e">
        <f t="shared" ref="F19:J19" si="4">F12</f>
        <v>#REF!</v>
      </c>
      <c r="G19" s="67" t="e">
        <f t="shared" si="4"/>
        <v>#REF!</v>
      </c>
      <c r="H19" s="67" t="e">
        <f t="shared" si="4"/>
        <v>#REF!</v>
      </c>
      <c r="I19" s="67" t="e">
        <f t="shared" si="4"/>
        <v>#REF!</v>
      </c>
      <c r="J19" s="67" t="e">
        <f t="shared" si="4"/>
        <v>#REF!</v>
      </c>
      <c r="K19" s="67" t="e">
        <f t="shared" ref="K19:P19" si="5">$C$19*K12</f>
        <v>#REF!</v>
      </c>
      <c r="L19" s="67" t="e">
        <f t="shared" si="5"/>
        <v>#REF!</v>
      </c>
      <c r="M19" s="67" t="e">
        <f t="shared" si="5"/>
        <v>#REF!</v>
      </c>
      <c r="N19" s="67" t="e">
        <f t="shared" si="5"/>
        <v>#REF!</v>
      </c>
      <c r="O19" s="67" t="e">
        <f t="shared" si="5"/>
        <v>#REF!</v>
      </c>
      <c r="P19" s="67" t="e">
        <f t="shared" si="5"/>
        <v>#REF!</v>
      </c>
      <c r="R19" s="745"/>
      <c r="S19" s="745"/>
    </row>
    <row r="20" spans="1:19" x14ac:dyDescent="0.35">
      <c r="B20" t="s">
        <v>301</v>
      </c>
      <c r="C20" s="46">
        <v>0.5</v>
      </c>
      <c r="D20" s="149">
        <v>16000</v>
      </c>
      <c r="E20" s="67"/>
      <c r="F20" s="67"/>
      <c r="G20" s="67"/>
      <c r="H20" s="67"/>
      <c r="I20" s="67"/>
      <c r="J20" s="67"/>
      <c r="K20" s="67" t="e">
        <f t="shared" ref="K20:M20" si="6">M12-M19</f>
        <v>#REF!</v>
      </c>
      <c r="L20" s="67" t="e">
        <f t="shared" si="6"/>
        <v>#REF!</v>
      </c>
      <c r="M20" s="67" t="e">
        <f t="shared" si="6"/>
        <v>#REF!</v>
      </c>
      <c r="N20" s="67" t="e">
        <f>M20</f>
        <v>#REF!</v>
      </c>
      <c r="O20" s="67" t="e">
        <f>N20</f>
        <v>#REF!</v>
      </c>
      <c r="P20" s="67" t="e">
        <f>O20</f>
        <v>#REF!</v>
      </c>
      <c r="R20" s="745"/>
      <c r="S20" s="745"/>
    </row>
    <row r="21" spans="1:19" x14ac:dyDescent="0.35">
      <c r="A21" s="9" t="s">
        <v>304</v>
      </c>
      <c r="B21" t="s">
        <v>367</v>
      </c>
      <c r="C21" s="46"/>
      <c r="D21" s="149"/>
      <c r="E21" s="67"/>
      <c r="F21" s="67"/>
      <c r="G21" s="67"/>
      <c r="H21" s="67"/>
      <c r="I21" s="67"/>
      <c r="J21" s="67"/>
      <c r="K21" s="67"/>
      <c r="L21" s="67"/>
      <c r="M21" s="67"/>
      <c r="N21" s="67"/>
      <c r="O21" s="67"/>
      <c r="P21" s="67"/>
      <c r="R21" s="745"/>
      <c r="S21" s="745"/>
    </row>
    <row r="22" spans="1:19" x14ac:dyDescent="0.35">
      <c r="B22" t="s">
        <v>300</v>
      </c>
      <c r="C22" s="46">
        <v>0.7</v>
      </c>
      <c r="D22" s="149">
        <v>35000</v>
      </c>
      <c r="E22" s="67" t="e">
        <f>E13</f>
        <v>#REF!</v>
      </c>
      <c r="F22" s="67" t="e">
        <f t="shared" ref="F22:J22" si="7">F13</f>
        <v>#REF!</v>
      </c>
      <c r="G22" s="67" t="e">
        <f t="shared" si="7"/>
        <v>#REF!</v>
      </c>
      <c r="H22" s="67" t="e">
        <f t="shared" si="7"/>
        <v>#REF!</v>
      </c>
      <c r="I22" s="67" t="e">
        <f t="shared" si="7"/>
        <v>#REF!</v>
      </c>
      <c r="J22" s="67" t="e">
        <f t="shared" si="7"/>
        <v>#REF!</v>
      </c>
      <c r="K22" s="67" t="e">
        <f t="shared" ref="K22:P22" si="8">$C$22*K13</f>
        <v>#REF!</v>
      </c>
      <c r="L22" s="67" t="e">
        <f t="shared" si="8"/>
        <v>#REF!</v>
      </c>
      <c r="M22" s="67" t="e">
        <f t="shared" si="8"/>
        <v>#REF!</v>
      </c>
      <c r="N22" s="67" t="e">
        <f t="shared" si="8"/>
        <v>#REF!</v>
      </c>
      <c r="O22" s="67" t="e">
        <f t="shared" si="8"/>
        <v>#REF!</v>
      </c>
      <c r="P22" s="67" t="e">
        <f t="shared" si="8"/>
        <v>#REF!</v>
      </c>
    </row>
    <row r="23" spans="1:19" x14ac:dyDescent="0.35">
      <c r="B23" t="s">
        <v>301</v>
      </c>
      <c r="C23" s="46">
        <v>0.3</v>
      </c>
      <c r="D23" s="149">
        <v>18000</v>
      </c>
      <c r="E23" s="67"/>
      <c r="F23" s="67"/>
      <c r="G23" s="67"/>
      <c r="H23" s="67"/>
      <c r="I23" s="67"/>
      <c r="J23" s="67"/>
      <c r="K23" s="67" t="e">
        <f t="shared" ref="K23:N23" si="9">M13-M20</f>
        <v>#REF!</v>
      </c>
      <c r="L23" s="67" t="e">
        <f t="shared" si="9"/>
        <v>#REF!</v>
      </c>
      <c r="M23" s="67" t="e">
        <f t="shared" si="9"/>
        <v>#REF!</v>
      </c>
      <c r="N23" s="67" t="e">
        <f t="shared" si="9"/>
        <v>#REF!</v>
      </c>
      <c r="O23" s="67" t="e">
        <f>N23</f>
        <v>#REF!</v>
      </c>
      <c r="P23" s="67" t="e">
        <f>O23</f>
        <v>#REF!</v>
      </c>
    </row>
    <row r="24" spans="1:19" x14ac:dyDescent="0.35">
      <c r="C24" s="46"/>
      <c r="E24" s="67"/>
      <c r="F24" s="67"/>
      <c r="G24" s="67"/>
      <c r="H24" s="67"/>
      <c r="I24" s="67"/>
      <c r="J24" s="67"/>
      <c r="K24" s="67"/>
      <c r="L24" s="67"/>
      <c r="M24" s="67"/>
      <c r="N24" s="67"/>
      <c r="O24" s="67"/>
      <c r="P24" s="67"/>
    </row>
    <row r="25" spans="1:19" x14ac:dyDescent="0.35">
      <c r="B25" s="100" t="s">
        <v>306</v>
      </c>
      <c r="C25" s="46"/>
      <c r="E25" s="67"/>
      <c r="F25" s="67"/>
      <c r="G25" s="67"/>
      <c r="H25" s="67"/>
      <c r="I25" s="67"/>
      <c r="J25" s="67"/>
      <c r="K25" s="67"/>
      <c r="L25" s="67"/>
      <c r="M25" s="67"/>
      <c r="N25" s="67"/>
      <c r="O25" s="67"/>
      <c r="P25" s="67"/>
    </row>
    <row r="26" spans="1:19" x14ac:dyDescent="0.35">
      <c r="B26" t="s">
        <v>307</v>
      </c>
      <c r="C26" s="46"/>
      <c r="E26" s="67">
        <f>E7</f>
        <v>0</v>
      </c>
      <c r="F26" s="67">
        <f t="shared" ref="F26:P26" si="10">F7</f>
        <v>0</v>
      </c>
      <c r="G26" s="67">
        <f t="shared" si="10"/>
        <v>0</v>
      </c>
      <c r="H26" s="67">
        <f t="shared" si="10"/>
        <v>0</v>
      </c>
      <c r="I26" s="67">
        <f t="shared" si="10"/>
        <v>0</v>
      </c>
      <c r="J26" s="67">
        <f t="shared" si="10"/>
        <v>0</v>
      </c>
      <c r="K26" s="67">
        <f t="shared" si="10"/>
        <v>0</v>
      </c>
      <c r="L26" s="67">
        <f t="shared" si="10"/>
        <v>0</v>
      </c>
      <c r="M26" s="67">
        <f t="shared" si="10"/>
        <v>0</v>
      </c>
      <c r="N26" s="67">
        <f t="shared" si="10"/>
        <v>0</v>
      </c>
      <c r="O26" s="67">
        <f t="shared" si="10"/>
        <v>0</v>
      </c>
      <c r="P26" s="67">
        <f t="shared" si="10"/>
        <v>0</v>
      </c>
    </row>
    <row r="27" spans="1:19" x14ac:dyDescent="0.35">
      <c r="B27" t="s">
        <v>308</v>
      </c>
      <c r="C27" s="46"/>
      <c r="E27" s="67" t="e">
        <f>SUM(E16:E23)</f>
        <v>#REF!</v>
      </c>
      <c r="F27" s="67" t="e">
        <f t="shared" ref="F27:P27" si="11">SUM(F16:F23)</f>
        <v>#REF!</v>
      </c>
      <c r="G27" s="67" t="e">
        <f t="shared" si="11"/>
        <v>#REF!</v>
      </c>
      <c r="H27" s="67" t="e">
        <f t="shared" si="11"/>
        <v>#REF!</v>
      </c>
      <c r="I27" s="67" t="e">
        <f t="shared" si="11"/>
        <v>#REF!</v>
      </c>
      <c r="J27" s="67" t="e">
        <f t="shared" si="11"/>
        <v>#REF!</v>
      </c>
      <c r="K27" s="67" t="e">
        <f t="shared" si="11"/>
        <v>#REF!</v>
      </c>
      <c r="L27" s="67" t="e">
        <f t="shared" si="11"/>
        <v>#REF!</v>
      </c>
      <c r="M27" s="67" t="e">
        <f t="shared" si="11"/>
        <v>#REF!</v>
      </c>
      <c r="N27" s="67" t="e">
        <f t="shared" si="11"/>
        <v>#REF!</v>
      </c>
      <c r="O27" s="67" t="e">
        <f t="shared" si="11"/>
        <v>#REF!</v>
      </c>
      <c r="P27" s="67" t="e">
        <f t="shared" si="11"/>
        <v>#REF!</v>
      </c>
    </row>
    <row r="28" spans="1:19" x14ac:dyDescent="0.35">
      <c r="B28" t="s">
        <v>174</v>
      </c>
      <c r="C28" s="46"/>
      <c r="E28" s="171" t="e">
        <f>SUM(E26:E27)</f>
        <v>#REF!</v>
      </c>
      <c r="F28" s="171" t="e">
        <f t="shared" ref="F28:P28" si="12">SUM(F26:F27)</f>
        <v>#REF!</v>
      </c>
      <c r="G28" s="171" t="e">
        <f t="shared" si="12"/>
        <v>#REF!</v>
      </c>
      <c r="H28" s="171" t="e">
        <f t="shared" si="12"/>
        <v>#REF!</v>
      </c>
      <c r="I28" s="171" t="e">
        <f t="shared" si="12"/>
        <v>#REF!</v>
      </c>
      <c r="J28" s="171" t="e">
        <f t="shared" si="12"/>
        <v>#REF!</v>
      </c>
      <c r="K28" s="171" t="e">
        <f t="shared" si="12"/>
        <v>#REF!</v>
      </c>
      <c r="L28" s="171" t="e">
        <f t="shared" si="12"/>
        <v>#REF!</v>
      </c>
      <c r="M28" s="171" t="e">
        <f t="shared" si="12"/>
        <v>#REF!</v>
      </c>
      <c r="N28" s="171" t="e">
        <f t="shared" si="12"/>
        <v>#REF!</v>
      </c>
      <c r="O28" s="171" t="e">
        <f t="shared" si="12"/>
        <v>#REF!</v>
      </c>
      <c r="P28" s="171" t="e">
        <f t="shared" si="12"/>
        <v>#REF!</v>
      </c>
    </row>
    <row r="29" spans="1:19" x14ac:dyDescent="0.35">
      <c r="B29" s="100" t="s">
        <v>309</v>
      </c>
      <c r="C29" s="46"/>
      <c r="E29" s="67"/>
      <c r="F29" s="67"/>
      <c r="G29" s="67"/>
      <c r="H29" s="67"/>
      <c r="I29" s="67"/>
      <c r="J29" s="67"/>
      <c r="K29" s="67"/>
      <c r="L29" s="67"/>
      <c r="M29" s="67"/>
      <c r="N29" s="67"/>
      <c r="O29" s="67"/>
      <c r="P29" s="67"/>
    </row>
    <row r="30" spans="1:19" x14ac:dyDescent="0.35">
      <c r="B30" t="s">
        <v>307</v>
      </c>
      <c r="C30" s="46"/>
      <c r="E30" s="67">
        <f>E7*$D$7</f>
        <v>0</v>
      </c>
      <c r="F30" s="67">
        <f t="shared" ref="F30:P30" si="13">F7*$D$7</f>
        <v>0</v>
      </c>
      <c r="G30" s="67">
        <f t="shared" si="13"/>
        <v>0</v>
      </c>
      <c r="H30" s="67">
        <f t="shared" si="13"/>
        <v>0</v>
      </c>
      <c r="I30" s="67">
        <f t="shared" si="13"/>
        <v>0</v>
      </c>
      <c r="J30" s="67">
        <f t="shared" si="13"/>
        <v>0</v>
      </c>
      <c r="K30" s="67">
        <f t="shared" si="13"/>
        <v>0</v>
      </c>
      <c r="L30" s="67">
        <f t="shared" si="13"/>
        <v>0</v>
      </c>
      <c r="M30" s="67">
        <f t="shared" si="13"/>
        <v>0</v>
      </c>
      <c r="N30" s="67">
        <f t="shared" si="13"/>
        <v>0</v>
      </c>
      <c r="O30" s="67">
        <f t="shared" si="13"/>
        <v>0</v>
      </c>
      <c r="P30" s="67">
        <f t="shared" si="13"/>
        <v>0</v>
      </c>
    </row>
    <row r="31" spans="1:19" x14ac:dyDescent="0.35">
      <c r="B31" t="s">
        <v>308</v>
      </c>
      <c r="C31" s="46"/>
      <c r="E31" s="365" t="e">
        <f>SUMPRODUCT(E16:E23,$D$16:$D$23)</f>
        <v>#REF!</v>
      </c>
      <c r="F31" s="365" t="e">
        <f t="shared" ref="F31:P31" si="14">SUMPRODUCT(F16:F23,$D$16:$D$23)</f>
        <v>#REF!</v>
      </c>
      <c r="G31" s="365" t="e">
        <f t="shared" si="14"/>
        <v>#REF!</v>
      </c>
      <c r="H31" s="365" t="e">
        <f t="shared" si="14"/>
        <v>#REF!</v>
      </c>
      <c r="I31" s="365" t="e">
        <f t="shared" si="14"/>
        <v>#REF!</v>
      </c>
      <c r="J31" s="365" t="e">
        <f t="shared" si="14"/>
        <v>#REF!</v>
      </c>
      <c r="K31" s="365" t="e">
        <f t="shared" si="14"/>
        <v>#REF!</v>
      </c>
      <c r="L31" s="365" t="e">
        <f t="shared" si="14"/>
        <v>#REF!</v>
      </c>
      <c r="M31" s="365" t="e">
        <f t="shared" si="14"/>
        <v>#REF!</v>
      </c>
      <c r="N31" s="365" t="e">
        <f t="shared" si="14"/>
        <v>#REF!</v>
      </c>
      <c r="O31" s="365" t="e">
        <f t="shared" si="14"/>
        <v>#REF!</v>
      </c>
      <c r="P31" s="365" t="e">
        <f t="shared" si="14"/>
        <v>#REF!</v>
      </c>
    </row>
    <row r="32" spans="1:19" s="100" customFormat="1" x14ac:dyDescent="0.35">
      <c r="A32" s="76"/>
      <c r="B32" s="100" t="s">
        <v>174</v>
      </c>
      <c r="C32" s="186"/>
      <c r="E32" s="171" t="e">
        <f>SUM(E30:E31)</f>
        <v>#REF!</v>
      </c>
      <c r="F32" s="171" t="e">
        <f t="shared" ref="F32:P32" si="15">SUM(F30:F31)</f>
        <v>#REF!</v>
      </c>
      <c r="G32" s="171" t="e">
        <f t="shared" si="15"/>
        <v>#REF!</v>
      </c>
      <c r="H32" s="171" t="e">
        <f t="shared" si="15"/>
        <v>#REF!</v>
      </c>
      <c r="I32" s="171" t="e">
        <f t="shared" si="15"/>
        <v>#REF!</v>
      </c>
      <c r="J32" s="171" t="e">
        <f t="shared" si="15"/>
        <v>#REF!</v>
      </c>
      <c r="K32" s="171" t="e">
        <f t="shared" si="15"/>
        <v>#REF!</v>
      </c>
      <c r="L32" s="171" t="e">
        <f t="shared" si="15"/>
        <v>#REF!</v>
      </c>
      <c r="M32" s="171" t="e">
        <f t="shared" si="15"/>
        <v>#REF!</v>
      </c>
      <c r="N32" s="171" t="e">
        <f t="shared" si="15"/>
        <v>#REF!</v>
      </c>
      <c r="O32" s="171" t="e">
        <f t="shared" si="15"/>
        <v>#REF!</v>
      </c>
      <c r="P32" s="171" t="e">
        <f t="shared" si="15"/>
        <v>#REF!</v>
      </c>
    </row>
    <row r="33" spans="1:23" x14ac:dyDescent="0.35">
      <c r="E33" s="68"/>
      <c r="F33" s="68"/>
      <c r="G33" s="68"/>
      <c r="H33" s="68"/>
      <c r="I33" s="68"/>
      <c r="J33" s="68"/>
      <c r="K33" s="68"/>
      <c r="L33" s="68"/>
      <c r="M33" s="68"/>
      <c r="N33" s="68"/>
      <c r="O33" s="68"/>
      <c r="P33" s="67"/>
    </row>
    <row r="34" spans="1:23" x14ac:dyDescent="0.35">
      <c r="B34" s="183" t="s">
        <v>311</v>
      </c>
      <c r="C34" s="185"/>
      <c r="D34" s="183"/>
      <c r="E34" s="183"/>
      <c r="F34" s="183"/>
      <c r="G34" s="183"/>
      <c r="H34" s="183"/>
      <c r="I34" s="183"/>
      <c r="J34" s="183"/>
      <c r="K34" s="183"/>
      <c r="L34" s="183"/>
      <c r="M34" s="183"/>
      <c r="N34" s="183"/>
      <c r="O34" s="183"/>
      <c r="P34" s="183"/>
    </row>
    <row r="35" spans="1:23" x14ac:dyDescent="0.35">
      <c r="A35" s="9">
        <v>4</v>
      </c>
      <c r="B35" s="100" t="s">
        <v>312</v>
      </c>
      <c r="E35" s="68"/>
      <c r="F35" s="68"/>
      <c r="G35" s="68"/>
      <c r="H35" s="68"/>
      <c r="I35" s="68"/>
      <c r="J35" s="68"/>
      <c r="K35" s="68"/>
      <c r="L35" s="68"/>
      <c r="M35" s="68"/>
      <c r="N35" s="68"/>
      <c r="O35" s="68"/>
      <c r="P35" s="68"/>
    </row>
    <row r="36" spans="1:23" x14ac:dyDescent="0.35">
      <c r="B36" s="100" t="s">
        <v>314</v>
      </c>
      <c r="C36" s="76" t="s">
        <v>315</v>
      </c>
      <c r="D36" s="100"/>
      <c r="R36" s="98"/>
      <c r="S36" s="98"/>
      <c r="T36" s="98"/>
      <c r="U36" s="98"/>
      <c r="V36" s="98"/>
      <c r="W36" s="98"/>
    </row>
    <row r="37" spans="1:23" s="170" customFormat="1" x14ac:dyDescent="0.35">
      <c r="A37" s="9" t="s">
        <v>316</v>
      </c>
      <c r="B37" s="170" t="s">
        <v>368</v>
      </c>
      <c r="C37" s="178">
        <v>15</v>
      </c>
      <c r="E37" s="73" t="e">
        <f>ROUNDUP(SUM(E16:E17)/$C$37,0)</f>
        <v>#REF!</v>
      </c>
      <c r="F37" s="73" t="e">
        <f t="shared" ref="F37:P37" si="16">ROUNDUP(SUM(F16:F17)/$C$37,0)</f>
        <v>#REF!</v>
      </c>
      <c r="G37" s="73" t="e">
        <f t="shared" si="16"/>
        <v>#REF!</v>
      </c>
      <c r="H37" s="73" t="e">
        <f t="shared" si="16"/>
        <v>#REF!</v>
      </c>
      <c r="I37" s="73" t="e">
        <f t="shared" si="16"/>
        <v>#REF!</v>
      </c>
      <c r="J37" s="73" t="e">
        <f t="shared" si="16"/>
        <v>#REF!</v>
      </c>
      <c r="K37" s="73" t="e">
        <f t="shared" si="16"/>
        <v>#REF!</v>
      </c>
      <c r="L37" s="73" t="e">
        <f t="shared" si="16"/>
        <v>#REF!</v>
      </c>
      <c r="M37" s="73" t="e">
        <f t="shared" si="16"/>
        <v>#REF!</v>
      </c>
      <c r="N37" s="73" t="e">
        <f t="shared" si="16"/>
        <v>#REF!</v>
      </c>
      <c r="O37" s="73" t="e">
        <f t="shared" si="16"/>
        <v>#REF!</v>
      </c>
      <c r="P37" s="73" t="e">
        <f t="shared" si="16"/>
        <v>#REF!</v>
      </c>
      <c r="R37" s="746" t="s">
        <v>369</v>
      </c>
      <c r="S37" s="746"/>
    </row>
    <row r="38" spans="1:23" x14ac:dyDescent="0.35">
      <c r="A38" s="178" t="s">
        <v>318</v>
      </c>
      <c r="B38" t="s">
        <v>325</v>
      </c>
      <c r="C38" s="9">
        <v>500</v>
      </c>
      <c r="E38" s="73" t="e">
        <f>ROUNDUP(E$5/$C38,0)</f>
        <v>#REF!</v>
      </c>
      <c r="F38" s="73" t="e">
        <f t="shared" ref="F38:P39" si="17">ROUNDUP(F$5/$C38,0)</f>
        <v>#REF!</v>
      </c>
      <c r="G38" s="73" t="e">
        <f t="shared" si="17"/>
        <v>#REF!</v>
      </c>
      <c r="H38" s="73" t="e">
        <f t="shared" si="17"/>
        <v>#REF!</v>
      </c>
      <c r="I38" s="73" t="e">
        <f t="shared" si="17"/>
        <v>#REF!</v>
      </c>
      <c r="J38" s="73" t="e">
        <f t="shared" si="17"/>
        <v>#REF!</v>
      </c>
      <c r="K38" s="73" t="e">
        <f t="shared" si="17"/>
        <v>#REF!</v>
      </c>
      <c r="L38" s="73" t="e">
        <f t="shared" si="17"/>
        <v>#REF!</v>
      </c>
      <c r="M38" s="73" t="e">
        <f t="shared" si="17"/>
        <v>#REF!</v>
      </c>
      <c r="N38" s="73" t="e">
        <f t="shared" si="17"/>
        <v>#REF!</v>
      </c>
      <c r="O38" s="73" t="e">
        <f t="shared" si="17"/>
        <v>#REF!</v>
      </c>
      <c r="P38" s="73" t="e">
        <f t="shared" si="17"/>
        <v>#REF!</v>
      </c>
      <c r="R38" s="746"/>
      <c r="S38" s="746"/>
    </row>
    <row r="39" spans="1:23" x14ac:dyDescent="0.35">
      <c r="A39" s="9" t="s">
        <v>320</v>
      </c>
      <c r="B39" t="s">
        <v>140</v>
      </c>
      <c r="C39" s="9">
        <v>100</v>
      </c>
      <c r="E39" s="73" t="e">
        <f t="shared" ref="E39" si="18">ROUNDUP(E$5/$C39,0)</f>
        <v>#REF!</v>
      </c>
      <c r="F39" s="73" t="e">
        <f t="shared" si="17"/>
        <v>#REF!</v>
      </c>
      <c r="G39" s="73" t="e">
        <f t="shared" si="17"/>
        <v>#REF!</v>
      </c>
      <c r="H39" s="73" t="e">
        <f t="shared" si="17"/>
        <v>#REF!</v>
      </c>
      <c r="I39" s="73" t="e">
        <f t="shared" si="17"/>
        <v>#REF!</v>
      </c>
      <c r="J39" s="73" t="e">
        <f t="shared" si="17"/>
        <v>#REF!</v>
      </c>
      <c r="K39" s="73" t="e">
        <f t="shared" si="17"/>
        <v>#REF!</v>
      </c>
      <c r="L39" s="73" t="e">
        <f t="shared" si="17"/>
        <v>#REF!</v>
      </c>
      <c r="M39" s="73" t="e">
        <f t="shared" si="17"/>
        <v>#REF!</v>
      </c>
      <c r="N39" s="73" t="e">
        <f t="shared" si="17"/>
        <v>#REF!</v>
      </c>
      <c r="O39" s="73" t="e">
        <f t="shared" si="17"/>
        <v>#REF!</v>
      </c>
      <c r="P39" s="73" t="e">
        <f t="shared" si="17"/>
        <v>#REF!</v>
      </c>
      <c r="R39" s="746"/>
      <c r="S39" s="746"/>
    </row>
    <row r="40" spans="1:23" x14ac:dyDescent="0.35">
      <c r="A40" s="9" t="s">
        <v>321</v>
      </c>
      <c r="B40" t="s">
        <v>322</v>
      </c>
      <c r="C40" s="9" t="s">
        <v>323</v>
      </c>
      <c r="E40" s="149"/>
      <c r="F40" s="149"/>
      <c r="G40" s="149"/>
      <c r="H40" s="149"/>
      <c r="I40" s="149"/>
      <c r="J40" s="149"/>
      <c r="K40" s="149"/>
      <c r="L40" s="149"/>
      <c r="M40" s="149"/>
      <c r="N40" s="149"/>
      <c r="O40" s="149"/>
      <c r="P40" s="149"/>
      <c r="R40" s="746"/>
      <c r="S40" s="746"/>
    </row>
    <row r="41" spans="1:23" x14ac:dyDescent="0.35">
      <c r="A41" s="9" t="s">
        <v>324</v>
      </c>
      <c r="B41" s="170" t="s">
        <v>370</v>
      </c>
      <c r="C41" s="178">
        <v>15</v>
      </c>
      <c r="E41" s="149" t="e">
        <f>ROUNDUP(SUM(E19:E20)/$C$41,0)</f>
        <v>#REF!</v>
      </c>
      <c r="F41" s="149" t="e">
        <f t="shared" ref="F41:P41" si="19">ROUNDUP(SUM(F19:F20)/$C$41,0)</f>
        <v>#REF!</v>
      </c>
      <c r="G41" s="149" t="e">
        <f t="shared" si="19"/>
        <v>#REF!</v>
      </c>
      <c r="H41" s="149" t="e">
        <f t="shared" si="19"/>
        <v>#REF!</v>
      </c>
      <c r="I41" s="149" t="e">
        <f t="shared" si="19"/>
        <v>#REF!</v>
      </c>
      <c r="J41" s="149" t="e">
        <f t="shared" si="19"/>
        <v>#REF!</v>
      </c>
      <c r="K41" s="149" t="e">
        <f t="shared" si="19"/>
        <v>#REF!</v>
      </c>
      <c r="L41" s="149" t="e">
        <f t="shared" si="19"/>
        <v>#REF!</v>
      </c>
      <c r="M41" s="149" t="e">
        <f t="shared" si="19"/>
        <v>#REF!</v>
      </c>
      <c r="N41" s="149" t="e">
        <f t="shared" si="19"/>
        <v>#REF!</v>
      </c>
      <c r="O41" s="149" t="e">
        <f t="shared" si="19"/>
        <v>#REF!</v>
      </c>
      <c r="P41" s="149" t="e">
        <f t="shared" si="19"/>
        <v>#REF!</v>
      </c>
      <c r="R41" s="746"/>
      <c r="S41" s="746"/>
    </row>
    <row r="42" spans="1:23" x14ac:dyDescent="0.35">
      <c r="A42" s="9" t="s">
        <v>326</v>
      </c>
      <c r="B42" s="170" t="s">
        <v>371</v>
      </c>
      <c r="C42" s="178">
        <v>15</v>
      </c>
      <c r="E42" s="149" t="e">
        <f>ROUNDUP(SUM(E22:E23)/$C$42,0)</f>
        <v>#REF!</v>
      </c>
      <c r="F42" s="149" t="e">
        <f t="shared" ref="F42:P42" si="20">ROUNDUP(SUM(F22:F23)/$C$42,0)</f>
        <v>#REF!</v>
      </c>
      <c r="G42" s="149" t="e">
        <f t="shared" si="20"/>
        <v>#REF!</v>
      </c>
      <c r="H42" s="149" t="e">
        <f t="shared" si="20"/>
        <v>#REF!</v>
      </c>
      <c r="I42" s="149" t="e">
        <f t="shared" si="20"/>
        <v>#REF!</v>
      </c>
      <c r="J42" s="149" t="e">
        <f t="shared" si="20"/>
        <v>#REF!</v>
      </c>
      <c r="K42" s="149" t="e">
        <f t="shared" si="20"/>
        <v>#REF!</v>
      </c>
      <c r="L42" s="149" t="e">
        <f t="shared" si="20"/>
        <v>#REF!</v>
      </c>
      <c r="M42" s="149" t="e">
        <f t="shared" si="20"/>
        <v>#REF!</v>
      </c>
      <c r="N42" s="149" t="e">
        <f t="shared" si="20"/>
        <v>#REF!</v>
      </c>
      <c r="O42" s="149" t="e">
        <f t="shared" si="20"/>
        <v>#REF!</v>
      </c>
      <c r="P42" s="149" t="e">
        <f t="shared" si="20"/>
        <v>#REF!</v>
      </c>
      <c r="R42" s="746"/>
      <c r="S42" s="746"/>
    </row>
    <row r="43" spans="1:23" x14ac:dyDescent="0.35">
      <c r="A43" s="9" t="s">
        <v>328</v>
      </c>
      <c r="B43" t="s">
        <v>372</v>
      </c>
      <c r="C43" s="9">
        <v>10</v>
      </c>
      <c r="E43" s="73" t="e">
        <f>ROUNDUP(SUM(E16:E17)/$C43,0)</f>
        <v>#REF!</v>
      </c>
      <c r="F43" s="73" t="e">
        <f t="shared" ref="F43:P43" si="21">ROUNDUP(SUM(F16:F17)/$C43,0)</f>
        <v>#REF!</v>
      </c>
      <c r="G43" s="73" t="e">
        <f t="shared" si="21"/>
        <v>#REF!</v>
      </c>
      <c r="H43" s="73" t="e">
        <f t="shared" si="21"/>
        <v>#REF!</v>
      </c>
      <c r="I43" s="73" t="e">
        <f t="shared" si="21"/>
        <v>#REF!</v>
      </c>
      <c r="J43" s="73" t="e">
        <f t="shared" si="21"/>
        <v>#REF!</v>
      </c>
      <c r="K43" s="73" t="e">
        <f t="shared" si="21"/>
        <v>#REF!</v>
      </c>
      <c r="L43" s="73" t="e">
        <f t="shared" si="21"/>
        <v>#REF!</v>
      </c>
      <c r="M43" s="73" t="e">
        <f t="shared" si="21"/>
        <v>#REF!</v>
      </c>
      <c r="N43" s="73" t="e">
        <f t="shared" si="21"/>
        <v>#REF!</v>
      </c>
      <c r="O43" s="73" t="e">
        <f t="shared" si="21"/>
        <v>#REF!</v>
      </c>
      <c r="P43" s="73" t="e">
        <f t="shared" si="21"/>
        <v>#REF!</v>
      </c>
      <c r="R43" s="746"/>
      <c r="S43" s="746"/>
    </row>
    <row r="44" spans="1:23" x14ac:dyDescent="0.35">
      <c r="B44" t="s">
        <v>373</v>
      </c>
      <c r="C44" s="9">
        <v>10</v>
      </c>
      <c r="E44" s="73" t="e">
        <f>ROUNDUP(SUM(E19:E20)/$C44,0)</f>
        <v>#REF!</v>
      </c>
      <c r="F44" s="73" t="e">
        <f t="shared" ref="F44:P44" si="22">ROUNDUP(SUM(F19:F20)/$C44,0)</f>
        <v>#REF!</v>
      </c>
      <c r="G44" s="73" t="e">
        <f t="shared" si="22"/>
        <v>#REF!</v>
      </c>
      <c r="H44" s="73" t="e">
        <f t="shared" si="22"/>
        <v>#REF!</v>
      </c>
      <c r="I44" s="73" t="e">
        <f t="shared" si="22"/>
        <v>#REF!</v>
      </c>
      <c r="J44" s="73" t="e">
        <f t="shared" si="22"/>
        <v>#REF!</v>
      </c>
      <c r="K44" s="73" t="e">
        <f t="shared" si="22"/>
        <v>#REF!</v>
      </c>
      <c r="L44" s="73" t="e">
        <f t="shared" si="22"/>
        <v>#REF!</v>
      </c>
      <c r="M44" s="73" t="e">
        <f t="shared" si="22"/>
        <v>#REF!</v>
      </c>
      <c r="N44" s="73" t="e">
        <f t="shared" si="22"/>
        <v>#REF!</v>
      </c>
      <c r="O44" s="73" t="e">
        <f t="shared" si="22"/>
        <v>#REF!</v>
      </c>
      <c r="P44" s="73" t="e">
        <f t="shared" si="22"/>
        <v>#REF!</v>
      </c>
      <c r="R44" s="746"/>
      <c r="S44" s="746"/>
    </row>
    <row r="45" spans="1:23" x14ac:dyDescent="0.35">
      <c r="B45" t="s">
        <v>374</v>
      </c>
      <c r="C45" s="9">
        <v>10</v>
      </c>
      <c r="E45" s="73" t="e">
        <f>ROUNDUP(SUM(E22:E23)/$C45,0)</f>
        <v>#REF!</v>
      </c>
      <c r="F45" s="73" t="e">
        <f t="shared" ref="F45:P45" si="23">ROUNDUP(SUM(F22:F23)/$C45,0)</f>
        <v>#REF!</v>
      </c>
      <c r="G45" s="73" t="e">
        <f t="shared" si="23"/>
        <v>#REF!</v>
      </c>
      <c r="H45" s="73" t="e">
        <f t="shared" si="23"/>
        <v>#REF!</v>
      </c>
      <c r="I45" s="73" t="e">
        <f t="shared" si="23"/>
        <v>#REF!</v>
      </c>
      <c r="J45" s="73" t="e">
        <f t="shared" si="23"/>
        <v>#REF!</v>
      </c>
      <c r="K45" s="73" t="e">
        <f t="shared" si="23"/>
        <v>#REF!</v>
      </c>
      <c r="L45" s="73" t="e">
        <f t="shared" si="23"/>
        <v>#REF!</v>
      </c>
      <c r="M45" s="73" t="e">
        <f t="shared" si="23"/>
        <v>#REF!</v>
      </c>
      <c r="N45" s="73" t="e">
        <f t="shared" si="23"/>
        <v>#REF!</v>
      </c>
      <c r="O45" s="73" t="e">
        <f t="shared" si="23"/>
        <v>#REF!</v>
      </c>
      <c r="P45" s="73" t="e">
        <f t="shared" si="23"/>
        <v>#REF!</v>
      </c>
      <c r="R45" s="746"/>
      <c r="S45" s="746"/>
    </row>
    <row r="46" spans="1:23" x14ac:dyDescent="0.35">
      <c r="A46" s="9" t="s">
        <v>329</v>
      </c>
      <c r="B46" t="s">
        <v>375</v>
      </c>
      <c r="C46" s="9">
        <v>100</v>
      </c>
      <c r="E46" s="73" t="e">
        <f>ROUNDUP(SUM(E16:E20)/$C46,0)</f>
        <v>#REF!</v>
      </c>
      <c r="F46" s="73" t="e">
        <f t="shared" ref="F46:P46" si="24">ROUNDUP(SUM(F16:F20)/$C46,0)</f>
        <v>#REF!</v>
      </c>
      <c r="G46" s="73" t="e">
        <f t="shared" si="24"/>
        <v>#REF!</v>
      </c>
      <c r="H46" s="73" t="e">
        <f t="shared" si="24"/>
        <v>#REF!</v>
      </c>
      <c r="I46" s="73" t="e">
        <f t="shared" si="24"/>
        <v>#REF!</v>
      </c>
      <c r="J46" s="73" t="e">
        <f t="shared" si="24"/>
        <v>#REF!</v>
      </c>
      <c r="K46" s="73" t="e">
        <f t="shared" si="24"/>
        <v>#REF!</v>
      </c>
      <c r="L46" s="73" t="e">
        <f t="shared" si="24"/>
        <v>#REF!</v>
      </c>
      <c r="M46" s="73" t="e">
        <f t="shared" si="24"/>
        <v>#REF!</v>
      </c>
      <c r="N46" s="73" t="e">
        <f t="shared" si="24"/>
        <v>#REF!</v>
      </c>
      <c r="O46" s="73" t="e">
        <f t="shared" si="24"/>
        <v>#REF!</v>
      </c>
      <c r="P46" s="73" t="e">
        <f t="shared" si="24"/>
        <v>#REF!</v>
      </c>
      <c r="R46" s="746"/>
      <c r="S46" s="746"/>
    </row>
    <row r="47" spans="1:23" x14ac:dyDescent="0.35">
      <c r="A47" s="9" t="s">
        <v>330</v>
      </c>
      <c r="B47" t="s">
        <v>376</v>
      </c>
      <c r="C47" s="9">
        <v>100</v>
      </c>
      <c r="E47" s="73" t="e">
        <f>ROUNDUP(SUM(E22:E23)/$C47,0)</f>
        <v>#REF!</v>
      </c>
      <c r="F47" s="73" t="e">
        <f t="shared" ref="F47:P47" si="25">ROUNDUP(SUM(F22:F23)/$C47,0)</f>
        <v>#REF!</v>
      </c>
      <c r="G47" s="73" t="e">
        <f t="shared" si="25"/>
        <v>#REF!</v>
      </c>
      <c r="H47" s="73" t="e">
        <f t="shared" si="25"/>
        <v>#REF!</v>
      </c>
      <c r="I47" s="73" t="e">
        <f t="shared" si="25"/>
        <v>#REF!</v>
      </c>
      <c r="J47" s="73" t="e">
        <f t="shared" si="25"/>
        <v>#REF!</v>
      </c>
      <c r="K47" s="73" t="e">
        <f t="shared" si="25"/>
        <v>#REF!</v>
      </c>
      <c r="L47" s="73" t="e">
        <f t="shared" si="25"/>
        <v>#REF!</v>
      </c>
      <c r="M47" s="73" t="e">
        <f t="shared" si="25"/>
        <v>#REF!</v>
      </c>
      <c r="N47" s="73" t="e">
        <f t="shared" si="25"/>
        <v>#REF!</v>
      </c>
      <c r="O47" s="73" t="e">
        <f t="shared" si="25"/>
        <v>#REF!</v>
      </c>
      <c r="P47" s="73" t="e">
        <f t="shared" si="25"/>
        <v>#REF!</v>
      </c>
      <c r="R47" s="171" t="s">
        <v>377</v>
      </c>
    </row>
    <row r="48" spans="1:23" x14ac:dyDescent="0.35">
      <c r="A48" s="9" t="s">
        <v>332</v>
      </c>
      <c r="B48" t="s">
        <v>333</v>
      </c>
      <c r="C48" s="9" t="s">
        <v>323</v>
      </c>
      <c r="E48" s="149">
        <v>2</v>
      </c>
      <c r="F48" s="149">
        <v>2</v>
      </c>
      <c r="G48" s="149">
        <v>2</v>
      </c>
      <c r="H48" s="149">
        <v>2</v>
      </c>
      <c r="I48" s="149">
        <v>2</v>
      </c>
      <c r="J48" s="149">
        <v>2</v>
      </c>
      <c r="K48" s="149">
        <v>2</v>
      </c>
      <c r="L48" s="149">
        <v>2</v>
      </c>
      <c r="M48" s="149">
        <v>2</v>
      </c>
      <c r="N48" s="149">
        <v>2</v>
      </c>
      <c r="O48" s="149">
        <v>2</v>
      </c>
      <c r="P48" s="149">
        <v>2</v>
      </c>
      <c r="R48" s="67"/>
    </row>
    <row r="49" spans="1:20" x14ac:dyDescent="0.35">
      <c r="E49" s="181" t="e">
        <f>SUM(E37:E48)</f>
        <v>#REF!</v>
      </c>
      <c r="F49" s="181" t="e">
        <f t="shared" ref="F49:P49" si="26">SUM(F37:F48)</f>
        <v>#REF!</v>
      </c>
      <c r="G49" s="181" t="e">
        <f t="shared" si="26"/>
        <v>#REF!</v>
      </c>
      <c r="H49" s="181" t="e">
        <f t="shared" si="26"/>
        <v>#REF!</v>
      </c>
      <c r="I49" s="181" t="e">
        <f t="shared" si="26"/>
        <v>#REF!</v>
      </c>
      <c r="J49" s="181" t="e">
        <f t="shared" si="26"/>
        <v>#REF!</v>
      </c>
      <c r="K49" s="181" t="e">
        <f t="shared" si="26"/>
        <v>#REF!</v>
      </c>
      <c r="L49" s="181" t="e">
        <f t="shared" si="26"/>
        <v>#REF!</v>
      </c>
      <c r="M49" s="181" t="e">
        <f t="shared" si="26"/>
        <v>#REF!</v>
      </c>
      <c r="N49" s="181" t="e">
        <f t="shared" si="26"/>
        <v>#REF!</v>
      </c>
      <c r="O49" s="181" t="e">
        <f t="shared" si="26"/>
        <v>#REF!</v>
      </c>
      <c r="P49" s="181" t="e">
        <f t="shared" si="26"/>
        <v>#REF!</v>
      </c>
    </row>
    <row r="50" spans="1:20" x14ac:dyDescent="0.35">
      <c r="E50" s="181"/>
      <c r="F50" s="181"/>
      <c r="G50" s="181"/>
      <c r="H50" s="181"/>
      <c r="I50" s="181"/>
      <c r="J50" s="181"/>
      <c r="K50" s="181"/>
      <c r="L50" s="181"/>
      <c r="M50" s="181"/>
      <c r="N50" s="181"/>
      <c r="O50" s="181"/>
      <c r="P50" s="181"/>
    </row>
    <row r="51" spans="1:20" x14ac:dyDescent="0.35">
      <c r="A51" s="9">
        <v>5</v>
      </c>
      <c r="B51" s="100" t="s">
        <v>378</v>
      </c>
      <c r="C51" s="76" t="s">
        <v>315</v>
      </c>
      <c r="D51" s="100"/>
      <c r="E51" s="149"/>
      <c r="F51" s="181"/>
      <c r="G51" s="181"/>
      <c r="H51" s="181"/>
      <c r="I51" s="181"/>
      <c r="J51" s="181"/>
      <c r="K51" s="181"/>
      <c r="L51" s="181"/>
      <c r="M51" s="181"/>
      <c r="N51" s="181"/>
      <c r="O51" s="181"/>
      <c r="P51" s="181"/>
    </row>
    <row r="52" spans="1:20" x14ac:dyDescent="0.35">
      <c r="A52" s="9" t="s">
        <v>316</v>
      </c>
      <c r="B52" t="str">
        <f>B37</f>
        <v>AM &amp; MT (AR)</v>
      </c>
      <c r="C52" s="9">
        <v>15</v>
      </c>
      <c r="D52" s="149">
        <v>65000</v>
      </c>
      <c r="E52" s="149"/>
      <c r="F52" s="181"/>
      <c r="G52" s="181"/>
      <c r="H52" s="181"/>
      <c r="I52" s="181"/>
      <c r="J52" s="181"/>
      <c r="K52" s="181"/>
      <c r="L52" s="181"/>
      <c r="M52" s="181"/>
      <c r="N52" s="181"/>
      <c r="O52" s="181"/>
      <c r="P52" s="181"/>
      <c r="R52" s="67"/>
    </row>
    <row r="53" spans="1:20" x14ac:dyDescent="0.35">
      <c r="A53" s="178" t="s">
        <v>318</v>
      </c>
      <c r="B53" t="str">
        <f t="shared" ref="B53:B63" si="27">B38</f>
        <v>GM</v>
      </c>
      <c r="C53" s="9">
        <v>50</v>
      </c>
      <c r="D53" s="149">
        <f>'Manpower Existing'!K171</f>
        <v>85100</v>
      </c>
      <c r="E53" s="149"/>
      <c r="F53" s="181"/>
      <c r="G53" s="181"/>
      <c r="H53" s="181"/>
      <c r="I53" s="181"/>
      <c r="J53" s="181"/>
      <c r="K53" s="181"/>
      <c r="L53" s="181"/>
      <c r="M53" s="181"/>
      <c r="N53" s="181"/>
      <c r="O53" s="181"/>
      <c r="P53" s="181"/>
      <c r="R53" s="67"/>
    </row>
    <row r="54" spans="1:20" x14ac:dyDescent="0.35">
      <c r="A54" s="9" t="s">
        <v>320</v>
      </c>
      <c r="B54" t="str">
        <f t="shared" si="27"/>
        <v>Manager</v>
      </c>
      <c r="C54" s="9">
        <v>100</v>
      </c>
      <c r="D54" s="149">
        <f>'Manpower Existing'!K174</f>
        <v>95688.257000000012</v>
      </c>
      <c r="E54" s="149"/>
      <c r="F54" s="181"/>
      <c r="G54" s="181"/>
      <c r="H54" s="181"/>
      <c r="I54" s="181"/>
      <c r="J54" s="181"/>
      <c r="K54" s="181"/>
      <c r="L54" s="181"/>
      <c r="M54" s="181"/>
      <c r="N54" s="181"/>
      <c r="O54" s="181"/>
      <c r="P54" s="181"/>
      <c r="R54" s="67"/>
    </row>
    <row r="55" spans="1:20" x14ac:dyDescent="0.35">
      <c r="A55" s="9" t="s">
        <v>321</v>
      </c>
      <c r="B55" t="str">
        <f t="shared" si="27"/>
        <v>SM</v>
      </c>
      <c r="C55" s="9" t="s">
        <v>323</v>
      </c>
      <c r="D55" s="149">
        <f>'Manpower Existing'!K185</f>
        <v>132250</v>
      </c>
      <c r="E55" s="149"/>
      <c r="F55" s="181"/>
      <c r="G55" s="181"/>
      <c r="H55" s="181"/>
      <c r="I55" s="181"/>
      <c r="J55" s="181"/>
      <c r="K55" s="181"/>
      <c r="L55" s="181"/>
      <c r="M55" s="181"/>
      <c r="N55" s="181"/>
      <c r="O55" s="181"/>
      <c r="P55" s="181"/>
      <c r="R55" s="67"/>
    </row>
    <row r="56" spans="1:20" x14ac:dyDescent="0.35">
      <c r="A56" s="9" t="s">
        <v>324</v>
      </c>
      <c r="B56" t="str">
        <f t="shared" si="27"/>
        <v>AM &amp; MT (Coding)</v>
      </c>
      <c r="C56" s="9" t="s">
        <v>323</v>
      </c>
      <c r="D56" s="149">
        <f>'Manpower Existing'!K186</f>
        <v>132187.32500000001</v>
      </c>
      <c r="E56" s="149"/>
      <c r="F56" s="181"/>
      <c r="G56" s="181"/>
      <c r="H56" s="181"/>
      <c r="I56" s="181"/>
      <c r="J56" s="181"/>
      <c r="K56" s="181"/>
      <c r="L56" s="181"/>
      <c r="M56" s="181"/>
      <c r="N56" s="181"/>
      <c r="O56" s="181"/>
      <c r="P56" s="181"/>
      <c r="R56" s="67"/>
    </row>
    <row r="57" spans="1:20" x14ac:dyDescent="0.35">
      <c r="A57" s="9" t="s">
        <v>326</v>
      </c>
      <c r="B57" t="str">
        <f t="shared" si="27"/>
        <v>AM &amp; MT (Billing)</v>
      </c>
      <c r="C57" s="9" t="s">
        <v>323</v>
      </c>
      <c r="D57" s="149">
        <f>'Manpower Existing'!K184</f>
        <v>268332.95</v>
      </c>
      <c r="E57" s="149"/>
      <c r="F57" s="181"/>
      <c r="G57" s="181"/>
      <c r="H57" s="181"/>
      <c r="I57" s="181"/>
      <c r="J57" s="181"/>
      <c r="K57" s="181"/>
      <c r="L57" s="181"/>
      <c r="M57" s="181"/>
      <c r="N57" s="181"/>
      <c r="O57" s="181"/>
      <c r="P57" s="181"/>
      <c r="R57" s="67"/>
    </row>
    <row r="58" spans="1:20" x14ac:dyDescent="0.35">
      <c r="A58" s="9" t="s">
        <v>328</v>
      </c>
      <c r="B58" t="str">
        <f t="shared" si="27"/>
        <v>QA (AR)</v>
      </c>
      <c r="C58" s="9">
        <v>10</v>
      </c>
      <c r="D58" s="149">
        <f>'Manpower Existing'!K178</f>
        <v>31854.969333333334</v>
      </c>
      <c r="E58" s="149"/>
      <c r="F58" s="181"/>
      <c r="G58" s="181"/>
      <c r="H58" s="181"/>
      <c r="I58" s="181"/>
      <c r="J58" s="181"/>
      <c r="K58" s="181"/>
      <c r="L58" s="181"/>
      <c r="M58" s="181"/>
      <c r="N58" s="181"/>
      <c r="O58" s="181"/>
      <c r="P58" s="181"/>
      <c r="R58" s="67"/>
    </row>
    <row r="59" spans="1:20" x14ac:dyDescent="0.35">
      <c r="A59" s="9" t="s">
        <v>329</v>
      </c>
      <c r="B59" t="str">
        <f t="shared" si="27"/>
        <v>QA (Billing)</v>
      </c>
      <c r="C59" s="9">
        <v>100</v>
      </c>
      <c r="D59" s="149">
        <f>'Manpower Existing'!K181</f>
        <v>69000</v>
      </c>
      <c r="E59" s="149"/>
      <c r="F59" s="181"/>
      <c r="G59" s="181"/>
      <c r="H59" s="181"/>
      <c r="I59" s="181"/>
      <c r="J59" s="181"/>
      <c r="K59" s="181"/>
      <c r="L59" s="181"/>
      <c r="M59" s="181"/>
      <c r="N59" s="181"/>
      <c r="O59" s="181"/>
      <c r="P59" s="181"/>
      <c r="R59" s="67"/>
    </row>
    <row r="60" spans="1:20" x14ac:dyDescent="0.35">
      <c r="B60" t="str">
        <f t="shared" si="27"/>
        <v>QA (Coding)</v>
      </c>
      <c r="D60" s="149"/>
      <c r="E60" s="149"/>
      <c r="F60" s="181"/>
      <c r="G60" s="181"/>
      <c r="H60" s="181"/>
      <c r="I60" s="181"/>
      <c r="J60" s="181"/>
      <c r="K60" s="181"/>
      <c r="L60" s="181"/>
      <c r="M60" s="181"/>
      <c r="N60" s="181"/>
      <c r="O60" s="181"/>
      <c r="P60" s="181"/>
      <c r="R60" s="67"/>
    </row>
    <row r="61" spans="1:20" x14ac:dyDescent="0.35">
      <c r="B61" t="str">
        <f t="shared" si="27"/>
        <v>Training (Billing &amp; AR)</v>
      </c>
      <c r="D61" s="149"/>
      <c r="E61" s="149"/>
      <c r="F61" s="181"/>
      <c r="G61" s="181"/>
      <c r="H61" s="181"/>
      <c r="I61" s="181"/>
      <c r="J61" s="181"/>
      <c r="K61" s="181"/>
      <c r="L61" s="181"/>
      <c r="M61" s="181"/>
      <c r="N61" s="181"/>
      <c r="O61" s="181"/>
      <c r="P61" s="181"/>
      <c r="R61" s="67"/>
    </row>
    <row r="62" spans="1:20" x14ac:dyDescent="0.35">
      <c r="A62" s="9" t="s">
        <v>330</v>
      </c>
      <c r="B62" t="str">
        <f t="shared" si="27"/>
        <v>Training (Coding)</v>
      </c>
      <c r="C62" s="9" t="s">
        <v>323</v>
      </c>
      <c r="D62" s="149">
        <f>'Manpower Existing'!K180</f>
        <v>29419.129629629624</v>
      </c>
      <c r="E62" s="149"/>
      <c r="F62" s="181"/>
      <c r="G62" s="181"/>
      <c r="H62" s="181"/>
      <c r="I62" s="181"/>
      <c r="J62" s="181"/>
      <c r="K62" s="181"/>
      <c r="L62" s="181"/>
      <c r="M62" s="181"/>
      <c r="N62" s="181"/>
      <c r="O62" s="181"/>
      <c r="P62" s="181"/>
      <c r="R62" s="67"/>
    </row>
    <row r="63" spans="1:20" x14ac:dyDescent="0.35">
      <c r="A63" s="9" t="s">
        <v>332</v>
      </c>
      <c r="B63" t="str">
        <f t="shared" si="27"/>
        <v>MIS</v>
      </c>
      <c r="C63" s="9" t="s">
        <v>323</v>
      </c>
      <c r="D63" s="149">
        <f>'Manpower Existing'!K175</f>
        <v>20014.438999999998</v>
      </c>
      <c r="E63" s="149"/>
      <c r="F63" s="181"/>
      <c r="G63" s="181"/>
      <c r="H63" s="181"/>
      <c r="I63" s="181"/>
      <c r="J63" s="181"/>
      <c r="K63" s="181"/>
      <c r="L63" s="181"/>
      <c r="M63" s="181"/>
      <c r="N63" s="181"/>
      <c r="O63" s="181"/>
      <c r="P63" s="181"/>
      <c r="R63" s="67"/>
    </row>
    <row r="64" spans="1:20" s="100" customFormat="1" x14ac:dyDescent="0.35">
      <c r="A64" s="9"/>
      <c r="B64" s="100" t="s">
        <v>340</v>
      </c>
      <c r="C64" s="76"/>
      <c r="E64" s="366">
        <f>SUM(E52:E63)</f>
        <v>0</v>
      </c>
      <c r="F64" s="182">
        <f t="shared" ref="F64:P64" si="28">SUM(F52:F63)</f>
        <v>0</v>
      </c>
      <c r="G64" s="182">
        <f t="shared" si="28"/>
        <v>0</v>
      </c>
      <c r="H64" s="182">
        <f t="shared" si="28"/>
        <v>0</v>
      </c>
      <c r="I64" s="182">
        <f t="shared" si="28"/>
        <v>0</v>
      </c>
      <c r="J64" s="182">
        <f t="shared" si="28"/>
        <v>0</v>
      </c>
      <c r="K64" s="182">
        <f t="shared" si="28"/>
        <v>0</v>
      </c>
      <c r="L64" s="182">
        <f t="shared" si="28"/>
        <v>0</v>
      </c>
      <c r="M64" s="182">
        <f t="shared" si="28"/>
        <v>0</v>
      </c>
      <c r="N64" s="182">
        <f t="shared" si="28"/>
        <v>0</v>
      </c>
      <c r="O64" s="182">
        <f t="shared" si="28"/>
        <v>0</v>
      </c>
      <c r="P64" s="182">
        <f t="shared" si="28"/>
        <v>0</v>
      </c>
      <c r="T64" s="171"/>
    </row>
    <row r="65" spans="1:20" s="100" customFormat="1" x14ac:dyDescent="0.35">
      <c r="A65" s="76"/>
      <c r="C65" s="76"/>
      <c r="E65" s="366">
        <f>SUMPRODUCT(E52:E63,$D$52:$D$63)</f>
        <v>0</v>
      </c>
      <c r="F65" s="182">
        <f t="shared" ref="F65:P65" si="29">SUMPRODUCT(F52:F63,$D$52:$D$63)</f>
        <v>0</v>
      </c>
      <c r="G65" s="182">
        <f t="shared" si="29"/>
        <v>0</v>
      </c>
      <c r="H65" s="182">
        <f t="shared" si="29"/>
        <v>0</v>
      </c>
      <c r="I65" s="182">
        <f t="shared" si="29"/>
        <v>0</v>
      </c>
      <c r="J65" s="182">
        <f t="shared" si="29"/>
        <v>0</v>
      </c>
      <c r="K65" s="182">
        <f t="shared" si="29"/>
        <v>0</v>
      </c>
      <c r="L65" s="182">
        <f t="shared" si="29"/>
        <v>0</v>
      </c>
      <c r="M65" s="182">
        <f t="shared" si="29"/>
        <v>0</v>
      </c>
      <c r="N65" s="182">
        <f t="shared" si="29"/>
        <v>0</v>
      </c>
      <c r="O65" s="182">
        <f t="shared" si="29"/>
        <v>0</v>
      </c>
      <c r="P65" s="182">
        <f t="shared" si="29"/>
        <v>0</v>
      </c>
      <c r="T65" s="171"/>
    </row>
    <row r="66" spans="1:20" x14ac:dyDescent="0.35">
      <c r="A66" s="9">
        <v>6</v>
      </c>
      <c r="B66" s="100" t="s">
        <v>362</v>
      </c>
      <c r="C66" s="76" t="s">
        <v>315</v>
      </c>
      <c r="D66" s="100"/>
      <c r="E66" s="149"/>
      <c r="F66" s="181"/>
      <c r="G66" s="181"/>
      <c r="H66" s="181"/>
      <c r="I66" s="181"/>
      <c r="J66" s="181"/>
      <c r="K66" s="181"/>
      <c r="L66" s="181"/>
      <c r="M66" s="181"/>
      <c r="N66" s="181"/>
      <c r="O66" s="181"/>
      <c r="P66" s="181"/>
    </row>
    <row r="67" spans="1:20" x14ac:dyDescent="0.35">
      <c r="A67" s="9" t="s">
        <v>316</v>
      </c>
      <c r="B67" t="str">
        <f>B37</f>
        <v>AM &amp; MT (AR)</v>
      </c>
      <c r="C67" s="9">
        <f>C37</f>
        <v>15</v>
      </c>
      <c r="D67" s="149">
        <f>D52</f>
        <v>65000</v>
      </c>
      <c r="E67" s="149" t="e">
        <f>IF((E37-E52)&lt;0,0,(E37-E52))</f>
        <v>#REF!</v>
      </c>
      <c r="F67" s="181" t="e">
        <f t="shared" ref="F67:P67" si="30">IF((F37-F52)&lt;0,0,(F37-F52))</f>
        <v>#REF!</v>
      </c>
      <c r="G67" s="181" t="e">
        <f t="shared" si="30"/>
        <v>#REF!</v>
      </c>
      <c r="H67" s="181" t="e">
        <f t="shared" si="30"/>
        <v>#REF!</v>
      </c>
      <c r="I67" s="181" t="e">
        <f t="shared" si="30"/>
        <v>#REF!</v>
      </c>
      <c r="J67" s="181" t="e">
        <f t="shared" si="30"/>
        <v>#REF!</v>
      </c>
      <c r="K67" s="181" t="e">
        <f t="shared" si="30"/>
        <v>#REF!</v>
      </c>
      <c r="L67" s="181" t="e">
        <f t="shared" si="30"/>
        <v>#REF!</v>
      </c>
      <c r="M67" s="181" t="e">
        <f t="shared" si="30"/>
        <v>#REF!</v>
      </c>
      <c r="N67" s="181" t="e">
        <f t="shared" si="30"/>
        <v>#REF!</v>
      </c>
      <c r="O67" s="181" t="e">
        <f t="shared" si="30"/>
        <v>#REF!</v>
      </c>
      <c r="P67" s="181" t="e">
        <f t="shared" si="30"/>
        <v>#REF!</v>
      </c>
    </row>
    <row r="68" spans="1:20" x14ac:dyDescent="0.35">
      <c r="A68" s="178" t="s">
        <v>318</v>
      </c>
      <c r="B68" t="str">
        <f t="shared" ref="B68:B78" si="31">B38</f>
        <v>GM</v>
      </c>
      <c r="C68" s="9">
        <f>C38</f>
        <v>500</v>
      </c>
      <c r="D68" s="149">
        <f>20*10^5/12</f>
        <v>166666.66666666666</v>
      </c>
      <c r="E68" s="149" t="e">
        <f t="shared" ref="E68:P68" si="32">IF((E38-E53)&lt;0,0,(E38-E53))</f>
        <v>#REF!</v>
      </c>
      <c r="F68" s="181" t="e">
        <f t="shared" si="32"/>
        <v>#REF!</v>
      </c>
      <c r="G68" s="181" t="e">
        <f t="shared" si="32"/>
        <v>#REF!</v>
      </c>
      <c r="H68" s="181" t="e">
        <f t="shared" si="32"/>
        <v>#REF!</v>
      </c>
      <c r="I68" s="181" t="e">
        <f t="shared" si="32"/>
        <v>#REF!</v>
      </c>
      <c r="J68" s="181" t="e">
        <f t="shared" si="32"/>
        <v>#REF!</v>
      </c>
      <c r="K68" s="181" t="e">
        <f t="shared" si="32"/>
        <v>#REF!</v>
      </c>
      <c r="L68" s="181" t="e">
        <f t="shared" si="32"/>
        <v>#REF!</v>
      </c>
      <c r="M68" s="181" t="e">
        <f t="shared" si="32"/>
        <v>#REF!</v>
      </c>
      <c r="N68" s="181" t="e">
        <f t="shared" si="32"/>
        <v>#REF!</v>
      </c>
      <c r="O68" s="181" t="e">
        <f t="shared" si="32"/>
        <v>#REF!</v>
      </c>
      <c r="P68" s="181" t="e">
        <f t="shared" si="32"/>
        <v>#REF!</v>
      </c>
    </row>
    <row r="69" spans="1:20" x14ac:dyDescent="0.35">
      <c r="A69" s="9" t="s">
        <v>320</v>
      </c>
      <c r="B69" t="str">
        <f t="shared" si="31"/>
        <v>Manager</v>
      </c>
      <c r="C69" s="9">
        <f>C39</f>
        <v>100</v>
      </c>
      <c r="D69" s="149">
        <f>10*10^5/12</f>
        <v>83333.333333333328</v>
      </c>
      <c r="E69" s="149" t="e">
        <f t="shared" ref="E69:P69" si="33">IF((E39-E54)&lt;0,0,(E39-E54))</f>
        <v>#REF!</v>
      </c>
      <c r="F69" s="181" t="e">
        <f t="shared" si="33"/>
        <v>#REF!</v>
      </c>
      <c r="G69" s="181" t="e">
        <f t="shared" si="33"/>
        <v>#REF!</v>
      </c>
      <c r="H69" s="181" t="e">
        <f t="shared" si="33"/>
        <v>#REF!</v>
      </c>
      <c r="I69" s="181" t="e">
        <f t="shared" si="33"/>
        <v>#REF!</v>
      </c>
      <c r="J69" s="181" t="e">
        <f t="shared" si="33"/>
        <v>#REF!</v>
      </c>
      <c r="K69" s="181" t="e">
        <f t="shared" si="33"/>
        <v>#REF!</v>
      </c>
      <c r="L69" s="181" t="e">
        <f t="shared" si="33"/>
        <v>#REF!</v>
      </c>
      <c r="M69" s="181" t="e">
        <f t="shared" si="33"/>
        <v>#REF!</v>
      </c>
      <c r="N69" s="181" t="e">
        <f t="shared" si="33"/>
        <v>#REF!</v>
      </c>
      <c r="O69" s="181" t="e">
        <f t="shared" si="33"/>
        <v>#REF!</v>
      </c>
      <c r="P69" s="181" t="e">
        <f t="shared" si="33"/>
        <v>#REF!</v>
      </c>
    </row>
    <row r="70" spans="1:20" x14ac:dyDescent="0.35">
      <c r="A70" s="9" t="s">
        <v>321</v>
      </c>
      <c r="B70" t="str">
        <f t="shared" si="31"/>
        <v>SM</v>
      </c>
      <c r="C70" s="9" t="s">
        <v>323</v>
      </c>
      <c r="D70" s="149">
        <f>20*10^5/12</f>
        <v>166666.66666666666</v>
      </c>
      <c r="E70" s="149">
        <f t="shared" ref="E70:P70" si="34">IF((E40-E55)&lt;0,0,(E40-E55))</f>
        <v>0</v>
      </c>
      <c r="F70" s="181">
        <f t="shared" si="34"/>
        <v>0</v>
      </c>
      <c r="G70" s="181">
        <f t="shared" si="34"/>
        <v>0</v>
      </c>
      <c r="H70" s="181">
        <f t="shared" si="34"/>
        <v>0</v>
      </c>
      <c r="I70" s="181">
        <f t="shared" si="34"/>
        <v>0</v>
      </c>
      <c r="J70" s="181">
        <f t="shared" si="34"/>
        <v>0</v>
      </c>
      <c r="K70" s="181">
        <f t="shared" si="34"/>
        <v>0</v>
      </c>
      <c r="L70" s="181">
        <f t="shared" si="34"/>
        <v>0</v>
      </c>
      <c r="M70" s="181">
        <f t="shared" si="34"/>
        <v>0</v>
      </c>
      <c r="N70" s="181">
        <f t="shared" si="34"/>
        <v>0</v>
      </c>
      <c r="O70" s="181">
        <f t="shared" si="34"/>
        <v>0</v>
      </c>
      <c r="P70" s="181">
        <f t="shared" si="34"/>
        <v>0</v>
      </c>
    </row>
    <row r="71" spans="1:20" x14ac:dyDescent="0.35">
      <c r="A71" s="9" t="s">
        <v>324</v>
      </c>
      <c r="B71" t="str">
        <f t="shared" si="31"/>
        <v>AM &amp; MT (Coding)</v>
      </c>
      <c r="C71" s="9" t="s">
        <v>323</v>
      </c>
      <c r="D71" s="149">
        <v>65000</v>
      </c>
      <c r="E71" s="149" t="e">
        <f t="shared" ref="E71:P71" si="35">IF((E41-E56)&lt;0,0,(E41-E56))</f>
        <v>#REF!</v>
      </c>
      <c r="F71" s="181" t="e">
        <f t="shared" si="35"/>
        <v>#REF!</v>
      </c>
      <c r="G71" s="181" t="e">
        <f t="shared" si="35"/>
        <v>#REF!</v>
      </c>
      <c r="H71" s="181" t="e">
        <f t="shared" si="35"/>
        <v>#REF!</v>
      </c>
      <c r="I71" s="181" t="e">
        <f t="shared" si="35"/>
        <v>#REF!</v>
      </c>
      <c r="J71" s="181" t="e">
        <f t="shared" si="35"/>
        <v>#REF!</v>
      </c>
      <c r="K71" s="181" t="e">
        <f t="shared" si="35"/>
        <v>#REF!</v>
      </c>
      <c r="L71" s="181" t="e">
        <f t="shared" si="35"/>
        <v>#REF!</v>
      </c>
      <c r="M71" s="181" t="e">
        <f t="shared" si="35"/>
        <v>#REF!</v>
      </c>
      <c r="N71" s="181" t="e">
        <f t="shared" si="35"/>
        <v>#REF!</v>
      </c>
      <c r="O71" s="181" t="e">
        <f t="shared" si="35"/>
        <v>#REF!</v>
      </c>
      <c r="P71" s="181" t="e">
        <f t="shared" si="35"/>
        <v>#REF!</v>
      </c>
    </row>
    <row r="72" spans="1:20" x14ac:dyDescent="0.35">
      <c r="A72" s="9" t="s">
        <v>326</v>
      </c>
      <c r="B72" t="str">
        <f t="shared" si="31"/>
        <v>AM &amp; MT (Billing)</v>
      </c>
      <c r="C72" s="9" t="s">
        <v>323</v>
      </c>
      <c r="D72" s="149">
        <v>65000</v>
      </c>
      <c r="E72" s="149" t="e">
        <f t="shared" ref="E72:P72" si="36">IF((E42-E57)&lt;0,0,(E42-E57))</f>
        <v>#REF!</v>
      </c>
      <c r="F72" s="181" t="e">
        <f t="shared" si="36"/>
        <v>#REF!</v>
      </c>
      <c r="G72" s="181" t="e">
        <f t="shared" si="36"/>
        <v>#REF!</v>
      </c>
      <c r="H72" s="181" t="e">
        <f t="shared" si="36"/>
        <v>#REF!</v>
      </c>
      <c r="I72" s="181" t="e">
        <f t="shared" si="36"/>
        <v>#REF!</v>
      </c>
      <c r="J72" s="181" t="e">
        <f t="shared" si="36"/>
        <v>#REF!</v>
      </c>
      <c r="K72" s="181" t="e">
        <f t="shared" si="36"/>
        <v>#REF!</v>
      </c>
      <c r="L72" s="181" t="e">
        <f t="shared" si="36"/>
        <v>#REF!</v>
      </c>
      <c r="M72" s="181" t="e">
        <f t="shared" si="36"/>
        <v>#REF!</v>
      </c>
      <c r="N72" s="181" t="e">
        <f t="shared" si="36"/>
        <v>#REF!</v>
      </c>
      <c r="O72" s="181" t="e">
        <f t="shared" si="36"/>
        <v>#REF!</v>
      </c>
      <c r="P72" s="181" t="e">
        <f t="shared" si="36"/>
        <v>#REF!</v>
      </c>
    </row>
    <row r="73" spans="1:20" x14ac:dyDescent="0.35">
      <c r="A73" s="9" t="s">
        <v>328</v>
      </c>
      <c r="B73" t="str">
        <f t="shared" si="31"/>
        <v>QA (AR)</v>
      </c>
      <c r="D73" s="149">
        <v>50000</v>
      </c>
      <c r="E73" s="149" t="e">
        <f t="shared" ref="E73:P73" si="37">IF((E43-E58)&lt;0,0,(E43-E58))</f>
        <v>#REF!</v>
      </c>
      <c r="F73" s="181" t="e">
        <f t="shared" si="37"/>
        <v>#REF!</v>
      </c>
      <c r="G73" s="181" t="e">
        <f t="shared" si="37"/>
        <v>#REF!</v>
      </c>
      <c r="H73" s="181" t="e">
        <f t="shared" si="37"/>
        <v>#REF!</v>
      </c>
      <c r="I73" s="181" t="e">
        <f t="shared" si="37"/>
        <v>#REF!</v>
      </c>
      <c r="J73" s="181" t="e">
        <f t="shared" si="37"/>
        <v>#REF!</v>
      </c>
      <c r="K73" s="181" t="e">
        <f t="shared" si="37"/>
        <v>#REF!</v>
      </c>
      <c r="L73" s="181" t="e">
        <f t="shared" si="37"/>
        <v>#REF!</v>
      </c>
      <c r="M73" s="181" t="e">
        <f t="shared" si="37"/>
        <v>#REF!</v>
      </c>
      <c r="N73" s="181" t="e">
        <f t="shared" si="37"/>
        <v>#REF!</v>
      </c>
      <c r="O73" s="181" t="e">
        <f t="shared" si="37"/>
        <v>#REF!</v>
      </c>
      <c r="P73" s="181" t="e">
        <f t="shared" si="37"/>
        <v>#REF!</v>
      </c>
    </row>
    <row r="74" spans="1:20" x14ac:dyDescent="0.35">
      <c r="A74" s="9" t="s">
        <v>329</v>
      </c>
      <c r="B74" t="str">
        <f t="shared" si="31"/>
        <v>QA (Billing)</v>
      </c>
      <c r="D74" s="149">
        <v>50000</v>
      </c>
      <c r="E74" s="149" t="e">
        <f t="shared" ref="E74:P74" si="38">IF((E44-E59)&lt;0,0,(E44-E59))</f>
        <v>#REF!</v>
      </c>
      <c r="F74" s="181" t="e">
        <f t="shared" si="38"/>
        <v>#REF!</v>
      </c>
      <c r="G74" s="181" t="e">
        <f t="shared" si="38"/>
        <v>#REF!</v>
      </c>
      <c r="H74" s="181" t="e">
        <f t="shared" si="38"/>
        <v>#REF!</v>
      </c>
      <c r="I74" s="181" t="e">
        <f t="shared" si="38"/>
        <v>#REF!</v>
      </c>
      <c r="J74" s="181" t="e">
        <f t="shared" si="38"/>
        <v>#REF!</v>
      </c>
      <c r="K74" s="181" t="e">
        <f t="shared" si="38"/>
        <v>#REF!</v>
      </c>
      <c r="L74" s="181" t="e">
        <f t="shared" si="38"/>
        <v>#REF!</v>
      </c>
      <c r="M74" s="181" t="e">
        <f t="shared" si="38"/>
        <v>#REF!</v>
      </c>
      <c r="N74" s="181" t="e">
        <f t="shared" si="38"/>
        <v>#REF!</v>
      </c>
      <c r="O74" s="181" t="e">
        <f t="shared" si="38"/>
        <v>#REF!</v>
      </c>
      <c r="P74" s="181" t="e">
        <f t="shared" si="38"/>
        <v>#REF!</v>
      </c>
    </row>
    <row r="75" spans="1:20" x14ac:dyDescent="0.35">
      <c r="B75" t="str">
        <f t="shared" si="31"/>
        <v>QA (Coding)</v>
      </c>
      <c r="D75" s="149">
        <v>50000</v>
      </c>
      <c r="E75" s="149" t="e">
        <f t="shared" ref="E75:P75" si="39">IF((E45-E60)&lt;0,0,(E45-E60))</f>
        <v>#REF!</v>
      </c>
      <c r="F75" s="181" t="e">
        <f t="shared" si="39"/>
        <v>#REF!</v>
      </c>
      <c r="G75" s="181" t="e">
        <f t="shared" si="39"/>
        <v>#REF!</v>
      </c>
      <c r="H75" s="181" t="e">
        <f t="shared" si="39"/>
        <v>#REF!</v>
      </c>
      <c r="I75" s="181" t="e">
        <f t="shared" si="39"/>
        <v>#REF!</v>
      </c>
      <c r="J75" s="181" t="e">
        <f t="shared" si="39"/>
        <v>#REF!</v>
      </c>
      <c r="K75" s="181" t="e">
        <f t="shared" si="39"/>
        <v>#REF!</v>
      </c>
      <c r="L75" s="181" t="e">
        <f t="shared" si="39"/>
        <v>#REF!</v>
      </c>
      <c r="M75" s="181" t="e">
        <f t="shared" si="39"/>
        <v>#REF!</v>
      </c>
      <c r="N75" s="181" t="e">
        <f t="shared" si="39"/>
        <v>#REF!</v>
      </c>
      <c r="O75" s="181" t="e">
        <f t="shared" si="39"/>
        <v>#REF!</v>
      </c>
      <c r="P75" s="181" t="e">
        <f t="shared" si="39"/>
        <v>#REF!</v>
      </c>
    </row>
    <row r="76" spans="1:20" x14ac:dyDescent="0.35">
      <c r="B76" t="str">
        <f t="shared" si="31"/>
        <v>Training (Billing &amp; AR)</v>
      </c>
      <c r="D76" s="149">
        <f>'2. Headcount Buildup'!E73</f>
        <v>40000</v>
      </c>
      <c r="E76" s="149" t="e">
        <f t="shared" ref="E76:P76" si="40">IF((E46-E61)&lt;0,0,(E46-E61))</f>
        <v>#REF!</v>
      </c>
      <c r="F76" s="181" t="e">
        <f t="shared" si="40"/>
        <v>#REF!</v>
      </c>
      <c r="G76" s="181" t="e">
        <f t="shared" si="40"/>
        <v>#REF!</v>
      </c>
      <c r="H76" s="181" t="e">
        <f t="shared" si="40"/>
        <v>#REF!</v>
      </c>
      <c r="I76" s="181" t="e">
        <f t="shared" si="40"/>
        <v>#REF!</v>
      </c>
      <c r="J76" s="181" t="e">
        <f t="shared" si="40"/>
        <v>#REF!</v>
      </c>
      <c r="K76" s="181" t="e">
        <f t="shared" si="40"/>
        <v>#REF!</v>
      </c>
      <c r="L76" s="181" t="e">
        <f t="shared" si="40"/>
        <v>#REF!</v>
      </c>
      <c r="M76" s="181" t="e">
        <f t="shared" si="40"/>
        <v>#REF!</v>
      </c>
      <c r="N76" s="181" t="e">
        <f t="shared" si="40"/>
        <v>#REF!</v>
      </c>
      <c r="O76" s="181" t="e">
        <f t="shared" si="40"/>
        <v>#REF!</v>
      </c>
      <c r="P76" s="181" t="e">
        <f t="shared" si="40"/>
        <v>#REF!</v>
      </c>
    </row>
    <row r="77" spans="1:20" x14ac:dyDescent="0.35">
      <c r="A77" s="9" t="s">
        <v>330</v>
      </c>
      <c r="B77" t="str">
        <f t="shared" si="31"/>
        <v>Training (Coding)</v>
      </c>
      <c r="C77" s="9" t="s">
        <v>323</v>
      </c>
      <c r="D77" s="149">
        <f>D76</f>
        <v>40000</v>
      </c>
      <c r="E77" s="149" t="e">
        <f t="shared" ref="E77:P77" si="41">IF((E47-E62)&lt;0,0,(E47-E62))</f>
        <v>#REF!</v>
      </c>
      <c r="F77" s="181" t="e">
        <f t="shared" si="41"/>
        <v>#REF!</v>
      </c>
      <c r="G77" s="181" t="e">
        <f t="shared" si="41"/>
        <v>#REF!</v>
      </c>
      <c r="H77" s="181" t="e">
        <f t="shared" si="41"/>
        <v>#REF!</v>
      </c>
      <c r="I77" s="181" t="e">
        <f t="shared" si="41"/>
        <v>#REF!</v>
      </c>
      <c r="J77" s="181" t="e">
        <f t="shared" si="41"/>
        <v>#REF!</v>
      </c>
      <c r="K77" s="181" t="e">
        <f t="shared" si="41"/>
        <v>#REF!</v>
      </c>
      <c r="L77" s="181" t="e">
        <f t="shared" si="41"/>
        <v>#REF!</v>
      </c>
      <c r="M77" s="181" t="e">
        <f t="shared" si="41"/>
        <v>#REF!</v>
      </c>
      <c r="N77" s="181" t="e">
        <f t="shared" si="41"/>
        <v>#REF!</v>
      </c>
      <c r="O77" s="181" t="e">
        <f t="shared" si="41"/>
        <v>#REF!</v>
      </c>
      <c r="P77" s="181" t="e">
        <f t="shared" si="41"/>
        <v>#REF!</v>
      </c>
      <c r="R77" s="67"/>
    </row>
    <row r="78" spans="1:20" x14ac:dyDescent="0.35">
      <c r="A78" s="9" t="s">
        <v>332</v>
      </c>
      <c r="B78" t="str">
        <f t="shared" si="31"/>
        <v>MIS</v>
      </c>
      <c r="C78" s="9" t="s">
        <v>323</v>
      </c>
      <c r="D78" s="149">
        <f>D63</f>
        <v>20014.438999999998</v>
      </c>
      <c r="E78" s="149">
        <f t="shared" ref="E78:P78" si="42">IF((E48-E63)&lt;0,0,(E48-E63))</f>
        <v>2</v>
      </c>
      <c r="F78" s="181">
        <f t="shared" si="42"/>
        <v>2</v>
      </c>
      <c r="G78" s="181">
        <f t="shared" si="42"/>
        <v>2</v>
      </c>
      <c r="H78" s="181">
        <f t="shared" si="42"/>
        <v>2</v>
      </c>
      <c r="I78" s="181">
        <f t="shared" si="42"/>
        <v>2</v>
      </c>
      <c r="J78" s="181">
        <f t="shared" si="42"/>
        <v>2</v>
      </c>
      <c r="K78" s="181">
        <f t="shared" si="42"/>
        <v>2</v>
      </c>
      <c r="L78" s="181">
        <f t="shared" si="42"/>
        <v>2</v>
      </c>
      <c r="M78" s="181">
        <f t="shared" si="42"/>
        <v>2</v>
      </c>
      <c r="N78" s="181">
        <f t="shared" si="42"/>
        <v>2</v>
      </c>
      <c r="O78" s="181">
        <f t="shared" si="42"/>
        <v>2</v>
      </c>
      <c r="P78" s="181">
        <f t="shared" si="42"/>
        <v>2</v>
      </c>
      <c r="R78" s="67"/>
    </row>
    <row r="79" spans="1:20" x14ac:dyDescent="0.35">
      <c r="B79" s="100" t="s">
        <v>340</v>
      </c>
      <c r="E79" s="181" t="e">
        <f>SUM(E67:E78)</f>
        <v>#REF!</v>
      </c>
      <c r="F79" s="181" t="e">
        <f t="shared" ref="F79:P79" si="43">SUM(F67:F78)</f>
        <v>#REF!</v>
      </c>
      <c r="G79" s="181" t="e">
        <f t="shared" si="43"/>
        <v>#REF!</v>
      </c>
      <c r="H79" s="181" t="e">
        <f t="shared" si="43"/>
        <v>#REF!</v>
      </c>
      <c r="I79" s="181" t="e">
        <f t="shared" si="43"/>
        <v>#REF!</v>
      </c>
      <c r="J79" s="181" t="e">
        <f t="shared" si="43"/>
        <v>#REF!</v>
      </c>
      <c r="K79" s="181" t="e">
        <f t="shared" si="43"/>
        <v>#REF!</v>
      </c>
      <c r="L79" s="181" t="e">
        <f t="shared" si="43"/>
        <v>#REF!</v>
      </c>
      <c r="M79" s="181" t="e">
        <f t="shared" si="43"/>
        <v>#REF!</v>
      </c>
      <c r="N79" s="181" t="e">
        <f t="shared" si="43"/>
        <v>#REF!</v>
      </c>
      <c r="O79" s="181" t="e">
        <f t="shared" si="43"/>
        <v>#REF!</v>
      </c>
      <c r="P79" s="181" t="e">
        <f t="shared" si="43"/>
        <v>#REF!</v>
      </c>
      <c r="R79" s="67"/>
    </row>
    <row r="80" spans="1:20" s="100" customFormat="1" x14ac:dyDescent="0.35">
      <c r="A80" s="76"/>
      <c r="C80" s="76"/>
      <c r="E80" s="182" t="e">
        <f>SUMPRODUCT(E67:E78,$D$67:$D$78)</f>
        <v>#REF!</v>
      </c>
      <c r="F80" s="182" t="e">
        <f t="shared" ref="F80:P80" si="44">SUMPRODUCT(F67:F78,$D$67:$D$78)</f>
        <v>#REF!</v>
      </c>
      <c r="G80" s="182" t="e">
        <f t="shared" si="44"/>
        <v>#REF!</v>
      </c>
      <c r="H80" s="182" t="e">
        <f t="shared" si="44"/>
        <v>#REF!</v>
      </c>
      <c r="I80" s="182" t="e">
        <f t="shared" si="44"/>
        <v>#REF!</v>
      </c>
      <c r="J80" s="182" t="e">
        <f t="shared" si="44"/>
        <v>#REF!</v>
      </c>
      <c r="K80" s="182" t="e">
        <f t="shared" si="44"/>
        <v>#REF!</v>
      </c>
      <c r="L80" s="182" t="e">
        <f t="shared" si="44"/>
        <v>#REF!</v>
      </c>
      <c r="M80" s="182" t="e">
        <f t="shared" si="44"/>
        <v>#REF!</v>
      </c>
      <c r="N80" s="182" t="e">
        <f t="shared" si="44"/>
        <v>#REF!</v>
      </c>
      <c r="O80" s="182" t="e">
        <f t="shared" si="44"/>
        <v>#REF!</v>
      </c>
      <c r="P80" s="182" t="e">
        <f t="shared" si="44"/>
        <v>#REF!</v>
      </c>
      <c r="R80" s="171"/>
    </row>
    <row r="81" spans="1:18" x14ac:dyDescent="0.35">
      <c r="B81" s="100" t="s">
        <v>343</v>
      </c>
      <c r="E81" s="181"/>
      <c r="F81" s="181"/>
      <c r="G81" s="181"/>
      <c r="H81" s="181"/>
      <c r="I81" s="181"/>
      <c r="J81" s="181"/>
      <c r="K81" s="181"/>
      <c r="L81" s="181"/>
      <c r="M81" s="181"/>
      <c r="N81" s="181"/>
      <c r="O81" s="181"/>
      <c r="P81" s="181"/>
      <c r="R81" s="67"/>
    </row>
    <row r="82" spans="1:18" x14ac:dyDescent="0.35">
      <c r="B82" t="s">
        <v>344</v>
      </c>
      <c r="E82" s="181">
        <f>E64</f>
        <v>0</v>
      </c>
      <c r="F82" s="181">
        <f t="shared" ref="F82:P82" si="45">F64</f>
        <v>0</v>
      </c>
      <c r="G82" s="181">
        <f t="shared" si="45"/>
        <v>0</v>
      </c>
      <c r="H82" s="181">
        <f t="shared" si="45"/>
        <v>0</v>
      </c>
      <c r="I82" s="181">
        <f t="shared" si="45"/>
        <v>0</v>
      </c>
      <c r="J82" s="181">
        <f t="shared" si="45"/>
        <v>0</v>
      </c>
      <c r="K82" s="181">
        <f t="shared" si="45"/>
        <v>0</v>
      </c>
      <c r="L82" s="181">
        <f t="shared" si="45"/>
        <v>0</v>
      </c>
      <c r="M82" s="181">
        <f t="shared" si="45"/>
        <v>0</v>
      </c>
      <c r="N82" s="181">
        <f t="shared" si="45"/>
        <v>0</v>
      </c>
      <c r="O82" s="181">
        <f t="shared" si="45"/>
        <v>0</v>
      </c>
      <c r="P82" s="181">
        <f t="shared" si="45"/>
        <v>0</v>
      </c>
      <c r="R82" s="67"/>
    </row>
    <row r="83" spans="1:18" x14ac:dyDescent="0.35">
      <c r="B83" t="s">
        <v>362</v>
      </c>
      <c r="E83" s="181" t="e">
        <f>E79</f>
        <v>#REF!</v>
      </c>
      <c r="F83" s="181" t="e">
        <f t="shared" ref="F83:P83" si="46">F79</f>
        <v>#REF!</v>
      </c>
      <c r="G83" s="181" t="e">
        <f t="shared" si="46"/>
        <v>#REF!</v>
      </c>
      <c r="H83" s="181" t="e">
        <f t="shared" si="46"/>
        <v>#REF!</v>
      </c>
      <c r="I83" s="181" t="e">
        <f t="shared" si="46"/>
        <v>#REF!</v>
      </c>
      <c r="J83" s="181" t="e">
        <f t="shared" si="46"/>
        <v>#REF!</v>
      </c>
      <c r="K83" s="181" t="e">
        <f t="shared" si="46"/>
        <v>#REF!</v>
      </c>
      <c r="L83" s="181" t="e">
        <f t="shared" si="46"/>
        <v>#REF!</v>
      </c>
      <c r="M83" s="181" t="e">
        <f t="shared" si="46"/>
        <v>#REF!</v>
      </c>
      <c r="N83" s="181" t="e">
        <f t="shared" si="46"/>
        <v>#REF!</v>
      </c>
      <c r="O83" s="181" t="e">
        <f t="shared" si="46"/>
        <v>#REF!</v>
      </c>
      <c r="P83" s="181" t="e">
        <f t="shared" si="46"/>
        <v>#REF!</v>
      </c>
      <c r="R83" s="67"/>
    </row>
    <row r="84" spans="1:18" s="100" customFormat="1" x14ac:dyDescent="0.35">
      <c r="A84" s="76"/>
      <c r="B84" s="100" t="s">
        <v>174</v>
      </c>
      <c r="C84" s="76"/>
      <c r="E84" s="182" t="e">
        <f>E83+E82</f>
        <v>#REF!</v>
      </c>
      <c r="F84" s="182" t="e">
        <f t="shared" ref="F84:P84" si="47">F83+F82</f>
        <v>#REF!</v>
      </c>
      <c r="G84" s="182" t="e">
        <f t="shared" si="47"/>
        <v>#REF!</v>
      </c>
      <c r="H84" s="182" t="e">
        <f t="shared" si="47"/>
        <v>#REF!</v>
      </c>
      <c r="I84" s="182" t="e">
        <f t="shared" si="47"/>
        <v>#REF!</v>
      </c>
      <c r="J84" s="182" t="e">
        <f t="shared" si="47"/>
        <v>#REF!</v>
      </c>
      <c r="K84" s="182" t="e">
        <f t="shared" si="47"/>
        <v>#REF!</v>
      </c>
      <c r="L84" s="182" t="e">
        <f t="shared" si="47"/>
        <v>#REF!</v>
      </c>
      <c r="M84" s="182" t="e">
        <f t="shared" si="47"/>
        <v>#REF!</v>
      </c>
      <c r="N84" s="182" t="e">
        <f t="shared" si="47"/>
        <v>#REF!</v>
      </c>
      <c r="O84" s="182" t="e">
        <f t="shared" si="47"/>
        <v>#REF!</v>
      </c>
      <c r="P84" s="182" t="e">
        <f t="shared" si="47"/>
        <v>#REF!</v>
      </c>
      <c r="R84" s="171"/>
    </row>
    <row r="85" spans="1:18" x14ac:dyDescent="0.35">
      <c r="B85" s="100" t="s">
        <v>309</v>
      </c>
      <c r="E85" s="181"/>
      <c r="F85" s="181"/>
      <c r="G85" s="181"/>
      <c r="H85" s="181"/>
      <c r="I85" s="181"/>
      <c r="J85" s="181"/>
      <c r="K85" s="181"/>
      <c r="L85" s="181"/>
      <c r="M85" s="181"/>
      <c r="N85" s="181"/>
      <c r="O85" s="181"/>
      <c r="P85" s="181"/>
      <c r="R85" s="67"/>
    </row>
    <row r="86" spans="1:18" x14ac:dyDescent="0.35">
      <c r="B86" t="s">
        <v>344</v>
      </c>
      <c r="E86" s="181">
        <f>E65</f>
        <v>0</v>
      </c>
      <c r="F86" s="181">
        <f t="shared" ref="F86:P86" si="48">F65</f>
        <v>0</v>
      </c>
      <c r="G86" s="181">
        <f t="shared" si="48"/>
        <v>0</v>
      </c>
      <c r="H86" s="181">
        <f t="shared" si="48"/>
        <v>0</v>
      </c>
      <c r="I86" s="181">
        <f t="shared" si="48"/>
        <v>0</v>
      </c>
      <c r="J86" s="181">
        <f t="shared" si="48"/>
        <v>0</v>
      </c>
      <c r="K86" s="181">
        <f t="shared" si="48"/>
        <v>0</v>
      </c>
      <c r="L86" s="181">
        <f t="shared" si="48"/>
        <v>0</v>
      </c>
      <c r="M86" s="181">
        <f t="shared" si="48"/>
        <v>0</v>
      </c>
      <c r="N86" s="181">
        <f t="shared" si="48"/>
        <v>0</v>
      </c>
      <c r="O86" s="181">
        <f t="shared" si="48"/>
        <v>0</v>
      </c>
      <c r="P86" s="181">
        <f t="shared" si="48"/>
        <v>0</v>
      </c>
      <c r="R86" s="67"/>
    </row>
    <row r="87" spans="1:18" x14ac:dyDescent="0.35">
      <c r="B87" t="s">
        <v>362</v>
      </c>
      <c r="E87" s="320" t="e">
        <f>E80</f>
        <v>#REF!</v>
      </c>
      <c r="F87" s="320" t="e">
        <f t="shared" ref="F87:P87" si="49">F80</f>
        <v>#REF!</v>
      </c>
      <c r="G87" s="320" t="e">
        <f t="shared" si="49"/>
        <v>#REF!</v>
      </c>
      <c r="H87" s="320" t="e">
        <f t="shared" si="49"/>
        <v>#REF!</v>
      </c>
      <c r="I87" s="320" t="e">
        <f t="shared" si="49"/>
        <v>#REF!</v>
      </c>
      <c r="J87" s="320" t="e">
        <f t="shared" si="49"/>
        <v>#REF!</v>
      </c>
      <c r="K87" s="320" t="e">
        <f t="shared" si="49"/>
        <v>#REF!</v>
      </c>
      <c r="L87" s="320" t="e">
        <f t="shared" si="49"/>
        <v>#REF!</v>
      </c>
      <c r="M87" s="320" t="e">
        <f t="shared" si="49"/>
        <v>#REF!</v>
      </c>
      <c r="N87" s="320" t="e">
        <f t="shared" si="49"/>
        <v>#REF!</v>
      </c>
      <c r="O87" s="320" t="e">
        <f t="shared" si="49"/>
        <v>#REF!</v>
      </c>
      <c r="P87" s="320" t="e">
        <f t="shared" si="49"/>
        <v>#REF!</v>
      </c>
      <c r="R87" s="67"/>
    </row>
    <row r="88" spans="1:18" x14ac:dyDescent="0.35">
      <c r="B88" s="100" t="s">
        <v>174</v>
      </c>
      <c r="E88" s="182" t="e">
        <f t="shared" ref="E88:P88" si="50">E87+E86</f>
        <v>#REF!</v>
      </c>
      <c r="F88" s="182" t="e">
        <f t="shared" si="50"/>
        <v>#REF!</v>
      </c>
      <c r="G88" s="182" t="e">
        <f t="shared" si="50"/>
        <v>#REF!</v>
      </c>
      <c r="H88" s="182" t="e">
        <f t="shared" si="50"/>
        <v>#REF!</v>
      </c>
      <c r="I88" s="182" t="e">
        <f t="shared" si="50"/>
        <v>#REF!</v>
      </c>
      <c r="J88" s="182" t="e">
        <f t="shared" si="50"/>
        <v>#REF!</v>
      </c>
      <c r="K88" s="182" t="e">
        <f t="shared" si="50"/>
        <v>#REF!</v>
      </c>
      <c r="L88" s="182" t="e">
        <f t="shared" si="50"/>
        <v>#REF!</v>
      </c>
      <c r="M88" s="182" t="e">
        <f t="shared" si="50"/>
        <v>#REF!</v>
      </c>
      <c r="N88" s="182" t="e">
        <f t="shared" si="50"/>
        <v>#REF!</v>
      </c>
      <c r="O88" s="182" t="e">
        <f t="shared" si="50"/>
        <v>#REF!</v>
      </c>
      <c r="P88" s="182" t="e">
        <f t="shared" si="50"/>
        <v>#REF!</v>
      </c>
      <c r="R88" s="67"/>
    </row>
    <row r="89" spans="1:18" x14ac:dyDescent="0.35">
      <c r="B89" s="100"/>
      <c r="E89" s="181"/>
      <c r="F89" s="181"/>
      <c r="G89" s="181"/>
      <c r="H89" s="181"/>
      <c r="I89" s="181"/>
      <c r="J89" s="181"/>
      <c r="K89" s="181"/>
      <c r="L89" s="181"/>
      <c r="M89" s="181"/>
      <c r="N89" s="181"/>
      <c r="O89" s="181"/>
      <c r="P89" s="181"/>
      <c r="R89" s="67"/>
    </row>
    <row r="90" spans="1:18" x14ac:dyDescent="0.35">
      <c r="B90" s="183" t="s">
        <v>346</v>
      </c>
      <c r="C90" s="185"/>
      <c r="D90" s="183"/>
      <c r="E90" s="183"/>
      <c r="F90" s="183"/>
      <c r="G90" s="183"/>
      <c r="H90" s="183"/>
      <c r="I90" s="183"/>
      <c r="J90" s="183"/>
      <c r="K90" s="183"/>
      <c r="L90" s="183"/>
      <c r="M90" s="183"/>
      <c r="N90" s="183"/>
      <c r="O90" s="183"/>
      <c r="P90" s="183"/>
    </row>
    <row r="91" spans="1:18" x14ac:dyDescent="0.35">
      <c r="B91" s="100" t="s">
        <v>344</v>
      </c>
    </row>
    <row r="92" spans="1:18" x14ac:dyDescent="0.35">
      <c r="B92" s="100" t="s">
        <v>347</v>
      </c>
      <c r="D92" s="216"/>
    </row>
    <row r="93" spans="1:18" x14ac:dyDescent="0.35">
      <c r="B93" t="s">
        <v>348</v>
      </c>
      <c r="D93" s="284">
        <f>'Manpower Existing'!K179</f>
        <v>47263.357142857145</v>
      </c>
    </row>
    <row r="94" spans="1:18" x14ac:dyDescent="0.35">
      <c r="B94" s="100" t="s">
        <v>352</v>
      </c>
      <c r="D94" s="284"/>
    </row>
    <row r="95" spans="1:18" x14ac:dyDescent="0.35">
      <c r="B95" t="s">
        <v>353</v>
      </c>
      <c r="D95" s="284">
        <f>'Manpower Existing'!K172</f>
        <v>20236.55</v>
      </c>
    </row>
    <row r="96" spans="1:18" x14ac:dyDescent="0.35">
      <c r="B96" t="s">
        <v>355</v>
      </c>
      <c r="D96" s="284">
        <f>'Manpower Existing'!K173</f>
        <v>18285</v>
      </c>
    </row>
    <row r="97" spans="2:16" x14ac:dyDescent="0.35">
      <c r="B97" t="s">
        <v>305</v>
      </c>
      <c r="D97" s="284">
        <f>'Manpower Existing'!K169</f>
        <v>13800</v>
      </c>
    </row>
    <row r="98" spans="2:16" x14ac:dyDescent="0.35">
      <c r="B98" s="100" t="s">
        <v>356</v>
      </c>
      <c r="D98" s="284"/>
    </row>
    <row r="99" spans="2:16" x14ac:dyDescent="0.35">
      <c r="D99" s="284"/>
    </row>
    <row r="100" spans="2:16" x14ac:dyDescent="0.35">
      <c r="B100" t="s">
        <v>358</v>
      </c>
      <c r="D100" s="284">
        <v>30000</v>
      </c>
    </row>
    <row r="101" spans="2:16" x14ac:dyDescent="0.35">
      <c r="B101" t="s">
        <v>359</v>
      </c>
      <c r="D101" s="284">
        <v>60000</v>
      </c>
    </row>
    <row r="102" spans="2:16" x14ac:dyDescent="0.35">
      <c r="B102" s="100" t="s">
        <v>346</v>
      </c>
      <c r="D102" s="179"/>
      <c r="E102" s="100">
        <f>SUM(E93:E101)</f>
        <v>0</v>
      </c>
      <c r="F102" s="100">
        <f t="shared" ref="F102:P102" si="51">SUM(F93:F101)</f>
        <v>0</v>
      </c>
      <c r="G102" s="100">
        <f t="shared" si="51"/>
        <v>0</v>
      </c>
      <c r="H102" s="100">
        <f t="shared" si="51"/>
        <v>0</v>
      </c>
      <c r="I102" s="100">
        <f t="shared" si="51"/>
        <v>0</v>
      </c>
      <c r="J102" s="100">
        <f t="shared" si="51"/>
        <v>0</v>
      </c>
      <c r="K102" s="100">
        <f t="shared" si="51"/>
        <v>0</v>
      </c>
      <c r="L102" s="100">
        <f t="shared" si="51"/>
        <v>0</v>
      </c>
      <c r="M102" s="100">
        <f t="shared" si="51"/>
        <v>0</v>
      </c>
      <c r="N102" s="100">
        <f t="shared" si="51"/>
        <v>0</v>
      </c>
      <c r="O102" s="100">
        <f t="shared" si="51"/>
        <v>0</v>
      </c>
      <c r="P102" s="100">
        <f t="shared" si="51"/>
        <v>0</v>
      </c>
    </row>
    <row r="103" spans="2:16" x14ac:dyDescent="0.35">
      <c r="B103" s="100" t="s">
        <v>289</v>
      </c>
      <c r="D103" s="66"/>
      <c r="E103" s="66">
        <f>SUMPRODUCT(E93:E101,$D$93:$D$101)</f>
        <v>0</v>
      </c>
      <c r="F103" s="66">
        <f t="shared" ref="F103:P103" si="52">SUMPRODUCT(F93:F101,$D$93:$D$101)</f>
        <v>0</v>
      </c>
      <c r="G103" s="66">
        <f t="shared" si="52"/>
        <v>0</v>
      </c>
      <c r="H103" s="66">
        <f t="shared" si="52"/>
        <v>0</v>
      </c>
      <c r="I103" s="66">
        <f t="shared" si="52"/>
        <v>0</v>
      </c>
      <c r="J103" s="66">
        <f t="shared" si="52"/>
        <v>0</v>
      </c>
      <c r="K103" s="66">
        <f t="shared" si="52"/>
        <v>0</v>
      </c>
      <c r="L103" s="66">
        <f t="shared" si="52"/>
        <v>0</v>
      </c>
      <c r="M103" s="66">
        <f t="shared" si="52"/>
        <v>0</v>
      </c>
      <c r="N103" s="66">
        <f t="shared" si="52"/>
        <v>0</v>
      </c>
      <c r="O103" s="66">
        <f t="shared" si="52"/>
        <v>0</v>
      </c>
      <c r="P103" s="66">
        <f t="shared" si="52"/>
        <v>0</v>
      </c>
    </row>
    <row r="104" spans="2:16" x14ac:dyDescent="0.35">
      <c r="B104" s="100"/>
      <c r="D104" s="66"/>
      <c r="E104" s="68"/>
    </row>
    <row r="105" spans="2:16" x14ac:dyDescent="0.35">
      <c r="B105" s="100" t="s">
        <v>360</v>
      </c>
      <c r="D105" s="66"/>
      <c r="E105" s="68"/>
      <c r="J105" s="68"/>
    </row>
    <row r="106" spans="2:16" x14ac:dyDescent="0.35">
      <c r="B106" s="100" t="s">
        <v>347</v>
      </c>
      <c r="D106" s="66"/>
    </row>
    <row r="107" spans="2:16" x14ac:dyDescent="0.35">
      <c r="B107" t="s">
        <v>348</v>
      </c>
      <c r="D107" s="66">
        <v>47263</v>
      </c>
      <c r="E107" s="41"/>
      <c r="F107" s="41"/>
      <c r="G107" s="41"/>
      <c r="H107" s="41"/>
      <c r="I107" s="41"/>
      <c r="J107" s="41"/>
      <c r="K107" s="41"/>
      <c r="L107" s="41"/>
      <c r="M107" s="41"/>
      <c r="N107" s="41"/>
      <c r="O107" s="41"/>
      <c r="P107" s="41"/>
    </row>
    <row r="108" spans="2:16" x14ac:dyDescent="0.35">
      <c r="B108" s="100" t="s">
        <v>352</v>
      </c>
      <c r="D108" s="66"/>
    </row>
    <row r="109" spans="2:16" x14ac:dyDescent="0.35">
      <c r="B109" t="s">
        <v>353</v>
      </c>
      <c r="D109" s="284">
        <v>30000</v>
      </c>
      <c r="E109" s="41">
        <v>1</v>
      </c>
      <c r="F109" s="41">
        <v>1</v>
      </c>
      <c r="G109" s="41">
        <v>1</v>
      </c>
      <c r="H109" s="41">
        <v>1</v>
      </c>
      <c r="I109" s="41">
        <v>1</v>
      </c>
      <c r="J109" s="41">
        <v>1</v>
      </c>
      <c r="K109" s="41">
        <v>1</v>
      </c>
      <c r="L109" s="41">
        <v>1</v>
      </c>
      <c r="M109" s="41">
        <v>1</v>
      </c>
      <c r="N109" s="41">
        <v>1</v>
      </c>
      <c r="O109" s="41">
        <v>1</v>
      </c>
      <c r="P109" s="41">
        <v>1</v>
      </c>
    </row>
    <row r="110" spans="2:16" x14ac:dyDescent="0.35">
      <c r="B110" t="s">
        <v>355</v>
      </c>
      <c r="D110" s="284">
        <v>18285</v>
      </c>
      <c r="E110" s="41"/>
      <c r="F110" s="41"/>
      <c r="G110" s="41"/>
      <c r="H110" s="41"/>
      <c r="I110" s="41"/>
      <c r="J110" s="41"/>
      <c r="K110" s="41"/>
      <c r="L110" s="41"/>
      <c r="M110" s="41"/>
      <c r="N110" s="41"/>
      <c r="O110" s="41"/>
      <c r="P110" s="41"/>
    </row>
    <row r="111" spans="2:16" x14ac:dyDescent="0.35">
      <c r="B111" t="s">
        <v>305</v>
      </c>
      <c r="D111" s="284">
        <v>13800</v>
      </c>
      <c r="E111" s="41"/>
      <c r="F111" s="41"/>
      <c r="G111" s="41"/>
      <c r="H111" s="41"/>
      <c r="I111" s="41"/>
      <c r="J111" s="41"/>
      <c r="K111" s="41"/>
      <c r="L111" s="41"/>
      <c r="M111" s="41"/>
      <c r="N111" s="41"/>
      <c r="O111" s="41"/>
      <c r="P111" s="41"/>
    </row>
    <row r="112" spans="2:16" x14ac:dyDescent="0.35">
      <c r="B112" s="100" t="s">
        <v>356</v>
      </c>
      <c r="D112" s="66"/>
      <c r="E112" s="66"/>
      <c r="F112" s="66"/>
      <c r="G112" s="66"/>
      <c r="H112" s="66"/>
      <c r="I112" s="66"/>
      <c r="J112" s="66"/>
      <c r="K112" s="66"/>
      <c r="L112" s="66"/>
      <c r="M112" s="66"/>
      <c r="N112" s="66"/>
      <c r="O112" s="66"/>
      <c r="P112" s="66"/>
    </row>
    <row r="113" spans="2:16" x14ac:dyDescent="0.35">
      <c r="D113" s="66"/>
      <c r="E113" s="41"/>
      <c r="F113" s="41"/>
      <c r="G113" s="41"/>
      <c r="H113" s="41"/>
      <c r="I113" s="41"/>
      <c r="J113" s="41"/>
      <c r="K113" s="41"/>
      <c r="L113" s="41"/>
      <c r="M113" s="41"/>
      <c r="N113" s="41"/>
      <c r="O113" s="41"/>
      <c r="P113" s="41"/>
    </row>
    <row r="114" spans="2:16" x14ac:dyDescent="0.35">
      <c r="B114" t="s">
        <v>358</v>
      </c>
      <c r="D114" s="66">
        <v>30000</v>
      </c>
      <c r="E114" s="41"/>
      <c r="F114" s="41"/>
      <c r="G114" s="41"/>
      <c r="H114" s="41"/>
      <c r="I114" s="41"/>
      <c r="J114" s="41"/>
      <c r="K114" s="41"/>
      <c r="L114" s="41"/>
      <c r="M114" s="41"/>
      <c r="N114" s="41"/>
      <c r="O114" s="41"/>
      <c r="P114" s="41"/>
    </row>
    <row r="115" spans="2:16" x14ac:dyDescent="0.35">
      <c r="B115" t="s">
        <v>359</v>
      </c>
      <c r="D115" s="66">
        <v>60000</v>
      </c>
      <c r="E115" s="41"/>
      <c r="F115" s="41"/>
      <c r="G115" s="41"/>
      <c r="H115" s="41"/>
      <c r="I115" s="41"/>
      <c r="J115" s="41"/>
      <c r="K115" s="41"/>
      <c r="L115" s="41"/>
      <c r="M115" s="41"/>
      <c r="N115" s="41"/>
      <c r="O115" s="41"/>
      <c r="P115" s="41"/>
    </row>
    <row r="116" spans="2:16" x14ac:dyDescent="0.35">
      <c r="B116" s="100" t="s">
        <v>346</v>
      </c>
      <c r="D116" s="179"/>
      <c r="E116" s="100">
        <f t="shared" ref="E116:P116" si="53">SUM(E107:E115)</f>
        <v>1</v>
      </c>
      <c r="F116" s="100">
        <f t="shared" si="53"/>
        <v>1</v>
      </c>
      <c r="G116" s="100">
        <f t="shared" si="53"/>
        <v>1</v>
      </c>
      <c r="H116" s="100">
        <f t="shared" si="53"/>
        <v>1</v>
      </c>
      <c r="I116" s="100">
        <f t="shared" si="53"/>
        <v>1</v>
      </c>
      <c r="J116" s="100">
        <f t="shared" si="53"/>
        <v>1</v>
      </c>
      <c r="K116" s="100">
        <f t="shared" si="53"/>
        <v>1</v>
      </c>
      <c r="L116" s="100">
        <f t="shared" si="53"/>
        <v>1</v>
      </c>
      <c r="M116" s="100">
        <f t="shared" si="53"/>
        <v>1</v>
      </c>
      <c r="N116" s="100">
        <f t="shared" si="53"/>
        <v>1</v>
      </c>
      <c r="O116" s="100">
        <f t="shared" si="53"/>
        <v>1</v>
      </c>
      <c r="P116" s="100">
        <f t="shared" si="53"/>
        <v>1</v>
      </c>
    </row>
    <row r="117" spans="2:16" x14ac:dyDescent="0.35">
      <c r="B117" s="100" t="s">
        <v>289</v>
      </c>
      <c r="D117" s="179"/>
      <c r="E117" s="179">
        <f>SUMPRODUCT(E107:E115,$D$107:$D$115)</f>
        <v>30000</v>
      </c>
      <c r="F117" s="179">
        <f t="shared" ref="F117:P117" si="54">SUMPRODUCT(F107:F115,$D$107:$D$115)</f>
        <v>30000</v>
      </c>
      <c r="G117" s="179">
        <f t="shared" si="54"/>
        <v>30000</v>
      </c>
      <c r="H117" s="179">
        <f t="shared" si="54"/>
        <v>30000</v>
      </c>
      <c r="I117" s="179">
        <f t="shared" si="54"/>
        <v>30000</v>
      </c>
      <c r="J117" s="179">
        <f t="shared" si="54"/>
        <v>30000</v>
      </c>
      <c r="K117" s="179">
        <f t="shared" si="54"/>
        <v>30000</v>
      </c>
      <c r="L117" s="179">
        <f t="shared" si="54"/>
        <v>30000</v>
      </c>
      <c r="M117" s="179">
        <f t="shared" si="54"/>
        <v>30000</v>
      </c>
      <c r="N117" s="179">
        <f t="shared" si="54"/>
        <v>30000</v>
      </c>
      <c r="O117" s="179">
        <f t="shared" si="54"/>
        <v>30000</v>
      </c>
      <c r="P117" s="179">
        <f t="shared" si="54"/>
        <v>30000</v>
      </c>
    </row>
    <row r="118" spans="2:16" x14ac:dyDescent="0.35">
      <c r="B118" s="100"/>
      <c r="D118" s="179"/>
      <c r="E118" s="100"/>
      <c r="F118" s="100"/>
      <c r="G118" s="100"/>
      <c r="H118" s="100"/>
      <c r="I118" s="100"/>
      <c r="J118" s="100"/>
      <c r="K118" s="100"/>
      <c r="L118" s="100"/>
      <c r="M118" s="100"/>
      <c r="N118" s="100"/>
      <c r="O118" s="100"/>
      <c r="P118" s="100"/>
    </row>
    <row r="119" spans="2:16" x14ac:dyDescent="0.35">
      <c r="B119" s="100" t="s">
        <v>174</v>
      </c>
      <c r="D119" s="66"/>
    </row>
    <row r="120" spans="2:16" x14ac:dyDescent="0.35">
      <c r="B120" s="100" t="s">
        <v>347</v>
      </c>
      <c r="D120" s="66"/>
    </row>
    <row r="121" spans="2:16" x14ac:dyDescent="0.35">
      <c r="B121" t="s">
        <v>348</v>
      </c>
      <c r="D121" s="66"/>
      <c r="E121" s="66">
        <f t="shared" ref="E121:P129" si="55">E107+E93</f>
        <v>0</v>
      </c>
      <c r="F121" s="66">
        <f t="shared" si="55"/>
        <v>0</v>
      </c>
      <c r="G121" s="66">
        <f t="shared" si="55"/>
        <v>0</v>
      </c>
      <c r="H121" s="66">
        <f t="shared" si="55"/>
        <v>0</v>
      </c>
      <c r="I121" s="66">
        <f t="shared" si="55"/>
        <v>0</v>
      </c>
      <c r="J121" s="66">
        <f t="shared" si="55"/>
        <v>0</v>
      </c>
      <c r="K121" s="66">
        <f t="shared" si="55"/>
        <v>0</v>
      </c>
      <c r="L121" s="66">
        <f t="shared" si="55"/>
        <v>0</v>
      </c>
      <c r="M121" s="66">
        <f t="shared" si="55"/>
        <v>0</v>
      </c>
      <c r="N121" s="66">
        <f t="shared" si="55"/>
        <v>0</v>
      </c>
      <c r="O121" s="66">
        <f t="shared" si="55"/>
        <v>0</v>
      </c>
      <c r="P121" s="66">
        <f t="shared" si="55"/>
        <v>0</v>
      </c>
    </row>
    <row r="122" spans="2:16" x14ac:dyDescent="0.35">
      <c r="B122" s="100" t="s">
        <v>352</v>
      </c>
      <c r="D122" s="66"/>
      <c r="E122" s="66">
        <f t="shared" si="55"/>
        <v>0</v>
      </c>
      <c r="F122" s="66">
        <f t="shared" si="55"/>
        <v>0</v>
      </c>
      <c r="G122" s="66">
        <f t="shared" si="55"/>
        <v>0</v>
      </c>
      <c r="H122" s="66">
        <f t="shared" si="55"/>
        <v>0</v>
      </c>
      <c r="I122" s="66">
        <f t="shared" si="55"/>
        <v>0</v>
      </c>
      <c r="J122" s="66">
        <f t="shared" si="55"/>
        <v>0</v>
      </c>
      <c r="K122" s="66">
        <f t="shared" si="55"/>
        <v>0</v>
      </c>
      <c r="L122" s="66">
        <f t="shared" si="55"/>
        <v>0</v>
      </c>
      <c r="M122" s="66">
        <f t="shared" si="55"/>
        <v>0</v>
      </c>
      <c r="N122" s="66">
        <f t="shared" si="55"/>
        <v>0</v>
      </c>
      <c r="O122" s="66">
        <f t="shared" si="55"/>
        <v>0</v>
      </c>
      <c r="P122" s="66">
        <f t="shared" si="55"/>
        <v>0</v>
      </c>
    </row>
    <row r="123" spans="2:16" x14ac:dyDescent="0.35">
      <c r="B123" t="s">
        <v>353</v>
      </c>
      <c r="D123" s="66"/>
      <c r="E123" s="66">
        <f t="shared" si="55"/>
        <v>1</v>
      </c>
      <c r="F123" s="66">
        <f t="shared" si="55"/>
        <v>1</v>
      </c>
      <c r="G123" s="66">
        <f t="shared" si="55"/>
        <v>1</v>
      </c>
      <c r="H123" s="66">
        <f t="shared" si="55"/>
        <v>1</v>
      </c>
      <c r="I123" s="66">
        <f t="shared" si="55"/>
        <v>1</v>
      </c>
      <c r="J123" s="66">
        <f t="shared" si="55"/>
        <v>1</v>
      </c>
      <c r="K123" s="66">
        <f t="shared" si="55"/>
        <v>1</v>
      </c>
      <c r="L123" s="66">
        <f t="shared" si="55"/>
        <v>1</v>
      </c>
      <c r="M123" s="66">
        <f t="shared" si="55"/>
        <v>1</v>
      </c>
      <c r="N123" s="66">
        <f t="shared" si="55"/>
        <v>1</v>
      </c>
      <c r="O123" s="66">
        <f t="shared" si="55"/>
        <v>1</v>
      </c>
      <c r="P123" s="66">
        <f t="shared" si="55"/>
        <v>1</v>
      </c>
    </row>
    <row r="124" spans="2:16" x14ac:dyDescent="0.35">
      <c r="B124" t="s">
        <v>355</v>
      </c>
      <c r="D124" s="66"/>
      <c r="E124" s="66">
        <f t="shared" si="55"/>
        <v>0</v>
      </c>
      <c r="F124" s="66">
        <f t="shared" si="55"/>
        <v>0</v>
      </c>
      <c r="G124" s="66">
        <f t="shared" si="55"/>
        <v>0</v>
      </c>
      <c r="H124" s="66">
        <f t="shared" si="55"/>
        <v>0</v>
      </c>
      <c r="I124" s="66">
        <f t="shared" si="55"/>
        <v>0</v>
      </c>
      <c r="J124" s="66">
        <f t="shared" si="55"/>
        <v>0</v>
      </c>
      <c r="K124" s="66">
        <f t="shared" si="55"/>
        <v>0</v>
      </c>
      <c r="L124" s="66">
        <f t="shared" si="55"/>
        <v>0</v>
      </c>
      <c r="M124" s="66">
        <f t="shared" si="55"/>
        <v>0</v>
      </c>
      <c r="N124" s="66">
        <f t="shared" si="55"/>
        <v>0</v>
      </c>
      <c r="O124" s="66">
        <f t="shared" si="55"/>
        <v>0</v>
      </c>
      <c r="P124" s="66">
        <f t="shared" si="55"/>
        <v>0</v>
      </c>
    </row>
    <row r="125" spans="2:16" x14ac:dyDescent="0.35">
      <c r="B125" t="s">
        <v>305</v>
      </c>
      <c r="D125" s="66"/>
      <c r="E125" s="66">
        <f t="shared" si="55"/>
        <v>0</v>
      </c>
      <c r="F125" s="66">
        <f t="shared" si="55"/>
        <v>0</v>
      </c>
      <c r="G125" s="66">
        <f t="shared" si="55"/>
        <v>0</v>
      </c>
      <c r="H125" s="66">
        <f t="shared" si="55"/>
        <v>0</v>
      </c>
      <c r="I125" s="66">
        <f t="shared" si="55"/>
        <v>0</v>
      </c>
      <c r="J125" s="66">
        <f t="shared" si="55"/>
        <v>0</v>
      </c>
      <c r="K125" s="66">
        <f t="shared" si="55"/>
        <v>0</v>
      </c>
      <c r="L125" s="66">
        <f t="shared" si="55"/>
        <v>0</v>
      </c>
      <c r="M125" s="66">
        <f t="shared" si="55"/>
        <v>0</v>
      </c>
      <c r="N125" s="66">
        <f t="shared" si="55"/>
        <v>0</v>
      </c>
      <c r="O125" s="66">
        <f t="shared" si="55"/>
        <v>0</v>
      </c>
      <c r="P125" s="66">
        <f t="shared" si="55"/>
        <v>0</v>
      </c>
    </row>
    <row r="126" spans="2:16" x14ac:dyDescent="0.35">
      <c r="B126" s="100" t="s">
        <v>356</v>
      </c>
      <c r="D126" s="66"/>
      <c r="E126" s="66">
        <f t="shared" si="55"/>
        <v>0</v>
      </c>
      <c r="F126" s="66">
        <f t="shared" si="55"/>
        <v>0</v>
      </c>
      <c r="G126" s="66">
        <f t="shared" si="55"/>
        <v>0</v>
      </c>
      <c r="H126" s="66">
        <f t="shared" si="55"/>
        <v>0</v>
      </c>
      <c r="I126" s="66">
        <f t="shared" si="55"/>
        <v>0</v>
      </c>
      <c r="J126" s="66">
        <f t="shared" si="55"/>
        <v>0</v>
      </c>
      <c r="K126" s="66">
        <f t="shared" si="55"/>
        <v>0</v>
      </c>
      <c r="L126" s="66">
        <f t="shared" si="55"/>
        <v>0</v>
      </c>
      <c r="M126" s="66">
        <f t="shared" si="55"/>
        <v>0</v>
      </c>
      <c r="N126" s="66">
        <f t="shared" si="55"/>
        <v>0</v>
      </c>
      <c r="O126" s="66">
        <f t="shared" si="55"/>
        <v>0</v>
      </c>
      <c r="P126" s="66">
        <f t="shared" si="55"/>
        <v>0</v>
      </c>
    </row>
    <row r="127" spans="2:16" x14ac:dyDescent="0.35">
      <c r="B127" t="s">
        <v>357</v>
      </c>
      <c r="D127" s="66"/>
      <c r="E127" s="66">
        <f t="shared" si="55"/>
        <v>0</v>
      </c>
      <c r="F127" s="66">
        <f t="shared" si="55"/>
        <v>0</v>
      </c>
      <c r="G127" s="66">
        <f t="shared" si="55"/>
        <v>0</v>
      </c>
      <c r="H127" s="66">
        <f t="shared" si="55"/>
        <v>0</v>
      </c>
      <c r="I127" s="66">
        <f t="shared" si="55"/>
        <v>0</v>
      </c>
      <c r="J127" s="66">
        <f t="shared" si="55"/>
        <v>0</v>
      </c>
      <c r="K127" s="66">
        <f t="shared" si="55"/>
        <v>0</v>
      </c>
      <c r="L127" s="66">
        <f t="shared" si="55"/>
        <v>0</v>
      </c>
      <c r="M127" s="66">
        <f t="shared" si="55"/>
        <v>0</v>
      </c>
      <c r="N127" s="66">
        <f t="shared" si="55"/>
        <v>0</v>
      </c>
      <c r="O127" s="66">
        <f t="shared" si="55"/>
        <v>0</v>
      </c>
      <c r="P127" s="66">
        <f t="shared" si="55"/>
        <v>0</v>
      </c>
    </row>
    <row r="128" spans="2:16" x14ac:dyDescent="0.35">
      <c r="B128" t="s">
        <v>358</v>
      </c>
      <c r="D128" s="66"/>
      <c r="E128" s="66">
        <f t="shared" si="55"/>
        <v>0</v>
      </c>
      <c r="F128" s="66">
        <f t="shared" si="55"/>
        <v>0</v>
      </c>
      <c r="G128" s="66">
        <f t="shared" si="55"/>
        <v>0</v>
      </c>
      <c r="H128" s="66">
        <f t="shared" si="55"/>
        <v>0</v>
      </c>
      <c r="I128" s="66">
        <f t="shared" si="55"/>
        <v>0</v>
      </c>
      <c r="J128" s="66">
        <f t="shared" si="55"/>
        <v>0</v>
      </c>
      <c r="K128" s="66">
        <f t="shared" si="55"/>
        <v>0</v>
      </c>
      <c r="L128" s="66">
        <f t="shared" si="55"/>
        <v>0</v>
      </c>
      <c r="M128" s="66">
        <f t="shared" si="55"/>
        <v>0</v>
      </c>
      <c r="N128" s="66">
        <f t="shared" si="55"/>
        <v>0</v>
      </c>
      <c r="O128" s="66">
        <f t="shared" si="55"/>
        <v>0</v>
      </c>
      <c r="P128" s="66">
        <f t="shared" si="55"/>
        <v>0</v>
      </c>
    </row>
    <row r="129" spans="2:16" x14ac:dyDescent="0.35">
      <c r="B129" t="s">
        <v>359</v>
      </c>
      <c r="D129" s="66"/>
      <c r="E129" s="66">
        <f t="shared" si="55"/>
        <v>0</v>
      </c>
      <c r="F129" s="66">
        <f t="shared" si="55"/>
        <v>0</v>
      </c>
      <c r="G129" s="66">
        <f t="shared" si="55"/>
        <v>0</v>
      </c>
      <c r="H129" s="66">
        <f t="shared" si="55"/>
        <v>0</v>
      </c>
      <c r="I129" s="66">
        <f t="shared" si="55"/>
        <v>0</v>
      </c>
      <c r="J129" s="66">
        <f t="shared" si="55"/>
        <v>0</v>
      </c>
      <c r="K129" s="66">
        <f t="shared" si="55"/>
        <v>0</v>
      </c>
      <c r="L129" s="66">
        <f t="shared" si="55"/>
        <v>0</v>
      </c>
      <c r="M129" s="66">
        <f t="shared" si="55"/>
        <v>0</v>
      </c>
      <c r="N129" s="66">
        <f t="shared" si="55"/>
        <v>0</v>
      </c>
      <c r="O129" s="66">
        <f t="shared" si="55"/>
        <v>0</v>
      </c>
      <c r="P129" s="66">
        <f t="shared" si="55"/>
        <v>0</v>
      </c>
    </row>
    <row r="130" spans="2:16" x14ac:dyDescent="0.35">
      <c r="B130" s="100" t="s">
        <v>346</v>
      </c>
      <c r="D130" s="66"/>
      <c r="E130" s="179">
        <f t="shared" ref="E130:P130" si="56">SUM(E121:E129)</f>
        <v>1</v>
      </c>
      <c r="F130" s="179">
        <f t="shared" si="56"/>
        <v>1</v>
      </c>
      <c r="G130" s="179">
        <f t="shared" si="56"/>
        <v>1</v>
      </c>
      <c r="H130" s="179">
        <f t="shared" si="56"/>
        <v>1</v>
      </c>
      <c r="I130" s="179">
        <f t="shared" si="56"/>
        <v>1</v>
      </c>
      <c r="J130" s="179">
        <f t="shared" si="56"/>
        <v>1</v>
      </c>
      <c r="K130" s="179">
        <f t="shared" si="56"/>
        <v>1</v>
      </c>
      <c r="L130" s="179">
        <f t="shared" si="56"/>
        <v>1</v>
      </c>
      <c r="M130" s="179">
        <f t="shared" si="56"/>
        <v>1</v>
      </c>
      <c r="N130" s="179">
        <f t="shared" si="56"/>
        <v>1</v>
      </c>
      <c r="O130" s="179">
        <f t="shared" si="56"/>
        <v>1</v>
      </c>
      <c r="P130" s="179">
        <f t="shared" si="56"/>
        <v>1</v>
      </c>
    </row>
    <row r="131" spans="2:16" x14ac:dyDescent="0.35">
      <c r="B131" s="100" t="s">
        <v>289</v>
      </c>
      <c r="D131" s="66"/>
      <c r="E131" s="179">
        <f t="shared" ref="E131:P131" si="57">E117+E103</f>
        <v>30000</v>
      </c>
      <c r="F131" s="179">
        <f t="shared" si="57"/>
        <v>30000</v>
      </c>
      <c r="G131" s="179">
        <f t="shared" si="57"/>
        <v>30000</v>
      </c>
      <c r="H131" s="179">
        <f t="shared" si="57"/>
        <v>30000</v>
      </c>
      <c r="I131" s="179">
        <f t="shared" si="57"/>
        <v>30000</v>
      </c>
      <c r="J131" s="179">
        <f t="shared" si="57"/>
        <v>30000</v>
      </c>
      <c r="K131" s="179">
        <f t="shared" si="57"/>
        <v>30000</v>
      </c>
      <c r="L131" s="179">
        <f t="shared" si="57"/>
        <v>30000</v>
      </c>
      <c r="M131" s="179">
        <f t="shared" si="57"/>
        <v>30000</v>
      </c>
      <c r="N131" s="179">
        <f t="shared" si="57"/>
        <v>30000</v>
      </c>
      <c r="O131" s="179">
        <f t="shared" si="57"/>
        <v>30000</v>
      </c>
      <c r="P131" s="179">
        <f t="shared" si="57"/>
        <v>30000</v>
      </c>
    </row>
    <row r="132" spans="2:16" x14ac:dyDescent="0.35">
      <c r="B132" s="100"/>
      <c r="D132" s="66"/>
      <c r="E132" s="100"/>
      <c r="F132" s="100"/>
      <c r="G132" s="100"/>
      <c r="H132" s="100"/>
      <c r="I132" s="100"/>
      <c r="J132" s="100"/>
      <c r="K132" s="100"/>
      <c r="L132" s="100"/>
      <c r="M132" s="100"/>
      <c r="N132" s="100"/>
      <c r="O132" s="100"/>
      <c r="P132" s="100"/>
    </row>
    <row r="133" spans="2:16" x14ac:dyDescent="0.35">
      <c r="B133" s="100" t="s">
        <v>343</v>
      </c>
      <c r="D133" s="66"/>
      <c r="E133" s="100"/>
      <c r="F133" s="100"/>
      <c r="G133" s="100"/>
      <c r="H133" s="100"/>
      <c r="I133" s="100"/>
      <c r="J133" s="100"/>
      <c r="K133" s="100"/>
      <c r="L133" s="100"/>
      <c r="M133" s="100"/>
      <c r="N133" s="100"/>
      <c r="O133" s="100"/>
      <c r="P133" s="100"/>
    </row>
    <row r="134" spans="2:16" x14ac:dyDescent="0.35">
      <c r="B134" t="s">
        <v>344</v>
      </c>
      <c r="D134" s="66"/>
      <c r="E134" s="169">
        <f>E102</f>
        <v>0</v>
      </c>
      <c r="F134" s="169">
        <f t="shared" ref="F134:P134" si="58">F102</f>
        <v>0</v>
      </c>
      <c r="G134" s="169">
        <f t="shared" si="58"/>
        <v>0</v>
      </c>
      <c r="H134" s="169">
        <f t="shared" si="58"/>
        <v>0</v>
      </c>
      <c r="I134" s="169">
        <f t="shared" si="58"/>
        <v>0</v>
      </c>
      <c r="J134" s="169">
        <f t="shared" si="58"/>
        <v>0</v>
      </c>
      <c r="K134" s="169">
        <f t="shared" si="58"/>
        <v>0</v>
      </c>
      <c r="L134" s="169">
        <f t="shared" si="58"/>
        <v>0</v>
      </c>
      <c r="M134" s="169">
        <f t="shared" si="58"/>
        <v>0</v>
      </c>
      <c r="N134" s="169">
        <f t="shared" si="58"/>
        <v>0</v>
      </c>
      <c r="O134" s="169">
        <f t="shared" si="58"/>
        <v>0</v>
      </c>
      <c r="P134" s="169">
        <f t="shared" si="58"/>
        <v>0</v>
      </c>
    </row>
    <row r="135" spans="2:16" x14ac:dyDescent="0.35">
      <c r="B135" t="s">
        <v>362</v>
      </c>
      <c r="D135" s="100"/>
      <c r="E135" s="66">
        <f>E116</f>
        <v>1</v>
      </c>
      <c r="F135" s="66">
        <f t="shared" ref="F135:P135" si="59">F116</f>
        <v>1</v>
      </c>
      <c r="G135" s="66">
        <f t="shared" si="59"/>
        <v>1</v>
      </c>
      <c r="H135" s="66">
        <f t="shared" si="59"/>
        <v>1</v>
      </c>
      <c r="I135" s="66">
        <f t="shared" si="59"/>
        <v>1</v>
      </c>
      <c r="J135" s="66">
        <f t="shared" si="59"/>
        <v>1</v>
      </c>
      <c r="K135" s="66">
        <f t="shared" si="59"/>
        <v>1</v>
      </c>
      <c r="L135" s="66">
        <f t="shared" si="59"/>
        <v>1</v>
      </c>
      <c r="M135" s="66">
        <f t="shared" si="59"/>
        <v>1</v>
      </c>
      <c r="N135" s="66">
        <f t="shared" si="59"/>
        <v>1</v>
      </c>
      <c r="O135" s="66">
        <f t="shared" si="59"/>
        <v>1</v>
      </c>
      <c r="P135" s="66">
        <f t="shared" si="59"/>
        <v>1</v>
      </c>
    </row>
    <row r="136" spans="2:16" x14ac:dyDescent="0.35">
      <c r="B136" s="100" t="s">
        <v>174</v>
      </c>
      <c r="D136" s="171"/>
      <c r="E136" s="179">
        <f>SUM(E134:E135)</f>
        <v>1</v>
      </c>
      <c r="F136" s="179">
        <f t="shared" ref="F136:P136" si="60">SUM(F134:F135)</f>
        <v>1</v>
      </c>
      <c r="G136" s="179">
        <f t="shared" si="60"/>
        <v>1</v>
      </c>
      <c r="H136" s="179">
        <f t="shared" si="60"/>
        <v>1</v>
      </c>
      <c r="I136" s="179">
        <f t="shared" si="60"/>
        <v>1</v>
      </c>
      <c r="J136" s="179">
        <f t="shared" si="60"/>
        <v>1</v>
      </c>
      <c r="K136" s="179">
        <f t="shared" si="60"/>
        <v>1</v>
      </c>
      <c r="L136" s="179">
        <f t="shared" si="60"/>
        <v>1</v>
      </c>
      <c r="M136" s="179">
        <f t="shared" si="60"/>
        <v>1</v>
      </c>
      <c r="N136" s="179">
        <f t="shared" si="60"/>
        <v>1</v>
      </c>
      <c r="O136" s="179">
        <f t="shared" si="60"/>
        <v>1</v>
      </c>
      <c r="P136" s="179">
        <f t="shared" si="60"/>
        <v>1</v>
      </c>
    </row>
    <row r="137" spans="2:16" x14ac:dyDescent="0.35">
      <c r="B137" s="100" t="s">
        <v>309</v>
      </c>
      <c r="E137" s="67"/>
      <c r="F137" s="67"/>
      <c r="G137" s="67"/>
      <c r="H137" s="67"/>
      <c r="I137" s="67"/>
      <c r="J137" s="67"/>
      <c r="K137" s="67"/>
      <c r="L137" s="67"/>
      <c r="M137" s="67"/>
      <c r="N137" s="67"/>
      <c r="O137" s="67"/>
      <c r="P137" s="67"/>
    </row>
    <row r="138" spans="2:16" x14ac:dyDescent="0.35">
      <c r="B138" t="s">
        <v>344</v>
      </c>
      <c r="E138" s="67">
        <f>E103</f>
        <v>0</v>
      </c>
      <c r="F138" s="67">
        <f t="shared" ref="F138:P138" si="61">F103</f>
        <v>0</v>
      </c>
      <c r="G138" s="67">
        <f t="shared" si="61"/>
        <v>0</v>
      </c>
      <c r="H138" s="67">
        <f t="shared" si="61"/>
        <v>0</v>
      </c>
      <c r="I138" s="67">
        <f t="shared" si="61"/>
        <v>0</v>
      </c>
      <c r="J138" s="67">
        <f t="shared" si="61"/>
        <v>0</v>
      </c>
      <c r="K138" s="67">
        <f t="shared" si="61"/>
        <v>0</v>
      </c>
      <c r="L138" s="67">
        <f t="shared" si="61"/>
        <v>0</v>
      </c>
      <c r="M138" s="67">
        <f t="shared" si="61"/>
        <v>0</v>
      </c>
      <c r="N138" s="67">
        <f t="shared" si="61"/>
        <v>0</v>
      </c>
      <c r="O138" s="67">
        <f t="shared" si="61"/>
        <v>0</v>
      </c>
      <c r="P138" s="67">
        <f t="shared" si="61"/>
        <v>0</v>
      </c>
    </row>
    <row r="139" spans="2:16" x14ac:dyDescent="0.35">
      <c r="B139" t="s">
        <v>362</v>
      </c>
      <c r="E139" s="67">
        <f>E117</f>
        <v>30000</v>
      </c>
      <c r="F139" s="67">
        <f t="shared" ref="F139:P139" si="62">F117</f>
        <v>30000</v>
      </c>
      <c r="G139" s="67">
        <f t="shared" si="62"/>
        <v>30000</v>
      </c>
      <c r="H139" s="67">
        <f t="shared" si="62"/>
        <v>30000</v>
      </c>
      <c r="I139" s="67">
        <f t="shared" si="62"/>
        <v>30000</v>
      </c>
      <c r="J139" s="67">
        <f t="shared" si="62"/>
        <v>30000</v>
      </c>
      <c r="K139" s="67">
        <f t="shared" si="62"/>
        <v>30000</v>
      </c>
      <c r="L139" s="67">
        <f t="shared" si="62"/>
        <v>30000</v>
      </c>
      <c r="M139" s="67">
        <f t="shared" si="62"/>
        <v>30000</v>
      </c>
      <c r="N139" s="67">
        <f t="shared" si="62"/>
        <v>30000</v>
      </c>
      <c r="O139" s="67">
        <f t="shared" si="62"/>
        <v>30000</v>
      </c>
      <c r="P139" s="67">
        <f t="shared" si="62"/>
        <v>30000</v>
      </c>
    </row>
    <row r="140" spans="2:16" x14ac:dyDescent="0.35">
      <c r="B140" s="100" t="s">
        <v>174</v>
      </c>
      <c r="E140" s="179">
        <f>SUM(E138:E139)</f>
        <v>30000</v>
      </c>
      <c r="F140" s="179">
        <f t="shared" ref="F140:P140" si="63">SUM(F138:F139)</f>
        <v>30000</v>
      </c>
      <c r="G140" s="179">
        <f t="shared" si="63"/>
        <v>30000</v>
      </c>
      <c r="H140" s="179">
        <f t="shared" si="63"/>
        <v>30000</v>
      </c>
      <c r="I140" s="179">
        <f t="shared" si="63"/>
        <v>30000</v>
      </c>
      <c r="J140" s="179">
        <f t="shared" si="63"/>
        <v>30000</v>
      </c>
      <c r="K140" s="179">
        <f t="shared" si="63"/>
        <v>30000</v>
      </c>
      <c r="L140" s="179">
        <f t="shared" si="63"/>
        <v>30000</v>
      </c>
      <c r="M140" s="179">
        <f t="shared" si="63"/>
        <v>30000</v>
      </c>
      <c r="N140" s="179">
        <f t="shared" si="63"/>
        <v>30000</v>
      </c>
      <c r="O140" s="179">
        <f t="shared" si="63"/>
        <v>30000</v>
      </c>
      <c r="P140" s="179">
        <f t="shared" si="63"/>
        <v>30000</v>
      </c>
    </row>
    <row r="141" spans="2:16" x14ac:dyDescent="0.35">
      <c r="B141" s="100"/>
      <c r="E141" s="179"/>
      <c r="F141" s="179"/>
      <c r="G141" s="179"/>
      <c r="H141" s="179"/>
      <c r="I141" s="179"/>
      <c r="J141" s="179"/>
      <c r="K141" s="179"/>
      <c r="L141" s="179"/>
      <c r="M141" s="179"/>
      <c r="N141" s="179"/>
      <c r="O141" s="179"/>
      <c r="P141" s="179"/>
    </row>
    <row r="142" spans="2:16" x14ac:dyDescent="0.35">
      <c r="B142" s="100" t="s">
        <v>306</v>
      </c>
    </row>
    <row r="143" spans="2:16" x14ac:dyDescent="0.35">
      <c r="B143" s="100" t="s">
        <v>344</v>
      </c>
      <c r="E143" s="67">
        <f t="shared" ref="E143:P143" si="64">E134+E82+E26</f>
        <v>0</v>
      </c>
      <c r="F143" s="67">
        <f t="shared" si="64"/>
        <v>0</v>
      </c>
      <c r="G143" s="67">
        <f t="shared" si="64"/>
        <v>0</v>
      </c>
      <c r="H143" s="67">
        <f t="shared" si="64"/>
        <v>0</v>
      </c>
      <c r="I143" s="67">
        <f t="shared" si="64"/>
        <v>0</v>
      </c>
      <c r="J143" s="67">
        <f t="shared" si="64"/>
        <v>0</v>
      </c>
      <c r="K143" s="67">
        <f t="shared" si="64"/>
        <v>0</v>
      </c>
      <c r="L143" s="67">
        <f t="shared" si="64"/>
        <v>0</v>
      </c>
      <c r="M143" s="67">
        <f t="shared" si="64"/>
        <v>0</v>
      </c>
      <c r="N143" s="67">
        <f t="shared" si="64"/>
        <v>0</v>
      </c>
      <c r="O143" s="67">
        <f t="shared" si="64"/>
        <v>0</v>
      </c>
      <c r="P143" s="67">
        <f t="shared" si="64"/>
        <v>0</v>
      </c>
    </row>
    <row r="144" spans="2:16" x14ac:dyDescent="0.35">
      <c r="B144" s="100" t="s">
        <v>360</v>
      </c>
      <c r="E144" s="67" t="e">
        <f t="shared" ref="E144:P144" si="65">E135+E83+E27</f>
        <v>#REF!</v>
      </c>
      <c r="F144" s="67" t="e">
        <f t="shared" si="65"/>
        <v>#REF!</v>
      </c>
      <c r="G144" s="67" t="e">
        <f t="shared" si="65"/>
        <v>#REF!</v>
      </c>
      <c r="H144" s="67" t="e">
        <f t="shared" si="65"/>
        <v>#REF!</v>
      </c>
      <c r="I144" s="67" t="e">
        <f t="shared" si="65"/>
        <v>#REF!</v>
      </c>
      <c r="J144" s="67" t="e">
        <f t="shared" si="65"/>
        <v>#REF!</v>
      </c>
      <c r="K144" s="67" t="e">
        <f t="shared" si="65"/>
        <v>#REF!</v>
      </c>
      <c r="L144" s="67" t="e">
        <f t="shared" si="65"/>
        <v>#REF!</v>
      </c>
      <c r="M144" s="67" t="e">
        <f t="shared" si="65"/>
        <v>#REF!</v>
      </c>
      <c r="N144" s="67" t="e">
        <f t="shared" si="65"/>
        <v>#REF!</v>
      </c>
      <c r="O144" s="67" t="e">
        <f t="shared" si="65"/>
        <v>#REF!</v>
      </c>
      <c r="P144" s="67" t="e">
        <f t="shared" si="65"/>
        <v>#REF!</v>
      </c>
    </row>
    <row r="145" spans="1:16" x14ac:dyDescent="0.35">
      <c r="B145" s="100" t="s">
        <v>174</v>
      </c>
      <c r="E145" s="67" t="e">
        <f>SUM(E143:E144)</f>
        <v>#REF!</v>
      </c>
      <c r="F145" s="67" t="e">
        <f t="shared" ref="F145:P145" si="66">SUM(F143:F144)</f>
        <v>#REF!</v>
      </c>
      <c r="G145" s="67" t="e">
        <f t="shared" si="66"/>
        <v>#REF!</v>
      </c>
      <c r="H145" s="67" t="e">
        <f t="shared" si="66"/>
        <v>#REF!</v>
      </c>
      <c r="I145" s="67" t="e">
        <f t="shared" si="66"/>
        <v>#REF!</v>
      </c>
      <c r="J145" s="67" t="e">
        <f t="shared" si="66"/>
        <v>#REF!</v>
      </c>
      <c r="K145" s="67" t="e">
        <f t="shared" si="66"/>
        <v>#REF!</v>
      </c>
      <c r="L145" s="67" t="e">
        <f t="shared" si="66"/>
        <v>#REF!</v>
      </c>
      <c r="M145" s="67" t="e">
        <f t="shared" si="66"/>
        <v>#REF!</v>
      </c>
      <c r="N145" s="67" t="e">
        <f t="shared" si="66"/>
        <v>#REF!</v>
      </c>
      <c r="O145" s="67" t="e">
        <f t="shared" si="66"/>
        <v>#REF!</v>
      </c>
      <c r="P145" s="67" t="e">
        <f t="shared" si="66"/>
        <v>#REF!</v>
      </c>
    </row>
    <row r="146" spans="1:16" x14ac:dyDescent="0.35">
      <c r="B146" s="100"/>
    </row>
    <row r="147" spans="1:16" x14ac:dyDescent="0.35">
      <c r="B147" s="100" t="s">
        <v>379</v>
      </c>
    </row>
    <row r="148" spans="1:16" x14ac:dyDescent="0.35">
      <c r="B148" t="s">
        <v>380</v>
      </c>
      <c r="E148" s="67">
        <v>200</v>
      </c>
      <c r="F148" s="67">
        <v>200</v>
      </c>
      <c r="G148" s="67">
        <v>200</v>
      </c>
      <c r="H148" s="67">
        <v>200</v>
      </c>
      <c r="I148" s="67">
        <v>200</v>
      </c>
      <c r="J148" s="67">
        <v>200</v>
      </c>
      <c r="K148" s="67">
        <v>200</v>
      </c>
      <c r="L148" s="67">
        <v>200</v>
      </c>
      <c r="M148" s="67">
        <v>200</v>
      </c>
      <c r="N148" s="67">
        <v>200</v>
      </c>
      <c r="O148" s="67">
        <v>200</v>
      </c>
      <c r="P148" s="67">
        <v>200</v>
      </c>
    </row>
    <row r="149" spans="1:16" x14ac:dyDescent="0.35">
      <c r="B149" t="s">
        <v>381</v>
      </c>
      <c r="E149" s="67" t="e">
        <f>E158+E153</f>
        <v>#REF!</v>
      </c>
      <c r="F149" s="67" t="e">
        <f t="shared" ref="F149:P149" si="67">F158+F153</f>
        <v>#REF!</v>
      </c>
      <c r="G149" s="67" t="e">
        <f t="shared" si="67"/>
        <v>#REF!</v>
      </c>
      <c r="H149" s="67" t="e">
        <f t="shared" si="67"/>
        <v>#REF!</v>
      </c>
      <c r="I149" s="67" t="e">
        <f t="shared" si="67"/>
        <v>#REF!</v>
      </c>
      <c r="J149" s="67" t="e">
        <f t="shared" si="67"/>
        <v>#REF!</v>
      </c>
      <c r="K149" s="67" t="e">
        <f t="shared" si="67"/>
        <v>#REF!</v>
      </c>
      <c r="L149" s="67" t="e">
        <f t="shared" si="67"/>
        <v>#REF!</v>
      </c>
      <c r="M149" s="67" t="e">
        <f t="shared" si="67"/>
        <v>#REF!</v>
      </c>
      <c r="N149" s="67" t="e">
        <f t="shared" si="67"/>
        <v>#REF!</v>
      </c>
      <c r="O149" s="67" t="e">
        <f t="shared" si="67"/>
        <v>#REF!</v>
      </c>
      <c r="P149" s="67" t="e">
        <f t="shared" si="67"/>
        <v>#REF!</v>
      </c>
    </row>
    <row r="150" spans="1:16" x14ac:dyDescent="0.35">
      <c r="B150" t="s">
        <v>382</v>
      </c>
      <c r="E150" s="67" t="e">
        <f>E148-E149</f>
        <v>#REF!</v>
      </c>
      <c r="F150" s="67" t="e">
        <f t="shared" ref="F150:P150" si="68">F148-F149</f>
        <v>#REF!</v>
      </c>
      <c r="G150" s="67" t="e">
        <f t="shared" si="68"/>
        <v>#REF!</v>
      </c>
      <c r="H150" s="67" t="e">
        <f t="shared" si="68"/>
        <v>#REF!</v>
      </c>
      <c r="I150" s="67" t="e">
        <f t="shared" si="68"/>
        <v>#REF!</v>
      </c>
      <c r="J150" s="67" t="e">
        <f t="shared" si="68"/>
        <v>#REF!</v>
      </c>
      <c r="K150" s="67" t="e">
        <f t="shared" si="68"/>
        <v>#REF!</v>
      </c>
      <c r="L150" s="67" t="e">
        <f t="shared" si="68"/>
        <v>#REF!</v>
      </c>
      <c r="M150" s="67" t="e">
        <f t="shared" si="68"/>
        <v>#REF!</v>
      </c>
      <c r="N150" s="67" t="e">
        <f t="shared" si="68"/>
        <v>#REF!</v>
      </c>
      <c r="O150" s="67" t="e">
        <f t="shared" si="68"/>
        <v>#REF!</v>
      </c>
      <c r="P150" s="67" t="e">
        <f t="shared" si="68"/>
        <v>#REF!</v>
      </c>
    </row>
    <row r="152" spans="1:16" x14ac:dyDescent="0.35">
      <c r="B152" s="100" t="s">
        <v>344</v>
      </c>
    </row>
    <row r="153" spans="1:16" x14ac:dyDescent="0.35">
      <c r="B153" t="s">
        <v>383</v>
      </c>
    </row>
    <row r="154" spans="1:16" x14ac:dyDescent="0.35">
      <c r="B154" t="s">
        <v>384</v>
      </c>
    </row>
    <row r="155" spans="1:16" s="232" customFormat="1" x14ac:dyDescent="0.35">
      <c r="A155" s="231"/>
      <c r="B155" s="232" t="s">
        <v>385</v>
      </c>
      <c r="C155" s="231"/>
    </row>
    <row r="156" spans="1:16" x14ac:dyDescent="0.35">
      <c r="E156" s="100">
        <f>SUM(E153:E155)</f>
        <v>0</v>
      </c>
      <c r="F156" s="100">
        <f t="shared" ref="F156:P156" si="69">SUM(F153:F155)</f>
        <v>0</v>
      </c>
      <c r="G156" s="100">
        <f t="shared" si="69"/>
        <v>0</v>
      </c>
      <c r="H156" s="100">
        <f t="shared" si="69"/>
        <v>0</v>
      </c>
      <c r="I156" s="100">
        <f t="shared" si="69"/>
        <v>0</v>
      </c>
      <c r="J156" s="100">
        <f t="shared" si="69"/>
        <v>0</v>
      </c>
      <c r="K156" s="100">
        <f t="shared" si="69"/>
        <v>0</v>
      </c>
      <c r="L156" s="100">
        <f t="shared" si="69"/>
        <v>0</v>
      </c>
      <c r="M156" s="100">
        <f t="shared" si="69"/>
        <v>0</v>
      </c>
      <c r="N156" s="100">
        <f t="shared" si="69"/>
        <v>0</v>
      </c>
      <c r="O156" s="100">
        <f t="shared" si="69"/>
        <v>0</v>
      </c>
      <c r="P156" s="100">
        <f t="shared" si="69"/>
        <v>0</v>
      </c>
    </row>
    <row r="157" spans="1:16" x14ac:dyDescent="0.35">
      <c r="B157" s="100" t="s">
        <v>360</v>
      </c>
    </row>
    <row r="158" spans="1:16" x14ac:dyDescent="0.35">
      <c r="B158" t="s">
        <v>383</v>
      </c>
      <c r="E158" s="66" t="e">
        <f>E144-E160</f>
        <v>#REF!</v>
      </c>
      <c r="F158" s="66" t="e">
        <f t="shared" ref="F158:P158" si="70">F144-F160</f>
        <v>#REF!</v>
      </c>
      <c r="G158" s="66" t="e">
        <f t="shared" si="70"/>
        <v>#REF!</v>
      </c>
      <c r="H158" s="66" t="e">
        <f t="shared" si="70"/>
        <v>#REF!</v>
      </c>
      <c r="I158" s="66" t="e">
        <f t="shared" si="70"/>
        <v>#REF!</v>
      </c>
      <c r="J158" s="66" t="e">
        <f t="shared" si="70"/>
        <v>#REF!</v>
      </c>
      <c r="K158" s="66" t="e">
        <f t="shared" si="70"/>
        <v>#REF!</v>
      </c>
      <c r="L158" s="66" t="e">
        <f t="shared" si="70"/>
        <v>#REF!</v>
      </c>
      <c r="M158" s="66" t="e">
        <f t="shared" si="70"/>
        <v>#REF!</v>
      </c>
      <c r="N158" s="66" t="e">
        <f t="shared" si="70"/>
        <v>#REF!</v>
      </c>
      <c r="O158" s="66" t="e">
        <f t="shared" si="70"/>
        <v>#REF!</v>
      </c>
      <c r="P158" s="66" t="e">
        <f t="shared" si="70"/>
        <v>#REF!</v>
      </c>
    </row>
    <row r="159" spans="1:16" x14ac:dyDescent="0.35">
      <c r="B159" t="s">
        <v>384</v>
      </c>
      <c r="E159" s="66"/>
      <c r="F159" s="66"/>
      <c r="G159" s="66"/>
      <c r="H159" s="66"/>
      <c r="I159" s="66"/>
      <c r="J159" s="66"/>
      <c r="K159" s="66"/>
      <c r="L159" s="66"/>
      <c r="M159" s="66"/>
      <c r="N159" s="66"/>
      <c r="O159" s="66"/>
      <c r="P159" s="66"/>
    </row>
    <row r="160" spans="1:16" s="232" customFormat="1" x14ac:dyDescent="0.35">
      <c r="A160" s="231"/>
      <c r="B160" s="232" t="s">
        <v>385</v>
      </c>
      <c r="C160" s="231" t="s">
        <v>386</v>
      </c>
      <c r="E160" s="233" t="e">
        <f>(E17+E16)*0.9</f>
        <v>#REF!</v>
      </c>
      <c r="F160" s="233" t="e">
        <f t="shared" ref="F160:P160" si="71">(F17+F16)*0.9</f>
        <v>#REF!</v>
      </c>
      <c r="G160" s="233" t="e">
        <f t="shared" si="71"/>
        <v>#REF!</v>
      </c>
      <c r="H160" s="233" t="e">
        <f t="shared" si="71"/>
        <v>#REF!</v>
      </c>
      <c r="I160" s="233" t="e">
        <f t="shared" si="71"/>
        <v>#REF!</v>
      </c>
      <c r="J160" s="233" t="e">
        <f t="shared" si="71"/>
        <v>#REF!</v>
      </c>
      <c r="K160" s="233" t="e">
        <f t="shared" si="71"/>
        <v>#REF!</v>
      </c>
      <c r="L160" s="233" t="e">
        <f t="shared" si="71"/>
        <v>#REF!</v>
      </c>
      <c r="M160" s="233" t="e">
        <f t="shared" si="71"/>
        <v>#REF!</v>
      </c>
      <c r="N160" s="233" t="e">
        <f t="shared" si="71"/>
        <v>#REF!</v>
      </c>
      <c r="O160" s="233" t="e">
        <f t="shared" si="71"/>
        <v>#REF!</v>
      </c>
      <c r="P160" s="233" t="e">
        <f t="shared" si="71"/>
        <v>#REF!</v>
      </c>
    </row>
    <row r="161" spans="1:16" x14ac:dyDescent="0.35">
      <c r="E161" s="179" t="e">
        <f>SUM(E158:E160)</f>
        <v>#REF!</v>
      </c>
      <c r="F161" s="179" t="e">
        <f t="shared" ref="F161:P161" si="72">SUM(F158:F160)</f>
        <v>#REF!</v>
      </c>
      <c r="G161" s="179" t="e">
        <f t="shared" si="72"/>
        <v>#REF!</v>
      </c>
      <c r="H161" s="179" t="e">
        <f t="shared" si="72"/>
        <v>#REF!</v>
      </c>
      <c r="I161" s="179" t="e">
        <f t="shared" si="72"/>
        <v>#REF!</v>
      </c>
      <c r="J161" s="179" t="e">
        <f t="shared" si="72"/>
        <v>#REF!</v>
      </c>
      <c r="K161" s="179" t="e">
        <f t="shared" si="72"/>
        <v>#REF!</v>
      </c>
      <c r="L161" s="179" t="e">
        <f t="shared" si="72"/>
        <v>#REF!</v>
      </c>
      <c r="M161" s="179" t="e">
        <f t="shared" si="72"/>
        <v>#REF!</v>
      </c>
      <c r="N161" s="179" t="e">
        <f t="shared" si="72"/>
        <v>#REF!</v>
      </c>
      <c r="O161" s="179" t="e">
        <f t="shared" si="72"/>
        <v>#REF!</v>
      </c>
      <c r="P161" s="179" t="e">
        <f t="shared" si="72"/>
        <v>#REF!</v>
      </c>
    </row>
    <row r="163" spans="1:16" s="232" customFormat="1" x14ac:dyDescent="0.35">
      <c r="A163" s="231"/>
      <c r="B163" s="232" t="s">
        <v>387</v>
      </c>
      <c r="C163" s="231"/>
    </row>
    <row r="165" spans="1:16" x14ac:dyDescent="0.35">
      <c r="B165" t="s">
        <v>388</v>
      </c>
      <c r="E165" s="216">
        <f>ROUNDUP(E155/2,0)</f>
        <v>0</v>
      </c>
      <c r="F165" s="216">
        <f t="shared" ref="F165:P165" si="73">ROUNDUP(F155/2,0)</f>
        <v>0</v>
      </c>
      <c r="G165" s="216">
        <f t="shared" si="73"/>
        <v>0</v>
      </c>
      <c r="H165" s="216">
        <f t="shared" si="73"/>
        <v>0</v>
      </c>
      <c r="I165" s="216">
        <f t="shared" si="73"/>
        <v>0</v>
      </c>
      <c r="J165" s="216">
        <f t="shared" si="73"/>
        <v>0</v>
      </c>
      <c r="K165" s="216">
        <f t="shared" si="73"/>
        <v>0</v>
      </c>
      <c r="L165" s="216">
        <f t="shared" si="73"/>
        <v>0</v>
      </c>
      <c r="M165" s="216">
        <f t="shared" si="73"/>
        <v>0</v>
      </c>
      <c r="N165" s="216">
        <f t="shared" si="73"/>
        <v>0</v>
      </c>
      <c r="O165" s="216">
        <f t="shared" si="73"/>
        <v>0</v>
      </c>
      <c r="P165" s="216">
        <f t="shared" si="73"/>
        <v>0</v>
      </c>
    </row>
    <row r="166" spans="1:16" x14ac:dyDescent="0.35">
      <c r="B166" t="s">
        <v>389</v>
      </c>
      <c r="E166" s="216" t="e">
        <f>ROUNDUP(E160/2,0)</f>
        <v>#REF!</v>
      </c>
      <c r="F166" s="216" t="e">
        <f t="shared" ref="F166:P166" si="74">ROUNDUP(F160/2,0)</f>
        <v>#REF!</v>
      </c>
      <c r="G166" s="216" t="e">
        <f t="shared" si="74"/>
        <v>#REF!</v>
      </c>
      <c r="H166" s="216" t="e">
        <f t="shared" si="74"/>
        <v>#REF!</v>
      </c>
      <c r="I166" s="216" t="e">
        <f t="shared" si="74"/>
        <v>#REF!</v>
      </c>
      <c r="J166" s="216" t="e">
        <f t="shared" si="74"/>
        <v>#REF!</v>
      </c>
      <c r="K166" s="216" t="e">
        <f t="shared" si="74"/>
        <v>#REF!</v>
      </c>
      <c r="L166" s="216" t="e">
        <f t="shared" si="74"/>
        <v>#REF!</v>
      </c>
      <c r="M166" s="216" t="e">
        <f t="shared" si="74"/>
        <v>#REF!</v>
      </c>
      <c r="N166" s="216" t="e">
        <f t="shared" si="74"/>
        <v>#REF!</v>
      </c>
      <c r="O166" s="216" t="e">
        <f t="shared" si="74"/>
        <v>#REF!</v>
      </c>
      <c r="P166" s="216" t="e">
        <f t="shared" si="74"/>
        <v>#REF!</v>
      </c>
    </row>
  </sheetData>
  <mergeCells count="2">
    <mergeCell ref="R16:S21"/>
    <mergeCell ref="R37:S4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7104-BDC4-4702-AD65-CD8B4F7D6F76}">
  <dimension ref="A1:G310"/>
  <sheetViews>
    <sheetView workbookViewId="0"/>
  </sheetViews>
  <sheetFormatPr defaultRowHeight="14.5" x14ac:dyDescent="0.35"/>
  <cols>
    <col min="1" max="1" width="50.453125" bestFit="1" customWidth="1"/>
    <col min="2" max="2" width="4.453125" bestFit="1" customWidth="1"/>
    <col min="3" max="3" width="10.7265625" bestFit="1" customWidth="1"/>
    <col min="4" max="4" width="23.81640625" bestFit="1" customWidth="1"/>
    <col min="5" max="5" width="29.453125" bestFit="1" customWidth="1"/>
    <col min="6" max="6" width="32" bestFit="1" customWidth="1"/>
    <col min="7" max="7" width="21" bestFit="1" customWidth="1"/>
  </cols>
  <sheetData>
    <row r="1" spans="1:7" ht="15.5" x14ac:dyDescent="0.35">
      <c r="A1" s="457" t="s">
        <v>978</v>
      </c>
      <c r="B1" s="457" t="s">
        <v>979</v>
      </c>
      <c r="C1" s="457" t="s">
        <v>980</v>
      </c>
      <c r="D1" s="457" t="s">
        <v>819</v>
      </c>
      <c r="E1" s="457" t="s">
        <v>984</v>
      </c>
      <c r="F1" s="457" t="s">
        <v>1311</v>
      </c>
      <c r="G1" s="457" t="s">
        <v>1312</v>
      </c>
    </row>
    <row r="2" spans="1:7" x14ac:dyDescent="0.35">
      <c r="A2" s="687" t="s">
        <v>1257</v>
      </c>
      <c r="B2" s="462">
        <v>3</v>
      </c>
      <c r="C2" s="463">
        <v>43066</v>
      </c>
      <c r="D2" s="463" t="s">
        <v>826</v>
      </c>
      <c r="E2" s="464" t="s">
        <v>1313</v>
      </c>
      <c r="F2" s="467">
        <v>42881</v>
      </c>
      <c r="G2" s="467">
        <v>46631</v>
      </c>
    </row>
    <row r="3" spans="1:7" x14ac:dyDescent="0.35">
      <c r="A3" s="688" t="s">
        <v>1186</v>
      </c>
      <c r="B3" s="462">
        <v>7</v>
      </c>
      <c r="C3" s="463">
        <v>43430</v>
      </c>
      <c r="D3" s="463" t="s">
        <v>826</v>
      </c>
      <c r="E3" s="464" t="s">
        <v>1226</v>
      </c>
      <c r="F3" s="467">
        <v>76410</v>
      </c>
      <c r="G3" s="467">
        <v>75150</v>
      </c>
    </row>
    <row r="4" spans="1:7" x14ac:dyDescent="0.35">
      <c r="A4" s="688" t="s">
        <v>1189</v>
      </c>
      <c r="B4" s="462">
        <v>31</v>
      </c>
      <c r="C4" s="463">
        <v>43850</v>
      </c>
      <c r="D4" s="463" t="s">
        <v>700</v>
      </c>
      <c r="E4" s="464" t="s">
        <v>1021</v>
      </c>
      <c r="F4" s="467">
        <v>37708</v>
      </c>
      <c r="G4" s="467">
        <v>41458</v>
      </c>
    </row>
    <row r="5" spans="1:7" x14ac:dyDescent="0.35">
      <c r="A5" s="688" t="s">
        <v>1268</v>
      </c>
      <c r="B5" s="462">
        <v>32</v>
      </c>
      <c r="C5" s="463">
        <v>43850</v>
      </c>
      <c r="D5" s="463" t="s">
        <v>826</v>
      </c>
      <c r="E5" s="464" t="s">
        <v>1226</v>
      </c>
      <c r="F5" s="467">
        <v>72079</v>
      </c>
      <c r="G5" s="467">
        <v>75829</v>
      </c>
    </row>
    <row r="6" spans="1:7" x14ac:dyDescent="0.35">
      <c r="A6" s="688" t="s">
        <v>1264</v>
      </c>
      <c r="B6" s="462">
        <v>33</v>
      </c>
      <c r="C6" s="463">
        <v>43850</v>
      </c>
      <c r="D6" s="463" t="s">
        <v>826</v>
      </c>
      <c r="E6" s="464" t="s">
        <v>1258</v>
      </c>
      <c r="F6" s="467">
        <v>31063</v>
      </c>
      <c r="G6" s="467">
        <v>34813</v>
      </c>
    </row>
    <row r="7" spans="1:7" x14ac:dyDescent="0.35">
      <c r="A7" s="688" t="s">
        <v>1151</v>
      </c>
      <c r="B7" s="462">
        <v>52</v>
      </c>
      <c r="C7" s="463">
        <v>44060</v>
      </c>
      <c r="D7" s="463" t="s">
        <v>700</v>
      </c>
      <c r="E7" s="464" t="s">
        <v>1145</v>
      </c>
      <c r="F7" s="467">
        <v>25776</v>
      </c>
      <c r="G7" s="467">
        <v>29462</v>
      </c>
    </row>
    <row r="8" spans="1:7" x14ac:dyDescent="0.35">
      <c r="A8" s="688" t="s">
        <v>1259</v>
      </c>
      <c r="B8" s="462">
        <v>55</v>
      </c>
      <c r="C8" s="463">
        <v>44077</v>
      </c>
      <c r="D8" s="469" t="s">
        <v>826</v>
      </c>
      <c r="E8" s="464" t="s">
        <v>1258</v>
      </c>
      <c r="F8" s="467">
        <v>34044</v>
      </c>
      <c r="G8" s="467">
        <v>37794</v>
      </c>
    </row>
    <row r="9" spans="1:7" x14ac:dyDescent="0.35">
      <c r="A9" s="688" t="s">
        <v>1232</v>
      </c>
      <c r="B9" s="462">
        <v>60</v>
      </c>
      <c r="C9" s="463">
        <v>44179</v>
      </c>
      <c r="D9" s="463" t="s">
        <v>826</v>
      </c>
      <c r="E9" s="464" t="s">
        <v>1231</v>
      </c>
      <c r="F9" s="467">
        <v>48720</v>
      </c>
      <c r="G9" s="467">
        <v>52470</v>
      </c>
    </row>
    <row r="10" spans="1:7" x14ac:dyDescent="0.35">
      <c r="A10" s="688" t="s">
        <v>1152</v>
      </c>
      <c r="B10" s="462">
        <v>64</v>
      </c>
      <c r="C10" s="463">
        <v>44179</v>
      </c>
      <c r="D10" s="463" t="s">
        <v>700</v>
      </c>
      <c r="E10" s="464" t="s">
        <v>1145</v>
      </c>
      <c r="F10" s="467">
        <v>27312</v>
      </c>
      <c r="G10" s="467">
        <v>31062</v>
      </c>
    </row>
    <row r="11" spans="1:7" x14ac:dyDescent="0.35">
      <c r="A11" s="688" t="s">
        <v>1017</v>
      </c>
      <c r="B11" s="462">
        <v>66</v>
      </c>
      <c r="C11" s="463">
        <v>44200</v>
      </c>
      <c r="D11" s="463" t="s">
        <v>826</v>
      </c>
      <c r="E11" s="464" t="s">
        <v>1226</v>
      </c>
      <c r="F11" s="467">
        <v>58468</v>
      </c>
      <c r="G11" s="467">
        <v>56218</v>
      </c>
    </row>
    <row r="12" spans="1:7" x14ac:dyDescent="0.35">
      <c r="A12" s="688" t="s">
        <v>1250</v>
      </c>
      <c r="B12" s="462">
        <v>74</v>
      </c>
      <c r="C12" s="463">
        <v>44228</v>
      </c>
      <c r="D12" s="463" t="s">
        <v>826</v>
      </c>
      <c r="E12" s="464" t="s">
        <v>1231</v>
      </c>
      <c r="F12" s="467">
        <v>53989.166666666664</v>
      </c>
      <c r="G12" s="467">
        <v>45205</v>
      </c>
    </row>
    <row r="13" spans="1:7" x14ac:dyDescent="0.35">
      <c r="A13" s="688" t="s">
        <v>1020</v>
      </c>
      <c r="B13" s="462">
        <v>86</v>
      </c>
      <c r="C13" s="463">
        <v>44245</v>
      </c>
      <c r="D13" s="463" t="s">
        <v>824</v>
      </c>
      <c r="E13" s="464" t="s">
        <v>1021</v>
      </c>
      <c r="F13" s="467">
        <v>21980</v>
      </c>
      <c r="G13" s="467">
        <v>25148</v>
      </c>
    </row>
    <row r="14" spans="1:7" x14ac:dyDescent="0.35">
      <c r="A14" s="688" t="s">
        <v>1261</v>
      </c>
      <c r="B14" s="462">
        <v>97</v>
      </c>
      <c r="C14" s="463">
        <v>44321</v>
      </c>
      <c r="D14" s="463" t="s">
        <v>826</v>
      </c>
      <c r="E14" s="464" t="s">
        <v>1258</v>
      </c>
      <c r="F14" s="467">
        <v>38965</v>
      </c>
      <c r="G14" s="467">
        <v>42715</v>
      </c>
    </row>
    <row r="15" spans="1:7" x14ac:dyDescent="0.35">
      <c r="A15" s="688" t="s">
        <v>1253</v>
      </c>
      <c r="B15" s="462">
        <v>107</v>
      </c>
      <c r="C15" s="463">
        <v>44378</v>
      </c>
      <c r="D15" s="463" t="s">
        <v>826</v>
      </c>
      <c r="E15" s="464" t="s">
        <v>1254</v>
      </c>
      <c r="F15" s="467">
        <v>19820</v>
      </c>
      <c r="G15" s="467">
        <v>22694</v>
      </c>
    </row>
    <row r="16" spans="1:7" x14ac:dyDescent="0.35">
      <c r="A16" s="688" t="s">
        <v>1154</v>
      </c>
      <c r="B16" s="462">
        <v>118</v>
      </c>
      <c r="C16" s="463">
        <v>44396</v>
      </c>
      <c r="D16" s="463" t="s">
        <v>700</v>
      </c>
      <c r="E16" s="464" t="s">
        <v>1145</v>
      </c>
      <c r="F16" s="467">
        <v>22545</v>
      </c>
      <c r="G16" s="467">
        <v>25791</v>
      </c>
    </row>
    <row r="17" spans="1:7" x14ac:dyDescent="0.35">
      <c r="A17" s="688" t="s">
        <v>1260</v>
      </c>
      <c r="B17" s="462">
        <v>130</v>
      </c>
      <c r="C17" s="463">
        <v>44228</v>
      </c>
      <c r="D17" s="463" t="s">
        <v>826</v>
      </c>
      <c r="E17" s="464" t="s">
        <v>1258</v>
      </c>
      <c r="F17" s="467">
        <v>43449</v>
      </c>
      <c r="G17" s="467">
        <v>47199</v>
      </c>
    </row>
    <row r="18" spans="1:7" x14ac:dyDescent="0.35">
      <c r="A18" s="689" t="s">
        <v>1252</v>
      </c>
      <c r="B18" s="462">
        <v>141</v>
      </c>
      <c r="C18" s="463">
        <v>44445</v>
      </c>
      <c r="D18" s="463" t="s">
        <v>826</v>
      </c>
      <c r="E18" s="464" t="s">
        <v>1231</v>
      </c>
      <c r="F18" s="467">
        <v>43297.5</v>
      </c>
      <c r="G18" s="467">
        <v>33210</v>
      </c>
    </row>
    <row r="19" spans="1:7" x14ac:dyDescent="0.35">
      <c r="A19" s="689" t="s">
        <v>1198</v>
      </c>
      <c r="B19" s="462">
        <v>153</v>
      </c>
      <c r="C19" s="463">
        <v>44267</v>
      </c>
      <c r="D19" s="463" t="s">
        <v>700</v>
      </c>
      <c r="E19" s="464" t="s">
        <v>1021</v>
      </c>
      <c r="F19" s="467">
        <v>33893.683333333334</v>
      </c>
      <c r="G19" s="467">
        <v>24349</v>
      </c>
    </row>
    <row r="20" spans="1:7" x14ac:dyDescent="0.35">
      <c r="A20" s="688" t="s">
        <v>1242</v>
      </c>
      <c r="B20" s="462">
        <v>154</v>
      </c>
      <c r="C20" s="463">
        <v>44215</v>
      </c>
      <c r="D20" s="463" t="s">
        <v>1314</v>
      </c>
      <c r="E20" s="464" t="s">
        <v>1243</v>
      </c>
      <c r="F20" s="467">
        <v>26138</v>
      </c>
      <c r="G20" s="467">
        <v>29872</v>
      </c>
    </row>
    <row r="21" spans="1:7" x14ac:dyDescent="0.35">
      <c r="A21" s="688" t="s">
        <v>1157</v>
      </c>
      <c r="B21" s="462">
        <v>159</v>
      </c>
      <c r="C21" s="463">
        <v>44532</v>
      </c>
      <c r="D21" s="469" t="s">
        <v>826</v>
      </c>
      <c r="E21" s="464" t="s">
        <v>1258</v>
      </c>
      <c r="F21" s="467">
        <v>29037</v>
      </c>
      <c r="G21" s="467">
        <v>32787</v>
      </c>
    </row>
    <row r="22" spans="1:7" x14ac:dyDescent="0.35">
      <c r="A22" s="688" t="s">
        <v>1199</v>
      </c>
      <c r="B22" s="462">
        <v>167</v>
      </c>
      <c r="C22" s="463">
        <v>44543</v>
      </c>
      <c r="D22" s="463" t="s">
        <v>700</v>
      </c>
      <c r="E22" s="464" t="s">
        <v>1021</v>
      </c>
      <c r="F22" s="467">
        <v>21491</v>
      </c>
      <c r="G22" s="467">
        <v>22887</v>
      </c>
    </row>
    <row r="23" spans="1:7" x14ac:dyDescent="0.35">
      <c r="A23" s="688" t="s">
        <v>1262</v>
      </c>
      <c r="B23" s="462">
        <v>175</v>
      </c>
      <c r="C23" s="463">
        <v>44564</v>
      </c>
      <c r="D23" s="463" t="s">
        <v>826</v>
      </c>
      <c r="E23" s="464" t="s">
        <v>1258</v>
      </c>
      <c r="F23" s="467">
        <v>40650</v>
      </c>
      <c r="G23" s="467">
        <v>44400</v>
      </c>
    </row>
    <row r="24" spans="1:7" x14ac:dyDescent="0.35">
      <c r="A24" s="688" t="s">
        <v>1263</v>
      </c>
      <c r="B24" s="462">
        <v>186</v>
      </c>
      <c r="C24" s="463">
        <v>44585</v>
      </c>
      <c r="D24" s="469" t="s">
        <v>826</v>
      </c>
      <c r="E24" s="464" t="s">
        <v>1258</v>
      </c>
      <c r="F24" s="467">
        <v>37803</v>
      </c>
      <c r="G24" s="467">
        <v>41553</v>
      </c>
    </row>
    <row r="25" spans="1:7" x14ac:dyDescent="0.35">
      <c r="A25" s="688" t="s">
        <v>1267</v>
      </c>
      <c r="B25" s="462">
        <v>205</v>
      </c>
      <c r="C25" s="463">
        <v>44627</v>
      </c>
      <c r="D25" s="469" t="s">
        <v>826</v>
      </c>
      <c r="E25" s="464" t="s">
        <v>1258</v>
      </c>
      <c r="F25" s="467">
        <v>37275</v>
      </c>
      <c r="G25" s="467">
        <v>41025</v>
      </c>
    </row>
    <row r="26" spans="1:7" x14ac:dyDescent="0.35">
      <c r="A26" s="688" t="s">
        <v>1248</v>
      </c>
      <c r="B26" s="462">
        <v>217</v>
      </c>
      <c r="C26" s="463">
        <v>44655</v>
      </c>
      <c r="D26" s="463" t="s">
        <v>1315</v>
      </c>
      <c r="E26" s="464" t="s">
        <v>1316</v>
      </c>
      <c r="F26" s="467">
        <v>22650</v>
      </c>
      <c r="G26" s="467">
        <v>25910</v>
      </c>
    </row>
    <row r="27" spans="1:7" x14ac:dyDescent="0.35">
      <c r="A27" s="688" t="s">
        <v>1190</v>
      </c>
      <c r="B27" s="462">
        <v>229</v>
      </c>
      <c r="C27" s="463">
        <v>44676</v>
      </c>
      <c r="D27" s="463" t="s">
        <v>700</v>
      </c>
      <c r="E27" s="464" t="s">
        <v>1021</v>
      </c>
      <c r="F27" s="467">
        <v>28367</v>
      </c>
      <c r="G27" s="467">
        <v>30617</v>
      </c>
    </row>
    <row r="28" spans="1:7" x14ac:dyDescent="0.35">
      <c r="A28" s="688" t="s">
        <v>1317</v>
      </c>
      <c r="B28" s="462">
        <v>235</v>
      </c>
      <c r="C28" s="463">
        <v>44683</v>
      </c>
      <c r="D28" s="463" t="s">
        <v>826</v>
      </c>
      <c r="E28" s="464" t="s">
        <v>1231</v>
      </c>
      <c r="F28" s="467">
        <v>48968</v>
      </c>
      <c r="G28" s="467">
        <v>52718</v>
      </c>
    </row>
    <row r="29" spans="1:7" x14ac:dyDescent="0.35">
      <c r="A29" s="688" t="s">
        <v>1202</v>
      </c>
      <c r="B29" s="462">
        <v>237</v>
      </c>
      <c r="C29" s="463">
        <v>44683</v>
      </c>
      <c r="D29" s="463" t="s">
        <v>700</v>
      </c>
      <c r="E29" s="464" t="s">
        <v>305</v>
      </c>
      <c r="F29" s="467">
        <v>26505</v>
      </c>
      <c r="G29" s="467">
        <v>30255</v>
      </c>
    </row>
    <row r="30" spans="1:7" x14ac:dyDescent="0.35">
      <c r="A30" s="688" t="s">
        <v>1203</v>
      </c>
      <c r="B30" s="462">
        <v>240</v>
      </c>
      <c r="C30" s="463">
        <v>44697</v>
      </c>
      <c r="D30" s="463" t="s">
        <v>700</v>
      </c>
      <c r="E30" s="464" t="s">
        <v>1021</v>
      </c>
      <c r="F30" s="467">
        <v>20369</v>
      </c>
      <c r="G30" s="467">
        <v>23317</v>
      </c>
    </row>
    <row r="31" spans="1:7" x14ac:dyDescent="0.35">
      <c r="A31" s="688" t="s">
        <v>1205</v>
      </c>
      <c r="B31" s="462">
        <v>243</v>
      </c>
      <c r="C31" s="463">
        <v>44697</v>
      </c>
      <c r="D31" s="463" t="s">
        <v>700</v>
      </c>
      <c r="E31" s="464" t="s">
        <v>1145</v>
      </c>
      <c r="F31" s="467">
        <v>21543</v>
      </c>
      <c r="G31" s="467">
        <v>24651</v>
      </c>
    </row>
    <row r="32" spans="1:7" x14ac:dyDescent="0.35">
      <c r="A32" s="688" t="s">
        <v>1162</v>
      </c>
      <c r="B32" s="462">
        <v>246</v>
      </c>
      <c r="C32" s="463">
        <v>44697</v>
      </c>
      <c r="D32" s="463" t="s">
        <v>700</v>
      </c>
      <c r="E32" s="464" t="s">
        <v>1145</v>
      </c>
      <c r="F32" s="467">
        <v>21543</v>
      </c>
      <c r="G32" s="467">
        <v>24651</v>
      </c>
    </row>
    <row r="33" spans="1:7" x14ac:dyDescent="0.35">
      <c r="A33" s="688" t="s">
        <v>1276</v>
      </c>
      <c r="B33" s="462">
        <v>249</v>
      </c>
      <c r="C33" s="463">
        <v>44698</v>
      </c>
      <c r="D33" s="690" t="s">
        <v>826</v>
      </c>
      <c r="E33" s="464" t="s">
        <v>1318</v>
      </c>
      <c r="F33" s="467">
        <v>23380</v>
      </c>
      <c r="G33" s="467">
        <v>26738</v>
      </c>
    </row>
    <row r="34" spans="1:7" x14ac:dyDescent="0.35">
      <c r="A34" s="688" t="s">
        <v>1208</v>
      </c>
      <c r="B34" s="462">
        <v>250</v>
      </c>
      <c r="C34" s="463">
        <v>44697</v>
      </c>
      <c r="D34" s="691" t="s">
        <v>700</v>
      </c>
      <c r="E34" s="464" t="s">
        <v>1145</v>
      </c>
      <c r="F34" s="467">
        <v>25369</v>
      </c>
      <c r="G34" s="467">
        <v>25021</v>
      </c>
    </row>
    <row r="35" spans="1:7" x14ac:dyDescent="0.35">
      <c r="A35" s="688" t="s">
        <v>1228</v>
      </c>
      <c r="B35" s="462">
        <v>253</v>
      </c>
      <c r="C35" s="463">
        <v>44699</v>
      </c>
      <c r="D35" s="463" t="s">
        <v>826</v>
      </c>
      <c r="E35" s="464" t="s">
        <v>140</v>
      </c>
      <c r="F35" s="467">
        <v>82680</v>
      </c>
      <c r="G35" s="467">
        <v>86430</v>
      </c>
    </row>
    <row r="36" spans="1:7" x14ac:dyDescent="0.35">
      <c r="A36" s="688" t="s">
        <v>1271</v>
      </c>
      <c r="B36" s="462">
        <v>262</v>
      </c>
      <c r="C36" s="463">
        <v>44739</v>
      </c>
      <c r="D36" s="691" t="s">
        <v>700</v>
      </c>
      <c r="E36" s="464" t="s">
        <v>1319</v>
      </c>
      <c r="F36" s="467">
        <v>49648</v>
      </c>
      <c r="G36" s="467">
        <v>53398</v>
      </c>
    </row>
    <row r="37" spans="1:7" x14ac:dyDescent="0.35">
      <c r="A37" s="688" t="s">
        <v>1166</v>
      </c>
      <c r="B37" s="462">
        <v>263</v>
      </c>
      <c r="C37" s="463">
        <v>44747</v>
      </c>
      <c r="D37" s="691" t="s">
        <v>700</v>
      </c>
      <c r="E37" s="464" t="s">
        <v>1134</v>
      </c>
      <c r="F37" s="467">
        <v>24739</v>
      </c>
      <c r="G37" s="467">
        <v>27147</v>
      </c>
    </row>
    <row r="38" spans="1:7" x14ac:dyDescent="0.35">
      <c r="A38" s="688" t="s">
        <v>1192</v>
      </c>
      <c r="B38" s="462">
        <v>273</v>
      </c>
      <c r="C38" s="463">
        <v>44784</v>
      </c>
      <c r="D38" s="691" t="s">
        <v>826</v>
      </c>
      <c r="E38" s="464" t="s">
        <v>1258</v>
      </c>
      <c r="F38" s="467">
        <v>28035</v>
      </c>
      <c r="G38" s="467">
        <v>31785</v>
      </c>
    </row>
    <row r="39" spans="1:7" x14ac:dyDescent="0.35">
      <c r="A39" s="688" t="s">
        <v>1193</v>
      </c>
      <c r="B39" s="462">
        <v>282</v>
      </c>
      <c r="C39" s="463">
        <v>44805</v>
      </c>
      <c r="D39" s="691" t="s">
        <v>700</v>
      </c>
      <c r="E39" s="464" t="s">
        <v>1021</v>
      </c>
      <c r="F39" s="467">
        <v>25425</v>
      </c>
      <c r="G39" s="467">
        <v>29063</v>
      </c>
    </row>
    <row r="40" spans="1:7" x14ac:dyDescent="0.35">
      <c r="A40" s="688" t="s">
        <v>1209</v>
      </c>
      <c r="B40" s="462">
        <v>289</v>
      </c>
      <c r="C40" s="463">
        <v>44812</v>
      </c>
      <c r="D40" s="691" t="s">
        <v>700</v>
      </c>
      <c r="E40" s="464" t="s">
        <v>1021</v>
      </c>
      <c r="F40" s="467">
        <v>22985</v>
      </c>
      <c r="G40" s="467">
        <v>26291</v>
      </c>
    </row>
    <row r="41" spans="1:7" x14ac:dyDescent="0.35">
      <c r="A41" s="688" t="s">
        <v>1210</v>
      </c>
      <c r="B41" s="462">
        <v>290</v>
      </c>
      <c r="C41" s="463">
        <v>44812</v>
      </c>
      <c r="D41" s="691" t="s">
        <v>700</v>
      </c>
      <c r="E41" s="464" t="s">
        <v>1021</v>
      </c>
      <c r="F41" s="467">
        <v>24525</v>
      </c>
      <c r="G41" s="467">
        <v>25199</v>
      </c>
    </row>
    <row r="42" spans="1:7" x14ac:dyDescent="0.35">
      <c r="A42" s="688" t="s">
        <v>1244</v>
      </c>
      <c r="B42" s="462">
        <v>316</v>
      </c>
      <c r="C42" s="463">
        <v>44873</v>
      </c>
      <c r="D42" s="691" t="s">
        <v>1314</v>
      </c>
      <c r="E42" s="464" t="s">
        <v>1243</v>
      </c>
      <c r="F42" s="467">
        <v>18250</v>
      </c>
      <c r="G42" s="467">
        <v>20910</v>
      </c>
    </row>
    <row r="43" spans="1:7" x14ac:dyDescent="0.35">
      <c r="A43" s="688" t="s">
        <v>1255</v>
      </c>
      <c r="B43" s="462">
        <v>322</v>
      </c>
      <c r="C43" s="463">
        <v>44880</v>
      </c>
      <c r="D43" s="691" t="s">
        <v>826</v>
      </c>
      <c r="E43" s="464" t="s">
        <v>1320</v>
      </c>
      <c r="F43" s="467">
        <v>19250</v>
      </c>
      <c r="G43" s="467">
        <v>22046</v>
      </c>
    </row>
    <row r="44" spans="1:7" x14ac:dyDescent="0.35">
      <c r="A44" s="688" t="s">
        <v>1121</v>
      </c>
      <c r="B44" s="462">
        <v>325</v>
      </c>
      <c r="C44" s="463">
        <v>44907</v>
      </c>
      <c r="D44" s="463" t="s">
        <v>826</v>
      </c>
      <c r="E44" s="464" t="s">
        <v>1122</v>
      </c>
      <c r="F44" s="467">
        <v>73780</v>
      </c>
      <c r="G44" s="467">
        <v>77530</v>
      </c>
    </row>
    <row r="45" spans="1:7" x14ac:dyDescent="0.35">
      <c r="A45" s="688" t="s">
        <v>1140</v>
      </c>
      <c r="B45" s="462">
        <v>337</v>
      </c>
      <c r="C45" s="463">
        <v>44937</v>
      </c>
      <c r="D45" s="691" t="s">
        <v>700</v>
      </c>
      <c r="E45" s="464" t="s">
        <v>1319</v>
      </c>
      <c r="F45" s="467">
        <v>31211.8</v>
      </c>
      <c r="G45" s="467">
        <v>33834</v>
      </c>
    </row>
    <row r="46" spans="1:7" x14ac:dyDescent="0.35">
      <c r="A46" s="688" t="s">
        <v>1216</v>
      </c>
      <c r="B46" s="462">
        <v>349</v>
      </c>
      <c r="C46" s="463">
        <v>44959</v>
      </c>
      <c r="D46" s="691" t="s">
        <v>700</v>
      </c>
      <c r="E46" s="464" t="s">
        <v>1021</v>
      </c>
      <c r="F46" s="467">
        <v>21231</v>
      </c>
      <c r="G46" s="467">
        <v>24297</v>
      </c>
    </row>
    <row r="47" spans="1:7" x14ac:dyDescent="0.35">
      <c r="A47" s="688" t="s">
        <v>1217</v>
      </c>
      <c r="B47" s="462">
        <v>357</v>
      </c>
      <c r="C47" s="463">
        <v>44977</v>
      </c>
      <c r="D47" s="691" t="s">
        <v>700</v>
      </c>
      <c r="E47" s="464" t="s">
        <v>1021</v>
      </c>
      <c r="F47" s="467">
        <v>21665</v>
      </c>
      <c r="G47" s="467">
        <v>21949</v>
      </c>
    </row>
    <row r="48" spans="1:7" x14ac:dyDescent="0.35">
      <c r="A48" s="688" t="s">
        <v>1218</v>
      </c>
      <c r="B48" s="462">
        <v>358</v>
      </c>
      <c r="C48" s="463">
        <v>44977</v>
      </c>
      <c r="D48" s="691" t="s">
        <v>700</v>
      </c>
      <c r="E48" s="464" t="s">
        <v>1021</v>
      </c>
      <c r="F48" s="467">
        <v>23648</v>
      </c>
      <c r="G48" s="467">
        <v>24202</v>
      </c>
    </row>
    <row r="49" spans="1:7" x14ac:dyDescent="0.35">
      <c r="A49" s="688" t="s">
        <v>1219</v>
      </c>
      <c r="B49" s="462">
        <v>359</v>
      </c>
      <c r="C49" s="463">
        <v>44977</v>
      </c>
      <c r="D49" s="691" t="s">
        <v>700</v>
      </c>
      <c r="E49" s="464" t="s">
        <v>1021</v>
      </c>
      <c r="F49" s="467">
        <v>20665</v>
      </c>
      <c r="G49" s="467">
        <v>21949</v>
      </c>
    </row>
    <row r="50" spans="1:7" x14ac:dyDescent="0.35">
      <c r="A50" s="688" t="s">
        <v>1245</v>
      </c>
      <c r="B50" s="462">
        <v>361</v>
      </c>
      <c r="C50" s="463">
        <v>44977</v>
      </c>
      <c r="D50" s="463" t="s">
        <v>826</v>
      </c>
      <c r="E50" s="464" t="s">
        <v>1231</v>
      </c>
      <c r="F50" s="467">
        <v>38375</v>
      </c>
      <c r="G50" s="467">
        <v>42125</v>
      </c>
    </row>
    <row r="51" spans="1:7" x14ac:dyDescent="0.35">
      <c r="A51" s="688" t="s">
        <v>1141</v>
      </c>
      <c r="B51" s="462">
        <v>375</v>
      </c>
      <c r="C51" s="463">
        <v>45006</v>
      </c>
      <c r="D51" s="691" t="s">
        <v>700</v>
      </c>
      <c r="E51" s="464" t="s">
        <v>1134</v>
      </c>
      <c r="F51" s="467">
        <v>52073</v>
      </c>
      <c r="G51" s="467">
        <v>50823</v>
      </c>
    </row>
    <row r="52" spans="1:7" x14ac:dyDescent="0.35">
      <c r="A52" s="688" t="s">
        <v>1142</v>
      </c>
      <c r="B52" s="462">
        <v>381</v>
      </c>
      <c r="C52" s="463">
        <v>45026</v>
      </c>
      <c r="D52" s="691" t="s">
        <v>700</v>
      </c>
      <c r="E52" s="464" t="s">
        <v>1319</v>
      </c>
      <c r="F52" s="467">
        <v>50896</v>
      </c>
      <c r="G52" s="467">
        <v>54646</v>
      </c>
    </row>
    <row r="53" spans="1:7" x14ac:dyDescent="0.35">
      <c r="A53" s="688" t="s">
        <v>1197</v>
      </c>
      <c r="B53" s="462">
        <v>395</v>
      </c>
      <c r="C53" s="463">
        <v>45078</v>
      </c>
      <c r="D53" s="691" t="s">
        <v>700</v>
      </c>
      <c r="E53" s="464" t="s">
        <v>1021</v>
      </c>
      <c r="F53" s="467">
        <v>40212</v>
      </c>
      <c r="G53" s="467">
        <v>41462</v>
      </c>
    </row>
    <row r="54" spans="1:7" x14ac:dyDescent="0.35">
      <c r="A54" s="688" t="s">
        <v>1256</v>
      </c>
      <c r="B54" s="462">
        <v>404</v>
      </c>
      <c r="C54" s="463">
        <v>45089</v>
      </c>
      <c r="D54" s="691" t="s">
        <v>826</v>
      </c>
      <c r="E54" s="464" t="s">
        <v>1249</v>
      </c>
      <c r="F54" s="467">
        <v>21250</v>
      </c>
      <c r="G54" s="467">
        <v>24318</v>
      </c>
    </row>
    <row r="55" spans="1:7" x14ac:dyDescent="0.35">
      <c r="A55" s="688" t="s">
        <v>1143</v>
      </c>
      <c r="B55" s="462">
        <v>407</v>
      </c>
      <c r="C55" s="463">
        <v>45110</v>
      </c>
      <c r="D55" s="691" t="s">
        <v>700</v>
      </c>
      <c r="E55" s="464" t="s">
        <v>1136</v>
      </c>
      <c r="F55" s="467">
        <v>29375</v>
      </c>
      <c r="G55" s="467">
        <v>33125</v>
      </c>
    </row>
    <row r="56" spans="1:7" x14ac:dyDescent="0.35">
      <c r="A56" s="688" t="s">
        <v>1321</v>
      </c>
      <c r="B56" s="462">
        <v>408</v>
      </c>
      <c r="C56" s="463">
        <v>45131</v>
      </c>
      <c r="D56" s="691" t="s">
        <v>700</v>
      </c>
      <c r="E56" s="464" t="s">
        <v>1145</v>
      </c>
      <c r="F56" s="467">
        <v>29770</v>
      </c>
      <c r="G56" s="467">
        <v>33520</v>
      </c>
    </row>
    <row r="57" spans="1:7" x14ac:dyDescent="0.35">
      <c r="A57" s="688" t="s">
        <v>1277</v>
      </c>
      <c r="B57" s="462">
        <v>413</v>
      </c>
      <c r="C57" s="463">
        <v>45140</v>
      </c>
      <c r="D57" s="691" t="s">
        <v>826</v>
      </c>
      <c r="E57" s="464" t="s">
        <v>1318</v>
      </c>
      <c r="F57" s="467">
        <v>21083</v>
      </c>
      <c r="G57" s="467">
        <v>24129</v>
      </c>
    </row>
    <row r="58" spans="1:7" x14ac:dyDescent="0.35">
      <c r="A58" s="688" t="s">
        <v>1184</v>
      </c>
      <c r="B58" s="462">
        <v>416</v>
      </c>
      <c r="C58" s="463">
        <v>45140</v>
      </c>
      <c r="D58" s="691" t="s">
        <v>700</v>
      </c>
      <c r="E58" s="464" t="s">
        <v>1136</v>
      </c>
      <c r="F58" s="467">
        <v>27270</v>
      </c>
      <c r="G58" s="467">
        <v>24910</v>
      </c>
    </row>
    <row r="59" spans="1:7" x14ac:dyDescent="0.35">
      <c r="A59" s="688" t="s">
        <v>1273</v>
      </c>
      <c r="B59" s="462">
        <v>419</v>
      </c>
      <c r="C59" s="463">
        <v>45152</v>
      </c>
      <c r="D59" s="691" t="s">
        <v>826</v>
      </c>
      <c r="E59" s="464" t="s">
        <v>1318</v>
      </c>
      <c r="F59" s="467">
        <v>33583</v>
      </c>
      <c r="G59" s="467">
        <v>37333</v>
      </c>
    </row>
    <row r="60" spans="1:7" x14ac:dyDescent="0.35">
      <c r="A60" s="688" t="s">
        <v>1224</v>
      </c>
      <c r="B60" s="462">
        <v>421</v>
      </c>
      <c r="C60" s="463">
        <v>45154</v>
      </c>
      <c r="D60" s="691" t="s">
        <v>700</v>
      </c>
      <c r="E60" s="464" t="s">
        <v>1025</v>
      </c>
      <c r="F60" s="467">
        <v>27750</v>
      </c>
      <c r="G60" s="467">
        <v>22046</v>
      </c>
    </row>
    <row r="61" spans="1:7" x14ac:dyDescent="0.35">
      <c r="A61" s="688" t="s">
        <v>1144</v>
      </c>
      <c r="B61" s="462">
        <v>422</v>
      </c>
      <c r="C61" s="463">
        <v>45154</v>
      </c>
      <c r="D61" s="691" t="s">
        <v>700</v>
      </c>
      <c r="E61" s="464" t="s">
        <v>1145</v>
      </c>
      <c r="F61" s="467">
        <v>33916</v>
      </c>
      <c r="G61" s="467">
        <v>37666</v>
      </c>
    </row>
    <row r="62" spans="1:7" x14ac:dyDescent="0.35">
      <c r="A62" s="688" t="s">
        <v>1022</v>
      </c>
      <c r="B62" s="462">
        <v>429</v>
      </c>
      <c r="C62" s="463">
        <v>45202</v>
      </c>
      <c r="D62" s="691" t="s">
        <v>824</v>
      </c>
      <c r="E62" s="464" t="s">
        <v>1023</v>
      </c>
      <c r="F62" s="467">
        <v>20817</v>
      </c>
      <c r="G62" s="467">
        <v>23827</v>
      </c>
    </row>
    <row r="63" spans="1:7" x14ac:dyDescent="0.35">
      <c r="A63" s="688" t="s">
        <v>1188</v>
      </c>
      <c r="B63" s="462">
        <v>430</v>
      </c>
      <c r="C63" s="463">
        <v>45202</v>
      </c>
      <c r="D63" s="691" t="s">
        <v>700</v>
      </c>
      <c r="E63" s="464" t="s">
        <v>305</v>
      </c>
      <c r="F63" s="467">
        <v>20437</v>
      </c>
      <c r="G63" s="467">
        <v>21691</v>
      </c>
    </row>
    <row r="64" spans="1:7" x14ac:dyDescent="0.35">
      <c r="A64" s="688" t="s">
        <v>1148</v>
      </c>
      <c r="B64" s="462">
        <v>434</v>
      </c>
      <c r="C64" s="463">
        <v>45222</v>
      </c>
      <c r="D64" s="691" t="s">
        <v>700</v>
      </c>
      <c r="E64" s="464" t="s">
        <v>1134</v>
      </c>
      <c r="F64" s="467">
        <v>49025</v>
      </c>
      <c r="G64" s="467">
        <v>45750</v>
      </c>
    </row>
    <row r="65" spans="1:7" x14ac:dyDescent="0.35">
      <c r="A65" s="688" t="s">
        <v>1322</v>
      </c>
      <c r="B65" s="462">
        <v>448</v>
      </c>
      <c r="C65" s="463">
        <v>45348</v>
      </c>
      <c r="D65" s="691" t="s">
        <v>700</v>
      </c>
      <c r="E65" s="464" t="s">
        <v>1025</v>
      </c>
      <c r="F65" s="467">
        <v>16333</v>
      </c>
      <c r="G65" s="467">
        <v>19625</v>
      </c>
    </row>
    <row r="66" spans="1:7" x14ac:dyDescent="0.35">
      <c r="A66" s="688" t="s">
        <v>1323</v>
      </c>
      <c r="B66" s="462">
        <v>449</v>
      </c>
      <c r="C66" s="463">
        <v>45348</v>
      </c>
      <c r="D66" s="691" t="s">
        <v>700</v>
      </c>
      <c r="E66" s="464" t="s">
        <v>1025</v>
      </c>
      <c r="F66" s="467">
        <v>19666</v>
      </c>
      <c r="G66" s="467">
        <v>20615</v>
      </c>
    </row>
    <row r="67" spans="1:7" x14ac:dyDescent="0.35">
      <c r="A67" s="688" t="s">
        <v>1324</v>
      </c>
      <c r="B67" s="462">
        <v>450</v>
      </c>
      <c r="C67" s="463">
        <v>45349</v>
      </c>
      <c r="D67" s="691" t="s">
        <v>700</v>
      </c>
      <c r="E67" s="464" t="s">
        <v>1025</v>
      </c>
      <c r="F67" s="467">
        <v>19666</v>
      </c>
      <c r="G67" s="467">
        <v>20615</v>
      </c>
    </row>
    <row r="68" spans="1:7" x14ac:dyDescent="0.35">
      <c r="A68" s="688" t="s">
        <v>1325</v>
      </c>
      <c r="B68" s="462">
        <v>451</v>
      </c>
      <c r="C68" s="463">
        <v>45355</v>
      </c>
      <c r="D68" s="691" t="s">
        <v>700</v>
      </c>
      <c r="E68" s="464" t="s">
        <v>1134</v>
      </c>
      <c r="F68" s="467">
        <v>41187</v>
      </c>
      <c r="G68" s="467">
        <v>44937</v>
      </c>
    </row>
    <row r="69" spans="1:7" x14ac:dyDescent="0.35">
      <c r="A69" s="688" t="s">
        <v>1024</v>
      </c>
      <c r="B69" s="462">
        <v>456</v>
      </c>
      <c r="C69" s="463">
        <v>45371</v>
      </c>
      <c r="D69" s="691" t="s">
        <v>824</v>
      </c>
      <c r="E69" s="464" t="s">
        <v>1025</v>
      </c>
      <c r="F69" s="467">
        <v>16500</v>
      </c>
      <c r="G69" s="467">
        <v>19821</v>
      </c>
    </row>
    <row r="70" spans="1:7" x14ac:dyDescent="0.35">
      <c r="A70" s="688" t="s">
        <v>1326</v>
      </c>
      <c r="B70" s="462">
        <v>464</v>
      </c>
      <c r="C70" s="463">
        <v>45376</v>
      </c>
      <c r="D70" s="691" t="s">
        <v>700</v>
      </c>
      <c r="E70" s="464" t="s">
        <v>305</v>
      </c>
      <c r="F70" s="467">
        <v>44312</v>
      </c>
      <c r="G70" s="467">
        <v>48062</v>
      </c>
    </row>
    <row r="71" spans="1:7" x14ac:dyDescent="0.35">
      <c r="A71" s="688" t="s">
        <v>1327</v>
      </c>
      <c r="B71" s="462">
        <v>473</v>
      </c>
      <c r="C71" s="463">
        <v>45399</v>
      </c>
      <c r="D71" s="691" t="s">
        <v>700</v>
      </c>
      <c r="E71" s="464" t="s">
        <v>1021</v>
      </c>
      <c r="F71" s="467">
        <v>29416</v>
      </c>
      <c r="G71" s="467">
        <v>31666</v>
      </c>
    </row>
    <row r="72" spans="1:7" x14ac:dyDescent="0.35">
      <c r="A72" s="688" t="s">
        <v>1328</v>
      </c>
      <c r="B72" s="462">
        <v>476</v>
      </c>
      <c r="C72" s="463">
        <v>45404</v>
      </c>
      <c r="D72" s="691" t="s">
        <v>700</v>
      </c>
      <c r="E72" s="464" t="s">
        <v>1319</v>
      </c>
      <c r="F72" s="467">
        <v>30750</v>
      </c>
      <c r="G72" s="467">
        <v>34500</v>
      </c>
    </row>
    <row r="73" spans="1:7" x14ac:dyDescent="0.35">
      <c r="A73" s="688" t="s">
        <v>1329</v>
      </c>
      <c r="B73" s="462">
        <v>477</v>
      </c>
      <c r="C73" s="463">
        <v>45407</v>
      </c>
      <c r="D73" s="691" t="s">
        <v>700</v>
      </c>
      <c r="E73" s="464" t="s">
        <v>1145</v>
      </c>
      <c r="F73" s="467">
        <v>43083</v>
      </c>
      <c r="G73" s="467">
        <v>44333</v>
      </c>
    </row>
    <row r="74" spans="1:7" x14ac:dyDescent="0.35">
      <c r="A74" s="689" t="s">
        <v>1330</v>
      </c>
      <c r="B74" s="462">
        <v>480</v>
      </c>
      <c r="C74" s="463">
        <v>45404</v>
      </c>
      <c r="D74" s="691" t="s">
        <v>700</v>
      </c>
      <c r="E74" s="464" t="s">
        <v>1136</v>
      </c>
      <c r="F74" s="467">
        <v>55589.9</v>
      </c>
      <c r="G74" s="467">
        <v>42966</v>
      </c>
    </row>
    <row r="75" spans="1:7" x14ac:dyDescent="0.35">
      <c r="A75" s="688" t="s">
        <v>1331</v>
      </c>
      <c r="B75" s="462">
        <v>490</v>
      </c>
      <c r="C75" s="691">
        <v>45418</v>
      </c>
      <c r="D75" s="692" t="s">
        <v>700</v>
      </c>
      <c r="E75" s="464" t="s">
        <v>1136</v>
      </c>
      <c r="F75" s="467">
        <v>16000</v>
      </c>
      <c r="G75" s="467">
        <v>19228</v>
      </c>
    </row>
    <row r="76" spans="1:7" x14ac:dyDescent="0.35">
      <c r="A76" s="688" t="s">
        <v>1332</v>
      </c>
      <c r="B76" s="462">
        <v>491</v>
      </c>
      <c r="C76" s="691">
        <v>45418</v>
      </c>
      <c r="D76" s="692" t="s">
        <v>700</v>
      </c>
      <c r="E76" s="464" t="s">
        <v>1136</v>
      </c>
      <c r="F76" s="467">
        <v>18500</v>
      </c>
      <c r="G76" s="467">
        <v>19228</v>
      </c>
    </row>
    <row r="77" spans="1:7" x14ac:dyDescent="0.35">
      <c r="A77" s="688" t="s">
        <v>1333</v>
      </c>
      <c r="B77" s="462">
        <v>492</v>
      </c>
      <c r="C77" s="691">
        <v>45418</v>
      </c>
      <c r="D77" s="692" t="s">
        <v>700</v>
      </c>
      <c r="E77" s="464" t="s">
        <v>1139</v>
      </c>
      <c r="F77" s="467">
        <v>31437</v>
      </c>
      <c r="G77" s="467">
        <v>29645</v>
      </c>
    </row>
    <row r="78" spans="1:7" x14ac:dyDescent="0.35">
      <c r="A78" s="688" t="s">
        <v>1334</v>
      </c>
      <c r="B78" s="462">
        <v>494</v>
      </c>
      <c r="C78" s="691">
        <v>45420</v>
      </c>
      <c r="D78" s="691" t="s">
        <v>700</v>
      </c>
      <c r="E78" s="464" t="s">
        <v>1025</v>
      </c>
      <c r="F78" s="467">
        <v>14791</v>
      </c>
      <c r="G78" s="467">
        <v>17787</v>
      </c>
    </row>
    <row r="79" spans="1:7" x14ac:dyDescent="0.35">
      <c r="A79" s="688" t="s">
        <v>1335</v>
      </c>
      <c r="B79" s="462">
        <v>495</v>
      </c>
      <c r="C79" s="691">
        <v>45422</v>
      </c>
      <c r="D79" s="691" t="s">
        <v>700</v>
      </c>
      <c r="E79" s="464" t="s">
        <v>1025</v>
      </c>
      <c r="F79" s="467">
        <v>18291</v>
      </c>
      <c r="G79" s="467">
        <v>17787</v>
      </c>
    </row>
    <row r="80" spans="1:7" x14ac:dyDescent="0.35">
      <c r="A80" s="688" t="s">
        <v>1336</v>
      </c>
      <c r="B80" s="462">
        <v>496</v>
      </c>
      <c r="C80" s="691">
        <v>45422</v>
      </c>
      <c r="D80" s="692" t="s">
        <v>700</v>
      </c>
      <c r="E80" s="464" t="s">
        <v>1134</v>
      </c>
      <c r="F80" s="467">
        <v>25645</v>
      </c>
      <c r="G80" s="467">
        <v>29313</v>
      </c>
    </row>
    <row r="81" spans="1:7" x14ac:dyDescent="0.35">
      <c r="A81" s="688" t="s">
        <v>1337</v>
      </c>
      <c r="B81" s="462">
        <v>520</v>
      </c>
      <c r="C81" s="691">
        <v>45443</v>
      </c>
      <c r="D81" s="693" t="s">
        <v>826</v>
      </c>
      <c r="E81" s="81" t="s">
        <v>1254</v>
      </c>
      <c r="F81" s="467">
        <v>17551.733333333334</v>
      </c>
      <c r="G81" s="467">
        <v>19526</v>
      </c>
    </row>
    <row r="82" spans="1:7" x14ac:dyDescent="0.35">
      <c r="A82" s="688" t="s">
        <v>1338</v>
      </c>
      <c r="B82" s="462">
        <v>521</v>
      </c>
      <c r="C82" s="691">
        <v>45443</v>
      </c>
      <c r="D82" s="693" t="s">
        <v>826</v>
      </c>
      <c r="E82" s="81" t="s">
        <v>1254</v>
      </c>
      <c r="F82" s="467">
        <v>19551.733333333334</v>
      </c>
      <c r="G82" s="467">
        <v>19526</v>
      </c>
    </row>
    <row r="83" spans="1:7" x14ac:dyDescent="0.35">
      <c r="A83" s="688" t="s">
        <v>1339</v>
      </c>
      <c r="B83" s="462">
        <v>526</v>
      </c>
      <c r="C83" s="691">
        <v>45446</v>
      </c>
      <c r="D83" s="693" t="s">
        <v>700</v>
      </c>
      <c r="E83" s="81" t="s">
        <v>1139</v>
      </c>
      <c r="F83" s="467">
        <v>32375</v>
      </c>
      <c r="G83" s="467">
        <v>36125</v>
      </c>
    </row>
    <row r="84" spans="1:7" x14ac:dyDescent="0.35">
      <c r="A84" s="688" t="s">
        <v>1340</v>
      </c>
      <c r="B84" s="462">
        <v>529</v>
      </c>
      <c r="C84" s="691">
        <v>45448</v>
      </c>
      <c r="D84" s="693" t="s">
        <v>826</v>
      </c>
      <c r="E84" s="81" t="s">
        <v>1254</v>
      </c>
      <c r="F84" s="467">
        <v>17551.733333333334</v>
      </c>
      <c r="G84" s="467">
        <v>19526</v>
      </c>
    </row>
    <row r="85" spans="1:7" x14ac:dyDescent="0.35">
      <c r="A85" s="688" t="s">
        <v>1341</v>
      </c>
      <c r="B85" s="462">
        <v>537</v>
      </c>
      <c r="C85" s="691">
        <v>45454</v>
      </c>
      <c r="D85" s="693" t="s">
        <v>700</v>
      </c>
      <c r="E85" s="81" t="s">
        <v>1139</v>
      </c>
      <c r="F85" s="467">
        <v>38875</v>
      </c>
      <c r="G85" s="467">
        <v>41125</v>
      </c>
    </row>
    <row r="86" spans="1:7" x14ac:dyDescent="0.35">
      <c r="A86" s="688" t="s">
        <v>1342</v>
      </c>
      <c r="B86" s="462">
        <v>538</v>
      </c>
      <c r="C86" s="691">
        <v>45456</v>
      </c>
      <c r="D86" s="691" t="s">
        <v>700</v>
      </c>
      <c r="E86" s="81" t="s">
        <v>1025</v>
      </c>
      <c r="F86" s="467">
        <v>16101</v>
      </c>
      <c r="G86" s="467">
        <v>19228</v>
      </c>
    </row>
    <row r="87" spans="1:7" x14ac:dyDescent="0.35">
      <c r="A87" s="688" t="s">
        <v>1343</v>
      </c>
      <c r="B87" s="462">
        <v>540</v>
      </c>
      <c r="C87" s="691">
        <v>45460</v>
      </c>
      <c r="D87" s="693" t="s">
        <v>700</v>
      </c>
      <c r="E87" s="81" t="s">
        <v>1134</v>
      </c>
      <c r="F87" s="467">
        <v>40375</v>
      </c>
      <c r="G87" s="467">
        <v>44125</v>
      </c>
    </row>
    <row r="88" spans="1:7" x14ac:dyDescent="0.35">
      <c r="A88" s="688" t="s">
        <v>1344</v>
      </c>
      <c r="B88" s="462">
        <v>542</v>
      </c>
      <c r="C88" s="691">
        <v>45460</v>
      </c>
      <c r="D88" s="693" t="s">
        <v>700</v>
      </c>
      <c r="E88" s="81" t="s">
        <v>1134</v>
      </c>
      <c r="F88" s="467">
        <v>50000</v>
      </c>
      <c r="G88" s="467">
        <v>48250</v>
      </c>
    </row>
    <row r="89" spans="1:7" x14ac:dyDescent="0.35">
      <c r="A89" s="688" t="s">
        <v>1345</v>
      </c>
      <c r="B89" s="462">
        <v>546</v>
      </c>
      <c r="C89" s="691">
        <v>45462</v>
      </c>
      <c r="D89" s="463" t="s">
        <v>826</v>
      </c>
      <c r="E89" s="81" t="s">
        <v>1226</v>
      </c>
      <c r="F89" s="467">
        <v>60850</v>
      </c>
      <c r="G89" s="467">
        <v>64600</v>
      </c>
    </row>
    <row r="90" spans="1:7" x14ac:dyDescent="0.35">
      <c r="A90" s="688" t="s">
        <v>1346</v>
      </c>
      <c r="B90" s="462">
        <v>547</v>
      </c>
      <c r="C90" s="691">
        <v>45462</v>
      </c>
      <c r="D90" s="693" t="s">
        <v>700</v>
      </c>
      <c r="E90" s="81" t="s">
        <v>1134</v>
      </c>
      <c r="F90" s="467">
        <v>22125</v>
      </c>
      <c r="G90" s="467">
        <v>25313</v>
      </c>
    </row>
    <row r="91" spans="1:7" x14ac:dyDescent="0.35">
      <c r="A91" s="694" t="s">
        <v>1347</v>
      </c>
      <c r="B91" s="695">
        <v>557</v>
      </c>
      <c r="C91" s="696">
        <v>45474</v>
      </c>
      <c r="D91" s="697" t="s">
        <v>826</v>
      </c>
      <c r="E91" s="698" t="s">
        <v>1258</v>
      </c>
      <c r="F91" s="699">
        <v>33750</v>
      </c>
      <c r="G91" s="699">
        <v>37500</v>
      </c>
    </row>
    <row r="92" spans="1:7" x14ac:dyDescent="0.35">
      <c r="A92" s="688" t="s">
        <v>1028</v>
      </c>
      <c r="B92" s="462">
        <v>558</v>
      </c>
      <c r="C92" s="691">
        <v>45474</v>
      </c>
      <c r="D92" s="691" t="s">
        <v>824</v>
      </c>
      <c r="E92" s="81" t="s">
        <v>1025</v>
      </c>
      <c r="F92" s="700">
        <v>14250</v>
      </c>
      <c r="G92" s="700">
        <v>17144</v>
      </c>
    </row>
    <row r="93" spans="1:7" x14ac:dyDescent="0.35">
      <c r="A93" s="688" t="s">
        <v>1348</v>
      </c>
      <c r="B93" s="462">
        <v>563</v>
      </c>
      <c r="C93" s="691">
        <v>45474</v>
      </c>
      <c r="D93" s="693" t="s">
        <v>700</v>
      </c>
      <c r="E93" s="81" t="s">
        <v>1349</v>
      </c>
      <c r="F93" s="700">
        <v>30750</v>
      </c>
      <c r="G93" s="700">
        <v>34500</v>
      </c>
    </row>
    <row r="94" spans="1:7" x14ac:dyDescent="0.35">
      <c r="A94" s="688" t="s">
        <v>1350</v>
      </c>
      <c r="B94" s="462">
        <v>564</v>
      </c>
      <c r="C94" s="691">
        <v>45474</v>
      </c>
      <c r="D94" s="693" t="s">
        <v>700</v>
      </c>
      <c r="E94" s="81" t="s">
        <v>1134</v>
      </c>
      <c r="F94" s="700">
        <v>40750</v>
      </c>
      <c r="G94" s="700">
        <v>44500</v>
      </c>
    </row>
    <row r="95" spans="1:7" x14ac:dyDescent="0.35">
      <c r="A95" s="688" t="s">
        <v>1351</v>
      </c>
      <c r="B95" s="462">
        <v>570</v>
      </c>
      <c r="C95" s="691">
        <v>45476</v>
      </c>
      <c r="D95" s="693" t="s">
        <v>700</v>
      </c>
      <c r="E95" s="81" t="s">
        <v>1139</v>
      </c>
      <c r="F95" s="700">
        <v>29750</v>
      </c>
      <c r="G95" s="700">
        <v>33500</v>
      </c>
    </row>
    <row r="96" spans="1:7" x14ac:dyDescent="0.35">
      <c r="A96" s="688" t="s">
        <v>1352</v>
      </c>
      <c r="B96" s="462">
        <v>571</v>
      </c>
      <c r="C96" s="691">
        <v>45478</v>
      </c>
      <c r="D96" s="463" t="s">
        <v>826</v>
      </c>
      <c r="E96" s="81" t="s">
        <v>1226</v>
      </c>
      <c r="F96" s="700">
        <v>80000</v>
      </c>
      <c r="G96" s="700">
        <v>83750</v>
      </c>
    </row>
    <row r="97" spans="1:7" x14ac:dyDescent="0.35">
      <c r="A97" s="688" t="s">
        <v>1353</v>
      </c>
      <c r="B97" s="462">
        <v>579</v>
      </c>
      <c r="C97" s="691">
        <v>45488</v>
      </c>
      <c r="D97" s="693" t="s">
        <v>700</v>
      </c>
      <c r="E97" s="81" t="s">
        <v>1134</v>
      </c>
      <c r="F97" s="700">
        <v>40750</v>
      </c>
      <c r="G97" s="700">
        <v>44500</v>
      </c>
    </row>
    <row r="98" spans="1:7" x14ac:dyDescent="0.35">
      <c r="A98" s="688" t="s">
        <v>1354</v>
      </c>
      <c r="B98" s="462">
        <v>582</v>
      </c>
      <c r="C98" s="691">
        <v>45490</v>
      </c>
      <c r="D98" s="693" t="s">
        <v>700</v>
      </c>
      <c r="E98" s="81" t="s">
        <v>1145</v>
      </c>
      <c r="F98" s="700">
        <v>30750</v>
      </c>
      <c r="G98" s="700">
        <v>34500</v>
      </c>
    </row>
    <row r="99" spans="1:7" x14ac:dyDescent="0.35">
      <c r="A99" s="688" t="s">
        <v>1355</v>
      </c>
      <c r="B99" s="462">
        <v>584</v>
      </c>
      <c r="C99" s="691">
        <v>45495</v>
      </c>
      <c r="D99" s="693" t="s">
        <v>700</v>
      </c>
      <c r="E99" s="81" t="s">
        <v>1145</v>
      </c>
      <c r="F99" s="700">
        <v>36250</v>
      </c>
      <c r="G99" s="700">
        <v>34500</v>
      </c>
    </row>
    <row r="100" spans="1:7" x14ac:dyDescent="0.35">
      <c r="A100" s="688" t="s">
        <v>1356</v>
      </c>
      <c r="B100" s="462">
        <v>588</v>
      </c>
      <c r="C100" s="691">
        <v>45502</v>
      </c>
      <c r="D100" s="701" t="s">
        <v>925</v>
      </c>
      <c r="E100" s="81" t="s">
        <v>1357</v>
      </c>
      <c r="F100" s="700">
        <v>29750</v>
      </c>
      <c r="G100" s="700">
        <v>33500</v>
      </c>
    </row>
    <row r="101" spans="1:7" x14ac:dyDescent="0.35">
      <c r="A101" s="688" t="s">
        <v>1358</v>
      </c>
      <c r="B101" s="462">
        <v>594</v>
      </c>
      <c r="C101" s="691">
        <v>45506</v>
      </c>
      <c r="D101" s="693" t="s">
        <v>700</v>
      </c>
      <c r="E101" s="81" t="s">
        <v>1349</v>
      </c>
      <c r="F101" s="700">
        <v>39250</v>
      </c>
      <c r="G101" s="700">
        <v>37500</v>
      </c>
    </row>
    <row r="102" spans="1:7" x14ac:dyDescent="0.35">
      <c r="A102" s="694" t="s">
        <v>1359</v>
      </c>
      <c r="B102" s="695">
        <v>599</v>
      </c>
      <c r="C102" s="696">
        <v>45511</v>
      </c>
      <c r="D102" s="697" t="s">
        <v>1315</v>
      </c>
      <c r="E102" s="698" t="s">
        <v>1360</v>
      </c>
      <c r="F102" s="699">
        <v>43128</v>
      </c>
      <c r="G102" s="699">
        <v>46878</v>
      </c>
    </row>
    <row r="103" spans="1:7" x14ac:dyDescent="0.35">
      <c r="A103" s="688" t="s">
        <v>1361</v>
      </c>
      <c r="B103" s="462">
        <v>600</v>
      </c>
      <c r="C103" s="691">
        <v>45516</v>
      </c>
      <c r="D103" s="693" t="s">
        <v>700</v>
      </c>
      <c r="E103" s="81" t="s">
        <v>1145</v>
      </c>
      <c r="F103" s="700">
        <v>34250</v>
      </c>
      <c r="G103" s="700">
        <v>34500</v>
      </c>
    </row>
    <row r="104" spans="1:7" x14ac:dyDescent="0.35">
      <c r="A104" s="688" t="s">
        <v>1362</v>
      </c>
      <c r="B104" s="462">
        <v>602</v>
      </c>
      <c r="C104" s="691">
        <v>45516</v>
      </c>
      <c r="D104" s="693" t="s">
        <v>700</v>
      </c>
      <c r="E104" s="81" t="s">
        <v>1145</v>
      </c>
      <c r="F104" s="700">
        <v>31750</v>
      </c>
      <c r="G104" s="700">
        <v>35500</v>
      </c>
    </row>
    <row r="105" spans="1:7" x14ac:dyDescent="0.35">
      <c r="A105" s="688" t="s">
        <v>1363</v>
      </c>
      <c r="B105" s="462">
        <v>605</v>
      </c>
      <c r="C105" s="691">
        <v>45516</v>
      </c>
      <c r="D105" s="693" t="s">
        <v>700</v>
      </c>
      <c r="E105" s="81" t="s">
        <v>1134</v>
      </c>
      <c r="F105" s="700">
        <v>50400</v>
      </c>
      <c r="G105" s="700">
        <v>44500</v>
      </c>
    </row>
    <row r="106" spans="1:7" x14ac:dyDescent="0.35">
      <c r="A106" s="688" t="s">
        <v>1364</v>
      </c>
      <c r="B106" s="462">
        <v>607</v>
      </c>
      <c r="C106" s="691">
        <v>45523</v>
      </c>
      <c r="D106" s="693" t="s">
        <v>700</v>
      </c>
      <c r="E106" s="81" t="s">
        <v>1145</v>
      </c>
      <c r="F106" s="700">
        <v>28750</v>
      </c>
      <c r="G106" s="700">
        <v>32500</v>
      </c>
    </row>
    <row r="107" spans="1:7" x14ac:dyDescent="0.35">
      <c r="A107" s="688" t="s">
        <v>1365</v>
      </c>
      <c r="B107" s="462">
        <v>611</v>
      </c>
      <c r="C107" s="691">
        <v>45526</v>
      </c>
      <c r="D107" s="693" t="s">
        <v>700</v>
      </c>
      <c r="E107" s="81" t="s">
        <v>1136</v>
      </c>
      <c r="F107" s="700">
        <v>31750</v>
      </c>
      <c r="G107" s="700">
        <v>35500</v>
      </c>
    </row>
    <row r="108" spans="1:7" x14ac:dyDescent="0.35">
      <c r="A108" s="688" t="s">
        <v>1366</v>
      </c>
      <c r="B108" s="462">
        <v>612</v>
      </c>
      <c r="C108" s="691">
        <v>45526</v>
      </c>
      <c r="D108" s="693" t="s">
        <v>700</v>
      </c>
      <c r="E108" s="81" t="s">
        <v>1145</v>
      </c>
      <c r="F108" s="700">
        <v>32750</v>
      </c>
      <c r="G108" s="700">
        <v>36500</v>
      </c>
    </row>
    <row r="109" spans="1:7" x14ac:dyDescent="0.35">
      <c r="A109" s="688" t="s">
        <v>1367</v>
      </c>
      <c r="B109" s="462">
        <v>613</v>
      </c>
      <c r="C109" s="691">
        <v>45530</v>
      </c>
      <c r="D109" s="693" t="s">
        <v>700</v>
      </c>
      <c r="E109" s="81" t="s">
        <v>1021</v>
      </c>
      <c r="F109" s="700">
        <v>26750</v>
      </c>
      <c r="G109" s="700">
        <v>30500</v>
      </c>
    </row>
    <row r="110" spans="1:7" x14ac:dyDescent="0.35">
      <c r="A110" s="688" t="s">
        <v>1368</v>
      </c>
      <c r="B110" s="462">
        <v>614</v>
      </c>
      <c r="C110" s="691">
        <v>45530</v>
      </c>
      <c r="D110" s="693" t="s">
        <v>700</v>
      </c>
      <c r="E110" s="81" t="s">
        <v>1349</v>
      </c>
      <c r="F110" s="700">
        <v>41750</v>
      </c>
      <c r="G110" s="700">
        <v>45500</v>
      </c>
    </row>
    <row r="111" spans="1:7" x14ac:dyDescent="0.35">
      <c r="A111" s="688" t="s">
        <v>1369</v>
      </c>
      <c r="B111" s="462">
        <v>615</v>
      </c>
      <c r="C111" s="691">
        <v>45532</v>
      </c>
      <c r="D111" s="693" t="s">
        <v>700</v>
      </c>
      <c r="E111" s="81" t="s">
        <v>1136</v>
      </c>
      <c r="F111" s="700">
        <v>27250</v>
      </c>
      <c r="G111" s="700">
        <v>24886</v>
      </c>
    </row>
    <row r="112" spans="1:7" x14ac:dyDescent="0.35">
      <c r="A112" s="688" t="s">
        <v>1370</v>
      </c>
      <c r="B112" s="462">
        <v>616</v>
      </c>
      <c r="C112" s="691">
        <v>45533</v>
      </c>
      <c r="D112" s="693" t="s">
        <v>700</v>
      </c>
      <c r="E112" s="81" t="s">
        <v>1134</v>
      </c>
      <c r="F112" s="700">
        <v>45733.333333333336</v>
      </c>
      <c r="G112" s="700">
        <v>44500</v>
      </c>
    </row>
    <row r="113" spans="1:7" x14ac:dyDescent="0.35">
      <c r="A113" s="689" t="s">
        <v>1371</v>
      </c>
      <c r="B113" s="462">
        <v>617</v>
      </c>
      <c r="C113" s="691">
        <v>45537</v>
      </c>
      <c r="D113" s="693" t="s">
        <v>700</v>
      </c>
      <c r="E113" s="81" t="s">
        <v>1145</v>
      </c>
      <c r="F113" s="700">
        <v>44573.333333333328</v>
      </c>
      <c r="G113" s="700">
        <v>35500</v>
      </c>
    </row>
    <row r="114" spans="1:7" x14ac:dyDescent="0.35">
      <c r="A114" s="688" t="s">
        <v>1372</v>
      </c>
      <c r="B114" s="462">
        <v>618</v>
      </c>
      <c r="C114" s="691">
        <v>45537</v>
      </c>
      <c r="D114" s="693" t="s">
        <v>826</v>
      </c>
      <c r="E114" s="81" t="s">
        <v>1249</v>
      </c>
      <c r="F114" s="700">
        <v>14250</v>
      </c>
      <c r="G114" s="700">
        <v>17144</v>
      </c>
    </row>
    <row r="115" spans="1:7" x14ac:dyDescent="0.35">
      <c r="A115" s="688" t="s">
        <v>1373</v>
      </c>
      <c r="B115" s="462">
        <v>627</v>
      </c>
      <c r="C115" s="691">
        <v>45546</v>
      </c>
      <c r="D115" s="693" t="s">
        <v>700</v>
      </c>
      <c r="E115" s="81" t="s">
        <v>1145</v>
      </c>
      <c r="F115" s="700">
        <v>31750</v>
      </c>
      <c r="G115" s="700">
        <v>35500</v>
      </c>
    </row>
    <row r="116" spans="1:7" x14ac:dyDescent="0.35">
      <c r="A116" s="688" t="s">
        <v>1374</v>
      </c>
      <c r="B116" s="462">
        <v>628</v>
      </c>
      <c r="C116" s="691">
        <v>45551</v>
      </c>
      <c r="D116" s="693" t="s">
        <v>700</v>
      </c>
      <c r="E116" s="81" t="s">
        <v>1136</v>
      </c>
      <c r="F116" s="700">
        <v>29250</v>
      </c>
      <c r="G116" s="700">
        <v>33000</v>
      </c>
    </row>
    <row r="117" spans="1:7" x14ac:dyDescent="0.35">
      <c r="A117" s="688" t="s">
        <v>1375</v>
      </c>
      <c r="B117" s="462">
        <v>632</v>
      </c>
      <c r="C117" s="691">
        <v>45558</v>
      </c>
      <c r="D117" s="693" t="s">
        <v>826</v>
      </c>
      <c r="E117" s="81" t="s">
        <v>1239</v>
      </c>
      <c r="F117" s="700">
        <v>131483</v>
      </c>
      <c r="G117" s="700">
        <v>135233</v>
      </c>
    </row>
    <row r="118" spans="1:7" x14ac:dyDescent="0.35">
      <c r="A118" s="688" t="s">
        <v>1376</v>
      </c>
      <c r="B118" s="462">
        <v>633</v>
      </c>
      <c r="C118" s="691">
        <v>45560</v>
      </c>
      <c r="D118" s="693" t="s">
        <v>700</v>
      </c>
      <c r="E118" s="81" t="s">
        <v>1349</v>
      </c>
      <c r="F118" s="700">
        <v>43808.333333333336</v>
      </c>
      <c r="G118" s="700">
        <v>39500</v>
      </c>
    </row>
    <row r="119" spans="1:7" x14ac:dyDescent="0.35">
      <c r="A119" s="688" t="s">
        <v>1377</v>
      </c>
      <c r="B119" s="462">
        <v>635</v>
      </c>
      <c r="C119" s="691">
        <v>45565</v>
      </c>
      <c r="D119" s="693" t="s">
        <v>700</v>
      </c>
      <c r="E119" s="81" t="s">
        <v>1145</v>
      </c>
      <c r="F119" s="700">
        <v>35750</v>
      </c>
      <c r="G119" s="700">
        <v>39500</v>
      </c>
    </row>
    <row r="120" spans="1:7" x14ac:dyDescent="0.35">
      <c r="A120" s="688" t="s">
        <v>1378</v>
      </c>
      <c r="B120" s="462">
        <v>637</v>
      </c>
      <c r="C120" s="691">
        <v>45566</v>
      </c>
      <c r="D120" s="693" t="s">
        <v>700</v>
      </c>
      <c r="E120" s="81" t="s">
        <v>1145</v>
      </c>
      <c r="F120" s="700">
        <v>41750</v>
      </c>
      <c r="G120" s="700">
        <v>45500</v>
      </c>
    </row>
    <row r="121" spans="1:7" x14ac:dyDescent="0.35">
      <c r="A121" s="688" t="s">
        <v>1379</v>
      </c>
      <c r="B121" s="462">
        <v>640</v>
      </c>
      <c r="C121" s="691">
        <v>45579</v>
      </c>
      <c r="D121" s="691" t="s">
        <v>700</v>
      </c>
      <c r="E121" s="81" t="s">
        <v>1025</v>
      </c>
      <c r="F121" s="700">
        <v>17750</v>
      </c>
      <c r="G121" s="700">
        <v>17144</v>
      </c>
    </row>
    <row r="122" spans="1:7" x14ac:dyDescent="0.35">
      <c r="A122" s="688" t="s">
        <v>1030</v>
      </c>
      <c r="B122" s="462">
        <v>641</v>
      </c>
      <c r="C122" s="691">
        <v>45579</v>
      </c>
      <c r="D122" s="691" t="s">
        <v>824</v>
      </c>
      <c r="E122" s="81" t="s">
        <v>1025</v>
      </c>
      <c r="F122" s="700">
        <v>12750</v>
      </c>
      <c r="G122" s="700">
        <v>15359</v>
      </c>
    </row>
    <row r="123" spans="1:7" x14ac:dyDescent="0.35">
      <c r="A123" s="688" t="s">
        <v>1380</v>
      </c>
      <c r="B123" s="462">
        <v>642</v>
      </c>
      <c r="C123" s="691">
        <v>45579</v>
      </c>
      <c r="D123" s="693" t="s">
        <v>700</v>
      </c>
      <c r="E123" s="464" t="s">
        <v>1136</v>
      </c>
      <c r="F123" s="700">
        <v>14340</v>
      </c>
      <c r="G123" s="700">
        <v>17144</v>
      </c>
    </row>
    <row r="124" spans="1:7" x14ac:dyDescent="0.35">
      <c r="A124" s="689" t="s">
        <v>1381</v>
      </c>
      <c r="B124" s="462">
        <v>644</v>
      </c>
      <c r="C124" s="691">
        <v>45579</v>
      </c>
      <c r="D124" s="693" t="s">
        <v>700</v>
      </c>
      <c r="E124" s="464" t="s">
        <v>1136</v>
      </c>
      <c r="F124" s="700">
        <v>15792</v>
      </c>
      <c r="G124" s="700">
        <v>16364</v>
      </c>
    </row>
    <row r="125" spans="1:7" x14ac:dyDescent="0.35">
      <c r="A125" s="689" t="s">
        <v>1382</v>
      </c>
      <c r="B125" s="462">
        <v>654</v>
      </c>
      <c r="C125" s="691">
        <v>45579</v>
      </c>
      <c r="D125" s="693" t="s">
        <v>700</v>
      </c>
      <c r="E125" s="464" t="s">
        <v>1136</v>
      </c>
      <c r="F125" s="700">
        <v>15792</v>
      </c>
      <c r="G125" s="700">
        <v>16364</v>
      </c>
    </row>
    <row r="126" spans="1:7" x14ac:dyDescent="0.35">
      <c r="A126" s="689" t="s">
        <v>1383</v>
      </c>
      <c r="B126" s="462">
        <v>655</v>
      </c>
      <c r="C126" s="691">
        <v>45579</v>
      </c>
      <c r="D126" s="693" t="s">
        <v>700</v>
      </c>
      <c r="E126" s="464" t="s">
        <v>1136</v>
      </c>
      <c r="F126" s="700">
        <v>15792</v>
      </c>
      <c r="G126" s="700">
        <v>16364</v>
      </c>
    </row>
    <row r="127" spans="1:7" x14ac:dyDescent="0.35">
      <c r="A127" s="688" t="s">
        <v>1384</v>
      </c>
      <c r="B127" s="462">
        <v>656</v>
      </c>
      <c r="C127" s="691">
        <v>45582</v>
      </c>
      <c r="D127" s="693" t="s">
        <v>700</v>
      </c>
      <c r="E127" s="81" t="s">
        <v>1349</v>
      </c>
      <c r="F127" s="700">
        <v>41350</v>
      </c>
      <c r="G127" s="700">
        <v>44700</v>
      </c>
    </row>
    <row r="128" spans="1:7" x14ac:dyDescent="0.35">
      <c r="A128" s="688" t="s">
        <v>1385</v>
      </c>
      <c r="B128" s="462">
        <v>658</v>
      </c>
      <c r="C128" s="691">
        <v>45582</v>
      </c>
      <c r="D128" s="693" t="s">
        <v>700</v>
      </c>
      <c r="E128" s="81" t="s">
        <v>1349</v>
      </c>
      <c r="F128" s="700">
        <v>42708.333333333336</v>
      </c>
      <c r="G128" s="700">
        <v>39500</v>
      </c>
    </row>
    <row r="129" spans="1:7" x14ac:dyDescent="0.35">
      <c r="A129" s="688" t="s">
        <v>1386</v>
      </c>
      <c r="B129" s="462">
        <v>663</v>
      </c>
      <c r="C129" s="691">
        <v>45621</v>
      </c>
      <c r="D129" s="693" t="s">
        <v>700</v>
      </c>
      <c r="E129" s="81" t="s">
        <v>305</v>
      </c>
      <c r="F129" s="700">
        <v>32250</v>
      </c>
      <c r="G129" s="700">
        <v>34500</v>
      </c>
    </row>
    <row r="130" spans="1:7" x14ac:dyDescent="0.35">
      <c r="A130" s="688" t="s">
        <v>1387</v>
      </c>
      <c r="B130" s="462">
        <v>669</v>
      </c>
      <c r="C130" s="691" t="s">
        <v>1388</v>
      </c>
      <c r="D130" s="693" t="s">
        <v>700</v>
      </c>
      <c r="E130" s="81" t="s">
        <v>1389</v>
      </c>
      <c r="F130" s="700">
        <v>51533.333333333336</v>
      </c>
      <c r="G130" s="700">
        <v>53500</v>
      </c>
    </row>
    <row r="131" spans="1:7" x14ac:dyDescent="0.35">
      <c r="A131" s="688" t="s">
        <v>1390</v>
      </c>
      <c r="B131" s="462">
        <v>671</v>
      </c>
      <c r="C131" s="691" t="s">
        <v>1391</v>
      </c>
      <c r="D131" s="693" t="s">
        <v>700</v>
      </c>
      <c r="E131" s="81" t="s">
        <v>1349</v>
      </c>
      <c r="F131" s="700">
        <v>47400</v>
      </c>
      <c r="G131" s="700">
        <v>49500</v>
      </c>
    </row>
    <row r="132" spans="1:7" x14ac:dyDescent="0.35">
      <c r="A132" s="688" t="s">
        <v>1392</v>
      </c>
      <c r="B132" s="462">
        <v>675</v>
      </c>
      <c r="C132" s="691" t="s">
        <v>1393</v>
      </c>
      <c r="D132" s="693" t="s">
        <v>826</v>
      </c>
      <c r="E132" s="81" t="s">
        <v>1258</v>
      </c>
      <c r="F132" s="700">
        <v>71750</v>
      </c>
      <c r="G132" s="700">
        <v>75500</v>
      </c>
    </row>
    <row r="133" spans="1:7" x14ac:dyDescent="0.35">
      <c r="A133" s="688" t="s">
        <v>1394</v>
      </c>
      <c r="B133" s="462">
        <v>682</v>
      </c>
      <c r="C133" s="691" t="s">
        <v>1395</v>
      </c>
      <c r="D133" s="701" t="s">
        <v>826</v>
      </c>
      <c r="E133" s="81" t="s">
        <v>1019</v>
      </c>
      <c r="F133" s="700">
        <v>68500</v>
      </c>
      <c r="G133" s="700">
        <v>72250</v>
      </c>
    </row>
    <row r="134" spans="1:7" x14ac:dyDescent="0.35">
      <c r="A134" s="688" t="s">
        <v>1396</v>
      </c>
      <c r="B134" s="462">
        <v>684</v>
      </c>
      <c r="C134" s="691" t="s">
        <v>1397</v>
      </c>
      <c r="D134" s="693" t="s">
        <v>700</v>
      </c>
      <c r="E134" s="81" t="s">
        <v>305</v>
      </c>
      <c r="F134" s="700">
        <v>51750</v>
      </c>
      <c r="G134" s="700">
        <v>53000</v>
      </c>
    </row>
    <row r="135" spans="1:7" x14ac:dyDescent="0.35">
      <c r="A135" s="688" t="s">
        <v>1398</v>
      </c>
      <c r="B135" s="462">
        <v>685</v>
      </c>
      <c r="C135" s="691" t="s">
        <v>1397</v>
      </c>
      <c r="D135" s="693" t="s">
        <v>700</v>
      </c>
      <c r="E135" s="81" t="s">
        <v>305</v>
      </c>
      <c r="F135" s="700">
        <v>42750</v>
      </c>
      <c r="G135" s="700">
        <v>46500</v>
      </c>
    </row>
    <row r="136" spans="1:7" x14ac:dyDescent="0.35">
      <c r="A136" s="688" t="s">
        <v>1399</v>
      </c>
      <c r="B136" s="462">
        <v>686</v>
      </c>
      <c r="C136" s="691" t="s">
        <v>1397</v>
      </c>
      <c r="D136" s="693" t="s">
        <v>700</v>
      </c>
      <c r="E136" s="81" t="s">
        <v>305</v>
      </c>
      <c r="F136" s="700">
        <v>45750</v>
      </c>
      <c r="G136" s="700">
        <v>44000</v>
      </c>
    </row>
    <row r="137" spans="1:7" x14ac:dyDescent="0.35">
      <c r="A137" s="688" t="s">
        <v>1400</v>
      </c>
      <c r="B137" s="462">
        <v>688</v>
      </c>
      <c r="C137" s="691" t="s">
        <v>1401</v>
      </c>
      <c r="D137" s="693" t="s">
        <v>700</v>
      </c>
      <c r="E137" s="81" t="s">
        <v>305</v>
      </c>
      <c r="F137" s="700">
        <v>31750</v>
      </c>
      <c r="G137" s="700">
        <v>35500</v>
      </c>
    </row>
    <row r="138" spans="1:7" x14ac:dyDescent="0.35">
      <c r="A138" s="688" t="s">
        <v>1402</v>
      </c>
      <c r="B138" s="462">
        <v>689</v>
      </c>
      <c r="C138" s="691" t="s">
        <v>1401</v>
      </c>
      <c r="D138" s="693" t="s">
        <v>700</v>
      </c>
      <c r="E138" s="81" t="s">
        <v>1349</v>
      </c>
      <c r="F138" s="700">
        <v>48125</v>
      </c>
      <c r="G138" s="700">
        <v>47500</v>
      </c>
    </row>
    <row r="139" spans="1:7" x14ac:dyDescent="0.35">
      <c r="A139" s="688" t="s">
        <v>1403</v>
      </c>
      <c r="B139" s="462">
        <v>692</v>
      </c>
      <c r="C139" s="691" t="s">
        <v>1404</v>
      </c>
      <c r="D139" s="693" t="s">
        <v>700</v>
      </c>
      <c r="E139" s="81" t="s">
        <v>1349</v>
      </c>
      <c r="F139" s="700">
        <v>50333.333333333336</v>
      </c>
      <c r="G139" s="700">
        <v>47500</v>
      </c>
    </row>
    <row r="140" spans="1:7" x14ac:dyDescent="0.35">
      <c r="A140" s="688" t="s">
        <v>1405</v>
      </c>
      <c r="B140" s="462">
        <v>693</v>
      </c>
      <c r="C140" s="691" t="s">
        <v>1406</v>
      </c>
      <c r="D140" s="693" t="s">
        <v>700</v>
      </c>
      <c r="E140" s="81" t="s">
        <v>1349</v>
      </c>
      <c r="F140" s="700">
        <v>35550</v>
      </c>
      <c r="G140" s="700">
        <v>39300</v>
      </c>
    </row>
    <row r="141" spans="1:7" x14ac:dyDescent="0.35">
      <c r="A141" s="688" t="s">
        <v>1407</v>
      </c>
      <c r="B141" s="462">
        <v>694</v>
      </c>
      <c r="C141" s="691" t="s">
        <v>1408</v>
      </c>
      <c r="D141" s="693" t="s">
        <v>700</v>
      </c>
      <c r="E141" s="81" t="s">
        <v>1021</v>
      </c>
      <c r="F141" s="700">
        <v>26250</v>
      </c>
      <c r="G141" s="700">
        <v>28296</v>
      </c>
    </row>
    <row r="142" spans="1:7" x14ac:dyDescent="0.35">
      <c r="A142" s="688" t="s">
        <v>1409</v>
      </c>
      <c r="B142" s="462">
        <v>695</v>
      </c>
      <c r="C142" s="691" t="s">
        <v>1408</v>
      </c>
      <c r="D142" s="693" t="s">
        <v>700</v>
      </c>
      <c r="E142" s="81" t="s">
        <v>1021</v>
      </c>
      <c r="F142" s="700">
        <v>31750</v>
      </c>
      <c r="G142" s="700">
        <v>35500</v>
      </c>
    </row>
    <row r="143" spans="1:7" x14ac:dyDescent="0.35">
      <c r="A143" s="688" t="s">
        <v>1410</v>
      </c>
      <c r="B143" s="462">
        <v>696</v>
      </c>
      <c r="C143" s="691" t="s">
        <v>1411</v>
      </c>
      <c r="D143" s="693" t="s">
        <v>700</v>
      </c>
      <c r="E143" s="81" t="s">
        <v>1021</v>
      </c>
      <c r="F143" s="700">
        <v>26250</v>
      </c>
      <c r="G143" s="700">
        <v>26022</v>
      </c>
    </row>
    <row r="144" spans="1:7" x14ac:dyDescent="0.35">
      <c r="A144" s="688" t="s">
        <v>1412</v>
      </c>
      <c r="B144" s="462">
        <v>700</v>
      </c>
      <c r="C144" s="691" t="s">
        <v>1413</v>
      </c>
      <c r="D144" s="693" t="s">
        <v>700</v>
      </c>
      <c r="E144" s="81" t="s">
        <v>1021</v>
      </c>
      <c r="F144" s="700">
        <v>22250</v>
      </c>
      <c r="G144" s="700">
        <v>25454</v>
      </c>
    </row>
    <row r="145" spans="1:7" x14ac:dyDescent="0.35">
      <c r="A145" s="688" t="s">
        <v>1414</v>
      </c>
      <c r="B145" s="462">
        <v>701</v>
      </c>
      <c r="C145" s="691" t="s">
        <v>1413</v>
      </c>
      <c r="D145" s="691" t="s">
        <v>700</v>
      </c>
      <c r="E145" s="81" t="s">
        <v>1025</v>
      </c>
      <c r="F145" s="700">
        <v>28750</v>
      </c>
      <c r="G145" s="700">
        <v>32500</v>
      </c>
    </row>
    <row r="146" spans="1:7" x14ac:dyDescent="0.35">
      <c r="A146" s="688" t="s">
        <v>1415</v>
      </c>
      <c r="B146" s="462">
        <v>704</v>
      </c>
      <c r="C146" s="691" t="s">
        <v>1413</v>
      </c>
      <c r="D146" s="693" t="s">
        <v>700</v>
      </c>
      <c r="E146" s="81" t="s">
        <v>1139</v>
      </c>
      <c r="F146" s="700">
        <v>19250</v>
      </c>
      <c r="G146" s="700">
        <v>18929</v>
      </c>
    </row>
    <row r="147" spans="1:7" x14ac:dyDescent="0.35">
      <c r="A147" s="688" t="s">
        <v>1416</v>
      </c>
      <c r="B147" s="462">
        <v>706</v>
      </c>
      <c r="C147" s="691" t="s">
        <v>1417</v>
      </c>
      <c r="D147" s="691" t="s">
        <v>700</v>
      </c>
      <c r="E147" s="81" t="s">
        <v>1025</v>
      </c>
      <c r="F147" s="700">
        <v>23750</v>
      </c>
      <c r="G147" s="700">
        <v>27160</v>
      </c>
    </row>
    <row r="148" spans="1:7" x14ac:dyDescent="0.35">
      <c r="A148" s="688" t="s">
        <v>1418</v>
      </c>
      <c r="B148" s="462">
        <v>708</v>
      </c>
      <c r="C148" s="691" t="s">
        <v>1419</v>
      </c>
      <c r="D148" s="693" t="s">
        <v>700</v>
      </c>
      <c r="E148" s="81" t="s">
        <v>1021</v>
      </c>
      <c r="F148" s="700">
        <v>28750</v>
      </c>
      <c r="G148" s="700">
        <v>32500</v>
      </c>
    </row>
    <row r="149" spans="1:7" x14ac:dyDescent="0.35">
      <c r="A149" s="688" t="s">
        <v>1420</v>
      </c>
      <c r="B149" s="462">
        <v>712</v>
      </c>
      <c r="C149" s="691" t="s">
        <v>1421</v>
      </c>
      <c r="D149" s="691" t="s">
        <v>824</v>
      </c>
      <c r="E149" s="81" t="s">
        <v>1025</v>
      </c>
      <c r="F149" s="700">
        <v>12750</v>
      </c>
      <c r="G149" s="700">
        <v>15359</v>
      </c>
    </row>
    <row r="150" spans="1:7" x14ac:dyDescent="0.35">
      <c r="A150" s="688" t="s">
        <v>1422</v>
      </c>
      <c r="B150" s="462">
        <v>714</v>
      </c>
      <c r="C150" s="691" t="s">
        <v>1423</v>
      </c>
      <c r="D150" s="693" t="s">
        <v>700</v>
      </c>
      <c r="E150" s="81" t="s">
        <v>1136</v>
      </c>
      <c r="F150" s="700">
        <v>35250</v>
      </c>
      <c r="G150" s="700">
        <v>36500</v>
      </c>
    </row>
    <row r="151" spans="1:7" x14ac:dyDescent="0.35">
      <c r="A151" s="688" t="s">
        <v>1424</v>
      </c>
      <c r="B151" s="462">
        <v>716</v>
      </c>
      <c r="C151" s="691" t="s">
        <v>1425</v>
      </c>
      <c r="D151" s="701" t="s">
        <v>826</v>
      </c>
      <c r="E151" s="81" t="s">
        <v>1019</v>
      </c>
      <c r="F151" s="700">
        <v>61650</v>
      </c>
      <c r="G151" s="700">
        <v>65400</v>
      </c>
    </row>
    <row r="152" spans="1:7" x14ac:dyDescent="0.35">
      <c r="A152" s="688" t="s">
        <v>1426</v>
      </c>
      <c r="B152" s="462">
        <v>722</v>
      </c>
      <c r="C152" s="691" t="s">
        <v>1427</v>
      </c>
      <c r="D152" s="691" t="s">
        <v>700</v>
      </c>
      <c r="E152" s="81" t="s">
        <v>1025</v>
      </c>
      <c r="F152" s="700">
        <v>16250</v>
      </c>
      <c r="G152" s="700">
        <v>15359</v>
      </c>
    </row>
    <row r="153" spans="1:7" x14ac:dyDescent="0.35">
      <c r="A153" s="688" t="s">
        <v>1428</v>
      </c>
      <c r="B153" s="462">
        <v>724</v>
      </c>
      <c r="C153" s="691" t="s">
        <v>1427</v>
      </c>
      <c r="D153" s="691" t="s">
        <v>700</v>
      </c>
      <c r="E153" s="81" t="s">
        <v>1025</v>
      </c>
      <c r="F153" s="700">
        <v>18250</v>
      </c>
      <c r="G153" s="700">
        <v>15359</v>
      </c>
    </row>
    <row r="154" spans="1:7" x14ac:dyDescent="0.35">
      <c r="A154" s="688" t="s">
        <v>1429</v>
      </c>
      <c r="B154" s="462">
        <v>725</v>
      </c>
      <c r="C154" s="691" t="s">
        <v>1427</v>
      </c>
      <c r="D154" s="691" t="s">
        <v>700</v>
      </c>
      <c r="E154" s="81" t="s">
        <v>1025</v>
      </c>
      <c r="F154" s="700">
        <v>16250</v>
      </c>
      <c r="G154" s="700">
        <v>15359</v>
      </c>
    </row>
    <row r="155" spans="1:7" x14ac:dyDescent="0.35">
      <c r="A155" s="688" t="s">
        <v>1430</v>
      </c>
      <c r="B155" s="462">
        <v>726</v>
      </c>
      <c r="C155" s="691" t="s">
        <v>1427</v>
      </c>
      <c r="D155" s="691" t="s">
        <v>700</v>
      </c>
      <c r="E155" s="81" t="s">
        <v>1025</v>
      </c>
      <c r="F155" s="700">
        <v>16250</v>
      </c>
      <c r="G155" s="700">
        <v>15359</v>
      </c>
    </row>
    <row r="156" spans="1:7" x14ac:dyDescent="0.35">
      <c r="A156" s="688" t="s">
        <v>1431</v>
      </c>
      <c r="B156" s="462">
        <v>727</v>
      </c>
      <c r="C156" s="691" t="s">
        <v>1427</v>
      </c>
      <c r="D156" s="691" t="s">
        <v>700</v>
      </c>
      <c r="E156" s="81" t="s">
        <v>1025</v>
      </c>
      <c r="F156" s="700">
        <v>18250</v>
      </c>
      <c r="G156" s="700">
        <v>15359</v>
      </c>
    </row>
    <row r="157" spans="1:7" x14ac:dyDescent="0.35">
      <c r="A157" s="688" t="s">
        <v>1432</v>
      </c>
      <c r="B157" s="462">
        <v>728</v>
      </c>
      <c r="C157" s="691" t="s">
        <v>1427</v>
      </c>
      <c r="D157" s="691" t="s">
        <v>700</v>
      </c>
      <c r="E157" s="81" t="s">
        <v>1025</v>
      </c>
      <c r="F157" s="700">
        <v>16250</v>
      </c>
      <c r="G157" s="700">
        <v>15359</v>
      </c>
    </row>
    <row r="158" spans="1:7" x14ac:dyDescent="0.35">
      <c r="A158" s="688" t="s">
        <v>1433</v>
      </c>
      <c r="B158" s="462">
        <v>729</v>
      </c>
      <c r="C158" s="691" t="s">
        <v>1427</v>
      </c>
      <c r="D158" s="691" t="s">
        <v>700</v>
      </c>
      <c r="E158" s="81" t="s">
        <v>1025</v>
      </c>
      <c r="F158" s="700">
        <v>14250</v>
      </c>
      <c r="G158" s="700">
        <v>15359</v>
      </c>
    </row>
    <row r="159" spans="1:7" x14ac:dyDescent="0.35">
      <c r="A159" s="688" t="s">
        <v>1434</v>
      </c>
      <c r="B159" s="462">
        <v>731</v>
      </c>
      <c r="C159" s="691" t="s">
        <v>1435</v>
      </c>
      <c r="D159" s="693" t="s">
        <v>700</v>
      </c>
      <c r="E159" s="81" t="s">
        <v>1136</v>
      </c>
      <c r="F159" s="700">
        <v>40250</v>
      </c>
      <c r="G159" s="700">
        <v>44000</v>
      </c>
    </row>
    <row r="160" spans="1:7" x14ac:dyDescent="0.35">
      <c r="A160" s="688" t="s">
        <v>1436</v>
      </c>
      <c r="B160" s="462">
        <v>732</v>
      </c>
      <c r="C160" s="691" t="s">
        <v>1437</v>
      </c>
      <c r="D160" s="691" t="s">
        <v>700</v>
      </c>
      <c r="E160" s="81" t="s">
        <v>1025</v>
      </c>
      <c r="F160" s="700">
        <v>16250</v>
      </c>
      <c r="G160" s="700">
        <v>15359</v>
      </c>
    </row>
    <row r="161" spans="1:7" x14ac:dyDescent="0.35">
      <c r="A161" s="688" t="s">
        <v>1438</v>
      </c>
      <c r="B161" s="462">
        <v>733</v>
      </c>
      <c r="C161" s="691" t="s">
        <v>1437</v>
      </c>
      <c r="D161" s="693" t="s">
        <v>700</v>
      </c>
      <c r="E161" s="81" t="s">
        <v>1145</v>
      </c>
      <c r="F161" s="700">
        <v>35750</v>
      </c>
      <c r="G161" s="700">
        <v>39500</v>
      </c>
    </row>
    <row r="162" spans="1:7" x14ac:dyDescent="0.35">
      <c r="A162" s="688" t="s">
        <v>1439</v>
      </c>
      <c r="B162" s="462">
        <v>736</v>
      </c>
      <c r="C162" s="691" t="s">
        <v>1440</v>
      </c>
      <c r="D162" s="693" t="s">
        <v>700</v>
      </c>
      <c r="E162" s="81" t="s">
        <v>1136</v>
      </c>
      <c r="F162" s="700">
        <v>33750</v>
      </c>
      <c r="G162" s="700">
        <v>37500</v>
      </c>
    </row>
    <row r="163" spans="1:7" x14ac:dyDescent="0.35">
      <c r="A163" s="688" t="s">
        <v>1441</v>
      </c>
      <c r="B163" s="462">
        <v>738</v>
      </c>
      <c r="C163" s="691" t="s">
        <v>1440</v>
      </c>
      <c r="D163" s="693" t="s">
        <v>700</v>
      </c>
      <c r="E163" s="81" t="s">
        <v>1349</v>
      </c>
      <c r="F163" s="700">
        <v>55425</v>
      </c>
      <c r="G163" s="700">
        <v>52500</v>
      </c>
    </row>
    <row r="164" spans="1:7" x14ac:dyDescent="0.35">
      <c r="A164" s="688" t="s">
        <v>1442</v>
      </c>
      <c r="B164" s="462">
        <v>739</v>
      </c>
      <c r="C164" s="691" t="s">
        <v>1440</v>
      </c>
      <c r="D164" s="693" t="s">
        <v>700</v>
      </c>
      <c r="E164" s="81" t="s">
        <v>1134</v>
      </c>
      <c r="F164" s="700">
        <v>43750</v>
      </c>
      <c r="G164" s="700">
        <v>47500</v>
      </c>
    </row>
    <row r="165" spans="1:7" x14ac:dyDescent="0.35">
      <c r="A165" s="688" t="s">
        <v>1443</v>
      </c>
      <c r="B165" s="462">
        <v>740</v>
      </c>
      <c r="C165" s="691" t="s">
        <v>1444</v>
      </c>
      <c r="D165" s="693" t="s">
        <v>700</v>
      </c>
      <c r="E165" s="81" t="s">
        <v>1349</v>
      </c>
      <c r="F165" s="700">
        <v>38909</v>
      </c>
      <c r="G165" s="700">
        <v>40500</v>
      </c>
    </row>
    <row r="166" spans="1:7" x14ac:dyDescent="0.35">
      <c r="A166" s="688" t="s">
        <v>1445</v>
      </c>
      <c r="B166" s="462">
        <v>744</v>
      </c>
      <c r="C166" s="691" t="s">
        <v>1446</v>
      </c>
      <c r="D166" s="693" t="s">
        <v>826</v>
      </c>
      <c r="E166" s="81" t="s">
        <v>1231</v>
      </c>
      <c r="F166" s="700">
        <v>61000</v>
      </c>
      <c r="G166" s="700">
        <v>64750</v>
      </c>
    </row>
    <row r="167" spans="1:7" x14ac:dyDescent="0.35">
      <c r="A167" s="688" t="s">
        <v>1447</v>
      </c>
      <c r="B167" s="462">
        <v>745</v>
      </c>
      <c r="C167" s="691" t="s">
        <v>1446</v>
      </c>
      <c r="D167" s="701" t="s">
        <v>700</v>
      </c>
      <c r="E167" s="81" t="s">
        <v>1134</v>
      </c>
      <c r="F167" s="700">
        <v>35750</v>
      </c>
      <c r="G167" s="700">
        <v>39500</v>
      </c>
    </row>
    <row r="168" spans="1:7" x14ac:dyDescent="0.35">
      <c r="A168" s="688" t="s">
        <v>1448</v>
      </c>
      <c r="B168" s="462">
        <v>746</v>
      </c>
      <c r="C168" s="691" t="s">
        <v>1449</v>
      </c>
      <c r="D168" s="693" t="s">
        <v>700</v>
      </c>
      <c r="E168" s="81" t="s">
        <v>1136</v>
      </c>
      <c r="F168" s="700">
        <v>38250</v>
      </c>
      <c r="G168" s="700">
        <v>36500</v>
      </c>
    </row>
    <row r="169" spans="1:7" x14ac:dyDescent="0.35">
      <c r="A169" s="688" t="s">
        <v>1450</v>
      </c>
      <c r="B169" s="462">
        <v>747</v>
      </c>
      <c r="C169" s="691" t="s">
        <v>1449</v>
      </c>
      <c r="D169" s="693" t="s">
        <v>826</v>
      </c>
      <c r="E169" s="81" t="s">
        <v>1254</v>
      </c>
      <c r="F169" s="700">
        <v>14250</v>
      </c>
      <c r="G169" s="700">
        <v>17144</v>
      </c>
    </row>
    <row r="170" spans="1:7" x14ac:dyDescent="0.35">
      <c r="A170" s="689" t="s">
        <v>1451</v>
      </c>
      <c r="B170" s="462">
        <v>748</v>
      </c>
      <c r="C170" s="691" t="s">
        <v>1452</v>
      </c>
      <c r="D170" s="693" t="s">
        <v>700</v>
      </c>
      <c r="E170" s="81" t="s">
        <v>1134</v>
      </c>
      <c r="F170" s="700">
        <v>40750</v>
      </c>
      <c r="G170" s="700">
        <v>44500</v>
      </c>
    </row>
    <row r="171" spans="1:7" x14ac:dyDescent="0.35">
      <c r="A171" s="688" t="s">
        <v>1453</v>
      </c>
      <c r="B171" s="462">
        <v>749</v>
      </c>
      <c r="C171" s="691" t="s">
        <v>1452</v>
      </c>
      <c r="D171" s="701" t="s">
        <v>826</v>
      </c>
      <c r="E171" s="81" t="s">
        <v>1019</v>
      </c>
      <c r="F171" s="700">
        <v>78682</v>
      </c>
      <c r="G171" s="700">
        <v>82432</v>
      </c>
    </row>
    <row r="172" spans="1:7" x14ac:dyDescent="0.35">
      <c r="A172" s="688" t="s">
        <v>1454</v>
      </c>
      <c r="B172" s="462">
        <v>750</v>
      </c>
      <c r="C172" s="691" t="s">
        <v>1452</v>
      </c>
      <c r="D172" s="701" t="s">
        <v>826</v>
      </c>
      <c r="E172" s="81" t="s">
        <v>140</v>
      </c>
      <c r="F172" s="700">
        <v>166072</v>
      </c>
      <c r="G172" s="700">
        <v>169822</v>
      </c>
    </row>
    <row r="173" spans="1:7" x14ac:dyDescent="0.35">
      <c r="A173" s="688" t="s">
        <v>1455</v>
      </c>
      <c r="B173" s="462">
        <v>752</v>
      </c>
      <c r="C173" s="691" t="s">
        <v>1456</v>
      </c>
      <c r="D173" s="701" t="s">
        <v>826</v>
      </c>
      <c r="E173" s="81" t="s">
        <v>1258</v>
      </c>
      <c r="F173" s="700">
        <v>38124</v>
      </c>
      <c r="G173" s="700">
        <v>40800</v>
      </c>
    </row>
    <row r="174" spans="1:7" x14ac:dyDescent="0.35">
      <c r="A174" s="688" t="s">
        <v>1457</v>
      </c>
      <c r="B174" s="462">
        <v>754</v>
      </c>
      <c r="C174" s="691" t="s">
        <v>1458</v>
      </c>
      <c r="D174" s="691" t="s">
        <v>700</v>
      </c>
      <c r="E174" s="81" t="s">
        <v>1021</v>
      </c>
      <c r="F174" s="700">
        <v>29250</v>
      </c>
      <c r="G174" s="700">
        <v>29432</v>
      </c>
    </row>
    <row r="175" spans="1:7" x14ac:dyDescent="0.35">
      <c r="A175" s="688" t="s">
        <v>1459</v>
      </c>
      <c r="B175" s="462">
        <v>759</v>
      </c>
      <c r="C175" s="691" t="s">
        <v>1460</v>
      </c>
      <c r="D175" s="693" t="s">
        <v>700</v>
      </c>
      <c r="E175" s="81" t="s">
        <v>1021</v>
      </c>
      <c r="F175" s="700">
        <v>35250</v>
      </c>
      <c r="G175" s="700">
        <v>37500</v>
      </c>
    </row>
    <row r="176" spans="1:7" x14ac:dyDescent="0.35">
      <c r="A176" s="688" t="s">
        <v>1461</v>
      </c>
      <c r="B176" s="462">
        <v>760</v>
      </c>
      <c r="C176" s="691" t="s">
        <v>1460</v>
      </c>
      <c r="D176" s="693" t="s">
        <v>700</v>
      </c>
      <c r="E176" s="81" t="s">
        <v>1136</v>
      </c>
      <c r="F176" s="700">
        <v>27750</v>
      </c>
      <c r="G176" s="700">
        <v>31500</v>
      </c>
    </row>
    <row r="177" spans="1:7" x14ac:dyDescent="0.35">
      <c r="A177" s="688" t="s">
        <v>1462</v>
      </c>
      <c r="B177" s="462">
        <v>762</v>
      </c>
      <c r="C177" s="691" t="s">
        <v>1463</v>
      </c>
      <c r="D177" s="693" t="s">
        <v>700</v>
      </c>
      <c r="E177" s="81" t="s">
        <v>1139</v>
      </c>
      <c r="F177" s="700">
        <v>32750</v>
      </c>
      <c r="G177" s="700">
        <v>36500</v>
      </c>
    </row>
    <row r="178" spans="1:7" x14ac:dyDescent="0.35">
      <c r="A178" s="688" t="s">
        <v>1464</v>
      </c>
      <c r="B178" s="462">
        <v>765</v>
      </c>
      <c r="C178" s="691" t="s">
        <v>1465</v>
      </c>
      <c r="D178" s="693" t="s">
        <v>700</v>
      </c>
      <c r="E178" s="81" t="s">
        <v>1134</v>
      </c>
      <c r="F178" s="700">
        <v>43750</v>
      </c>
      <c r="G178" s="700">
        <v>47500</v>
      </c>
    </row>
    <row r="179" spans="1:7" x14ac:dyDescent="0.35">
      <c r="A179" s="688" t="s">
        <v>1466</v>
      </c>
      <c r="B179" s="462">
        <v>766</v>
      </c>
      <c r="C179" s="691" t="s">
        <v>1467</v>
      </c>
      <c r="D179" s="693" t="s">
        <v>700</v>
      </c>
      <c r="E179" s="81" t="s">
        <v>1349</v>
      </c>
      <c r="F179" s="700">
        <v>45750</v>
      </c>
      <c r="G179" s="700">
        <v>49500</v>
      </c>
    </row>
    <row r="180" spans="1:7" x14ac:dyDescent="0.35">
      <c r="A180" s="688" t="s">
        <v>1468</v>
      </c>
      <c r="B180" s="462">
        <v>767</v>
      </c>
      <c r="C180" s="691" t="s">
        <v>1469</v>
      </c>
      <c r="D180" s="693" t="s">
        <v>826</v>
      </c>
      <c r="E180" s="81" t="s">
        <v>1258</v>
      </c>
      <c r="F180" s="700">
        <v>50750</v>
      </c>
      <c r="G180" s="700">
        <v>54500</v>
      </c>
    </row>
    <row r="181" spans="1:7" x14ac:dyDescent="0.35">
      <c r="A181" s="688" t="s">
        <v>1470</v>
      </c>
      <c r="B181" s="462">
        <v>768</v>
      </c>
      <c r="C181" s="691" t="s">
        <v>1471</v>
      </c>
      <c r="D181" s="693" t="s">
        <v>826</v>
      </c>
      <c r="E181" s="81" t="s">
        <v>1254</v>
      </c>
      <c r="F181" s="700">
        <v>14250</v>
      </c>
      <c r="G181" s="700">
        <v>17144</v>
      </c>
    </row>
    <row r="182" spans="1:7" x14ac:dyDescent="0.35">
      <c r="A182" s="688" t="s">
        <v>1472</v>
      </c>
      <c r="B182" s="462">
        <v>769</v>
      </c>
      <c r="C182" s="691" t="s">
        <v>1471</v>
      </c>
      <c r="D182" s="693" t="s">
        <v>700</v>
      </c>
      <c r="E182" s="81" t="s">
        <v>1349</v>
      </c>
      <c r="F182" s="700">
        <v>22541.666666666668</v>
      </c>
      <c r="G182" s="700">
        <v>23750</v>
      </c>
    </row>
    <row r="183" spans="1:7" x14ac:dyDescent="0.35">
      <c r="A183" s="688" t="s">
        <v>1473</v>
      </c>
      <c r="B183" s="462">
        <v>771</v>
      </c>
      <c r="C183" s="691" t="s">
        <v>1474</v>
      </c>
      <c r="D183" s="693" t="s">
        <v>700</v>
      </c>
      <c r="E183" s="81" t="s">
        <v>1145</v>
      </c>
      <c r="F183" s="700">
        <v>45250</v>
      </c>
      <c r="G183" s="700">
        <v>38500</v>
      </c>
    </row>
    <row r="184" spans="1:7" x14ac:dyDescent="0.35">
      <c r="A184" s="688" t="s">
        <v>1475</v>
      </c>
      <c r="B184" s="462">
        <v>773</v>
      </c>
      <c r="C184" s="691" t="s">
        <v>1474</v>
      </c>
      <c r="D184" s="693" t="s">
        <v>700</v>
      </c>
      <c r="E184" s="81" t="s">
        <v>1136</v>
      </c>
      <c r="F184" s="700">
        <v>33250</v>
      </c>
      <c r="G184" s="700">
        <v>31500</v>
      </c>
    </row>
    <row r="185" spans="1:7" x14ac:dyDescent="0.35">
      <c r="A185" s="688" t="s">
        <v>1476</v>
      </c>
      <c r="B185" s="462">
        <v>774</v>
      </c>
      <c r="C185" s="691" t="s">
        <v>1474</v>
      </c>
      <c r="D185" s="693" t="s">
        <v>700</v>
      </c>
      <c r="E185" s="81" t="s">
        <v>1139</v>
      </c>
      <c r="F185" s="700">
        <v>27750</v>
      </c>
      <c r="G185" s="700">
        <v>30500</v>
      </c>
    </row>
    <row r="186" spans="1:7" x14ac:dyDescent="0.35">
      <c r="A186" s="688" t="s">
        <v>1477</v>
      </c>
      <c r="B186" s="462">
        <v>776</v>
      </c>
      <c r="C186" s="691" t="s">
        <v>1478</v>
      </c>
      <c r="D186" s="693" t="s">
        <v>700</v>
      </c>
      <c r="E186" s="81" t="s">
        <v>1349</v>
      </c>
      <c r="F186" s="700">
        <v>32750</v>
      </c>
      <c r="G186" s="700">
        <v>36500</v>
      </c>
    </row>
    <row r="187" spans="1:7" x14ac:dyDescent="0.35">
      <c r="A187" s="688" t="s">
        <v>1479</v>
      </c>
      <c r="B187" s="462">
        <v>777</v>
      </c>
      <c r="C187" s="691" t="s">
        <v>1480</v>
      </c>
      <c r="D187" s="693" t="s">
        <v>826</v>
      </c>
      <c r="E187" s="81" t="s">
        <v>1249</v>
      </c>
      <c r="F187" s="700">
        <v>15750</v>
      </c>
      <c r="G187" s="700">
        <v>18929</v>
      </c>
    </row>
    <row r="188" spans="1:7" x14ac:dyDescent="0.35">
      <c r="A188" s="688" t="s">
        <v>1481</v>
      </c>
      <c r="B188" s="462">
        <v>778</v>
      </c>
      <c r="C188" s="691" t="s">
        <v>1482</v>
      </c>
      <c r="D188" s="693" t="s">
        <v>700</v>
      </c>
      <c r="E188" s="81" t="s">
        <v>1134</v>
      </c>
      <c r="F188" s="700">
        <v>39750</v>
      </c>
      <c r="G188" s="700">
        <v>43500</v>
      </c>
    </row>
    <row r="189" spans="1:7" x14ac:dyDescent="0.35">
      <c r="A189" s="688" t="s">
        <v>1483</v>
      </c>
      <c r="B189" s="462">
        <v>779</v>
      </c>
      <c r="C189" s="691" t="s">
        <v>1484</v>
      </c>
      <c r="D189" s="691" t="s">
        <v>824</v>
      </c>
      <c r="E189" s="81" t="s">
        <v>1025</v>
      </c>
      <c r="F189" s="700">
        <v>14250</v>
      </c>
      <c r="G189" s="700">
        <v>17144</v>
      </c>
    </row>
    <row r="190" spans="1:7" x14ac:dyDescent="0.35">
      <c r="A190" s="688" t="s">
        <v>1485</v>
      </c>
      <c r="B190" s="462">
        <v>781</v>
      </c>
      <c r="C190" s="691" t="s">
        <v>1486</v>
      </c>
      <c r="D190" s="693" t="s">
        <v>700</v>
      </c>
      <c r="E190" s="81" t="s">
        <v>1136</v>
      </c>
      <c r="F190" s="700">
        <v>24250</v>
      </c>
      <c r="G190" s="700">
        <v>27728</v>
      </c>
    </row>
    <row r="191" spans="1:7" x14ac:dyDescent="0.35">
      <c r="A191" s="688" t="s">
        <v>1487</v>
      </c>
      <c r="B191" s="462">
        <v>782</v>
      </c>
      <c r="C191" s="691" t="s">
        <v>1486</v>
      </c>
      <c r="D191" s="693" t="s">
        <v>700</v>
      </c>
      <c r="E191" s="81" t="s">
        <v>1136</v>
      </c>
      <c r="F191" s="700">
        <v>30750</v>
      </c>
      <c r="G191" s="700">
        <v>34500</v>
      </c>
    </row>
    <row r="192" spans="1:7" x14ac:dyDescent="0.35">
      <c r="A192" s="688" t="s">
        <v>1488</v>
      </c>
      <c r="B192" s="462">
        <v>783</v>
      </c>
      <c r="C192" s="691" t="s">
        <v>1486</v>
      </c>
      <c r="D192" s="693" t="s">
        <v>700</v>
      </c>
      <c r="E192" s="81" t="s">
        <v>1136</v>
      </c>
      <c r="F192" s="700">
        <v>26926</v>
      </c>
      <c r="G192" s="700">
        <v>30500</v>
      </c>
    </row>
    <row r="193" spans="1:7" x14ac:dyDescent="0.35">
      <c r="A193" s="688" t="s">
        <v>1489</v>
      </c>
      <c r="B193" s="462">
        <v>785</v>
      </c>
      <c r="C193" s="691" t="s">
        <v>1486</v>
      </c>
      <c r="D193" s="693" t="s">
        <v>700</v>
      </c>
      <c r="E193" s="81" t="s">
        <v>1134</v>
      </c>
      <c r="F193" s="700">
        <v>49250</v>
      </c>
      <c r="G193" s="700">
        <v>47500</v>
      </c>
    </row>
    <row r="194" spans="1:7" x14ac:dyDescent="0.35">
      <c r="A194" s="688" t="s">
        <v>1490</v>
      </c>
      <c r="B194" s="462">
        <v>786</v>
      </c>
      <c r="C194" s="691" t="s">
        <v>1491</v>
      </c>
      <c r="D194" s="693" t="s">
        <v>700</v>
      </c>
      <c r="E194" s="81" t="s">
        <v>1136</v>
      </c>
      <c r="F194" s="700">
        <v>24750</v>
      </c>
      <c r="G194" s="700">
        <v>28296</v>
      </c>
    </row>
    <row r="195" spans="1:7" x14ac:dyDescent="0.35">
      <c r="A195" s="688" t="s">
        <v>1492</v>
      </c>
      <c r="B195" s="462">
        <v>787</v>
      </c>
      <c r="C195" s="691" t="s">
        <v>1493</v>
      </c>
      <c r="D195" s="701" t="s">
        <v>925</v>
      </c>
      <c r="E195" s="81" t="s">
        <v>924</v>
      </c>
      <c r="F195" s="700">
        <v>20750</v>
      </c>
      <c r="G195" s="700">
        <v>23750</v>
      </c>
    </row>
    <row r="196" spans="1:7" x14ac:dyDescent="0.35">
      <c r="A196" s="688" t="s">
        <v>1494</v>
      </c>
      <c r="B196" s="462">
        <v>788</v>
      </c>
      <c r="C196" s="691" t="s">
        <v>1493</v>
      </c>
      <c r="D196" s="701" t="s">
        <v>826</v>
      </c>
      <c r="E196" s="81" t="s">
        <v>339</v>
      </c>
      <c r="F196" s="700">
        <v>145200</v>
      </c>
      <c r="G196" s="700">
        <v>148950</v>
      </c>
    </row>
    <row r="197" spans="1:7" x14ac:dyDescent="0.35">
      <c r="A197" s="688" t="s">
        <v>1495</v>
      </c>
      <c r="B197" s="462">
        <v>789</v>
      </c>
      <c r="C197" s="691" t="s">
        <v>1493</v>
      </c>
      <c r="D197" s="693" t="s">
        <v>700</v>
      </c>
      <c r="E197" s="81" t="s">
        <v>1134</v>
      </c>
      <c r="F197" s="700">
        <v>42250</v>
      </c>
      <c r="G197" s="700">
        <v>46000</v>
      </c>
    </row>
    <row r="198" spans="1:7" x14ac:dyDescent="0.35">
      <c r="A198" s="688" t="s">
        <v>1496</v>
      </c>
      <c r="B198" s="462">
        <v>790</v>
      </c>
      <c r="C198" s="691" t="s">
        <v>1493</v>
      </c>
      <c r="D198" s="693" t="s">
        <v>826</v>
      </c>
      <c r="E198" s="81" t="s">
        <v>1258</v>
      </c>
      <c r="F198" s="700">
        <v>50750</v>
      </c>
      <c r="G198" s="700">
        <v>54500</v>
      </c>
    </row>
    <row r="199" spans="1:7" x14ac:dyDescent="0.35">
      <c r="A199" s="694" t="s">
        <v>1497</v>
      </c>
      <c r="B199" s="695">
        <v>792</v>
      </c>
      <c r="C199" s="696" t="s">
        <v>1498</v>
      </c>
      <c r="D199" s="697" t="s">
        <v>700</v>
      </c>
      <c r="E199" s="698" t="s">
        <v>1134</v>
      </c>
      <c r="F199" s="699">
        <v>40750</v>
      </c>
      <c r="G199" s="699">
        <v>44500</v>
      </c>
    </row>
    <row r="200" spans="1:7" x14ac:dyDescent="0.35">
      <c r="A200" s="688" t="s">
        <v>1499</v>
      </c>
      <c r="B200" s="462">
        <v>797</v>
      </c>
      <c r="C200" s="691" t="s">
        <v>1500</v>
      </c>
      <c r="D200" s="693" t="s">
        <v>700</v>
      </c>
      <c r="E200" s="81" t="s">
        <v>1134</v>
      </c>
      <c r="F200" s="700">
        <v>35560</v>
      </c>
      <c r="G200" s="700">
        <v>38310</v>
      </c>
    </row>
    <row r="201" spans="1:7" x14ac:dyDescent="0.35">
      <c r="A201" s="688" t="s">
        <v>1501</v>
      </c>
      <c r="B201" s="462">
        <v>798</v>
      </c>
      <c r="C201" s="691" t="s">
        <v>1502</v>
      </c>
      <c r="D201" s="693" t="s">
        <v>700</v>
      </c>
      <c r="E201" s="81" t="s">
        <v>1145</v>
      </c>
      <c r="F201" s="700">
        <v>37750</v>
      </c>
      <c r="G201" s="700">
        <v>40500</v>
      </c>
    </row>
    <row r="202" spans="1:7" x14ac:dyDescent="0.35">
      <c r="A202" s="688" t="s">
        <v>1503</v>
      </c>
      <c r="B202" s="462">
        <v>800</v>
      </c>
      <c r="C202" s="691" t="s">
        <v>1504</v>
      </c>
      <c r="D202" s="693" t="s">
        <v>700</v>
      </c>
      <c r="E202" s="81" t="s">
        <v>1349</v>
      </c>
      <c r="F202" s="700">
        <v>45750</v>
      </c>
      <c r="G202" s="700">
        <v>49500</v>
      </c>
    </row>
    <row r="203" spans="1:7" x14ac:dyDescent="0.35">
      <c r="A203" s="688" t="s">
        <v>1505</v>
      </c>
      <c r="B203" s="462">
        <v>801</v>
      </c>
      <c r="C203" s="691" t="s">
        <v>1506</v>
      </c>
      <c r="D203" s="693" t="s">
        <v>700</v>
      </c>
      <c r="E203" s="81" t="s">
        <v>1134</v>
      </c>
      <c r="F203" s="700">
        <v>39750</v>
      </c>
      <c r="G203" s="700">
        <v>43500</v>
      </c>
    </row>
    <row r="204" spans="1:7" x14ac:dyDescent="0.35">
      <c r="A204" s="688" t="s">
        <v>1507</v>
      </c>
      <c r="B204" s="462">
        <v>802</v>
      </c>
      <c r="C204" s="691" t="s">
        <v>1508</v>
      </c>
      <c r="D204" s="693" t="s">
        <v>700</v>
      </c>
      <c r="E204" s="81" t="s">
        <v>1139</v>
      </c>
      <c r="F204" s="700">
        <v>17550</v>
      </c>
      <c r="G204" s="700">
        <v>21072</v>
      </c>
    </row>
    <row r="205" spans="1:7" x14ac:dyDescent="0.35">
      <c r="A205" s="694" t="s">
        <v>1509</v>
      </c>
      <c r="B205" s="695">
        <v>803</v>
      </c>
      <c r="C205" s="696" t="s">
        <v>1508</v>
      </c>
      <c r="D205" s="697" t="s">
        <v>700</v>
      </c>
      <c r="E205" s="698" t="s">
        <v>1145</v>
      </c>
      <c r="F205" s="699">
        <v>37450</v>
      </c>
      <c r="G205" s="699">
        <v>35700</v>
      </c>
    </row>
    <row r="206" spans="1:7" x14ac:dyDescent="0.35">
      <c r="A206" s="694" t="s">
        <v>1510</v>
      </c>
      <c r="B206" s="695">
        <v>804</v>
      </c>
      <c r="C206" s="696" t="s">
        <v>1508</v>
      </c>
      <c r="D206" s="697" t="s">
        <v>700</v>
      </c>
      <c r="E206" s="698" t="s">
        <v>1139</v>
      </c>
      <c r="F206" s="699">
        <v>24176</v>
      </c>
      <c r="G206" s="699">
        <v>27644</v>
      </c>
    </row>
    <row r="207" spans="1:7" x14ac:dyDescent="0.35">
      <c r="A207" s="688" t="s">
        <v>1511</v>
      </c>
      <c r="B207" s="462">
        <v>805</v>
      </c>
      <c r="C207" s="691" t="s">
        <v>1508</v>
      </c>
      <c r="D207" s="693" t="s">
        <v>700</v>
      </c>
      <c r="E207" s="81" t="s">
        <v>1136</v>
      </c>
      <c r="F207" s="700">
        <v>24872</v>
      </c>
      <c r="G207" s="700">
        <v>27584</v>
      </c>
    </row>
    <row r="208" spans="1:7" x14ac:dyDescent="0.35">
      <c r="A208" s="688" t="s">
        <v>1512</v>
      </c>
      <c r="B208" s="462">
        <v>806</v>
      </c>
      <c r="C208" s="691" t="s">
        <v>1508</v>
      </c>
      <c r="D208" s="693" t="s">
        <v>700</v>
      </c>
      <c r="E208" s="81" t="s">
        <v>1134</v>
      </c>
      <c r="F208" s="700">
        <v>34043</v>
      </c>
      <c r="G208" s="700">
        <v>37793</v>
      </c>
    </row>
    <row r="209" spans="1:7" x14ac:dyDescent="0.35">
      <c r="A209" s="688" t="s">
        <v>1513</v>
      </c>
      <c r="B209" s="462">
        <v>808</v>
      </c>
      <c r="C209" s="691" t="s">
        <v>1508</v>
      </c>
      <c r="D209" s="693" t="s">
        <v>700</v>
      </c>
      <c r="E209" s="81" t="s">
        <v>1134</v>
      </c>
      <c r="F209" s="700">
        <v>42750</v>
      </c>
      <c r="G209" s="700">
        <v>46500</v>
      </c>
    </row>
    <row r="210" spans="1:7" x14ac:dyDescent="0.35">
      <c r="A210" s="688" t="s">
        <v>1514</v>
      </c>
      <c r="B210" s="462">
        <v>809</v>
      </c>
      <c r="C210" s="691" t="s">
        <v>1508</v>
      </c>
      <c r="D210" s="693" t="s">
        <v>700</v>
      </c>
      <c r="E210" s="81" t="s">
        <v>1136</v>
      </c>
      <c r="F210" s="700">
        <v>33000</v>
      </c>
      <c r="G210" s="700">
        <v>33250</v>
      </c>
    </row>
    <row r="211" spans="1:7" x14ac:dyDescent="0.35">
      <c r="A211" s="688" t="s">
        <v>1515</v>
      </c>
      <c r="B211" s="462">
        <v>810</v>
      </c>
      <c r="C211" s="691" t="s">
        <v>1508</v>
      </c>
      <c r="D211" s="693" t="s">
        <v>700</v>
      </c>
      <c r="E211" s="81" t="s">
        <v>1136</v>
      </c>
      <c r="F211" s="700">
        <v>20050</v>
      </c>
      <c r="G211" s="700">
        <v>17501</v>
      </c>
    </row>
    <row r="212" spans="1:7" x14ac:dyDescent="0.35">
      <c r="A212" s="688" t="s">
        <v>1516</v>
      </c>
      <c r="B212" s="462">
        <v>811</v>
      </c>
      <c r="C212" s="691" t="s">
        <v>1508</v>
      </c>
      <c r="D212" s="693" t="s">
        <v>700</v>
      </c>
      <c r="E212" s="81" t="s">
        <v>1134</v>
      </c>
      <c r="F212" s="700">
        <v>41000</v>
      </c>
      <c r="G212" s="700">
        <v>44750</v>
      </c>
    </row>
    <row r="213" spans="1:7" x14ac:dyDescent="0.35">
      <c r="A213" s="688" t="s">
        <v>1517</v>
      </c>
      <c r="B213" s="462">
        <v>812</v>
      </c>
      <c r="C213" s="691" t="s">
        <v>1508</v>
      </c>
      <c r="D213" s="693" t="s">
        <v>700</v>
      </c>
      <c r="E213" s="81" t="s">
        <v>1139</v>
      </c>
      <c r="F213" s="700">
        <v>28676</v>
      </c>
      <c r="G213" s="700">
        <v>32330</v>
      </c>
    </row>
    <row r="214" spans="1:7" x14ac:dyDescent="0.35">
      <c r="A214" s="688" t="s">
        <v>1518</v>
      </c>
      <c r="B214" s="462">
        <v>813</v>
      </c>
      <c r="C214" s="691" t="s">
        <v>1508</v>
      </c>
      <c r="D214" s="701" t="s">
        <v>826</v>
      </c>
      <c r="E214" s="81" t="s">
        <v>1019</v>
      </c>
      <c r="F214" s="700">
        <v>61000</v>
      </c>
      <c r="G214" s="700">
        <v>64750</v>
      </c>
    </row>
    <row r="215" spans="1:7" x14ac:dyDescent="0.35">
      <c r="A215" s="688" t="s">
        <v>1519</v>
      </c>
      <c r="B215" s="462">
        <v>814</v>
      </c>
      <c r="C215" s="691" t="s">
        <v>1520</v>
      </c>
      <c r="D215" s="701" t="s">
        <v>700</v>
      </c>
      <c r="E215" s="81" t="s">
        <v>1145</v>
      </c>
      <c r="F215" s="700">
        <v>35750</v>
      </c>
      <c r="G215" s="700">
        <v>39500</v>
      </c>
    </row>
    <row r="216" spans="1:7" x14ac:dyDescent="0.35">
      <c r="A216" s="688" t="s">
        <v>1521</v>
      </c>
      <c r="B216" s="462">
        <v>816</v>
      </c>
      <c r="C216" s="691" t="s">
        <v>1520</v>
      </c>
      <c r="D216" s="701" t="s">
        <v>826</v>
      </c>
      <c r="E216" s="81" t="s">
        <v>1258</v>
      </c>
      <c r="F216" s="700">
        <v>33859</v>
      </c>
      <c r="G216" s="700">
        <v>37609</v>
      </c>
    </row>
    <row r="217" spans="1:7" x14ac:dyDescent="0.35">
      <c r="A217" s="688" t="s">
        <v>1522</v>
      </c>
      <c r="B217" s="462">
        <v>817</v>
      </c>
      <c r="C217" s="691" t="s">
        <v>1520</v>
      </c>
      <c r="D217" s="701" t="s">
        <v>826</v>
      </c>
      <c r="E217" s="81" t="s">
        <v>1523</v>
      </c>
      <c r="F217" s="700">
        <v>35750</v>
      </c>
      <c r="G217" s="700">
        <v>39500</v>
      </c>
    </row>
    <row r="218" spans="1:7" x14ac:dyDescent="0.35">
      <c r="A218" s="688" t="s">
        <v>1524</v>
      </c>
      <c r="B218" s="462">
        <v>818</v>
      </c>
      <c r="C218" s="691" t="s">
        <v>1520</v>
      </c>
      <c r="D218" s="701" t="s">
        <v>700</v>
      </c>
      <c r="E218" s="81" t="s">
        <v>1349</v>
      </c>
      <c r="F218" s="700">
        <v>25864</v>
      </c>
      <c r="G218" s="700">
        <v>29432</v>
      </c>
    </row>
    <row r="219" spans="1:7" x14ac:dyDescent="0.35">
      <c r="A219" s="689" t="s">
        <v>1525</v>
      </c>
      <c r="B219" s="462">
        <v>819</v>
      </c>
      <c r="C219" s="691" t="s">
        <v>1520</v>
      </c>
      <c r="D219" s="701" t="s">
        <v>700</v>
      </c>
      <c r="E219" s="81" t="s">
        <v>1134</v>
      </c>
      <c r="F219" s="700">
        <v>39906</v>
      </c>
      <c r="G219" s="700">
        <v>42700</v>
      </c>
    </row>
    <row r="220" spans="1:7" x14ac:dyDescent="0.35">
      <c r="A220" s="688" t="s">
        <v>1526</v>
      </c>
      <c r="B220" s="462">
        <v>820</v>
      </c>
      <c r="C220" s="691" t="s">
        <v>1527</v>
      </c>
      <c r="D220" s="701" t="s">
        <v>700</v>
      </c>
      <c r="E220" s="81" t="s">
        <v>1136</v>
      </c>
      <c r="F220" s="700">
        <v>32950</v>
      </c>
      <c r="G220" s="700">
        <v>36700</v>
      </c>
    </row>
    <row r="221" spans="1:7" x14ac:dyDescent="0.35">
      <c r="A221" s="688" t="s">
        <v>1528</v>
      </c>
      <c r="B221" s="462">
        <v>821</v>
      </c>
      <c r="C221" s="691" t="s">
        <v>1529</v>
      </c>
      <c r="D221" s="701" t="s">
        <v>700</v>
      </c>
      <c r="E221" s="81" t="s">
        <v>1134</v>
      </c>
      <c r="F221" s="700">
        <v>40750</v>
      </c>
      <c r="G221" s="700">
        <v>44500</v>
      </c>
    </row>
    <row r="222" spans="1:7" x14ac:dyDescent="0.35">
      <c r="A222" s="688" t="s">
        <v>1530</v>
      </c>
      <c r="B222" s="462">
        <v>824</v>
      </c>
      <c r="C222" s="691" t="s">
        <v>1531</v>
      </c>
      <c r="D222" s="701" t="s">
        <v>700</v>
      </c>
      <c r="E222" s="81" t="s">
        <v>1134</v>
      </c>
      <c r="F222" s="700">
        <v>40794</v>
      </c>
      <c r="G222" s="700">
        <v>41760</v>
      </c>
    </row>
    <row r="223" spans="1:7" x14ac:dyDescent="0.35">
      <c r="A223" s="694" t="s">
        <v>1532</v>
      </c>
      <c r="B223" s="695">
        <v>825</v>
      </c>
      <c r="C223" s="696" t="s">
        <v>1533</v>
      </c>
      <c r="D223" s="702" t="s">
        <v>700</v>
      </c>
      <c r="E223" s="698" t="s">
        <v>1349</v>
      </c>
      <c r="F223" s="699">
        <v>47950</v>
      </c>
      <c r="G223" s="699">
        <v>48500</v>
      </c>
    </row>
    <row r="224" spans="1:7" x14ac:dyDescent="0.35">
      <c r="A224" s="703" t="s">
        <v>1534</v>
      </c>
      <c r="B224" s="462">
        <v>827</v>
      </c>
      <c r="C224" s="691" t="s">
        <v>1533</v>
      </c>
      <c r="D224" s="701" t="s">
        <v>700</v>
      </c>
      <c r="E224" s="81" t="s">
        <v>1349</v>
      </c>
      <c r="F224" s="700">
        <v>44750</v>
      </c>
      <c r="G224" s="700">
        <v>48500</v>
      </c>
    </row>
    <row r="225" spans="1:7" x14ac:dyDescent="0.35">
      <c r="A225" s="688" t="s">
        <v>1535</v>
      </c>
      <c r="B225" s="462">
        <v>828</v>
      </c>
      <c r="C225" s="691" t="s">
        <v>1533</v>
      </c>
      <c r="D225" s="701" t="s">
        <v>700</v>
      </c>
      <c r="E225" s="81" t="s">
        <v>1349</v>
      </c>
      <c r="F225" s="700">
        <v>50641.666666666664</v>
      </c>
      <c r="G225" s="700">
        <v>53500</v>
      </c>
    </row>
    <row r="226" spans="1:7" x14ac:dyDescent="0.35">
      <c r="A226" s="688" t="s">
        <v>1536</v>
      </c>
      <c r="B226" s="462">
        <v>829</v>
      </c>
      <c r="C226" s="691" t="s">
        <v>1537</v>
      </c>
      <c r="D226" s="701" t="s">
        <v>700</v>
      </c>
      <c r="E226" s="81" t="s">
        <v>1136</v>
      </c>
      <c r="F226" s="700">
        <v>32835</v>
      </c>
      <c r="G226" s="700">
        <v>36585</v>
      </c>
    </row>
    <row r="227" spans="1:7" x14ac:dyDescent="0.35">
      <c r="A227" s="688" t="s">
        <v>1538</v>
      </c>
      <c r="B227" s="462">
        <v>830</v>
      </c>
      <c r="C227" s="691" t="s">
        <v>1537</v>
      </c>
      <c r="D227" s="701" t="s">
        <v>700</v>
      </c>
      <c r="E227" s="81" t="s">
        <v>1136</v>
      </c>
      <c r="F227" s="700">
        <v>28250</v>
      </c>
      <c r="G227" s="700">
        <v>32000</v>
      </c>
    </row>
    <row r="228" spans="1:7" x14ac:dyDescent="0.35">
      <c r="A228" s="688" t="s">
        <v>1539</v>
      </c>
      <c r="B228" s="462">
        <v>831</v>
      </c>
      <c r="C228" s="691" t="s">
        <v>1540</v>
      </c>
      <c r="D228" s="701" t="s">
        <v>700</v>
      </c>
      <c r="E228" s="81" t="s">
        <v>1136</v>
      </c>
      <c r="F228" s="700">
        <v>25245</v>
      </c>
      <c r="G228" s="700">
        <v>28859</v>
      </c>
    </row>
    <row r="229" spans="1:7" x14ac:dyDescent="0.35">
      <c r="A229" s="688" t="s">
        <v>1541</v>
      </c>
      <c r="B229" s="462">
        <v>832</v>
      </c>
      <c r="C229" s="691" t="s">
        <v>1542</v>
      </c>
      <c r="D229" s="701" t="s">
        <v>700</v>
      </c>
      <c r="E229" s="81" t="s">
        <v>1021</v>
      </c>
      <c r="F229" s="700">
        <v>17477</v>
      </c>
      <c r="G229" s="700">
        <v>20238</v>
      </c>
    </row>
    <row r="230" spans="1:7" x14ac:dyDescent="0.35">
      <c r="A230" s="688" t="s">
        <v>1543</v>
      </c>
      <c r="B230" s="462">
        <v>833</v>
      </c>
      <c r="C230" s="691" t="s">
        <v>1542</v>
      </c>
      <c r="D230" s="701" t="s">
        <v>700</v>
      </c>
      <c r="E230" s="81" t="s">
        <v>1025</v>
      </c>
      <c r="F230" s="700">
        <v>18343</v>
      </c>
      <c r="G230" s="700">
        <v>22017</v>
      </c>
    </row>
    <row r="231" spans="1:7" x14ac:dyDescent="0.35">
      <c r="A231" s="688" t="s">
        <v>1544</v>
      </c>
      <c r="B231" s="462">
        <v>834</v>
      </c>
      <c r="C231" s="691" t="s">
        <v>1542</v>
      </c>
      <c r="D231" s="701" t="s">
        <v>700</v>
      </c>
      <c r="E231" s="81" t="s">
        <v>1021</v>
      </c>
      <c r="F231" s="700">
        <v>26740</v>
      </c>
      <c r="G231" s="700">
        <v>30490</v>
      </c>
    </row>
    <row r="232" spans="1:7" x14ac:dyDescent="0.35">
      <c r="A232" s="688" t="s">
        <v>1545</v>
      </c>
      <c r="B232" s="462">
        <v>836</v>
      </c>
      <c r="C232" s="691" t="s">
        <v>1542</v>
      </c>
      <c r="D232" s="701" t="s">
        <v>826</v>
      </c>
      <c r="E232" s="81" t="s">
        <v>1258</v>
      </c>
      <c r="F232" s="700">
        <v>27200</v>
      </c>
      <c r="G232" s="700">
        <v>30950</v>
      </c>
    </row>
    <row r="233" spans="1:7" x14ac:dyDescent="0.35">
      <c r="A233" s="688" t="s">
        <v>1546</v>
      </c>
      <c r="B233" s="462">
        <v>837</v>
      </c>
      <c r="C233" s="691" t="s">
        <v>1542</v>
      </c>
      <c r="D233" s="701" t="s">
        <v>826</v>
      </c>
      <c r="E233" s="81" t="s">
        <v>1258</v>
      </c>
      <c r="F233" s="700">
        <v>36055</v>
      </c>
      <c r="G233" s="700">
        <v>39805</v>
      </c>
    </row>
    <row r="234" spans="1:7" x14ac:dyDescent="0.35">
      <c r="A234" s="688" t="s">
        <v>1547</v>
      </c>
      <c r="B234" s="462">
        <v>838</v>
      </c>
      <c r="C234" s="691" t="s">
        <v>1542</v>
      </c>
      <c r="D234" s="701" t="s">
        <v>700</v>
      </c>
      <c r="E234" s="81" t="s">
        <v>1145</v>
      </c>
      <c r="F234" s="700">
        <v>30750</v>
      </c>
      <c r="G234" s="700">
        <v>34500</v>
      </c>
    </row>
    <row r="235" spans="1:7" x14ac:dyDescent="0.35">
      <c r="A235" s="688" t="s">
        <v>1548</v>
      </c>
      <c r="B235" s="462">
        <v>839</v>
      </c>
      <c r="C235" s="691" t="s">
        <v>1542</v>
      </c>
      <c r="D235" s="701" t="s">
        <v>700</v>
      </c>
      <c r="E235" s="81" t="s">
        <v>1136</v>
      </c>
      <c r="F235" s="700">
        <v>33200</v>
      </c>
      <c r="G235" s="700">
        <v>36950</v>
      </c>
    </row>
    <row r="236" spans="1:7" x14ac:dyDescent="0.35">
      <c r="A236" s="688" t="s">
        <v>1549</v>
      </c>
      <c r="B236" s="462">
        <v>840</v>
      </c>
      <c r="C236" s="691" t="s">
        <v>1550</v>
      </c>
      <c r="D236" s="701" t="s">
        <v>826</v>
      </c>
      <c r="E236" s="81" t="s">
        <v>1226</v>
      </c>
      <c r="F236" s="700">
        <v>83000</v>
      </c>
      <c r="G236" s="700">
        <v>84750</v>
      </c>
    </row>
    <row r="237" spans="1:7" x14ac:dyDescent="0.35">
      <c r="A237" s="688" t="s">
        <v>1551</v>
      </c>
      <c r="B237" s="462">
        <v>841</v>
      </c>
      <c r="C237" s="691" t="s">
        <v>1550</v>
      </c>
      <c r="D237" s="701" t="s">
        <v>826</v>
      </c>
      <c r="E237" s="81" t="s">
        <v>1249</v>
      </c>
      <c r="F237" s="700">
        <v>14250</v>
      </c>
      <c r="G237" s="700">
        <v>17144</v>
      </c>
    </row>
    <row r="238" spans="1:7" x14ac:dyDescent="0.35">
      <c r="A238" s="688" t="s">
        <v>1552</v>
      </c>
      <c r="B238" s="462">
        <v>842</v>
      </c>
      <c r="C238" s="691" t="s">
        <v>1553</v>
      </c>
      <c r="D238" s="701" t="s">
        <v>700</v>
      </c>
      <c r="E238" s="81" t="s">
        <v>1349</v>
      </c>
      <c r="F238" s="700">
        <v>55250</v>
      </c>
      <c r="G238" s="700">
        <v>53500</v>
      </c>
    </row>
    <row r="239" spans="1:7" x14ac:dyDescent="0.35">
      <c r="A239" s="688" t="s">
        <v>1554</v>
      </c>
      <c r="B239" s="462">
        <v>843</v>
      </c>
      <c r="C239" s="691" t="s">
        <v>1555</v>
      </c>
      <c r="D239" s="701" t="s">
        <v>700</v>
      </c>
      <c r="E239" s="81" t="s">
        <v>1139</v>
      </c>
      <c r="F239" s="700">
        <v>32700</v>
      </c>
      <c r="G239" s="700">
        <v>30950</v>
      </c>
    </row>
    <row r="240" spans="1:7" x14ac:dyDescent="0.35">
      <c r="A240" s="688" t="s">
        <v>1556</v>
      </c>
      <c r="B240" s="462">
        <v>844</v>
      </c>
      <c r="C240" s="691" t="s">
        <v>1557</v>
      </c>
      <c r="D240" s="701" t="s">
        <v>700</v>
      </c>
      <c r="E240" s="81" t="s">
        <v>1349</v>
      </c>
      <c r="F240" s="700">
        <v>46975</v>
      </c>
      <c r="G240" s="700">
        <v>49500</v>
      </c>
    </row>
    <row r="241" spans="1:7" x14ac:dyDescent="0.35">
      <c r="A241" s="688" t="s">
        <v>1558</v>
      </c>
      <c r="B241" s="462">
        <v>845</v>
      </c>
      <c r="C241" s="691" t="s">
        <v>1559</v>
      </c>
      <c r="D241" s="701" t="s">
        <v>700</v>
      </c>
      <c r="E241" s="81" t="s">
        <v>1389</v>
      </c>
      <c r="F241" s="700">
        <v>51150</v>
      </c>
      <c r="G241" s="700">
        <v>54000</v>
      </c>
    </row>
    <row r="242" spans="1:7" x14ac:dyDescent="0.35">
      <c r="A242" s="688" t="s">
        <v>1560</v>
      </c>
      <c r="B242" s="462">
        <v>846</v>
      </c>
      <c r="C242" s="691" t="s">
        <v>1561</v>
      </c>
      <c r="D242" s="701" t="s">
        <v>826</v>
      </c>
      <c r="E242" s="81" t="s">
        <v>1019</v>
      </c>
      <c r="F242" s="700">
        <v>66000</v>
      </c>
      <c r="G242" s="700">
        <v>69750</v>
      </c>
    </row>
    <row r="243" spans="1:7" x14ac:dyDescent="0.35">
      <c r="A243" s="688" t="s">
        <v>1562</v>
      </c>
      <c r="B243" s="462">
        <v>847</v>
      </c>
      <c r="C243" s="691" t="s">
        <v>1561</v>
      </c>
      <c r="D243" s="701" t="s">
        <v>826</v>
      </c>
      <c r="E243" s="81" t="s">
        <v>1563</v>
      </c>
      <c r="F243" s="700">
        <v>142659</v>
      </c>
      <c r="G243" s="700">
        <v>146409</v>
      </c>
    </row>
    <row r="244" spans="1:7" x14ac:dyDescent="0.35">
      <c r="A244" s="688" t="s">
        <v>1564</v>
      </c>
      <c r="B244" s="462">
        <v>848</v>
      </c>
      <c r="C244" s="691" t="s">
        <v>1565</v>
      </c>
      <c r="D244" s="701" t="s">
        <v>700</v>
      </c>
      <c r="E244" s="81" t="s">
        <v>1134</v>
      </c>
      <c r="F244" s="700">
        <v>33640</v>
      </c>
      <c r="G244" s="700">
        <v>37390</v>
      </c>
    </row>
    <row r="245" spans="1:7" x14ac:dyDescent="0.35">
      <c r="A245" s="688" t="s">
        <v>1566</v>
      </c>
      <c r="B245" s="462">
        <v>849</v>
      </c>
      <c r="C245" s="691" t="s">
        <v>1567</v>
      </c>
      <c r="D245" s="701" t="s">
        <v>826</v>
      </c>
      <c r="E245" s="81" t="s">
        <v>1249</v>
      </c>
      <c r="F245" s="700">
        <v>18750</v>
      </c>
      <c r="G245" s="700">
        <v>21478</v>
      </c>
    </row>
    <row r="246" spans="1:7" x14ac:dyDescent="0.35">
      <c r="A246" s="688" t="s">
        <v>1568</v>
      </c>
      <c r="B246" s="462">
        <v>850</v>
      </c>
      <c r="C246" s="691" t="s">
        <v>1569</v>
      </c>
      <c r="D246" s="701" t="s">
        <v>826</v>
      </c>
      <c r="E246" s="81" t="s">
        <v>1254</v>
      </c>
      <c r="F246" s="700">
        <v>17011.933333333334</v>
      </c>
      <c r="G246" s="700">
        <v>18929</v>
      </c>
    </row>
    <row r="247" spans="1:7" x14ac:dyDescent="0.35">
      <c r="A247" s="688" t="s">
        <v>1570</v>
      </c>
      <c r="B247" s="462">
        <v>851</v>
      </c>
      <c r="C247" s="691" t="s">
        <v>1569</v>
      </c>
      <c r="D247" s="701" t="s">
        <v>826</v>
      </c>
      <c r="E247" s="81" t="s">
        <v>1254</v>
      </c>
      <c r="F247" s="700">
        <v>15750</v>
      </c>
      <c r="G247" s="700">
        <v>18929</v>
      </c>
    </row>
    <row r="248" spans="1:7" x14ac:dyDescent="0.35">
      <c r="A248" s="688" t="s">
        <v>1571</v>
      </c>
      <c r="B248" s="462">
        <v>852</v>
      </c>
      <c r="C248" s="691" t="s">
        <v>1569</v>
      </c>
      <c r="D248" s="701" t="s">
        <v>700</v>
      </c>
      <c r="E248" s="81" t="s">
        <v>1349</v>
      </c>
      <c r="F248" s="700">
        <v>41750</v>
      </c>
      <c r="G248" s="700">
        <v>45500</v>
      </c>
    </row>
    <row r="249" spans="1:7" x14ac:dyDescent="0.35">
      <c r="A249" s="688" t="s">
        <v>1572</v>
      </c>
      <c r="B249" s="462">
        <v>853</v>
      </c>
      <c r="C249" s="691" t="s">
        <v>1573</v>
      </c>
      <c r="D249" s="701" t="s">
        <v>700</v>
      </c>
      <c r="E249" s="81" t="s">
        <v>1134</v>
      </c>
      <c r="F249" s="700">
        <v>31750</v>
      </c>
      <c r="G249" s="700">
        <v>35500</v>
      </c>
    </row>
    <row r="250" spans="1:7" x14ac:dyDescent="0.35">
      <c r="A250" s="688" t="s">
        <v>1574</v>
      </c>
      <c r="B250" s="462">
        <v>854</v>
      </c>
      <c r="C250" s="691" t="s">
        <v>1575</v>
      </c>
      <c r="D250" s="701" t="s">
        <v>826</v>
      </c>
      <c r="E250" s="81" t="s">
        <v>1019</v>
      </c>
      <c r="F250" s="700">
        <v>76000</v>
      </c>
      <c r="G250" s="700">
        <v>79750</v>
      </c>
    </row>
    <row r="251" spans="1:7" x14ac:dyDescent="0.35">
      <c r="A251" s="694" t="s">
        <v>1576</v>
      </c>
      <c r="B251" s="695">
        <v>855</v>
      </c>
      <c r="C251" s="696" t="s">
        <v>1577</v>
      </c>
      <c r="D251" s="702" t="s">
        <v>700</v>
      </c>
      <c r="E251" s="698" t="s">
        <v>1134</v>
      </c>
      <c r="F251" s="699">
        <v>36400</v>
      </c>
      <c r="G251" s="699">
        <v>40150</v>
      </c>
    </row>
    <row r="252" spans="1:7" x14ac:dyDescent="0.35">
      <c r="A252" s="688" t="s">
        <v>1578</v>
      </c>
      <c r="B252" s="462">
        <v>856</v>
      </c>
      <c r="C252" s="691" t="s">
        <v>1577</v>
      </c>
      <c r="D252" s="701" t="s">
        <v>826</v>
      </c>
      <c r="E252" s="81" t="s">
        <v>1579</v>
      </c>
      <c r="F252" s="700">
        <v>30750</v>
      </c>
      <c r="G252" s="700">
        <v>34500</v>
      </c>
    </row>
    <row r="253" spans="1:7" x14ac:dyDescent="0.35">
      <c r="A253" s="688" t="s">
        <v>1580</v>
      </c>
      <c r="B253" s="462">
        <v>857</v>
      </c>
      <c r="C253" s="691" t="s">
        <v>1581</v>
      </c>
      <c r="D253" s="701" t="s">
        <v>826</v>
      </c>
      <c r="E253" s="81" t="s">
        <v>1231</v>
      </c>
      <c r="F253" s="700">
        <v>68500</v>
      </c>
      <c r="G253" s="700">
        <v>72250</v>
      </c>
    </row>
    <row r="254" spans="1:7" x14ac:dyDescent="0.35">
      <c r="A254" s="688" t="s">
        <v>1582</v>
      </c>
      <c r="B254" s="462">
        <v>858</v>
      </c>
      <c r="C254" s="691" t="s">
        <v>1581</v>
      </c>
      <c r="D254" s="701" t="s">
        <v>826</v>
      </c>
      <c r="E254" s="81" t="s">
        <v>1583</v>
      </c>
      <c r="F254" s="700">
        <v>41971</v>
      </c>
      <c r="G254" s="700">
        <v>45721</v>
      </c>
    </row>
    <row r="255" spans="1:7" x14ac:dyDescent="0.35">
      <c r="A255" s="688" t="s">
        <v>1584</v>
      </c>
      <c r="B255" s="462">
        <v>859</v>
      </c>
      <c r="C255" s="691" t="s">
        <v>1585</v>
      </c>
      <c r="D255" s="701" t="s">
        <v>826</v>
      </c>
      <c r="E255" s="81" t="s">
        <v>1019</v>
      </c>
      <c r="F255" s="700">
        <v>52000</v>
      </c>
      <c r="G255" s="700">
        <v>55750</v>
      </c>
    </row>
    <row r="256" spans="1:7" x14ac:dyDescent="0.35">
      <c r="A256" s="688" t="s">
        <v>1586</v>
      </c>
      <c r="B256" s="462">
        <v>860</v>
      </c>
      <c r="C256" s="691" t="s">
        <v>1585</v>
      </c>
      <c r="D256" s="701" t="s">
        <v>700</v>
      </c>
      <c r="E256" s="81" t="s">
        <v>1134</v>
      </c>
      <c r="F256" s="700">
        <v>36450</v>
      </c>
      <c r="G256" s="700">
        <v>40200</v>
      </c>
    </row>
    <row r="257" spans="1:7" x14ac:dyDescent="0.35">
      <c r="A257" s="688" t="s">
        <v>1587</v>
      </c>
      <c r="B257" s="462">
        <v>861</v>
      </c>
      <c r="C257" s="691" t="s">
        <v>1585</v>
      </c>
      <c r="D257" s="701" t="s">
        <v>700</v>
      </c>
      <c r="E257" s="81" t="s">
        <v>1134</v>
      </c>
      <c r="F257" s="700">
        <v>26846</v>
      </c>
      <c r="G257" s="700">
        <v>30596</v>
      </c>
    </row>
    <row r="258" spans="1:7" x14ac:dyDescent="0.35">
      <c r="A258" s="688" t="s">
        <v>1588</v>
      </c>
      <c r="B258" s="462">
        <v>863</v>
      </c>
      <c r="C258" s="691" t="s">
        <v>1585</v>
      </c>
      <c r="D258" s="701" t="s">
        <v>700</v>
      </c>
      <c r="E258" s="81" t="s">
        <v>1134</v>
      </c>
      <c r="F258" s="700">
        <v>40750</v>
      </c>
      <c r="G258" s="700">
        <v>44500</v>
      </c>
    </row>
    <row r="259" spans="1:7" x14ac:dyDescent="0.35">
      <c r="A259" s="688" t="s">
        <v>1589</v>
      </c>
      <c r="B259" s="462">
        <v>864</v>
      </c>
      <c r="C259" s="691" t="s">
        <v>1590</v>
      </c>
      <c r="D259" s="701" t="s">
        <v>700</v>
      </c>
      <c r="E259" s="81" t="s">
        <v>1134</v>
      </c>
      <c r="F259" s="700">
        <v>40750</v>
      </c>
      <c r="G259" s="700">
        <v>44500</v>
      </c>
    </row>
    <row r="260" spans="1:7" x14ac:dyDescent="0.35">
      <c r="A260" s="688" t="s">
        <v>1591</v>
      </c>
      <c r="B260" s="462">
        <v>866</v>
      </c>
      <c r="C260" s="691" t="s">
        <v>1592</v>
      </c>
      <c r="D260" s="701" t="s">
        <v>700</v>
      </c>
      <c r="E260" s="81" t="s">
        <v>1389</v>
      </c>
      <c r="F260" s="700">
        <v>50750</v>
      </c>
      <c r="G260" s="700">
        <v>53500</v>
      </c>
    </row>
    <row r="261" spans="1:7" x14ac:dyDescent="0.35">
      <c r="A261" s="688" t="s">
        <v>1593</v>
      </c>
      <c r="B261" s="462">
        <v>867</v>
      </c>
      <c r="C261" s="691" t="s">
        <v>1592</v>
      </c>
      <c r="D261" s="701" t="s">
        <v>700</v>
      </c>
      <c r="E261" s="81" t="s">
        <v>1349</v>
      </c>
      <c r="F261" s="700">
        <v>47250</v>
      </c>
      <c r="G261" s="700">
        <v>47500</v>
      </c>
    </row>
    <row r="262" spans="1:7" x14ac:dyDescent="0.35">
      <c r="A262" s="688" t="s">
        <v>1594</v>
      </c>
      <c r="B262" s="462">
        <v>868</v>
      </c>
      <c r="C262" s="691" t="s">
        <v>1592</v>
      </c>
      <c r="D262" s="701" t="s">
        <v>700</v>
      </c>
      <c r="E262" s="81" t="s">
        <v>1349</v>
      </c>
      <c r="F262" s="700">
        <v>45750</v>
      </c>
      <c r="G262" s="700">
        <v>49500</v>
      </c>
    </row>
    <row r="263" spans="1:7" x14ac:dyDescent="0.35">
      <c r="A263" s="688" t="s">
        <v>1595</v>
      </c>
      <c r="B263" s="462">
        <v>870</v>
      </c>
      <c r="C263" s="691" t="s">
        <v>1596</v>
      </c>
      <c r="D263" s="701" t="s">
        <v>700</v>
      </c>
      <c r="E263" s="81" t="s">
        <v>1389</v>
      </c>
      <c r="F263" s="700">
        <v>45075</v>
      </c>
      <c r="G263" s="700">
        <v>46500</v>
      </c>
    </row>
    <row r="264" spans="1:7" x14ac:dyDescent="0.35">
      <c r="A264" s="688" t="s">
        <v>1597</v>
      </c>
      <c r="B264" s="462">
        <v>871</v>
      </c>
      <c r="C264" s="691" t="s">
        <v>1598</v>
      </c>
      <c r="D264" s="701" t="s">
        <v>700</v>
      </c>
      <c r="E264" s="81" t="s">
        <v>1134</v>
      </c>
      <c r="F264" s="700">
        <v>40750</v>
      </c>
      <c r="G264" s="700">
        <v>44500</v>
      </c>
    </row>
    <row r="265" spans="1:7" x14ac:dyDescent="0.35">
      <c r="A265" s="694" t="s">
        <v>1599</v>
      </c>
      <c r="B265" s="695">
        <v>872</v>
      </c>
      <c r="C265" s="696" t="s">
        <v>1600</v>
      </c>
      <c r="D265" s="702" t="s">
        <v>826</v>
      </c>
      <c r="E265" s="698" t="s">
        <v>1239</v>
      </c>
      <c r="F265" s="699">
        <v>92534</v>
      </c>
      <c r="G265" s="699">
        <v>96284</v>
      </c>
    </row>
    <row r="266" spans="1:7" x14ac:dyDescent="0.35">
      <c r="A266" s="688" t="s">
        <v>1601</v>
      </c>
      <c r="B266" s="462">
        <v>873</v>
      </c>
      <c r="C266" s="691" t="s">
        <v>1602</v>
      </c>
      <c r="D266" s="701" t="s">
        <v>700</v>
      </c>
      <c r="E266" s="81" t="s">
        <v>1145</v>
      </c>
      <c r="F266" s="700">
        <v>32750</v>
      </c>
      <c r="G266" s="700">
        <v>36500</v>
      </c>
    </row>
    <row r="267" spans="1:7" x14ac:dyDescent="0.35">
      <c r="A267" s="688" t="s">
        <v>1603</v>
      </c>
      <c r="B267" s="462">
        <v>875</v>
      </c>
      <c r="C267" s="691">
        <v>45788</v>
      </c>
      <c r="D267" s="701" t="s">
        <v>826</v>
      </c>
      <c r="E267" s="81" t="s">
        <v>1019</v>
      </c>
      <c r="F267" s="700">
        <v>59750</v>
      </c>
      <c r="G267" s="700">
        <v>63500</v>
      </c>
    </row>
    <row r="268" spans="1:7" x14ac:dyDescent="0.35">
      <c r="A268" s="688" t="s">
        <v>1604</v>
      </c>
      <c r="B268" s="462">
        <v>876</v>
      </c>
      <c r="C268" s="691">
        <v>45788</v>
      </c>
      <c r="D268" s="701" t="s">
        <v>700</v>
      </c>
      <c r="E268" s="81" t="s">
        <v>1134</v>
      </c>
      <c r="F268" s="700">
        <v>35750</v>
      </c>
      <c r="G268" s="700">
        <v>39500</v>
      </c>
    </row>
    <row r="269" spans="1:7" x14ac:dyDescent="0.35">
      <c r="A269" s="688" t="s">
        <v>1605</v>
      </c>
      <c r="B269" s="462">
        <v>877</v>
      </c>
      <c r="C269" s="691">
        <v>45819</v>
      </c>
      <c r="D269" s="701" t="s">
        <v>700</v>
      </c>
      <c r="E269" s="81" t="s">
        <v>1134</v>
      </c>
      <c r="F269" s="700">
        <v>35750</v>
      </c>
      <c r="G269" s="700">
        <v>39500</v>
      </c>
    </row>
    <row r="270" spans="1:7" x14ac:dyDescent="0.35">
      <c r="A270" s="688" t="s">
        <v>1606</v>
      </c>
      <c r="B270" s="462">
        <v>878</v>
      </c>
      <c r="C270" s="691">
        <v>45819</v>
      </c>
      <c r="D270" s="701" t="s">
        <v>700</v>
      </c>
      <c r="E270" s="81" t="s">
        <v>1134</v>
      </c>
      <c r="F270" s="700">
        <v>31750</v>
      </c>
      <c r="G270" s="700">
        <v>35500</v>
      </c>
    </row>
    <row r="271" spans="1:7" x14ac:dyDescent="0.35">
      <c r="A271" s="688" t="s">
        <v>1607</v>
      </c>
      <c r="B271" s="462">
        <v>879</v>
      </c>
      <c r="C271" s="691">
        <v>45819</v>
      </c>
      <c r="D271" s="701" t="s">
        <v>700</v>
      </c>
      <c r="E271" s="81" t="s">
        <v>1349</v>
      </c>
      <c r="F271" s="700">
        <v>44541.666666666664</v>
      </c>
      <c r="G271" s="700">
        <v>47500</v>
      </c>
    </row>
    <row r="272" spans="1:7" x14ac:dyDescent="0.35">
      <c r="A272" s="688" t="s">
        <v>1608</v>
      </c>
      <c r="B272" s="462">
        <v>880</v>
      </c>
      <c r="C272" s="691">
        <v>45941</v>
      </c>
      <c r="D272" s="701" t="s">
        <v>1315</v>
      </c>
      <c r="E272" s="81" t="s">
        <v>1316</v>
      </c>
      <c r="F272" s="700">
        <v>15750</v>
      </c>
      <c r="G272" s="700">
        <v>18929</v>
      </c>
    </row>
    <row r="273" spans="1:7" x14ac:dyDescent="0.35">
      <c r="A273" s="688" t="s">
        <v>1609</v>
      </c>
      <c r="B273" s="462">
        <v>881</v>
      </c>
      <c r="C273" s="691">
        <v>46002</v>
      </c>
      <c r="D273" s="701" t="s">
        <v>700</v>
      </c>
      <c r="E273" s="81" t="s">
        <v>1389</v>
      </c>
      <c r="F273" s="700">
        <v>46750</v>
      </c>
      <c r="G273" s="700">
        <v>50500</v>
      </c>
    </row>
    <row r="274" spans="1:7" x14ac:dyDescent="0.35">
      <c r="A274" s="688" t="s">
        <v>1610</v>
      </c>
      <c r="B274" s="462">
        <v>882</v>
      </c>
      <c r="C274" s="691" t="s">
        <v>1611</v>
      </c>
      <c r="D274" s="701" t="s">
        <v>925</v>
      </c>
      <c r="E274" s="81" t="s">
        <v>1357</v>
      </c>
      <c r="F274" s="700">
        <v>22150</v>
      </c>
      <c r="G274" s="700">
        <v>25342</v>
      </c>
    </row>
    <row r="275" spans="1:7" x14ac:dyDescent="0.35">
      <c r="A275" s="688" t="s">
        <v>1612</v>
      </c>
      <c r="B275" s="462">
        <v>883</v>
      </c>
      <c r="C275" s="691" t="s">
        <v>1611</v>
      </c>
      <c r="D275" s="701" t="s">
        <v>700</v>
      </c>
      <c r="E275" s="81" t="s">
        <v>1134</v>
      </c>
      <c r="F275" s="700">
        <v>33450</v>
      </c>
      <c r="G275" s="700">
        <v>37200</v>
      </c>
    </row>
    <row r="276" spans="1:7" x14ac:dyDescent="0.35">
      <c r="A276" s="688" t="s">
        <v>1613</v>
      </c>
      <c r="B276" s="462">
        <v>884</v>
      </c>
      <c r="C276" s="691" t="s">
        <v>1614</v>
      </c>
      <c r="D276" s="701" t="s">
        <v>700</v>
      </c>
      <c r="E276" s="81" t="s">
        <v>1389</v>
      </c>
      <c r="F276" s="700">
        <v>50250</v>
      </c>
      <c r="G276" s="700">
        <v>54000</v>
      </c>
    </row>
    <row r="277" spans="1:7" x14ac:dyDescent="0.35">
      <c r="A277" s="704" t="s">
        <v>1615</v>
      </c>
      <c r="B277" s="705">
        <v>885</v>
      </c>
      <c r="C277" s="706" t="s">
        <v>1616</v>
      </c>
      <c r="D277" s="707" t="s">
        <v>826</v>
      </c>
      <c r="E277" s="595" t="s">
        <v>1617</v>
      </c>
      <c r="F277" s="708">
        <v>30750</v>
      </c>
      <c r="G277" s="708">
        <v>34500</v>
      </c>
    </row>
    <row r="278" spans="1:7" x14ac:dyDescent="0.35">
      <c r="A278" s="704" t="s">
        <v>1618</v>
      </c>
      <c r="B278" s="705">
        <v>886</v>
      </c>
      <c r="C278" s="706" t="s">
        <v>1619</v>
      </c>
      <c r="D278" s="707" t="s">
        <v>826</v>
      </c>
      <c r="E278" s="595" t="s">
        <v>1025</v>
      </c>
      <c r="F278" s="708">
        <v>14340</v>
      </c>
      <c r="G278" s="708">
        <v>17144</v>
      </c>
    </row>
    <row r="279" spans="1:7" x14ac:dyDescent="0.35">
      <c r="A279" s="704" t="s">
        <v>1620</v>
      </c>
      <c r="B279" s="705">
        <v>888</v>
      </c>
      <c r="C279" s="706" t="s">
        <v>1621</v>
      </c>
      <c r="D279" s="707" t="s">
        <v>826</v>
      </c>
      <c r="E279" s="595" t="s">
        <v>1316</v>
      </c>
      <c r="F279" s="708">
        <v>16042</v>
      </c>
      <c r="G279" s="708">
        <v>18929</v>
      </c>
    </row>
    <row r="280" spans="1:7" x14ac:dyDescent="0.35">
      <c r="A280" s="704" t="s">
        <v>1622</v>
      </c>
      <c r="B280" s="705">
        <v>889</v>
      </c>
      <c r="C280" s="706" t="s">
        <v>1623</v>
      </c>
      <c r="D280" s="707" t="s">
        <v>826</v>
      </c>
      <c r="E280" s="595" t="s">
        <v>1019</v>
      </c>
      <c r="F280" s="708">
        <v>65257</v>
      </c>
      <c r="G280" s="708">
        <v>69007</v>
      </c>
    </row>
    <row r="281" spans="1:7" x14ac:dyDescent="0.35">
      <c r="A281" s="704" t="s">
        <v>1624</v>
      </c>
      <c r="B281" s="705">
        <v>890</v>
      </c>
      <c r="C281" s="706" t="s">
        <v>1623</v>
      </c>
      <c r="D281" s="707" t="s">
        <v>826</v>
      </c>
      <c r="E281" s="595" t="s">
        <v>1579</v>
      </c>
      <c r="F281" s="708">
        <v>41000</v>
      </c>
      <c r="G281" s="708">
        <v>44750</v>
      </c>
    </row>
    <row r="282" spans="1:7" x14ac:dyDescent="0.35">
      <c r="A282" s="704" t="s">
        <v>1625</v>
      </c>
      <c r="B282" s="705">
        <v>891</v>
      </c>
      <c r="C282" s="706" t="s">
        <v>1623</v>
      </c>
      <c r="D282" s="707" t="s">
        <v>826</v>
      </c>
      <c r="E282" s="595" t="s">
        <v>1254</v>
      </c>
      <c r="F282" s="708">
        <v>16435</v>
      </c>
      <c r="G282" s="708">
        <v>18929</v>
      </c>
    </row>
    <row r="283" spans="1:7" x14ac:dyDescent="0.35">
      <c r="A283" s="704" t="s">
        <v>1626</v>
      </c>
      <c r="B283" s="705">
        <v>892</v>
      </c>
      <c r="C283" s="706" t="s">
        <v>1623</v>
      </c>
      <c r="D283" s="707" t="s">
        <v>700</v>
      </c>
      <c r="E283" s="595" t="s">
        <v>1627</v>
      </c>
      <c r="F283" s="708">
        <v>53550</v>
      </c>
      <c r="G283" s="708">
        <v>57300</v>
      </c>
    </row>
    <row r="284" spans="1:7" x14ac:dyDescent="0.35">
      <c r="A284" s="704" t="s">
        <v>1628</v>
      </c>
      <c r="B284" s="705">
        <v>893</v>
      </c>
      <c r="C284" s="706" t="s">
        <v>1623</v>
      </c>
      <c r="D284" s="707" t="s">
        <v>700</v>
      </c>
      <c r="E284" s="595" t="s">
        <v>1627</v>
      </c>
      <c r="F284" s="708">
        <v>39250</v>
      </c>
      <c r="G284" s="708">
        <v>43000</v>
      </c>
    </row>
    <row r="285" spans="1:7" x14ac:dyDescent="0.35">
      <c r="A285" s="704" t="s">
        <v>1629</v>
      </c>
      <c r="B285" s="705">
        <v>894</v>
      </c>
      <c r="C285" s="706" t="s">
        <v>1630</v>
      </c>
      <c r="D285" s="707" t="s">
        <v>826</v>
      </c>
      <c r="E285" s="595" t="s">
        <v>1019</v>
      </c>
      <c r="F285" s="708">
        <v>62745</v>
      </c>
      <c r="G285" s="708">
        <v>66495</v>
      </c>
    </row>
    <row r="286" spans="1:7" x14ac:dyDescent="0.35">
      <c r="A286" s="704" t="s">
        <v>1631</v>
      </c>
      <c r="B286" s="705">
        <v>895</v>
      </c>
      <c r="C286" s="706" t="s">
        <v>1632</v>
      </c>
      <c r="D286" s="707" t="s">
        <v>826</v>
      </c>
      <c r="E286" s="595" t="s">
        <v>1226</v>
      </c>
      <c r="F286" s="708">
        <v>81459</v>
      </c>
      <c r="G286" s="708">
        <v>85209</v>
      </c>
    </row>
    <row r="287" spans="1:7" x14ac:dyDescent="0.35">
      <c r="A287" s="704" t="s">
        <v>1633</v>
      </c>
      <c r="B287" s="705">
        <v>896</v>
      </c>
      <c r="C287" s="706" t="s">
        <v>1632</v>
      </c>
      <c r="D287" s="707" t="s">
        <v>700</v>
      </c>
      <c r="E287" s="595" t="s">
        <v>1627</v>
      </c>
      <c r="F287" s="708">
        <v>52750</v>
      </c>
      <c r="G287" s="708">
        <v>56500</v>
      </c>
    </row>
    <row r="288" spans="1:7" x14ac:dyDescent="0.35">
      <c r="A288" s="704" t="s">
        <v>1634</v>
      </c>
      <c r="B288" s="705">
        <v>897</v>
      </c>
      <c r="C288" s="706" t="s">
        <v>1632</v>
      </c>
      <c r="D288" s="707" t="s">
        <v>700</v>
      </c>
      <c r="E288" s="595" t="s">
        <v>1349</v>
      </c>
      <c r="F288" s="708">
        <v>47214</v>
      </c>
      <c r="G288" s="708">
        <v>50700</v>
      </c>
    </row>
    <row r="289" spans="1:7" x14ac:dyDescent="0.35">
      <c r="A289" s="704" t="s">
        <v>1635</v>
      </c>
      <c r="B289" s="705">
        <v>898</v>
      </c>
      <c r="C289" s="706" t="s">
        <v>1632</v>
      </c>
      <c r="D289" s="707" t="s">
        <v>700</v>
      </c>
      <c r="E289" s="595" t="s">
        <v>1627</v>
      </c>
      <c r="F289" s="708">
        <v>33248</v>
      </c>
      <c r="G289" s="708">
        <v>35750</v>
      </c>
    </row>
    <row r="290" spans="1:7" x14ac:dyDescent="0.35">
      <c r="A290" s="704" t="s">
        <v>1636</v>
      </c>
      <c r="B290" s="705">
        <v>899</v>
      </c>
      <c r="C290" s="706" t="s">
        <v>1632</v>
      </c>
      <c r="D290" s="707" t="s">
        <v>700</v>
      </c>
      <c r="E290" s="595" t="s">
        <v>1136</v>
      </c>
      <c r="F290" s="708">
        <v>16173</v>
      </c>
      <c r="G290" s="708">
        <v>17894</v>
      </c>
    </row>
    <row r="291" spans="1:7" x14ac:dyDescent="0.35">
      <c r="A291" s="704" t="s">
        <v>1637</v>
      </c>
      <c r="B291" s="705">
        <v>900</v>
      </c>
      <c r="C291" s="706" t="s">
        <v>1632</v>
      </c>
      <c r="D291" s="707" t="s">
        <v>700</v>
      </c>
      <c r="E291" s="595" t="s">
        <v>1389</v>
      </c>
      <c r="F291" s="708">
        <v>47960</v>
      </c>
      <c r="G291" s="708">
        <v>51500</v>
      </c>
    </row>
    <row r="292" spans="1:7" x14ac:dyDescent="0.35">
      <c r="A292" s="704" t="s">
        <v>1638</v>
      </c>
      <c r="B292" s="705">
        <v>901</v>
      </c>
      <c r="C292" s="706" t="s">
        <v>1632</v>
      </c>
      <c r="D292" s="707" t="s">
        <v>700</v>
      </c>
      <c r="E292" s="595" t="s">
        <v>1139</v>
      </c>
      <c r="F292" s="708">
        <v>19371</v>
      </c>
      <c r="G292" s="708">
        <v>20897</v>
      </c>
    </row>
    <row r="293" spans="1:7" x14ac:dyDescent="0.35">
      <c r="A293" s="704" t="s">
        <v>1639</v>
      </c>
      <c r="B293" s="705">
        <v>902</v>
      </c>
      <c r="C293" s="706" t="s">
        <v>1632</v>
      </c>
      <c r="D293" s="707" t="s">
        <v>700</v>
      </c>
      <c r="E293" s="595" t="s">
        <v>1139</v>
      </c>
      <c r="F293" s="708">
        <v>19371</v>
      </c>
      <c r="G293" s="708">
        <v>20897</v>
      </c>
    </row>
    <row r="294" spans="1:7" x14ac:dyDescent="0.35">
      <c r="A294" s="704" t="s">
        <v>1640</v>
      </c>
      <c r="B294" s="705">
        <v>903</v>
      </c>
      <c r="C294" s="706" t="s">
        <v>1632</v>
      </c>
      <c r="D294" s="707" t="s">
        <v>700</v>
      </c>
      <c r="E294" s="595" t="s">
        <v>1145</v>
      </c>
      <c r="F294" s="708">
        <v>27346</v>
      </c>
      <c r="G294" s="708">
        <v>29432</v>
      </c>
    </row>
    <row r="295" spans="1:7" x14ac:dyDescent="0.35">
      <c r="A295" s="704" t="s">
        <v>1641</v>
      </c>
      <c r="B295" s="705">
        <v>904</v>
      </c>
      <c r="C295" s="706" t="s">
        <v>1632</v>
      </c>
      <c r="D295" s="707" t="s">
        <v>700</v>
      </c>
      <c r="E295" s="595" t="s">
        <v>1025</v>
      </c>
      <c r="F295" s="708">
        <v>17118</v>
      </c>
      <c r="G295" s="708">
        <v>18929</v>
      </c>
    </row>
    <row r="296" spans="1:7" x14ac:dyDescent="0.35">
      <c r="A296" s="704" t="s">
        <v>1642</v>
      </c>
      <c r="B296" s="705">
        <v>905</v>
      </c>
      <c r="C296" s="706" t="s">
        <v>1632</v>
      </c>
      <c r="D296" s="707" t="s">
        <v>700</v>
      </c>
      <c r="E296" s="595" t="s">
        <v>1136</v>
      </c>
      <c r="F296" s="708">
        <v>16173</v>
      </c>
      <c r="G296" s="708">
        <v>17894</v>
      </c>
    </row>
    <row r="297" spans="1:7" x14ac:dyDescent="0.35">
      <c r="A297" s="704" t="s">
        <v>1643</v>
      </c>
      <c r="B297" s="705">
        <v>906</v>
      </c>
      <c r="C297" s="706" t="s">
        <v>1632</v>
      </c>
      <c r="D297" s="707" t="s">
        <v>700</v>
      </c>
      <c r="E297" s="595" t="s">
        <v>1136</v>
      </c>
      <c r="F297" s="708">
        <v>16173</v>
      </c>
      <c r="G297" s="708">
        <v>17894</v>
      </c>
    </row>
    <row r="298" spans="1:7" x14ac:dyDescent="0.35">
      <c r="A298" s="704" t="s">
        <v>1644</v>
      </c>
      <c r="B298" s="705">
        <v>907</v>
      </c>
      <c r="C298" s="706" t="s">
        <v>1632</v>
      </c>
      <c r="D298" s="707" t="s">
        <v>700</v>
      </c>
      <c r="E298" s="595" t="s">
        <v>1136</v>
      </c>
      <c r="F298" s="708">
        <v>16173</v>
      </c>
      <c r="G298" s="708">
        <v>17894</v>
      </c>
    </row>
    <row r="299" spans="1:7" x14ac:dyDescent="0.35">
      <c r="A299" s="704" t="s">
        <v>1645</v>
      </c>
      <c r="B299" s="705">
        <v>908</v>
      </c>
      <c r="C299" s="706" t="s">
        <v>1632</v>
      </c>
      <c r="D299" s="707" t="s">
        <v>700</v>
      </c>
      <c r="E299" s="595" t="s">
        <v>1139</v>
      </c>
      <c r="F299" s="708">
        <v>19371</v>
      </c>
      <c r="G299" s="708">
        <v>20897</v>
      </c>
    </row>
    <row r="300" spans="1:7" x14ac:dyDescent="0.35">
      <c r="A300" s="704" t="s">
        <v>1646</v>
      </c>
      <c r="B300" s="705">
        <v>909</v>
      </c>
      <c r="C300" s="706" t="s">
        <v>1632</v>
      </c>
      <c r="D300" s="707" t="s">
        <v>700</v>
      </c>
      <c r="E300" s="595" t="s">
        <v>1139</v>
      </c>
      <c r="F300" s="708">
        <v>19371</v>
      </c>
      <c r="G300" s="708">
        <v>20897</v>
      </c>
    </row>
    <row r="301" spans="1:7" x14ac:dyDescent="0.35">
      <c r="A301" s="704" t="s">
        <v>1647</v>
      </c>
      <c r="B301" s="705">
        <v>910</v>
      </c>
      <c r="C301" s="706" t="s">
        <v>1632</v>
      </c>
      <c r="D301" s="707" t="s">
        <v>700</v>
      </c>
      <c r="E301" s="595" t="s">
        <v>1139</v>
      </c>
      <c r="F301" s="708">
        <v>19371</v>
      </c>
      <c r="G301" s="708">
        <v>20897</v>
      </c>
    </row>
    <row r="302" spans="1:7" x14ac:dyDescent="0.35">
      <c r="A302" s="704" t="s">
        <v>1648</v>
      </c>
      <c r="B302" s="705">
        <v>911</v>
      </c>
      <c r="C302" s="706" t="s">
        <v>1632</v>
      </c>
      <c r="D302" s="707" t="s">
        <v>700</v>
      </c>
      <c r="E302" s="595" t="s">
        <v>1139</v>
      </c>
      <c r="F302" s="708">
        <v>19371</v>
      </c>
      <c r="G302" s="708">
        <v>20897</v>
      </c>
    </row>
    <row r="303" spans="1:7" x14ac:dyDescent="0.35">
      <c r="A303" s="704" t="s">
        <v>1649</v>
      </c>
      <c r="B303" s="705">
        <v>912</v>
      </c>
      <c r="C303" s="706" t="s">
        <v>1632</v>
      </c>
      <c r="D303" s="707" t="s">
        <v>700</v>
      </c>
      <c r="E303" s="595" t="s">
        <v>1139</v>
      </c>
      <c r="F303" s="708">
        <v>19371</v>
      </c>
      <c r="G303" s="708">
        <v>20897</v>
      </c>
    </row>
    <row r="304" spans="1:7" x14ac:dyDescent="0.35">
      <c r="A304" s="704" t="s">
        <v>1650</v>
      </c>
      <c r="B304" s="705">
        <v>913</v>
      </c>
      <c r="C304" s="706" t="s">
        <v>1632</v>
      </c>
      <c r="D304" s="707" t="s">
        <v>700</v>
      </c>
      <c r="E304" s="595" t="s">
        <v>1136</v>
      </c>
      <c r="F304" s="708">
        <v>16173</v>
      </c>
      <c r="G304" s="708">
        <v>17894</v>
      </c>
    </row>
    <row r="305" spans="1:7" x14ac:dyDescent="0.35">
      <c r="A305" s="704" t="s">
        <v>1651</v>
      </c>
      <c r="B305" s="705">
        <v>914</v>
      </c>
      <c r="C305" s="706" t="s">
        <v>1652</v>
      </c>
      <c r="D305" s="707" t="s">
        <v>700</v>
      </c>
      <c r="E305" s="595" t="s">
        <v>1136</v>
      </c>
      <c r="F305" s="708">
        <v>16266</v>
      </c>
      <c r="G305" s="708">
        <v>17894</v>
      </c>
    </row>
    <row r="306" spans="1:7" x14ac:dyDescent="0.35">
      <c r="A306" s="704" t="s">
        <v>1653</v>
      </c>
      <c r="B306" s="705">
        <v>915</v>
      </c>
      <c r="C306" s="706" t="s">
        <v>1652</v>
      </c>
      <c r="D306" s="707" t="s">
        <v>700</v>
      </c>
      <c r="E306" s="595" t="s">
        <v>1136</v>
      </c>
      <c r="F306" s="708">
        <v>16266</v>
      </c>
      <c r="G306" s="708">
        <v>17894</v>
      </c>
    </row>
    <row r="307" spans="1:7" x14ac:dyDescent="0.35">
      <c r="A307" s="704" t="s">
        <v>1654</v>
      </c>
      <c r="B307" s="705">
        <v>916</v>
      </c>
      <c r="C307" s="706" t="s">
        <v>1652</v>
      </c>
      <c r="D307" s="707" t="s">
        <v>700</v>
      </c>
      <c r="E307" s="595" t="s">
        <v>1389</v>
      </c>
      <c r="F307" s="708">
        <v>50036</v>
      </c>
      <c r="G307" s="708">
        <v>53500</v>
      </c>
    </row>
    <row r="308" spans="1:7" x14ac:dyDescent="0.35">
      <c r="A308" s="704" t="s">
        <v>1655</v>
      </c>
      <c r="B308" s="705">
        <v>917</v>
      </c>
      <c r="C308" s="706" t="s">
        <v>1652</v>
      </c>
      <c r="D308" s="707" t="s">
        <v>700</v>
      </c>
      <c r="E308" s="595" t="s">
        <v>1139</v>
      </c>
      <c r="F308" s="708">
        <v>19453</v>
      </c>
      <c r="G308" s="708">
        <v>20897</v>
      </c>
    </row>
    <row r="309" spans="1:7" x14ac:dyDescent="0.35">
      <c r="A309" s="704" t="s">
        <v>1656</v>
      </c>
      <c r="B309" s="705">
        <v>918</v>
      </c>
      <c r="C309" s="706" t="s">
        <v>1657</v>
      </c>
      <c r="D309" s="707" t="s">
        <v>826</v>
      </c>
      <c r="E309" s="595" t="s">
        <v>1258</v>
      </c>
      <c r="F309" s="708">
        <v>41090</v>
      </c>
      <c r="G309" s="708">
        <v>42900</v>
      </c>
    </row>
    <row r="310" spans="1:7" x14ac:dyDescent="0.35">
      <c r="F310" s="709">
        <f>SUM(F2:F309)</f>
        <v>11032230.183333334</v>
      </c>
      <c r="G310" s="710">
        <f>SUM(G2:G309)</f>
        <v>11706648</v>
      </c>
    </row>
  </sheetData>
  <autoFilter ref="A1:G310" xr:uid="{13533DD9-7975-4AE9-A3EC-285E3B7F8B69}"/>
  <conditionalFormatting sqref="A2:A27">
    <cfRule type="duplicateValues" dxfId="27" priority="2"/>
  </conditionalFormatting>
  <conditionalFormatting sqref="A80:A309 A42:A54">
    <cfRule type="duplicateValues" dxfId="26" priority="3"/>
  </conditionalFormatting>
  <conditionalFormatting sqref="A93">
    <cfRule type="duplicateValues" dxfId="25" priority="1"/>
  </conditionalFormatting>
  <conditionalFormatting sqref="A99:A101 A42:A54 A103:A309">
    <cfRule type="duplicateValues" dxfId="24" priority="4"/>
  </conditionalFormatting>
  <conditionalFormatting sqref="B81:B309 B42:B53">
    <cfRule type="duplicateValues" dxfId="23" priority="5"/>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11"/>
  <sheetViews>
    <sheetView showGridLines="0" zoomScale="90" zoomScaleNormal="80" workbookViewId="0">
      <pane xSplit="1" ySplit="4" topLeftCell="G5" activePane="bottomRight" state="frozen"/>
      <selection pane="topRight" activeCell="B25" sqref="B25"/>
      <selection pane="bottomLeft" activeCell="B25" sqref="B25"/>
      <selection pane="bottomRight" activeCell="H12" sqref="H12"/>
    </sheetView>
  </sheetViews>
  <sheetFormatPr defaultColWidth="9.453125" defaultRowHeight="15.5" outlineLevelRow="1" x14ac:dyDescent="0.35"/>
  <cols>
    <col min="1" max="1" width="32.453125" style="198" customWidth="1"/>
    <col min="2" max="10" width="12.453125" customWidth="1"/>
    <col min="11" max="13" width="13.54296875" bestFit="1" customWidth="1"/>
    <col min="14" max="14" width="13.453125" customWidth="1"/>
    <col min="15" max="15" width="12.81640625" style="198" bestFit="1" customWidth="1"/>
    <col min="16" max="16" width="14.7265625" style="198" bestFit="1" customWidth="1"/>
    <col min="17" max="17" width="13.453125" customWidth="1"/>
    <col min="18" max="18" width="5" style="9" bestFit="1" customWidth="1"/>
    <col min="19" max="19" width="13.453125" customWidth="1"/>
    <col min="20" max="20" width="5" style="9" bestFit="1" customWidth="1"/>
    <col min="21" max="22" width="13.453125" customWidth="1"/>
    <col min="23" max="16384" width="9.453125" style="198"/>
  </cols>
  <sheetData>
    <row r="1" spans="1:22" s="195" customFormat="1" ht="21" x14ac:dyDescent="0.35">
      <c r="A1" s="193" t="s">
        <v>390</v>
      </c>
      <c r="B1" s="194"/>
      <c r="C1" s="194"/>
      <c r="D1" s="194"/>
      <c r="E1" s="194"/>
      <c r="F1" s="194"/>
      <c r="G1" s="194"/>
      <c r="H1" s="194"/>
      <c r="I1" s="194"/>
      <c r="J1" s="194"/>
      <c r="K1" s="194"/>
      <c r="L1" s="194"/>
      <c r="M1" s="194"/>
      <c r="N1" s="194"/>
      <c r="Q1" s="194"/>
      <c r="R1" s="394"/>
      <c r="S1" s="194"/>
      <c r="T1" s="394"/>
      <c r="U1" s="194"/>
      <c r="V1" s="194"/>
    </row>
    <row r="2" spans="1:22" ht="21" x14ac:dyDescent="0.35">
      <c r="A2" s="196" t="s">
        <v>391</v>
      </c>
      <c r="B2" s="197"/>
      <c r="C2" s="197"/>
      <c r="D2" s="197"/>
      <c r="E2" s="197"/>
      <c r="F2" s="197"/>
      <c r="G2" s="197"/>
      <c r="H2" s="197"/>
      <c r="I2" s="197"/>
      <c r="J2" s="197"/>
      <c r="K2" s="197"/>
      <c r="L2" s="197"/>
      <c r="M2" s="197"/>
      <c r="N2" s="197"/>
      <c r="O2" s="670"/>
      <c r="P2" s="670"/>
      <c r="Q2" s="197"/>
      <c r="R2" s="395"/>
      <c r="S2" s="197"/>
      <c r="T2" s="395"/>
      <c r="U2" s="197"/>
      <c r="V2" s="197"/>
    </row>
    <row r="3" spans="1:22" s="220" customFormat="1" ht="13" x14ac:dyDescent="0.35">
      <c r="A3" s="217" t="s">
        <v>392</v>
      </c>
      <c r="B3" s="218">
        <v>87</v>
      </c>
      <c r="C3" s="218">
        <v>87</v>
      </c>
      <c r="D3" s="218">
        <v>87</v>
      </c>
      <c r="E3" s="218">
        <v>87</v>
      </c>
      <c r="F3" s="218">
        <v>87</v>
      </c>
      <c r="G3" s="218">
        <v>87</v>
      </c>
      <c r="H3" s="218">
        <v>87</v>
      </c>
      <c r="I3" s="218">
        <v>87</v>
      </c>
      <c r="J3" s="218">
        <v>87</v>
      </c>
      <c r="K3" s="218">
        <v>87</v>
      </c>
      <c r="L3" s="218">
        <v>87</v>
      </c>
      <c r="M3" s="218">
        <v>87</v>
      </c>
      <c r="N3" s="219"/>
      <c r="Q3" s="219"/>
      <c r="R3" s="396"/>
      <c r="S3" s="219"/>
      <c r="T3" s="396"/>
      <c r="U3" s="219"/>
      <c r="V3" s="219"/>
    </row>
    <row r="4" spans="1:22" s="201" customFormat="1" ht="31" x14ac:dyDescent="0.35">
      <c r="A4" s="373" t="s">
        <v>268</v>
      </c>
      <c r="B4" s="373">
        <v>46023</v>
      </c>
      <c r="C4" s="373">
        <v>46054</v>
      </c>
      <c r="D4" s="373">
        <v>46082</v>
      </c>
      <c r="E4" s="373">
        <v>46113</v>
      </c>
      <c r="F4" s="373">
        <v>46143</v>
      </c>
      <c r="G4" s="373">
        <v>46174</v>
      </c>
      <c r="H4" s="373">
        <v>46204</v>
      </c>
      <c r="I4" s="373">
        <v>46235</v>
      </c>
      <c r="J4" s="373">
        <v>46266</v>
      </c>
      <c r="K4" s="373">
        <v>46296</v>
      </c>
      <c r="L4" s="373">
        <v>46327</v>
      </c>
      <c r="M4" s="373">
        <v>46357</v>
      </c>
      <c r="N4" s="373" t="s">
        <v>174</v>
      </c>
      <c r="Q4" s="373" t="s">
        <v>393</v>
      </c>
      <c r="R4" s="373" t="s">
        <v>394</v>
      </c>
      <c r="S4" s="373" t="s">
        <v>395</v>
      </c>
      <c r="T4" s="373" t="s">
        <v>394</v>
      </c>
      <c r="U4" s="373" t="s">
        <v>396</v>
      </c>
      <c r="V4" s="373" t="s">
        <v>397</v>
      </c>
    </row>
    <row r="5" spans="1:22" s="201" customFormat="1" outlineLevel="1" x14ac:dyDescent="0.35">
      <c r="A5" s="374" t="s">
        <v>344</v>
      </c>
      <c r="B5" s="375"/>
      <c r="C5" s="375"/>
      <c r="D5" s="375"/>
      <c r="E5" s="375"/>
      <c r="F5" s="376"/>
      <c r="G5" s="376"/>
      <c r="H5" s="375"/>
      <c r="I5" s="376"/>
      <c r="J5" s="375"/>
      <c r="K5" s="375"/>
      <c r="L5" s="376"/>
      <c r="M5" s="375"/>
      <c r="N5" s="375"/>
      <c r="Q5" s="375"/>
      <c r="R5" s="375"/>
      <c r="S5" s="375"/>
      <c r="T5" s="375"/>
      <c r="U5" s="375"/>
      <c r="V5" s="375"/>
    </row>
    <row r="6" spans="1:22" s="201" customFormat="1" outlineLevel="1" x14ac:dyDescent="0.35">
      <c r="A6" s="374" t="s">
        <v>398</v>
      </c>
      <c r="B6" s="376">
        <f>'1. Revenue Buildup 2026'!D13</f>
        <v>225414.12</v>
      </c>
      <c r="C6" s="376">
        <f>'1. Revenue Buildup 2026'!E13</f>
        <v>238765.5</v>
      </c>
      <c r="D6" s="376">
        <f>'1. Revenue Buildup 2026'!F13</f>
        <v>239597.86</v>
      </c>
      <c r="E6" s="376">
        <f>'1. Revenue Buildup 2026'!G13</f>
        <v>203603.86</v>
      </c>
      <c r="F6" s="376">
        <f>'1. Revenue Buildup 2026'!H13</f>
        <v>212815.5</v>
      </c>
      <c r="G6" s="376">
        <f>'1. Revenue Buildup 2026'!I13</f>
        <v>215403.86</v>
      </c>
      <c r="H6" s="376">
        <f>'1. Revenue Buildup 2026'!J13</f>
        <v>215753.86</v>
      </c>
      <c r="I6" s="376">
        <f>'1. Revenue Buildup 2026'!K13</f>
        <v>246487.7</v>
      </c>
      <c r="J6" s="376">
        <f>'1. Revenue Buildup 2026'!L13</f>
        <v>250487.7</v>
      </c>
      <c r="K6" s="376">
        <f>'1. Revenue Buildup 2026'!M13</f>
        <v>252153.86</v>
      </c>
      <c r="L6" s="376">
        <f>'1. Revenue Buildup 2026'!N13</f>
        <v>253119.5</v>
      </c>
      <c r="M6" s="376">
        <f>'1. Revenue Buildup 2026'!O13</f>
        <v>256153.86</v>
      </c>
      <c r="N6" s="376">
        <f t="shared" ref="N6:N11" si="0">SUM(B6:M6)</f>
        <v>2809757.1799999992</v>
      </c>
      <c r="O6" s="286">
        <f>N6/140000</f>
        <v>20.069694142857138</v>
      </c>
      <c r="P6" s="286"/>
      <c r="Q6" s="376">
        <v>2116756.58</v>
      </c>
      <c r="R6" s="376"/>
      <c r="S6" s="376">
        <v>1186417.5207459999</v>
      </c>
      <c r="T6" s="376"/>
      <c r="U6" s="376"/>
      <c r="V6" s="376"/>
    </row>
    <row r="7" spans="1:22" outlineLevel="1" x14ac:dyDescent="0.35">
      <c r="A7" s="377" t="s">
        <v>289</v>
      </c>
      <c r="B7" s="378">
        <f>'India Expenses - Detailed'!E30</f>
        <v>107468.66778037627</v>
      </c>
      <c r="C7" s="378">
        <f>'India Expenses - Detailed'!F30</f>
        <v>107468.66778037627</v>
      </c>
      <c r="D7" s="378">
        <f>'India Expenses - Detailed'!G30</f>
        <v>97886.471534285214</v>
      </c>
      <c r="E7" s="378">
        <f>'India Expenses - Detailed'!H30</f>
        <v>97886.471534285214</v>
      </c>
      <c r="F7" s="378">
        <f>'India Expenses - Detailed'!I30</f>
        <v>102053.98270291188</v>
      </c>
      <c r="G7" s="378">
        <f>'India Expenses - Detailed'!J30</f>
        <v>102053.98270291188</v>
      </c>
      <c r="H7" s="378">
        <f>'India Expenses - Detailed'!K30</f>
        <v>105030.77639478804</v>
      </c>
      <c r="I7" s="378">
        <f>'India Expenses - Detailed'!L30</f>
        <v>121700.82106929464</v>
      </c>
      <c r="J7" s="378">
        <f>'India Expenses - Detailed'!M30</f>
        <v>124677.61476117081</v>
      </c>
      <c r="K7" s="378">
        <f>'India Expenses - Detailed'!N30</f>
        <v>127654.40845304697</v>
      </c>
      <c r="L7" s="378">
        <f>'India Expenses - Detailed'!O30</f>
        <v>130631.20214492315</v>
      </c>
      <c r="M7" s="378">
        <f>'India Expenses - Detailed'!P30</f>
        <v>133607.99583679929</v>
      </c>
      <c r="N7" s="378">
        <f t="shared" si="0"/>
        <v>1358121.0626951696</v>
      </c>
      <c r="O7" s="670"/>
      <c r="P7" s="670"/>
      <c r="Q7" s="378">
        <v>836770.97867469885</v>
      </c>
      <c r="R7" s="401">
        <v>0.39530807962562176</v>
      </c>
      <c r="S7" s="378">
        <v>524458.72532039729</v>
      </c>
      <c r="T7" s="397"/>
      <c r="U7" s="378"/>
      <c r="V7" s="378"/>
    </row>
    <row r="8" spans="1:22" outlineLevel="1" x14ac:dyDescent="0.35">
      <c r="A8" s="377" t="s">
        <v>146</v>
      </c>
      <c r="B8" s="378">
        <f>'India Expenses - Detailed'!E42</f>
        <v>15550.932068965516</v>
      </c>
      <c r="C8" s="378">
        <f>'India Expenses - Detailed'!F42</f>
        <v>15550.932068965516</v>
      </c>
      <c r="D8" s="378">
        <f>'India Expenses - Detailed'!G42</f>
        <v>15550.932068965516</v>
      </c>
      <c r="E8" s="378">
        <f>'India Expenses - Detailed'!H42</f>
        <v>15550.932068965516</v>
      </c>
      <c r="F8" s="378">
        <f>'India Expenses - Detailed'!I42</f>
        <v>15550.932068965516</v>
      </c>
      <c r="G8" s="378">
        <f>'India Expenses - Detailed'!J42</f>
        <v>15550.932068965516</v>
      </c>
      <c r="H8" s="378">
        <f>'India Expenses - Detailed'!K42</f>
        <v>20211.518275862069</v>
      </c>
      <c r="I8" s="378">
        <f>'India Expenses - Detailed'!L42</f>
        <v>20211.518275862069</v>
      </c>
      <c r="J8" s="378">
        <f>'India Expenses - Detailed'!M42</f>
        <v>20211.518275862069</v>
      </c>
      <c r="K8" s="378">
        <f>'India Expenses - Detailed'!N42</f>
        <v>20211.518275862069</v>
      </c>
      <c r="L8" s="378">
        <f>'India Expenses - Detailed'!O42</f>
        <v>20211.518275862069</v>
      </c>
      <c r="M8" s="378">
        <f>'India Expenses - Detailed'!P42</f>
        <v>20211.518275862069</v>
      </c>
      <c r="N8" s="378">
        <f t="shared" si="0"/>
        <v>214574.7020689655</v>
      </c>
      <c r="O8" s="670"/>
      <c r="P8" s="670"/>
      <c r="Q8" s="378">
        <v>109080.05204819277</v>
      </c>
      <c r="R8" s="401">
        <v>5.153169385598072E-2</v>
      </c>
      <c r="S8" s="378">
        <v>101610.98566265061</v>
      </c>
      <c r="T8" s="397"/>
      <c r="U8" s="378"/>
      <c r="V8" s="378"/>
    </row>
    <row r="9" spans="1:22" outlineLevel="1" x14ac:dyDescent="0.35">
      <c r="A9" s="377" t="s">
        <v>1683</v>
      </c>
      <c r="B9" s="378">
        <f>'India Expenses - Detailed'!E53+'India Expenses - Detailed'!E69</f>
        <v>4060.898269510521</v>
      </c>
      <c r="C9" s="378">
        <f>'India Expenses - Detailed'!F53+'India Expenses - Detailed'!F69</f>
        <v>5760.8982695105205</v>
      </c>
      <c r="D9" s="378">
        <f>'India Expenses - Detailed'!G53+'India Expenses - Detailed'!G69</f>
        <v>5397.3814559386974</v>
      </c>
      <c r="E9" s="378">
        <f>'India Expenses - Detailed'!H53+'India Expenses - Detailed'!H69</f>
        <v>5397.3814559386974</v>
      </c>
      <c r="F9" s="378">
        <f>'India Expenses - Detailed'!I53+'India Expenses - Detailed'!I69</f>
        <v>5415.1715528510258</v>
      </c>
      <c r="G9" s="378">
        <f>'India Expenses - Detailed'!J53+'India Expenses - Detailed'!J69</f>
        <v>6034.5623574487272</v>
      </c>
      <c r="H9" s="378">
        <f>'India Expenses - Detailed'!K53+'India Expenses - Detailed'!K69</f>
        <v>5785.3500292990766</v>
      </c>
      <c r="I9" s="378">
        <f>'India Expenses - Detailed'!L53+'India Expenses - Detailed'!L69</f>
        <v>5856.5104169483893</v>
      </c>
      <c r="J9" s="378">
        <f>'India Expenses - Detailed'!M53+'India Expenses - Detailed'!M69</f>
        <v>5869.2176290286234</v>
      </c>
      <c r="K9" s="378">
        <f>'India Expenses - Detailed'!N53+'India Expenses - Detailed'!N69</f>
        <v>5881.9248411088583</v>
      </c>
      <c r="L9" s="378">
        <f>'India Expenses - Detailed'!O53+'India Expenses - Detailed'!O69</f>
        <v>5894.6320531890924</v>
      </c>
      <c r="M9" s="378">
        <f>'India Expenses - Detailed'!P53+'India Expenses - Detailed'!P69</f>
        <v>5907.3392652693265</v>
      </c>
      <c r="N9" s="378">
        <f t="shared" si="0"/>
        <v>67261.267596041551</v>
      </c>
      <c r="O9" s="670"/>
      <c r="P9" s="670"/>
      <c r="Q9" s="378">
        <v>38074.979397590367</v>
      </c>
      <c r="R9" s="401">
        <v>1.7987415160221381E-2</v>
      </c>
      <c r="S9" s="378">
        <v>23641.274300944784</v>
      </c>
      <c r="T9" s="397"/>
      <c r="U9" s="378"/>
      <c r="V9" s="378"/>
    </row>
    <row r="10" spans="1:22" outlineLevel="1" x14ac:dyDescent="0.35">
      <c r="A10" s="377" t="s">
        <v>399</v>
      </c>
      <c r="B10" s="378">
        <f>'India Expenses - Detailed'!E74</f>
        <v>3034.4827586206893</v>
      </c>
      <c r="C10" s="378">
        <f>'India Expenses - Detailed'!F74</f>
        <v>3034.4827586206893</v>
      </c>
      <c r="D10" s="378">
        <f>'India Expenses - Detailed'!G74</f>
        <v>3034.4827586206893</v>
      </c>
      <c r="E10" s="378">
        <f>'India Expenses - Detailed'!H74</f>
        <v>3034.4827586206893</v>
      </c>
      <c r="F10" s="378">
        <f>'India Expenses - Detailed'!I74</f>
        <v>3944.8275862068963</v>
      </c>
      <c r="G10" s="378">
        <f>'India Expenses - Detailed'!J74</f>
        <v>3944.8275862068963</v>
      </c>
      <c r="H10" s="378">
        <f>'India Expenses - Detailed'!K74</f>
        <v>3944.8275862068963</v>
      </c>
      <c r="I10" s="378">
        <f>'India Expenses - Detailed'!L74</f>
        <v>3944.8275862068963</v>
      </c>
      <c r="J10" s="378">
        <f>'India Expenses - Detailed'!M74</f>
        <v>3944.8275862068963</v>
      </c>
      <c r="K10" s="378">
        <f>'India Expenses - Detailed'!N74</f>
        <v>3944.8275862068963</v>
      </c>
      <c r="L10" s="378">
        <f>'India Expenses - Detailed'!O74</f>
        <v>3944.8275862068963</v>
      </c>
      <c r="M10" s="378">
        <f>'India Expenses - Detailed'!P74</f>
        <v>3944.8275862068963</v>
      </c>
      <c r="N10" s="378">
        <f t="shared" si="0"/>
        <v>43696.551724137928</v>
      </c>
      <c r="O10" s="670"/>
      <c r="P10" s="670"/>
      <c r="Q10" s="378">
        <v>29439.337349397592</v>
      </c>
      <c r="R10" s="401">
        <v>1.3907757570026116E-2</v>
      </c>
      <c r="S10" s="378">
        <v>30109.939759036144</v>
      </c>
      <c r="T10" s="397"/>
      <c r="U10" s="378"/>
      <c r="V10" s="378"/>
    </row>
    <row r="11" spans="1:22" outlineLevel="1" x14ac:dyDescent="0.35">
      <c r="A11" s="377" t="s">
        <v>400</v>
      </c>
      <c r="B11" s="378">
        <f>'India Expenses - Detailed'!$Q$86/12</f>
        <v>7506.3275862068976</v>
      </c>
      <c r="C11" s="378">
        <f>'India Expenses - Detailed'!$Q$86/12</f>
        <v>7506.3275862068976</v>
      </c>
      <c r="D11" s="378">
        <f>'India Expenses - Detailed'!$Q$86/12</f>
        <v>7506.3275862068976</v>
      </c>
      <c r="E11" s="378">
        <f>'India Expenses - Detailed'!$Q$86/12</f>
        <v>7506.3275862068976</v>
      </c>
      <c r="F11" s="378">
        <f>'India Expenses - Detailed'!$Q$86/12</f>
        <v>7506.3275862068976</v>
      </c>
      <c r="G11" s="378">
        <f>'India Expenses - Detailed'!$Q$86/12</f>
        <v>7506.3275862068976</v>
      </c>
      <c r="H11" s="378">
        <f>'India Expenses - Detailed'!$Q$86/12</f>
        <v>7506.3275862068976</v>
      </c>
      <c r="I11" s="378">
        <f>'India Expenses - Detailed'!$Q$86/12</f>
        <v>7506.3275862068976</v>
      </c>
      <c r="J11" s="378">
        <f>'India Expenses - Detailed'!$Q$86/12</f>
        <v>7506.3275862068976</v>
      </c>
      <c r="K11" s="378">
        <f>'India Expenses - Detailed'!$Q$86/12</f>
        <v>7506.3275862068976</v>
      </c>
      <c r="L11" s="378">
        <f>'India Expenses - Detailed'!$Q$86/12</f>
        <v>7506.3275862068976</v>
      </c>
      <c r="M11" s="378">
        <f>'India Expenses - Detailed'!$Q$86/12</f>
        <v>7506.3275862068976</v>
      </c>
      <c r="N11" s="378">
        <f t="shared" si="0"/>
        <v>90075.931034482768</v>
      </c>
      <c r="O11" s="670"/>
      <c r="P11" s="670"/>
      <c r="Q11" s="378">
        <v>193079.67481927713</v>
      </c>
      <c r="R11" s="401">
        <v>9.1214869316375111E-2</v>
      </c>
      <c r="S11" s="378">
        <v>1749.2242350697754</v>
      </c>
      <c r="T11" s="397"/>
      <c r="U11" s="378"/>
      <c r="V11" s="378"/>
    </row>
    <row r="12" spans="1:22" s="206" customFormat="1" outlineLevel="1" x14ac:dyDescent="0.35">
      <c r="A12" s="374" t="s">
        <v>401</v>
      </c>
      <c r="B12" s="379">
        <f>SUM(B7:B11)</f>
        <v>137621.30846367989</v>
      </c>
      <c r="C12" s="379">
        <f t="shared" ref="C12:N12" si="1">SUM(C7:C11)</f>
        <v>139321.30846367989</v>
      </c>
      <c r="D12" s="379">
        <f t="shared" si="1"/>
        <v>129375.59540401702</v>
      </c>
      <c r="E12" s="379">
        <f t="shared" si="1"/>
        <v>129375.59540401702</v>
      </c>
      <c r="F12" s="379">
        <f t="shared" si="1"/>
        <v>134471.24149714221</v>
      </c>
      <c r="G12" s="379">
        <f t="shared" si="1"/>
        <v>135090.63230173991</v>
      </c>
      <c r="H12" s="379">
        <f t="shared" si="1"/>
        <v>142478.79987236299</v>
      </c>
      <c r="I12" s="379">
        <f t="shared" si="1"/>
        <v>159220.00493451889</v>
      </c>
      <c r="J12" s="379">
        <f t="shared" si="1"/>
        <v>162209.50583847531</v>
      </c>
      <c r="K12" s="379">
        <f t="shared" si="1"/>
        <v>165199.00674243169</v>
      </c>
      <c r="L12" s="379">
        <f t="shared" si="1"/>
        <v>168188.50764638811</v>
      </c>
      <c r="M12" s="379">
        <f t="shared" si="1"/>
        <v>171178.00855034447</v>
      </c>
      <c r="N12" s="379">
        <f t="shared" si="1"/>
        <v>1773729.5151187973</v>
      </c>
      <c r="Q12" s="379">
        <v>1206445.0222891569</v>
      </c>
      <c r="R12" s="398"/>
      <c r="S12" s="379">
        <v>681570.14927809872</v>
      </c>
      <c r="T12" s="398"/>
      <c r="U12" s="379"/>
      <c r="V12" s="379"/>
    </row>
    <row r="13" spans="1:22" s="206" customFormat="1" outlineLevel="1" x14ac:dyDescent="0.35">
      <c r="A13" s="374" t="s">
        <v>325</v>
      </c>
      <c r="B13" s="380">
        <f t="shared" ref="B13:N13" si="2">B6-B12</f>
        <v>87792.811536320107</v>
      </c>
      <c r="C13" s="380">
        <f t="shared" si="2"/>
        <v>99444.191536320111</v>
      </c>
      <c r="D13" s="380">
        <f t="shared" si="2"/>
        <v>110222.26459598297</v>
      </c>
      <c r="E13" s="380">
        <f t="shared" si="2"/>
        <v>74228.264595982968</v>
      </c>
      <c r="F13" s="380">
        <f t="shared" si="2"/>
        <v>78344.258502857789</v>
      </c>
      <c r="G13" s="380">
        <f t="shared" si="2"/>
        <v>80313.227698260074</v>
      </c>
      <c r="H13" s="380">
        <f t="shared" si="2"/>
        <v>73275.060127637</v>
      </c>
      <c r="I13" s="380">
        <f t="shared" si="2"/>
        <v>87267.695065481123</v>
      </c>
      <c r="J13" s="380">
        <f t="shared" si="2"/>
        <v>88278.194161524705</v>
      </c>
      <c r="K13" s="380">
        <f t="shared" si="2"/>
        <v>86954.853257568291</v>
      </c>
      <c r="L13" s="380">
        <f t="shared" si="2"/>
        <v>84930.992353611888</v>
      </c>
      <c r="M13" s="380">
        <f t="shared" si="2"/>
        <v>84975.851449655514</v>
      </c>
      <c r="N13" s="380">
        <f t="shared" si="2"/>
        <v>1036027.6648812019</v>
      </c>
      <c r="Q13" s="380">
        <v>910311.55771084316</v>
      </c>
      <c r="R13" s="399"/>
      <c r="S13" s="380">
        <v>504847.37146790116</v>
      </c>
      <c r="T13" s="399"/>
      <c r="U13" s="380"/>
      <c r="V13" s="380"/>
    </row>
    <row r="14" spans="1:22" s="206" customFormat="1" outlineLevel="1" x14ac:dyDescent="0.35">
      <c r="A14" s="374" t="s">
        <v>402</v>
      </c>
      <c r="B14" s="381">
        <f t="shared" ref="B14:N14" si="3">B13/B6</f>
        <v>0.38947343465582418</v>
      </c>
      <c r="C14" s="381">
        <f t="shared" si="3"/>
        <v>0.41649313462924969</v>
      </c>
      <c r="D14" s="381">
        <f t="shared" si="3"/>
        <v>0.46003025484444215</v>
      </c>
      <c r="E14" s="381">
        <f t="shared" si="3"/>
        <v>0.36457199090421455</v>
      </c>
      <c r="F14" s="381">
        <f t="shared" si="3"/>
        <v>0.36813229535845737</v>
      </c>
      <c r="G14" s="381">
        <f t="shared" si="3"/>
        <v>0.37284952877938249</v>
      </c>
      <c r="H14" s="381">
        <f t="shared" si="3"/>
        <v>0.33962340292607979</v>
      </c>
      <c r="I14" s="381">
        <f t="shared" si="3"/>
        <v>0.35404482684321009</v>
      </c>
      <c r="J14" s="381">
        <f t="shared" si="3"/>
        <v>0.35242526543828179</v>
      </c>
      <c r="K14" s="381">
        <f t="shared" si="3"/>
        <v>0.34484839239648479</v>
      </c>
      <c r="L14" s="381">
        <f t="shared" si="3"/>
        <v>0.33553713701872784</v>
      </c>
      <c r="M14" s="381">
        <f t="shared" si="3"/>
        <v>0.33173754028010943</v>
      </c>
      <c r="N14" s="381">
        <f t="shared" si="3"/>
        <v>0.36872498173710594</v>
      </c>
      <c r="Q14" s="381">
        <v>0.43005018447177479</v>
      </c>
      <c r="R14" s="400"/>
      <c r="S14" s="381">
        <v>0.42552251854006795</v>
      </c>
      <c r="T14" s="400"/>
      <c r="U14" s="381"/>
      <c r="V14" s="381"/>
    </row>
    <row r="15" spans="1:22" s="206" customFormat="1" outlineLevel="1" x14ac:dyDescent="0.35">
      <c r="A15" s="374"/>
      <c r="B15" s="381"/>
      <c r="C15" s="381"/>
      <c r="D15" s="381"/>
      <c r="E15" s="381"/>
      <c r="F15" s="381"/>
      <c r="G15" s="382"/>
      <c r="H15" s="381"/>
      <c r="I15" s="381"/>
      <c r="J15" s="381"/>
      <c r="K15" s="381"/>
      <c r="L15" s="381"/>
      <c r="M15" s="381"/>
      <c r="N15" s="381"/>
      <c r="Q15" s="381"/>
      <c r="R15" s="400"/>
      <c r="S15" s="381"/>
      <c r="T15" s="400"/>
      <c r="U15" s="381"/>
      <c r="V15" s="381"/>
    </row>
    <row r="16" spans="1:22" s="206" customFormat="1" outlineLevel="1" x14ac:dyDescent="0.35">
      <c r="A16" s="374" t="s">
        <v>403</v>
      </c>
      <c r="B16" s="380"/>
      <c r="C16" s="380"/>
      <c r="D16" s="380"/>
      <c r="E16" s="380"/>
      <c r="F16" s="380"/>
      <c r="G16" s="380"/>
      <c r="H16" s="380"/>
      <c r="I16" s="380"/>
      <c r="J16" s="380"/>
      <c r="K16" s="380"/>
      <c r="L16" s="380"/>
      <c r="M16" s="380"/>
      <c r="N16" s="380"/>
      <c r="Q16" s="380"/>
      <c r="R16" s="399"/>
      <c r="S16" s="380"/>
      <c r="T16" s="399"/>
      <c r="U16" s="380"/>
      <c r="V16" s="380"/>
    </row>
    <row r="17" spans="1:22" s="201" customFormat="1" outlineLevel="1" x14ac:dyDescent="0.35">
      <c r="A17" s="374" t="s">
        <v>398</v>
      </c>
      <c r="B17" s="376">
        <f>'1. Revenue Buildup 2026'!D9</f>
        <v>0</v>
      </c>
      <c r="C17" s="376">
        <f>'1. Revenue Buildup 2026'!E9</f>
        <v>0</v>
      </c>
      <c r="D17" s="376">
        <f>'1. Revenue Buildup 2026'!F9</f>
        <v>0</v>
      </c>
      <c r="E17" s="376">
        <f>'1. Revenue Buildup 2026'!G9</f>
        <v>0</v>
      </c>
      <c r="F17" s="376">
        <f>'1. Revenue Buildup 2026'!H9</f>
        <v>13800</v>
      </c>
      <c r="G17" s="376">
        <f>'1. Revenue Buildup 2026'!I9</f>
        <v>16800</v>
      </c>
      <c r="H17" s="376">
        <f>'1. Revenue Buildup 2026'!J9</f>
        <v>17150</v>
      </c>
      <c r="I17" s="376">
        <f>'1. Revenue Buildup 2026'!K9</f>
        <v>49550</v>
      </c>
      <c r="J17" s="376">
        <f>'1. Revenue Buildup 2026'!L9</f>
        <v>53550</v>
      </c>
      <c r="K17" s="376">
        <f>'1. Revenue Buildup 2026'!M9</f>
        <v>53550</v>
      </c>
      <c r="L17" s="376">
        <f>'1. Revenue Buildup 2026'!N9</f>
        <v>57550</v>
      </c>
      <c r="M17" s="376">
        <f>'1. Revenue Buildup 2026'!O9</f>
        <v>57550</v>
      </c>
      <c r="N17" s="376">
        <f>SUM(B17:M17)</f>
        <v>319500</v>
      </c>
      <c r="O17" s="671"/>
      <c r="P17" s="671"/>
      <c r="Q17" s="376"/>
      <c r="R17" s="376"/>
      <c r="S17" s="376">
        <v>3816468.58</v>
      </c>
      <c r="T17" s="376"/>
      <c r="U17" s="376"/>
      <c r="V17" s="376"/>
    </row>
    <row r="18" spans="1:22" outlineLevel="1" x14ac:dyDescent="0.35">
      <c r="A18" s="377" t="s">
        <v>289</v>
      </c>
      <c r="B18" s="378"/>
      <c r="C18" s="378"/>
      <c r="D18" s="378"/>
      <c r="E18" s="378"/>
      <c r="F18" s="378"/>
      <c r="G18" s="378"/>
      <c r="H18" s="378"/>
      <c r="I18" s="378"/>
      <c r="J18" s="378"/>
      <c r="K18" s="378"/>
      <c r="L18" s="378"/>
      <c r="M18" s="378"/>
      <c r="N18" s="378"/>
      <c r="O18" s="671"/>
      <c r="P18" s="671"/>
      <c r="Q18" s="378"/>
      <c r="R18" s="397"/>
      <c r="S18" s="378">
        <v>1233644.8415570292</v>
      </c>
      <c r="T18" s="397"/>
      <c r="U18" s="378"/>
      <c r="V18" s="378"/>
    </row>
    <row r="19" spans="1:22" outlineLevel="1" x14ac:dyDescent="0.35">
      <c r="A19" s="377" t="s">
        <v>146</v>
      </c>
      <c r="B19" s="378"/>
      <c r="C19" s="378"/>
      <c r="D19" s="378"/>
      <c r="E19" s="378"/>
      <c r="F19" s="378"/>
      <c r="G19" s="378"/>
      <c r="H19" s="378"/>
      <c r="I19" s="378"/>
      <c r="J19" s="378"/>
      <c r="K19" s="378"/>
      <c r="L19" s="378"/>
      <c r="M19" s="378"/>
      <c r="N19" s="378"/>
      <c r="O19" s="670"/>
      <c r="P19" s="670"/>
      <c r="Q19" s="378"/>
      <c r="R19" s="397"/>
      <c r="S19" s="378">
        <v>24883.119155685737</v>
      </c>
      <c r="T19" s="397"/>
      <c r="U19" s="378"/>
      <c r="V19" s="378"/>
    </row>
    <row r="20" spans="1:22" outlineLevel="1" x14ac:dyDescent="0.35">
      <c r="A20" s="377" t="s">
        <v>147</v>
      </c>
      <c r="B20" s="378"/>
      <c r="C20" s="378"/>
      <c r="D20" s="378"/>
      <c r="E20" s="378"/>
      <c r="F20" s="378"/>
      <c r="G20" s="378"/>
      <c r="H20" s="378"/>
      <c r="I20" s="378"/>
      <c r="J20" s="378"/>
      <c r="K20" s="378"/>
      <c r="L20" s="378"/>
      <c r="M20" s="378"/>
      <c r="N20" s="378"/>
      <c r="O20" s="670"/>
      <c r="P20" s="670"/>
      <c r="Q20" s="378"/>
      <c r="R20" s="397"/>
      <c r="S20" s="378">
        <v>13156.289850198968</v>
      </c>
      <c r="T20" s="397"/>
      <c r="U20" s="378"/>
      <c r="V20" s="378"/>
    </row>
    <row r="21" spans="1:22" outlineLevel="1" x14ac:dyDescent="0.35">
      <c r="A21" s="377" t="s">
        <v>399</v>
      </c>
      <c r="B21" s="378"/>
      <c r="C21" s="378"/>
      <c r="D21" s="378"/>
      <c r="E21" s="378"/>
      <c r="F21" s="378"/>
      <c r="G21" s="378"/>
      <c r="H21" s="378"/>
      <c r="I21" s="378"/>
      <c r="J21" s="378"/>
      <c r="K21" s="378"/>
      <c r="L21" s="378"/>
      <c r="M21" s="378"/>
      <c r="N21" s="378"/>
      <c r="O21" s="670"/>
      <c r="P21" s="670"/>
      <c r="Q21" s="378"/>
      <c r="R21" s="397"/>
      <c r="S21" s="378">
        <v>71009.274598393589</v>
      </c>
      <c r="T21" s="397"/>
      <c r="U21" s="378"/>
      <c r="V21" s="378"/>
    </row>
    <row r="22" spans="1:22" outlineLevel="1" x14ac:dyDescent="0.35">
      <c r="A22" s="377" t="s">
        <v>400</v>
      </c>
      <c r="B22" s="378"/>
      <c r="C22" s="378"/>
      <c r="D22" s="378"/>
      <c r="E22" s="378"/>
      <c r="F22" s="378"/>
      <c r="G22" s="378"/>
      <c r="H22" s="378"/>
      <c r="I22" s="378"/>
      <c r="J22" s="378"/>
      <c r="K22" s="378"/>
      <c r="L22" s="378"/>
      <c r="M22" s="378"/>
      <c r="N22" s="378"/>
      <c r="O22" s="670" t="s">
        <v>404</v>
      </c>
      <c r="P22" s="670"/>
      <c r="Q22" s="378"/>
      <c r="R22" s="397"/>
      <c r="S22" s="378">
        <v>4125.2538210395542</v>
      </c>
      <c r="T22" s="397"/>
      <c r="U22" s="378"/>
      <c r="V22" s="378"/>
    </row>
    <row r="23" spans="1:22" s="206" customFormat="1" outlineLevel="1" x14ac:dyDescent="0.35">
      <c r="A23" s="374" t="s">
        <v>401</v>
      </c>
      <c r="B23" s="379">
        <f>SUM(B18:B22)</f>
        <v>0</v>
      </c>
      <c r="C23" s="379">
        <f t="shared" ref="C23:N23" si="4">SUM(C18:C22)</f>
        <v>0</v>
      </c>
      <c r="D23" s="379">
        <f t="shared" si="4"/>
        <v>0</v>
      </c>
      <c r="E23" s="379">
        <f t="shared" si="4"/>
        <v>0</v>
      </c>
      <c r="F23" s="379">
        <f t="shared" si="4"/>
        <v>0</v>
      </c>
      <c r="G23" s="379">
        <f t="shared" si="4"/>
        <v>0</v>
      </c>
      <c r="H23" s="379">
        <f t="shared" si="4"/>
        <v>0</v>
      </c>
      <c r="I23" s="379">
        <f t="shared" si="4"/>
        <v>0</v>
      </c>
      <c r="J23" s="379">
        <f t="shared" si="4"/>
        <v>0</v>
      </c>
      <c r="K23" s="379">
        <f t="shared" si="4"/>
        <v>0</v>
      </c>
      <c r="L23" s="379">
        <f t="shared" si="4"/>
        <v>0</v>
      </c>
      <c r="M23" s="379">
        <f t="shared" si="4"/>
        <v>0</v>
      </c>
      <c r="N23" s="379">
        <f t="shared" si="4"/>
        <v>0</v>
      </c>
      <c r="Q23" s="379"/>
      <c r="R23" s="398"/>
      <c r="S23" s="379">
        <v>1346818.7789823469</v>
      </c>
      <c r="T23" s="398"/>
      <c r="U23" s="379"/>
      <c r="V23" s="379"/>
    </row>
    <row r="24" spans="1:22" s="206" customFormat="1" outlineLevel="1" x14ac:dyDescent="0.35">
      <c r="A24" s="374" t="s">
        <v>325</v>
      </c>
      <c r="B24" s="379">
        <f>B17-B23</f>
        <v>0</v>
      </c>
      <c r="C24" s="379">
        <f t="shared" ref="C24:M24" si="5">C17-C23</f>
        <v>0</v>
      </c>
      <c r="D24" s="379">
        <f t="shared" si="5"/>
        <v>0</v>
      </c>
      <c r="E24" s="379">
        <f t="shared" si="5"/>
        <v>0</v>
      </c>
      <c r="F24" s="379">
        <f t="shared" si="5"/>
        <v>13800</v>
      </c>
      <c r="G24" s="379">
        <f t="shared" si="5"/>
        <v>16800</v>
      </c>
      <c r="H24" s="379">
        <f t="shared" si="5"/>
        <v>17150</v>
      </c>
      <c r="I24" s="379">
        <f t="shared" si="5"/>
        <v>49550</v>
      </c>
      <c r="J24" s="379">
        <f t="shared" si="5"/>
        <v>53550</v>
      </c>
      <c r="K24" s="379">
        <f t="shared" si="5"/>
        <v>53550</v>
      </c>
      <c r="L24" s="379">
        <f t="shared" si="5"/>
        <v>57550</v>
      </c>
      <c r="M24" s="379">
        <f t="shared" si="5"/>
        <v>57550</v>
      </c>
      <c r="N24" s="379">
        <f>SUM(B24:M24)</f>
        <v>319500</v>
      </c>
      <c r="Q24" s="379"/>
      <c r="R24" s="398"/>
      <c r="S24" s="379">
        <v>2469649.8010176527</v>
      </c>
      <c r="T24" s="398"/>
      <c r="U24" s="379"/>
      <c r="V24" s="379"/>
    </row>
    <row r="25" spans="1:22" s="214" customFormat="1" outlineLevel="1" x14ac:dyDescent="0.35">
      <c r="A25" s="383" t="s">
        <v>402</v>
      </c>
      <c r="B25" s="381">
        <f>IFERROR(B24/B17,0)</f>
        <v>0</v>
      </c>
      <c r="C25" s="381">
        <f t="shared" ref="C25:N25" si="6">IFERROR(C24/C17,0)</f>
        <v>0</v>
      </c>
      <c r="D25" s="381">
        <f t="shared" si="6"/>
        <v>0</v>
      </c>
      <c r="E25" s="381">
        <f t="shared" si="6"/>
        <v>0</v>
      </c>
      <c r="F25" s="381">
        <f t="shared" si="6"/>
        <v>1</v>
      </c>
      <c r="G25" s="381">
        <f t="shared" si="6"/>
        <v>1</v>
      </c>
      <c r="H25" s="381">
        <f t="shared" si="6"/>
        <v>1</v>
      </c>
      <c r="I25" s="381">
        <f t="shared" si="6"/>
        <v>1</v>
      </c>
      <c r="J25" s="381">
        <f t="shared" si="6"/>
        <v>1</v>
      </c>
      <c r="K25" s="381">
        <f t="shared" si="6"/>
        <v>1</v>
      </c>
      <c r="L25" s="381">
        <f t="shared" si="6"/>
        <v>1</v>
      </c>
      <c r="M25" s="381">
        <f t="shared" si="6"/>
        <v>1</v>
      </c>
      <c r="N25" s="381">
        <f t="shared" si="6"/>
        <v>1</v>
      </c>
      <c r="Q25" s="381"/>
      <c r="R25" s="400"/>
      <c r="S25" s="381">
        <v>0.6471034018096522</v>
      </c>
      <c r="T25" s="400"/>
      <c r="U25" s="381"/>
      <c r="V25" s="381"/>
    </row>
    <row r="26" spans="1:22" s="214" customFormat="1" outlineLevel="1" x14ac:dyDescent="0.35">
      <c r="A26" s="383"/>
      <c r="B26" s="381"/>
      <c r="C26" s="381"/>
      <c r="D26" s="381"/>
      <c r="E26" s="381"/>
      <c r="F26" s="381"/>
      <c r="G26" s="381"/>
      <c r="H26" s="381"/>
      <c r="I26" s="381"/>
      <c r="J26" s="381"/>
      <c r="K26" s="381"/>
      <c r="L26" s="381"/>
      <c r="M26" s="381"/>
      <c r="N26" s="381"/>
      <c r="Q26" s="381"/>
      <c r="R26" s="400"/>
      <c r="S26" s="381"/>
      <c r="T26" s="400"/>
      <c r="U26" s="381"/>
      <c r="V26" s="381"/>
    </row>
    <row r="27" spans="1:22" s="214" customFormat="1" outlineLevel="1" x14ac:dyDescent="0.35">
      <c r="A27" s="374" t="s">
        <v>405</v>
      </c>
      <c r="B27" s="380"/>
      <c r="C27" s="380"/>
      <c r="D27" s="380"/>
      <c r="E27" s="380"/>
      <c r="F27" s="380"/>
      <c r="G27" s="380"/>
      <c r="H27" s="380"/>
      <c r="I27" s="380"/>
      <c r="J27" s="380"/>
      <c r="K27" s="380"/>
      <c r="L27" s="380"/>
      <c r="M27" s="380"/>
      <c r="N27" s="380"/>
      <c r="Q27" s="381"/>
      <c r="R27" s="400"/>
      <c r="S27" s="381"/>
      <c r="T27" s="400"/>
      <c r="U27" s="381"/>
      <c r="V27" s="381"/>
    </row>
    <row r="28" spans="1:22" s="214" customFormat="1" outlineLevel="1" x14ac:dyDescent="0.35">
      <c r="A28" s="374" t="s">
        <v>398</v>
      </c>
      <c r="B28" s="376"/>
      <c r="C28" s="376"/>
      <c r="D28" s="376"/>
      <c r="E28" s="376"/>
      <c r="F28" s="376"/>
      <c r="G28" s="376"/>
      <c r="H28" s="376"/>
      <c r="I28" s="376"/>
      <c r="J28" s="376"/>
      <c r="K28" s="376"/>
      <c r="L28" s="376"/>
      <c r="M28" s="376"/>
      <c r="N28" s="376">
        <f t="shared" ref="N28:N33" si="7">SUM(B28:M28)</f>
        <v>0</v>
      </c>
      <c r="Q28" s="381"/>
      <c r="R28" s="400"/>
      <c r="S28" s="381"/>
      <c r="T28" s="400"/>
      <c r="U28" s="381"/>
      <c r="V28" s="381"/>
    </row>
    <row r="29" spans="1:22" s="214" customFormat="1" outlineLevel="1" x14ac:dyDescent="0.35">
      <c r="A29" s="377" t="s">
        <v>289</v>
      </c>
      <c r="B29" s="378"/>
      <c r="C29" s="378"/>
      <c r="D29" s="378"/>
      <c r="E29" s="378"/>
      <c r="F29" s="378"/>
      <c r="G29" s="378"/>
      <c r="H29" s="378"/>
      <c r="I29" s="378"/>
      <c r="J29" s="378"/>
      <c r="K29" s="378"/>
      <c r="L29" s="378"/>
      <c r="M29" s="378"/>
      <c r="N29" s="378">
        <f t="shared" si="7"/>
        <v>0</v>
      </c>
      <c r="Q29" s="381"/>
      <c r="R29" s="400"/>
      <c r="S29" s="381"/>
      <c r="T29" s="400"/>
      <c r="U29" s="381"/>
      <c r="V29" s="381"/>
    </row>
    <row r="30" spans="1:22" s="214" customFormat="1" outlineLevel="1" x14ac:dyDescent="0.35">
      <c r="A30" s="377" t="s">
        <v>146</v>
      </c>
      <c r="B30" s="378">
        <f>'5. US Expenses'!D8</f>
        <v>1000</v>
      </c>
      <c r="C30" s="378">
        <f>'5. US Expenses'!E8</f>
        <v>1000</v>
      </c>
      <c r="D30" s="378">
        <f>'5. US Expenses'!F8</f>
        <v>1000</v>
      </c>
      <c r="E30" s="378">
        <f>'5. US Expenses'!G8</f>
        <v>1000</v>
      </c>
      <c r="F30" s="378">
        <f>'5. US Expenses'!H8</f>
        <v>1000</v>
      </c>
      <c r="G30" s="378">
        <f>'5. US Expenses'!I8</f>
        <v>1000</v>
      </c>
      <c r="H30" s="378">
        <f>'5. US Expenses'!J8</f>
        <v>1000</v>
      </c>
      <c r="I30" s="378">
        <f>'5. US Expenses'!K8</f>
        <v>1000</v>
      </c>
      <c r="J30" s="378">
        <f>'5. US Expenses'!L8</f>
        <v>1000</v>
      </c>
      <c r="K30" s="378">
        <f>'5. US Expenses'!M8</f>
        <v>1000</v>
      </c>
      <c r="L30" s="378">
        <f>'5. US Expenses'!N8</f>
        <v>1000</v>
      </c>
      <c r="M30" s="378">
        <f>'5. US Expenses'!O8</f>
        <v>1000</v>
      </c>
      <c r="N30" s="378">
        <f t="shared" si="7"/>
        <v>12000</v>
      </c>
      <c r="O30" s="672"/>
      <c r="Q30" s="381"/>
      <c r="R30" s="400"/>
      <c r="S30" s="381"/>
      <c r="T30" s="400"/>
      <c r="U30" s="381"/>
      <c r="V30" s="381"/>
    </row>
    <row r="31" spans="1:22" s="214" customFormat="1" outlineLevel="1" x14ac:dyDescent="0.35">
      <c r="A31" s="377" t="s">
        <v>406</v>
      </c>
      <c r="B31" s="378">
        <f>'5. US Expenses'!D24</f>
        <v>1472.83</v>
      </c>
      <c r="C31" s="378">
        <f>'5. US Expenses'!E24</f>
        <v>1472.83</v>
      </c>
      <c r="D31" s="378">
        <f>'5. US Expenses'!F24</f>
        <v>1378.83</v>
      </c>
      <c r="E31" s="378">
        <f>'5. US Expenses'!G24</f>
        <v>1378.83</v>
      </c>
      <c r="F31" s="378">
        <f>'5. US Expenses'!H24</f>
        <v>1330.83</v>
      </c>
      <c r="G31" s="378">
        <f>'5. US Expenses'!I24</f>
        <v>1330.83</v>
      </c>
      <c r="H31" s="378">
        <f>'5. US Expenses'!J24</f>
        <v>1330.83</v>
      </c>
      <c r="I31" s="378">
        <f>'5. US Expenses'!K24</f>
        <v>1330.83</v>
      </c>
      <c r="J31" s="378">
        <f>'5. US Expenses'!L24</f>
        <v>1543.0899999999997</v>
      </c>
      <c r="K31" s="378">
        <f>'5. US Expenses'!M24</f>
        <v>1330.83</v>
      </c>
      <c r="L31" s="378">
        <f>'5. US Expenses'!N24</f>
        <v>1330.83</v>
      </c>
      <c r="M31" s="378">
        <f>'5. US Expenses'!O24</f>
        <v>1330.83</v>
      </c>
      <c r="N31" s="378">
        <f t="shared" si="7"/>
        <v>16562.22</v>
      </c>
      <c r="O31" s="672"/>
      <c r="Q31" s="381"/>
      <c r="R31" s="400"/>
      <c r="S31" s="381"/>
      <c r="T31" s="400"/>
      <c r="U31" s="381"/>
      <c r="V31" s="381"/>
    </row>
    <row r="32" spans="1:22" s="214" customFormat="1" outlineLevel="1" x14ac:dyDescent="0.35">
      <c r="A32" s="377" t="s">
        <v>399</v>
      </c>
      <c r="B32" s="378"/>
      <c r="C32" s="378"/>
      <c r="D32" s="378"/>
      <c r="E32" s="378"/>
      <c r="F32" s="378"/>
      <c r="G32" s="378"/>
      <c r="H32" s="378"/>
      <c r="I32" s="378"/>
      <c r="J32" s="378"/>
      <c r="K32" s="378"/>
      <c r="L32" s="378"/>
      <c r="M32" s="378"/>
      <c r="N32" s="378">
        <f t="shared" si="7"/>
        <v>0</v>
      </c>
      <c r="O32" s="672"/>
      <c r="Q32" s="381"/>
      <c r="R32" s="400"/>
      <c r="S32" s="381"/>
      <c r="T32" s="400"/>
      <c r="U32" s="381"/>
      <c r="V32" s="381"/>
    </row>
    <row r="33" spans="1:26" s="214" customFormat="1" outlineLevel="1" x14ac:dyDescent="0.35">
      <c r="A33" s="377" t="s">
        <v>400</v>
      </c>
      <c r="B33" s="440">
        <f>'5. US Expenses'!D39</f>
        <v>20175.43</v>
      </c>
      <c r="C33" s="440">
        <f>'5. US Expenses'!E39</f>
        <v>20175.43</v>
      </c>
      <c r="D33" s="440">
        <f>'5. US Expenses'!F39</f>
        <v>8175.4299999999994</v>
      </c>
      <c r="E33" s="440">
        <f>'5. US Expenses'!G39</f>
        <v>8175.4299999999994</v>
      </c>
      <c r="F33" s="440">
        <f>'5. US Expenses'!H39</f>
        <v>8175.4299999999994</v>
      </c>
      <c r="G33" s="440">
        <f>'5. US Expenses'!I39</f>
        <v>8175.4299999999994</v>
      </c>
      <c r="H33" s="440">
        <f>'5. US Expenses'!J39</f>
        <v>6064.4299999999994</v>
      </c>
      <c r="I33" s="440">
        <f>'5. US Expenses'!K39</f>
        <v>6064.4299999999994</v>
      </c>
      <c r="J33" s="440">
        <f>'5. US Expenses'!L39</f>
        <v>6064.4299999999994</v>
      </c>
      <c r="K33" s="440">
        <f>'5. US Expenses'!M39</f>
        <v>6064.4299999999994</v>
      </c>
      <c r="L33" s="440">
        <f>'5. US Expenses'!N39</f>
        <v>6064.4299999999994</v>
      </c>
      <c r="M33" s="440">
        <f>'5. US Expenses'!O39</f>
        <v>6064.4299999999994</v>
      </c>
      <c r="N33" s="378">
        <f t="shared" si="7"/>
        <v>109439.15999999996</v>
      </c>
      <c r="O33" s="672"/>
      <c r="Q33" s="381"/>
      <c r="R33" s="400"/>
      <c r="S33" s="381"/>
      <c r="T33" s="400"/>
      <c r="U33" s="381"/>
      <c r="V33" s="381"/>
    </row>
    <row r="34" spans="1:26" s="214" customFormat="1" outlineLevel="1" x14ac:dyDescent="0.35">
      <c r="A34" s="374" t="s">
        <v>401</v>
      </c>
      <c r="B34" s="379">
        <f>SUM(B29:B33)</f>
        <v>22648.260000000002</v>
      </c>
      <c r="C34" s="379">
        <f t="shared" ref="C34:N34" si="8">SUM(C29:C33)</f>
        <v>22648.260000000002</v>
      </c>
      <c r="D34" s="379">
        <f t="shared" si="8"/>
        <v>10554.259999999998</v>
      </c>
      <c r="E34" s="379">
        <f t="shared" si="8"/>
        <v>10554.259999999998</v>
      </c>
      <c r="F34" s="379">
        <f t="shared" si="8"/>
        <v>10506.259999999998</v>
      </c>
      <c r="G34" s="379">
        <f t="shared" si="8"/>
        <v>10506.259999999998</v>
      </c>
      <c r="H34" s="379">
        <f t="shared" si="8"/>
        <v>8395.2599999999984</v>
      </c>
      <c r="I34" s="379">
        <f t="shared" si="8"/>
        <v>8395.2599999999984</v>
      </c>
      <c r="J34" s="379">
        <f t="shared" si="8"/>
        <v>8607.5199999999986</v>
      </c>
      <c r="K34" s="379">
        <f t="shared" si="8"/>
        <v>8395.2599999999984</v>
      </c>
      <c r="L34" s="379">
        <f t="shared" si="8"/>
        <v>8395.2599999999984</v>
      </c>
      <c r="M34" s="379">
        <f t="shared" si="8"/>
        <v>8395.2599999999984</v>
      </c>
      <c r="N34" s="379">
        <f t="shared" si="8"/>
        <v>138001.37999999995</v>
      </c>
      <c r="Q34" s="381"/>
      <c r="R34" s="400"/>
      <c r="S34" s="381"/>
      <c r="T34" s="400"/>
      <c r="U34" s="381"/>
      <c r="V34" s="381"/>
    </row>
    <row r="35" spans="1:26" s="206" customFormat="1" outlineLevel="1" x14ac:dyDescent="0.35">
      <c r="A35" s="374" t="s">
        <v>325</v>
      </c>
      <c r="B35" s="379">
        <f>B28-B34</f>
        <v>-22648.260000000002</v>
      </c>
      <c r="C35" s="379">
        <f t="shared" ref="C35:M35" si="9">C28-C34</f>
        <v>-22648.260000000002</v>
      </c>
      <c r="D35" s="379">
        <f t="shared" si="9"/>
        <v>-10554.259999999998</v>
      </c>
      <c r="E35" s="379">
        <f t="shared" si="9"/>
        <v>-10554.259999999998</v>
      </c>
      <c r="F35" s="379">
        <f t="shared" si="9"/>
        <v>-10506.259999999998</v>
      </c>
      <c r="G35" s="379">
        <f t="shared" si="9"/>
        <v>-10506.259999999998</v>
      </c>
      <c r="H35" s="379">
        <f t="shared" si="9"/>
        <v>-8395.2599999999984</v>
      </c>
      <c r="I35" s="379">
        <f t="shared" si="9"/>
        <v>-8395.2599999999984</v>
      </c>
      <c r="J35" s="379">
        <f t="shared" si="9"/>
        <v>-8607.5199999999986</v>
      </c>
      <c r="K35" s="379">
        <f t="shared" si="9"/>
        <v>-8395.2599999999984</v>
      </c>
      <c r="L35" s="379">
        <f t="shared" si="9"/>
        <v>-8395.2599999999984</v>
      </c>
      <c r="M35" s="379">
        <f t="shared" si="9"/>
        <v>-8395.2599999999984</v>
      </c>
      <c r="N35" s="379">
        <f>SUM(B35:M35)</f>
        <v>-138001.37999999998</v>
      </c>
      <c r="Q35" s="380"/>
      <c r="R35" s="399"/>
      <c r="S35" s="380"/>
      <c r="T35" s="399"/>
      <c r="U35" s="380"/>
      <c r="V35" s="380"/>
    </row>
    <row r="36" spans="1:26" s="206" customFormat="1" outlineLevel="1" x14ac:dyDescent="0.35">
      <c r="A36" s="383" t="s">
        <v>402</v>
      </c>
      <c r="B36" s="381">
        <f t="shared" ref="B36:N36" si="10">IFERROR(B35/B28,0)</f>
        <v>0</v>
      </c>
      <c r="C36" s="381">
        <f t="shared" si="10"/>
        <v>0</v>
      </c>
      <c r="D36" s="381">
        <f t="shared" si="10"/>
        <v>0</v>
      </c>
      <c r="E36" s="381">
        <f t="shared" si="10"/>
        <v>0</v>
      </c>
      <c r="F36" s="381">
        <f t="shared" si="10"/>
        <v>0</v>
      </c>
      <c r="G36" s="381">
        <f t="shared" si="10"/>
        <v>0</v>
      </c>
      <c r="H36" s="381">
        <f t="shared" si="10"/>
        <v>0</v>
      </c>
      <c r="I36" s="381">
        <f t="shared" si="10"/>
        <v>0</v>
      </c>
      <c r="J36" s="381">
        <f t="shared" si="10"/>
        <v>0</v>
      </c>
      <c r="K36" s="381">
        <f t="shared" si="10"/>
        <v>0</v>
      </c>
      <c r="L36" s="381">
        <f t="shared" si="10"/>
        <v>0</v>
      </c>
      <c r="M36" s="381">
        <f t="shared" si="10"/>
        <v>0</v>
      </c>
      <c r="N36" s="381">
        <f t="shared" si="10"/>
        <v>0</v>
      </c>
      <c r="Q36" s="380"/>
      <c r="R36" s="399"/>
      <c r="S36" s="380"/>
      <c r="T36" s="399"/>
      <c r="U36" s="380"/>
      <c r="V36" s="380"/>
    </row>
    <row r="37" spans="1:26" s="206" customFormat="1" outlineLevel="1" x14ac:dyDescent="0.35">
      <c r="A37" s="383"/>
      <c r="B37" s="381"/>
      <c r="C37" s="381"/>
      <c r="D37" s="381"/>
      <c r="E37" s="381"/>
      <c r="F37" s="381"/>
      <c r="G37" s="381"/>
      <c r="H37" s="381"/>
      <c r="I37" s="381"/>
      <c r="J37" s="381"/>
      <c r="K37" s="381"/>
      <c r="L37" s="381"/>
      <c r="M37" s="381"/>
      <c r="N37" s="381"/>
      <c r="Q37" s="380"/>
      <c r="R37" s="399"/>
      <c r="S37" s="380"/>
      <c r="T37" s="399"/>
      <c r="U37" s="380"/>
      <c r="V37" s="380"/>
    </row>
    <row r="38" spans="1:26" s="201" customFormat="1" x14ac:dyDescent="0.35">
      <c r="A38" s="374" t="s">
        <v>398</v>
      </c>
      <c r="B38" s="376">
        <f t="shared" ref="B38:M38" si="11">B17+B6</f>
        <v>225414.12</v>
      </c>
      <c r="C38" s="376">
        <f t="shared" si="11"/>
        <v>238765.5</v>
      </c>
      <c r="D38" s="376">
        <f t="shared" si="11"/>
        <v>239597.86</v>
      </c>
      <c r="E38" s="376">
        <f t="shared" si="11"/>
        <v>203603.86</v>
      </c>
      <c r="F38" s="376">
        <f t="shared" si="11"/>
        <v>226615.5</v>
      </c>
      <c r="G38" s="376">
        <f t="shared" si="11"/>
        <v>232203.86</v>
      </c>
      <c r="H38" s="376">
        <f t="shared" si="11"/>
        <v>232903.86</v>
      </c>
      <c r="I38" s="376">
        <f t="shared" si="11"/>
        <v>296037.7</v>
      </c>
      <c r="J38" s="376">
        <f t="shared" si="11"/>
        <v>304037.7</v>
      </c>
      <c r="K38" s="376">
        <f t="shared" si="11"/>
        <v>305703.86</v>
      </c>
      <c r="L38" s="376">
        <f t="shared" si="11"/>
        <v>310669.5</v>
      </c>
      <c r="M38" s="376">
        <f t="shared" si="11"/>
        <v>313703.86</v>
      </c>
      <c r="N38" s="376">
        <f t="shared" ref="N38:N43" si="12">SUM(B38:M38)</f>
        <v>3129257.1799999992</v>
      </c>
      <c r="O38" s="213"/>
      <c r="P38" s="213"/>
      <c r="Q38" s="376">
        <f>'3. P&amp;L Summary Actual'!N28</f>
        <v>2116756.58</v>
      </c>
      <c r="R38" s="376"/>
      <c r="S38" s="376">
        <v>5002886.1007460011</v>
      </c>
      <c r="T38" s="376"/>
      <c r="U38" s="376"/>
      <c r="V38" s="376"/>
    </row>
    <row r="39" spans="1:26" x14ac:dyDescent="0.35">
      <c r="A39" s="377" t="s">
        <v>289</v>
      </c>
      <c r="B39" s="378">
        <f>B18+B7+B29</f>
        <v>107468.66778037627</v>
      </c>
      <c r="C39" s="378">
        <f t="shared" ref="C39:M39" si="13">C18+C7+C29</f>
        <v>107468.66778037627</v>
      </c>
      <c r="D39" s="378">
        <f t="shared" si="13"/>
        <v>97886.471534285214</v>
      </c>
      <c r="E39" s="378">
        <f t="shared" si="13"/>
        <v>97886.471534285214</v>
      </c>
      <c r="F39" s="378">
        <f t="shared" si="13"/>
        <v>102053.98270291188</v>
      </c>
      <c r="G39" s="378">
        <f t="shared" si="13"/>
        <v>102053.98270291188</v>
      </c>
      <c r="H39" s="378">
        <f>H18+H7+H29</f>
        <v>105030.77639478804</v>
      </c>
      <c r="I39" s="378">
        <f t="shared" si="13"/>
        <v>121700.82106929464</v>
      </c>
      <c r="J39" s="378">
        <f t="shared" si="13"/>
        <v>124677.61476117081</v>
      </c>
      <c r="K39" s="378">
        <f t="shared" si="13"/>
        <v>127654.40845304697</v>
      </c>
      <c r="L39" s="378">
        <f t="shared" si="13"/>
        <v>130631.20214492315</v>
      </c>
      <c r="M39" s="378">
        <f t="shared" si="13"/>
        <v>133607.99583679929</v>
      </c>
      <c r="N39" s="378">
        <f t="shared" si="12"/>
        <v>1358121.0626951696</v>
      </c>
      <c r="O39" s="385">
        <f>N39/$N$38</f>
        <v>0.43400749269677152</v>
      </c>
      <c r="P39" s="385"/>
      <c r="Q39" s="378">
        <f>'3. P&amp;L Summary Actual'!N29</f>
        <v>836770.97867469885</v>
      </c>
      <c r="R39" s="401">
        <f>Q39/$Q$38</f>
        <v>0.39530807962562176</v>
      </c>
      <c r="S39" s="378">
        <v>1758103.5668774263</v>
      </c>
      <c r="T39" s="401">
        <f>S39/$S$38</f>
        <v>0.35141786790134361</v>
      </c>
      <c r="U39" s="378"/>
      <c r="V39" s="378"/>
      <c r="W39" s="670"/>
      <c r="X39" s="670"/>
      <c r="Y39" s="670"/>
      <c r="Z39" s="670"/>
    </row>
    <row r="40" spans="1:26" x14ac:dyDescent="0.35">
      <c r="A40" s="377" t="s">
        <v>146</v>
      </c>
      <c r="B40" s="378">
        <f>B19+B8+B30</f>
        <v>16550.932068965514</v>
      </c>
      <c r="C40" s="378">
        <f t="shared" ref="C40:M40" si="14">C19+C8+C30</f>
        <v>16550.932068965514</v>
      </c>
      <c r="D40" s="378">
        <f t="shared" si="14"/>
        <v>16550.932068965514</v>
      </c>
      <c r="E40" s="378">
        <f t="shared" si="14"/>
        <v>16550.932068965514</v>
      </c>
      <c r="F40" s="378">
        <f t="shared" si="14"/>
        <v>16550.932068965514</v>
      </c>
      <c r="G40" s="378">
        <f t="shared" si="14"/>
        <v>16550.932068965514</v>
      </c>
      <c r="H40" s="378">
        <f t="shared" si="14"/>
        <v>21211.518275862069</v>
      </c>
      <c r="I40" s="378">
        <f t="shared" si="14"/>
        <v>21211.518275862069</v>
      </c>
      <c r="J40" s="378">
        <f t="shared" si="14"/>
        <v>21211.518275862069</v>
      </c>
      <c r="K40" s="378">
        <f t="shared" si="14"/>
        <v>21211.518275862069</v>
      </c>
      <c r="L40" s="378">
        <f t="shared" si="14"/>
        <v>21211.518275862069</v>
      </c>
      <c r="M40" s="378">
        <f t="shared" si="14"/>
        <v>21211.518275862069</v>
      </c>
      <c r="N40" s="378">
        <f t="shared" si="12"/>
        <v>226574.70206896547</v>
      </c>
      <c r="O40" s="385">
        <f t="shared" ref="O40:O43" si="15">N40/$N$38</f>
        <v>7.2405267140416216E-2</v>
      </c>
      <c r="P40" s="385"/>
      <c r="Q40" s="378">
        <f>'3. P&amp;L Summary Actual'!N30</f>
        <v>109080.05204819277</v>
      </c>
      <c r="R40" s="401">
        <f t="shared" ref="R40:R43" si="16">Q40/$Q$38</f>
        <v>5.153169385598072E-2</v>
      </c>
      <c r="S40" s="378">
        <v>126494.10481833633</v>
      </c>
      <c r="T40" s="401">
        <f t="shared" ref="T40:T43" si="17">S40/$S$38</f>
        <v>2.5284226398732977E-2</v>
      </c>
      <c r="U40" s="378"/>
      <c r="V40" s="378"/>
      <c r="W40" s="670"/>
      <c r="X40" s="670"/>
      <c r="Y40" s="670"/>
      <c r="Z40" s="670" t="s">
        <v>407</v>
      </c>
    </row>
    <row r="41" spans="1:26" x14ac:dyDescent="0.35">
      <c r="A41" s="377" t="s">
        <v>147</v>
      </c>
      <c r="B41" s="378">
        <f t="shared" ref="B41:M41" si="18">B20+B9+B31</f>
        <v>5533.7282695105205</v>
      </c>
      <c r="C41" s="378">
        <f t="shared" si="18"/>
        <v>7233.7282695105205</v>
      </c>
      <c r="D41" s="378">
        <f>D20+D9+D31</f>
        <v>6776.2114559386973</v>
      </c>
      <c r="E41" s="378">
        <f t="shared" si="18"/>
        <v>6776.2114559386973</v>
      </c>
      <c r="F41" s="378">
        <f t="shared" si="18"/>
        <v>6746.0015528510257</v>
      </c>
      <c r="G41" s="378">
        <f t="shared" si="18"/>
        <v>7365.3923574487271</v>
      </c>
      <c r="H41" s="378">
        <f t="shared" si="18"/>
        <v>7116.1800292990765</v>
      </c>
      <c r="I41" s="378">
        <f t="shared" si="18"/>
        <v>7187.3404169483892</v>
      </c>
      <c r="J41" s="378">
        <f t="shared" si="18"/>
        <v>7412.3076290286226</v>
      </c>
      <c r="K41" s="378">
        <f t="shared" si="18"/>
        <v>7212.7548411088583</v>
      </c>
      <c r="L41" s="378">
        <f t="shared" si="18"/>
        <v>7225.4620531890923</v>
      </c>
      <c r="M41" s="378">
        <f t="shared" si="18"/>
        <v>7238.1692652693264</v>
      </c>
      <c r="N41" s="378">
        <f t="shared" si="12"/>
        <v>83823.487596041567</v>
      </c>
      <c r="O41" s="385">
        <f t="shared" si="15"/>
        <v>2.6787024132047078E-2</v>
      </c>
      <c r="P41" s="385"/>
      <c r="Q41" s="378">
        <f>'3. P&amp;L Summary Actual'!N31</f>
        <v>38074.979397590367</v>
      </c>
      <c r="R41" s="401">
        <f t="shared" si="16"/>
        <v>1.7987415160221381E-2</v>
      </c>
      <c r="S41" s="378">
        <v>36797.56415114375</v>
      </c>
      <c r="T41" s="401">
        <f t="shared" si="17"/>
        <v>7.3552672217855834E-3</v>
      </c>
      <c r="U41" s="378"/>
      <c r="V41" s="378"/>
      <c r="W41" s="670"/>
      <c r="X41" s="670"/>
      <c r="Y41" s="670"/>
      <c r="Z41" s="670"/>
    </row>
    <row r="42" spans="1:26" x14ac:dyDescent="0.35">
      <c r="A42" s="377" t="s">
        <v>399</v>
      </c>
      <c r="B42" s="378">
        <f t="shared" ref="B42:M42" si="19">B21+B10+B32</f>
        <v>3034.4827586206893</v>
      </c>
      <c r="C42" s="378">
        <f t="shared" si="19"/>
        <v>3034.4827586206893</v>
      </c>
      <c r="D42" s="378">
        <f t="shared" si="19"/>
        <v>3034.4827586206893</v>
      </c>
      <c r="E42" s="378">
        <f t="shared" si="19"/>
        <v>3034.4827586206893</v>
      </c>
      <c r="F42" s="378">
        <f t="shared" si="19"/>
        <v>3944.8275862068963</v>
      </c>
      <c r="G42" s="378">
        <f t="shared" si="19"/>
        <v>3944.8275862068963</v>
      </c>
      <c r="H42" s="378">
        <f t="shared" si="19"/>
        <v>3944.8275862068963</v>
      </c>
      <c r="I42" s="378">
        <f t="shared" si="19"/>
        <v>3944.8275862068963</v>
      </c>
      <c r="J42" s="378">
        <f t="shared" si="19"/>
        <v>3944.8275862068963</v>
      </c>
      <c r="K42" s="378">
        <f t="shared" si="19"/>
        <v>3944.8275862068963</v>
      </c>
      <c r="L42" s="378">
        <f t="shared" si="19"/>
        <v>3944.8275862068963</v>
      </c>
      <c r="M42" s="378">
        <f t="shared" si="19"/>
        <v>3944.8275862068963</v>
      </c>
      <c r="N42" s="378">
        <f t="shared" si="12"/>
        <v>43696.551724137928</v>
      </c>
      <c r="O42" s="385">
        <f t="shared" si="15"/>
        <v>1.3963873600231842E-2</v>
      </c>
      <c r="P42" s="385"/>
      <c r="Q42" s="378">
        <f>'3. P&amp;L Summary Actual'!N32</f>
        <v>29439.337349397592</v>
      </c>
      <c r="R42" s="401">
        <f t="shared" si="16"/>
        <v>1.3907757570026116E-2</v>
      </c>
      <c r="S42" s="378">
        <v>101119.21435742971</v>
      </c>
      <c r="T42" s="401">
        <f t="shared" si="17"/>
        <v>2.021217599624173E-2</v>
      </c>
      <c r="U42" s="378"/>
      <c r="V42" s="378"/>
      <c r="W42" s="670"/>
      <c r="X42" s="670"/>
      <c r="Y42" s="670"/>
      <c r="Z42" s="670"/>
    </row>
    <row r="43" spans="1:26" x14ac:dyDescent="0.35">
      <c r="A43" s="377" t="s">
        <v>400</v>
      </c>
      <c r="B43" s="378">
        <f t="shared" ref="B43:M43" si="20">B22+B11+B33</f>
        <v>27681.757586206899</v>
      </c>
      <c r="C43" s="378">
        <f t="shared" si="20"/>
        <v>27681.757586206899</v>
      </c>
      <c r="D43" s="378">
        <f t="shared" si="20"/>
        <v>15681.757586206897</v>
      </c>
      <c r="E43" s="378">
        <f t="shared" si="20"/>
        <v>15681.757586206897</v>
      </c>
      <c r="F43" s="378">
        <f t="shared" si="20"/>
        <v>15681.757586206897</v>
      </c>
      <c r="G43" s="378">
        <f t="shared" si="20"/>
        <v>15681.757586206897</v>
      </c>
      <c r="H43" s="378">
        <f t="shared" si="20"/>
        <v>13570.757586206897</v>
      </c>
      <c r="I43" s="378">
        <f t="shared" si="20"/>
        <v>13570.757586206897</v>
      </c>
      <c r="J43" s="378">
        <f t="shared" si="20"/>
        <v>13570.757586206897</v>
      </c>
      <c r="K43" s="378">
        <f t="shared" si="20"/>
        <v>13570.757586206897</v>
      </c>
      <c r="L43" s="378">
        <f t="shared" si="20"/>
        <v>13570.757586206897</v>
      </c>
      <c r="M43" s="378">
        <f t="shared" si="20"/>
        <v>13570.757586206897</v>
      </c>
      <c r="N43" s="378">
        <f t="shared" si="12"/>
        <v>199515.09103448273</v>
      </c>
      <c r="O43" s="385">
        <f t="shared" si="15"/>
        <v>6.375797179907175E-2</v>
      </c>
      <c r="P43" s="385"/>
      <c r="Q43" s="378">
        <f>'3. P&amp;L Summary Actual'!N33</f>
        <v>193079.67481927713</v>
      </c>
      <c r="R43" s="401">
        <f t="shared" si="16"/>
        <v>9.1214869316375111E-2</v>
      </c>
      <c r="S43" s="378">
        <v>5874.4780561093294</v>
      </c>
      <c r="T43" s="401">
        <f t="shared" si="17"/>
        <v>1.1742178290313988E-3</v>
      </c>
      <c r="U43" s="378"/>
      <c r="V43" s="378"/>
      <c r="W43" s="670"/>
      <c r="X43" s="670"/>
      <c r="Y43" s="670"/>
      <c r="Z43" s="670"/>
    </row>
    <row r="44" spans="1:26" s="206" customFormat="1" x14ac:dyDescent="0.35">
      <c r="A44" s="374" t="s">
        <v>401</v>
      </c>
      <c r="B44" s="379">
        <f t="shared" ref="B44:N44" si="21">SUM(B39:B43)</f>
        <v>160269.5684636799</v>
      </c>
      <c r="C44" s="379">
        <f t="shared" si="21"/>
        <v>161969.5684636799</v>
      </c>
      <c r="D44" s="379">
        <f t="shared" si="21"/>
        <v>139929.85540401703</v>
      </c>
      <c r="E44" s="379">
        <f t="shared" si="21"/>
        <v>139929.85540401703</v>
      </c>
      <c r="F44" s="379">
        <f t="shared" si="21"/>
        <v>144977.50149714222</v>
      </c>
      <c r="G44" s="379">
        <f t="shared" si="21"/>
        <v>145596.89230173992</v>
      </c>
      <c r="H44" s="379">
        <f t="shared" si="21"/>
        <v>150874.05987236297</v>
      </c>
      <c r="I44" s="379">
        <f t="shared" si="21"/>
        <v>167615.2649345189</v>
      </c>
      <c r="J44" s="379">
        <f t="shared" si="21"/>
        <v>170817.0258384753</v>
      </c>
      <c r="K44" s="379">
        <f t="shared" si="21"/>
        <v>173594.2667424317</v>
      </c>
      <c r="L44" s="379">
        <f t="shared" si="21"/>
        <v>176583.76764638809</v>
      </c>
      <c r="M44" s="379">
        <f t="shared" si="21"/>
        <v>179573.26855034448</v>
      </c>
      <c r="N44" s="379">
        <f t="shared" si="21"/>
        <v>1911730.8951187972</v>
      </c>
      <c r="Q44" s="379">
        <f>'3. P&amp;L Summary Actual'!N34</f>
        <v>1206445.0222891569</v>
      </c>
      <c r="R44" s="398"/>
      <c r="S44" s="379">
        <v>2028388.9282604454</v>
      </c>
      <c r="T44" s="398"/>
      <c r="U44" s="379"/>
      <c r="V44" s="379"/>
    </row>
    <row r="45" spans="1:26" s="206" customFormat="1" x14ac:dyDescent="0.35">
      <c r="A45" s="374" t="s">
        <v>325</v>
      </c>
      <c r="B45" s="379">
        <f t="shared" ref="B45:M45" si="22">B38-B44</f>
        <v>65144.551536320098</v>
      </c>
      <c r="C45" s="379">
        <f t="shared" si="22"/>
        <v>76795.931536320102</v>
      </c>
      <c r="D45" s="379">
        <f t="shared" si="22"/>
        <v>99668.004595982959</v>
      </c>
      <c r="E45" s="379">
        <f t="shared" si="22"/>
        <v>63674.004595982959</v>
      </c>
      <c r="F45" s="379">
        <f t="shared" si="22"/>
        <v>81637.998502857779</v>
      </c>
      <c r="G45" s="379">
        <f t="shared" si="22"/>
        <v>86606.967698260065</v>
      </c>
      <c r="H45" s="379">
        <f t="shared" si="22"/>
        <v>82029.80012763702</v>
      </c>
      <c r="I45" s="379">
        <f t="shared" si="22"/>
        <v>128422.43506548111</v>
      </c>
      <c r="J45" s="379">
        <f t="shared" si="22"/>
        <v>133220.67416152472</v>
      </c>
      <c r="K45" s="379">
        <f t="shared" si="22"/>
        <v>132109.59325756828</v>
      </c>
      <c r="L45" s="379">
        <f t="shared" si="22"/>
        <v>134085.73235361191</v>
      </c>
      <c r="M45" s="379">
        <f t="shared" si="22"/>
        <v>134130.59144965551</v>
      </c>
      <c r="N45" s="379">
        <f>SUM(B45:M45)</f>
        <v>1217526.2848812027</v>
      </c>
      <c r="Q45" s="379">
        <f>'3. P&amp;L Summary Actual'!N35</f>
        <v>910311.55771084316</v>
      </c>
      <c r="R45" s="398"/>
      <c r="S45" s="379">
        <v>2974497.1724855546</v>
      </c>
      <c r="T45" s="398"/>
      <c r="U45" s="379"/>
      <c r="V45" s="379"/>
    </row>
    <row r="46" spans="1:26" s="214" customFormat="1" x14ac:dyDescent="0.35">
      <c r="A46" s="383" t="s">
        <v>402</v>
      </c>
      <c r="B46" s="381">
        <f t="shared" ref="B46:N46" si="23">B45/B38</f>
        <v>0.28899942708256299</v>
      </c>
      <c r="C46" s="381">
        <f t="shared" si="23"/>
        <v>0.32163747080847149</v>
      </c>
      <c r="D46" s="381">
        <f t="shared" si="23"/>
        <v>0.41598036224523444</v>
      </c>
      <c r="E46" s="381">
        <f t="shared" si="23"/>
        <v>0.31273476149215917</v>
      </c>
      <c r="F46" s="381">
        <f t="shared" si="23"/>
        <v>0.36024896135903228</v>
      </c>
      <c r="G46" s="381">
        <f t="shared" si="23"/>
        <v>0.37297815677250185</v>
      </c>
      <c r="H46" s="381">
        <f t="shared" si="23"/>
        <v>0.35220455396332645</v>
      </c>
      <c r="I46" s="381">
        <f t="shared" si="23"/>
        <v>0.4338043264945009</v>
      </c>
      <c r="J46" s="381">
        <f t="shared" si="23"/>
        <v>0.4381715628079173</v>
      </c>
      <c r="K46" s="381">
        <f t="shared" si="23"/>
        <v>0.43214892104263353</v>
      </c>
      <c r="L46" s="381">
        <f t="shared" si="23"/>
        <v>0.43160249832575104</v>
      </c>
      <c r="M46" s="381">
        <f t="shared" si="23"/>
        <v>0.42757073964488518</v>
      </c>
      <c r="N46" s="381">
        <f t="shared" si="23"/>
        <v>0.38907837063146183</v>
      </c>
      <c r="Q46" s="381">
        <f>'3. P&amp;L Summary Actual'!N36</f>
        <v>0.43005018447177479</v>
      </c>
      <c r="R46" s="400"/>
      <c r="S46" s="381">
        <v>0.5945562446528645</v>
      </c>
      <c r="T46" s="400"/>
      <c r="U46" s="381"/>
      <c r="V46" s="381"/>
    </row>
    <row r="47" spans="1:26" s="206" customFormat="1" outlineLevel="1" x14ac:dyDescent="0.35">
      <c r="A47" s="374"/>
      <c r="B47" s="380"/>
      <c r="C47" s="380"/>
      <c r="D47" s="380"/>
      <c r="E47" s="380"/>
      <c r="F47" s="380"/>
      <c r="G47" s="380"/>
      <c r="H47" s="380"/>
      <c r="I47" s="380"/>
      <c r="J47" s="380"/>
      <c r="K47" s="380"/>
      <c r="L47" s="380"/>
      <c r="M47" s="380"/>
      <c r="N47" s="380"/>
      <c r="Q47" s="380"/>
      <c r="R47" s="399"/>
      <c r="S47" s="380"/>
      <c r="T47" s="399"/>
      <c r="U47" s="380"/>
      <c r="V47" s="380"/>
    </row>
    <row r="48" spans="1:26" s="206" customFormat="1" outlineLevel="1" x14ac:dyDescent="0.35">
      <c r="A48" s="374" t="s">
        <v>408</v>
      </c>
      <c r="B48" s="380"/>
      <c r="C48" s="380"/>
      <c r="D48" s="380"/>
      <c r="E48" s="380"/>
      <c r="F48" s="380"/>
      <c r="G48" s="380"/>
      <c r="H48" s="380"/>
      <c r="I48" s="380"/>
      <c r="J48" s="380"/>
      <c r="K48" s="380"/>
      <c r="L48" s="380"/>
      <c r="M48" s="380"/>
      <c r="N48" s="380"/>
      <c r="Q48" s="380"/>
      <c r="R48" s="399"/>
      <c r="S48" s="380"/>
      <c r="T48" s="399"/>
      <c r="U48" s="380"/>
      <c r="V48" s="380"/>
    </row>
    <row r="49" spans="1:22" s="206" customFormat="1" outlineLevel="1" x14ac:dyDescent="0.35">
      <c r="A49" s="374" t="s">
        <v>177</v>
      </c>
      <c r="B49" s="380"/>
      <c r="C49" s="380"/>
      <c r="D49" s="380"/>
      <c r="E49" s="380"/>
      <c r="F49" s="380"/>
      <c r="G49" s="380"/>
      <c r="H49" s="380"/>
      <c r="I49" s="380"/>
      <c r="J49" s="380"/>
      <c r="K49" s="380"/>
      <c r="L49" s="380"/>
      <c r="M49" s="380"/>
      <c r="N49" s="380"/>
      <c r="Q49" s="380"/>
      <c r="R49" s="399"/>
      <c r="S49" s="380"/>
      <c r="T49" s="399"/>
      <c r="U49" s="380"/>
      <c r="V49" s="380"/>
    </row>
    <row r="50" spans="1:22" s="206" customFormat="1" outlineLevel="1" x14ac:dyDescent="0.35">
      <c r="A50" s="374" t="s">
        <v>409</v>
      </c>
      <c r="B50" s="380"/>
      <c r="C50" s="380"/>
      <c r="D50" s="380"/>
      <c r="E50" s="380"/>
      <c r="F50" s="380"/>
      <c r="G50" s="380"/>
      <c r="H50" s="380"/>
      <c r="I50" s="380"/>
      <c r="J50" s="380"/>
      <c r="K50" s="380"/>
      <c r="L50" s="380"/>
      <c r="M50" s="380"/>
      <c r="N50" s="380"/>
      <c r="Q50" s="380"/>
      <c r="R50" s="399"/>
      <c r="S50" s="380"/>
      <c r="T50" s="399"/>
      <c r="U50" s="380"/>
      <c r="V50" s="380"/>
    </row>
    <row r="51" spans="1:22" outlineLevel="1" x14ac:dyDescent="0.35">
      <c r="A51" s="377" t="s">
        <v>289</v>
      </c>
      <c r="B51" s="378">
        <f>'India Expenses - Detailed'!E103+'India Expenses - Detailed'!E104</f>
        <v>3980</v>
      </c>
      <c r="C51" s="378">
        <f>'India Expenses - Detailed'!F103+'India Expenses - Detailed'!F104</f>
        <v>2980</v>
      </c>
      <c r="D51" s="378">
        <f>'India Expenses - Detailed'!G103+'India Expenses - Detailed'!G104</f>
        <v>1980</v>
      </c>
      <c r="E51" s="378">
        <f>'India Expenses - Detailed'!H103+'India Expenses - Detailed'!H104</f>
        <v>1980</v>
      </c>
      <c r="F51" s="378">
        <f>'India Expenses - Detailed'!I103+'India Expenses - Detailed'!I104</f>
        <v>1980</v>
      </c>
      <c r="G51" s="378">
        <f>'India Expenses - Detailed'!J103+'India Expenses - Detailed'!J104</f>
        <v>1980</v>
      </c>
      <c r="H51" s="378">
        <f>'India Expenses - Detailed'!K103+'India Expenses - Detailed'!K104</f>
        <v>1980</v>
      </c>
      <c r="I51" s="378">
        <f>'India Expenses - Detailed'!L103+'India Expenses - Detailed'!L104</f>
        <v>1980</v>
      </c>
      <c r="J51" s="378">
        <f>'India Expenses - Detailed'!M103+'India Expenses - Detailed'!M104</f>
        <v>1980</v>
      </c>
      <c r="K51" s="378">
        <f>'India Expenses - Detailed'!N103+'India Expenses - Detailed'!N104</f>
        <v>1980</v>
      </c>
      <c r="L51" s="378">
        <f>'India Expenses - Detailed'!O103+'India Expenses - Detailed'!O104</f>
        <v>1980</v>
      </c>
      <c r="M51" s="378">
        <f>'India Expenses - Detailed'!P103+'India Expenses - Detailed'!P104</f>
        <v>1980</v>
      </c>
      <c r="N51" s="378">
        <f>SUM(B51:M51)</f>
        <v>26760</v>
      </c>
      <c r="O51" s="385">
        <f t="shared" ref="O51:O52" si="24">N51/$N$38</f>
        <v>8.5515502436268303E-3</v>
      </c>
      <c r="P51" s="670"/>
      <c r="Q51" s="378">
        <f>'3. P&amp;L Summary Actual'!N41</f>
        <v>20525.325301204819</v>
      </c>
      <c r="R51" s="401">
        <f t="shared" ref="R51:R53" si="25">Q51/$Q$38</f>
        <v>9.6965921802897228E-3</v>
      </c>
      <c r="S51" s="378">
        <v>47832.795180722875</v>
      </c>
      <c r="T51" s="401">
        <f t="shared" ref="T51:T52" si="26">S51/$S$38</f>
        <v>9.5610402110874217E-3</v>
      </c>
      <c r="U51" s="378"/>
      <c r="V51" s="378"/>
    </row>
    <row r="52" spans="1:22" outlineLevel="1" x14ac:dyDescent="0.35">
      <c r="A52" s="377" t="s">
        <v>153</v>
      </c>
      <c r="B52" s="378">
        <f>'India Expenses - Detailed'!E106+'India Expenses - Detailed'!E107+'India Expenses - Detailed'!E108+'India Expenses - Detailed'!E109</f>
        <v>0</v>
      </c>
      <c r="C52" s="378">
        <f>'India Expenses - Detailed'!F106+'India Expenses - Detailed'!F107+'India Expenses - Detailed'!F108+'India Expenses - Detailed'!F109</f>
        <v>0</v>
      </c>
      <c r="D52" s="378">
        <f>'India Expenses - Detailed'!G106+'India Expenses - Detailed'!G108+'India Expenses - Detailed'!G109</f>
        <v>0</v>
      </c>
      <c r="E52" s="378">
        <f>'India Expenses - Detailed'!H106+'India Expenses - Detailed'!H108+'India Expenses - Detailed'!H109</f>
        <v>0</v>
      </c>
      <c r="F52" s="378">
        <f>'India Expenses - Detailed'!I106+'India Expenses - Detailed'!I108+'India Expenses - Detailed'!I109</f>
        <v>1000</v>
      </c>
      <c r="G52" s="378">
        <f>'India Expenses - Detailed'!J106+'India Expenses - Detailed'!J108+'India Expenses - Detailed'!J109</f>
        <v>0</v>
      </c>
      <c r="H52" s="378">
        <f>'India Expenses - Detailed'!K106+'India Expenses - Detailed'!K108+'India Expenses - Detailed'!K109</f>
        <v>0</v>
      </c>
      <c r="I52" s="378">
        <f>'India Expenses - Detailed'!L106+'India Expenses - Detailed'!L108+'India Expenses - Detailed'!L109</f>
        <v>0</v>
      </c>
      <c r="J52" s="378">
        <f>'India Expenses - Detailed'!M106+'India Expenses - Detailed'!M108+'India Expenses - Detailed'!M109</f>
        <v>0</v>
      </c>
      <c r="K52" s="378">
        <f>'India Expenses - Detailed'!N106+'India Expenses - Detailed'!N108+'India Expenses - Detailed'!N109</f>
        <v>0</v>
      </c>
      <c r="L52" s="378">
        <f>'India Expenses - Detailed'!O106+'India Expenses - Detailed'!O108+'India Expenses - Detailed'!O109</f>
        <v>0</v>
      </c>
      <c r="M52" s="378">
        <f>'India Expenses - Detailed'!P106+'India Expenses - Detailed'!P108+'India Expenses - Detailed'!P109</f>
        <v>0</v>
      </c>
      <c r="N52" s="378">
        <f>SUM(B52:M52)</f>
        <v>1000</v>
      </c>
      <c r="O52" s="385">
        <f t="shared" si="24"/>
        <v>3.1956465783358854E-4</v>
      </c>
      <c r="P52" s="670"/>
      <c r="Q52" s="378">
        <f>'3. P&amp;L Summary Actual'!N42</f>
        <v>2971.2048192771085</v>
      </c>
      <c r="R52" s="401">
        <f t="shared" si="25"/>
        <v>1.403659186583045E-3</v>
      </c>
      <c r="S52" s="378">
        <v>31421.220883534148</v>
      </c>
      <c r="T52" s="401">
        <f t="shared" si="26"/>
        <v>6.2806188769416113E-3</v>
      </c>
      <c r="U52" s="378"/>
      <c r="V52" s="378"/>
    </row>
    <row r="53" spans="1:22" s="206" customFormat="1" outlineLevel="1" x14ac:dyDescent="0.35">
      <c r="A53" s="374" t="s">
        <v>174</v>
      </c>
      <c r="B53" s="379">
        <f>SUM(B51:B52)</f>
        <v>3980</v>
      </c>
      <c r="C53" s="379">
        <f t="shared" ref="C53:N53" si="27">SUM(C51:C52)</f>
        <v>2980</v>
      </c>
      <c r="D53" s="379">
        <f t="shared" si="27"/>
        <v>1980</v>
      </c>
      <c r="E53" s="379">
        <f t="shared" si="27"/>
        <v>1980</v>
      </c>
      <c r="F53" s="379">
        <f t="shared" si="27"/>
        <v>2980</v>
      </c>
      <c r="G53" s="379">
        <f t="shared" si="27"/>
        <v>1980</v>
      </c>
      <c r="H53" s="379">
        <f t="shared" si="27"/>
        <v>1980</v>
      </c>
      <c r="I53" s="379">
        <f t="shared" si="27"/>
        <v>1980</v>
      </c>
      <c r="J53" s="379">
        <f t="shared" si="27"/>
        <v>1980</v>
      </c>
      <c r="K53" s="379">
        <f t="shared" si="27"/>
        <v>1980</v>
      </c>
      <c r="L53" s="379">
        <f t="shared" si="27"/>
        <v>1980</v>
      </c>
      <c r="M53" s="379">
        <f t="shared" si="27"/>
        <v>1980</v>
      </c>
      <c r="N53" s="379">
        <f t="shared" si="27"/>
        <v>27760</v>
      </c>
      <c r="Q53" s="379">
        <f>'3. P&amp;L Summary Actual'!N43</f>
        <v>23496.530120481926</v>
      </c>
      <c r="R53" s="401">
        <f t="shared" si="25"/>
        <v>1.1100251366872768E-2</v>
      </c>
      <c r="S53" s="379">
        <v>79254.016064257026</v>
      </c>
      <c r="T53" s="398"/>
      <c r="U53" s="379"/>
      <c r="V53" s="379"/>
    </row>
    <row r="54" spans="1:22" s="206" customFormat="1" outlineLevel="1" x14ac:dyDescent="0.35">
      <c r="A54" s="374"/>
      <c r="B54" s="380"/>
      <c r="C54" s="380"/>
      <c r="D54" s="380"/>
      <c r="E54" s="380"/>
      <c r="F54" s="380"/>
      <c r="G54" s="380"/>
      <c r="H54" s="380"/>
      <c r="I54" s="380"/>
      <c r="J54" s="380"/>
      <c r="K54" s="380"/>
      <c r="L54" s="380"/>
      <c r="M54" s="380"/>
      <c r="N54" s="380"/>
      <c r="Q54" s="380"/>
      <c r="R54" s="399"/>
      <c r="S54" s="380"/>
      <c r="T54" s="399"/>
      <c r="U54" s="380"/>
      <c r="V54" s="380"/>
    </row>
    <row r="55" spans="1:22" s="206" customFormat="1" outlineLevel="1" x14ac:dyDescent="0.35">
      <c r="A55" s="374" t="s">
        <v>405</v>
      </c>
      <c r="B55" s="722"/>
      <c r="C55" s="722"/>
      <c r="D55" s="722">
        <f>'5. US Expenses'!F42</f>
        <v>2240</v>
      </c>
      <c r="E55" s="722">
        <f>'5. US Expenses'!G42</f>
        <v>2240</v>
      </c>
      <c r="F55" s="722">
        <f>'5. US Expenses'!H42</f>
        <v>2240</v>
      </c>
      <c r="G55" s="722">
        <f>'5. US Expenses'!I42</f>
        <v>2240</v>
      </c>
      <c r="H55" s="722">
        <f>'5. US Expenses'!J42</f>
        <v>2240</v>
      </c>
      <c r="I55" s="722">
        <f>'5. US Expenses'!K42</f>
        <v>2240</v>
      </c>
      <c r="J55" s="722">
        <f>'5. US Expenses'!L42</f>
        <v>2240</v>
      </c>
      <c r="K55" s="722">
        <f>'5. US Expenses'!M42</f>
        <v>2240</v>
      </c>
      <c r="L55" s="722">
        <f>'5. US Expenses'!N42</f>
        <v>2240</v>
      </c>
      <c r="M55" s="722">
        <f>'5. US Expenses'!O42</f>
        <v>2240</v>
      </c>
      <c r="N55" s="378">
        <f>SUM(B55:M55)</f>
        <v>22400</v>
      </c>
      <c r="Q55" s="380"/>
      <c r="R55" s="399"/>
      <c r="S55" s="380"/>
      <c r="T55" s="399"/>
      <c r="U55" s="380"/>
      <c r="V55" s="380"/>
    </row>
    <row r="56" spans="1:22" outlineLevel="1" x14ac:dyDescent="0.35">
      <c r="A56" s="377" t="s">
        <v>289</v>
      </c>
      <c r="B56" s="378">
        <f>'5. US Expenses'!D43</f>
        <v>14760</v>
      </c>
      <c r="C56" s="378">
        <f>'5. US Expenses'!E43</f>
        <v>0</v>
      </c>
      <c r="D56" s="378">
        <f>'5. US Expenses'!F43</f>
        <v>0</v>
      </c>
      <c r="E56" s="378">
        <f>'5. US Expenses'!G43</f>
        <v>0</v>
      </c>
      <c r="F56" s="378">
        <f>'5. US Expenses'!H43</f>
        <v>0</v>
      </c>
      <c r="G56" s="378">
        <f>'5. US Expenses'!I43</f>
        <v>0</v>
      </c>
      <c r="H56" s="378">
        <f>'5. US Expenses'!J43</f>
        <v>0</v>
      </c>
      <c r="I56" s="378">
        <f>'5. US Expenses'!K43</f>
        <v>0</v>
      </c>
      <c r="J56" s="378">
        <f>'5. US Expenses'!L43</f>
        <v>0</v>
      </c>
      <c r="K56" s="378">
        <f>'5. US Expenses'!M43</f>
        <v>0</v>
      </c>
      <c r="L56" s="378">
        <f>'5. US Expenses'!N43</f>
        <v>0</v>
      </c>
      <c r="M56" s="378">
        <f>'5. US Expenses'!O43</f>
        <v>0</v>
      </c>
      <c r="N56" s="378">
        <f>SUM(B56:M56)</f>
        <v>14760</v>
      </c>
      <c r="O56" s="385">
        <f t="shared" ref="O56:O57" si="28">N56/$N$38</f>
        <v>4.7167743496237674E-3</v>
      </c>
      <c r="P56" s="670"/>
      <c r="Q56" s="378">
        <f>'3. P&amp;L Summary Actual'!N46</f>
        <v>0</v>
      </c>
      <c r="R56" s="401">
        <f t="shared" ref="R56:R58" si="29">Q56/$Q$38</f>
        <v>0</v>
      </c>
      <c r="S56" s="378">
        <v>0</v>
      </c>
      <c r="T56" s="401">
        <f t="shared" ref="T56:T57" si="30">S56/$S$38</f>
        <v>0</v>
      </c>
      <c r="U56" s="378"/>
      <c r="V56" s="378"/>
    </row>
    <row r="57" spans="1:22" outlineLevel="1" x14ac:dyDescent="0.35">
      <c r="A57" s="377" t="s">
        <v>153</v>
      </c>
      <c r="B57" s="378">
        <f>'5. US Expenses'!D52</f>
        <v>3628.52</v>
      </c>
      <c r="C57" s="378">
        <f>'5. US Expenses'!E52</f>
        <v>3628.52</v>
      </c>
      <c r="D57" s="378">
        <f>'5. US Expenses'!F52</f>
        <v>1455</v>
      </c>
      <c r="E57" s="378">
        <f>'5. US Expenses'!G52</f>
        <v>1955</v>
      </c>
      <c r="F57" s="378">
        <f>'5. US Expenses'!H52</f>
        <v>1955</v>
      </c>
      <c r="G57" s="378">
        <f>'5. US Expenses'!I52</f>
        <v>1955</v>
      </c>
      <c r="H57" s="378">
        <f>'5. US Expenses'!J52</f>
        <v>1955</v>
      </c>
      <c r="I57" s="378">
        <f>'5. US Expenses'!K52</f>
        <v>1955</v>
      </c>
      <c r="J57" s="378">
        <f>'5. US Expenses'!L52</f>
        <v>1955</v>
      </c>
      <c r="K57" s="378">
        <f>'5. US Expenses'!M52</f>
        <v>4455</v>
      </c>
      <c r="L57" s="378">
        <f>'5. US Expenses'!N52</f>
        <v>1955</v>
      </c>
      <c r="M57" s="378">
        <f>'5. US Expenses'!O52</f>
        <v>1955</v>
      </c>
      <c r="N57" s="378">
        <f>SUM(B57:M57)</f>
        <v>28807.040000000001</v>
      </c>
      <c r="O57" s="385">
        <f t="shared" si="28"/>
        <v>9.2057118807984985E-3</v>
      </c>
      <c r="P57" s="670"/>
      <c r="Q57" s="378" t="e">
        <f>'3. P&amp;L Summary Actual'!N47</f>
        <v>#REF!</v>
      </c>
      <c r="R57" s="401" t="e">
        <f t="shared" si="29"/>
        <v>#REF!</v>
      </c>
      <c r="S57" s="378">
        <v>57400</v>
      </c>
      <c r="T57" s="401">
        <f t="shared" si="30"/>
        <v>1.1473377335422617E-2</v>
      </c>
      <c r="U57" s="378"/>
      <c r="V57" s="378"/>
    </row>
    <row r="58" spans="1:22" s="206" customFormat="1" outlineLevel="1" x14ac:dyDescent="0.35">
      <c r="A58" s="374" t="s">
        <v>174</v>
      </c>
      <c r="B58" s="379">
        <f t="shared" ref="B58:M58" si="31">SUM(B55:B57)</f>
        <v>18388.52</v>
      </c>
      <c r="C58" s="379">
        <f t="shared" si="31"/>
        <v>3628.52</v>
      </c>
      <c r="D58" s="379">
        <f t="shared" si="31"/>
        <v>3695</v>
      </c>
      <c r="E58" s="379">
        <f t="shared" si="31"/>
        <v>4195</v>
      </c>
      <c r="F58" s="379">
        <f t="shared" si="31"/>
        <v>4195</v>
      </c>
      <c r="G58" s="379">
        <f t="shared" si="31"/>
        <v>4195</v>
      </c>
      <c r="H58" s="379">
        <f t="shared" si="31"/>
        <v>4195</v>
      </c>
      <c r="I58" s="379">
        <f t="shared" si="31"/>
        <v>4195</v>
      </c>
      <c r="J58" s="379">
        <f t="shared" si="31"/>
        <v>4195</v>
      </c>
      <c r="K58" s="379">
        <f t="shared" si="31"/>
        <v>6695</v>
      </c>
      <c r="L58" s="379">
        <f t="shared" si="31"/>
        <v>4195</v>
      </c>
      <c r="M58" s="379">
        <f t="shared" si="31"/>
        <v>4195</v>
      </c>
      <c r="N58" s="379">
        <f t="shared" ref="N58" si="32">SUM(N56:N57)</f>
        <v>43567.040000000001</v>
      </c>
      <c r="Q58" s="379" t="e">
        <f>'3. P&amp;L Summary Actual'!N48</f>
        <v>#REF!</v>
      </c>
      <c r="R58" s="401" t="e">
        <f t="shared" si="29"/>
        <v>#REF!</v>
      </c>
      <c r="S58" s="379">
        <v>57400</v>
      </c>
      <c r="T58" s="398"/>
      <c r="U58" s="379"/>
      <c r="V58" s="379"/>
    </row>
    <row r="59" spans="1:22" s="206" customFormat="1" x14ac:dyDescent="0.35">
      <c r="A59" s="374"/>
      <c r="B59" s="380"/>
      <c r="C59" s="380"/>
      <c r="D59" s="380"/>
      <c r="E59" s="380"/>
      <c r="F59" s="380"/>
      <c r="G59" s="380"/>
      <c r="H59" s="380"/>
      <c r="I59" s="380"/>
      <c r="J59" s="380"/>
      <c r="K59" s="380"/>
      <c r="L59" s="380"/>
      <c r="M59" s="380"/>
      <c r="N59" s="380"/>
      <c r="Q59" s="380"/>
      <c r="R59" s="399"/>
      <c r="S59" s="380"/>
      <c r="T59" s="399"/>
      <c r="U59" s="380"/>
      <c r="V59" s="380"/>
    </row>
    <row r="60" spans="1:22" s="206" customFormat="1" ht="13.5" customHeight="1" x14ac:dyDescent="0.35">
      <c r="A60" s="374" t="s">
        <v>410</v>
      </c>
      <c r="B60" s="380"/>
      <c r="C60" s="380"/>
      <c r="D60" s="380"/>
      <c r="E60" s="380"/>
      <c r="F60" s="380"/>
      <c r="G60" s="380"/>
      <c r="H60" s="380"/>
      <c r="I60" s="380"/>
      <c r="J60" s="380"/>
      <c r="K60" s="380"/>
      <c r="L60" s="380"/>
      <c r="M60" s="380"/>
      <c r="N60" s="380"/>
      <c r="Q60" s="380"/>
      <c r="R60" s="399"/>
      <c r="S60" s="380"/>
      <c r="T60" s="399"/>
      <c r="U60" s="380"/>
      <c r="V60" s="380"/>
    </row>
    <row r="61" spans="1:22" x14ac:dyDescent="0.35">
      <c r="A61" s="377" t="s">
        <v>289</v>
      </c>
      <c r="B61" s="378">
        <f t="shared" ref="B61:M61" si="33">B56+B51+B55</f>
        <v>18740</v>
      </c>
      <c r="C61" s="378">
        <f t="shared" si="33"/>
        <v>2980</v>
      </c>
      <c r="D61" s="378">
        <f t="shared" si="33"/>
        <v>4220</v>
      </c>
      <c r="E61" s="378">
        <f t="shared" si="33"/>
        <v>4220</v>
      </c>
      <c r="F61" s="378">
        <f t="shared" si="33"/>
        <v>4220</v>
      </c>
      <c r="G61" s="378">
        <f t="shared" si="33"/>
        <v>4220</v>
      </c>
      <c r="H61" s="378">
        <f t="shared" si="33"/>
        <v>4220</v>
      </c>
      <c r="I61" s="378">
        <f t="shared" si="33"/>
        <v>4220</v>
      </c>
      <c r="J61" s="378">
        <f t="shared" si="33"/>
        <v>4220</v>
      </c>
      <c r="K61" s="378">
        <f t="shared" si="33"/>
        <v>4220</v>
      </c>
      <c r="L61" s="378">
        <f t="shared" si="33"/>
        <v>4220</v>
      </c>
      <c r="M61" s="378">
        <f t="shared" si="33"/>
        <v>4220</v>
      </c>
      <c r="N61" s="378">
        <f>SUM(B61:M61)</f>
        <v>63920</v>
      </c>
      <c r="O61" s="385">
        <f t="shared" ref="O61:O62" si="34">N61/$N$38</f>
        <v>2.0426572928722981E-2</v>
      </c>
      <c r="P61" s="385"/>
      <c r="Q61" s="378">
        <f>'3. P&amp;L Summary Actual'!N51</f>
        <v>20525.325301204819</v>
      </c>
      <c r="R61" s="401">
        <f t="shared" ref="R61:R63" si="35">Q61/$Q$38</f>
        <v>9.6965921802897228E-3</v>
      </c>
      <c r="S61" s="378">
        <v>47832.795180722875</v>
      </c>
      <c r="T61" s="401">
        <f t="shared" ref="T61:T62" si="36">S61/$S$38</f>
        <v>9.5610402110874217E-3</v>
      </c>
      <c r="U61" s="378"/>
      <c r="V61" s="378"/>
    </row>
    <row r="62" spans="1:22" x14ac:dyDescent="0.35">
      <c r="A62" s="377" t="s">
        <v>153</v>
      </c>
      <c r="B62" s="378">
        <f>B57+B52</f>
        <v>3628.52</v>
      </c>
      <c r="C62" s="378">
        <f t="shared" ref="C62:M62" si="37">C57+C52</f>
        <v>3628.52</v>
      </c>
      <c r="D62" s="378">
        <f t="shared" si="37"/>
        <v>1455</v>
      </c>
      <c r="E62" s="378">
        <f t="shared" si="37"/>
        <v>1955</v>
      </c>
      <c r="F62" s="378">
        <f t="shared" si="37"/>
        <v>2955</v>
      </c>
      <c r="G62" s="378">
        <f t="shared" si="37"/>
        <v>1955</v>
      </c>
      <c r="H62" s="378">
        <f t="shared" si="37"/>
        <v>1955</v>
      </c>
      <c r="I62" s="378">
        <f t="shared" si="37"/>
        <v>1955</v>
      </c>
      <c r="J62" s="378">
        <f t="shared" si="37"/>
        <v>1955</v>
      </c>
      <c r="K62" s="378">
        <f t="shared" si="37"/>
        <v>4455</v>
      </c>
      <c r="L62" s="378">
        <f t="shared" si="37"/>
        <v>1955</v>
      </c>
      <c r="M62" s="378">
        <f t="shared" si="37"/>
        <v>1955</v>
      </c>
      <c r="N62" s="378">
        <f>SUM(B62:M62)</f>
        <v>29807.040000000001</v>
      </c>
      <c r="O62" s="385">
        <f t="shared" si="34"/>
        <v>9.5252765386320878E-3</v>
      </c>
      <c r="P62" s="385"/>
      <c r="Q62" s="378" t="e">
        <f>'3. P&amp;L Summary Actual'!N52</f>
        <v>#REF!</v>
      </c>
      <c r="R62" s="401" t="e">
        <f t="shared" si="35"/>
        <v>#REF!</v>
      </c>
      <c r="S62" s="378">
        <v>88821.220883534144</v>
      </c>
      <c r="T62" s="401">
        <f t="shared" si="36"/>
        <v>1.7753996212364228E-2</v>
      </c>
      <c r="U62" s="378"/>
      <c r="V62" s="378"/>
    </row>
    <row r="63" spans="1:22" s="206" customFormat="1" x14ac:dyDescent="0.35">
      <c r="A63" s="374" t="s">
        <v>174</v>
      </c>
      <c r="B63" s="379">
        <f t="shared" ref="B63:N63" si="38">SUM(B61:B62)</f>
        <v>22368.52</v>
      </c>
      <c r="C63" s="379">
        <f t="shared" si="38"/>
        <v>6608.52</v>
      </c>
      <c r="D63" s="379">
        <f t="shared" si="38"/>
        <v>5675</v>
      </c>
      <c r="E63" s="379">
        <f t="shared" si="38"/>
        <v>6175</v>
      </c>
      <c r="F63" s="379">
        <f t="shared" si="38"/>
        <v>7175</v>
      </c>
      <c r="G63" s="379">
        <f t="shared" si="38"/>
        <v>6175</v>
      </c>
      <c r="H63" s="379">
        <f t="shared" si="38"/>
        <v>6175</v>
      </c>
      <c r="I63" s="379">
        <f t="shared" si="38"/>
        <v>6175</v>
      </c>
      <c r="J63" s="379">
        <f t="shared" si="38"/>
        <v>6175</v>
      </c>
      <c r="K63" s="379">
        <f t="shared" si="38"/>
        <v>8675</v>
      </c>
      <c r="L63" s="379">
        <f t="shared" si="38"/>
        <v>6175</v>
      </c>
      <c r="M63" s="379">
        <f t="shared" si="38"/>
        <v>6175</v>
      </c>
      <c r="N63" s="379">
        <f t="shared" si="38"/>
        <v>93727.040000000008</v>
      </c>
      <c r="Q63" s="379" t="e">
        <f>'3. P&amp;L Summary Actual'!N53</f>
        <v>#REF!</v>
      </c>
      <c r="R63" s="401" t="e">
        <f t="shared" si="35"/>
        <v>#REF!</v>
      </c>
      <c r="S63" s="379">
        <v>136654.01606425701</v>
      </c>
      <c r="T63" s="398"/>
      <c r="U63" s="379"/>
      <c r="V63" s="379"/>
    </row>
    <row r="64" spans="1:22" s="206" customFormat="1" x14ac:dyDescent="0.35">
      <c r="A64" s="374" t="s">
        <v>411</v>
      </c>
      <c r="B64" s="381">
        <f t="shared" ref="B64:N64" si="39">B63/B38</f>
        <v>9.9233002795033429E-2</v>
      </c>
      <c r="C64" s="381">
        <f t="shared" si="39"/>
        <v>2.7677868033698337E-2</v>
      </c>
      <c r="D64" s="381">
        <f t="shared" si="39"/>
        <v>2.3685520396551123E-2</v>
      </c>
      <c r="E64" s="381">
        <f t="shared" si="39"/>
        <v>3.0328501630568303E-2</v>
      </c>
      <c r="F64" s="381">
        <f t="shared" si="39"/>
        <v>3.1661558896015497E-2</v>
      </c>
      <c r="G64" s="381">
        <f t="shared" si="39"/>
        <v>2.6593011847434407E-2</v>
      </c>
      <c r="H64" s="381">
        <f t="shared" si="39"/>
        <v>2.6513085699824815E-2</v>
      </c>
      <c r="I64" s="381">
        <f t="shared" si="39"/>
        <v>2.0858829804447202E-2</v>
      </c>
      <c r="J64" s="381">
        <f t="shared" si="39"/>
        <v>2.0309981295082814E-2</v>
      </c>
      <c r="K64" s="381">
        <f t="shared" si="39"/>
        <v>2.8377135964197508E-2</v>
      </c>
      <c r="L64" s="381">
        <f t="shared" si="39"/>
        <v>1.9876428165622954E-2</v>
      </c>
      <c r="M64" s="381">
        <f t="shared" si="39"/>
        <v>1.9684169649681709E-2</v>
      </c>
      <c r="N64" s="381">
        <f t="shared" si="39"/>
        <v>2.995184946735507E-2</v>
      </c>
      <c r="Q64" s="381"/>
      <c r="R64" s="400"/>
      <c r="S64" s="381">
        <v>2.731503642345165E-2</v>
      </c>
      <c r="T64" s="400"/>
      <c r="U64" s="381"/>
      <c r="V64" s="381"/>
    </row>
    <row r="65" spans="1:22" s="206" customFormat="1" x14ac:dyDescent="0.35">
      <c r="A65" s="374"/>
      <c r="B65" s="380"/>
      <c r="C65" s="380"/>
      <c r="D65" s="380"/>
      <c r="E65" s="380"/>
      <c r="F65" s="380"/>
      <c r="G65" s="380"/>
      <c r="H65" s="380"/>
      <c r="I65" s="380"/>
      <c r="J65" s="380"/>
      <c r="K65" s="380"/>
      <c r="L65" s="380"/>
      <c r="M65" s="380"/>
      <c r="N65" s="380"/>
      <c r="Q65" s="380"/>
      <c r="R65" s="399"/>
      <c r="S65" s="380"/>
      <c r="T65" s="399"/>
      <c r="U65" s="380"/>
      <c r="V65" s="380"/>
    </row>
    <row r="66" spans="1:22" s="206" customFormat="1" outlineLevel="1" x14ac:dyDescent="0.35">
      <c r="A66" s="374" t="s">
        <v>412</v>
      </c>
      <c r="B66" s="380"/>
      <c r="C66" s="380"/>
      <c r="D66" s="380"/>
      <c r="E66" s="380"/>
      <c r="F66" s="380"/>
      <c r="G66" s="380"/>
      <c r="H66" s="380"/>
      <c r="I66" s="380"/>
      <c r="J66" s="380"/>
      <c r="K66" s="380"/>
      <c r="L66" s="380"/>
      <c r="M66" s="380"/>
      <c r="N66" s="380"/>
      <c r="Q66" s="380"/>
      <c r="R66" s="399"/>
      <c r="S66" s="380"/>
      <c r="T66" s="399"/>
      <c r="U66" s="380"/>
      <c r="V66" s="380"/>
    </row>
    <row r="67" spans="1:22" s="206" customFormat="1" outlineLevel="1" x14ac:dyDescent="0.35">
      <c r="A67" s="374" t="s">
        <v>409</v>
      </c>
      <c r="B67" s="380"/>
      <c r="C67" s="380"/>
      <c r="D67" s="380"/>
      <c r="E67" s="380"/>
      <c r="F67" s="380"/>
      <c r="G67" s="380"/>
      <c r="H67" s="380"/>
      <c r="I67" s="380"/>
      <c r="J67" s="380"/>
      <c r="K67" s="380"/>
      <c r="L67" s="380"/>
      <c r="M67" s="380"/>
      <c r="N67" s="380"/>
      <c r="Q67" s="380"/>
      <c r="R67" s="399"/>
      <c r="S67" s="380"/>
      <c r="T67" s="399"/>
      <c r="U67" s="380"/>
      <c r="V67" s="380"/>
    </row>
    <row r="68" spans="1:22" s="490" customFormat="1" outlineLevel="1" x14ac:dyDescent="0.35">
      <c r="A68" s="668" t="s">
        <v>413</v>
      </c>
      <c r="B68" s="412">
        <f>'India Expenses - Detailed'!E88</f>
        <v>9945</v>
      </c>
      <c r="C68" s="412">
        <f>'India Expenses - Detailed'!F88</f>
        <v>9945</v>
      </c>
      <c r="D68" s="412">
        <f>'India Expenses - Detailed'!G88</f>
        <v>9945</v>
      </c>
      <c r="E68" s="412">
        <f>'India Expenses - Detailed'!H88</f>
        <v>9945</v>
      </c>
      <c r="F68" s="412">
        <f>'India Expenses - Detailed'!I88</f>
        <v>9945</v>
      </c>
      <c r="G68" s="412">
        <f>'India Expenses - Detailed'!J88</f>
        <v>9945</v>
      </c>
      <c r="H68" s="412">
        <f>'India Expenses - Detailed'!K88</f>
        <v>9945</v>
      </c>
      <c r="I68" s="412">
        <f>'India Expenses - Detailed'!L88</f>
        <v>9945</v>
      </c>
      <c r="J68" s="412">
        <f>'India Expenses - Detailed'!M88</f>
        <v>9945</v>
      </c>
      <c r="K68" s="412">
        <f>'India Expenses - Detailed'!N88</f>
        <v>9945</v>
      </c>
      <c r="L68" s="412">
        <f>'India Expenses - Detailed'!O88</f>
        <v>9945</v>
      </c>
      <c r="M68" s="412">
        <f>'India Expenses - Detailed'!P88</f>
        <v>9945</v>
      </c>
      <c r="N68" s="412">
        <f>SUM(B68:M68)</f>
        <v>119340</v>
      </c>
      <c r="O68" s="413">
        <f t="shared" ref="O68:O72" si="40">N68/$N$38</f>
        <v>3.8136846265860461E-2</v>
      </c>
      <c r="Q68" s="429">
        <f>'3. P&amp;L Summary Actual'!N58</f>
        <v>145303.1204819277</v>
      </c>
      <c r="R68" s="489">
        <f t="shared" ref="R68:R72" si="41">Q68/$Q$38</f>
        <v>6.8644227614460845E-2</v>
      </c>
      <c r="S68" s="429">
        <v>128499.29148795181</v>
      </c>
      <c r="T68" s="489">
        <f t="shared" ref="T68:T72" si="42">S68/$S$38</f>
        <v>2.5685032379368131E-2</v>
      </c>
      <c r="U68" s="429"/>
      <c r="V68" s="429"/>
    </row>
    <row r="69" spans="1:22" outlineLevel="1" x14ac:dyDescent="0.35">
      <c r="A69" s="377" t="s">
        <v>289</v>
      </c>
      <c r="B69" s="378">
        <f>'India Expenses - Detailed'!E89+'India Expenses - Detailed'!E90+'India Expenses - Detailed'!E91+'India Expenses - Detailed'!E92</f>
        <v>4480</v>
      </c>
      <c r="C69" s="378">
        <f>'India Expenses - Detailed'!F89+'India Expenses - Detailed'!F90+'India Expenses - Detailed'!F91+'India Expenses - Detailed'!F92</f>
        <v>3930</v>
      </c>
      <c r="D69" s="378">
        <f>'India Expenses - Detailed'!G89+'India Expenses - Detailed'!G90+'India Expenses - Detailed'!G91+'India Expenses - Detailed'!G92</f>
        <v>3380</v>
      </c>
      <c r="E69" s="378">
        <f>'India Expenses - Detailed'!H89+'India Expenses - Detailed'!H90+'India Expenses - Detailed'!H91+'India Expenses - Detailed'!H92</f>
        <v>3380</v>
      </c>
      <c r="F69" s="378">
        <f>'India Expenses - Detailed'!I89+'India Expenses - Detailed'!I90+'India Expenses - Detailed'!I91+'India Expenses - Detailed'!I92</f>
        <v>4830</v>
      </c>
      <c r="G69" s="378">
        <f>'India Expenses - Detailed'!J89+'India Expenses - Detailed'!J90+'India Expenses - Detailed'!J91+'India Expenses - Detailed'!J92</f>
        <v>4830</v>
      </c>
      <c r="H69" s="378">
        <f>'India Expenses - Detailed'!K89+'India Expenses - Detailed'!K90+'India Expenses - Detailed'!K91+'India Expenses - Detailed'!K92</f>
        <v>4830</v>
      </c>
      <c r="I69" s="378">
        <f>'India Expenses - Detailed'!L89+'India Expenses - Detailed'!L90+'India Expenses - Detailed'!L91+'India Expenses - Detailed'!L92</f>
        <v>4830</v>
      </c>
      <c r="J69" s="378">
        <f>'India Expenses - Detailed'!M89+'India Expenses - Detailed'!M90+'India Expenses - Detailed'!M91+'India Expenses - Detailed'!M92</f>
        <v>4830</v>
      </c>
      <c r="K69" s="378">
        <f>'India Expenses - Detailed'!N89+'India Expenses - Detailed'!N90+'India Expenses - Detailed'!N91+'India Expenses - Detailed'!N92</f>
        <v>4830</v>
      </c>
      <c r="L69" s="378">
        <f>'India Expenses - Detailed'!O89+'India Expenses - Detailed'!O90+'India Expenses - Detailed'!O91+'India Expenses - Detailed'!O92</f>
        <v>4830</v>
      </c>
      <c r="M69" s="378">
        <f>'India Expenses - Detailed'!P89+'India Expenses - Detailed'!P90+'India Expenses - Detailed'!P91+'India Expenses - Detailed'!P92</f>
        <v>4830</v>
      </c>
      <c r="N69" s="378">
        <f>SUM(B69:M69)</f>
        <v>53810</v>
      </c>
      <c r="O69" s="385">
        <f t="shared" si="40"/>
        <v>1.7195774238025402E-2</v>
      </c>
      <c r="P69" s="670"/>
      <c r="Q69" s="378">
        <f>'3. P&amp;L Summary Actual'!N59</f>
        <v>12785.626506024097</v>
      </c>
      <c r="R69" s="401">
        <f t="shared" si="41"/>
        <v>6.0401968874588766E-3</v>
      </c>
      <c r="S69" s="378">
        <v>33257.522891566252</v>
      </c>
      <c r="T69" s="401">
        <f t="shared" si="42"/>
        <v>6.6476674107385902E-3</v>
      </c>
      <c r="U69" s="378"/>
      <c r="V69" s="378"/>
    </row>
    <row r="70" spans="1:22" outlineLevel="1" x14ac:dyDescent="0.35">
      <c r="A70" s="377" t="s">
        <v>414</v>
      </c>
      <c r="B70" s="378">
        <f>'India Expenses - Detailed'!E101</f>
        <v>1971.2643678160921</v>
      </c>
      <c r="C70" s="378">
        <f>'India Expenses - Detailed'!F101</f>
        <v>4660.9195402298847</v>
      </c>
      <c r="D70" s="378">
        <f>'India Expenses - Detailed'!G101</f>
        <v>1500</v>
      </c>
      <c r="E70" s="378">
        <f>'India Expenses - Detailed'!H101</f>
        <v>1500</v>
      </c>
      <c r="F70" s="378">
        <f>'India Expenses - Detailed'!I101</f>
        <v>1500</v>
      </c>
      <c r="G70" s="378">
        <f>'India Expenses - Detailed'!J101</f>
        <v>1500</v>
      </c>
      <c r="H70" s="378">
        <f>'India Expenses - Detailed'!K101</f>
        <v>1500</v>
      </c>
      <c r="I70" s="378">
        <f>'India Expenses - Detailed'!L101</f>
        <v>1500</v>
      </c>
      <c r="J70" s="378">
        <f>'India Expenses - Detailed'!M101</f>
        <v>1500</v>
      </c>
      <c r="K70" s="378">
        <f>'India Expenses - Detailed'!N101</f>
        <v>1500</v>
      </c>
      <c r="L70" s="378">
        <f>'India Expenses - Detailed'!O101</f>
        <v>1500</v>
      </c>
      <c r="M70" s="378">
        <f>'India Expenses - Detailed'!P101</f>
        <v>1500</v>
      </c>
      <c r="N70" s="378">
        <f>SUM(B70:M70)</f>
        <v>21632.183908045976</v>
      </c>
      <c r="O70" s="385">
        <f t="shared" si="40"/>
        <v>6.9128814487679725E-3</v>
      </c>
      <c r="P70" s="670"/>
      <c r="Q70" s="378">
        <f>'3. P&amp;L Summary Actual'!N60</f>
        <v>32492.626506024098</v>
      </c>
      <c r="R70" s="401">
        <f t="shared" si="41"/>
        <v>1.5350195111250863E-2</v>
      </c>
      <c r="S70" s="378">
        <v>5060.2409638554209</v>
      </c>
      <c r="T70" s="401">
        <f t="shared" si="42"/>
        <v>1.0114643551650852E-3</v>
      </c>
      <c r="U70" s="378"/>
      <c r="V70" s="378"/>
    </row>
    <row r="71" spans="1:22" outlineLevel="1" x14ac:dyDescent="0.35">
      <c r="A71" s="377" t="s">
        <v>151</v>
      </c>
      <c r="B71" s="378">
        <f>'India Expenses - Detailed'!E130</f>
        <v>1379.3103448275863</v>
      </c>
      <c r="C71" s="378">
        <f>'India Expenses - Detailed'!F130</f>
        <v>4629.3103448275861</v>
      </c>
      <c r="D71" s="378">
        <f>'India Expenses - Detailed'!G130</f>
        <v>1379.3103448275863</v>
      </c>
      <c r="E71" s="378">
        <f>'India Expenses - Detailed'!H130</f>
        <v>7126.4367816091954</v>
      </c>
      <c r="F71" s="378">
        <f>'India Expenses - Detailed'!I130</f>
        <v>4629.3103448275861</v>
      </c>
      <c r="G71" s="378">
        <f>'India Expenses - Detailed'!J130</f>
        <v>1379.3103448275863</v>
      </c>
      <c r="H71" s="378">
        <f>'India Expenses - Detailed'!K130</f>
        <v>7379.3103448275861</v>
      </c>
      <c r="I71" s="378">
        <f>'India Expenses - Detailed'!L130</f>
        <v>1379.3103448275863</v>
      </c>
      <c r="J71" s="378">
        <f>'India Expenses - Detailed'!M130</f>
        <v>1379.3103448275863</v>
      </c>
      <c r="K71" s="378">
        <f>'India Expenses - Detailed'!N130</f>
        <v>1379.3103448275863</v>
      </c>
      <c r="L71" s="378">
        <f>'India Expenses - Detailed'!O130</f>
        <v>1379.3103448275863</v>
      </c>
      <c r="M71" s="378">
        <f>'India Expenses - Detailed'!P130</f>
        <v>1379.3103448275863</v>
      </c>
      <c r="N71" s="378">
        <f>SUM(B71:M71)</f>
        <v>34798.850574712647</v>
      </c>
      <c r="O71" s="385">
        <f t="shared" si="40"/>
        <v>1.1120482776910223E-2</v>
      </c>
      <c r="P71" s="670"/>
      <c r="Q71" s="378">
        <f>'3. P&amp;L Summary Actual'!N61</f>
        <v>12785.626506024097</v>
      </c>
      <c r="R71" s="401">
        <f t="shared" si="41"/>
        <v>6.0401968874588766E-3</v>
      </c>
      <c r="S71" s="378">
        <v>11514.216867469879</v>
      </c>
      <c r="T71" s="401">
        <f t="shared" si="42"/>
        <v>2.3015148927242111E-3</v>
      </c>
      <c r="U71" s="378"/>
      <c r="V71" s="378"/>
    </row>
    <row r="72" spans="1:22" s="206" customFormat="1" outlineLevel="1" x14ac:dyDescent="0.35">
      <c r="A72" s="374" t="s">
        <v>174</v>
      </c>
      <c r="B72" s="379">
        <f>SUM(B68:B71)</f>
        <v>17775.57471264368</v>
      </c>
      <c r="C72" s="379">
        <f t="shared" ref="C72:N72" si="43">SUM(C68:C71)</f>
        <v>23165.229885057473</v>
      </c>
      <c r="D72" s="379">
        <f t="shared" si="43"/>
        <v>16204.310344827587</v>
      </c>
      <c r="E72" s="379">
        <f t="shared" si="43"/>
        <v>21951.436781609194</v>
      </c>
      <c r="F72" s="379">
        <f t="shared" si="43"/>
        <v>20904.310344827587</v>
      </c>
      <c r="G72" s="379">
        <f t="shared" si="43"/>
        <v>17654.310344827587</v>
      </c>
      <c r="H72" s="379">
        <f t="shared" si="43"/>
        <v>23654.310344827587</v>
      </c>
      <c r="I72" s="379">
        <f t="shared" si="43"/>
        <v>17654.310344827587</v>
      </c>
      <c r="J72" s="379">
        <f t="shared" si="43"/>
        <v>17654.310344827587</v>
      </c>
      <c r="K72" s="379">
        <f t="shared" si="43"/>
        <v>17654.310344827587</v>
      </c>
      <c r="L72" s="379">
        <f t="shared" si="43"/>
        <v>17654.310344827587</v>
      </c>
      <c r="M72" s="379">
        <f t="shared" si="43"/>
        <v>17654.310344827587</v>
      </c>
      <c r="N72" s="379">
        <f t="shared" si="43"/>
        <v>229581.03448275864</v>
      </c>
      <c r="O72" s="385">
        <f t="shared" si="40"/>
        <v>7.3365984729564057E-2</v>
      </c>
      <c r="Q72" s="379">
        <f>'3. P&amp;L Summary Actual'!N62</f>
        <v>203367</v>
      </c>
      <c r="R72" s="401">
        <f t="shared" si="41"/>
        <v>9.6074816500629462E-2</v>
      </c>
      <c r="S72" s="379">
        <v>178331.27221084337</v>
      </c>
      <c r="T72" s="401">
        <f t="shared" si="42"/>
        <v>3.5645679037996016E-2</v>
      </c>
      <c r="U72" s="379"/>
      <c r="V72" s="379"/>
    </row>
    <row r="73" spans="1:22" s="206" customFormat="1" outlineLevel="1" x14ac:dyDescent="0.35">
      <c r="A73" s="374"/>
      <c r="B73" s="380"/>
      <c r="C73" s="380"/>
      <c r="D73" s="380"/>
      <c r="E73" s="380"/>
      <c r="F73" s="380"/>
      <c r="G73" s="380"/>
      <c r="H73" s="380"/>
      <c r="I73" s="380"/>
      <c r="J73" s="380"/>
      <c r="K73" s="380"/>
      <c r="L73" s="380"/>
      <c r="M73" s="380"/>
      <c r="N73" s="380"/>
      <c r="Q73" s="380"/>
      <c r="R73" s="399"/>
      <c r="S73" s="380"/>
      <c r="T73" s="399"/>
      <c r="U73" s="380"/>
      <c r="V73" s="380"/>
    </row>
    <row r="74" spans="1:22" s="206" customFormat="1" outlineLevel="1" x14ac:dyDescent="0.35">
      <c r="A74" s="374" t="s">
        <v>405</v>
      </c>
      <c r="B74" s="380"/>
      <c r="C74" s="380"/>
      <c r="D74" s="380"/>
      <c r="E74" s="380"/>
      <c r="F74" s="380"/>
      <c r="G74" s="380"/>
      <c r="H74" s="380"/>
      <c r="I74" s="380"/>
      <c r="J74" s="380"/>
      <c r="K74" s="380"/>
      <c r="L74" s="380"/>
      <c r="M74" s="380"/>
      <c r="N74" s="380"/>
      <c r="Q74" s="380"/>
      <c r="R74" s="399"/>
      <c r="S74" s="380"/>
      <c r="T74" s="399"/>
      <c r="U74" s="380"/>
      <c r="V74" s="380"/>
    </row>
    <row r="75" spans="1:22" s="490" customFormat="1" outlineLevel="1" x14ac:dyDescent="0.35">
      <c r="A75" s="428" t="s">
        <v>413</v>
      </c>
      <c r="B75" s="429">
        <f>'5. US Expenses'!D58</f>
        <v>27300</v>
      </c>
      <c r="C75" s="429">
        <f>'5. US Expenses'!E58</f>
        <v>17154.84</v>
      </c>
      <c r="D75" s="429">
        <f>'5. US Expenses'!F58</f>
        <v>17154.84</v>
      </c>
      <c r="E75" s="429">
        <f>'5. US Expenses'!G58</f>
        <v>17154.84</v>
      </c>
      <c r="F75" s="429">
        <f>'5. US Expenses'!H58</f>
        <v>21709.730000000003</v>
      </c>
      <c r="G75" s="429">
        <f>'5. US Expenses'!I58</f>
        <v>17154.84</v>
      </c>
      <c r="H75" s="429">
        <f>'5. US Expenses'!J58</f>
        <v>17154.84</v>
      </c>
      <c r="I75" s="429">
        <f>'5. US Expenses'!K58</f>
        <v>17154.84</v>
      </c>
      <c r="J75" s="429">
        <f>'5. US Expenses'!L58</f>
        <v>17154.84</v>
      </c>
      <c r="K75" s="429">
        <f>'5. US Expenses'!M58</f>
        <v>21709.730000000003</v>
      </c>
      <c r="L75" s="429">
        <f>'5. US Expenses'!N58</f>
        <v>17154.84</v>
      </c>
      <c r="M75" s="429">
        <f>'5. US Expenses'!O58</f>
        <v>17154.84</v>
      </c>
      <c r="N75" s="429">
        <f>SUM(B75:M75)</f>
        <v>225113.02</v>
      </c>
      <c r="O75" s="430">
        <f t="shared" ref="O75:O78" si="44">N75/$N$38</f>
        <v>7.193816521018577E-2</v>
      </c>
      <c r="Q75" s="429">
        <f>'3. P&amp;L Summary Actual'!N65</f>
        <v>377612.41</v>
      </c>
      <c r="R75" s="489">
        <f t="shared" ref="R75:R78" si="45">Q75/$Q$38</f>
        <v>0.17839198591271177</v>
      </c>
      <c r="S75" s="429">
        <v>339452.52</v>
      </c>
      <c r="T75" s="489">
        <f t="shared" ref="T75:T78" si="46">S75/$S$38</f>
        <v>6.7851338840071301E-2</v>
      </c>
      <c r="U75" s="429"/>
      <c r="V75" s="429"/>
    </row>
    <row r="76" spans="1:22" outlineLevel="1" x14ac:dyDescent="0.35">
      <c r="A76" s="402" t="s">
        <v>415</v>
      </c>
      <c r="B76" s="378"/>
      <c r="C76" s="378"/>
      <c r="D76" s="378"/>
      <c r="E76" s="378"/>
      <c r="F76" s="378"/>
      <c r="G76" s="378"/>
      <c r="H76" s="378"/>
      <c r="I76" s="378"/>
      <c r="J76" s="378"/>
      <c r="K76" s="378"/>
      <c r="L76" s="378"/>
      <c r="M76" s="378"/>
      <c r="N76" s="378"/>
      <c r="O76" s="385"/>
      <c r="P76" s="670"/>
      <c r="Q76" s="378">
        <f>'3. P&amp;L Summary Actual'!N66</f>
        <v>38682.5</v>
      </c>
      <c r="R76" s="401">
        <f t="shared" si="45"/>
        <v>1.8274420576030521E-2</v>
      </c>
      <c r="S76" s="378"/>
      <c r="T76" s="401"/>
      <c r="U76" s="378"/>
      <c r="V76" s="378"/>
    </row>
    <row r="77" spans="1:22" outlineLevel="1" x14ac:dyDescent="0.35">
      <c r="A77" s="377" t="s">
        <v>416</v>
      </c>
      <c r="B77" s="378">
        <f>'5. US Expenses'!D90</f>
        <v>26177.477011494251</v>
      </c>
      <c r="C77" s="378">
        <f>'5. US Expenses'!E90</f>
        <v>20658.488505747126</v>
      </c>
      <c r="D77" s="378">
        <f>'5. US Expenses'!F90</f>
        <v>16694.5</v>
      </c>
      <c r="E77" s="378">
        <f>'5. US Expenses'!G90</f>
        <v>15885.5</v>
      </c>
      <c r="F77" s="378">
        <f>'5. US Expenses'!H90</f>
        <v>15885.5</v>
      </c>
      <c r="G77" s="378">
        <f>'5. US Expenses'!I90</f>
        <v>16414.5</v>
      </c>
      <c r="H77" s="378">
        <f>'5. US Expenses'!J90</f>
        <v>16205.5</v>
      </c>
      <c r="I77" s="378">
        <f>'5. US Expenses'!K90</f>
        <v>16205.5</v>
      </c>
      <c r="J77" s="378">
        <f>'5. US Expenses'!L90</f>
        <v>16414.5</v>
      </c>
      <c r="K77" s="378">
        <f>'5. US Expenses'!M90</f>
        <v>16205.5</v>
      </c>
      <c r="L77" s="378">
        <f>'5. US Expenses'!N90</f>
        <v>16205.5</v>
      </c>
      <c r="M77" s="378">
        <f>'5. US Expenses'!O90</f>
        <v>16414.5</v>
      </c>
      <c r="N77" s="378">
        <f>SUM(B77:M77)</f>
        <v>209366.96551724139</v>
      </c>
      <c r="O77" s="385">
        <f t="shared" si="44"/>
        <v>6.6906282697173983E-2</v>
      </c>
      <c r="P77" s="670"/>
      <c r="Q77" s="378">
        <f>'3. P&amp;L Summary Actual'!N67</f>
        <v>44083.279999999992</v>
      </c>
      <c r="R77" s="401">
        <f t="shared" si="45"/>
        <v>2.0825861800320936E-2</v>
      </c>
      <c r="S77" s="378">
        <v>132480</v>
      </c>
      <c r="T77" s="401">
        <f t="shared" si="46"/>
        <v>2.6480714797853456E-2</v>
      </c>
      <c r="U77" s="378"/>
      <c r="V77" s="378"/>
    </row>
    <row r="78" spans="1:22" s="206" customFormat="1" outlineLevel="1" x14ac:dyDescent="0.35">
      <c r="A78" s="374" t="s">
        <v>174</v>
      </c>
      <c r="B78" s="379">
        <f t="shared" ref="B78:N78" si="47">SUM(B75:B77)</f>
        <v>53477.477011494251</v>
      </c>
      <c r="C78" s="379">
        <f t="shared" si="47"/>
        <v>37813.328505747122</v>
      </c>
      <c r="D78" s="379">
        <f t="shared" si="47"/>
        <v>33849.339999999997</v>
      </c>
      <c r="E78" s="379">
        <f t="shared" si="47"/>
        <v>33040.339999999997</v>
      </c>
      <c r="F78" s="379">
        <f t="shared" si="47"/>
        <v>37595.230000000003</v>
      </c>
      <c r="G78" s="379">
        <f t="shared" si="47"/>
        <v>33569.339999999997</v>
      </c>
      <c r="H78" s="379">
        <f t="shared" si="47"/>
        <v>33360.339999999997</v>
      </c>
      <c r="I78" s="379">
        <f t="shared" si="47"/>
        <v>33360.339999999997</v>
      </c>
      <c r="J78" s="379">
        <f t="shared" si="47"/>
        <v>33569.339999999997</v>
      </c>
      <c r="K78" s="379">
        <f t="shared" si="47"/>
        <v>37915.230000000003</v>
      </c>
      <c r="L78" s="379">
        <f t="shared" si="47"/>
        <v>33360.339999999997</v>
      </c>
      <c r="M78" s="379">
        <f t="shared" si="47"/>
        <v>33569.339999999997</v>
      </c>
      <c r="N78" s="379">
        <f t="shared" si="47"/>
        <v>434479.98551724141</v>
      </c>
      <c r="O78" s="385">
        <f t="shared" si="44"/>
        <v>0.13884444790735975</v>
      </c>
      <c r="Q78" s="379">
        <f>'3. P&amp;L Summary Actual'!N68</f>
        <v>460378.18999999994</v>
      </c>
      <c r="R78" s="401">
        <f t="shared" si="45"/>
        <v>0.21749226828906323</v>
      </c>
      <c r="S78" s="379">
        <v>471932.52</v>
      </c>
      <c r="T78" s="401">
        <f t="shared" si="46"/>
        <v>9.4332053637924754E-2</v>
      </c>
      <c r="U78" s="379"/>
      <c r="V78" s="379"/>
    </row>
    <row r="79" spans="1:22" s="206" customFormat="1" outlineLevel="1" x14ac:dyDescent="0.35">
      <c r="A79" s="374"/>
      <c r="B79" s="380"/>
      <c r="C79" s="380"/>
      <c r="D79" s="380"/>
      <c r="E79" s="380"/>
      <c r="F79" s="380"/>
      <c r="G79" s="380"/>
      <c r="H79" s="380"/>
      <c r="I79" s="380"/>
      <c r="J79" s="380"/>
      <c r="K79" s="380"/>
      <c r="L79" s="380"/>
      <c r="M79" s="380"/>
      <c r="N79" s="380"/>
      <c r="Q79" s="380"/>
      <c r="R79" s="399"/>
      <c r="S79" s="380"/>
      <c r="T79" s="399"/>
      <c r="U79" s="380"/>
      <c r="V79" s="380"/>
    </row>
    <row r="80" spans="1:22" s="206" customFormat="1" x14ac:dyDescent="0.35">
      <c r="A80" s="374" t="s">
        <v>417</v>
      </c>
      <c r="B80" s="380"/>
      <c r="C80" s="380"/>
      <c r="D80" s="380"/>
      <c r="E80" s="380"/>
      <c r="F80" s="380"/>
      <c r="G80" s="380"/>
      <c r="H80" s="380"/>
      <c r="I80" s="380"/>
      <c r="J80" s="380"/>
      <c r="K80" s="380"/>
      <c r="L80" s="380"/>
      <c r="M80" s="380"/>
      <c r="N80" s="380"/>
      <c r="Q80" s="380"/>
      <c r="R80" s="399"/>
      <c r="S80" s="380"/>
      <c r="T80" s="399"/>
      <c r="U80" s="380"/>
      <c r="V80" s="380"/>
    </row>
    <row r="81" spans="1:22" s="490" customFormat="1" x14ac:dyDescent="0.35">
      <c r="A81" s="668" t="s">
        <v>413</v>
      </c>
      <c r="B81" s="412">
        <f t="shared" ref="B81:M81" si="48">B75+B68</f>
        <v>37245</v>
      </c>
      <c r="C81" s="412">
        <f t="shared" si="48"/>
        <v>27099.84</v>
      </c>
      <c r="D81" s="429">
        <f t="shared" si="48"/>
        <v>27099.84</v>
      </c>
      <c r="E81" s="412">
        <f t="shared" si="48"/>
        <v>27099.84</v>
      </c>
      <c r="F81" s="412">
        <f t="shared" si="48"/>
        <v>31654.730000000003</v>
      </c>
      <c r="G81" s="412">
        <f t="shared" si="48"/>
        <v>27099.84</v>
      </c>
      <c r="H81" s="412">
        <f t="shared" si="48"/>
        <v>27099.84</v>
      </c>
      <c r="I81" s="412">
        <f t="shared" si="48"/>
        <v>27099.84</v>
      </c>
      <c r="J81" s="412">
        <f t="shared" si="48"/>
        <v>27099.84</v>
      </c>
      <c r="K81" s="412">
        <f t="shared" si="48"/>
        <v>31654.730000000003</v>
      </c>
      <c r="L81" s="412">
        <f t="shared" si="48"/>
        <v>27099.84</v>
      </c>
      <c r="M81" s="412">
        <f t="shared" si="48"/>
        <v>27099.84</v>
      </c>
      <c r="N81" s="412">
        <f>SUM(B81:M81)</f>
        <v>344453.02</v>
      </c>
      <c r="O81" s="430">
        <f t="shared" ref="O81:O85" si="49">N81/$N$38</f>
        <v>0.11007501147604624</v>
      </c>
      <c r="P81" s="430"/>
      <c r="Q81" s="429">
        <f>'3. P&amp;L Summary Actual'!N71</f>
        <v>522915.53048192768</v>
      </c>
      <c r="R81" s="489">
        <f t="shared" ref="R81:R85" si="50">Q81/$Q$38</f>
        <v>0.24703621352717262</v>
      </c>
      <c r="S81" s="429">
        <v>467951.81148795172</v>
      </c>
      <c r="T81" s="489">
        <f t="shared" ref="T81:T85" si="51">S81/$S$38</f>
        <v>9.3536371219439418E-2</v>
      </c>
      <c r="U81" s="429"/>
      <c r="V81" s="429"/>
    </row>
    <row r="82" spans="1:22" x14ac:dyDescent="0.35">
      <c r="A82" s="377" t="s">
        <v>289</v>
      </c>
      <c r="B82" s="378">
        <f t="shared" ref="B82:D82" si="52">B69</f>
        <v>4480</v>
      </c>
      <c r="C82" s="378">
        <f t="shared" si="52"/>
        <v>3930</v>
      </c>
      <c r="D82" s="378">
        <f t="shared" si="52"/>
        <v>3380</v>
      </c>
      <c r="E82" s="378">
        <f t="shared" ref="E82:M82" si="53">E69</f>
        <v>3380</v>
      </c>
      <c r="F82" s="378">
        <f t="shared" si="53"/>
        <v>4830</v>
      </c>
      <c r="G82" s="378">
        <f t="shared" si="53"/>
        <v>4830</v>
      </c>
      <c r="H82" s="378">
        <f t="shared" si="53"/>
        <v>4830</v>
      </c>
      <c r="I82" s="378">
        <f t="shared" si="53"/>
        <v>4830</v>
      </c>
      <c r="J82" s="378">
        <f t="shared" si="53"/>
        <v>4830</v>
      </c>
      <c r="K82" s="378">
        <f t="shared" si="53"/>
        <v>4830</v>
      </c>
      <c r="L82" s="378">
        <f t="shared" si="53"/>
        <v>4830</v>
      </c>
      <c r="M82" s="378">
        <f t="shared" si="53"/>
        <v>4830</v>
      </c>
      <c r="N82" s="378">
        <f>SUM(B82:M82)</f>
        <v>53810</v>
      </c>
      <c r="O82" s="385">
        <f t="shared" si="49"/>
        <v>1.7195774238025402E-2</v>
      </c>
      <c r="P82" s="385"/>
      <c r="Q82" s="378">
        <f>'3. P&amp;L Summary Actual'!N72</f>
        <v>12785.626506024097</v>
      </c>
      <c r="R82" s="401">
        <f t="shared" si="50"/>
        <v>6.0401968874588766E-3</v>
      </c>
      <c r="S82" s="378">
        <v>33257.522891566252</v>
      </c>
      <c r="T82" s="401">
        <f t="shared" si="51"/>
        <v>6.6476674107385902E-3</v>
      </c>
      <c r="U82" s="378"/>
      <c r="V82" s="378"/>
    </row>
    <row r="83" spans="1:22" x14ac:dyDescent="0.35">
      <c r="A83" s="377" t="s">
        <v>418</v>
      </c>
      <c r="B83" s="378">
        <f>B70</f>
        <v>1971.2643678160921</v>
      </c>
      <c r="C83" s="378">
        <f t="shared" ref="C83:M83" si="54">C70</f>
        <v>4660.9195402298847</v>
      </c>
      <c r="D83" s="378">
        <f t="shared" si="54"/>
        <v>1500</v>
      </c>
      <c r="E83" s="378">
        <f t="shared" si="54"/>
        <v>1500</v>
      </c>
      <c r="F83" s="378">
        <f t="shared" si="54"/>
        <v>1500</v>
      </c>
      <c r="G83" s="378">
        <f t="shared" si="54"/>
        <v>1500</v>
      </c>
      <c r="H83" s="378">
        <f t="shared" si="54"/>
        <v>1500</v>
      </c>
      <c r="I83" s="378">
        <f t="shared" si="54"/>
        <v>1500</v>
      </c>
      <c r="J83" s="378">
        <f t="shared" si="54"/>
        <v>1500</v>
      </c>
      <c r="K83" s="378">
        <f t="shared" si="54"/>
        <v>1500</v>
      </c>
      <c r="L83" s="378">
        <f t="shared" si="54"/>
        <v>1500</v>
      </c>
      <c r="M83" s="378">
        <f t="shared" si="54"/>
        <v>1500</v>
      </c>
      <c r="N83" s="378">
        <f>SUM(B83:M83)</f>
        <v>21632.183908045976</v>
      </c>
      <c r="O83" s="385">
        <f t="shared" si="49"/>
        <v>6.9128814487679725E-3</v>
      </c>
      <c r="P83" s="385"/>
      <c r="Q83" s="378">
        <f>'3. P&amp;L Summary Actual'!N73</f>
        <v>71175.126506024098</v>
      </c>
      <c r="R83" s="401">
        <f t="shared" si="50"/>
        <v>3.3624615687281388E-2</v>
      </c>
      <c r="S83" s="378">
        <v>5060.2409638554209</v>
      </c>
      <c r="T83" s="401">
        <f t="shared" si="51"/>
        <v>1.0114643551650852E-3</v>
      </c>
      <c r="U83" s="378"/>
      <c r="V83" s="378"/>
    </row>
    <row r="84" spans="1:22" x14ac:dyDescent="0.35">
      <c r="A84" s="377" t="s">
        <v>151</v>
      </c>
      <c r="B84" s="378">
        <f>B77+B71</f>
        <v>27556.787356321838</v>
      </c>
      <c r="C84" s="378">
        <f t="shared" ref="C84:M84" si="55">C77+C71</f>
        <v>25287.798850574713</v>
      </c>
      <c r="D84" s="378">
        <f t="shared" si="55"/>
        <v>18073.810344827587</v>
      </c>
      <c r="E84" s="378">
        <f t="shared" si="55"/>
        <v>23011.936781609194</v>
      </c>
      <c r="F84" s="378">
        <f t="shared" si="55"/>
        <v>20514.810344827587</v>
      </c>
      <c r="G84" s="378">
        <f t="shared" si="55"/>
        <v>17793.810344827587</v>
      </c>
      <c r="H84" s="378">
        <f t="shared" si="55"/>
        <v>23584.810344827587</v>
      </c>
      <c r="I84" s="378">
        <f t="shared" si="55"/>
        <v>17584.810344827587</v>
      </c>
      <c r="J84" s="378">
        <f t="shared" si="55"/>
        <v>17793.810344827587</v>
      </c>
      <c r="K84" s="378">
        <f t="shared" si="55"/>
        <v>17584.810344827587</v>
      </c>
      <c r="L84" s="378">
        <f t="shared" si="55"/>
        <v>17584.810344827587</v>
      </c>
      <c r="M84" s="378">
        <f t="shared" si="55"/>
        <v>17793.810344827587</v>
      </c>
      <c r="N84" s="378">
        <f>SUM(B84:M84)</f>
        <v>244165.8160919541</v>
      </c>
      <c r="O84" s="385">
        <f t="shared" si="49"/>
        <v>7.8026765474084228E-2</v>
      </c>
      <c r="P84" s="385"/>
      <c r="Q84" s="378">
        <f>'3. P&amp;L Summary Actual'!N74</f>
        <v>56868.906506024097</v>
      </c>
      <c r="R84" s="401">
        <f t="shared" si="50"/>
        <v>2.6866058687779817E-2</v>
      </c>
      <c r="S84" s="378">
        <v>143994.21686746986</v>
      </c>
      <c r="T84" s="401">
        <f t="shared" si="51"/>
        <v>2.878222969057766E-2</v>
      </c>
      <c r="U84" s="378"/>
      <c r="V84" s="378"/>
    </row>
    <row r="85" spans="1:22" s="206" customFormat="1" x14ac:dyDescent="0.35">
      <c r="A85" s="374" t="s">
        <v>174</v>
      </c>
      <c r="B85" s="379">
        <f t="shared" ref="B85:N85" si="56">SUM(B81:B84)</f>
        <v>71253.051724137928</v>
      </c>
      <c r="C85" s="379">
        <f t="shared" si="56"/>
        <v>60978.558390804596</v>
      </c>
      <c r="D85" s="379">
        <f t="shared" si="56"/>
        <v>50053.650344827591</v>
      </c>
      <c r="E85" s="379">
        <f t="shared" si="56"/>
        <v>54991.776781609195</v>
      </c>
      <c r="F85" s="379">
        <f t="shared" si="56"/>
        <v>58499.54034482759</v>
      </c>
      <c r="G85" s="379">
        <f t="shared" si="56"/>
        <v>51223.650344827583</v>
      </c>
      <c r="H85" s="379">
        <f t="shared" si="56"/>
        <v>57014.650344827583</v>
      </c>
      <c r="I85" s="379">
        <f t="shared" si="56"/>
        <v>51014.650344827583</v>
      </c>
      <c r="J85" s="379">
        <f t="shared" si="56"/>
        <v>51223.650344827583</v>
      </c>
      <c r="K85" s="379">
        <f t="shared" si="56"/>
        <v>55569.54034482759</v>
      </c>
      <c r="L85" s="379">
        <f t="shared" si="56"/>
        <v>51014.650344827583</v>
      </c>
      <c r="M85" s="379">
        <f t="shared" si="56"/>
        <v>51223.650344827583</v>
      </c>
      <c r="N85" s="379">
        <f t="shared" si="56"/>
        <v>664061.02000000014</v>
      </c>
      <c r="O85" s="385">
        <f t="shared" si="49"/>
        <v>0.21221043263692385</v>
      </c>
      <c r="Q85" s="379">
        <f>'3. P&amp;L Summary Actual'!N75</f>
        <v>663745.18999999994</v>
      </c>
      <c r="R85" s="401">
        <f t="shared" si="50"/>
        <v>0.3135670847896927</v>
      </c>
      <c r="S85" s="379">
        <v>650263.7922108433</v>
      </c>
      <c r="T85" s="401">
        <f t="shared" si="51"/>
        <v>0.12997773267592075</v>
      </c>
      <c r="U85" s="379"/>
      <c r="V85" s="379"/>
    </row>
    <row r="86" spans="1:22" s="214" customFormat="1" x14ac:dyDescent="0.35">
      <c r="A86" s="383" t="s">
        <v>419</v>
      </c>
      <c r="B86" s="381">
        <f t="shared" ref="B86:N86" si="57">B85/B38</f>
        <v>0.31609844016931116</v>
      </c>
      <c r="C86" s="381">
        <f t="shared" si="57"/>
        <v>0.25539099405401783</v>
      </c>
      <c r="D86" s="381">
        <f t="shared" si="57"/>
        <v>0.20890691738577127</v>
      </c>
      <c r="E86" s="381">
        <f t="shared" si="57"/>
        <v>0.27009201486459639</v>
      </c>
      <c r="F86" s="381">
        <f t="shared" si="57"/>
        <v>0.25814447972370641</v>
      </c>
      <c r="G86" s="381">
        <f t="shared" si="57"/>
        <v>0.220597755544751</v>
      </c>
      <c r="H86" s="381">
        <f t="shared" si="57"/>
        <v>0.24479907866201783</v>
      </c>
      <c r="I86" s="381">
        <f t="shared" si="57"/>
        <v>0.17232484357508379</v>
      </c>
      <c r="J86" s="381">
        <f t="shared" si="57"/>
        <v>0.16847795633511101</v>
      </c>
      <c r="K86" s="381">
        <f t="shared" si="57"/>
        <v>0.18177572355425148</v>
      </c>
      <c r="L86" s="381">
        <f t="shared" si="57"/>
        <v>0.16420875027908302</v>
      </c>
      <c r="M86" s="381">
        <f t="shared" si="57"/>
        <v>0.16328664347588068</v>
      </c>
      <c r="N86" s="381">
        <f t="shared" si="57"/>
        <v>0.21221043263692385</v>
      </c>
      <c r="Q86" s="381">
        <f>'3. P&amp;L Summary Actual'!N76</f>
        <v>0.3135670847896927</v>
      </c>
      <c r="R86" s="400"/>
      <c r="S86" s="381">
        <v>0.12997773267592075</v>
      </c>
      <c r="T86" s="400"/>
      <c r="U86" s="381"/>
      <c r="V86" s="381"/>
    </row>
    <row r="87" spans="1:22" s="206" customFormat="1" x14ac:dyDescent="0.35">
      <c r="A87" s="374"/>
      <c r="B87" s="380"/>
      <c r="C87" s="380"/>
      <c r="D87" s="380"/>
      <c r="E87" s="380"/>
      <c r="F87" s="380"/>
      <c r="G87" s="380"/>
      <c r="H87" s="380"/>
      <c r="I87" s="380"/>
      <c r="J87" s="380"/>
      <c r="K87" s="380"/>
      <c r="L87" s="380"/>
      <c r="M87" s="380"/>
      <c r="N87" s="380"/>
      <c r="Q87" s="380"/>
      <c r="R87" s="399"/>
      <c r="S87" s="380"/>
      <c r="T87" s="399"/>
      <c r="U87" s="380"/>
      <c r="V87" s="380"/>
    </row>
    <row r="88" spans="1:22" s="206" customFormat="1" x14ac:dyDescent="0.35">
      <c r="A88" s="374" t="s">
        <v>420</v>
      </c>
      <c r="B88" s="379">
        <f>B85+B63</f>
        <v>93621.571724137932</v>
      </c>
      <c r="C88" s="379">
        <f t="shared" ref="C88:N88" si="58">C85+C63</f>
        <v>67587.0783908046</v>
      </c>
      <c r="D88" s="379">
        <f>D85+D63</f>
        <v>55728.650344827591</v>
      </c>
      <c r="E88" s="379">
        <f t="shared" si="58"/>
        <v>61166.776781609195</v>
      </c>
      <c r="F88" s="379">
        <f t="shared" si="58"/>
        <v>65674.54034482759</v>
      </c>
      <c r="G88" s="379">
        <f t="shared" si="58"/>
        <v>57398.650344827583</v>
      </c>
      <c r="H88" s="379">
        <f t="shared" si="58"/>
        <v>63189.650344827583</v>
      </c>
      <c r="I88" s="379">
        <f t="shared" si="58"/>
        <v>57189.650344827583</v>
      </c>
      <c r="J88" s="379">
        <f t="shared" si="58"/>
        <v>57398.650344827583</v>
      </c>
      <c r="K88" s="379">
        <f t="shared" si="58"/>
        <v>64244.54034482759</v>
      </c>
      <c r="L88" s="379">
        <f t="shared" si="58"/>
        <v>57189.650344827583</v>
      </c>
      <c r="M88" s="379">
        <f t="shared" si="58"/>
        <v>57398.650344827583</v>
      </c>
      <c r="N88" s="379">
        <f t="shared" si="58"/>
        <v>757788.06000000017</v>
      </c>
      <c r="O88" s="385">
        <f>N88/$N$38</f>
        <v>0.24216228210427893</v>
      </c>
      <c r="Q88" s="379" t="e">
        <f>'3. P&amp;L Summary Actual'!N78</f>
        <v>#REF!</v>
      </c>
      <c r="R88" s="401" t="e">
        <f>Q88/$Q$38</f>
        <v>#REF!</v>
      </c>
      <c r="S88" s="379">
        <v>786917.80827510031</v>
      </c>
      <c r="T88" s="401">
        <f t="shared" ref="T88" si="59">S88/$S$38</f>
        <v>0.1572927690993724</v>
      </c>
      <c r="U88" s="379"/>
      <c r="V88" s="379"/>
    </row>
    <row r="89" spans="1:22" s="206" customFormat="1" x14ac:dyDescent="0.35">
      <c r="A89" s="374" t="s">
        <v>421</v>
      </c>
      <c r="B89" s="379">
        <f t="shared" ref="B89:N89" si="60">B45-B88</f>
        <v>-28477.020187817834</v>
      </c>
      <c r="C89" s="379">
        <f t="shared" si="60"/>
        <v>9208.8531455155025</v>
      </c>
      <c r="D89" s="379">
        <f t="shared" si="60"/>
        <v>43939.354251155368</v>
      </c>
      <c r="E89" s="379">
        <f t="shared" si="60"/>
        <v>2507.227814373764</v>
      </c>
      <c r="F89" s="379">
        <f t="shared" si="60"/>
        <v>15963.458158030189</v>
      </c>
      <c r="G89" s="379">
        <f t="shared" si="60"/>
        <v>29208.317353432481</v>
      </c>
      <c r="H89" s="379">
        <f t="shared" si="60"/>
        <v>18840.149782809436</v>
      </c>
      <c r="I89" s="379">
        <f t="shared" si="60"/>
        <v>71232.784720653523</v>
      </c>
      <c r="J89" s="379">
        <f t="shared" si="60"/>
        <v>75822.023816697125</v>
      </c>
      <c r="K89" s="379">
        <f t="shared" si="60"/>
        <v>67865.052912740692</v>
      </c>
      <c r="L89" s="379">
        <f t="shared" si="60"/>
        <v>76896.082008784317</v>
      </c>
      <c r="M89" s="379">
        <f t="shared" si="60"/>
        <v>76731.941104827914</v>
      </c>
      <c r="N89" s="379">
        <f t="shared" si="60"/>
        <v>459738.22488120256</v>
      </c>
      <c r="Q89" s="379" t="e">
        <f>'3. P&amp;L Summary Actual'!N79</f>
        <v>#REF!</v>
      </c>
      <c r="R89" s="401"/>
      <c r="S89" s="379">
        <v>2187579.3642104543</v>
      </c>
      <c r="T89" s="398"/>
      <c r="U89" s="379"/>
      <c r="V89" s="379"/>
    </row>
    <row r="90" spans="1:22" s="206" customFormat="1" x14ac:dyDescent="0.35">
      <c r="A90" s="374" t="s">
        <v>422</v>
      </c>
      <c r="B90" s="730">
        <f t="shared" ref="B90:N90" si="61">B89/B38</f>
        <v>-0.12633201588178164</v>
      </c>
      <c r="C90" s="730">
        <f t="shared" si="61"/>
        <v>3.8568608720755314E-2</v>
      </c>
      <c r="D90" s="730">
        <f t="shared" si="61"/>
        <v>0.18338792446291202</v>
      </c>
      <c r="E90" s="730">
        <f t="shared" si="61"/>
        <v>1.2314244996994479E-2</v>
      </c>
      <c r="F90" s="730">
        <f t="shared" si="61"/>
        <v>7.0442922739310368E-2</v>
      </c>
      <c r="G90" s="730">
        <f t="shared" si="61"/>
        <v>0.12578738938031644</v>
      </c>
      <c r="H90" s="730">
        <f t="shared" si="61"/>
        <v>8.0892389601483788E-2</v>
      </c>
      <c r="I90" s="730">
        <f t="shared" si="61"/>
        <v>0.24062065311496988</v>
      </c>
      <c r="J90" s="730">
        <f t="shared" si="61"/>
        <v>0.24938362517772342</v>
      </c>
      <c r="K90" s="730">
        <f t="shared" si="61"/>
        <v>0.22199606152418452</v>
      </c>
      <c r="L90" s="730">
        <f t="shared" si="61"/>
        <v>0.24751731988104503</v>
      </c>
      <c r="M90" s="730">
        <f t="shared" si="61"/>
        <v>0.24459992651932277</v>
      </c>
      <c r="N90" s="730">
        <f t="shared" si="61"/>
        <v>0.14691608852718288</v>
      </c>
      <c r="P90" s="727">
        <v>0.11</v>
      </c>
      <c r="Q90" s="379" t="e">
        <f>'3. P&amp;L Summary Actual'!N80</f>
        <v>#REF!</v>
      </c>
      <c r="R90" s="401"/>
      <c r="S90" s="379">
        <v>0.43726347555349204</v>
      </c>
      <c r="T90" s="398"/>
      <c r="U90" s="379"/>
      <c r="V90" s="379"/>
    </row>
    <row r="91" spans="1:22" s="206" customFormat="1" x14ac:dyDescent="0.35">
      <c r="A91" s="374"/>
      <c r="B91" s="379"/>
      <c r="C91" s="379"/>
      <c r="D91" s="379"/>
      <c r="E91" s="379"/>
      <c r="F91" s="379"/>
      <c r="G91" s="379"/>
      <c r="H91" s="379"/>
      <c r="I91" s="379"/>
      <c r="J91" s="379"/>
      <c r="K91" s="379"/>
      <c r="L91" s="379"/>
      <c r="M91" s="379"/>
      <c r="N91" s="379"/>
      <c r="Q91" s="379"/>
      <c r="R91" s="401"/>
      <c r="S91" s="379"/>
      <c r="T91" s="398"/>
      <c r="U91" s="379"/>
      <c r="V91" s="379"/>
    </row>
    <row r="92" spans="1:22" s="206" customFormat="1" x14ac:dyDescent="0.35">
      <c r="A92" s="374" t="s">
        <v>1679</v>
      </c>
      <c r="B92" s="379">
        <f>'5. US Expenses'!D99</f>
        <v>2552.4</v>
      </c>
      <c r="C92" s="379">
        <f>'5. US Expenses'!E99</f>
        <v>2552.4</v>
      </c>
      <c r="D92" s="379">
        <f>'5. US Expenses'!F99</f>
        <v>2552.4</v>
      </c>
      <c r="E92" s="379">
        <f>'5. US Expenses'!G99</f>
        <v>2552.4</v>
      </c>
      <c r="F92" s="379">
        <f>'5. US Expenses'!H99</f>
        <v>2552.4</v>
      </c>
      <c r="G92" s="379">
        <f>'5. US Expenses'!I99</f>
        <v>2552.4</v>
      </c>
      <c r="H92" s="379">
        <f>'5. US Expenses'!J99</f>
        <v>2552.4</v>
      </c>
      <c r="I92" s="379">
        <f>'5. US Expenses'!K99</f>
        <v>2552.4</v>
      </c>
      <c r="J92" s="379">
        <f>'5. US Expenses'!L99</f>
        <v>192</v>
      </c>
      <c r="K92" s="379">
        <f>'5. US Expenses'!M99</f>
        <v>192</v>
      </c>
      <c r="L92" s="379">
        <f>'5. US Expenses'!N99</f>
        <v>192</v>
      </c>
      <c r="M92" s="379">
        <f>'5. US Expenses'!O99</f>
        <v>192</v>
      </c>
      <c r="N92" s="379">
        <f>SUM(B92:M92)</f>
        <v>21187.200000000001</v>
      </c>
      <c r="Q92" s="379"/>
      <c r="R92" s="401"/>
      <c r="S92" s="379"/>
      <c r="T92" s="398"/>
      <c r="U92" s="379"/>
      <c r="V92" s="379"/>
    </row>
    <row r="93" spans="1:22" s="206" customFormat="1" x14ac:dyDescent="0.35">
      <c r="A93" s="374"/>
      <c r="B93" s="379"/>
      <c r="C93" s="379"/>
      <c r="D93" s="379"/>
      <c r="E93" s="379"/>
      <c r="F93" s="379"/>
      <c r="G93" s="379"/>
      <c r="H93" s="379"/>
      <c r="I93" s="379"/>
      <c r="J93" s="379"/>
      <c r="K93" s="379"/>
      <c r="L93" s="379"/>
      <c r="M93" s="379"/>
      <c r="N93" s="379"/>
      <c r="Q93" s="379"/>
      <c r="R93" s="401"/>
      <c r="S93" s="379"/>
      <c r="T93" s="398"/>
      <c r="U93" s="379"/>
      <c r="V93" s="379"/>
    </row>
    <row r="94" spans="1:22" s="206" customFormat="1" x14ac:dyDescent="0.35">
      <c r="A94" s="374" t="s">
        <v>1680</v>
      </c>
      <c r="B94" s="379">
        <f>B89-B92</f>
        <v>-31029.420187817836</v>
      </c>
      <c r="C94" s="379">
        <f t="shared" ref="C94:M94" si="62">C89-C92</f>
        <v>6656.4531455155029</v>
      </c>
      <c r="D94" s="379">
        <f t="shared" si="62"/>
        <v>41386.954251155366</v>
      </c>
      <c r="E94" s="379">
        <f t="shared" si="62"/>
        <v>-45.172185626236114</v>
      </c>
      <c r="F94" s="379">
        <f t="shared" si="62"/>
        <v>13411.05815803019</v>
      </c>
      <c r="G94" s="379">
        <f t="shared" si="62"/>
        <v>26655.91735343248</v>
      </c>
      <c r="H94" s="379">
        <f t="shared" si="62"/>
        <v>16287.749782809437</v>
      </c>
      <c r="I94" s="379">
        <f t="shared" si="62"/>
        <v>68680.384720653528</v>
      </c>
      <c r="J94" s="379">
        <f t="shared" si="62"/>
        <v>75630.023816697125</v>
      </c>
      <c r="K94" s="379">
        <f t="shared" si="62"/>
        <v>67673.052912740692</v>
      </c>
      <c r="L94" s="379">
        <f t="shared" si="62"/>
        <v>76704.082008784317</v>
      </c>
      <c r="M94" s="379">
        <f t="shared" si="62"/>
        <v>76539.941104827914</v>
      </c>
      <c r="N94" s="379">
        <f>SUM(B94:M94)</f>
        <v>438551.02488120249</v>
      </c>
      <c r="P94" s="727">
        <v>0.1</v>
      </c>
      <c r="Q94" s="379"/>
      <c r="R94" s="401"/>
      <c r="S94" s="379"/>
      <c r="T94" s="398"/>
      <c r="U94" s="379"/>
      <c r="V94" s="379"/>
    </row>
    <row r="95" spans="1:22" x14ac:dyDescent="0.35">
      <c r="A95" s="384"/>
      <c r="B95" s="673"/>
      <c r="C95" s="673"/>
      <c r="D95" s="673"/>
      <c r="E95" s="673"/>
      <c r="F95" s="673"/>
      <c r="G95" s="673"/>
      <c r="H95" s="673"/>
      <c r="I95" s="673"/>
      <c r="J95" s="673"/>
      <c r="K95" s="673"/>
      <c r="L95" s="673"/>
      <c r="M95" s="673"/>
      <c r="N95" s="673"/>
      <c r="O95" s="670"/>
      <c r="P95" s="728">
        <f>N94/P94</f>
        <v>4385510.2488120245</v>
      </c>
      <c r="Q95" s="673"/>
      <c r="R95" s="674"/>
      <c r="S95" s="673"/>
      <c r="T95" s="674"/>
      <c r="U95" s="673"/>
      <c r="V95" s="673"/>
    </row>
    <row r="96" spans="1:22" x14ac:dyDescent="0.35">
      <c r="A96" s="670"/>
      <c r="B96" s="675"/>
      <c r="C96" s="675"/>
      <c r="D96" s="675"/>
      <c r="E96" s="675"/>
      <c r="F96" s="675"/>
      <c r="G96" s="675"/>
      <c r="H96" s="675"/>
      <c r="I96" s="675"/>
      <c r="J96" s="675"/>
      <c r="K96" s="675"/>
      <c r="L96" s="675"/>
      <c r="M96" s="675"/>
      <c r="N96" s="675"/>
      <c r="O96" s="670"/>
      <c r="P96" s="670"/>
      <c r="Q96" s="675"/>
      <c r="R96" s="676"/>
      <c r="S96" s="675"/>
      <c r="T96" s="676"/>
      <c r="U96" s="675"/>
      <c r="V96" s="675"/>
    </row>
    <row r="97" spans="1:22" x14ac:dyDescent="0.35">
      <c r="A97" s="406">
        <v>2024</v>
      </c>
      <c r="B97" s="675"/>
      <c r="C97" s="675"/>
      <c r="D97" s="675"/>
      <c r="E97" s="675"/>
      <c r="F97" s="675"/>
      <c r="G97" s="675"/>
      <c r="H97" s="675"/>
      <c r="I97" s="675"/>
      <c r="J97" s="675"/>
      <c r="K97" s="675"/>
      <c r="L97" s="675"/>
      <c r="M97" s="675"/>
      <c r="N97" s="675"/>
      <c r="O97" s="670"/>
      <c r="P97" s="670"/>
      <c r="Q97" s="675"/>
      <c r="R97" s="676"/>
      <c r="S97" s="675"/>
      <c r="T97" s="676"/>
      <c r="U97" s="675"/>
      <c r="V97" s="675"/>
    </row>
    <row r="98" spans="1:22" x14ac:dyDescent="0.35">
      <c r="A98" s="677" t="s">
        <v>423</v>
      </c>
      <c r="B98" s="168">
        <v>1234.9184013550562</v>
      </c>
      <c r="C98" s="168">
        <v>1076.496478021978</v>
      </c>
      <c r="D98" s="168">
        <v>1270.886324175824</v>
      </c>
      <c r="E98" s="168">
        <v>1505.7855901960786</v>
      </c>
      <c r="F98" s="168">
        <v>2040.1772000000001</v>
      </c>
      <c r="G98" s="168">
        <v>1756.7330491666667</v>
      </c>
      <c r="H98" s="168">
        <v>1613.0392901408452</v>
      </c>
      <c r="I98" s="168">
        <v>1459.9285033868093</v>
      </c>
      <c r="J98" s="168">
        <v>1455.1136722580645</v>
      </c>
      <c r="K98" s="168">
        <v>1323.7734496969697</v>
      </c>
      <c r="L98" s="168">
        <v>1276.1175898734177</v>
      </c>
      <c r="M98" s="168">
        <v>1235.5695139240506</v>
      </c>
      <c r="N98" s="168">
        <v>1431.8413060163145</v>
      </c>
      <c r="O98" s="670" t="s">
        <v>424</v>
      </c>
      <c r="P98" s="670"/>
    </row>
    <row r="99" spans="1:22" x14ac:dyDescent="0.35">
      <c r="A99" s="677" t="s">
        <v>425</v>
      </c>
      <c r="B99" s="168">
        <v>631.97104101800448</v>
      </c>
      <c r="C99" s="168">
        <v>895.66403415861237</v>
      </c>
      <c r="D99" s="168">
        <v>625.68447371905211</v>
      </c>
      <c r="E99" s="168">
        <v>649.86272619891326</v>
      </c>
      <c r="F99" s="168">
        <v>759.83976791376017</v>
      </c>
      <c r="G99" s="168">
        <v>647.27924497991955</v>
      </c>
      <c r="H99" s="168">
        <v>649.94130833191923</v>
      </c>
      <c r="I99" s="168">
        <v>624.643808173872</v>
      </c>
      <c r="J99" s="168">
        <v>612.83617411581815</v>
      </c>
      <c r="K99" s="168">
        <v>633.45283972252639</v>
      </c>
      <c r="L99" s="168">
        <v>652.77957602562151</v>
      </c>
      <c r="M99" s="168">
        <v>652.77957602562151</v>
      </c>
      <c r="N99" s="168">
        <v>661.27864535165008</v>
      </c>
      <c r="O99" s="670" t="s">
        <v>426</v>
      </c>
      <c r="P99" s="670"/>
    </row>
    <row r="101" spans="1:22" x14ac:dyDescent="0.35">
      <c r="A101" s="406">
        <v>2025</v>
      </c>
      <c r="O101" s="670"/>
      <c r="P101" s="670"/>
    </row>
    <row r="102" spans="1:22" x14ac:dyDescent="0.35">
      <c r="A102" s="677" t="s">
        <v>423</v>
      </c>
      <c r="B102" s="168">
        <f>'1. Revenue Buildup 2026'!D36</f>
        <v>1287.7541216216218</v>
      </c>
      <c r="C102" s="168">
        <f>'1. Revenue Buildup 2026'!E36</f>
        <v>1547.1734415584415</v>
      </c>
      <c r="D102" s="168">
        <f>'1. Revenue Buildup 2026'!F36</f>
        <v>1265.2515337423313</v>
      </c>
      <c r="E102" s="168">
        <f>'1. Revenue Buildup 2026'!G36</f>
        <v>1295.926705882353</v>
      </c>
      <c r="F102" s="168">
        <f>'1. Revenue Buildup 2026'!H36</f>
        <v>1422.1352941176472</v>
      </c>
      <c r="G102" s="168">
        <f>'1. Revenue Buildup 2026'!I36</f>
        <v>1478.7630057803469</v>
      </c>
      <c r="H102" s="168">
        <f>'1. Revenue Buildup 2026'!J36</f>
        <v>1438.798221614227</v>
      </c>
      <c r="I102" s="168">
        <f>'1. Revenue Buildup 2026'!K36</f>
        <v>1195.4881361315938</v>
      </c>
      <c r="J102" s="168">
        <f>'1. Revenue Buildup 2026'!L36</f>
        <v>1206.7186790697674</v>
      </c>
      <c r="K102" s="168">
        <f>'1. Revenue Buildup 2026'!M36</f>
        <v>1153.4731707317073</v>
      </c>
      <c r="L102" s="168">
        <f>'1. Revenue Buildup 2026'!N36</f>
        <v>1105.7536945812808</v>
      </c>
      <c r="M102" s="168">
        <f>'1. Revenue Buildup 2026'!O36</f>
        <v>1105.7536945812808</v>
      </c>
      <c r="N102" s="168">
        <v>1280.9981344166854</v>
      </c>
      <c r="O102" s="670" t="s">
        <v>424</v>
      </c>
      <c r="P102" s="670"/>
    </row>
    <row r="103" spans="1:22" x14ac:dyDescent="0.35">
      <c r="A103" s="677" t="s">
        <v>425</v>
      </c>
      <c r="B103" s="168">
        <f>'1. Revenue Buildup 2026'!D38</f>
        <v>739.17474412868489</v>
      </c>
      <c r="C103" s="168">
        <f>'1. Revenue Buildup 2026'!E38</f>
        <v>682.37080515040941</v>
      </c>
      <c r="D103" s="168">
        <f>'1. Revenue Buildup 2026'!F38</f>
        <v>810</v>
      </c>
      <c r="E103" s="168">
        <f>'1. Revenue Buildup 2026'!G38</f>
        <v>719</v>
      </c>
      <c r="F103" s="168">
        <f>'1. Revenue Buildup 2026'!H38</f>
        <v>744</v>
      </c>
      <c r="G103" s="168">
        <f>'1. Revenue Buildup 2026'!I38</f>
        <v>746</v>
      </c>
      <c r="H103" s="168">
        <f>'1. Revenue Buildup 2026'!J38</f>
        <v>777</v>
      </c>
      <c r="I103" s="168">
        <f>'1. Revenue Buildup 2026'!K38</f>
        <v>860</v>
      </c>
      <c r="J103" s="168">
        <f>'1. Revenue Buildup 2026'!L38</f>
        <v>793</v>
      </c>
      <c r="K103" s="168">
        <f>'1. Revenue Buildup 2026'!M38</f>
        <v>840</v>
      </c>
      <c r="L103" s="168">
        <f>'1. Revenue Buildup 2026'!N38</f>
        <v>842</v>
      </c>
      <c r="M103" s="168">
        <f>'1. Revenue Buildup 2026'!O38</f>
        <v>842</v>
      </c>
      <c r="N103" s="168">
        <f>AVERAGE(B103:M103)</f>
        <v>782.87879577325782</v>
      </c>
      <c r="O103" s="670" t="s">
        <v>426</v>
      </c>
      <c r="P103" s="670"/>
    </row>
    <row r="105" spans="1:22" x14ac:dyDescent="0.35">
      <c r="A105" s="406">
        <v>2026</v>
      </c>
      <c r="O105" s="670"/>
      <c r="P105" s="670"/>
    </row>
    <row r="106" spans="1:22" x14ac:dyDescent="0.35">
      <c r="A106" s="677" t="s">
        <v>423</v>
      </c>
      <c r="B106" s="168">
        <f>'1. Revenue Buildup 2026'!D21</f>
        <v>1218.4547027027027</v>
      </c>
      <c r="C106" s="168">
        <f>'1. Revenue Buildup 2026'!E21</f>
        <v>1290.6243243243243</v>
      </c>
      <c r="D106" s="168">
        <f>'1. Revenue Buildup 2026'!F21</f>
        <v>1361.3514772727272</v>
      </c>
      <c r="E106" s="168">
        <f>'1. Revenue Buildup 2026'!G21</f>
        <v>1296.8398726114649</v>
      </c>
      <c r="F106" s="168">
        <f>'1. Revenue Buildup 2026'!H21</f>
        <v>1297.655487804878</v>
      </c>
      <c r="G106" s="168">
        <f>'1. Revenue Buildup 2026'!I21</f>
        <v>1313.4381707317073</v>
      </c>
      <c r="H106" s="168">
        <f>'1. Revenue Buildup 2026'!J21</f>
        <v>1276.6500591715976</v>
      </c>
      <c r="I106" s="168">
        <f>'1. Revenue Buildup 2026'!K21</f>
        <v>1251.2065989847717</v>
      </c>
      <c r="J106" s="168">
        <f>'1. Revenue Buildup 2026'!L21</f>
        <v>1240.0381188118813</v>
      </c>
      <c r="K106" s="168">
        <f>'1. Revenue Buildup 2026'!M21</f>
        <v>1218.1345893719806</v>
      </c>
      <c r="L106" s="168">
        <f>'1. Revenue Buildup 2026'!N21</f>
        <v>1193.9599056603774</v>
      </c>
      <c r="M106" s="168">
        <f>'1. Revenue Buildup 2026'!O21</f>
        <v>1180.4325345622119</v>
      </c>
      <c r="N106" s="168">
        <f>'1. Revenue Buildup 2026'!C6/SUM('1. Revenue Buildup 2026'!D17:O17)</f>
        <v>1114.2090290827737</v>
      </c>
      <c r="O106" s="670" t="s">
        <v>424</v>
      </c>
      <c r="P106" s="670"/>
    </row>
    <row r="107" spans="1:22" x14ac:dyDescent="0.35">
      <c r="A107" s="677" t="s">
        <v>425</v>
      </c>
      <c r="B107" s="168">
        <f>(B12+B23)/'1. Revenue Buildup 2026'!D17</f>
        <v>743.89896466853997</v>
      </c>
      <c r="C107" s="168">
        <f>(C12+C23)/'1. Revenue Buildup 2026'!E17</f>
        <v>753.08815385772914</v>
      </c>
      <c r="D107" s="168">
        <f>(D12+D23)/'1. Revenue Buildup 2026'!F17</f>
        <v>735.08861025009674</v>
      </c>
      <c r="E107" s="168">
        <f>(E12+E23)/'1. Revenue Buildup 2026'!G17</f>
        <v>824.04837836953516</v>
      </c>
      <c r="F107" s="168">
        <f>(F12+F23)/'1. Revenue Buildup 2026'!H17</f>
        <v>819.94659449476956</v>
      </c>
      <c r="G107" s="168">
        <f>(G12+G23)/'1. Revenue Buildup 2026'!I17</f>
        <v>823.72336769353603</v>
      </c>
      <c r="H107" s="168">
        <f>(H12+H23)/'1. Revenue Buildup 2026'!J17</f>
        <v>843.06982172995845</v>
      </c>
      <c r="I107" s="168">
        <f>(I12+I23)/'1. Revenue Buildup 2026'!K17</f>
        <v>808.22337530212633</v>
      </c>
      <c r="J107" s="168">
        <f>(J12+J23)/'1. Revenue Buildup 2026'!L17</f>
        <v>803.01735563601642</v>
      </c>
      <c r="K107" s="168">
        <f>(K12+K23)/'1. Revenue Buildup 2026'!M17</f>
        <v>798.06283450450098</v>
      </c>
      <c r="L107" s="168">
        <f>(L12+L23)/'1. Revenue Buildup 2026'!N17</f>
        <v>793.34201719994394</v>
      </c>
      <c r="M107" s="168">
        <f>(M12+M23)/'1. Revenue Buildup 2026'!O17</f>
        <v>788.83874907992845</v>
      </c>
      <c r="N107" s="168">
        <f>(N12+N23)/'1. Revenue Buildup 2026'!P17</f>
        <v>793.61499557888021</v>
      </c>
      <c r="O107" s="670" t="s">
        <v>426</v>
      </c>
      <c r="P107" s="670"/>
    </row>
    <row r="109" spans="1:22" x14ac:dyDescent="0.35">
      <c r="A109" s="670"/>
      <c r="B109" s="622">
        <f t="shared" ref="B109:M109" si="63">B72+B53+B12</f>
        <v>159376.88317632358</v>
      </c>
      <c r="C109" s="622">
        <f t="shared" si="63"/>
        <v>165466.53834873735</v>
      </c>
      <c r="D109" s="622">
        <f t="shared" si="63"/>
        <v>147559.90574884461</v>
      </c>
      <c r="E109" s="622">
        <f t="shared" si="63"/>
        <v>153307.03218562622</v>
      </c>
      <c r="F109" s="622">
        <f t="shared" si="63"/>
        <v>158355.55184196981</v>
      </c>
      <c r="G109" s="622">
        <f t="shared" si="63"/>
        <v>154724.94264656751</v>
      </c>
      <c r="H109" s="622">
        <f t="shared" si="63"/>
        <v>168113.11021719058</v>
      </c>
      <c r="I109" s="622">
        <f t="shared" si="63"/>
        <v>178854.31527934648</v>
      </c>
      <c r="J109" s="622">
        <f t="shared" si="63"/>
        <v>181843.8161833029</v>
      </c>
      <c r="K109" s="622">
        <f t="shared" si="63"/>
        <v>184833.31708725929</v>
      </c>
      <c r="L109" s="622">
        <f t="shared" si="63"/>
        <v>187822.81799121571</v>
      </c>
      <c r="M109" s="622">
        <f t="shared" si="63"/>
        <v>190812.31889517207</v>
      </c>
      <c r="O109" s="670"/>
      <c r="P109" s="670"/>
    </row>
    <row r="111" spans="1:22" x14ac:dyDescent="0.35">
      <c r="A111" s="670"/>
      <c r="B111" s="622">
        <f t="shared" ref="B111:M111" si="64">B78+B58+B34</f>
        <v>94514.25701149425</v>
      </c>
      <c r="C111" s="622">
        <f t="shared" si="64"/>
        <v>64090.108505747121</v>
      </c>
      <c r="D111" s="622">
        <f t="shared" si="64"/>
        <v>48098.599999999991</v>
      </c>
      <c r="E111" s="622">
        <f t="shared" si="64"/>
        <v>47789.599999999991</v>
      </c>
      <c r="F111" s="622">
        <f t="shared" si="64"/>
        <v>52296.490000000005</v>
      </c>
      <c r="G111" s="622">
        <f t="shared" si="64"/>
        <v>48270.599999999991</v>
      </c>
      <c r="H111" s="622">
        <f t="shared" si="64"/>
        <v>45950.599999999991</v>
      </c>
      <c r="I111" s="622">
        <f t="shared" si="64"/>
        <v>45950.599999999991</v>
      </c>
      <c r="J111" s="622">
        <f t="shared" si="64"/>
        <v>46371.859999999993</v>
      </c>
      <c r="K111" s="622">
        <f t="shared" si="64"/>
        <v>53005.490000000005</v>
      </c>
      <c r="L111" s="622">
        <f t="shared" si="64"/>
        <v>45950.599999999991</v>
      </c>
      <c r="M111" s="622">
        <f t="shared" si="64"/>
        <v>46159.599999999991</v>
      </c>
      <c r="O111" s="670"/>
      <c r="P111" s="670"/>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4F90C-C5F2-4983-B037-D457E2F62CF5}">
  <sheetPr>
    <tabColor rgb="FF92D050"/>
  </sheetPr>
  <dimension ref="A1:Z98"/>
  <sheetViews>
    <sheetView showGridLines="0" zoomScale="80" zoomScaleNormal="80" workbookViewId="0">
      <pane xSplit="1" ySplit="4" topLeftCell="B9" activePane="bottomRight" state="frozen"/>
      <selection pane="topRight" activeCell="B25" sqref="B25"/>
      <selection pane="bottomLeft" activeCell="B25" sqref="B25"/>
      <selection pane="bottomRight" activeCell="B28" sqref="B28"/>
    </sheetView>
  </sheetViews>
  <sheetFormatPr defaultColWidth="9.453125" defaultRowHeight="15.5" outlineLevelRow="1" x14ac:dyDescent="0.35"/>
  <cols>
    <col min="1" max="1" width="32.453125" style="198" customWidth="1"/>
    <col min="2" max="10" width="12.453125" customWidth="1"/>
    <col min="11" max="13" width="13.54296875" bestFit="1" customWidth="1"/>
    <col min="14" max="14" width="13.453125" customWidth="1"/>
    <col min="15" max="15" width="12.81640625" style="198" bestFit="1" customWidth="1"/>
    <col min="16" max="16" width="12.81640625" style="198" customWidth="1"/>
    <col min="17" max="17" width="13.453125" customWidth="1"/>
    <col min="18" max="18" width="5" style="9" bestFit="1" customWidth="1"/>
    <col min="19" max="19" width="13.453125" customWidth="1"/>
    <col min="20" max="20" width="5" style="9" bestFit="1" customWidth="1"/>
    <col min="21" max="22" width="13.453125" customWidth="1"/>
    <col min="23" max="16384" width="9.453125" style="198"/>
  </cols>
  <sheetData>
    <row r="1" spans="1:22" s="195" customFormat="1" ht="21" x14ac:dyDescent="0.35">
      <c r="A1" s="193" t="s">
        <v>390</v>
      </c>
      <c r="B1" s="194"/>
      <c r="C1" s="194"/>
      <c r="D1" s="194"/>
      <c r="E1" s="194"/>
      <c r="F1" s="194"/>
      <c r="G1" s="194"/>
      <c r="H1" s="194"/>
      <c r="I1" s="194"/>
      <c r="J1" s="194"/>
      <c r="K1" s="194"/>
      <c r="L1" s="194"/>
      <c r="M1" s="194"/>
      <c r="N1" s="194"/>
      <c r="Q1" s="194"/>
      <c r="R1" s="394"/>
      <c r="S1" s="194"/>
      <c r="T1" s="394"/>
      <c r="U1" s="194"/>
      <c r="V1" s="194"/>
    </row>
    <row r="2" spans="1:22" ht="21" x14ac:dyDescent="0.35">
      <c r="A2" s="196" t="s">
        <v>391</v>
      </c>
      <c r="B2" s="197"/>
      <c r="C2" s="197"/>
      <c r="D2" s="197"/>
      <c r="E2" s="197"/>
      <c r="F2" s="197"/>
      <c r="G2" s="197"/>
      <c r="H2" s="197"/>
      <c r="I2" s="197"/>
      <c r="J2" s="197"/>
      <c r="K2" s="197"/>
      <c r="L2" s="197"/>
      <c r="M2" s="197"/>
      <c r="N2" s="197"/>
      <c r="O2" s="670"/>
      <c r="P2" s="670"/>
      <c r="Q2" s="197"/>
      <c r="R2" s="395"/>
      <c r="S2" s="197"/>
      <c r="T2" s="395"/>
      <c r="U2" s="197"/>
      <c r="V2" s="197"/>
    </row>
    <row r="3" spans="1:22" s="220" customFormat="1" ht="13" x14ac:dyDescent="0.35">
      <c r="A3" s="217" t="s">
        <v>392</v>
      </c>
      <c r="B3" s="218">
        <v>84</v>
      </c>
      <c r="C3" s="218">
        <v>84</v>
      </c>
      <c r="D3" s="218">
        <v>84</v>
      </c>
      <c r="E3" s="218">
        <v>84</v>
      </c>
      <c r="F3" s="218">
        <v>84</v>
      </c>
      <c r="G3" s="218">
        <v>84</v>
      </c>
      <c r="H3" s="218">
        <v>84</v>
      </c>
      <c r="I3" s="218">
        <v>84</v>
      </c>
      <c r="J3" s="218">
        <v>84</v>
      </c>
      <c r="K3" s="218">
        <v>84</v>
      </c>
      <c r="L3" s="218">
        <v>84</v>
      </c>
      <c r="M3" s="218">
        <v>84</v>
      </c>
      <c r="N3" s="219"/>
      <c r="Q3" s="219"/>
      <c r="R3" s="396"/>
      <c r="S3" s="219"/>
      <c r="T3" s="396"/>
      <c r="U3" s="219"/>
      <c r="V3" s="219"/>
    </row>
    <row r="4" spans="1:22" s="201" customFormat="1" ht="31" x14ac:dyDescent="0.35">
      <c r="A4" s="373" t="s">
        <v>268</v>
      </c>
      <c r="B4" s="373">
        <v>45658</v>
      </c>
      <c r="C4" s="373">
        <v>45689</v>
      </c>
      <c r="D4" s="373">
        <v>45717</v>
      </c>
      <c r="E4" s="373">
        <v>45748</v>
      </c>
      <c r="F4" s="373">
        <v>45778</v>
      </c>
      <c r="G4" s="373">
        <v>45809</v>
      </c>
      <c r="H4" s="373">
        <v>45839</v>
      </c>
      <c r="I4" s="373">
        <v>45870</v>
      </c>
      <c r="J4" s="373">
        <v>45901</v>
      </c>
      <c r="K4" s="373">
        <v>45931</v>
      </c>
      <c r="L4" s="373">
        <v>45962</v>
      </c>
      <c r="M4" s="373">
        <v>45992</v>
      </c>
      <c r="N4" s="373" t="s">
        <v>174</v>
      </c>
      <c r="Q4" s="373" t="s">
        <v>393</v>
      </c>
      <c r="R4" s="373" t="s">
        <v>394</v>
      </c>
      <c r="S4" s="373" t="s">
        <v>395</v>
      </c>
      <c r="T4" s="373" t="s">
        <v>394</v>
      </c>
      <c r="U4" s="373" t="s">
        <v>396</v>
      </c>
      <c r="V4" s="373" t="s">
        <v>397</v>
      </c>
    </row>
    <row r="5" spans="1:22" s="201" customFormat="1" outlineLevel="1" x14ac:dyDescent="0.35">
      <c r="A5" s="374" t="s">
        <v>344</v>
      </c>
      <c r="B5" s="375"/>
      <c r="C5" s="375"/>
      <c r="D5" s="375"/>
      <c r="E5" s="375"/>
      <c r="F5" s="375"/>
      <c r="G5" s="375"/>
      <c r="H5" s="375"/>
      <c r="I5" s="375"/>
      <c r="J5" s="375"/>
      <c r="K5" s="375"/>
      <c r="L5" s="375"/>
      <c r="M5" s="375"/>
      <c r="N5" s="375"/>
      <c r="Q5" s="375"/>
      <c r="R5" s="375"/>
      <c r="S5" s="375"/>
      <c r="T5" s="375"/>
      <c r="U5" s="375"/>
      <c r="V5" s="375"/>
    </row>
    <row r="6" spans="1:22" s="201" customFormat="1" ht="31" outlineLevel="1" x14ac:dyDescent="0.35">
      <c r="A6" s="374" t="s">
        <v>398</v>
      </c>
      <c r="B6" s="376">
        <f>'1. Revenue Buildup 2026'!D6</f>
        <v>225414.12</v>
      </c>
      <c r="C6" s="376">
        <f>'1. Revenue Buildup 2026'!E6</f>
        <v>238765.5</v>
      </c>
      <c r="D6" s="376">
        <f>'1. Revenue Buildup 2026'!F6</f>
        <v>239597.86</v>
      </c>
      <c r="E6" s="376">
        <f>'1. Revenue Buildup 2026'!G6</f>
        <v>203603.86</v>
      </c>
      <c r="F6" s="376">
        <f>'1. Revenue Buildup 2026'!H6</f>
        <v>199015.5</v>
      </c>
      <c r="G6" s="376">
        <f>'1. Revenue Buildup 2026'!I6</f>
        <v>198603.86</v>
      </c>
      <c r="H6" s="376">
        <f>'1. Revenue Buildup 2026'!J6</f>
        <v>198603.86</v>
      </c>
      <c r="I6" s="376">
        <f>'1. Revenue Buildup 2026'!K6</f>
        <v>196937.7</v>
      </c>
      <c r="J6" s="376">
        <f>'1. Revenue Buildup 2026'!L6</f>
        <v>196937.7</v>
      </c>
      <c r="K6" s="376">
        <f>'1. Revenue Buildup 2026'!M6</f>
        <v>198603.86</v>
      </c>
      <c r="L6" s="376">
        <f>'1. Revenue Buildup 2026'!N6</f>
        <v>195569.5</v>
      </c>
      <c r="M6" s="376">
        <f>'1. Revenue Buildup 2026'!O6</f>
        <v>198603.86</v>
      </c>
      <c r="N6" s="376">
        <f t="shared" ref="N6:N11" si="0">SUM(B6:M6)</f>
        <v>2490257.1799999992</v>
      </c>
      <c r="O6" s="286">
        <f>N6/140000</f>
        <v>17.787551285714279</v>
      </c>
      <c r="P6" s="286" t="s">
        <v>427</v>
      </c>
      <c r="Q6" s="376">
        <v>2116756.58</v>
      </c>
      <c r="R6" s="376"/>
      <c r="S6" s="376">
        <v>1186417.5207459999</v>
      </c>
      <c r="T6" s="376"/>
      <c r="U6" s="376"/>
      <c r="V6" s="376"/>
    </row>
    <row r="7" spans="1:22" outlineLevel="1" x14ac:dyDescent="0.35">
      <c r="A7" s="377" t="s">
        <v>289</v>
      </c>
      <c r="B7" s="378">
        <f>('4. India Expenses INR'!B7+'4. India Expenses INR'!B8)/'3. P&amp;L - Only Base+Confirmed''25'!B$3</f>
        <v>114258.65523809525</v>
      </c>
      <c r="C7" s="378">
        <f>('4. India Expenses INR'!C7+'4. India Expenses INR'!C8)/'3. P&amp;L - Only Base+Confirmed''25'!C$3</f>
        <v>116044.36952380954</v>
      </c>
      <c r="D7" s="378">
        <f>('4. India Expenses INR'!D7+'4. India Expenses INR'!D8)/'3. P&amp;L - Only Base+Confirmed''25'!D$3</f>
        <v>112939.65880952381</v>
      </c>
      <c r="E7" s="378">
        <f>('4. India Expenses INR'!E7+'4. India Expenses INR'!E8)/'3. P&amp;L - Only Base+Confirmed''25'!E$3</f>
        <v>111332.51595238096</v>
      </c>
      <c r="F7" s="378">
        <f>('4. India Expenses INR'!F7+'4. India Expenses INR'!F8)/'3. P&amp;L - Only Base+Confirmed''25'!F$3</f>
        <v>113568.71952380954</v>
      </c>
      <c r="G7" s="378">
        <f>('4. India Expenses INR'!G7+'4. India Expenses INR'!G8)/'3. P&amp;L - Only Base+Confirmed''25'!G$3</f>
        <v>113568.71952380954</v>
      </c>
      <c r="H7" s="378">
        <f>('4. India Expenses INR'!H7+'4. India Expenses INR'!H8)/'3. P&amp;L - Only Base+Confirmed''25'!H$3</f>
        <v>115293.55880952382</v>
      </c>
      <c r="I7" s="378">
        <f>('4. India Expenses INR'!I7+'4. India Expenses INR'!I8)/'3. P&amp;L - Only Base+Confirmed''25'!I$3</f>
        <v>124952.65880952383</v>
      </c>
      <c r="J7" s="378">
        <f>('4. India Expenses INR'!J7+'4. India Expenses INR'!J8)/'3. P&amp;L - Only Base+Confirmed''25'!J$3</f>
        <v>126677.49809523812</v>
      </c>
      <c r="K7" s="378">
        <f>('4. India Expenses INR'!K7+'4. India Expenses INR'!K8)/'3. P&amp;L - Only Base+Confirmed''25'!K$3</f>
        <v>128402.33738095241</v>
      </c>
      <c r="L7" s="378">
        <f>('4. India Expenses INR'!L7+'4. India Expenses INR'!L8)/'3. P&amp;L - Only Base+Confirmed''25'!L$3</f>
        <v>130127.17666666668</v>
      </c>
      <c r="M7" s="378">
        <f>('4. India Expenses INR'!M7+'4. India Expenses INR'!M8)/'3. P&amp;L - Only Base+Confirmed''25'!M$3</f>
        <v>131852.01595238099</v>
      </c>
      <c r="N7" s="378">
        <f t="shared" si="0"/>
        <v>1439017.8842857145</v>
      </c>
      <c r="O7" s="670">
        <v>80000</v>
      </c>
      <c r="P7" s="670"/>
      <c r="Q7" s="378">
        <v>836770.97867469885</v>
      </c>
      <c r="R7" s="401">
        <v>0.39530807962562176</v>
      </c>
      <c r="S7" s="378">
        <v>524458.72532039729</v>
      </c>
      <c r="T7" s="397"/>
      <c r="U7" s="378"/>
      <c r="V7" s="378"/>
    </row>
    <row r="8" spans="1:22" outlineLevel="1" x14ac:dyDescent="0.35">
      <c r="A8" s="377" t="s">
        <v>146</v>
      </c>
      <c r="B8" s="378">
        <f>'4. India Expenses INR'!B9/'3. P&amp;L - Only Base+Confirmed''25'!B$3</f>
        <v>11412.238095238095</v>
      </c>
      <c r="C8" s="378">
        <f>'4. India Expenses INR'!C9/'3. P&amp;L - Only Base+Confirmed''25'!C$3</f>
        <v>11412.238095238095</v>
      </c>
      <c r="D8" s="378">
        <f>'4. India Expenses INR'!D9/'3. P&amp;L - Only Base+Confirmed''25'!D$3</f>
        <v>11326.523809523809</v>
      </c>
      <c r="E8" s="378">
        <f>'4. India Expenses INR'!E9/'3. P&amp;L - Only Base+Confirmed''25'!E$3</f>
        <v>11341.404761904761</v>
      </c>
      <c r="F8" s="378">
        <f>'4. India Expenses INR'!F9/'3. P&amp;L - Only Base+Confirmed''25'!F$3</f>
        <v>11408.071428571429</v>
      </c>
      <c r="G8" s="378">
        <f>'4. India Expenses INR'!G9/'3. P&amp;L - Only Base+Confirmed''25'!G$3</f>
        <v>11408.071428571429</v>
      </c>
      <c r="H8" s="378">
        <f>'4. India Expenses INR'!H9/'3. P&amp;L - Only Base+Confirmed''25'!H$3</f>
        <v>11455.690476190477</v>
      </c>
      <c r="I8" s="378">
        <f>'4. India Expenses INR'!I9/'3. P&amp;L - Only Base+Confirmed''25'!I$3</f>
        <v>11722.357142857143</v>
      </c>
      <c r="J8" s="378">
        <f>'4. India Expenses INR'!J9/'3. P&amp;L - Only Base+Confirmed''25'!J$3</f>
        <v>11769.976190476191</v>
      </c>
      <c r="K8" s="378">
        <f>'4. India Expenses INR'!K9/'3. P&amp;L - Only Base+Confirmed''25'!K$3</f>
        <v>12080.707142857143</v>
      </c>
      <c r="L8" s="378">
        <f>'4. India Expenses INR'!L9/'3. P&amp;L - Only Base+Confirmed''25'!L$3</f>
        <v>12128.326190476191</v>
      </c>
      <c r="M8" s="378">
        <f>'4. India Expenses INR'!M9/'3. P&amp;L - Only Base+Confirmed''25'!M$3</f>
        <v>12175.945238095239</v>
      </c>
      <c r="N8" s="378">
        <f t="shared" si="0"/>
        <v>139641.54999999999</v>
      </c>
      <c r="O8" s="670"/>
      <c r="P8" s="670"/>
      <c r="Q8" s="378">
        <v>109080.05204819277</v>
      </c>
      <c r="R8" s="401">
        <v>5.153169385598072E-2</v>
      </c>
      <c r="S8" s="378">
        <v>101610.98566265061</v>
      </c>
      <c r="T8" s="397"/>
      <c r="U8" s="378"/>
      <c r="V8" s="378"/>
    </row>
    <row r="9" spans="1:22" outlineLevel="1" x14ac:dyDescent="0.35">
      <c r="A9" s="377" t="s">
        <v>147</v>
      </c>
      <c r="B9" s="378">
        <f>'4. India Expenses INR'!B10/'3. P&amp;L - Only Base+Confirmed''25'!B$3</f>
        <v>1695.9404761904761</v>
      </c>
      <c r="C9" s="378">
        <f>'4. India Expenses INR'!C10/'3. P&amp;L - Only Base+Confirmed''25'!C$3</f>
        <v>1695.9404761904761</v>
      </c>
      <c r="D9" s="378">
        <f>'4. India Expenses INR'!D10/'3. P&amp;L - Only Base+Confirmed''25'!D$3</f>
        <v>1750.5833333333333</v>
      </c>
      <c r="E9" s="378">
        <f>'4. India Expenses INR'!E10/'3. P&amp;L - Only Base+Confirmed''25'!E$3</f>
        <v>1738.3214285714287</v>
      </c>
      <c r="F9" s="378">
        <f>'4. India Expenses INR'!F10/'3. P&amp;L - Only Base+Confirmed''25'!F$3</f>
        <v>1754.9880952380952</v>
      </c>
      <c r="G9" s="378">
        <f>'4. India Expenses INR'!G10/'3. P&amp;L - Only Base+Confirmed''25'!G$3</f>
        <v>1848.8095238095239</v>
      </c>
      <c r="H9" s="378">
        <f>'4. India Expenses INR'!H10/'3. P&amp;L - Only Base+Confirmed''25'!H$3</f>
        <v>1766.8928571428571</v>
      </c>
      <c r="I9" s="378">
        <f>'4. India Expenses INR'!I10/'3. P&amp;L - Only Base+Confirmed''25'!I$3</f>
        <v>1833.5595238095239</v>
      </c>
      <c r="J9" s="378">
        <f>'4. India Expenses INR'!J10/'3. P&amp;L - Only Base+Confirmed''25'!J$3</f>
        <v>1876.7380952380952</v>
      </c>
      <c r="K9" s="378">
        <f>'4. India Expenses INR'!K10/'3. P&amp;L - Only Base+Confirmed''25'!K$3</f>
        <v>1857.3690476190477</v>
      </c>
      <c r="L9" s="378">
        <f>'4. India Expenses INR'!L10/'3. P&amp;L - Only Base+Confirmed''25'!L$3</f>
        <v>1869.2738095238096</v>
      </c>
      <c r="M9" s="378">
        <f>'4. India Expenses INR'!M10/'3. P&amp;L - Only Base+Confirmed''25'!M$3</f>
        <v>1881.1785714285713</v>
      </c>
      <c r="N9" s="378">
        <f t="shared" si="0"/>
        <v>21569.595238095237</v>
      </c>
      <c r="O9" s="670"/>
      <c r="P9" s="670"/>
      <c r="Q9" s="378">
        <v>38074.979397590367</v>
      </c>
      <c r="R9" s="401">
        <v>1.7987415160221381E-2</v>
      </c>
      <c r="S9" s="378">
        <v>23641.274300944784</v>
      </c>
      <c r="T9" s="397"/>
      <c r="U9" s="378"/>
      <c r="V9" s="378"/>
    </row>
    <row r="10" spans="1:22" outlineLevel="1" x14ac:dyDescent="0.35">
      <c r="A10" s="377" t="s">
        <v>399</v>
      </c>
      <c r="B10" s="378">
        <f>'4. India Expenses INR'!B11/'3. P&amp;L - Only Base+Confirmed''25'!B$3</f>
        <v>3273.8095238095239</v>
      </c>
      <c r="C10" s="378">
        <f>'4. India Expenses INR'!C11/'3. P&amp;L - Only Base+Confirmed''25'!C$3</f>
        <v>3273.8095238095239</v>
      </c>
      <c r="D10" s="378">
        <f>'4. India Expenses INR'!D11/'3. P&amp;L - Only Base+Confirmed''25'!D$3</f>
        <v>3273.8095238095239</v>
      </c>
      <c r="E10" s="378">
        <f>'4. India Expenses INR'!E11/'3. P&amp;L - Only Base+Confirmed''25'!E$3</f>
        <v>3273.8095238095239</v>
      </c>
      <c r="F10" s="378">
        <f>'4. India Expenses INR'!F11/'3. P&amp;L - Only Base+Confirmed''25'!F$3</f>
        <v>3273.8095238095239</v>
      </c>
      <c r="G10" s="378">
        <f>'4. India Expenses INR'!G11/'3. P&amp;L - Only Base+Confirmed''25'!G$3</f>
        <v>3273.8095238095239</v>
      </c>
      <c r="H10" s="378">
        <f>'4. India Expenses INR'!H11/'3. P&amp;L - Only Base+Confirmed''25'!H$3</f>
        <v>3273.8095238095239</v>
      </c>
      <c r="I10" s="378">
        <f>'4. India Expenses INR'!I11/'3. P&amp;L - Only Base+Confirmed''25'!I$3</f>
        <v>3273.8095238095239</v>
      </c>
      <c r="J10" s="378">
        <f>'4. India Expenses INR'!J11/'3. P&amp;L - Only Base+Confirmed''25'!J$3</f>
        <v>3273.8095238095239</v>
      </c>
      <c r="K10" s="378">
        <f>'4. India Expenses INR'!K11/'3. P&amp;L - Only Base+Confirmed''25'!K$3</f>
        <v>3273.8095238095239</v>
      </c>
      <c r="L10" s="378">
        <f>'4. India Expenses INR'!L11/'3. P&amp;L - Only Base+Confirmed''25'!L$3</f>
        <v>3273.8095238095239</v>
      </c>
      <c r="M10" s="378">
        <f>'4. India Expenses INR'!M11/'3. P&amp;L - Only Base+Confirmed''25'!M$3</f>
        <v>3273.8095238095239</v>
      </c>
      <c r="N10" s="378">
        <f t="shared" si="0"/>
        <v>39285.714285714283</v>
      </c>
      <c r="O10" s="670"/>
      <c r="P10" s="670"/>
      <c r="Q10" s="378">
        <v>29439.337349397592</v>
      </c>
      <c r="R10" s="401">
        <v>1.3907757570026116E-2</v>
      </c>
      <c r="S10" s="378">
        <v>30109.939759036144</v>
      </c>
      <c r="T10" s="397"/>
      <c r="U10" s="378"/>
      <c r="V10" s="378"/>
    </row>
    <row r="11" spans="1:22" outlineLevel="1" x14ac:dyDescent="0.35">
      <c r="A11" s="377" t="s">
        <v>400</v>
      </c>
      <c r="B11" s="378">
        <f>'4. India Expenses INR'!B12/'3. P&amp;L - Only Base+Confirmed''25'!B$3</f>
        <v>3113.6660671462828</v>
      </c>
      <c r="C11" s="378">
        <f>'4. India Expenses INR'!C12/'3. P&amp;L - Only Base+Confirmed''25'!C$3</f>
        <v>3113.6660671462828</v>
      </c>
      <c r="D11" s="378">
        <f>'4. India Expenses INR'!D12/'3. P&amp;L - Only Base+Confirmed''25'!D$3</f>
        <v>3008.7110311750598</v>
      </c>
      <c r="E11" s="378">
        <f>'4. India Expenses INR'!E12/'3. P&amp;L - Only Base+Confirmed''25'!E$3</f>
        <v>3008.7110311750598</v>
      </c>
      <c r="F11" s="378">
        <f>'4. India Expenses INR'!F12/'3. P&amp;L - Only Base+Confirmed''25'!F$3</f>
        <v>3090.3427258193442</v>
      </c>
      <c r="G11" s="378">
        <f>'4. India Expenses INR'!G12/'3. P&amp;L - Only Base+Confirmed''25'!G$3</f>
        <v>3990.3427258193442</v>
      </c>
      <c r="H11" s="378">
        <f>'4. India Expenses INR'!H12/'3. P&amp;L - Only Base+Confirmed''25'!H$3</f>
        <v>3148.6510791366904</v>
      </c>
      <c r="I11" s="378">
        <f>'4. India Expenses INR'!I12/'3. P&amp;L - Only Base+Confirmed''25'!I$3</f>
        <v>3475.1778577138284</v>
      </c>
      <c r="J11" s="378">
        <f>'4. India Expenses INR'!J12/'3. P&amp;L - Only Base+Confirmed''25'!J$3</f>
        <v>3533.4862110311751</v>
      </c>
      <c r="K11" s="378">
        <f>'4. India Expenses INR'!K12/'3. P&amp;L - Only Base+Confirmed''25'!K$3</f>
        <v>3591.7945643485209</v>
      </c>
      <c r="L11" s="378">
        <f>'4. India Expenses INR'!L12/'3. P&amp;L - Only Base+Confirmed''25'!L$3</f>
        <v>3650.1029176658672</v>
      </c>
      <c r="M11" s="378">
        <f>'4. India Expenses INR'!M12/'3. P&amp;L - Only Base+Confirmed''25'!M$3</f>
        <v>3708.4112709832129</v>
      </c>
      <c r="N11" s="378">
        <f t="shared" si="0"/>
        <v>40433.063549160674</v>
      </c>
      <c r="O11" s="670"/>
      <c r="P11" s="670"/>
      <c r="Q11" s="378">
        <v>193079.67481927713</v>
      </c>
      <c r="R11" s="401">
        <v>9.1214869316375111E-2</v>
      </c>
      <c r="S11" s="378">
        <v>1749.2242350697754</v>
      </c>
      <c r="T11" s="397"/>
      <c r="U11" s="378"/>
      <c r="V11" s="378"/>
    </row>
    <row r="12" spans="1:22" s="206" customFormat="1" outlineLevel="1" x14ac:dyDescent="0.35">
      <c r="A12" s="374" t="s">
        <v>401</v>
      </c>
      <c r="B12" s="379">
        <f>SUM(B7:B11)</f>
        <v>133754.30940047963</v>
      </c>
      <c r="C12" s="379">
        <f t="shared" ref="C12:N12" si="1">SUM(C7:C11)</f>
        <v>135540.02368619392</v>
      </c>
      <c r="D12" s="379">
        <f t="shared" si="1"/>
        <v>132299.28650736553</v>
      </c>
      <c r="E12" s="379">
        <f t="shared" si="1"/>
        <v>130694.76269784174</v>
      </c>
      <c r="F12" s="379">
        <f t="shared" si="1"/>
        <v>133095.93129724794</v>
      </c>
      <c r="G12" s="379">
        <f t="shared" si="1"/>
        <v>134089.75272581939</v>
      </c>
      <c r="H12" s="379">
        <f t="shared" si="1"/>
        <v>134938.60274580336</v>
      </c>
      <c r="I12" s="379">
        <f t="shared" si="1"/>
        <v>145257.56285771384</v>
      </c>
      <c r="J12" s="379">
        <f t="shared" si="1"/>
        <v>147131.50811579311</v>
      </c>
      <c r="K12" s="379">
        <f t="shared" si="1"/>
        <v>149206.01765958665</v>
      </c>
      <c r="L12" s="379">
        <f t="shared" si="1"/>
        <v>151048.68910814211</v>
      </c>
      <c r="M12" s="379">
        <f t="shared" si="1"/>
        <v>152891.36055669756</v>
      </c>
      <c r="N12" s="379">
        <f t="shared" si="1"/>
        <v>1679947.8073586847</v>
      </c>
      <c r="Q12" s="379">
        <v>1206445.0222891569</v>
      </c>
      <c r="R12" s="398"/>
      <c r="S12" s="379">
        <v>681570.14927809872</v>
      </c>
      <c r="T12" s="398"/>
      <c r="U12" s="379"/>
      <c r="V12" s="379"/>
    </row>
    <row r="13" spans="1:22" s="206" customFormat="1" outlineLevel="1" x14ac:dyDescent="0.35">
      <c r="A13" s="374" t="s">
        <v>325</v>
      </c>
      <c r="B13" s="380">
        <f t="shared" ref="B13:N13" si="2">B6-B12</f>
        <v>91659.810599520366</v>
      </c>
      <c r="C13" s="380">
        <f t="shared" si="2"/>
        <v>103225.47631380608</v>
      </c>
      <c r="D13" s="380">
        <f t="shared" si="2"/>
        <v>107298.57349263446</v>
      </c>
      <c r="E13" s="380">
        <f t="shared" si="2"/>
        <v>72909.097302158247</v>
      </c>
      <c r="F13" s="380">
        <f t="shared" si="2"/>
        <v>65919.568702752062</v>
      </c>
      <c r="G13" s="380">
        <f t="shared" si="2"/>
        <v>64514.107274180598</v>
      </c>
      <c r="H13" s="380">
        <f t="shared" si="2"/>
        <v>63665.257254196622</v>
      </c>
      <c r="I13" s="380">
        <f t="shared" si="2"/>
        <v>51680.13714228617</v>
      </c>
      <c r="J13" s="380">
        <f t="shared" si="2"/>
        <v>49806.191884206899</v>
      </c>
      <c r="K13" s="380">
        <f t="shared" si="2"/>
        <v>49397.842340413335</v>
      </c>
      <c r="L13" s="380">
        <f t="shared" si="2"/>
        <v>44520.810891857895</v>
      </c>
      <c r="M13" s="380">
        <f t="shared" si="2"/>
        <v>45712.499443302426</v>
      </c>
      <c r="N13" s="380">
        <f t="shared" si="2"/>
        <v>810309.37264131452</v>
      </c>
      <c r="Q13" s="380">
        <v>910311.55771084316</v>
      </c>
      <c r="R13" s="399"/>
      <c r="S13" s="380">
        <v>504847.37146790116</v>
      </c>
      <c r="T13" s="399"/>
      <c r="U13" s="380"/>
      <c r="V13" s="380"/>
    </row>
    <row r="14" spans="1:22" s="206" customFormat="1" outlineLevel="1" x14ac:dyDescent="0.35">
      <c r="A14" s="374" t="s">
        <v>402</v>
      </c>
      <c r="B14" s="381">
        <f t="shared" ref="B14:N14" si="3">B13/B6</f>
        <v>0.4066285226476512</v>
      </c>
      <c r="C14" s="381">
        <f t="shared" si="3"/>
        <v>0.43232994848001943</v>
      </c>
      <c r="D14" s="381">
        <f t="shared" si="3"/>
        <v>0.44782776228733623</v>
      </c>
      <c r="E14" s="381">
        <f t="shared" si="3"/>
        <v>0.35809290306263475</v>
      </c>
      <c r="F14" s="381">
        <f t="shared" si="3"/>
        <v>0.33122831489382515</v>
      </c>
      <c r="G14" s="381">
        <f t="shared" si="3"/>
        <v>0.32483813393244526</v>
      </c>
      <c r="H14" s="381">
        <f t="shared" si="3"/>
        <v>0.32056404771889441</v>
      </c>
      <c r="I14" s="381">
        <f t="shared" si="3"/>
        <v>0.26241870978632414</v>
      </c>
      <c r="J14" s="381">
        <f t="shared" si="3"/>
        <v>0.25290328811703849</v>
      </c>
      <c r="K14" s="381">
        <f t="shared" si="3"/>
        <v>0.24872548972821243</v>
      </c>
      <c r="L14" s="381">
        <f t="shared" si="3"/>
        <v>0.22764700473160637</v>
      </c>
      <c r="M14" s="381">
        <f t="shared" si="3"/>
        <v>0.2301692396275804</v>
      </c>
      <c r="N14" s="381">
        <f t="shared" si="3"/>
        <v>0.32539184271775284</v>
      </c>
      <c r="Q14" s="381">
        <v>0.43005018447177479</v>
      </c>
      <c r="R14" s="400"/>
      <c r="S14" s="381">
        <v>0.42552251854006795</v>
      </c>
      <c r="T14" s="400"/>
      <c r="U14" s="381"/>
      <c r="V14" s="381"/>
    </row>
    <row r="15" spans="1:22" s="206" customFormat="1" outlineLevel="1" x14ac:dyDescent="0.35">
      <c r="A15" s="374"/>
      <c r="B15" s="439"/>
      <c r="C15" s="439"/>
      <c r="D15" s="439"/>
      <c r="E15" s="439"/>
      <c r="F15" s="439"/>
      <c r="G15" s="439"/>
      <c r="H15" s="439"/>
      <c r="I15" s="439"/>
      <c r="J15" s="439"/>
      <c r="K15" s="439"/>
      <c r="L15" s="439"/>
      <c r="M15" s="439"/>
      <c r="N15" s="381"/>
      <c r="Q15" s="381"/>
      <c r="R15" s="400"/>
      <c r="S15" s="381"/>
      <c r="T15" s="400"/>
      <c r="U15" s="381"/>
      <c r="V15" s="381"/>
    </row>
    <row r="16" spans="1:22" s="206" customFormat="1" outlineLevel="1" x14ac:dyDescent="0.35">
      <c r="A16" s="374" t="s">
        <v>403</v>
      </c>
      <c r="B16" s="381"/>
      <c r="C16" s="381"/>
      <c r="D16" s="381"/>
      <c r="E16" s="381"/>
      <c r="F16" s="381"/>
      <c r="G16" s="381"/>
      <c r="H16" s="381"/>
      <c r="I16" s="381"/>
      <c r="J16" s="381"/>
      <c r="K16" s="381"/>
      <c r="L16" s="381"/>
      <c r="M16" s="381"/>
      <c r="N16" s="380"/>
      <c r="Q16" s="380"/>
      <c r="R16" s="399"/>
      <c r="S16" s="380"/>
      <c r="T16" s="399"/>
      <c r="U16" s="380"/>
      <c r="V16" s="380"/>
    </row>
    <row r="17" spans="1:22" s="201" customFormat="1" outlineLevel="1" x14ac:dyDescent="0.35">
      <c r="A17" s="374" t="s">
        <v>398</v>
      </c>
      <c r="B17" s="376"/>
      <c r="C17" s="376"/>
      <c r="D17" s="376"/>
      <c r="E17" s="376"/>
      <c r="F17" s="376"/>
      <c r="G17" s="376"/>
      <c r="H17" s="376"/>
      <c r="I17" s="376"/>
      <c r="J17" s="376"/>
      <c r="K17" s="376"/>
      <c r="L17" s="376"/>
      <c r="M17" s="376"/>
      <c r="N17" s="376">
        <f t="shared" ref="N17:N24" si="4">SUM(B17:M17)</f>
        <v>0</v>
      </c>
      <c r="O17" s="671"/>
      <c r="P17" s="671"/>
      <c r="Q17" s="376"/>
      <c r="R17" s="376"/>
      <c r="S17" s="376">
        <v>3816468.58</v>
      </c>
      <c r="T17" s="376"/>
      <c r="U17" s="376"/>
      <c r="V17" s="376"/>
    </row>
    <row r="18" spans="1:22" outlineLevel="1" x14ac:dyDescent="0.35">
      <c r="A18" s="377" t="s">
        <v>289</v>
      </c>
      <c r="B18" s="378"/>
      <c r="C18" s="378"/>
      <c r="D18" s="378"/>
      <c r="E18" s="378"/>
      <c r="F18" s="378"/>
      <c r="G18" s="378"/>
      <c r="H18" s="378"/>
      <c r="I18" s="378"/>
      <c r="J18" s="378"/>
      <c r="K18" s="378"/>
      <c r="L18" s="378"/>
      <c r="M18" s="378"/>
      <c r="N18" s="378">
        <f t="shared" si="4"/>
        <v>0</v>
      </c>
      <c r="O18" s="671"/>
      <c r="P18" s="671"/>
      <c r="Q18" s="378"/>
      <c r="R18" s="397"/>
      <c r="S18" s="378">
        <v>1233644.8415570292</v>
      </c>
      <c r="T18" s="397"/>
      <c r="U18" s="378"/>
      <c r="V18" s="378"/>
    </row>
    <row r="19" spans="1:22" outlineLevel="1" x14ac:dyDescent="0.35">
      <c r="A19" s="377" t="s">
        <v>146</v>
      </c>
      <c r="B19" s="378"/>
      <c r="C19" s="378"/>
      <c r="D19" s="378"/>
      <c r="E19" s="378"/>
      <c r="F19" s="378"/>
      <c r="G19" s="378"/>
      <c r="H19" s="378"/>
      <c r="I19" s="378"/>
      <c r="J19" s="378"/>
      <c r="K19" s="378"/>
      <c r="L19" s="378"/>
      <c r="M19" s="378"/>
      <c r="N19" s="378">
        <f t="shared" si="4"/>
        <v>0</v>
      </c>
      <c r="O19" s="670"/>
      <c r="P19" s="670"/>
      <c r="Q19" s="378"/>
      <c r="R19" s="397"/>
      <c r="S19" s="378">
        <v>24883.119155685737</v>
      </c>
      <c r="T19" s="397"/>
      <c r="U19" s="378"/>
      <c r="V19" s="378"/>
    </row>
    <row r="20" spans="1:22" outlineLevel="1" x14ac:dyDescent="0.35">
      <c r="A20" s="377" t="s">
        <v>147</v>
      </c>
      <c r="B20" s="378"/>
      <c r="C20" s="378"/>
      <c r="D20" s="378"/>
      <c r="E20" s="378"/>
      <c r="F20" s="378"/>
      <c r="G20" s="378"/>
      <c r="H20" s="378"/>
      <c r="I20" s="378"/>
      <c r="J20" s="378"/>
      <c r="K20" s="378"/>
      <c r="L20" s="378"/>
      <c r="M20" s="378"/>
      <c r="N20" s="378">
        <f t="shared" si="4"/>
        <v>0</v>
      </c>
      <c r="O20" s="670"/>
      <c r="P20" s="670"/>
      <c r="Q20" s="378"/>
      <c r="R20" s="397"/>
      <c r="S20" s="378">
        <v>13156.289850198968</v>
      </c>
      <c r="T20" s="397"/>
      <c r="U20" s="378"/>
      <c r="V20" s="378"/>
    </row>
    <row r="21" spans="1:22" outlineLevel="1" x14ac:dyDescent="0.35">
      <c r="A21" s="377" t="s">
        <v>399</v>
      </c>
      <c r="B21" s="378"/>
      <c r="C21" s="378"/>
      <c r="D21" s="378"/>
      <c r="E21" s="378"/>
      <c r="F21" s="378"/>
      <c r="G21" s="378"/>
      <c r="H21" s="378"/>
      <c r="I21" s="378"/>
      <c r="J21" s="378"/>
      <c r="K21" s="378"/>
      <c r="L21" s="378"/>
      <c r="M21" s="378"/>
      <c r="N21" s="378">
        <f t="shared" si="4"/>
        <v>0</v>
      </c>
      <c r="O21" s="670"/>
      <c r="P21" s="670"/>
      <c r="Q21" s="378"/>
      <c r="R21" s="397"/>
      <c r="S21" s="378">
        <v>71009.274598393589</v>
      </c>
      <c r="T21" s="397"/>
      <c r="U21" s="378"/>
      <c r="V21" s="378"/>
    </row>
    <row r="22" spans="1:22" outlineLevel="1" x14ac:dyDescent="0.35">
      <c r="A22" s="377" t="s">
        <v>400</v>
      </c>
      <c r="B22" s="378"/>
      <c r="C22" s="378"/>
      <c r="D22" s="378"/>
      <c r="E22" s="378"/>
      <c r="F22" s="378"/>
      <c r="G22" s="378"/>
      <c r="H22" s="378"/>
      <c r="I22" s="378"/>
      <c r="J22" s="378"/>
      <c r="K22" s="378"/>
      <c r="L22" s="378"/>
      <c r="M22" s="378"/>
      <c r="N22" s="378">
        <f t="shared" si="4"/>
        <v>0</v>
      </c>
      <c r="O22" s="670"/>
      <c r="P22" s="670"/>
      <c r="Q22" s="378"/>
      <c r="R22" s="397"/>
      <c r="S22" s="378">
        <v>4125.2538210395542</v>
      </c>
      <c r="T22" s="397"/>
      <c r="U22" s="378"/>
      <c r="V22" s="378"/>
    </row>
    <row r="23" spans="1:22" s="206" customFormat="1" outlineLevel="1" x14ac:dyDescent="0.35">
      <c r="A23" s="374" t="s">
        <v>401</v>
      </c>
      <c r="B23" s="379">
        <f>SUM(B18:B22)</f>
        <v>0</v>
      </c>
      <c r="C23" s="379">
        <f t="shared" ref="C23:N23" si="5">SUM(C18:C22)</f>
        <v>0</v>
      </c>
      <c r="D23" s="379">
        <f>SUM(D18:D22)</f>
        <v>0</v>
      </c>
      <c r="E23" s="379">
        <f t="shared" si="5"/>
        <v>0</v>
      </c>
      <c r="F23" s="379">
        <f t="shared" si="5"/>
        <v>0</v>
      </c>
      <c r="G23" s="379">
        <f t="shared" si="5"/>
        <v>0</v>
      </c>
      <c r="H23" s="379">
        <f t="shared" si="5"/>
        <v>0</v>
      </c>
      <c r="I23" s="379">
        <f t="shared" si="5"/>
        <v>0</v>
      </c>
      <c r="J23" s="379">
        <f t="shared" si="5"/>
        <v>0</v>
      </c>
      <c r="K23" s="379">
        <f t="shared" si="5"/>
        <v>0</v>
      </c>
      <c r="L23" s="379">
        <f t="shared" si="5"/>
        <v>0</v>
      </c>
      <c r="M23" s="379">
        <f t="shared" si="5"/>
        <v>0</v>
      </c>
      <c r="N23" s="379">
        <f t="shared" si="5"/>
        <v>0</v>
      </c>
      <c r="Q23" s="379"/>
      <c r="R23" s="398"/>
      <c r="S23" s="379">
        <v>1346818.7789823469</v>
      </c>
      <c r="T23" s="398"/>
      <c r="U23" s="379"/>
      <c r="V23" s="379"/>
    </row>
    <row r="24" spans="1:22" s="206" customFormat="1" outlineLevel="1" x14ac:dyDescent="0.35">
      <c r="A24" s="374" t="s">
        <v>325</v>
      </c>
      <c r="B24" s="379">
        <f>B17-B23</f>
        <v>0</v>
      </c>
      <c r="C24" s="379">
        <f t="shared" ref="C24:M24" si="6">C17-C23</f>
        <v>0</v>
      </c>
      <c r="D24" s="379">
        <f t="shared" si="6"/>
        <v>0</v>
      </c>
      <c r="E24" s="379">
        <f t="shared" si="6"/>
        <v>0</v>
      </c>
      <c r="F24" s="379">
        <f t="shared" si="6"/>
        <v>0</v>
      </c>
      <c r="G24" s="379">
        <f t="shared" si="6"/>
        <v>0</v>
      </c>
      <c r="H24" s="379">
        <f t="shared" si="6"/>
        <v>0</v>
      </c>
      <c r="I24" s="379">
        <f t="shared" si="6"/>
        <v>0</v>
      </c>
      <c r="J24" s="379">
        <f t="shared" si="6"/>
        <v>0</v>
      </c>
      <c r="K24" s="379">
        <f t="shared" si="6"/>
        <v>0</v>
      </c>
      <c r="L24" s="379">
        <f t="shared" si="6"/>
        <v>0</v>
      </c>
      <c r="M24" s="379">
        <f t="shared" si="6"/>
        <v>0</v>
      </c>
      <c r="N24" s="379">
        <f t="shared" si="4"/>
        <v>0</v>
      </c>
      <c r="Q24" s="379"/>
      <c r="R24" s="398"/>
      <c r="S24" s="379">
        <v>2469649.8010176527</v>
      </c>
      <c r="T24" s="398"/>
      <c r="U24" s="379"/>
      <c r="V24" s="379"/>
    </row>
    <row r="25" spans="1:22" s="214" customFormat="1" outlineLevel="1" x14ac:dyDescent="0.35">
      <c r="A25" s="383" t="s">
        <v>402</v>
      </c>
      <c r="B25" s="381" t="e">
        <f>B24/B17</f>
        <v>#DIV/0!</v>
      </c>
      <c r="C25" s="381" t="e">
        <f t="shared" ref="C25:N25" si="7">C24/C17</f>
        <v>#DIV/0!</v>
      </c>
      <c r="D25" s="381" t="e">
        <f t="shared" si="7"/>
        <v>#DIV/0!</v>
      </c>
      <c r="E25" s="381" t="e">
        <f t="shared" si="7"/>
        <v>#DIV/0!</v>
      </c>
      <c r="F25" s="381" t="e">
        <f t="shared" si="7"/>
        <v>#DIV/0!</v>
      </c>
      <c r="G25" s="381" t="e">
        <f t="shared" si="7"/>
        <v>#DIV/0!</v>
      </c>
      <c r="H25" s="381" t="e">
        <f t="shared" si="7"/>
        <v>#DIV/0!</v>
      </c>
      <c r="I25" s="381" t="e">
        <f t="shared" si="7"/>
        <v>#DIV/0!</v>
      </c>
      <c r="J25" s="381" t="e">
        <f t="shared" si="7"/>
        <v>#DIV/0!</v>
      </c>
      <c r="K25" s="381" t="e">
        <f t="shared" si="7"/>
        <v>#DIV/0!</v>
      </c>
      <c r="L25" s="381" t="e">
        <f t="shared" si="7"/>
        <v>#DIV/0!</v>
      </c>
      <c r="M25" s="381" t="e">
        <f t="shared" si="7"/>
        <v>#DIV/0!</v>
      </c>
      <c r="N25" s="381" t="e">
        <f t="shared" si="7"/>
        <v>#DIV/0!</v>
      </c>
      <c r="Q25" s="381"/>
      <c r="R25" s="400"/>
      <c r="S25" s="381">
        <v>0.6471034018096522</v>
      </c>
      <c r="T25" s="400"/>
      <c r="U25" s="381"/>
      <c r="V25" s="381"/>
    </row>
    <row r="26" spans="1:22" s="214" customFormat="1" outlineLevel="1" x14ac:dyDescent="0.35">
      <c r="A26" s="383"/>
      <c r="B26" s="381"/>
      <c r="C26" s="381"/>
      <c r="D26" s="381"/>
      <c r="E26" s="381"/>
      <c r="F26" s="381"/>
      <c r="G26" s="381"/>
      <c r="H26" s="381"/>
      <c r="I26" s="381"/>
      <c r="J26" s="381"/>
      <c r="K26" s="381"/>
      <c r="L26" s="381"/>
      <c r="M26" s="381"/>
      <c r="N26" s="381"/>
      <c r="Q26" s="381"/>
      <c r="R26" s="400"/>
      <c r="S26" s="381"/>
      <c r="T26" s="400"/>
      <c r="U26" s="381"/>
      <c r="V26" s="381"/>
    </row>
    <row r="27" spans="1:22" s="214" customFormat="1" outlineLevel="1" x14ac:dyDescent="0.35">
      <c r="A27" s="374" t="s">
        <v>405</v>
      </c>
      <c r="B27" s="380"/>
      <c r="C27" s="380"/>
      <c r="D27" s="380"/>
      <c r="E27" s="380"/>
      <c r="F27" s="380"/>
      <c r="G27" s="380"/>
      <c r="H27" s="380"/>
      <c r="I27" s="380"/>
      <c r="J27" s="380"/>
      <c r="K27" s="380"/>
      <c r="L27" s="380"/>
      <c r="M27" s="380"/>
      <c r="N27" s="380"/>
      <c r="Q27" s="381"/>
      <c r="R27" s="400"/>
      <c r="S27" s="381"/>
      <c r="T27" s="400"/>
      <c r="U27" s="381"/>
      <c r="V27" s="381"/>
    </row>
    <row r="28" spans="1:22" s="214" customFormat="1" outlineLevel="1" x14ac:dyDescent="0.35">
      <c r="A28" s="374" t="s">
        <v>398</v>
      </c>
      <c r="B28" s="376"/>
      <c r="C28" s="376"/>
      <c r="D28" s="376"/>
      <c r="E28" s="376"/>
      <c r="F28" s="376"/>
      <c r="G28" s="376"/>
      <c r="H28" s="376"/>
      <c r="I28" s="376"/>
      <c r="J28" s="376"/>
      <c r="K28" s="376"/>
      <c r="L28" s="376"/>
      <c r="M28" s="376"/>
      <c r="N28" s="376">
        <f t="shared" ref="N28:N35" si="8">SUM(B28:M28)</f>
        <v>0</v>
      </c>
      <c r="Q28" s="381"/>
      <c r="R28" s="400"/>
      <c r="S28" s="381"/>
      <c r="T28" s="400"/>
      <c r="U28" s="381"/>
      <c r="V28" s="381"/>
    </row>
    <row r="29" spans="1:22" s="214" customFormat="1" outlineLevel="1" x14ac:dyDescent="0.35">
      <c r="A29" s="377" t="s">
        <v>289</v>
      </c>
      <c r="B29" s="433"/>
      <c r="C29" s="433"/>
      <c r="D29" s="433"/>
      <c r="E29" s="433"/>
      <c r="F29" s="433"/>
      <c r="G29" s="433"/>
      <c r="H29" s="433"/>
      <c r="I29" s="433"/>
      <c r="J29" s="433"/>
      <c r="K29" s="433"/>
      <c r="L29" s="433"/>
      <c r="M29" s="433"/>
      <c r="N29" s="433">
        <f t="shared" si="8"/>
        <v>0</v>
      </c>
      <c r="Q29" s="381"/>
      <c r="R29" s="400"/>
      <c r="S29" s="381"/>
      <c r="T29" s="400"/>
      <c r="U29" s="381"/>
      <c r="V29" s="381"/>
    </row>
    <row r="30" spans="1:22" s="214" customFormat="1" outlineLevel="1" x14ac:dyDescent="0.35">
      <c r="A30" s="377" t="s">
        <v>146</v>
      </c>
      <c r="B30" s="378">
        <v>75</v>
      </c>
      <c r="C30" s="378">
        <v>75</v>
      </c>
      <c r="D30" s="378">
        <v>75</v>
      </c>
      <c r="E30" s="378">
        <v>75</v>
      </c>
      <c r="F30" s="378">
        <v>75</v>
      </c>
      <c r="G30" s="378">
        <v>75</v>
      </c>
      <c r="H30" s="378">
        <v>75</v>
      </c>
      <c r="I30" s="378">
        <v>75</v>
      </c>
      <c r="J30" s="378">
        <v>75</v>
      </c>
      <c r="K30" s="378">
        <v>75</v>
      </c>
      <c r="L30" s="378">
        <v>75</v>
      </c>
      <c r="M30" s="378">
        <v>75</v>
      </c>
      <c r="N30" s="378">
        <f t="shared" si="8"/>
        <v>900</v>
      </c>
      <c r="O30" s="678" t="s">
        <v>428</v>
      </c>
      <c r="P30" s="423"/>
      <c r="Q30" s="424"/>
      <c r="R30" s="425"/>
      <c r="S30" s="381"/>
      <c r="T30" s="400"/>
      <c r="U30" s="381"/>
      <c r="V30" s="381"/>
    </row>
    <row r="31" spans="1:22" s="214" customFormat="1" outlineLevel="1" x14ac:dyDescent="0.35">
      <c r="A31" s="377" t="s">
        <v>406</v>
      </c>
      <c r="B31" s="378">
        <v>300</v>
      </c>
      <c r="C31" s="378">
        <v>300</v>
      </c>
      <c r="D31" s="378">
        <v>300</v>
      </c>
      <c r="E31" s="378">
        <v>300</v>
      </c>
      <c r="F31" s="378">
        <v>300</v>
      </c>
      <c r="G31" s="378">
        <v>300</v>
      </c>
      <c r="H31" s="378">
        <v>300</v>
      </c>
      <c r="I31" s="378">
        <v>300</v>
      </c>
      <c r="J31" s="378">
        <v>300</v>
      </c>
      <c r="K31" s="378">
        <v>300</v>
      </c>
      <c r="L31" s="378">
        <v>300</v>
      </c>
      <c r="M31" s="378">
        <v>300</v>
      </c>
      <c r="N31" s="378">
        <f t="shared" si="8"/>
        <v>3600</v>
      </c>
      <c r="O31" s="678" t="s">
        <v>429</v>
      </c>
      <c r="P31" s="423"/>
      <c r="Q31" s="424"/>
      <c r="R31" s="425"/>
      <c r="S31" s="381"/>
      <c r="T31" s="400"/>
      <c r="U31" s="381"/>
      <c r="V31" s="381"/>
    </row>
    <row r="32" spans="1:22" s="214" customFormat="1" outlineLevel="1" x14ac:dyDescent="0.35">
      <c r="A32" s="377" t="s">
        <v>399</v>
      </c>
      <c r="B32" s="378"/>
      <c r="C32" s="378"/>
      <c r="D32" s="378"/>
      <c r="E32" s="378"/>
      <c r="F32" s="378"/>
      <c r="G32" s="378"/>
      <c r="H32" s="378"/>
      <c r="I32" s="378"/>
      <c r="J32" s="378"/>
      <c r="K32" s="378"/>
      <c r="L32" s="378"/>
      <c r="M32" s="378"/>
      <c r="N32" s="378">
        <f t="shared" si="8"/>
        <v>0</v>
      </c>
      <c r="O32" s="672"/>
      <c r="Q32" s="381"/>
      <c r="R32" s="400"/>
      <c r="S32" s="381"/>
      <c r="T32" s="400"/>
      <c r="U32" s="381"/>
      <c r="V32" s="381"/>
    </row>
    <row r="33" spans="1:26" s="214" customFormat="1" outlineLevel="1" x14ac:dyDescent="0.35">
      <c r="A33" s="377" t="s">
        <v>400</v>
      </c>
      <c r="B33" s="440">
        <f>6500+1500+500+(75000/84)</f>
        <v>9392.8571428571431</v>
      </c>
      <c r="C33" s="440">
        <f t="shared" ref="C33:M33" si="9">6500+1500+500+(75000/84)</f>
        <v>9392.8571428571431</v>
      </c>
      <c r="D33" s="440">
        <f t="shared" si="9"/>
        <v>9392.8571428571431</v>
      </c>
      <c r="E33" s="440">
        <f t="shared" si="9"/>
        <v>9392.8571428571431</v>
      </c>
      <c r="F33" s="440">
        <f t="shared" si="9"/>
        <v>9392.8571428571431</v>
      </c>
      <c r="G33" s="440">
        <f t="shared" si="9"/>
        <v>9392.8571428571431</v>
      </c>
      <c r="H33" s="440">
        <f t="shared" si="9"/>
        <v>9392.8571428571431</v>
      </c>
      <c r="I33" s="440">
        <f t="shared" si="9"/>
        <v>9392.8571428571431</v>
      </c>
      <c r="J33" s="440">
        <f t="shared" si="9"/>
        <v>9392.8571428571431</v>
      </c>
      <c r="K33" s="440">
        <f t="shared" si="9"/>
        <v>9392.8571428571431</v>
      </c>
      <c r="L33" s="440">
        <f t="shared" si="9"/>
        <v>9392.8571428571431</v>
      </c>
      <c r="M33" s="440">
        <f t="shared" si="9"/>
        <v>9392.8571428571431</v>
      </c>
      <c r="N33" s="378">
        <f t="shared" si="8"/>
        <v>112714.28571428572</v>
      </c>
      <c r="O33" s="672" t="s">
        <v>430</v>
      </c>
      <c r="Q33" s="381"/>
      <c r="R33" s="400"/>
      <c r="S33" s="381"/>
      <c r="T33" s="400"/>
      <c r="U33" s="381"/>
      <c r="V33" s="381"/>
    </row>
    <row r="34" spans="1:26" s="214" customFormat="1" outlineLevel="1" x14ac:dyDescent="0.35">
      <c r="A34" s="374" t="s">
        <v>401</v>
      </c>
      <c r="B34" s="379">
        <f>SUM(B29:B33)</f>
        <v>9767.8571428571431</v>
      </c>
      <c r="C34" s="379">
        <f t="shared" ref="C34:N34" si="10">SUM(C29:C33)</f>
        <v>9767.8571428571431</v>
      </c>
      <c r="D34" s="379">
        <f t="shared" si="10"/>
        <v>9767.8571428571431</v>
      </c>
      <c r="E34" s="379">
        <f t="shared" si="10"/>
        <v>9767.8571428571431</v>
      </c>
      <c r="F34" s="379">
        <f t="shared" si="10"/>
        <v>9767.8571428571431</v>
      </c>
      <c r="G34" s="379">
        <f t="shared" si="10"/>
        <v>9767.8571428571431</v>
      </c>
      <c r="H34" s="379">
        <f t="shared" si="10"/>
        <v>9767.8571428571431</v>
      </c>
      <c r="I34" s="379">
        <f t="shared" si="10"/>
        <v>9767.8571428571431</v>
      </c>
      <c r="J34" s="379">
        <f t="shared" si="10"/>
        <v>9767.8571428571431</v>
      </c>
      <c r="K34" s="379">
        <f t="shared" si="10"/>
        <v>9767.8571428571431</v>
      </c>
      <c r="L34" s="379">
        <f t="shared" si="10"/>
        <v>9767.8571428571431</v>
      </c>
      <c r="M34" s="379">
        <f t="shared" si="10"/>
        <v>9767.8571428571431</v>
      </c>
      <c r="N34" s="379">
        <f t="shared" si="10"/>
        <v>117214.28571428572</v>
      </c>
      <c r="Q34" s="381"/>
      <c r="R34" s="400"/>
      <c r="S34" s="381"/>
      <c r="T34" s="400"/>
      <c r="U34" s="381"/>
      <c r="V34" s="381"/>
    </row>
    <row r="35" spans="1:26" s="206" customFormat="1" outlineLevel="1" x14ac:dyDescent="0.35">
      <c r="A35" s="374" t="s">
        <v>325</v>
      </c>
      <c r="B35" s="379">
        <f>B28-B34</f>
        <v>-9767.8571428571431</v>
      </c>
      <c r="C35" s="379">
        <f t="shared" ref="C35:M35" si="11">C28-C34</f>
        <v>-9767.8571428571431</v>
      </c>
      <c r="D35" s="379">
        <f t="shared" si="11"/>
        <v>-9767.8571428571431</v>
      </c>
      <c r="E35" s="379">
        <f t="shared" si="11"/>
        <v>-9767.8571428571431</v>
      </c>
      <c r="F35" s="379">
        <f t="shared" si="11"/>
        <v>-9767.8571428571431</v>
      </c>
      <c r="G35" s="379">
        <f t="shared" si="11"/>
        <v>-9767.8571428571431</v>
      </c>
      <c r="H35" s="379">
        <f t="shared" si="11"/>
        <v>-9767.8571428571431</v>
      </c>
      <c r="I35" s="379">
        <f t="shared" si="11"/>
        <v>-9767.8571428571431</v>
      </c>
      <c r="J35" s="379">
        <f t="shared" si="11"/>
        <v>-9767.8571428571431</v>
      </c>
      <c r="K35" s="379">
        <f t="shared" si="11"/>
        <v>-9767.8571428571431</v>
      </c>
      <c r="L35" s="379">
        <f t="shared" si="11"/>
        <v>-9767.8571428571431</v>
      </c>
      <c r="M35" s="379">
        <f t="shared" si="11"/>
        <v>-9767.8571428571431</v>
      </c>
      <c r="N35" s="379">
        <f t="shared" si="8"/>
        <v>-117214.28571428572</v>
      </c>
      <c r="Q35" s="380"/>
      <c r="R35" s="399"/>
      <c r="S35" s="380"/>
      <c r="T35" s="399"/>
      <c r="U35" s="380"/>
      <c r="V35" s="380"/>
    </row>
    <row r="36" spans="1:26" s="206" customFormat="1" outlineLevel="1" x14ac:dyDescent="0.35">
      <c r="A36" s="383" t="s">
        <v>402</v>
      </c>
      <c r="B36" s="381" t="e">
        <f>B35/B28</f>
        <v>#DIV/0!</v>
      </c>
      <c r="C36" s="381" t="e">
        <f t="shared" ref="C36:N36" si="12">C35/C28</f>
        <v>#DIV/0!</v>
      </c>
      <c r="D36" s="381" t="e">
        <f t="shared" si="12"/>
        <v>#DIV/0!</v>
      </c>
      <c r="E36" s="381" t="e">
        <f t="shared" si="12"/>
        <v>#DIV/0!</v>
      </c>
      <c r="F36" s="381" t="e">
        <f t="shared" si="12"/>
        <v>#DIV/0!</v>
      </c>
      <c r="G36" s="381" t="e">
        <f t="shared" si="12"/>
        <v>#DIV/0!</v>
      </c>
      <c r="H36" s="381" t="e">
        <f t="shared" si="12"/>
        <v>#DIV/0!</v>
      </c>
      <c r="I36" s="381" t="e">
        <f t="shared" si="12"/>
        <v>#DIV/0!</v>
      </c>
      <c r="J36" s="381" t="e">
        <f t="shared" si="12"/>
        <v>#DIV/0!</v>
      </c>
      <c r="K36" s="381" t="e">
        <f t="shared" si="12"/>
        <v>#DIV/0!</v>
      </c>
      <c r="L36" s="381" t="e">
        <f t="shared" si="12"/>
        <v>#DIV/0!</v>
      </c>
      <c r="M36" s="381" t="e">
        <f t="shared" si="12"/>
        <v>#DIV/0!</v>
      </c>
      <c r="N36" s="381" t="e">
        <f t="shared" si="12"/>
        <v>#DIV/0!</v>
      </c>
      <c r="Q36" s="380"/>
      <c r="R36" s="399"/>
      <c r="S36" s="380"/>
      <c r="T36" s="399"/>
      <c r="U36" s="380"/>
      <c r="V36" s="380"/>
    </row>
    <row r="37" spans="1:26" s="206" customFormat="1" outlineLevel="1" x14ac:dyDescent="0.35">
      <c r="A37" s="383"/>
      <c r="B37" s="381"/>
      <c r="C37" s="381"/>
      <c r="D37" s="381"/>
      <c r="E37" s="381"/>
      <c r="F37" s="381"/>
      <c r="G37" s="381"/>
      <c r="H37" s="381"/>
      <c r="I37" s="381"/>
      <c r="J37" s="381"/>
      <c r="K37" s="381"/>
      <c r="L37" s="381"/>
      <c r="M37" s="381"/>
      <c r="N37" s="381"/>
      <c r="Q37" s="380"/>
      <c r="R37" s="399"/>
      <c r="S37" s="380"/>
      <c r="T37" s="399"/>
      <c r="U37" s="380"/>
      <c r="V37" s="380"/>
    </row>
    <row r="38" spans="1:26" s="201" customFormat="1" x14ac:dyDescent="0.35">
      <c r="A38" s="416" t="s">
        <v>398</v>
      </c>
      <c r="B38" s="417">
        <f t="shared" ref="B38:M38" si="13">B17+B6</f>
        <v>225414.12</v>
      </c>
      <c r="C38" s="417">
        <f t="shared" si="13"/>
        <v>238765.5</v>
      </c>
      <c r="D38" s="417">
        <f t="shared" si="13"/>
        <v>239597.86</v>
      </c>
      <c r="E38" s="417">
        <f t="shared" si="13"/>
        <v>203603.86</v>
      </c>
      <c r="F38" s="417">
        <f t="shared" si="13"/>
        <v>199015.5</v>
      </c>
      <c r="G38" s="417">
        <f t="shared" si="13"/>
        <v>198603.86</v>
      </c>
      <c r="H38" s="417">
        <f t="shared" si="13"/>
        <v>198603.86</v>
      </c>
      <c r="I38" s="417">
        <f t="shared" si="13"/>
        <v>196937.7</v>
      </c>
      <c r="J38" s="417">
        <f t="shared" si="13"/>
        <v>196937.7</v>
      </c>
      <c r="K38" s="417">
        <f t="shared" si="13"/>
        <v>198603.86</v>
      </c>
      <c r="L38" s="417">
        <f t="shared" si="13"/>
        <v>195569.5</v>
      </c>
      <c r="M38" s="417">
        <f t="shared" si="13"/>
        <v>198603.86</v>
      </c>
      <c r="N38" s="417">
        <f t="shared" ref="N38:N45" si="14">SUM(B38:M38)</f>
        <v>2490257.1799999992</v>
      </c>
      <c r="O38" s="213"/>
      <c r="P38" s="213"/>
      <c r="Q38" s="376">
        <f>'3. P&amp;L Summary Actual'!N28</f>
        <v>2116756.58</v>
      </c>
      <c r="R38" s="376"/>
      <c r="S38" s="376">
        <v>5002886.1007460011</v>
      </c>
      <c r="T38" s="376"/>
      <c r="U38" s="376"/>
      <c r="V38" s="376"/>
    </row>
    <row r="39" spans="1:26" x14ac:dyDescent="0.35">
      <c r="A39" s="418" t="s">
        <v>289</v>
      </c>
      <c r="B39" s="419">
        <f>B18+B7+B29</f>
        <v>114258.65523809525</v>
      </c>
      <c r="C39" s="419">
        <f t="shared" ref="C39:M39" si="15">C18+C7+C29</f>
        <v>116044.36952380954</v>
      </c>
      <c r="D39" s="419">
        <f t="shared" si="15"/>
        <v>112939.65880952381</v>
      </c>
      <c r="E39" s="419">
        <f t="shared" si="15"/>
        <v>111332.51595238096</v>
      </c>
      <c r="F39" s="419">
        <f t="shared" si="15"/>
        <v>113568.71952380954</v>
      </c>
      <c r="G39" s="419">
        <f t="shared" si="15"/>
        <v>113568.71952380954</v>
      </c>
      <c r="H39" s="419">
        <f t="shared" si="15"/>
        <v>115293.55880952382</v>
      </c>
      <c r="I39" s="419">
        <f t="shared" si="15"/>
        <v>124952.65880952383</v>
      </c>
      <c r="J39" s="419">
        <f t="shared" si="15"/>
        <v>126677.49809523812</v>
      </c>
      <c r="K39" s="419">
        <f t="shared" si="15"/>
        <v>128402.33738095241</v>
      </c>
      <c r="L39" s="419">
        <f t="shared" si="15"/>
        <v>130127.17666666668</v>
      </c>
      <c r="M39" s="419">
        <f t="shared" si="15"/>
        <v>131852.01595238099</v>
      </c>
      <c r="N39" s="419">
        <f t="shared" si="14"/>
        <v>1439017.8842857145</v>
      </c>
      <c r="O39" s="385">
        <f>N39/$N$38</f>
        <v>0.57785914476741507</v>
      </c>
      <c r="P39" s="385"/>
      <c r="Q39" s="378">
        <f>'3. P&amp;L Summary Actual'!N29</f>
        <v>836770.97867469885</v>
      </c>
      <c r="R39" s="401">
        <f>Q39/$Q$38</f>
        <v>0.39530807962562176</v>
      </c>
      <c r="S39" s="378">
        <v>1758103.5668774263</v>
      </c>
      <c r="T39" s="401">
        <f>S39/$S$38</f>
        <v>0.35141786790134361</v>
      </c>
      <c r="U39" s="378"/>
      <c r="V39" s="378"/>
      <c r="W39" s="670"/>
      <c r="X39" s="670"/>
      <c r="Y39" s="670"/>
      <c r="Z39" s="670"/>
    </row>
    <row r="40" spans="1:26" x14ac:dyDescent="0.35">
      <c r="A40" s="418" t="s">
        <v>146</v>
      </c>
      <c r="B40" s="419">
        <f t="shared" ref="B40:M43" si="16">B19+B8+B30</f>
        <v>11487.238095238095</v>
      </c>
      <c r="C40" s="419">
        <f t="shared" si="16"/>
        <v>11487.238095238095</v>
      </c>
      <c r="D40" s="419">
        <f t="shared" si="16"/>
        <v>11401.523809523809</v>
      </c>
      <c r="E40" s="419">
        <f t="shared" si="16"/>
        <v>11416.404761904761</v>
      </c>
      <c r="F40" s="419">
        <f t="shared" si="16"/>
        <v>11483.071428571429</v>
      </c>
      <c r="G40" s="419">
        <f t="shared" si="16"/>
        <v>11483.071428571429</v>
      </c>
      <c r="H40" s="419">
        <f t="shared" si="16"/>
        <v>11530.690476190477</v>
      </c>
      <c r="I40" s="419">
        <f t="shared" si="16"/>
        <v>11797.357142857143</v>
      </c>
      <c r="J40" s="419">
        <f t="shared" si="16"/>
        <v>11844.976190476191</v>
      </c>
      <c r="K40" s="419">
        <f t="shared" si="16"/>
        <v>12155.707142857143</v>
      </c>
      <c r="L40" s="419">
        <f t="shared" si="16"/>
        <v>12203.326190476191</v>
      </c>
      <c r="M40" s="419">
        <f t="shared" si="16"/>
        <v>12250.945238095239</v>
      </c>
      <c r="N40" s="419">
        <f t="shared" si="14"/>
        <v>140541.54999999999</v>
      </c>
      <c r="O40" s="385">
        <f t="shared" ref="O40:O43" si="17">N40/$N$38</f>
        <v>5.6436560500148836E-2</v>
      </c>
      <c r="P40" s="385"/>
      <c r="Q40" s="378">
        <f>'3. P&amp;L Summary Actual'!N30</f>
        <v>109080.05204819277</v>
      </c>
      <c r="R40" s="401">
        <f t="shared" ref="R40:R43" si="18">Q40/$Q$38</f>
        <v>5.153169385598072E-2</v>
      </c>
      <c r="S40" s="378">
        <v>126494.10481833633</v>
      </c>
      <c r="T40" s="401">
        <f t="shared" ref="T40:T43" si="19">S40/$S$38</f>
        <v>2.5284226398732977E-2</v>
      </c>
      <c r="U40" s="378"/>
      <c r="V40" s="378"/>
      <c r="W40" s="670"/>
      <c r="X40" s="670"/>
      <c r="Y40" s="670"/>
      <c r="Z40" s="670" t="s">
        <v>407</v>
      </c>
    </row>
    <row r="41" spans="1:26" x14ac:dyDescent="0.35">
      <c r="A41" s="418" t="s">
        <v>147</v>
      </c>
      <c r="B41" s="419">
        <f t="shared" si="16"/>
        <v>1995.9404761904761</v>
      </c>
      <c r="C41" s="419">
        <f t="shared" si="16"/>
        <v>1995.9404761904761</v>
      </c>
      <c r="D41" s="419">
        <f t="shared" si="16"/>
        <v>2050.583333333333</v>
      </c>
      <c r="E41" s="419">
        <f t="shared" si="16"/>
        <v>2038.3214285714287</v>
      </c>
      <c r="F41" s="419">
        <f t="shared" si="16"/>
        <v>2054.9880952380954</v>
      </c>
      <c r="G41" s="419">
        <f t="shared" si="16"/>
        <v>2148.8095238095239</v>
      </c>
      <c r="H41" s="419">
        <f t="shared" si="16"/>
        <v>2066.8928571428569</v>
      </c>
      <c r="I41" s="419">
        <f t="shared" si="16"/>
        <v>2133.5595238095239</v>
      </c>
      <c r="J41" s="419">
        <f t="shared" si="16"/>
        <v>2176.7380952380954</v>
      </c>
      <c r="K41" s="419">
        <f t="shared" si="16"/>
        <v>2157.3690476190477</v>
      </c>
      <c r="L41" s="419">
        <f t="shared" si="16"/>
        <v>2169.2738095238096</v>
      </c>
      <c r="M41" s="419">
        <f t="shared" si="16"/>
        <v>2181.1785714285716</v>
      </c>
      <c r="N41" s="419">
        <f t="shared" si="14"/>
        <v>25169.595238095237</v>
      </c>
      <c r="O41" s="385">
        <f t="shared" si="17"/>
        <v>1.010722725357035E-2</v>
      </c>
      <c r="P41" s="385"/>
      <c r="Q41" s="378">
        <f>'3. P&amp;L Summary Actual'!N31</f>
        <v>38074.979397590367</v>
      </c>
      <c r="R41" s="401">
        <f t="shared" si="18"/>
        <v>1.7987415160221381E-2</v>
      </c>
      <c r="S41" s="378">
        <v>36797.56415114375</v>
      </c>
      <c r="T41" s="401">
        <f t="shared" si="19"/>
        <v>7.3552672217855834E-3</v>
      </c>
      <c r="U41" s="378"/>
      <c r="V41" s="378"/>
      <c r="W41" s="670"/>
      <c r="X41" s="670"/>
      <c r="Y41" s="670"/>
      <c r="Z41" s="670"/>
    </row>
    <row r="42" spans="1:26" x14ac:dyDescent="0.35">
      <c r="A42" s="418" t="s">
        <v>399</v>
      </c>
      <c r="B42" s="419">
        <f t="shared" si="16"/>
        <v>3273.8095238095239</v>
      </c>
      <c r="C42" s="419">
        <f t="shared" si="16"/>
        <v>3273.8095238095239</v>
      </c>
      <c r="D42" s="419">
        <f t="shared" si="16"/>
        <v>3273.8095238095239</v>
      </c>
      <c r="E42" s="419">
        <f t="shared" si="16"/>
        <v>3273.8095238095239</v>
      </c>
      <c r="F42" s="419">
        <f t="shared" si="16"/>
        <v>3273.8095238095239</v>
      </c>
      <c r="G42" s="419">
        <f t="shared" si="16"/>
        <v>3273.8095238095239</v>
      </c>
      <c r="H42" s="419">
        <f t="shared" si="16"/>
        <v>3273.8095238095239</v>
      </c>
      <c r="I42" s="419">
        <f t="shared" si="16"/>
        <v>3273.8095238095239</v>
      </c>
      <c r="J42" s="419">
        <f t="shared" si="16"/>
        <v>3273.8095238095239</v>
      </c>
      <c r="K42" s="419">
        <f t="shared" si="16"/>
        <v>3273.8095238095239</v>
      </c>
      <c r="L42" s="419">
        <f t="shared" si="16"/>
        <v>3273.8095238095239</v>
      </c>
      <c r="M42" s="419">
        <f t="shared" si="16"/>
        <v>3273.8095238095239</v>
      </c>
      <c r="N42" s="419">
        <f t="shared" si="14"/>
        <v>39285.714285714283</v>
      </c>
      <c r="O42" s="385">
        <f t="shared" si="17"/>
        <v>1.5775765893269823E-2</v>
      </c>
      <c r="P42" s="385"/>
      <c r="Q42" s="378">
        <f>'3. P&amp;L Summary Actual'!N32</f>
        <v>29439.337349397592</v>
      </c>
      <c r="R42" s="401">
        <f t="shared" si="18"/>
        <v>1.3907757570026116E-2</v>
      </c>
      <c r="S42" s="378">
        <v>101119.21435742971</v>
      </c>
      <c r="T42" s="401">
        <f t="shared" si="19"/>
        <v>2.021217599624173E-2</v>
      </c>
      <c r="U42" s="378"/>
      <c r="V42" s="378"/>
      <c r="W42" s="670"/>
      <c r="X42" s="670"/>
      <c r="Y42" s="670"/>
      <c r="Z42" s="670"/>
    </row>
    <row r="43" spans="1:26" x14ac:dyDescent="0.35">
      <c r="A43" s="418" t="s">
        <v>400</v>
      </c>
      <c r="B43" s="419">
        <f t="shared" si="16"/>
        <v>12506.523210003426</v>
      </c>
      <c r="C43" s="419">
        <f t="shared" si="16"/>
        <v>12506.523210003426</v>
      </c>
      <c r="D43" s="419">
        <f t="shared" si="16"/>
        <v>12401.568174032203</v>
      </c>
      <c r="E43" s="419">
        <f t="shared" si="16"/>
        <v>12401.568174032203</v>
      </c>
      <c r="F43" s="419">
        <f t="shared" si="16"/>
        <v>12483.199868676487</v>
      </c>
      <c r="G43" s="419">
        <f t="shared" si="16"/>
        <v>13383.199868676487</v>
      </c>
      <c r="H43" s="419">
        <f t="shared" si="16"/>
        <v>12541.508221993834</v>
      </c>
      <c r="I43" s="419">
        <f t="shared" si="16"/>
        <v>12868.035000570972</v>
      </c>
      <c r="J43" s="419">
        <f t="shared" si="16"/>
        <v>12926.343353888318</v>
      </c>
      <c r="K43" s="419">
        <f t="shared" si="16"/>
        <v>12984.651707205663</v>
      </c>
      <c r="L43" s="419">
        <f t="shared" si="16"/>
        <v>13042.96006052301</v>
      </c>
      <c r="M43" s="419">
        <f t="shared" si="16"/>
        <v>13101.268413840357</v>
      </c>
      <c r="N43" s="419">
        <f t="shared" si="14"/>
        <v>153147.34926344638</v>
      </c>
      <c r="O43" s="385">
        <f t="shared" si="17"/>
        <v>6.149860765121714E-2</v>
      </c>
      <c r="P43" s="385"/>
      <c r="Q43" s="378">
        <f>'3. P&amp;L Summary Actual'!N33</f>
        <v>193079.67481927713</v>
      </c>
      <c r="R43" s="401">
        <f t="shared" si="18"/>
        <v>9.1214869316375111E-2</v>
      </c>
      <c r="S43" s="378">
        <v>5874.4780561093294</v>
      </c>
      <c r="T43" s="401">
        <f t="shared" si="19"/>
        <v>1.1742178290313988E-3</v>
      </c>
      <c r="U43" s="378"/>
      <c r="V43" s="378"/>
      <c r="W43" s="670"/>
      <c r="X43" s="670"/>
      <c r="Y43" s="670"/>
      <c r="Z43" s="670"/>
    </row>
    <row r="44" spans="1:26" s="206" customFormat="1" x14ac:dyDescent="0.35">
      <c r="A44" s="416" t="s">
        <v>401</v>
      </c>
      <c r="B44" s="420">
        <f>SUM(B39:B43)</f>
        <v>143522.16654333676</v>
      </c>
      <c r="C44" s="420">
        <f t="shared" ref="C44:N44" si="20">SUM(C39:C43)</f>
        <v>145307.88082905105</v>
      </c>
      <c r="D44" s="420">
        <f t="shared" si="20"/>
        <v>142067.14365022269</v>
      </c>
      <c r="E44" s="420">
        <f t="shared" si="20"/>
        <v>140462.6198406989</v>
      </c>
      <c r="F44" s="420">
        <f t="shared" si="20"/>
        <v>142863.7884401051</v>
      </c>
      <c r="G44" s="420">
        <f t="shared" si="20"/>
        <v>143857.60986867652</v>
      </c>
      <c r="H44" s="420">
        <f t="shared" si="20"/>
        <v>144706.45988866049</v>
      </c>
      <c r="I44" s="420">
        <f t="shared" si="20"/>
        <v>155025.42000057097</v>
      </c>
      <c r="J44" s="420">
        <f t="shared" si="20"/>
        <v>156899.36525865024</v>
      </c>
      <c r="K44" s="420">
        <f t="shared" si="20"/>
        <v>158973.87480244378</v>
      </c>
      <c r="L44" s="420">
        <f t="shared" si="20"/>
        <v>160816.54625099924</v>
      </c>
      <c r="M44" s="420">
        <f t="shared" si="20"/>
        <v>162659.21769955469</v>
      </c>
      <c r="N44" s="420">
        <f t="shared" si="20"/>
        <v>1797162.0930729704</v>
      </c>
      <c r="Q44" s="379">
        <f>'3. P&amp;L Summary Actual'!N34</f>
        <v>1206445.0222891569</v>
      </c>
      <c r="R44" s="398"/>
      <c r="S44" s="379">
        <v>2028388.9282604454</v>
      </c>
      <c r="T44" s="398"/>
      <c r="U44" s="379"/>
      <c r="V44" s="379"/>
    </row>
    <row r="45" spans="1:26" s="206" customFormat="1" x14ac:dyDescent="0.35">
      <c r="A45" s="416" t="s">
        <v>325</v>
      </c>
      <c r="B45" s="420">
        <f t="shared" ref="B45:M45" si="21">B38-B44</f>
        <v>81891.953456663236</v>
      </c>
      <c r="C45" s="420">
        <f t="shared" si="21"/>
        <v>93457.61917094895</v>
      </c>
      <c r="D45" s="420">
        <f t="shared" si="21"/>
        <v>97530.7163497773</v>
      </c>
      <c r="E45" s="420">
        <f t="shared" si="21"/>
        <v>63141.240159301087</v>
      </c>
      <c r="F45" s="420">
        <f t="shared" si="21"/>
        <v>56151.711559894902</v>
      </c>
      <c r="G45" s="420">
        <f t="shared" si="21"/>
        <v>54746.250131323468</v>
      </c>
      <c r="H45" s="420">
        <f t="shared" si="21"/>
        <v>53897.400111339492</v>
      </c>
      <c r="I45" s="420">
        <f t="shared" si="21"/>
        <v>41912.27999942904</v>
      </c>
      <c r="J45" s="420">
        <f t="shared" si="21"/>
        <v>40038.334741349769</v>
      </c>
      <c r="K45" s="420">
        <f t="shared" si="21"/>
        <v>39629.985197556205</v>
      </c>
      <c r="L45" s="420">
        <f t="shared" si="21"/>
        <v>34752.953749000764</v>
      </c>
      <c r="M45" s="420">
        <f t="shared" si="21"/>
        <v>35944.642300445295</v>
      </c>
      <c r="N45" s="420">
        <f t="shared" si="14"/>
        <v>693095.08692702954</v>
      </c>
      <c r="Q45" s="379">
        <f>'3. P&amp;L Summary Actual'!N35</f>
        <v>910311.55771084316</v>
      </c>
      <c r="R45" s="398"/>
      <c r="S45" s="379">
        <v>2974497.1724855546</v>
      </c>
      <c r="T45" s="398"/>
      <c r="U45" s="379"/>
      <c r="V45" s="379"/>
    </row>
    <row r="46" spans="1:26" s="214" customFormat="1" x14ac:dyDescent="0.35">
      <c r="A46" s="421" t="s">
        <v>402</v>
      </c>
      <c r="B46" s="422">
        <f t="shared" ref="B46:N46" si="22">B45/B38</f>
        <v>0.36329557996040018</v>
      </c>
      <c r="C46" s="422">
        <f t="shared" si="22"/>
        <v>0.39142011375575175</v>
      </c>
      <c r="D46" s="422">
        <f t="shared" si="22"/>
        <v>0.40706004782253608</v>
      </c>
      <c r="E46" s="422">
        <f t="shared" si="22"/>
        <v>0.31011808989918505</v>
      </c>
      <c r="F46" s="422">
        <f t="shared" si="22"/>
        <v>0.28214742851634622</v>
      </c>
      <c r="G46" s="422">
        <f t="shared" si="22"/>
        <v>0.27565551913907149</v>
      </c>
      <c r="H46" s="422">
        <f t="shared" si="22"/>
        <v>0.27138143292552064</v>
      </c>
      <c r="I46" s="422">
        <f t="shared" si="22"/>
        <v>0.21281999332494</v>
      </c>
      <c r="J46" s="422">
        <f t="shared" si="22"/>
        <v>0.20330457165565438</v>
      </c>
      <c r="K46" s="422">
        <f t="shared" si="22"/>
        <v>0.19954287493483866</v>
      </c>
      <c r="L46" s="422">
        <f t="shared" si="22"/>
        <v>0.17770129672060708</v>
      </c>
      <c r="M46" s="422">
        <f t="shared" si="22"/>
        <v>0.18098662483420663</v>
      </c>
      <c r="N46" s="422">
        <f t="shared" si="22"/>
        <v>0.27832269393437897</v>
      </c>
      <c r="Q46" s="381">
        <f>'3. P&amp;L Summary Actual'!N36</f>
        <v>0.43005018447177479</v>
      </c>
      <c r="R46" s="400"/>
      <c r="S46" s="381">
        <v>0.5945562446528645</v>
      </c>
      <c r="T46" s="400"/>
      <c r="U46" s="381"/>
      <c r="V46" s="381"/>
    </row>
    <row r="47" spans="1:26" s="206" customFormat="1" outlineLevel="1" x14ac:dyDescent="0.35">
      <c r="A47" s="374"/>
      <c r="B47" s="380"/>
      <c r="C47" s="380"/>
      <c r="D47" s="380"/>
      <c r="E47" s="380"/>
      <c r="F47" s="380"/>
      <c r="G47" s="380"/>
      <c r="H47" s="380"/>
      <c r="I47" s="380"/>
      <c r="J47" s="380"/>
      <c r="K47" s="380"/>
      <c r="L47" s="380"/>
      <c r="M47" s="380"/>
      <c r="N47" s="380"/>
      <c r="Q47" s="380"/>
      <c r="R47" s="399"/>
      <c r="S47" s="380"/>
      <c r="T47" s="399"/>
      <c r="U47" s="380"/>
      <c r="V47" s="380"/>
    </row>
    <row r="48" spans="1:26" s="206" customFormat="1" outlineLevel="1" x14ac:dyDescent="0.35">
      <c r="A48" s="374" t="s">
        <v>408</v>
      </c>
      <c r="B48" s="380"/>
      <c r="C48" s="380"/>
      <c r="D48" s="380"/>
      <c r="E48" s="380"/>
      <c r="F48" s="380"/>
      <c r="G48" s="380"/>
      <c r="H48" s="380"/>
      <c r="I48" s="380"/>
      <c r="J48" s="380"/>
      <c r="K48" s="380"/>
      <c r="L48" s="380"/>
      <c r="M48" s="380"/>
      <c r="N48" s="380"/>
      <c r="Q48" s="380"/>
      <c r="R48" s="399"/>
      <c r="S48" s="380"/>
      <c r="T48" s="399"/>
      <c r="U48" s="380"/>
      <c r="V48" s="380"/>
    </row>
    <row r="49" spans="1:22" s="206" customFormat="1" outlineLevel="1" x14ac:dyDescent="0.35">
      <c r="A49" s="374" t="s">
        <v>177</v>
      </c>
      <c r="B49" s="380"/>
      <c r="C49" s="380"/>
      <c r="D49" s="380"/>
      <c r="E49" s="380"/>
      <c r="F49" s="380"/>
      <c r="G49" s="380"/>
      <c r="H49" s="380"/>
      <c r="I49" s="380"/>
      <c r="J49" s="380"/>
      <c r="K49" s="380"/>
      <c r="L49" s="380"/>
      <c r="M49" s="380"/>
      <c r="N49" s="380"/>
      <c r="Q49" s="380"/>
      <c r="R49" s="399"/>
      <c r="S49" s="380"/>
      <c r="T49" s="399"/>
      <c r="U49" s="380"/>
      <c r="V49" s="380"/>
    </row>
    <row r="50" spans="1:22" s="206" customFormat="1" outlineLevel="1" x14ac:dyDescent="0.35">
      <c r="A50" s="374" t="s">
        <v>409</v>
      </c>
      <c r="B50" s="380"/>
      <c r="C50" s="380"/>
      <c r="D50" s="380"/>
      <c r="E50" s="380"/>
      <c r="F50" s="380"/>
      <c r="G50" s="380"/>
      <c r="H50" s="380"/>
      <c r="I50" s="380"/>
      <c r="J50" s="380"/>
      <c r="K50" s="380"/>
      <c r="L50" s="380"/>
      <c r="M50" s="380"/>
      <c r="N50" s="380"/>
      <c r="Q50" s="380"/>
      <c r="R50" s="399"/>
      <c r="S50" s="380"/>
      <c r="T50" s="399"/>
      <c r="U50" s="380"/>
      <c r="V50" s="380"/>
    </row>
    <row r="51" spans="1:22" ht="31" outlineLevel="1" x14ac:dyDescent="0.35">
      <c r="A51" s="377" t="s">
        <v>289</v>
      </c>
      <c r="B51" s="378">
        <f>SUM('4. India Expenses INR'!B26:B27)/'3. P&amp;L - Only Base+Confirmed''25'!B$3</f>
        <v>4229.1428571428569</v>
      </c>
      <c r="C51" s="378">
        <f>SUM('4. India Expenses INR'!C26:C27)/'3. P&amp;L - Only Base+Confirmed''25'!C$3</f>
        <v>4229.1428571428569</v>
      </c>
      <c r="D51" s="378">
        <f>SUM('4. India Expenses INR'!D26:D27)/'3. P&amp;L - Only Base+Confirmed''25'!D$3</f>
        <v>4229.1428571428569</v>
      </c>
      <c r="E51" s="378">
        <f>SUM('4. India Expenses INR'!E26:E27)/'3. P&amp;L - Only Base+Confirmed''25'!E$3</f>
        <v>4229.1428571428569</v>
      </c>
      <c r="F51" s="378">
        <f>SUM('4. India Expenses INR'!F26:F27)/'3. P&amp;L - Only Base+Confirmed''25'!F$3</f>
        <v>4229.1428571428569</v>
      </c>
      <c r="G51" s="378">
        <f>SUM('4. India Expenses INR'!G26:G27)/'3. P&amp;L - Only Base+Confirmed''25'!G$3</f>
        <v>4229.1428571428569</v>
      </c>
      <c r="H51" s="378">
        <f>SUM('4. India Expenses INR'!H26:H27)/'3. P&amp;L - Only Base+Confirmed''25'!H$3</f>
        <v>4229.1428571428569</v>
      </c>
      <c r="I51" s="378">
        <f>SUM('4. India Expenses INR'!I26:I27)/'3. P&amp;L - Only Base+Confirmed''25'!I$3</f>
        <v>4229.1428571428569</v>
      </c>
      <c r="J51" s="378">
        <f>SUM('4. India Expenses INR'!J26:J27)/'3. P&amp;L - Only Base+Confirmed''25'!J$3</f>
        <v>4229.1428571428569</v>
      </c>
      <c r="K51" s="378">
        <f>SUM('4. India Expenses INR'!K26:K27)/'3. P&amp;L - Only Base+Confirmed''25'!K$3</f>
        <v>4229.1428571428569</v>
      </c>
      <c r="L51" s="378">
        <f>SUM('4. India Expenses INR'!L26:L27)/'3. P&amp;L - Only Base+Confirmed''25'!L$3</f>
        <v>4229.1428571428569</v>
      </c>
      <c r="M51" s="378">
        <f>SUM('4. India Expenses INR'!M26:M27)/'3. P&amp;L - Only Base+Confirmed''25'!M$3</f>
        <v>4229.1428571428569</v>
      </c>
      <c r="N51" s="378">
        <f>SUM(B51:M51)</f>
        <v>50749.714285714268</v>
      </c>
      <c r="O51" s="385">
        <f t="shared" ref="O51:O52" si="23">N51/$N$38</f>
        <v>2.0379306480190245E-2</v>
      </c>
      <c r="P51" s="531" t="s">
        <v>431</v>
      </c>
      <c r="Q51" s="378">
        <f>'3. P&amp;L Summary Actual'!N41</f>
        <v>20525.325301204819</v>
      </c>
      <c r="R51" s="401">
        <f t="shared" ref="R51:R53" si="24">Q51/$Q$38</f>
        <v>9.6965921802897228E-3</v>
      </c>
      <c r="S51" s="378">
        <v>47832.795180722875</v>
      </c>
      <c r="T51" s="401">
        <f t="shared" ref="T51:T52" si="25">S51/$S$38</f>
        <v>9.5610402110874217E-3</v>
      </c>
      <c r="U51" s="378"/>
      <c r="V51" s="378"/>
    </row>
    <row r="52" spans="1:22" ht="77.5" outlineLevel="1" x14ac:dyDescent="0.35">
      <c r="A52" s="377" t="s">
        <v>153</v>
      </c>
      <c r="B52" s="378">
        <f>'4. India Expenses INR'!B28/'3. P&amp;L - Only Base+Confirmed''25'!B$3</f>
        <v>8661.066190476191</v>
      </c>
      <c r="C52" s="378">
        <f>'4. India Expenses INR'!C28/'3. P&amp;L - Only Base+Confirmed''25'!C$3</f>
        <v>3303.9233333333332</v>
      </c>
      <c r="D52" s="378">
        <f>'4. India Expenses INR'!D28/'3. P&amp;L - Only Base+Confirmed''25'!D$3</f>
        <v>6875.3519047619056</v>
      </c>
      <c r="E52" s="378">
        <f>'4. India Expenses INR'!E28/'3. P&amp;L - Only Base+Confirmed''25'!E$3</f>
        <v>3303.9233333333332</v>
      </c>
      <c r="F52" s="378">
        <f>'4. India Expenses INR'!F28/'3. P&amp;L - Only Base+Confirmed''25'!F$3</f>
        <v>3303.9233333333332</v>
      </c>
      <c r="G52" s="378">
        <f>'4. India Expenses INR'!G28/'3. P&amp;L - Only Base+Confirmed''25'!G$3</f>
        <v>3303.9233333333332</v>
      </c>
      <c r="H52" s="378">
        <f>'4. India Expenses INR'!H28/'3. P&amp;L - Only Base+Confirmed''25'!H$3</f>
        <v>3303.9233333333332</v>
      </c>
      <c r="I52" s="378">
        <f>'4. India Expenses INR'!I28/'3. P&amp;L - Only Base+Confirmed''25'!I$3</f>
        <v>3303.9233333333332</v>
      </c>
      <c r="J52" s="378">
        <f>'4. India Expenses INR'!J28/'3. P&amp;L - Only Base+Confirmed''25'!J$3</f>
        <v>3303.9233333333332</v>
      </c>
      <c r="K52" s="378">
        <f>'4. India Expenses INR'!K28/'3. P&amp;L - Only Base+Confirmed''25'!K$3</f>
        <v>3303.9233333333332</v>
      </c>
      <c r="L52" s="378">
        <f>'4. India Expenses INR'!L28/'3. P&amp;L - Only Base+Confirmed''25'!L$3</f>
        <v>3303.9233333333332</v>
      </c>
      <c r="M52" s="378">
        <f>'4. India Expenses INR'!M28/'3. P&amp;L - Only Base+Confirmed''25'!M$3</f>
        <v>3303.9233333333332</v>
      </c>
      <c r="N52" s="378">
        <f>SUM(B52:M52)</f>
        <v>48575.651428571422</v>
      </c>
      <c r="O52" s="385">
        <f t="shared" si="23"/>
        <v>1.9506279037641981E-2</v>
      </c>
      <c r="P52" s="679" t="s">
        <v>432</v>
      </c>
      <c r="Q52" s="378">
        <f>'3. P&amp;L Summary Actual'!N42</f>
        <v>2971.2048192771085</v>
      </c>
      <c r="R52" s="401">
        <f t="shared" si="24"/>
        <v>1.403659186583045E-3</v>
      </c>
      <c r="S52" s="378">
        <v>31421.220883534148</v>
      </c>
      <c r="T52" s="401">
        <f t="shared" si="25"/>
        <v>6.2806188769416113E-3</v>
      </c>
      <c r="U52" s="378"/>
      <c r="V52" s="378"/>
    </row>
    <row r="53" spans="1:22" s="206" customFormat="1" outlineLevel="1" x14ac:dyDescent="0.35">
      <c r="A53" s="374" t="s">
        <v>174</v>
      </c>
      <c r="B53" s="379">
        <f>SUM(B51:B52)</f>
        <v>12890.209047619048</v>
      </c>
      <c r="C53" s="379">
        <f t="shared" ref="C53:N53" si="26">SUM(C51:C52)</f>
        <v>7533.0661904761901</v>
      </c>
      <c r="D53" s="379">
        <f t="shared" si="26"/>
        <v>11104.494761904763</v>
      </c>
      <c r="E53" s="379">
        <f t="shared" si="26"/>
        <v>7533.0661904761901</v>
      </c>
      <c r="F53" s="379">
        <f t="shared" si="26"/>
        <v>7533.0661904761901</v>
      </c>
      <c r="G53" s="379">
        <f t="shared" si="26"/>
        <v>7533.0661904761901</v>
      </c>
      <c r="H53" s="379">
        <f t="shared" si="26"/>
        <v>7533.0661904761901</v>
      </c>
      <c r="I53" s="379">
        <f t="shared" si="26"/>
        <v>7533.0661904761901</v>
      </c>
      <c r="J53" s="379">
        <f t="shared" si="26"/>
        <v>7533.0661904761901</v>
      </c>
      <c r="K53" s="379">
        <f t="shared" si="26"/>
        <v>7533.0661904761901</v>
      </c>
      <c r="L53" s="379">
        <f t="shared" si="26"/>
        <v>7533.0661904761901</v>
      </c>
      <c r="M53" s="379">
        <f t="shared" si="26"/>
        <v>7533.0661904761901</v>
      </c>
      <c r="N53" s="379">
        <f t="shared" si="26"/>
        <v>99325.365714285697</v>
      </c>
      <c r="Q53" s="379">
        <f>'3. P&amp;L Summary Actual'!N43</f>
        <v>23496.530120481926</v>
      </c>
      <c r="R53" s="401">
        <f t="shared" si="24"/>
        <v>1.1100251366872768E-2</v>
      </c>
      <c r="S53" s="379">
        <v>79254.016064257026</v>
      </c>
      <c r="T53" s="398"/>
      <c r="U53" s="379"/>
      <c r="V53" s="379"/>
    </row>
    <row r="54" spans="1:22" s="206" customFormat="1" outlineLevel="1" x14ac:dyDescent="0.35">
      <c r="A54" s="374"/>
      <c r="B54" s="380"/>
      <c r="C54" s="380"/>
      <c r="D54" s="380"/>
      <c r="E54" s="380"/>
      <c r="F54" s="380"/>
      <c r="G54" s="380"/>
      <c r="H54" s="380"/>
      <c r="I54" s="380"/>
      <c r="J54" s="380"/>
      <c r="K54" s="380"/>
      <c r="L54" s="380"/>
      <c r="M54" s="380"/>
      <c r="N54" s="380"/>
      <c r="Q54" s="380"/>
      <c r="R54" s="399"/>
      <c r="S54" s="380"/>
      <c r="T54" s="399"/>
      <c r="U54" s="380"/>
      <c r="V54" s="380"/>
    </row>
    <row r="55" spans="1:22" s="206" customFormat="1" outlineLevel="1" x14ac:dyDescent="0.35">
      <c r="A55" s="374" t="s">
        <v>405</v>
      </c>
      <c r="B55" s="380"/>
      <c r="C55" s="380"/>
      <c r="D55" s="380"/>
      <c r="E55" s="380"/>
      <c r="F55" s="380"/>
      <c r="G55" s="380"/>
      <c r="H55" s="380"/>
      <c r="I55" s="380"/>
      <c r="J55" s="380"/>
      <c r="K55" s="380"/>
      <c r="L55" s="380"/>
      <c r="M55" s="380"/>
      <c r="N55" s="380"/>
      <c r="Q55" s="380"/>
      <c r="R55" s="399"/>
      <c r="S55" s="380"/>
      <c r="T55" s="399"/>
      <c r="U55" s="380"/>
      <c r="V55" s="380"/>
    </row>
    <row r="56" spans="1:22" outlineLevel="1" x14ac:dyDescent="0.35">
      <c r="A56" s="377" t="s">
        <v>289</v>
      </c>
      <c r="B56" s="378"/>
      <c r="C56" s="378"/>
      <c r="D56" s="378"/>
      <c r="E56" s="378"/>
      <c r="F56" s="378"/>
      <c r="G56" s="378"/>
      <c r="H56" s="378"/>
      <c r="I56" s="378"/>
      <c r="J56" s="378"/>
      <c r="K56" s="378"/>
      <c r="L56" s="378"/>
      <c r="M56" s="378"/>
      <c r="N56" s="378">
        <f>SUM(B56:M56)</f>
        <v>0</v>
      </c>
      <c r="O56" s="385">
        <f t="shared" ref="O56:O57" si="27">N56/$N$38</f>
        <v>0</v>
      </c>
      <c r="P56" s="670"/>
      <c r="Q56" s="378">
        <f>'3. P&amp;L Summary Actual'!N46</f>
        <v>0</v>
      </c>
      <c r="R56" s="401">
        <f t="shared" ref="R56:R58" si="28">Q56/$Q$38</f>
        <v>0</v>
      </c>
      <c r="S56" s="378">
        <v>0</v>
      </c>
      <c r="T56" s="401">
        <f t="shared" ref="T56:T57" si="29">S56/$S$38</f>
        <v>0</v>
      </c>
      <c r="U56" s="378"/>
      <c r="V56" s="378"/>
    </row>
    <row r="57" spans="1:22" outlineLevel="1" x14ac:dyDescent="0.35">
      <c r="A57" s="377" t="s">
        <v>153</v>
      </c>
      <c r="B57" s="378" t="e">
        <f>'5. US Expenses'!#REF!</f>
        <v>#REF!</v>
      </c>
      <c r="C57" s="378" t="e">
        <f>'5. US Expenses'!#REF!</f>
        <v>#REF!</v>
      </c>
      <c r="D57" s="378" t="e">
        <f>'5. US Expenses'!#REF!</f>
        <v>#REF!</v>
      </c>
      <c r="E57" s="378" t="e">
        <f>'5. US Expenses'!#REF!</f>
        <v>#REF!</v>
      </c>
      <c r="F57" s="378" t="e">
        <f>'5. US Expenses'!#REF!</f>
        <v>#REF!</v>
      </c>
      <c r="G57" s="378" t="e">
        <f>'5. US Expenses'!#REF!</f>
        <v>#REF!</v>
      </c>
      <c r="H57" s="378" t="e">
        <f>'5. US Expenses'!#REF!</f>
        <v>#REF!</v>
      </c>
      <c r="I57" s="378" t="e">
        <f>'5. US Expenses'!#REF!</f>
        <v>#REF!</v>
      </c>
      <c r="J57" s="378" t="e">
        <f>'5. US Expenses'!#REF!</f>
        <v>#REF!</v>
      </c>
      <c r="K57" s="378" t="e">
        <f>'5. US Expenses'!#REF!</f>
        <v>#REF!</v>
      </c>
      <c r="L57" s="378" t="e">
        <f>'5. US Expenses'!#REF!</f>
        <v>#REF!</v>
      </c>
      <c r="M57" s="378" t="e">
        <f>'5. US Expenses'!#REF!</f>
        <v>#REF!</v>
      </c>
      <c r="N57" s="378" t="e">
        <f>SUM(B57:M57)</f>
        <v>#REF!</v>
      </c>
      <c r="O57" s="385" t="e">
        <f t="shared" si="27"/>
        <v>#REF!</v>
      </c>
      <c r="P57" s="670"/>
      <c r="Q57" s="378" t="e">
        <f>'3. P&amp;L Summary Actual'!N47</f>
        <v>#REF!</v>
      </c>
      <c r="R57" s="401" t="e">
        <f t="shared" si="28"/>
        <v>#REF!</v>
      </c>
      <c r="S57" s="378">
        <v>57400</v>
      </c>
      <c r="T57" s="401">
        <f t="shared" si="29"/>
        <v>1.1473377335422617E-2</v>
      </c>
      <c r="U57" s="378"/>
      <c r="V57" s="378"/>
    </row>
    <row r="58" spans="1:22" s="206" customFormat="1" outlineLevel="1" x14ac:dyDescent="0.35">
      <c r="A58" s="374" t="s">
        <v>174</v>
      </c>
      <c r="B58" s="379" t="e">
        <f t="shared" ref="B58:N58" si="30">SUM(B56:B57)</f>
        <v>#REF!</v>
      </c>
      <c r="C58" s="379" t="e">
        <f t="shared" si="30"/>
        <v>#REF!</v>
      </c>
      <c r="D58" s="379" t="e">
        <f t="shared" si="30"/>
        <v>#REF!</v>
      </c>
      <c r="E58" s="379" t="e">
        <f t="shared" si="30"/>
        <v>#REF!</v>
      </c>
      <c r="F58" s="379" t="e">
        <f t="shared" si="30"/>
        <v>#REF!</v>
      </c>
      <c r="G58" s="379" t="e">
        <f t="shared" si="30"/>
        <v>#REF!</v>
      </c>
      <c r="H58" s="379" t="e">
        <f t="shared" si="30"/>
        <v>#REF!</v>
      </c>
      <c r="I58" s="379" t="e">
        <f t="shared" si="30"/>
        <v>#REF!</v>
      </c>
      <c r="J58" s="379" t="e">
        <f t="shared" si="30"/>
        <v>#REF!</v>
      </c>
      <c r="K58" s="379" t="e">
        <f t="shared" si="30"/>
        <v>#REF!</v>
      </c>
      <c r="L58" s="379" t="e">
        <f t="shared" si="30"/>
        <v>#REF!</v>
      </c>
      <c r="M58" s="379" t="e">
        <f t="shared" si="30"/>
        <v>#REF!</v>
      </c>
      <c r="N58" s="379" t="e">
        <f t="shared" si="30"/>
        <v>#REF!</v>
      </c>
      <c r="Q58" s="379" t="e">
        <f>'3. P&amp;L Summary Actual'!N48</f>
        <v>#REF!</v>
      </c>
      <c r="R58" s="401" t="e">
        <f t="shared" si="28"/>
        <v>#REF!</v>
      </c>
      <c r="S58" s="379">
        <v>57400</v>
      </c>
      <c r="T58" s="398"/>
      <c r="U58" s="379"/>
      <c r="V58" s="379"/>
    </row>
    <row r="59" spans="1:22" s="206" customFormat="1" x14ac:dyDescent="0.35">
      <c r="A59" s="374"/>
      <c r="B59" s="380"/>
      <c r="C59" s="380"/>
      <c r="D59" s="380"/>
      <c r="E59" s="380"/>
      <c r="F59" s="380"/>
      <c r="G59" s="380"/>
      <c r="H59" s="380"/>
      <c r="I59" s="380"/>
      <c r="J59" s="380"/>
      <c r="K59" s="380"/>
      <c r="L59" s="380"/>
      <c r="M59" s="380"/>
      <c r="N59" s="380"/>
      <c r="Q59" s="380"/>
      <c r="R59" s="399"/>
      <c r="S59" s="380"/>
      <c r="T59" s="399"/>
      <c r="U59" s="380"/>
      <c r="V59" s="380"/>
    </row>
    <row r="60" spans="1:22" s="206" customFormat="1" x14ac:dyDescent="0.35">
      <c r="A60" s="374" t="s">
        <v>410</v>
      </c>
      <c r="B60" s="380"/>
      <c r="C60" s="380"/>
      <c r="D60" s="380"/>
      <c r="E60" s="380"/>
      <c r="F60" s="380"/>
      <c r="G60" s="380"/>
      <c r="H60" s="380"/>
      <c r="I60" s="380"/>
      <c r="J60" s="380"/>
      <c r="K60" s="380"/>
      <c r="L60" s="380"/>
      <c r="M60" s="380"/>
      <c r="N60" s="380"/>
      <c r="Q60" s="380"/>
      <c r="R60" s="399"/>
      <c r="S60" s="380"/>
      <c r="T60" s="399"/>
      <c r="U60" s="380"/>
      <c r="V60" s="380"/>
    </row>
    <row r="61" spans="1:22" x14ac:dyDescent="0.35">
      <c r="A61" s="377" t="s">
        <v>289</v>
      </c>
      <c r="B61" s="378">
        <f>B56+B51</f>
        <v>4229.1428571428569</v>
      </c>
      <c r="C61" s="378">
        <f t="shared" ref="C61:M62" si="31">C56+C51</f>
        <v>4229.1428571428569</v>
      </c>
      <c r="D61" s="378">
        <f t="shared" si="31"/>
        <v>4229.1428571428569</v>
      </c>
      <c r="E61" s="378">
        <f t="shared" si="31"/>
        <v>4229.1428571428569</v>
      </c>
      <c r="F61" s="378">
        <f t="shared" si="31"/>
        <v>4229.1428571428569</v>
      </c>
      <c r="G61" s="378">
        <f t="shared" si="31"/>
        <v>4229.1428571428569</v>
      </c>
      <c r="H61" s="378">
        <f t="shared" si="31"/>
        <v>4229.1428571428569</v>
      </c>
      <c r="I61" s="378">
        <f t="shared" si="31"/>
        <v>4229.1428571428569</v>
      </c>
      <c r="J61" s="378">
        <f t="shared" si="31"/>
        <v>4229.1428571428569</v>
      </c>
      <c r="K61" s="378">
        <f t="shared" si="31"/>
        <v>4229.1428571428569</v>
      </c>
      <c r="L61" s="378">
        <f t="shared" si="31"/>
        <v>4229.1428571428569</v>
      </c>
      <c r="M61" s="378">
        <f t="shared" si="31"/>
        <v>4229.1428571428569</v>
      </c>
      <c r="N61" s="378">
        <f>SUM(B61:M61)</f>
        <v>50749.714285714268</v>
      </c>
      <c r="O61" s="385">
        <f t="shared" ref="O61:O62" si="32">N61/$N$38</f>
        <v>2.0379306480190245E-2</v>
      </c>
      <c r="P61" s="426"/>
      <c r="Q61" s="378">
        <f>'3. P&amp;L Summary Actual'!N51</f>
        <v>20525.325301204819</v>
      </c>
      <c r="R61" s="401">
        <f t="shared" ref="R61:R63" si="33">Q61/$Q$38</f>
        <v>9.6965921802897228E-3</v>
      </c>
      <c r="S61" s="378">
        <v>47832.795180722875</v>
      </c>
      <c r="T61" s="401">
        <f t="shared" ref="T61:T62" si="34">S61/$S$38</f>
        <v>9.5610402110874217E-3</v>
      </c>
      <c r="U61" s="378"/>
      <c r="V61" s="378"/>
    </row>
    <row r="62" spans="1:22" x14ac:dyDescent="0.35">
      <c r="A62" s="377" t="s">
        <v>153</v>
      </c>
      <c r="B62" s="378" t="e">
        <f>B57+B52</f>
        <v>#REF!</v>
      </c>
      <c r="C62" s="378" t="e">
        <f t="shared" si="31"/>
        <v>#REF!</v>
      </c>
      <c r="D62" s="378" t="e">
        <f t="shared" si="31"/>
        <v>#REF!</v>
      </c>
      <c r="E62" s="378" t="e">
        <f t="shared" si="31"/>
        <v>#REF!</v>
      </c>
      <c r="F62" s="378" t="e">
        <f t="shared" si="31"/>
        <v>#REF!</v>
      </c>
      <c r="G62" s="378" t="e">
        <f t="shared" si="31"/>
        <v>#REF!</v>
      </c>
      <c r="H62" s="378" t="e">
        <f t="shared" si="31"/>
        <v>#REF!</v>
      </c>
      <c r="I62" s="378" t="e">
        <f>I57+I52</f>
        <v>#REF!</v>
      </c>
      <c r="J62" s="378" t="e">
        <f t="shared" si="31"/>
        <v>#REF!</v>
      </c>
      <c r="K62" s="378" t="e">
        <f t="shared" si="31"/>
        <v>#REF!</v>
      </c>
      <c r="L62" s="378" t="e">
        <f t="shared" si="31"/>
        <v>#REF!</v>
      </c>
      <c r="M62" s="378" t="e">
        <f t="shared" si="31"/>
        <v>#REF!</v>
      </c>
      <c r="N62" s="378" t="e">
        <f>SUM(B62:M62)</f>
        <v>#REF!</v>
      </c>
      <c r="O62" s="385" t="e">
        <f t="shared" si="32"/>
        <v>#REF!</v>
      </c>
      <c r="P62" s="426"/>
      <c r="Q62" s="378" t="e">
        <f>'3. P&amp;L Summary Actual'!N52</f>
        <v>#REF!</v>
      </c>
      <c r="R62" s="401" t="e">
        <f t="shared" si="33"/>
        <v>#REF!</v>
      </c>
      <c r="S62" s="378">
        <v>88821.220883534144</v>
      </c>
      <c r="T62" s="401">
        <f t="shared" si="34"/>
        <v>1.7753996212364228E-2</v>
      </c>
      <c r="U62" s="378"/>
      <c r="V62" s="378"/>
    </row>
    <row r="63" spans="1:22" s="206" customFormat="1" x14ac:dyDescent="0.35">
      <c r="A63" s="374" t="s">
        <v>174</v>
      </c>
      <c r="B63" s="379" t="e">
        <f t="shared" ref="B63:N63" si="35">SUM(B61:B62)</f>
        <v>#REF!</v>
      </c>
      <c r="C63" s="379" t="e">
        <f t="shared" si="35"/>
        <v>#REF!</v>
      </c>
      <c r="D63" s="379" t="e">
        <f t="shared" si="35"/>
        <v>#REF!</v>
      </c>
      <c r="E63" s="379" t="e">
        <f t="shared" si="35"/>
        <v>#REF!</v>
      </c>
      <c r="F63" s="379" t="e">
        <f t="shared" si="35"/>
        <v>#REF!</v>
      </c>
      <c r="G63" s="379" t="e">
        <f t="shared" si="35"/>
        <v>#REF!</v>
      </c>
      <c r="H63" s="379" t="e">
        <f t="shared" si="35"/>
        <v>#REF!</v>
      </c>
      <c r="I63" s="379" t="e">
        <f t="shared" si="35"/>
        <v>#REF!</v>
      </c>
      <c r="J63" s="379" t="e">
        <f t="shared" si="35"/>
        <v>#REF!</v>
      </c>
      <c r="K63" s="379" t="e">
        <f t="shared" si="35"/>
        <v>#REF!</v>
      </c>
      <c r="L63" s="379" t="e">
        <f t="shared" si="35"/>
        <v>#REF!</v>
      </c>
      <c r="M63" s="379" t="e">
        <f t="shared" si="35"/>
        <v>#REF!</v>
      </c>
      <c r="N63" s="379" t="e">
        <f t="shared" si="35"/>
        <v>#REF!</v>
      </c>
      <c r="Q63" s="379" t="e">
        <f>'3. P&amp;L Summary Actual'!N53</f>
        <v>#REF!</v>
      </c>
      <c r="R63" s="401" t="e">
        <f t="shared" si="33"/>
        <v>#REF!</v>
      </c>
      <c r="S63" s="379">
        <v>136654.01606425701</v>
      </c>
      <c r="T63" s="398"/>
      <c r="U63" s="379"/>
      <c r="V63" s="379"/>
    </row>
    <row r="64" spans="1:22" s="206" customFormat="1" x14ac:dyDescent="0.35">
      <c r="A64" s="374" t="s">
        <v>411</v>
      </c>
      <c r="B64" s="381" t="e">
        <f>B63/B38</f>
        <v>#REF!</v>
      </c>
      <c r="C64" s="381" t="e">
        <f t="shared" ref="C64:N64" si="36">C63/C38</f>
        <v>#REF!</v>
      </c>
      <c r="D64" s="381" t="e">
        <f t="shared" si="36"/>
        <v>#REF!</v>
      </c>
      <c r="E64" s="381" t="e">
        <f t="shared" si="36"/>
        <v>#REF!</v>
      </c>
      <c r="F64" s="381" t="e">
        <f t="shared" si="36"/>
        <v>#REF!</v>
      </c>
      <c r="G64" s="381" t="e">
        <f t="shared" si="36"/>
        <v>#REF!</v>
      </c>
      <c r="H64" s="381" t="e">
        <f t="shared" si="36"/>
        <v>#REF!</v>
      </c>
      <c r="I64" s="381" t="e">
        <f t="shared" si="36"/>
        <v>#REF!</v>
      </c>
      <c r="J64" s="381" t="e">
        <f t="shared" si="36"/>
        <v>#REF!</v>
      </c>
      <c r="K64" s="381" t="e">
        <f t="shared" si="36"/>
        <v>#REF!</v>
      </c>
      <c r="L64" s="381" t="e">
        <f t="shared" si="36"/>
        <v>#REF!</v>
      </c>
      <c r="M64" s="381" t="e">
        <f t="shared" si="36"/>
        <v>#REF!</v>
      </c>
      <c r="N64" s="381" t="e">
        <f t="shared" si="36"/>
        <v>#REF!</v>
      </c>
      <c r="Q64" s="381"/>
      <c r="R64" s="400"/>
      <c r="S64" s="381">
        <v>2.731503642345165E-2</v>
      </c>
      <c r="T64" s="400"/>
      <c r="U64" s="381"/>
      <c r="V64" s="381"/>
    </row>
    <row r="65" spans="1:22" s="206" customFormat="1" x14ac:dyDescent="0.35">
      <c r="A65" s="374"/>
      <c r="B65" s="380"/>
      <c r="C65" s="380"/>
      <c r="D65" s="380"/>
      <c r="E65" s="380"/>
      <c r="F65" s="380"/>
      <c r="G65" s="380"/>
      <c r="H65" s="380"/>
      <c r="I65" s="380"/>
      <c r="J65" s="380"/>
      <c r="K65" s="380"/>
      <c r="L65" s="380"/>
      <c r="M65" s="380"/>
      <c r="N65" s="380"/>
      <c r="Q65" s="380"/>
      <c r="R65" s="399"/>
      <c r="S65" s="380"/>
      <c r="T65" s="399"/>
      <c r="U65" s="380"/>
      <c r="V65" s="380"/>
    </row>
    <row r="66" spans="1:22" s="206" customFormat="1" outlineLevel="1" x14ac:dyDescent="0.35">
      <c r="A66" s="374" t="s">
        <v>412</v>
      </c>
      <c r="B66" s="380"/>
      <c r="C66" s="380"/>
      <c r="D66" s="380"/>
      <c r="E66" s="380"/>
      <c r="F66" s="380"/>
      <c r="G66" s="380"/>
      <c r="H66" s="380"/>
      <c r="I66" s="380"/>
      <c r="J66" s="380"/>
      <c r="K66" s="380"/>
      <c r="L66" s="380"/>
      <c r="M66" s="380"/>
      <c r="N66" s="380"/>
      <c r="Q66" s="380"/>
      <c r="R66" s="399"/>
      <c r="S66" s="380"/>
      <c r="T66" s="399"/>
      <c r="U66" s="380"/>
      <c r="V66" s="380"/>
    </row>
    <row r="67" spans="1:22" s="206" customFormat="1" outlineLevel="1" x14ac:dyDescent="0.35">
      <c r="A67" s="374" t="s">
        <v>409</v>
      </c>
      <c r="B67" s="380"/>
      <c r="C67" s="380"/>
      <c r="D67" s="380"/>
      <c r="E67" s="380"/>
      <c r="F67" s="380"/>
      <c r="G67" s="380"/>
      <c r="H67" s="380"/>
      <c r="I67" s="380"/>
      <c r="J67" s="380"/>
      <c r="K67" s="380"/>
      <c r="L67" s="380"/>
      <c r="M67" s="380"/>
      <c r="N67" s="380"/>
      <c r="Q67" s="380"/>
      <c r="R67" s="399"/>
      <c r="S67" s="380"/>
      <c r="T67" s="399"/>
      <c r="U67" s="380"/>
      <c r="V67" s="380"/>
    </row>
    <row r="68" spans="1:22" s="414" customFormat="1" outlineLevel="1" x14ac:dyDescent="0.35">
      <c r="A68" s="428" t="s">
        <v>413</v>
      </c>
      <c r="B68" s="429">
        <f>'4. India Expenses INR'!B32/'3. P&amp;L - Only Base+Confirmed''25'!B$3</f>
        <v>10613.631888392856</v>
      </c>
      <c r="C68" s="429">
        <f>'4. India Expenses INR'!C32/'3. P&amp;L - Only Base+Confirmed''25'!C$3</f>
        <v>10613.631888392856</v>
      </c>
      <c r="D68" s="429">
        <f>'4. India Expenses INR'!D32/'3. P&amp;L - Only Base+Confirmed''25'!D$3</f>
        <v>10613.631888392856</v>
      </c>
      <c r="E68" s="429">
        <f>'4. India Expenses INR'!E32/'3. P&amp;L - Only Base+Confirmed''25'!E$3</f>
        <v>10613.631888392856</v>
      </c>
      <c r="F68" s="429">
        <f>'4. India Expenses INR'!F32/'3. P&amp;L - Only Base+Confirmed''25'!F$3</f>
        <v>10613.631888392856</v>
      </c>
      <c r="G68" s="429">
        <f>'4. India Expenses INR'!G32/'3. P&amp;L - Only Base+Confirmed''25'!G$3</f>
        <v>10613.631888392856</v>
      </c>
      <c r="H68" s="429">
        <f>'4. India Expenses INR'!H32/'3. P&amp;L - Only Base+Confirmed''25'!H$3</f>
        <v>10613.631888392856</v>
      </c>
      <c r="I68" s="429">
        <f>'4. India Expenses INR'!I32/'3. P&amp;L - Only Base+Confirmed''25'!I$3</f>
        <v>10613.631888392856</v>
      </c>
      <c r="J68" s="429">
        <f>'4. India Expenses INR'!J32/'3. P&amp;L - Only Base+Confirmed''25'!J$3</f>
        <v>10613.631888392856</v>
      </c>
      <c r="K68" s="429">
        <f>'4. India Expenses INR'!K32/'3. P&amp;L - Only Base+Confirmed''25'!K$3</f>
        <v>10613.631888392856</v>
      </c>
      <c r="L68" s="429">
        <f>'4. India Expenses INR'!L32/'3. P&amp;L - Only Base+Confirmed''25'!L$3</f>
        <v>10613.631888392856</v>
      </c>
      <c r="M68" s="429">
        <f>'4. India Expenses INR'!M32/'3. P&amp;L - Only Base+Confirmed''25'!M$3</f>
        <v>10613.631888392856</v>
      </c>
      <c r="N68" s="429">
        <f>SUM(B68:M68)</f>
        <v>127363.5826607143</v>
      </c>
      <c r="O68" s="430">
        <f t="shared" ref="O68:O72" si="37">N68/$N$38</f>
        <v>5.1144750704308517E-2</v>
      </c>
      <c r="Q68" s="412">
        <f>'3. P&amp;L Summary Actual'!N58</f>
        <v>145303.1204819277</v>
      </c>
      <c r="R68" s="415">
        <f t="shared" ref="R68:R72" si="38">Q68/$Q$38</f>
        <v>6.8644227614460845E-2</v>
      </c>
      <c r="S68" s="412">
        <v>128499.29148795181</v>
      </c>
      <c r="T68" s="415">
        <f t="shared" ref="T68:T72" si="39">S68/$S$38</f>
        <v>2.5685032379368131E-2</v>
      </c>
      <c r="U68" s="412"/>
      <c r="V68" s="412"/>
    </row>
    <row r="69" spans="1:22" outlineLevel="1" x14ac:dyDescent="0.35">
      <c r="A69" s="377" t="s">
        <v>289</v>
      </c>
      <c r="B69" s="378">
        <f>'4. India Expenses INR'!B33/'3. P&amp;L - Only Base+Confirmed''25'!B$3</f>
        <v>5442.6190476190477</v>
      </c>
      <c r="C69" s="378">
        <f>'4. India Expenses INR'!C33/'3. P&amp;L - Only Base+Confirmed''25'!C$3</f>
        <v>5442.6190476190477</v>
      </c>
      <c r="D69" s="378">
        <f>'4. India Expenses INR'!D33/'3. P&amp;L - Only Base+Confirmed''25'!D$3</f>
        <v>5442.6190476190477</v>
      </c>
      <c r="E69" s="378">
        <f>'4. India Expenses INR'!E33/'3. P&amp;L - Only Base+Confirmed''25'!E$3</f>
        <v>5442.6190476190477</v>
      </c>
      <c r="F69" s="378">
        <f>'4. India Expenses INR'!F33/'3. P&amp;L - Only Base+Confirmed''25'!F$3</f>
        <v>5442.6190476190477</v>
      </c>
      <c r="G69" s="378">
        <f>'4. India Expenses INR'!G33/'3. P&amp;L - Only Base+Confirmed''25'!G$3</f>
        <v>5442.6190476190477</v>
      </c>
      <c r="H69" s="378">
        <f>'4. India Expenses INR'!H33/'3. P&amp;L - Only Base+Confirmed''25'!H$3</f>
        <v>5442.6190476190477</v>
      </c>
      <c r="I69" s="378">
        <f>'4. India Expenses INR'!I33/'3. P&amp;L - Only Base+Confirmed''25'!I$3</f>
        <v>5442.6190476190477</v>
      </c>
      <c r="J69" s="378">
        <f>'4. India Expenses INR'!J33/'3. P&amp;L - Only Base+Confirmed''25'!J$3</f>
        <v>5442.6190476190477</v>
      </c>
      <c r="K69" s="378">
        <f>'4. India Expenses INR'!K33/'3. P&amp;L - Only Base+Confirmed''25'!K$3</f>
        <v>5442.6190476190477</v>
      </c>
      <c r="L69" s="378">
        <f>'4. India Expenses INR'!L33/'3. P&amp;L - Only Base+Confirmed''25'!L$3</f>
        <v>5442.6190476190477</v>
      </c>
      <c r="M69" s="378">
        <f>'4. India Expenses INR'!M33/'3. P&amp;L - Only Base+Confirmed''25'!M$3</f>
        <v>5442.6190476190477</v>
      </c>
      <c r="N69" s="378">
        <f>SUM(B69:M69)</f>
        <v>65311.428571428558</v>
      </c>
      <c r="O69" s="385">
        <f t="shared" si="37"/>
        <v>2.6226780549400353E-2</v>
      </c>
      <c r="P69" s="670"/>
      <c r="Q69" s="378">
        <f>'3. P&amp;L Summary Actual'!N59</f>
        <v>12785.626506024097</v>
      </c>
      <c r="R69" s="401">
        <f t="shared" si="38"/>
        <v>6.0401968874588766E-3</v>
      </c>
      <c r="S69" s="378">
        <v>33257.522891566252</v>
      </c>
      <c r="T69" s="401">
        <f t="shared" si="39"/>
        <v>6.6476674107385902E-3</v>
      </c>
      <c r="U69" s="378"/>
      <c r="V69" s="378"/>
    </row>
    <row r="70" spans="1:22" outlineLevel="1" x14ac:dyDescent="0.35">
      <c r="A70" s="377" t="s">
        <v>418</v>
      </c>
      <c r="B70" s="378">
        <f>'4. India Expenses INR'!B34/'3. P&amp;L - Only Base+Confirmed''25'!B$3</f>
        <v>416.66666666666669</v>
      </c>
      <c r="C70" s="378">
        <f>'4. India Expenses INR'!C34/'3. P&amp;L - Only Base+Confirmed''25'!C$3</f>
        <v>416.66666666666669</v>
      </c>
      <c r="D70" s="378">
        <f>'4. India Expenses INR'!D34/'3. P&amp;L - Only Base+Confirmed''25'!D$3</f>
        <v>416.66666666666669</v>
      </c>
      <c r="E70" s="378">
        <f>'4. India Expenses INR'!E34/'3. P&amp;L - Only Base+Confirmed''25'!E$3</f>
        <v>416.66666666666669</v>
      </c>
      <c r="F70" s="378">
        <f>'4. India Expenses INR'!F34/'3. P&amp;L - Only Base+Confirmed''25'!F$3</f>
        <v>416.66666666666669</v>
      </c>
      <c r="G70" s="378">
        <f>'4. India Expenses INR'!G34/'3. P&amp;L - Only Base+Confirmed''25'!G$3</f>
        <v>416.66666666666669</v>
      </c>
      <c r="H70" s="378">
        <f>'4. India Expenses INR'!H34/'3. P&amp;L - Only Base+Confirmed''25'!H$3</f>
        <v>416.66666666666669</v>
      </c>
      <c r="I70" s="378">
        <f>'4. India Expenses INR'!I34/'3. P&amp;L - Only Base+Confirmed''25'!I$3</f>
        <v>416.66666666666669</v>
      </c>
      <c r="J70" s="378">
        <f>'4. India Expenses INR'!J34/'3. P&amp;L - Only Base+Confirmed''25'!J$3</f>
        <v>416.66666666666669</v>
      </c>
      <c r="K70" s="378">
        <f>'4. India Expenses INR'!K34/'3. P&amp;L - Only Base+Confirmed''25'!K$3</f>
        <v>416.66666666666669</v>
      </c>
      <c r="L70" s="378">
        <f>'4. India Expenses INR'!L34/'3. P&amp;L - Only Base+Confirmed''25'!L$3</f>
        <v>416.66666666666669</v>
      </c>
      <c r="M70" s="378">
        <f>'4. India Expenses INR'!M34/'3. P&amp;L - Only Base+Confirmed''25'!M$3</f>
        <v>416.66666666666669</v>
      </c>
      <c r="N70" s="378">
        <f>SUM(B70:M70)</f>
        <v>5000</v>
      </c>
      <c r="O70" s="385">
        <f t="shared" si="37"/>
        <v>2.0078247500525232E-3</v>
      </c>
      <c r="P70" s="670"/>
      <c r="Q70" s="378">
        <f>'3. P&amp;L Summary Actual'!N60</f>
        <v>32492.626506024098</v>
      </c>
      <c r="R70" s="401">
        <f t="shared" si="38"/>
        <v>1.5350195111250863E-2</v>
      </c>
      <c r="S70" s="378">
        <v>5060.2409638554209</v>
      </c>
      <c r="T70" s="401">
        <f t="shared" si="39"/>
        <v>1.0114643551650852E-3</v>
      </c>
      <c r="U70" s="378"/>
      <c r="V70" s="378"/>
    </row>
    <row r="71" spans="1:22" outlineLevel="1" x14ac:dyDescent="0.35">
      <c r="A71" s="377" t="s">
        <v>151</v>
      </c>
      <c r="B71" s="378">
        <f>'4. India Expenses INR'!B35/'3. P&amp;L - Only Base+Confirmed''25'!B$3</f>
        <v>1095.2380952380952</v>
      </c>
      <c r="C71" s="378">
        <f>'4. India Expenses INR'!C35/'3. P&amp;L - Only Base+Confirmed''25'!C$3</f>
        <v>1095.2380952380952</v>
      </c>
      <c r="D71" s="378">
        <f>'4. India Expenses INR'!D35/'3. P&amp;L - Only Base+Confirmed''25'!D$3</f>
        <v>1095.2380952380952</v>
      </c>
      <c r="E71" s="378">
        <f>'4. India Expenses INR'!E35/'3. P&amp;L - Only Base+Confirmed''25'!E$3</f>
        <v>1095.2380952380952</v>
      </c>
      <c r="F71" s="378">
        <f>'4. India Expenses INR'!F35/'3. P&amp;L - Only Base+Confirmed''25'!F$3</f>
        <v>1095.2380952380952</v>
      </c>
      <c r="G71" s="378">
        <f>'4. India Expenses INR'!G35/'3. P&amp;L - Only Base+Confirmed''25'!G$3</f>
        <v>1095.2380952380952</v>
      </c>
      <c r="H71" s="378">
        <f>'4. India Expenses INR'!H35/'3. P&amp;L - Only Base+Confirmed''25'!H$3</f>
        <v>1095.2380952380952</v>
      </c>
      <c r="I71" s="378">
        <f>'4. India Expenses INR'!I35/'3. P&amp;L - Only Base+Confirmed''25'!I$3</f>
        <v>1095.2380952380952</v>
      </c>
      <c r="J71" s="378">
        <f>'4. India Expenses INR'!J35/'3. P&amp;L - Only Base+Confirmed''25'!J$3</f>
        <v>1095.2380952380952</v>
      </c>
      <c r="K71" s="378">
        <f>'4. India Expenses INR'!K35/'3. P&amp;L - Only Base+Confirmed''25'!K$3</f>
        <v>1095.2380952380952</v>
      </c>
      <c r="L71" s="378">
        <f>'4. India Expenses INR'!L35/'3. P&amp;L - Only Base+Confirmed''25'!L$3</f>
        <v>1095.2380952380952</v>
      </c>
      <c r="M71" s="378">
        <f>'4. India Expenses INR'!M35/'3. P&amp;L - Only Base+Confirmed''25'!M$3</f>
        <v>1095.2380952380952</v>
      </c>
      <c r="N71" s="378">
        <f>SUM(B71:M71)</f>
        <v>13142.857142857143</v>
      </c>
      <c r="O71" s="385">
        <f t="shared" si="37"/>
        <v>5.2777107715666332E-3</v>
      </c>
      <c r="P71" s="670"/>
      <c r="Q71" s="378">
        <f>'3. P&amp;L Summary Actual'!N61</f>
        <v>12785.626506024097</v>
      </c>
      <c r="R71" s="401">
        <f t="shared" si="38"/>
        <v>6.0401968874588766E-3</v>
      </c>
      <c r="S71" s="378">
        <v>11514.216867469879</v>
      </c>
      <c r="T71" s="401">
        <f t="shared" si="39"/>
        <v>2.3015148927242111E-3</v>
      </c>
      <c r="U71" s="378"/>
      <c r="V71" s="378"/>
    </row>
    <row r="72" spans="1:22" s="206" customFormat="1" outlineLevel="1" x14ac:dyDescent="0.35">
      <c r="A72" s="374" t="s">
        <v>174</v>
      </c>
      <c r="B72" s="379">
        <f>SUM(B68:B71)</f>
        <v>17568.155697916667</v>
      </c>
      <c r="C72" s="379">
        <f t="shared" ref="C72:N72" si="40">SUM(C68:C71)</f>
        <v>17568.155697916667</v>
      </c>
      <c r="D72" s="379">
        <f t="shared" si="40"/>
        <v>17568.155697916667</v>
      </c>
      <c r="E72" s="379">
        <f t="shared" si="40"/>
        <v>17568.155697916667</v>
      </c>
      <c r="F72" s="379">
        <f t="shared" si="40"/>
        <v>17568.155697916667</v>
      </c>
      <c r="G72" s="379">
        <f t="shared" si="40"/>
        <v>17568.155697916667</v>
      </c>
      <c r="H72" s="379">
        <f t="shared" si="40"/>
        <v>17568.155697916667</v>
      </c>
      <c r="I72" s="379">
        <f t="shared" si="40"/>
        <v>17568.155697916667</v>
      </c>
      <c r="J72" s="379">
        <f t="shared" si="40"/>
        <v>17568.155697916667</v>
      </c>
      <c r="K72" s="379">
        <f t="shared" si="40"/>
        <v>17568.155697916667</v>
      </c>
      <c r="L72" s="379">
        <f t="shared" si="40"/>
        <v>17568.155697916667</v>
      </c>
      <c r="M72" s="379">
        <f t="shared" si="40"/>
        <v>17568.155697916667</v>
      </c>
      <c r="N72" s="379">
        <f t="shared" si="40"/>
        <v>210817.86837499999</v>
      </c>
      <c r="O72" s="385">
        <f t="shared" si="37"/>
        <v>8.4657066775328027E-2</v>
      </c>
      <c r="Q72" s="379">
        <f>'3. P&amp;L Summary Actual'!N62</f>
        <v>203367</v>
      </c>
      <c r="R72" s="401">
        <f t="shared" si="38"/>
        <v>9.6074816500629462E-2</v>
      </c>
      <c r="S72" s="379">
        <v>178331.27221084337</v>
      </c>
      <c r="T72" s="401">
        <f t="shared" si="39"/>
        <v>3.5645679037996016E-2</v>
      </c>
      <c r="U72" s="379"/>
      <c r="V72" s="379"/>
    </row>
    <row r="73" spans="1:22" s="206" customFormat="1" outlineLevel="1" x14ac:dyDescent="0.35">
      <c r="A73" s="374"/>
      <c r="B73" s="380"/>
      <c r="C73" s="380"/>
      <c r="D73" s="380"/>
      <c r="E73" s="380"/>
      <c r="F73" s="380"/>
      <c r="G73" s="380"/>
      <c r="H73" s="380"/>
      <c r="I73" s="380"/>
      <c r="J73" s="380"/>
      <c r="K73" s="380"/>
      <c r="L73" s="380"/>
      <c r="M73" s="380"/>
      <c r="N73" s="380"/>
      <c r="Q73" s="380"/>
      <c r="R73" s="399"/>
      <c r="S73" s="380"/>
      <c r="T73" s="399"/>
      <c r="U73" s="380"/>
      <c r="V73" s="380"/>
    </row>
    <row r="74" spans="1:22" s="206" customFormat="1" outlineLevel="1" x14ac:dyDescent="0.35">
      <c r="A74" s="374" t="s">
        <v>405</v>
      </c>
      <c r="B74" s="380"/>
      <c r="C74" s="380"/>
      <c r="D74" s="380"/>
      <c r="E74" s="380"/>
      <c r="F74" s="380"/>
      <c r="G74" s="380"/>
      <c r="H74" s="380"/>
      <c r="I74" s="380"/>
      <c r="J74" s="380"/>
      <c r="K74" s="380"/>
      <c r="L74" s="380"/>
      <c r="M74" s="380"/>
      <c r="N74" s="380"/>
      <c r="Q74" s="380"/>
      <c r="R74" s="399"/>
      <c r="S74" s="380"/>
      <c r="T74" s="399"/>
      <c r="U74" s="380"/>
      <c r="V74" s="380"/>
    </row>
    <row r="75" spans="1:22" s="414" customFormat="1" outlineLevel="1" x14ac:dyDescent="0.35">
      <c r="A75" s="428" t="s">
        <v>413</v>
      </c>
      <c r="B75" s="429">
        <f>'5. US Expenses'!D54</f>
        <v>0</v>
      </c>
      <c r="C75" s="429">
        <f>'5. US Expenses'!E54</f>
        <v>0</v>
      </c>
      <c r="D75" s="429">
        <f>'5. US Expenses'!F54</f>
        <v>0</v>
      </c>
      <c r="E75" s="429">
        <f>'5. US Expenses'!G54</f>
        <v>0</v>
      </c>
      <c r="F75" s="429">
        <f>'5. US Expenses'!H54</f>
        <v>0</v>
      </c>
      <c r="G75" s="429">
        <f>'5. US Expenses'!I54</f>
        <v>0</v>
      </c>
      <c r="H75" s="429">
        <f>'5. US Expenses'!J54</f>
        <v>0</v>
      </c>
      <c r="I75" s="429">
        <f>'5. US Expenses'!K54</f>
        <v>0</v>
      </c>
      <c r="J75" s="429">
        <f>'5. US Expenses'!L54</f>
        <v>0</v>
      </c>
      <c r="K75" s="429">
        <f>'5. US Expenses'!M54</f>
        <v>0</v>
      </c>
      <c r="L75" s="429">
        <f>'5. US Expenses'!N54</f>
        <v>0</v>
      </c>
      <c r="M75" s="429">
        <f>'5. US Expenses'!O54</f>
        <v>0</v>
      </c>
      <c r="N75" s="429">
        <f>SUM(B75:M75)</f>
        <v>0</v>
      </c>
      <c r="O75" s="430">
        <f t="shared" ref="O75:O78" si="41">N75/$N$38</f>
        <v>0</v>
      </c>
      <c r="Q75" s="412">
        <f>'3. P&amp;L Summary Actual'!N65</f>
        <v>377612.41</v>
      </c>
      <c r="R75" s="415">
        <f t="shared" ref="R75:R78" si="42">Q75/$Q$38</f>
        <v>0.17839198591271177</v>
      </c>
      <c r="S75" s="412">
        <v>339452.52</v>
      </c>
      <c r="T75" s="415">
        <f t="shared" ref="T75:T78" si="43">S75/$S$38</f>
        <v>6.7851338840071301E-2</v>
      </c>
      <c r="U75" s="412"/>
      <c r="V75" s="412"/>
    </row>
    <row r="76" spans="1:22" outlineLevel="1" x14ac:dyDescent="0.35">
      <c r="A76" s="402" t="s">
        <v>415</v>
      </c>
      <c r="B76" s="378"/>
      <c r="C76" s="378"/>
      <c r="D76" s="378"/>
      <c r="E76" s="378"/>
      <c r="F76" s="378"/>
      <c r="G76" s="378"/>
      <c r="H76" s="378"/>
      <c r="I76" s="378"/>
      <c r="J76" s="378"/>
      <c r="K76" s="378"/>
      <c r="L76" s="378"/>
      <c r="M76" s="378"/>
      <c r="N76" s="378"/>
      <c r="O76" s="385"/>
      <c r="P76" s="670"/>
      <c r="Q76" s="378">
        <f>'3. P&amp;L Summary Actual'!N66</f>
        <v>38682.5</v>
      </c>
      <c r="R76" s="401">
        <f t="shared" si="42"/>
        <v>1.8274420576030521E-2</v>
      </c>
      <c r="S76" s="378"/>
      <c r="T76" s="401"/>
      <c r="U76" s="378"/>
      <c r="V76" s="378"/>
    </row>
    <row r="77" spans="1:22" outlineLevel="1" x14ac:dyDescent="0.35">
      <c r="A77" s="377" t="s">
        <v>416</v>
      </c>
      <c r="B77" s="378" t="e">
        <f>'5. US Expenses'!#REF!</f>
        <v>#REF!</v>
      </c>
      <c r="C77" s="378" t="e">
        <f>'5. US Expenses'!#REF!</f>
        <v>#REF!</v>
      </c>
      <c r="D77" s="378" t="e">
        <f>'5. US Expenses'!#REF!</f>
        <v>#REF!</v>
      </c>
      <c r="E77" s="378" t="e">
        <f>'5. US Expenses'!#REF!</f>
        <v>#REF!</v>
      </c>
      <c r="F77" s="378" t="e">
        <f>'5. US Expenses'!#REF!</f>
        <v>#REF!</v>
      </c>
      <c r="G77" s="378" t="e">
        <f>'5. US Expenses'!#REF!</f>
        <v>#REF!</v>
      </c>
      <c r="H77" s="378" t="e">
        <f>'5. US Expenses'!#REF!</f>
        <v>#REF!</v>
      </c>
      <c r="I77" s="378" t="e">
        <f>'5. US Expenses'!#REF!</f>
        <v>#REF!</v>
      </c>
      <c r="J77" s="378" t="e">
        <f>'5. US Expenses'!#REF!</f>
        <v>#REF!</v>
      </c>
      <c r="K77" s="378" t="e">
        <f>'5. US Expenses'!#REF!</f>
        <v>#REF!</v>
      </c>
      <c r="L77" s="378" t="e">
        <f>'5. US Expenses'!#REF!</f>
        <v>#REF!</v>
      </c>
      <c r="M77" s="378" t="e">
        <f>'5. US Expenses'!#REF!</f>
        <v>#REF!</v>
      </c>
      <c r="N77" s="378" t="e">
        <f>SUM(B77:M77)</f>
        <v>#REF!</v>
      </c>
      <c r="O77" s="385" t="e">
        <f t="shared" si="41"/>
        <v>#REF!</v>
      </c>
      <c r="P77" s="670"/>
      <c r="Q77" s="378">
        <f>'3. P&amp;L Summary Actual'!N67</f>
        <v>44083.279999999992</v>
      </c>
      <c r="R77" s="401">
        <f t="shared" si="42"/>
        <v>2.0825861800320936E-2</v>
      </c>
      <c r="S77" s="378">
        <v>132480</v>
      </c>
      <c r="T77" s="401">
        <f t="shared" si="43"/>
        <v>2.6480714797853456E-2</v>
      </c>
      <c r="U77" s="378"/>
      <c r="V77" s="378"/>
    </row>
    <row r="78" spans="1:22" s="206" customFormat="1" outlineLevel="1" x14ac:dyDescent="0.35">
      <c r="A78" s="374" t="s">
        <v>174</v>
      </c>
      <c r="B78" s="379" t="e">
        <f t="shared" ref="B78:N78" si="44">SUM(B75:B77)</f>
        <v>#REF!</v>
      </c>
      <c r="C78" s="379" t="e">
        <f t="shared" si="44"/>
        <v>#REF!</v>
      </c>
      <c r="D78" s="379" t="e">
        <f t="shared" si="44"/>
        <v>#REF!</v>
      </c>
      <c r="E78" s="379" t="e">
        <f t="shared" si="44"/>
        <v>#REF!</v>
      </c>
      <c r="F78" s="379" t="e">
        <f t="shared" si="44"/>
        <v>#REF!</v>
      </c>
      <c r="G78" s="379" t="e">
        <f t="shared" si="44"/>
        <v>#REF!</v>
      </c>
      <c r="H78" s="379" t="e">
        <f t="shared" si="44"/>
        <v>#REF!</v>
      </c>
      <c r="I78" s="379" t="e">
        <f t="shared" si="44"/>
        <v>#REF!</v>
      </c>
      <c r="J78" s="379" t="e">
        <f t="shared" si="44"/>
        <v>#REF!</v>
      </c>
      <c r="K78" s="379" t="e">
        <f t="shared" si="44"/>
        <v>#REF!</v>
      </c>
      <c r="L78" s="379" t="e">
        <f t="shared" si="44"/>
        <v>#REF!</v>
      </c>
      <c r="M78" s="379" t="e">
        <f t="shared" si="44"/>
        <v>#REF!</v>
      </c>
      <c r="N78" s="379" t="e">
        <f t="shared" si="44"/>
        <v>#REF!</v>
      </c>
      <c r="O78" s="385" t="e">
        <f t="shared" si="41"/>
        <v>#REF!</v>
      </c>
      <c r="Q78" s="379">
        <f>'3. P&amp;L Summary Actual'!N68</f>
        <v>460378.18999999994</v>
      </c>
      <c r="R78" s="401">
        <f t="shared" si="42"/>
        <v>0.21749226828906323</v>
      </c>
      <c r="S78" s="379">
        <v>471932.52</v>
      </c>
      <c r="T78" s="401">
        <f t="shared" si="43"/>
        <v>9.4332053637924754E-2</v>
      </c>
      <c r="U78" s="379"/>
      <c r="V78" s="379"/>
    </row>
    <row r="79" spans="1:22" s="206" customFormat="1" outlineLevel="1" x14ac:dyDescent="0.35">
      <c r="A79" s="374"/>
      <c r="B79" s="380"/>
      <c r="C79" s="380"/>
      <c r="D79" s="380"/>
      <c r="E79" s="380"/>
      <c r="F79" s="380"/>
      <c r="G79" s="380"/>
      <c r="H79" s="380"/>
      <c r="I79" s="380"/>
      <c r="J79" s="380"/>
      <c r="K79" s="380"/>
      <c r="L79" s="380"/>
      <c r="M79" s="380"/>
      <c r="N79" s="380"/>
      <c r="Q79" s="380"/>
      <c r="R79" s="399"/>
      <c r="S79" s="380"/>
      <c r="T79" s="399"/>
      <c r="U79" s="380"/>
      <c r="V79" s="380"/>
    </row>
    <row r="80" spans="1:22" s="206" customFormat="1" x14ac:dyDescent="0.35">
      <c r="A80" s="374" t="s">
        <v>417</v>
      </c>
      <c r="B80" s="380"/>
      <c r="C80" s="380"/>
      <c r="D80" s="380"/>
      <c r="E80" s="380"/>
      <c r="F80" s="380"/>
      <c r="G80" s="380"/>
      <c r="H80" s="380"/>
      <c r="I80" s="380"/>
      <c r="J80" s="380"/>
      <c r="K80" s="380"/>
      <c r="L80" s="380"/>
      <c r="M80" s="380"/>
      <c r="N80" s="380"/>
      <c r="Q80" s="380"/>
      <c r="R80" s="399"/>
      <c r="S80" s="380"/>
      <c r="T80" s="399"/>
      <c r="U80" s="380"/>
      <c r="V80" s="380"/>
    </row>
    <row r="81" spans="1:22" s="414" customFormat="1" x14ac:dyDescent="0.35">
      <c r="A81" s="428" t="s">
        <v>413</v>
      </c>
      <c r="B81" s="429">
        <f t="shared" ref="B81:M81" si="45">B75+B68</f>
        <v>10613.631888392856</v>
      </c>
      <c r="C81" s="429">
        <f t="shared" si="45"/>
        <v>10613.631888392856</v>
      </c>
      <c r="D81" s="429">
        <f t="shared" si="45"/>
        <v>10613.631888392856</v>
      </c>
      <c r="E81" s="429">
        <f t="shared" si="45"/>
        <v>10613.631888392856</v>
      </c>
      <c r="F81" s="429">
        <f t="shared" si="45"/>
        <v>10613.631888392856</v>
      </c>
      <c r="G81" s="429">
        <f t="shared" si="45"/>
        <v>10613.631888392856</v>
      </c>
      <c r="H81" s="429">
        <f t="shared" si="45"/>
        <v>10613.631888392856</v>
      </c>
      <c r="I81" s="429">
        <f t="shared" si="45"/>
        <v>10613.631888392856</v>
      </c>
      <c r="J81" s="429">
        <f t="shared" si="45"/>
        <v>10613.631888392856</v>
      </c>
      <c r="K81" s="429">
        <f t="shared" si="45"/>
        <v>10613.631888392856</v>
      </c>
      <c r="L81" s="429">
        <f t="shared" si="45"/>
        <v>10613.631888392856</v>
      </c>
      <c r="M81" s="429">
        <f t="shared" si="45"/>
        <v>10613.631888392856</v>
      </c>
      <c r="N81" s="429">
        <f>SUM(B81:M81)</f>
        <v>127363.5826607143</v>
      </c>
      <c r="O81" s="430">
        <f t="shared" ref="O81:O85" si="46">N81/$N$38</f>
        <v>5.1144750704308517E-2</v>
      </c>
      <c r="P81" s="413"/>
      <c r="Q81" s="412">
        <f>'3. P&amp;L Summary Actual'!N71</f>
        <v>522915.53048192768</v>
      </c>
      <c r="R81" s="415">
        <f t="shared" ref="R81:R85" si="47">Q81/$Q$38</f>
        <v>0.24703621352717262</v>
      </c>
      <c r="S81" s="412">
        <v>467951.81148795172</v>
      </c>
      <c r="T81" s="415">
        <f t="shared" ref="T81:T85" si="48">S81/$S$38</f>
        <v>9.3536371219439418E-2</v>
      </c>
      <c r="U81" s="412"/>
      <c r="V81" s="412"/>
    </row>
    <row r="82" spans="1:22" x14ac:dyDescent="0.35">
      <c r="A82" s="377" t="s">
        <v>289</v>
      </c>
      <c r="B82" s="378">
        <f>B69</f>
        <v>5442.6190476190477</v>
      </c>
      <c r="C82" s="378">
        <f t="shared" ref="C82:M83" si="49">C69</f>
        <v>5442.6190476190477</v>
      </c>
      <c r="D82" s="378">
        <f t="shared" si="49"/>
        <v>5442.6190476190477</v>
      </c>
      <c r="E82" s="378">
        <f t="shared" si="49"/>
        <v>5442.6190476190477</v>
      </c>
      <c r="F82" s="378">
        <f t="shared" si="49"/>
        <v>5442.6190476190477</v>
      </c>
      <c r="G82" s="378">
        <f t="shared" si="49"/>
        <v>5442.6190476190477</v>
      </c>
      <c r="H82" s="378">
        <f t="shared" si="49"/>
        <v>5442.6190476190477</v>
      </c>
      <c r="I82" s="378">
        <f t="shared" si="49"/>
        <v>5442.6190476190477</v>
      </c>
      <c r="J82" s="378">
        <f t="shared" si="49"/>
        <v>5442.6190476190477</v>
      </c>
      <c r="K82" s="378">
        <f t="shared" si="49"/>
        <v>5442.6190476190477</v>
      </c>
      <c r="L82" s="378">
        <f t="shared" si="49"/>
        <v>5442.6190476190477</v>
      </c>
      <c r="M82" s="378">
        <f t="shared" si="49"/>
        <v>5442.6190476190477</v>
      </c>
      <c r="N82" s="378">
        <f>SUM(B82:M82)</f>
        <v>65311.428571428558</v>
      </c>
      <c r="O82" s="385">
        <f t="shared" si="46"/>
        <v>2.6226780549400353E-2</v>
      </c>
      <c r="P82" s="385"/>
      <c r="Q82" s="378">
        <f>'3. P&amp;L Summary Actual'!N72</f>
        <v>12785.626506024097</v>
      </c>
      <c r="R82" s="401">
        <f t="shared" si="47"/>
        <v>6.0401968874588766E-3</v>
      </c>
      <c r="S82" s="378">
        <v>33257.522891566252</v>
      </c>
      <c r="T82" s="401">
        <f t="shared" si="48"/>
        <v>6.6476674107385902E-3</v>
      </c>
      <c r="U82" s="378"/>
      <c r="V82" s="378"/>
    </row>
    <row r="83" spans="1:22" x14ac:dyDescent="0.35">
      <c r="A83" s="377" t="s">
        <v>418</v>
      </c>
      <c r="B83" s="378">
        <f>B70</f>
        <v>416.66666666666669</v>
      </c>
      <c r="C83" s="378">
        <f t="shared" si="49"/>
        <v>416.66666666666669</v>
      </c>
      <c r="D83" s="378">
        <f t="shared" si="49"/>
        <v>416.66666666666669</v>
      </c>
      <c r="E83" s="378">
        <f t="shared" si="49"/>
        <v>416.66666666666669</v>
      </c>
      <c r="F83" s="378">
        <f t="shared" si="49"/>
        <v>416.66666666666669</v>
      </c>
      <c r="G83" s="378">
        <f t="shared" si="49"/>
        <v>416.66666666666669</v>
      </c>
      <c r="H83" s="378">
        <f t="shared" si="49"/>
        <v>416.66666666666669</v>
      </c>
      <c r="I83" s="378">
        <f t="shared" si="49"/>
        <v>416.66666666666669</v>
      </c>
      <c r="J83" s="378">
        <f t="shared" si="49"/>
        <v>416.66666666666669</v>
      </c>
      <c r="K83" s="378">
        <f t="shared" si="49"/>
        <v>416.66666666666669</v>
      </c>
      <c r="L83" s="378">
        <f t="shared" si="49"/>
        <v>416.66666666666669</v>
      </c>
      <c r="M83" s="378">
        <f t="shared" si="49"/>
        <v>416.66666666666669</v>
      </c>
      <c r="N83" s="378">
        <f>SUM(B83:M83)</f>
        <v>5000</v>
      </c>
      <c r="O83" s="385">
        <f t="shared" si="46"/>
        <v>2.0078247500525232E-3</v>
      </c>
      <c r="P83" s="385"/>
      <c r="Q83" s="378">
        <f>'3. P&amp;L Summary Actual'!N73</f>
        <v>71175.126506024098</v>
      </c>
      <c r="R83" s="401">
        <f t="shared" si="47"/>
        <v>3.3624615687281388E-2</v>
      </c>
      <c r="S83" s="378">
        <v>5060.2409638554209</v>
      </c>
      <c r="T83" s="401">
        <f t="shared" si="48"/>
        <v>1.0114643551650852E-3</v>
      </c>
      <c r="U83" s="378"/>
      <c r="V83" s="378"/>
    </row>
    <row r="84" spans="1:22" x14ac:dyDescent="0.35">
      <c r="A84" s="377" t="s">
        <v>151</v>
      </c>
      <c r="B84" s="378" t="e">
        <f>B77+B71</f>
        <v>#REF!</v>
      </c>
      <c r="C84" s="378" t="e">
        <f t="shared" ref="C84:M84" si="50">C77+C71</f>
        <v>#REF!</v>
      </c>
      <c r="D84" s="378" t="e">
        <f t="shared" si="50"/>
        <v>#REF!</v>
      </c>
      <c r="E84" s="378" t="e">
        <f t="shared" si="50"/>
        <v>#REF!</v>
      </c>
      <c r="F84" s="378" t="e">
        <f t="shared" si="50"/>
        <v>#REF!</v>
      </c>
      <c r="G84" s="378" t="e">
        <f t="shared" si="50"/>
        <v>#REF!</v>
      </c>
      <c r="H84" s="378" t="e">
        <f t="shared" si="50"/>
        <v>#REF!</v>
      </c>
      <c r="I84" s="378" t="e">
        <f t="shared" si="50"/>
        <v>#REF!</v>
      </c>
      <c r="J84" s="378" t="e">
        <f t="shared" si="50"/>
        <v>#REF!</v>
      </c>
      <c r="K84" s="378" t="e">
        <f t="shared" si="50"/>
        <v>#REF!</v>
      </c>
      <c r="L84" s="378" t="e">
        <f t="shared" si="50"/>
        <v>#REF!</v>
      </c>
      <c r="M84" s="378" t="e">
        <f t="shared" si="50"/>
        <v>#REF!</v>
      </c>
      <c r="N84" s="378" t="e">
        <f>SUM(B84:M84)</f>
        <v>#REF!</v>
      </c>
      <c r="O84" s="385" t="e">
        <f t="shared" si="46"/>
        <v>#REF!</v>
      </c>
      <c r="P84" s="385"/>
      <c r="Q84" s="378">
        <f>'3. P&amp;L Summary Actual'!N74</f>
        <v>56868.906506024097</v>
      </c>
      <c r="R84" s="401">
        <f t="shared" si="47"/>
        <v>2.6866058687779817E-2</v>
      </c>
      <c r="S84" s="378">
        <v>143994.21686746986</v>
      </c>
      <c r="T84" s="401">
        <f t="shared" si="48"/>
        <v>2.878222969057766E-2</v>
      </c>
      <c r="U84" s="378"/>
      <c r="V84" s="378"/>
    </row>
    <row r="85" spans="1:22" s="206" customFormat="1" x14ac:dyDescent="0.35">
      <c r="A85" s="374" t="s">
        <v>174</v>
      </c>
      <c r="B85" s="379" t="e">
        <f t="shared" ref="B85:N85" si="51">SUM(B81:B84)</f>
        <v>#REF!</v>
      </c>
      <c r="C85" s="379" t="e">
        <f t="shared" si="51"/>
        <v>#REF!</v>
      </c>
      <c r="D85" s="379" t="e">
        <f t="shared" si="51"/>
        <v>#REF!</v>
      </c>
      <c r="E85" s="379" t="e">
        <f t="shared" si="51"/>
        <v>#REF!</v>
      </c>
      <c r="F85" s="379" t="e">
        <f t="shared" si="51"/>
        <v>#REF!</v>
      </c>
      <c r="G85" s="379" t="e">
        <f t="shared" si="51"/>
        <v>#REF!</v>
      </c>
      <c r="H85" s="379" t="e">
        <f t="shared" si="51"/>
        <v>#REF!</v>
      </c>
      <c r="I85" s="379" t="e">
        <f t="shared" si="51"/>
        <v>#REF!</v>
      </c>
      <c r="J85" s="379" t="e">
        <f t="shared" si="51"/>
        <v>#REF!</v>
      </c>
      <c r="K85" s="379" t="e">
        <f t="shared" si="51"/>
        <v>#REF!</v>
      </c>
      <c r="L85" s="379" t="e">
        <f t="shared" si="51"/>
        <v>#REF!</v>
      </c>
      <c r="M85" s="379" t="e">
        <f t="shared" si="51"/>
        <v>#REF!</v>
      </c>
      <c r="N85" s="379" t="e">
        <f t="shared" si="51"/>
        <v>#REF!</v>
      </c>
      <c r="O85" s="385" t="e">
        <f t="shared" si="46"/>
        <v>#REF!</v>
      </c>
      <c r="Q85" s="379">
        <f>'3. P&amp;L Summary Actual'!N75</f>
        <v>663745.18999999994</v>
      </c>
      <c r="R85" s="401">
        <f t="shared" si="47"/>
        <v>0.3135670847896927</v>
      </c>
      <c r="S85" s="379">
        <v>650263.7922108433</v>
      </c>
      <c r="T85" s="401">
        <f t="shared" si="48"/>
        <v>0.12997773267592075</v>
      </c>
      <c r="U85" s="379"/>
      <c r="V85" s="379"/>
    </row>
    <row r="86" spans="1:22" s="214" customFormat="1" x14ac:dyDescent="0.35">
      <c r="A86" s="383" t="s">
        <v>419</v>
      </c>
      <c r="B86" s="381" t="e">
        <f t="shared" ref="B86:N86" si="52">B85/B38</f>
        <v>#REF!</v>
      </c>
      <c r="C86" s="381" t="e">
        <f t="shared" si="52"/>
        <v>#REF!</v>
      </c>
      <c r="D86" s="381" t="e">
        <f t="shared" si="52"/>
        <v>#REF!</v>
      </c>
      <c r="E86" s="381" t="e">
        <f t="shared" si="52"/>
        <v>#REF!</v>
      </c>
      <c r="F86" s="381" t="e">
        <f t="shared" si="52"/>
        <v>#REF!</v>
      </c>
      <c r="G86" s="381" t="e">
        <f t="shared" si="52"/>
        <v>#REF!</v>
      </c>
      <c r="H86" s="381" t="e">
        <f t="shared" si="52"/>
        <v>#REF!</v>
      </c>
      <c r="I86" s="381" t="e">
        <f t="shared" si="52"/>
        <v>#REF!</v>
      </c>
      <c r="J86" s="381" t="e">
        <f t="shared" si="52"/>
        <v>#REF!</v>
      </c>
      <c r="K86" s="381" t="e">
        <f t="shared" si="52"/>
        <v>#REF!</v>
      </c>
      <c r="L86" s="381" t="e">
        <f t="shared" si="52"/>
        <v>#REF!</v>
      </c>
      <c r="M86" s="381" t="e">
        <f t="shared" si="52"/>
        <v>#REF!</v>
      </c>
      <c r="N86" s="381" t="e">
        <f t="shared" si="52"/>
        <v>#REF!</v>
      </c>
      <c r="Q86" s="381">
        <f>'3. P&amp;L Summary Actual'!N76</f>
        <v>0.3135670847896927</v>
      </c>
      <c r="R86" s="400"/>
      <c r="S86" s="381">
        <v>0.12997773267592075</v>
      </c>
      <c r="T86" s="400"/>
      <c r="U86" s="381"/>
      <c r="V86" s="381"/>
    </row>
    <row r="87" spans="1:22" s="206" customFormat="1" x14ac:dyDescent="0.35">
      <c r="A87" s="374"/>
      <c r="B87" s="380"/>
      <c r="C87" s="380"/>
      <c r="D87" s="380"/>
      <c r="E87" s="380"/>
      <c r="F87" s="380"/>
      <c r="G87" s="380"/>
      <c r="H87" s="380"/>
      <c r="I87" s="380"/>
      <c r="J87" s="380"/>
      <c r="K87" s="380"/>
      <c r="L87" s="380"/>
      <c r="M87" s="380"/>
      <c r="N87" s="380"/>
      <c r="Q87" s="380"/>
      <c r="R87" s="399"/>
      <c r="S87" s="380"/>
      <c r="T87" s="399"/>
      <c r="U87" s="380"/>
      <c r="V87" s="380"/>
    </row>
    <row r="88" spans="1:22" s="206" customFormat="1" x14ac:dyDescent="0.35">
      <c r="A88" s="374" t="s">
        <v>420</v>
      </c>
      <c r="B88" s="379" t="e">
        <f>B85+B63</f>
        <v>#REF!</v>
      </c>
      <c r="C88" s="379" t="e">
        <f t="shared" ref="C88:N88" si="53">C85+C63</f>
        <v>#REF!</v>
      </c>
      <c r="D88" s="379" t="e">
        <f t="shared" si="53"/>
        <v>#REF!</v>
      </c>
      <c r="E88" s="379" t="e">
        <f t="shared" si="53"/>
        <v>#REF!</v>
      </c>
      <c r="F88" s="379" t="e">
        <f t="shared" si="53"/>
        <v>#REF!</v>
      </c>
      <c r="G88" s="379" t="e">
        <f t="shared" si="53"/>
        <v>#REF!</v>
      </c>
      <c r="H88" s="379" t="e">
        <f t="shared" si="53"/>
        <v>#REF!</v>
      </c>
      <c r="I88" s="379" t="e">
        <f t="shared" si="53"/>
        <v>#REF!</v>
      </c>
      <c r="J88" s="379" t="e">
        <f t="shared" si="53"/>
        <v>#REF!</v>
      </c>
      <c r="K88" s="379" t="e">
        <f t="shared" si="53"/>
        <v>#REF!</v>
      </c>
      <c r="L88" s="379" t="e">
        <f t="shared" si="53"/>
        <v>#REF!</v>
      </c>
      <c r="M88" s="379" t="e">
        <f t="shared" si="53"/>
        <v>#REF!</v>
      </c>
      <c r="N88" s="379" t="e">
        <f t="shared" si="53"/>
        <v>#REF!</v>
      </c>
      <c r="O88" s="385" t="e">
        <f>N88/$N$38</f>
        <v>#REF!</v>
      </c>
      <c r="Q88" s="379" t="e">
        <f>'3. P&amp;L Summary Actual'!N78</f>
        <v>#REF!</v>
      </c>
      <c r="R88" s="401" t="e">
        <f>Q88/$Q$38</f>
        <v>#REF!</v>
      </c>
      <c r="S88" s="379">
        <v>786917.80827510031</v>
      </c>
      <c r="T88" s="401">
        <f t="shared" ref="T88" si="54">S88/$S$38</f>
        <v>0.1572927690993724</v>
      </c>
      <c r="U88" s="379"/>
      <c r="V88" s="379"/>
    </row>
    <row r="89" spans="1:22" s="206" customFormat="1" x14ac:dyDescent="0.35">
      <c r="A89" s="374" t="s">
        <v>421</v>
      </c>
      <c r="B89" s="379" t="e">
        <f t="shared" ref="B89:N89" si="55">B45-B88</f>
        <v>#REF!</v>
      </c>
      <c r="C89" s="379" t="e">
        <f t="shared" si="55"/>
        <v>#REF!</v>
      </c>
      <c r="D89" s="379" t="e">
        <f t="shared" si="55"/>
        <v>#REF!</v>
      </c>
      <c r="E89" s="379" t="e">
        <f t="shared" si="55"/>
        <v>#REF!</v>
      </c>
      <c r="F89" s="379" t="e">
        <f t="shared" si="55"/>
        <v>#REF!</v>
      </c>
      <c r="G89" s="379" t="e">
        <f t="shared" si="55"/>
        <v>#REF!</v>
      </c>
      <c r="H89" s="379" t="e">
        <f t="shared" si="55"/>
        <v>#REF!</v>
      </c>
      <c r="I89" s="379" t="e">
        <f t="shared" si="55"/>
        <v>#REF!</v>
      </c>
      <c r="J89" s="379" t="e">
        <f t="shared" si="55"/>
        <v>#REF!</v>
      </c>
      <c r="K89" s="379" t="e">
        <f t="shared" si="55"/>
        <v>#REF!</v>
      </c>
      <c r="L89" s="379" t="e">
        <f t="shared" si="55"/>
        <v>#REF!</v>
      </c>
      <c r="M89" s="379" t="e">
        <f t="shared" si="55"/>
        <v>#REF!</v>
      </c>
      <c r="N89" s="379" t="e">
        <f t="shared" si="55"/>
        <v>#REF!</v>
      </c>
      <c r="Q89" s="379" t="e">
        <f>'3. P&amp;L Summary Actual'!N79</f>
        <v>#REF!</v>
      </c>
      <c r="R89" s="401"/>
      <c r="S89" s="379">
        <v>2187579.3642104543</v>
      </c>
      <c r="T89" s="398"/>
      <c r="U89" s="379"/>
      <c r="V89" s="379"/>
    </row>
    <row r="90" spans="1:22" x14ac:dyDescent="0.35">
      <c r="A90" s="384" t="s">
        <v>422</v>
      </c>
      <c r="B90" s="673" t="e">
        <f t="shared" ref="B90:N90" si="56">B89/B38</f>
        <v>#REF!</v>
      </c>
      <c r="C90" s="673" t="e">
        <f t="shared" si="56"/>
        <v>#REF!</v>
      </c>
      <c r="D90" s="673" t="e">
        <f t="shared" si="56"/>
        <v>#REF!</v>
      </c>
      <c r="E90" s="673" t="e">
        <f t="shared" si="56"/>
        <v>#REF!</v>
      </c>
      <c r="F90" s="673" t="e">
        <f t="shared" si="56"/>
        <v>#REF!</v>
      </c>
      <c r="G90" s="673" t="e">
        <f t="shared" si="56"/>
        <v>#REF!</v>
      </c>
      <c r="H90" s="673" t="e">
        <f t="shared" si="56"/>
        <v>#REF!</v>
      </c>
      <c r="I90" s="673" t="e">
        <f t="shared" si="56"/>
        <v>#REF!</v>
      </c>
      <c r="J90" s="673" t="e">
        <f t="shared" si="56"/>
        <v>#REF!</v>
      </c>
      <c r="K90" s="673" t="e">
        <f t="shared" si="56"/>
        <v>#REF!</v>
      </c>
      <c r="L90" s="673" t="e">
        <f t="shared" si="56"/>
        <v>#REF!</v>
      </c>
      <c r="M90" s="673" t="e">
        <f t="shared" si="56"/>
        <v>#REF!</v>
      </c>
      <c r="N90" s="673" t="e">
        <f t="shared" si="56"/>
        <v>#REF!</v>
      </c>
      <c r="O90" s="670"/>
      <c r="P90" s="670"/>
      <c r="Q90" s="673" t="e">
        <f>'3. P&amp;L Summary Actual'!N80</f>
        <v>#REF!</v>
      </c>
      <c r="R90" s="674"/>
      <c r="S90" s="673">
        <v>0.43726347555349204</v>
      </c>
      <c r="T90" s="674"/>
      <c r="U90" s="673"/>
      <c r="V90" s="673"/>
    </row>
    <row r="91" spans="1:22" x14ac:dyDescent="0.35">
      <c r="A91" s="670"/>
      <c r="B91" s="675"/>
      <c r="C91" s="675"/>
      <c r="D91" s="675"/>
      <c r="E91" s="675"/>
      <c r="F91" s="675"/>
      <c r="G91" s="675"/>
      <c r="H91" s="675"/>
      <c r="I91" s="675"/>
      <c r="J91" s="675"/>
      <c r="K91" s="675"/>
      <c r="L91" s="675"/>
      <c r="M91" s="675"/>
      <c r="N91" s="675"/>
      <c r="O91" s="670"/>
      <c r="P91" s="670"/>
      <c r="Q91" s="675"/>
      <c r="R91" s="676"/>
      <c r="S91" s="675"/>
      <c r="T91" s="676"/>
      <c r="U91" s="675"/>
      <c r="V91" s="675"/>
    </row>
    <row r="92" spans="1:22" x14ac:dyDescent="0.35">
      <c r="A92" s="406">
        <v>2024</v>
      </c>
      <c r="B92" s="675"/>
      <c r="C92" s="675"/>
      <c r="D92" s="675"/>
      <c r="E92" s="675"/>
      <c r="F92" s="675"/>
      <c r="G92" s="675"/>
      <c r="H92" s="675"/>
      <c r="I92" s="675"/>
      <c r="J92" s="675"/>
      <c r="K92" s="675"/>
      <c r="L92" s="675"/>
      <c r="M92" s="675"/>
      <c r="N92" s="675"/>
      <c r="O92" s="670"/>
      <c r="P92" s="670"/>
      <c r="Q92" s="675"/>
      <c r="R92" s="676"/>
      <c r="S92" s="675"/>
      <c r="T92" s="676"/>
      <c r="U92" s="675"/>
      <c r="V92" s="675"/>
    </row>
    <row r="93" spans="1:22" x14ac:dyDescent="0.35">
      <c r="A93" s="677" t="s">
        <v>423</v>
      </c>
      <c r="B93" s="168">
        <f>'1. Revenue Buildup 2026'!D36</f>
        <v>1287.7541216216218</v>
      </c>
      <c r="C93" s="168">
        <f>'1. Revenue Buildup 2026'!E36</f>
        <v>1547.1734415584415</v>
      </c>
      <c r="D93" s="168">
        <f>'1. Revenue Buildup 2026'!F36</f>
        <v>1265.2515337423313</v>
      </c>
      <c r="E93" s="168">
        <f>'1. Revenue Buildup 2026'!G36</f>
        <v>1295.926705882353</v>
      </c>
      <c r="F93" s="168">
        <f>'1. Revenue Buildup 2026'!H36</f>
        <v>1422.1352941176472</v>
      </c>
      <c r="G93" s="168">
        <f>'1. Revenue Buildup 2026'!I36</f>
        <v>1478.7630057803469</v>
      </c>
      <c r="H93" s="168">
        <f>'1. Revenue Buildup 2026'!J36</f>
        <v>1438.798221614227</v>
      </c>
      <c r="I93" s="168">
        <f>'1. Revenue Buildup 2026'!K36</f>
        <v>1195.4881361315938</v>
      </c>
      <c r="J93" s="168">
        <f>'1. Revenue Buildup 2026'!L36</f>
        <v>1206.7186790697674</v>
      </c>
      <c r="K93" s="168">
        <f>'1. Revenue Buildup 2026'!M36</f>
        <v>1153.4731707317073</v>
      </c>
      <c r="L93" s="168">
        <f>'1. Revenue Buildup 2026'!N36</f>
        <v>1105.7536945812808</v>
      </c>
      <c r="M93" s="168">
        <f>'1. Revenue Buildup 2026'!O36</f>
        <v>1105.7536945812808</v>
      </c>
      <c r="N93" s="168">
        <f>'1. Revenue Buildup 2026'!C36</f>
        <v>1280.9981344166854</v>
      </c>
      <c r="O93" s="670" t="s">
        <v>424</v>
      </c>
      <c r="P93" s="670"/>
    </row>
    <row r="94" spans="1:22" x14ac:dyDescent="0.35">
      <c r="A94" s="677" t="s">
        <v>425</v>
      </c>
      <c r="B94" s="168">
        <f>'3. P&amp;L Summary Actual'!B12/'1. Revenue Buildup 2026'!D31</f>
        <v>380.03663953109731</v>
      </c>
      <c r="C94" s="168">
        <f>'3. P&amp;L Summary Actual'!C12/'1. Revenue Buildup 2026'!E31</f>
        <v>529.25602018463462</v>
      </c>
      <c r="D94" s="168">
        <f>'3. P&amp;L Summary Actual'!D12/'1. Revenue Buildup 2026'!F31</f>
        <v>349.30850986769167</v>
      </c>
      <c r="E94" s="168">
        <f>'3. P&amp;L Summary Actual'!E12/'1. Revenue Buildup 2026'!G31</f>
        <v>389.91763571934791</v>
      </c>
      <c r="F94" s="168">
        <f>'3. P&amp;L Summary Actual'!F12/'1. Revenue Buildup 2026'!H31</f>
        <v>424.61634089298366</v>
      </c>
      <c r="G94" s="168">
        <f>'3. P&amp;L Summary Actual'!G12/'1. Revenue Buildup 2026'!I31</f>
        <v>448.97982310745863</v>
      </c>
      <c r="H94" s="168">
        <f>'3. P&amp;L Summary Actual'!H12/'1. Revenue Buildup 2026'!J31</f>
        <v>493.53831969589589</v>
      </c>
      <c r="I94" s="168">
        <f>'3. P&amp;L Summary Actual'!I12/'1. Revenue Buildup 2026'!K31</f>
        <v>466.19757390537762</v>
      </c>
      <c r="J94" s="168">
        <f>'3. P&amp;L Summary Actual'!J12/'1. Revenue Buildup 2026'!L31</f>
        <v>474.94803493975911</v>
      </c>
      <c r="K94" s="168">
        <f>'3. P&amp;L Summary Actual'!K12/'1. Revenue Buildup 2026'!M31</f>
        <v>509.85228563032615</v>
      </c>
      <c r="L94" s="168">
        <f>'3. P&amp;L Summary Actual'!L12/'1. Revenue Buildup 2026'!N31</f>
        <v>508.07474390171524</v>
      </c>
      <c r="M94" s="168">
        <f>'3. P&amp;L Summary Actual'!M12/'1. Revenue Buildup 2026'!O31</f>
        <v>508.07474390171524</v>
      </c>
      <c r="N94" s="168">
        <f>'3. P&amp;L Summary Actual'!N12/'1. Revenue Buildup 2026'!C31</f>
        <v>460.56041370433587</v>
      </c>
      <c r="O94" s="670" t="s">
        <v>426</v>
      </c>
      <c r="P94" s="670"/>
    </row>
    <row r="96" spans="1:22" x14ac:dyDescent="0.35">
      <c r="A96" s="406">
        <v>2025</v>
      </c>
      <c r="O96" s="670"/>
      <c r="P96" s="670"/>
    </row>
    <row r="97" spans="1:15" x14ac:dyDescent="0.35">
      <c r="A97" s="677" t="s">
        <v>423</v>
      </c>
      <c r="B97" s="168" t="e">
        <f>'1. Revenue Buildup 2026'!#REF!/'1. Revenue Buildup 2026'!D15</f>
        <v>#REF!</v>
      </c>
      <c r="C97" s="168" t="e">
        <f>'1. Revenue Buildup 2026'!#REF!/'1. Revenue Buildup 2026'!E15</f>
        <v>#REF!</v>
      </c>
      <c r="D97" s="168" t="e">
        <f>'1. Revenue Buildup 2026'!#REF!/'1. Revenue Buildup 2026'!F15</f>
        <v>#REF!</v>
      </c>
      <c r="E97" s="168" t="e">
        <f>'1. Revenue Buildup 2026'!#REF!/'1. Revenue Buildup 2026'!G15</f>
        <v>#REF!</v>
      </c>
      <c r="F97" s="168" t="e">
        <f>'1. Revenue Buildup 2026'!#REF!/'1. Revenue Buildup 2026'!H15</f>
        <v>#REF!</v>
      </c>
      <c r="G97" s="168" t="e">
        <f>'1. Revenue Buildup 2026'!#REF!/'1. Revenue Buildup 2026'!I15</f>
        <v>#REF!</v>
      </c>
      <c r="H97" s="168" t="e">
        <f>'1. Revenue Buildup 2026'!#REF!/'1. Revenue Buildup 2026'!J15</f>
        <v>#REF!</v>
      </c>
      <c r="I97" s="168" t="e">
        <f>'1. Revenue Buildup 2026'!#REF!/'1. Revenue Buildup 2026'!K15</f>
        <v>#REF!</v>
      </c>
      <c r="J97" s="168" t="e">
        <f>'1. Revenue Buildup 2026'!#REF!/'1. Revenue Buildup 2026'!L15</f>
        <v>#REF!</v>
      </c>
      <c r="K97" s="168" t="e">
        <f>'1. Revenue Buildup 2026'!#REF!/'1. Revenue Buildup 2026'!M15</f>
        <v>#REF!</v>
      </c>
      <c r="L97" s="168" t="e">
        <f>'1. Revenue Buildup 2026'!#REF!/'1. Revenue Buildup 2026'!N15</f>
        <v>#REF!</v>
      </c>
      <c r="M97" s="168" t="e">
        <f>'1. Revenue Buildup 2026'!#REF!/'1. Revenue Buildup 2026'!O15</f>
        <v>#REF!</v>
      </c>
      <c r="N97" s="168" t="e">
        <f>'1. Revenue Buildup 2026'!#REF!/SUM('1. Revenue Buildup 2026'!D15:O15)</f>
        <v>#REF!</v>
      </c>
      <c r="O97" s="670" t="s">
        <v>424</v>
      </c>
    </row>
    <row r="98" spans="1:15" x14ac:dyDescent="0.35">
      <c r="A98" s="677" t="s">
        <v>425</v>
      </c>
      <c r="B98" s="168">
        <f>(B12+B23)/'1. Revenue Buildup 2026'!D15</f>
        <v>1039.2613784665748</v>
      </c>
      <c r="C98" s="168">
        <f>(C12+C23)/'1. Revenue Buildup 2026'!E15</f>
        <v>1025.2547061910971</v>
      </c>
      <c r="D98" s="168">
        <f>(D12+D23)/'1. Revenue Buildup 2026'!F15</f>
        <v>1082.3681558588351</v>
      </c>
      <c r="E98" s="168">
        <f>(E12+E23)/'1. Revenue Buildup 2026'!G15</f>
        <v>1069.2412107135249</v>
      </c>
      <c r="F98" s="168">
        <f>(F12+F23)/'1. Revenue Buildup 2026'!H15</f>
        <v>1029.9046168833634</v>
      </c>
      <c r="G98" s="168">
        <f>(G12+G23)/'1. Revenue Buildup 2026'!I15</f>
        <v>1037.5948690771547</v>
      </c>
      <c r="H98" s="168">
        <f>(H12+H23)/'1. Revenue Buildup 2026'!J15</f>
        <v>1005.2691467165147</v>
      </c>
      <c r="I98" s="168">
        <f>(I12+I23)/'1. Revenue Buildup 2026'!K15</f>
        <v>895.3731279329578</v>
      </c>
      <c r="J98" s="168">
        <f>(J12+J23)/'1. Revenue Buildup 2026'!L15</f>
        <v>879.80833774269456</v>
      </c>
      <c r="K98" s="168">
        <f>(K12+K23)/'1. Revenue Buildup 2026'!M15</f>
        <v>866.3117671495703</v>
      </c>
      <c r="L98" s="168">
        <f>(L12+L23)/'1. Revenue Buildup 2026'!N15</f>
        <v>852.26860924743653</v>
      </c>
      <c r="M98" s="168">
        <f>(M12+M23)/'1. Revenue Buildup 2026'!O15</f>
        <v>838.996073982403</v>
      </c>
      <c r="N98" s="168">
        <f>(N12+N23)/SUM('1. Revenue Buildup 2026'!D15:O15)</f>
        <v>954.941280867572</v>
      </c>
      <c r="O98" s="670" t="s">
        <v>426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907CA-B918-413C-B940-6857F9D0B47C}">
  <dimension ref="A1:Z90"/>
  <sheetViews>
    <sheetView showGridLines="0" zoomScale="80" zoomScaleNormal="80" workbookViewId="0">
      <pane xSplit="1" ySplit="4" topLeftCell="B69" activePane="bottomRight" state="frozen"/>
      <selection pane="topRight" activeCell="B25" sqref="B25"/>
      <selection pane="bottomLeft" activeCell="B25" sqref="B25"/>
      <selection pane="bottomRight" activeCell="B12" sqref="B12"/>
    </sheetView>
  </sheetViews>
  <sheetFormatPr defaultColWidth="9.453125" defaultRowHeight="15.5" outlineLevelRow="1" x14ac:dyDescent="0.35"/>
  <cols>
    <col min="1" max="1" width="32.453125" style="198" customWidth="1"/>
    <col min="2" max="10" width="12.453125" customWidth="1"/>
    <col min="11" max="13" width="13.54296875" bestFit="1" customWidth="1"/>
    <col min="14" max="14" width="13.453125" customWidth="1"/>
    <col min="15" max="15" width="12.81640625" style="198" bestFit="1" customWidth="1"/>
    <col min="16" max="16" width="12.81640625" style="198" customWidth="1"/>
    <col min="17" max="19" width="13.453125" customWidth="1"/>
    <col min="20" max="20" width="5" style="9" bestFit="1" customWidth="1"/>
    <col min="21" max="22" width="13.453125" customWidth="1"/>
    <col min="23" max="16384" width="9.453125" style="198"/>
  </cols>
  <sheetData>
    <row r="1" spans="1:22" s="195" customFormat="1" ht="21" x14ac:dyDescent="0.35">
      <c r="A1" s="193" t="s">
        <v>390</v>
      </c>
      <c r="B1" s="194"/>
      <c r="C1" s="194"/>
      <c r="D1" s="194"/>
      <c r="E1" s="194"/>
      <c r="F1" s="194"/>
      <c r="G1" s="194"/>
      <c r="H1" s="194"/>
      <c r="I1" s="194"/>
      <c r="J1" s="194"/>
      <c r="K1" s="194"/>
      <c r="L1" s="194"/>
      <c r="M1" s="194"/>
      <c r="N1" s="194"/>
      <c r="Q1" s="194"/>
      <c r="R1" s="194"/>
      <c r="S1" s="194"/>
      <c r="T1" s="394"/>
      <c r="U1" s="194"/>
      <c r="V1" s="194"/>
    </row>
    <row r="2" spans="1:22" ht="21" x14ac:dyDescent="0.35">
      <c r="A2" s="196" t="s">
        <v>391</v>
      </c>
      <c r="B2" s="197"/>
      <c r="C2" s="197"/>
      <c r="D2" s="197"/>
      <c r="E2" s="197"/>
      <c r="F2" s="197"/>
      <c r="G2" s="197"/>
      <c r="H2" s="197"/>
      <c r="I2" s="197"/>
      <c r="J2" s="197"/>
      <c r="K2" s="197"/>
      <c r="L2" s="197"/>
      <c r="M2" s="197"/>
      <c r="N2" s="197"/>
      <c r="O2" s="670"/>
      <c r="P2" s="670"/>
      <c r="Q2" s="197"/>
      <c r="R2" s="197"/>
      <c r="S2" s="197"/>
      <c r="T2" s="395"/>
      <c r="U2" s="197"/>
      <c r="V2" s="197"/>
    </row>
    <row r="3" spans="1:22" s="220" customFormat="1" ht="13" x14ac:dyDescent="0.35">
      <c r="A3" s="217" t="s">
        <v>392</v>
      </c>
      <c r="B3" s="218">
        <v>83</v>
      </c>
      <c r="C3" s="218">
        <v>83</v>
      </c>
      <c r="D3" s="218">
        <v>83</v>
      </c>
      <c r="E3" s="218">
        <v>83</v>
      </c>
      <c r="F3" s="218">
        <v>83</v>
      </c>
      <c r="G3" s="218">
        <v>83</v>
      </c>
      <c r="H3" s="218">
        <v>83</v>
      </c>
      <c r="I3" s="218">
        <v>83</v>
      </c>
      <c r="J3" s="218">
        <v>83</v>
      </c>
      <c r="K3" s="218">
        <v>83</v>
      </c>
      <c r="L3" s="218">
        <v>83</v>
      </c>
      <c r="M3" s="218">
        <v>83</v>
      </c>
      <c r="N3" s="219"/>
      <c r="Q3" s="219"/>
      <c r="R3" s="219"/>
      <c r="S3" s="219"/>
      <c r="T3" s="396"/>
      <c r="U3" s="219"/>
      <c r="V3" s="219"/>
    </row>
    <row r="4" spans="1:22" s="201" customFormat="1" ht="31" x14ac:dyDescent="0.35">
      <c r="A4" s="373" t="s">
        <v>268</v>
      </c>
      <c r="B4" s="373">
        <v>45292</v>
      </c>
      <c r="C4" s="373">
        <v>45323</v>
      </c>
      <c r="D4" s="373">
        <v>45352</v>
      </c>
      <c r="E4" s="373">
        <v>45383</v>
      </c>
      <c r="F4" s="373">
        <v>45413</v>
      </c>
      <c r="G4" s="373">
        <v>45444</v>
      </c>
      <c r="H4" s="373">
        <v>45474</v>
      </c>
      <c r="I4" s="373">
        <v>45505</v>
      </c>
      <c r="J4" s="373">
        <v>45536</v>
      </c>
      <c r="K4" s="373">
        <v>45566</v>
      </c>
      <c r="L4" s="373">
        <v>45597</v>
      </c>
      <c r="M4" s="373">
        <v>45627</v>
      </c>
      <c r="N4" s="373" t="s">
        <v>174</v>
      </c>
      <c r="Q4" s="373" t="s">
        <v>433</v>
      </c>
      <c r="R4" s="373" t="s">
        <v>394</v>
      </c>
      <c r="S4" s="373" t="s">
        <v>395</v>
      </c>
      <c r="T4" s="373" t="s">
        <v>394</v>
      </c>
      <c r="U4" s="373" t="s">
        <v>396</v>
      </c>
      <c r="V4" s="373" t="s">
        <v>397</v>
      </c>
    </row>
    <row r="5" spans="1:22" s="201" customFormat="1" outlineLevel="1" x14ac:dyDescent="0.35">
      <c r="A5" s="374" t="s">
        <v>409</v>
      </c>
      <c r="B5" s="375"/>
      <c r="C5" s="375"/>
      <c r="D5" s="375"/>
      <c r="E5" s="375"/>
      <c r="F5" s="375"/>
      <c r="G5" s="375"/>
      <c r="H5" s="375"/>
      <c r="I5" s="375"/>
      <c r="J5" s="375"/>
      <c r="K5" s="375"/>
      <c r="L5" s="375"/>
      <c r="M5" s="375"/>
      <c r="N5" s="375"/>
      <c r="Q5" s="375"/>
      <c r="R5" s="375"/>
      <c r="S5" s="375"/>
      <c r="T5" s="375"/>
      <c r="U5" s="375"/>
      <c r="V5" s="375"/>
    </row>
    <row r="6" spans="1:22" s="201" customFormat="1" outlineLevel="1" x14ac:dyDescent="0.35">
      <c r="A6" s="374" t="s">
        <v>398</v>
      </c>
      <c r="B6" s="376">
        <v>91685.82</v>
      </c>
      <c r="C6" s="376">
        <v>105073</v>
      </c>
      <c r="D6" s="376">
        <v>125166.03</v>
      </c>
      <c r="E6" s="376">
        <v>142634.4</v>
      </c>
      <c r="F6" s="376">
        <v>173074.06</v>
      </c>
      <c r="G6" s="376">
        <v>205762.62</v>
      </c>
      <c r="H6" s="376">
        <v>214498</v>
      </c>
      <c r="I6" s="376">
        <v>223104</v>
      </c>
      <c r="J6" s="376">
        <v>229063.64999999997</v>
      </c>
      <c r="K6" s="376">
        <v>220141</v>
      </c>
      <c r="L6" s="376">
        <v>193276.99999999997</v>
      </c>
      <c r="M6" s="376">
        <f>L6</f>
        <v>193276.99999999997</v>
      </c>
      <c r="N6" s="376">
        <f t="shared" ref="N6:N11" si="0">SUM(B6:M6)</f>
        <v>2116756.58</v>
      </c>
      <c r="O6" s="286">
        <f>N6/140000</f>
        <v>15.119689857142857</v>
      </c>
      <c r="P6" s="286"/>
      <c r="Q6" s="376"/>
      <c r="R6" s="376"/>
      <c r="S6" s="376">
        <v>1186417.5207459999</v>
      </c>
      <c r="T6" s="376"/>
      <c r="U6" s="376"/>
      <c r="V6" s="376"/>
    </row>
    <row r="7" spans="1:22" outlineLevel="1" x14ac:dyDescent="0.35">
      <c r="A7" s="377" t="s">
        <v>289</v>
      </c>
      <c r="B7" s="378">
        <v>41053.510843373493</v>
      </c>
      <c r="C7" s="378">
        <v>67421.204819277104</v>
      </c>
      <c r="D7" s="378">
        <v>41847.266506024098</v>
      </c>
      <c r="E7" s="378">
        <v>51460.554216867473</v>
      </c>
      <c r="F7" s="378">
        <v>56120.51807228916</v>
      </c>
      <c r="G7" s="378">
        <v>62455.409638554214</v>
      </c>
      <c r="H7" s="378">
        <v>72181.204819277104</v>
      </c>
      <c r="I7" s="378">
        <v>77317.590361445778</v>
      </c>
      <c r="J7" s="378">
        <v>77646.698795180724</v>
      </c>
      <c r="K7" s="378">
        <v>81864.204819277104</v>
      </c>
      <c r="L7" s="378">
        <v>79979.722891566271</v>
      </c>
      <c r="M7" s="378">
        <f>L7</f>
        <v>79979.722891566271</v>
      </c>
      <c r="N7" s="378">
        <f t="shared" si="0"/>
        <v>789327.60867469874</v>
      </c>
      <c r="O7" s="670"/>
      <c r="P7" s="670"/>
      <c r="Q7" s="378"/>
      <c r="R7" s="378"/>
      <c r="S7" s="378">
        <v>524458.72532039729</v>
      </c>
      <c r="T7" s="397"/>
      <c r="U7" s="378"/>
      <c r="V7" s="378"/>
    </row>
    <row r="8" spans="1:22" outlineLevel="1" x14ac:dyDescent="0.35">
      <c r="A8" s="377" t="s">
        <v>146</v>
      </c>
      <c r="B8" s="378">
        <v>8023.3481927710845</v>
      </c>
      <c r="C8" s="378">
        <v>8105.386506024096</v>
      </c>
      <c r="D8" s="378">
        <v>7993.1807228915659</v>
      </c>
      <c r="E8" s="378">
        <v>7926.525903614458</v>
      </c>
      <c r="F8" s="378">
        <v>8482.14734939759</v>
      </c>
      <c r="G8" s="378">
        <v>8524.7954216867474</v>
      </c>
      <c r="H8" s="378">
        <v>8781.1410843373487</v>
      </c>
      <c r="I8" s="378">
        <v>9381.9901204819271</v>
      </c>
      <c r="J8" s="378">
        <v>8991.9195180722891</v>
      </c>
      <c r="K8" s="378">
        <v>10253.081325301206</v>
      </c>
      <c r="L8" s="378">
        <v>9272.927951807229</v>
      </c>
      <c r="M8" s="378">
        <f t="shared" ref="M8:M11" si="1">L8</f>
        <v>9272.927951807229</v>
      </c>
      <c r="N8" s="378">
        <f t="shared" si="0"/>
        <v>105009.37204819277</v>
      </c>
      <c r="O8" s="670"/>
      <c r="P8" s="670"/>
      <c r="Q8" s="378"/>
      <c r="R8" s="378"/>
      <c r="S8" s="378">
        <v>101610.98566265061</v>
      </c>
      <c r="T8" s="397"/>
      <c r="U8" s="378"/>
      <c r="V8" s="378"/>
    </row>
    <row r="9" spans="1:22" outlineLevel="1" x14ac:dyDescent="0.35">
      <c r="A9" s="377" t="s">
        <v>147</v>
      </c>
      <c r="B9" s="378">
        <v>2718.8040963855419</v>
      </c>
      <c r="C9" s="378">
        <v>2374.4462650602409</v>
      </c>
      <c r="D9" s="378">
        <v>3664.3489156626501</v>
      </c>
      <c r="E9" s="378">
        <v>2120.8396385542169</v>
      </c>
      <c r="F9" s="378">
        <v>3027.6454216867469</v>
      </c>
      <c r="G9" s="378">
        <v>1659.0392771084339</v>
      </c>
      <c r="H9" s="378">
        <v>1502.4144578313253</v>
      </c>
      <c r="I9" s="378">
        <v>2259.3438554216868</v>
      </c>
      <c r="J9" s="378">
        <v>1742.5927710843375</v>
      </c>
      <c r="K9" s="378">
        <v>1624.5983132530121</v>
      </c>
      <c r="L9" s="378">
        <v>1526.4481927710842</v>
      </c>
      <c r="M9" s="378">
        <f t="shared" si="1"/>
        <v>1526.4481927710842</v>
      </c>
      <c r="N9" s="378">
        <f t="shared" si="0"/>
        <v>25746.969397590361</v>
      </c>
      <c r="O9" s="670"/>
      <c r="P9" s="670"/>
      <c r="Q9" s="378"/>
      <c r="R9" s="378"/>
      <c r="S9" s="378">
        <v>23641.274300944784</v>
      </c>
      <c r="T9" s="397"/>
      <c r="U9" s="378"/>
      <c r="V9" s="378"/>
    </row>
    <row r="10" spans="1:22" outlineLevel="1" x14ac:dyDescent="0.35">
      <c r="A10" s="377" t="s">
        <v>399</v>
      </c>
      <c r="B10" s="378">
        <v>1843.1927710843374</v>
      </c>
      <c r="C10" s="378">
        <v>1548.433734939759</v>
      </c>
      <c r="D10" s="378">
        <v>1001.9277108433735</v>
      </c>
      <c r="E10" s="378">
        <v>1400</v>
      </c>
      <c r="F10" s="378">
        <v>1330.1204819277109</v>
      </c>
      <c r="G10" s="378">
        <v>1628.9156626506024</v>
      </c>
      <c r="H10" s="378">
        <v>3107.2289156626507</v>
      </c>
      <c r="I10" s="378">
        <v>3177.1084337349398</v>
      </c>
      <c r="J10" s="378">
        <v>2973.4939759036147</v>
      </c>
      <c r="K10" s="378">
        <v>3527.7108433734938</v>
      </c>
      <c r="L10" s="378">
        <v>3950.602409638554</v>
      </c>
      <c r="M10" s="378">
        <f t="shared" si="1"/>
        <v>3950.602409638554</v>
      </c>
      <c r="N10" s="378">
        <f t="shared" si="0"/>
        <v>29439.337349397592</v>
      </c>
      <c r="O10" s="670"/>
      <c r="P10" s="670"/>
      <c r="Q10" s="378"/>
      <c r="R10" s="378"/>
      <c r="S10" s="378">
        <v>30109.939759036144</v>
      </c>
      <c r="T10" s="397"/>
      <c r="U10" s="378"/>
      <c r="V10" s="378"/>
    </row>
    <row r="11" spans="1:22" outlineLevel="1" x14ac:dyDescent="0.35">
      <c r="A11" s="377" t="s">
        <v>400</v>
      </c>
      <c r="B11" s="378">
        <v>2606.5667469879518</v>
      </c>
      <c r="C11" s="378">
        <v>2055.9557831325305</v>
      </c>
      <c r="D11" s="378">
        <v>2430.5632530120483</v>
      </c>
      <c r="E11" s="378">
        <v>3378.0783132530119</v>
      </c>
      <c r="F11" s="378">
        <v>3224.3466265060242</v>
      </c>
      <c r="G11" s="378">
        <v>3405.3493975903616</v>
      </c>
      <c r="H11" s="378">
        <v>6719.6765060240969</v>
      </c>
      <c r="I11" s="378">
        <v>3434.4698795180725</v>
      </c>
      <c r="J11" s="378">
        <v>3634.9019277108432</v>
      </c>
      <c r="K11" s="378">
        <v>7250.1232530120478</v>
      </c>
      <c r="L11" s="378">
        <v>8409.4715662650597</v>
      </c>
      <c r="M11" s="378">
        <f t="shared" si="1"/>
        <v>8409.4715662650597</v>
      </c>
      <c r="N11" s="378">
        <f t="shared" si="0"/>
        <v>54958.974819277108</v>
      </c>
      <c r="O11" s="670"/>
      <c r="P11" s="670"/>
      <c r="Q11" s="378"/>
      <c r="R11" s="378"/>
      <c r="S11" s="378">
        <v>1749.2242350697754</v>
      </c>
      <c r="T11" s="397"/>
      <c r="U11" s="378"/>
      <c r="V11" s="378"/>
    </row>
    <row r="12" spans="1:22" s="206" customFormat="1" outlineLevel="1" x14ac:dyDescent="0.35">
      <c r="A12" s="374" t="s">
        <v>401</v>
      </c>
      <c r="B12" s="379">
        <f>SUM(B7:B11)</f>
        <v>56245.422650602399</v>
      </c>
      <c r="C12" s="379">
        <f t="shared" ref="C12:N12" si="2">SUM(C7:C11)</f>
        <v>81505.427108433723</v>
      </c>
      <c r="D12" s="379">
        <f t="shared" si="2"/>
        <v>56937.287108433738</v>
      </c>
      <c r="E12" s="379">
        <f t="shared" si="2"/>
        <v>66285.998072289149</v>
      </c>
      <c r="F12" s="379">
        <f t="shared" si="2"/>
        <v>72184.77795180722</v>
      </c>
      <c r="G12" s="379">
        <f t="shared" si="2"/>
        <v>77673.509397590344</v>
      </c>
      <c r="H12" s="379">
        <f t="shared" si="2"/>
        <v>92291.665783132528</v>
      </c>
      <c r="I12" s="379">
        <f t="shared" si="2"/>
        <v>95570.502650602415</v>
      </c>
      <c r="J12" s="379">
        <f t="shared" si="2"/>
        <v>94989.606987951818</v>
      </c>
      <c r="K12" s="379">
        <f t="shared" si="2"/>
        <v>104519.71855421686</v>
      </c>
      <c r="L12" s="379">
        <f t="shared" si="2"/>
        <v>103139.1730120482</v>
      </c>
      <c r="M12" s="379">
        <f t="shared" si="2"/>
        <v>103139.1730120482</v>
      </c>
      <c r="N12" s="379">
        <f t="shared" si="2"/>
        <v>1004482.2622891566</v>
      </c>
      <c r="Q12" s="379"/>
      <c r="R12" s="379"/>
      <c r="S12" s="379">
        <v>681570.14927809872</v>
      </c>
      <c r="T12" s="398"/>
      <c r="U12" s="379"/>
      <c r="V12" s="379"/>
    </row>
    <row r="13" spans="1:22" s="206" customFormat="1" outlineLevel="1" x14ac:dyDescent="0.35">
      <c r="A13" s="374" t="s">
        <v>325</v>
      </c>
      <c r="B13" s="380">
        <f t="shared" ref="B13:N13" si="3">B6-B12</f>
        <v>35440.397349397608</v>
      </c>
      <c r="C13" s="380">
        <f t="shared" si="3"/>
        <v>23567.572891566277</v>
      </c>
      <c r="D13" s="380">
        <f t="shared" si="3"/>
        <v>68228.74289156626</v>
      </c>
      <c r="E13" s="380">
        <f t="shared" si="3"/>
        <v>76348.401927710845</v>
      </c>
      <c r="F13" s="380">
        <f t="shared" si="3"/>
        <v>100889.28204819278</v>
      </c>
      <c r="G13" s="380">
        <f t="shared" si="3"/>
        <v>128089.11060240965</v>
      </c>
      <c r="H13" s="380">
        <f t="shared" si="3"/>
        <v>122206.33421686747</v>
      </c>
      <c r="I13" s="380">
        <f t="shared" si="3"/>
        <v>127533.49734939758</v>
      </c>
      <c r="J13" s="380">
        <f t="shared" si="3"/>
        <v>134074.04301204815</v>
      </c>
      <c r="K13" s="380">
        <f t="shared" si="3"/>
        <v>115621.28144578314</v>
      </c>
      <c r="L13" s="380">
        <f t="shared" si="3"/>
        <v>90137.826987951776</v>
      </c>
      <c r="M13" s="380">
        <f t="shared" si="3"/>
        <v>90137.826987951776</v>
      </c>
      <c r="N13" s="380">
        <f t="shared" si="3"/>
        <v>1112274.3177108434</v>
      </c>
      <c r="Q13" s="380"/>
      <c r="R13" s="380"/>
      <c r="S13" s="380">
        <v>504847.37146790116</v>
      </c>
      <c r="T13" s="399"/>
      <c r="U13" s="380"/>
      <c r="V13" s="380"/>
    </row>
    <row r="14" spans="1:22" s="206" customFormat="1" outlineLevel="1" x14ac:dyDescent="0.35">
      <c r="A14" s="374" t="s">
        <v>402</v>
      </c>
      <c r="B14" s="381">
        <f t="shared" ref="B14:N14" si="4">B13/B6</f>
        <v>0.38654175039714544</v>
      </c>
      <c r="C14" s="381">
        <f t="shared" si="4"/>
        <v>0.22429713524469919</v>
      </c>
      <c r="D14" s="381">
        <f t="shared" si="4"/>
        <v>0.54510591165643152</v>
      </c>
      <c r="E14" s="381">
        <f t="shared" si="4"/>
        <v>0.53527341179765087</v>
      </c>
      <c r="F14" s="381">
        <f t="shared" si="4"/>
        <v>0.58292549471707533</v>
      </c>
      <c r="G14" s="381">
        <f t="shared" si="4"/>
        <v>0.62250913505285677</v>
      </c>
      <c r="H14" s="381">
        <f t="shared" si="4"/>
        <v>0.56973181203026357</v>
      </c>
      <c r="I14" s="381">
        <f t="shared" si="4"/>
        <v>0.57163250031105484</v>
      </c>
      <c r="J14" s="381">
        <f t="shared" si="4"/>
        <v>0.58531348388121884</v>
      </c>
      <c r="K14" s="381">
        <f t="shared" si="4"/>
        <v>0.52521466444589215</v>
      </c>
      <c r="L14" s="381">
        <f t="shared" si="4"/>
        <v>0.46636602900475377</v>
      </c>
      <c r="M14" s="381">
        <f t="shared" si="4"/>
        <v>0.46636602900475377</v>
      </c>
      <c r="N14" s="381">
        <f t="shared" si="4"/>
        <v>0.52546160868003222</v>
      </c>
      <c r="Q14" s="381"/>
      <c r="R14" s="381"/>
      <c r="S14" s="381">
        <v>0.42552251854006795</v>
      </c>
      <c r="T14" s="400"/>
      <c r="U14" s="381"/>
      <c r="V14" s="381"/>
    </row>
    <row r="15" spans="1:22" s="206" customFormat="1" outlineLevel="1" x14ac:dyDescent="0.35">
      <c r="A15" s="374"/>
      <c r="B15" s="381"/>
      <c r="C15" s="381"/>
      <c r="D15" s="381"/>
      <c r="E15" s="381"/>
      <c r="F15" s="381"/>
      <c r="G15" s="382"/>
      <c r="H15" s="381"/>
      <c r="I15" s="381"/>
      <c r="J15" s="381"/>
      <c r="K15" s="381"/>
      <c r="L15" s="381"/>
      <c r="M15" s="381"/>
      <c r="N15" s="381"/>
      <c r="Q15" s="381"/>
      <c r="R15" s="381"/>
      <c r="S15" s="381"/>
      <c r="T15" s="400"/>
      <c r="U15" s="381"/>
      <c r="V15" s="381"/>
    </row>
    <row r="16" spans="1:22" s="206" customFormat="1" outlineLevel="1" x14ac:dyDescent="0.35">
      <c r="A16" s="374" t="s">
        <v>405</v>
      </c>
      <c r="B16" s="380"/>
      <c r="C16" s="380"/>
      <c r="D16" s="380"/>
      <c r="E16" s="380"/>
      <c r="F16" s="380"/>
      <c r="G16" s="380"/>
      <c r="H16" s="380"/>
      <c r="I16" s="380"/>
      <c r="J16" s="380"/>
      <c r="K16" s="380"/>
      <c r="L16" s="380"/>
      <c r="M16" s="380"/>
      <c r="N16" s="380"/>
      <c r="Q16" s="380"/>
      <c r="R16" s="380"/>
      <c r="S16" s="380"/>
      <c r="T16" s="399"/>
      <c r="U16" s="380"/>
      <c r="V16" s="380"/>
    </row>
    <row r="17" spans="1:26" s="201" customFormat="1" outlineLevel="1" x14ac:dyDescent="0.35">
      <c r="A17" s="374" t="s">
        <v>398</v>
      </c>
      <c r="B17" s="376"/>
      <c r="C17" s="376"/>
      <c r="D17" s="376"/>
      <c r="E17" s="376"/>
      <c r="F17" s="376"/>
      <c r="G17" s="376"/>
      <c r="H17" s="376"/>
      <c r="I17" s="376"/>
      <c r="J17" s="376"/>
      <c r="K17" s="376"/>
      <c r="L17" s="376"/>
      <c r="M17" s="376"/>
      <c r="N17" s="376">
        <f t="shared" ref="N17:N24" si="5">SUM(B17:M17)</f>
        <v>0</v>
      </c>
      <c r="O17" s="671"/>
      <c r="P17" s="671"/>
      <c r="Q17" s="376"/>
      <c r="R17" s="376"/>
      <c r="S17" s="376">
        <v>3816468.58</v>
      </c>
      <c r="T17" s="376"/>
      <c r="U17" s="376"/>
      <c r="V17" s="376"/>
    </row>
    <row r="18" spans="1:26" outlineLevel="1" x14ac:dyDescent="0.35">
      <c r="A18" s="377" t="s">
        <v>289</v>
      </c>
      <c r="B18" s="378">
        <v>0</v>
      </c>
      <c r="C18" s="378">
        <v>5431</v>
      </c>
      <c r="D18" s="378">
        <v>0</v>
      </c>
      <c r="E18" s="378">
        <v>9337.73</v>
      </c>
      <c r="F18" s="378">
        <v>1762.42</v>
      </c>
      <c r="G18" s="378">
        <v>5750</v>
      </c>
      <c r="H18" s="378">
        <v>5750.47</v>
      </c>
      <c r="I18" s="378">
        <v>5000</v>
      </c>
      <c r="J18" s="378">
        <v>6827.75</v>
      </c>
      <c r="K18" s="378">
        <v>0</v>
      </c>
      <c r="L18" s="378">
        <v>3792</v>
      </c>
      <c r="M18" s="378">
        <f>L18</f>
        <v>3792</v>
      </c>
      <c r="N18" s="378">
        <f t="shared" si="5"/>
        <v>47443.37</v>
      </c>
      <c r="O18" s="671"/>
      <c r="P18" s="671"/>
      <c r="Q18" s="378"/>
      <c r="R18" s="378"/>
      <c r="S18" s="378">
        <v>1233644.8415570292</v>
      </c>
      <c r="T18" s="397"/>
      <c r="U18" s="378"/>
      <c r="V18" s="378"/>
      <c r="W18" s="670"/>
      <c r="X18" s="670"/>
      <c r="Y18" s="670"/>
      <c r="Z18" s="670"/>
    </row>
    <row r="19" spans="1:26" outlineLevel="1" x14ac:dyDescent="0.35">
      <c r="A19" s="377" t="s">
        <v>146</v>
      </c>
      <c r="B19" s="378">
        <v>2765.54</v>
      </c>
      <c r="C19" s="378">
        <v>0</v>
      </c>
      <c r="D19" s="378">
        <v>140.30000000000001</v>
      </c>
      <c r="E19" s="378">
        <v>201.66</v>
      </c>
      <c r="F19" s="378">
        <v>84.16</v>
      </c>
      <c r="G19" s="378">
        <v>107.55</v>
      </c>
      <c r="H19" s="378">
        <v>129.61000000000001</v>
      </c>
      <c r="I19" s="378">
        <v>121.62</v>
      </c>
      <c r="J19" s="378">
        <v>157.63</v>
      </c>
      <c r="K19" s="378">
        <v>145.49</v>
      </c>
      <c r="L19" s="378">
        <v>108.56</v>
      </c>
      <c r="M19" s="378">
        <f t="shared" ref="M19:M22" si="6">L19</f>
        <v>108.56</v>
      </c>
      <c r="N19" s="378">
        <f t="shared" si="5"/>
        <v>4070.6800000000003</v>
      </c>
      <c r="O19" s="670"/>
      <c r="P19" s="670"/>
      <c r="Q19" s="378"/>
      <c r="R19" s="378"/>
      <c r="S19" s="378">
        <v>24883.119155685737</v>
      </c>
      <c r="T19" s="397"/>
      <c r="U19" s="378"/>
      <c r="V19" s="378"/>
      <c r="W19" s="670"/>
      <c r="X19" s="670"/>
      <c r="Y19" s="670"/>
      <c r="Z19" s="670"/>
    </row>
    <row r="20" spans="1:26" outlineLevel="1" x14ac:dyDescent="0.35">
      <c r="A20" s="377" t="s">
        <v>406</v>
      </c>
      <c r="B20" s="378">
        <v>1807.5</v>
      </c>
      <c r="C20" s="378">
        <v>712.06</v>
      </c>
      <c r="D20" s="378">
        <v>1036.21</v>
      </c>
      <c r="E20" s="378">
        <v>606.30000000000007</v>
      </c>
      <c r="F20" s="378">
        <v>505.16</v>
      </c>
      <c r="G20" s="378">
        <v>1267.4000000000001</v>
      </c>
      <c r="H20" s="378">
        <v>1874.8400000000001</v>
      </c>
      <c r="I20" s="378">
        <v>936.07999999999993</v>
      </c>
      <c r="J20" s="378">
        <v>907.19999999999982</v>
      </c>
      <c r="K20" s="378">
        <v>806.7</v>
      </c>
      <c r="L20" s="378">
        <v>934.28</v>
      </c>
      <c r="M20" s="378">
        <f t="shared" si="6"/>
        <v>934.28</v>
      </c>
      <c r="N20" s="378">
        <f t="shared" si="5"/>
        <v>12328.010000000002</v>
      </c>
      <c r="O20" s="670"/>
      <c r="P20" s="670"/>
      <c r="Q20" s="378"/>
      <c r="R20" s="378"/>
      <c r="S20" s="378">
        <v>13156.289850198968</v>
      </c>
      <c r="T20" s="397"/>
      <c r="U20" s="378"/>
      <c r="V20" s="378"/>
      <c r="W20" s="670"/>
      <c r="X20" s="670"/>
      <c r="Y20" s="670"/>
      <c r="Z20" s="670"/>
    </row>
    <row r="21" spans="1:26" outlineLevel="1" x14ac:dyDescent="0.35">
      <c r="A21" s="377" t="s">
        <v>399</v>
      </c>
      <c r="B21" s="378"/>
      <c r="C21" s="378"/>
      <c r="D21" s="378"/>
      <c r="E21" s="378"/>
      <c r="F21" s="378"/>
      <c r="G21" s="378"/>
      <c r="H21" s="378"/>
      <c r="I21" s="378"/>
      <c r="J21" s="378"/>
      <c r="K21" s="378"/>
      <c r="L21" s="378"/>
      <c r="M21" s="378"/>
      <c r="N21" s="378">
        <f t="shared" si="5"/>
        <v>0</v>
      </c>
      <c r="O21" s="670"/>
      <c r="P21" s="670"/>
      <c r="Q21" s="378"/>
      <c r="R21" s="378"/>
      <c r="S21" s="378">
        <v>71009.274598393589</v>
      </c>
      <c r="T21" s="397"/>
      <c r="U21" s="378"/>
      <c r="V21" s="378"/>
      <c r="W21" s="670"/>
      <c r="X21" s="670"/>
      <c r="Y21" s="670"/>
      <c r="Z21" s="670"/>
    </row>
    <row r="22" spans="1:26" outlineLevel="1" x14ac:dyDescent="0.35">
      <c r="A22" s="377" t="s">
        <v>400</v>
      </c>
      <c r="B22" s="378">
        <v>0</v>
      </c>
      <c r="C22" s="378">
        <v>835.27</v>
      </c>
      <c r="D22" s="378">
        <v>397.55</v>
      </c>
      <c r="E22" s="378">
        <v>621.70000000000005</v>
      </c>
      <c r="F22" s="378">
        <v>615.16</v>
      </c>
      <c r="G22" s="378">
        <v>34507.31</v>
      </c>
      <c r="H22" s="378">
        <v>17057.969999999998</v>
      </c>
      <c r="I22" s="378">
        <v>20157.570000000003</v>
      </c>
      <c r="J22" s="378">
        <v>9261.0399999999991</v>
      </c>
      <c r="K22" s="378">
        <v>25342.81</v>
      </c>
      <c r="L22" s="378">
        <v>14662.16</v>
      </c>
      <c r="M22" s="378">
        <f t="shared" si="6"/>
        <v>14662.16</v>
      </c>
      <c r="N22" s="378">
        <f t="shared" si="5"/>
        <v>138120.69999999998</v>
      </c>
      <c r="O22" s="670" t="s">
        <v>434</v>
      </c>
      <c r="P22" s="670"/>
      <c r="Q22" s="378"/>
      <c r="R22" s="378"/>
      <c r="S22" s="378">
        <v>4125.2538210395542</v>
      </c>
      <c r="T22" s="397"/>
      <c r="U22" s="378"/>
      <c r="V22" s="378"/>
      <c r="W22" s="670"/>
      <c r="X22" s="670"/>
      <c r="Y22" s="670"/>
      <c r="Z22" s="670"/>
    </row>
    <row r="23" spans="1:26" s="206" customFormat="1" outlineLevel="1" x14ac:dyDescent="0.35">
      <c r="A23" s="374" t="s">
        <v>401</v>
      </c>
      <c r="B23" s="379">
        <f>SUM(B18:B22)</f>
        <v>4573.04</v>
      </c>
      <c r="C23" s="379">
        <f t="shared" ref="C23:N23" si="7">SUM(C18:C22)</f>
        <v>6978.33</v>
      </c>
      <c r="D23" s="379">
        <f t="shared" si="7"/>
        <v>1574.06</v>
      </c>
      <c r="E23" s="379">
        <f t="shared" si="7"/>
        <v>10767.39</v>
      </c>
      <c r="F23" s="379">
        <f t="shared" si="7"/>
        <v>2966.9</v>
      </c>
      <c r="G23" s="379">
        <f t="shared" si="7"/>
        <v>41632.259999999995</v>
      </c>
      <c r="H23" s="379">
        <f t="shared" si="7"/>
        <v>24812.89</v>
      </c>
      <c r="I23" s="379">
        <f t="shared" si="7"/>
        <v>26215.270000000004</v>
      </c>
      <c r="J23" s="379">
        <f t="shared" si="7"/>
        <v>17153.62</v>
      </c>
      <c r="K23" s="379">
        <f t="shared" si="7"/>
        <v>26295</v>
      </c>
      <c r="L23" s="379">
        <f t="shared" si="7"/>
        <v>19497</v>
      </c>
      <c r="M23" s="379">
        <f t="shared" si="7"/>
        <v>19497</v>
      </c>
      <c r="N23" s="379">
        <f t="shared" si="7"/>
        <v>201962.75999999998</v>
      </c>
      <c r="Q23" s="379"/>
      <c r="R23" s="379"/>
      <c r="S23" s="379">
        <v>1346818.7789823469</v>
      </c>
      <c r="T23" s="398"/>
      <c r="U23" s="379"/>
      <c r="V23" s="379"/>
    </row>
    <row r="24" spans="1:26" s="206" customFormat="1" outlineLevel="1" x14ac:dyDescent="0.35">
      <c r="A24" s="374" t="s">
        <v>325</v>
      </c>
      <c r="B24" s="379">
        <f>B17-B23</f>
        <v>-4573.04</v>
      </c>
      <c r="C24" s="379">
        <f t="shared" ref="C24:M24" si="8">C17-C23</f>
        <v>-6978.33</v>
      </c>
      <c r="D24" s="379">
        <f t="shared" si="8"/>
        <v>-1574.06</v>
      </c>
      <c r="E24" s="379">
        <f t="shared" si="8"/>
        <v>-10767.39</v>
      </c>
      <c r="F24" s="379">
        <f t="shared" si="8"/>
        <v>-2966.9</v>
      </c>
      <c r="G24" s="379">
        <f t="shared" si="8"/>
        <v>-41632.259999999995</v>
      </c>
      <c r="H24" s="379">
        <f t="shared" si="8"/>
        <v>-24812.89</v>
      </c>
      <c r="I24" s="379">
        <f t="shared" si="8"/>
        <v>-26215.270000000004</v>
      </c>
      <c r="J24" s="379">
        <f t="shared" si="8"/>
        <v>-17153.62</v>
      </c>
      <c r="K24" s="379">
        <f t="shared" si="8"/>
        <v>-26295</v>
      </c>
      <c r="L24" s="379">
        <f t="shared" si="8"/>
        <v>-19497</v>
      </c>
      <c r="M24" s="379">
        <f t="shared" si="8"/>
        <v>-19497</v>
      </c>
      <c r="N24" s="379">
        <f t="shared" si="5"/>
        <v>-201962.76</v>
      </c>
      <c r="Q24" s="379"/>
      <c r="R24" s="379"/>
      <c r="S24" s="379">
        <v>2469649.8010176527</v>
      </c>
      <c r="T24" s="398"/>
      <c r="U24" s="379"/>
      <c r="V24" s="379"/>
    </row>
    <row r="25" spans="1:26" s="214" customFormat="1" outlineLevel="1" x14ac:dyDescent="0.35">
      <c r="A25" s="383" t="s">
        <v>402</v>
      </c>
      <c r="B25" s="381" t="e">
        <f>B24/B17</f>
        <v>#DIV/0!</v>
      </c>
      <c r="C25" s="381" t="e">
        <f t="shared" ref="C25:N25" si="9">C24/C17</f>
        <v>#DIV/0!</v>
      </c>
      <c r="D25" s="381" t="e">
        <f t="shared" si="9"/>
        <v>#DIV/0!</v>
      </c>
      <c r="E25" s="381" t="e">
        <f t="shared" si="9"/>
        <v>#DIV/0!</v>
      </c>
      <c r="F25" s="381" t="e">
        <f t="shared" si="9"/>
        <v>#DIV/0!</v>
      </c>
      <c r="G25" s="381" t="e">
        <f t="shared" si="9"/>
        <v>#DIV/0!</v>
      </c>
      <c r="H25" s="381" t="e">
        <f t="shared" si="9"/>
        <v>#DIV/0!</v>
      </c>
      <c r="I25" s="381" t="e">
        <f t="shared" si="9"/>
        <v>#DIV/0!</v>
      </c>
      <c r="J25" s="381" t="e">
        <f t="shared" si="9"/>
        <v>#DIV/0!</v>
      </c>
      <c r="K25" s="381" t="e">
        <f t="shared" si="9"/>
        <v>#DIV/0!</v>
      </c>
      <c r="L25" s="381" t="e">
        <f t="shared" si="9"/>
        <v>#DIV/0!</v>
      </c>
      <c r="M25" s="381" t="e">
        <f t="shared" si="9"/>
        <v>#DIV/0!</v>
      </c>
      <c r="N25" s="381" t="e">
        <f t="shared" si="9"/>
        <v>#DIV/0!</v>
      </c>
      <c r="Q25" s="381"/>
      <c r="R25" s="381"/>
      <c r="S25" s="381">
        <v>0.6471034018096522</v>
      </c>
      <c r="T25" s="400"/>
      <c r="U25" s="381"/>
      <c r="V25" s="381"/>
    </row>
    <row r="26" spans="1:26" s="206" customFormat="1" outlineLevel="1" x14ac:dyDescent="0.35">
      <c r="A26" s="374"/>
      <c r="B26" s="380"/>
      <c r="C26" s="380"/>
      <c r="D26" s="380"/>
      <c r="E26" s="380"/>
      <c r="F26" s="380"/>
      <c r="G26" s="380"/>
      <c r="H26" s="380"/>
      <c r="I26" s="380"/>
      <c r="J26" s="380"/>
      <c r="K26" s="380"/>
      <c r="L26" s="380"/>
      <c r="M26" s="380"/>
      <c r="N26" s="380"/>
      <c r="Q26" s="380"/>
      <c r="R26" s="380"/>
      <c r="S26" s="380"/>
      <c r="T26" s="399"/>
      <c r="U26" s="380"/>
      <c r="V26" s="380"/>
    </row>
    <row r="27" spans="1:26" s="206" customFormat="1" outlineLevel="1" x14ac:dyDescent="0.35">
      <c r="A27" s="374" t="s">
        <v>435</v>
      </c>
      <c r="B27" s="380"/>
      <c r="C27" s="380"/>
      <c r="D27" s="380"/>
      <c r="E27" s="380"/>
      <c r="F27" s="380"/>
      <c r="G27" s="380"/>
      <c r="H27" s="380"/>
      <c r="I27" s="380"/>
      <c r="J27" s="380"/>
      <c r="K27" s="380"/>
      <c r="L27" s="380"/>
      <c r="M27" s="380"/>
      <c r="N27" s="380"/>
      <c r="Q27" s="380"/>
      <c r="R27" s="380"/>
      <c r="S27" s="380"/>
      <c r="T27" s="399"/>
      <c r="U27" s="380"/>
      <c r="V27" s="380"/>
    </row>
    <row r="28" spans="1:26" s="201" customFormat="1" x14ac:dyDescent="0.35">
      <c r="A28" s="374" t="s">
        <v>398</v>
      </c>
      <c r="B28" s="376">
        <f t="shared" ref="B28:M29" si="10">B17+B6</f>
        <v>91685.82</v>
      </c>
      <c r="C28" s="376">
        <f t="shared" si="10"/>
        <v>105073</v>
      </c>
      <c r="D28" s="376">
        <f t="shared" si="10"/>
        <v>125166.03</v>
      </c>
      <c r="E28" s="376">
        <f t="shared" si="10"/>
        <v>142634.4</v>
      </c>
      <c r="F28" s="376">
        <f t="shared" si="10"/>
        <v>173074.06</v>
      </c>
      <c r="G28" s="376">
        <f t="shared" si="10"/>
        <v>205762.62</v>
      </c>
      <c r="H28" s="376">
        <f t="shared" si="10"/>
        <v>214498</v>
      </c>
      <c r="I28" s="376">
        <f t="shared" si="10"/>
        <v>223104</v>
      </c>
      <c r="J28" s="376">
        <f t="shared" si="10"/>
        <v>229063.64999999997</v>
      </c>
      <c r="K28" s="376">
        <f t="shared" si="10"/>
        <v>220141</v>
      </c>
      <c r="L28" s="376">
        <f t="shared" si="10"/>
        <v>193276.99999999997</v>
      </c>
      <c r="M28" s="376">
        <f t="shared" si="10"/>
        <v>193276.99999999997</v>
      </c>
      <c r="N28" s="376">
        <f t="shared" ref="N28:N35" si="11">SUM(B28:M28)</f>
        <v>2116756.58</v>
      </c>
      <c r="O28" s="213"/>
      <c r="P28" s="213"/>
      <c r="Q28" s="376"/>
      <c r="R28" s="376"/>
      <c r="S28" s="376">
        <v>5002886.1007460011</v>
      </c>
      <c r="T28" s="376"/>
      <c r="U28" s="376"/>
      <c r="V28" s="376"/>
    </row>
    <row r="29" spans="1:26" x14ac:dyDescent="0.35">
      <c r="A29" s="377" t="s">
        <v>289</v>
      </c>
      <c r="B29" s="378">
        <f>B18+B7</f>
        <v>41053.510843373493</v>
      </c>
      <c r="C29" s="378">
        <f t="shared" si="10"/>
        <v>72852.204819277104</v>
      </c>
      <c r="D29" s="378">
        <f t="shared" si="10"/>
        <v>41847.266506024098</v>
      </c>
      <c r="E29" s="378">
        <f t="shared" si="10"/>
        <v>60798.284216867469</v>
      </c>
      <c r="F29" s="378">
        <f t="shared" si="10"/>
        <v>57882.938072289158</v>
      </c>
      <c r="G29" s="378">
        <f t="shared" si="10"/>
        <v>68205.409638554207</v>
      </c>
      <c r="H29" s="378">
        <f t="shared" si="10"/>
        <v>77931.674819277105</v>
      </c>
      <c r="I29" s="378">
        <f t="shared" si="10"/>
        <v>82317.590361445778</v>
      </c>
      <c r="J29" s="378">
        <f t="shared" si="10"/>
        <v>84474.448795180724</v>
      </c>
      <c r="K29" s="378">
        <f t="shared" si="10"/>
        <v>81864.204819277104</v>
      </c>
      <c r="L29" s="378">
        <f t="shared" si="10"/>
        <v>83771.722891566271</v>
      </c>
      <c r="M29" s="378">
        <f t="shared" si="10"/>
        <v>83771.722891566271</v>
      </c>
      <c r="N29" s="378">
        <f t="shared" si="11"/>
        <v>836770.97867469885</v>
      </c>
      <c r="O29" s="385">
        <f>N29/$N$28</f>
        <v>0.39530807962562176</v>
      </c>
      <c r="P29" s="385"/>
      <c r="Q29" s="378"/>
      <c r="R29" s="378"/>
      <c r="S29" s="378">
        <v>1758103.5668774263</v>
      </c>
      <c r="T29" s="401">
        <f>S29/$S$28</f>
        <v>0.35141786790134361</v>
      </c>
      <c r="U29" s="378"/>
      <c r="V29" s="378"/>
      <c r="W29" s="670"/>
      <c r="X29" s="670"/>
      <c r="Y29" s="670"/>
      <c r="Z29" s="670"/>
    </row>
    <row r="30" spans="1:26" x14ac:dyDescent="0.35">
      <c r="A30" s="377" t="s">
        <v>146</v>
      </c>
      <c r="B30" s="378">
        <f t="shared" ref="B30:M33" si="12">B19+B8</f>
        <v>10788.888192771085</v>
      </c>
      <c r="C30" s="378">
        <f t="shared" si="12"/>
        <v>8105.386506024096</v>
      </c>
      <c r="D30" s="378">
        <f t="shared" si="12"/>
        <v>8133.4807228915661</v>
      </c>
      <c r="E30" s="378">
        <f t="shared" si="12"/>
        <v>8128.1859036144579</v>
      </c>
      <c r="F30" s="378">
        <f t="shared" si="12"/>
        <v>8566.3073493975899</v>
      </c>
      <c r="G30" s="378">
        <f t="shared" si="12"/>
        <v>8632.3454216867467</v>
      </c>
      <c r="H30" s="378">
        <f t="shared" si="12"/>
        <v>8910.7510843373493</v>
      </c>
      <c r="I30" s="378">
        <f t="shared" si="12"/>
        <v>9503.6101204819279</v>
      </c>
      <c r="J30" s="378">
        <f t="shared" si="12"/>
        <v>9149.5495180722883</v>
      </c>
      <c r="K30" s="378">
        <f t="shared" si="12"/>
        <v>10398.571325301205</v>
      </c>
      <c r="L30" s="378">
        <f t="shared" si="12"/>
        <v>9381.4879518072285</v>
      </c>
      <c r="M30" s="378">
        <f t="shared" si="12"/>
        <v>9381.4879518072285</v>
      </c>
      <c r="N30" s="378">
        <f t="shared" si="11"/>
        <v>109080.05204819277</v>
      </c>
      <c r="O30" s="385">
        <f t="shared" ref="O30:O33" si="13">N30/$N$28</f>
        <v>5.153169385598072E-2</v>
      </c>
      <c r="P30" s="385"/>
      <c r="Q30" s="378"/>
      <c r="R30" s="378"/>
      <c r="S30" s="378">
        <v>126494.10481833633</v>
      </c>
      <c r="T30" s="401">
        <f t="shared" ref="T30:T33" si="14">S30/$S$28</f>
        <v>2.5284226398732977E-2</v>
      </c>
      <c r="U30" s="378"/>
      <c r="V30" s="378"/>
      <c r="W30" s="670"/>
      <c r="X30" s="670"/>
      <c r="Y30" s="670"/>
      <c r="Z30" s="670" t="s">
        <v>407</v>
      </c>
    </row>
    <row r="31" spans="1:26" x14ac:dyDescent="0.35">
      <c r="A31" s="377" t="s">
        <v>147</v>
      </c>
      <c r="B31" s="378">
        <f t="shared" si="12"/>
        <v>4526.3040963855419</v>
      </c>
      <c r="C31" s="378">
        <f t="shared" si="12"/>
        <v>3086.5062650602408</v>
      </c>
      <c r="D31" s="378">
        <f t="shared" si="12"/>
        <v>4700.5589156626502</v>
      </c>
      <c r="E31" s="378">
        <f t="shared" si="12"/>
        <v>2727.1396385542171</v>
      </c>
      <c r="F31" s="378">
        <f t="shared" si="12"/>
        <v>3532.8054216867467</v>
      </c>
      <c r="G31" s="378">
        <f t="shared" si="12"/>
        <v>2926.439277108434</v>
      </c>
      <c r="H31" s="378">
        <f t="shared" si="12"/>
        <v>3377.2544578313255</v>
      </c>
      <c r="I31" s="378">
        <f t="shared" si="12"/>
        <v>3195.4238554216868</v>
      </c>
      <c r="J31" s="378">
        <f t="shared" si="12"/>
        <v>2649.7927710843373</v>
      </c>
      <c r="K31" s="378">
        <f t="shared" si="12"/>
        <v>2431.2983132530121</v>
      </c>
      <c r="L31" s="378">
        <f t="shared" si="12"/>
        <v>2460.7281927710842</v>
      </c>
      <c r="M31" s="378">
        <f t="shared" si="12"/>
        <v>2460.7281927710842</v>
      </c>
      <c r="N31" s="378">
        <f t="shared" si="11"/>
        <v>38074.979397590367</v>
      </c>
      <c r="O31" s="385">
        <f t="shared" si="13"/>
        <v>1.7987415160221381E-2</v>
      </c>
      <c r="P31" s="385"/>
      <c r="Q31" s="378"/>
      <c r="R31" s="378"/>
      <c r="S31" s="378">
        <v>36797.56415114375</v>
      </c>
      <c r="T31" s="401">
        <f t="shared" si="14"/>
        <v>7.3552672217855834E-3</v>
      </c>
      <c r="U31" s="378"/>
      <c r="V31" s="378"/>
      <c r="W31" s="670"/>
      <c r="X31" s="670"/>
      <c r="Y31" s="670"/>
      <c r="Z31" s="670"/>
    </row>
    <row r="32" spans="1:26" x14ac:dyDescent="0.35">
      <c r="A32" s="377" t="s">
        <v>399</v>
      </c>
      <c r="B32" s="378">
        <f t="shared" si="12"/>
        <v>1843.1927710843374</v>
      </c>
      <c r="C32" s="378">
        <f t="shared" si="12"/>
        <v>1548.433734939759</v>
      </c>
      <c r="D32" s="378">
        <f t="shared" si="12"/>
        <v>1001.9277108433735</v>
      </c>
      <c r="E32" s="378">
        <f t="shared" si="12"/>
        <v>1400</v>
      </c>
      <c r="F32" s="378">
        <f t="shared" si="12"/>
        <v>1330.1204819277109</v>
      </c>
      <c r="G32" s="378">
        <f t="shared" si="12"/>
        <v>1628.9156626506024</v>
      </c>
      <c r="H32" s="378">
        <f t="shared" si="12"/>
        <v>3107.2289156626507</v>
      </c>
      <c r="I32" s="378">
        <f t="shared" si="12"/>
        <v>3177.1084337349398</v>
      </c>
      <c r="J32" s="378">
        <f t="shared" si="12"/>
        <v>2973.4939759036147</v>
      </c>
      <c r="K32" s="378">
        <f t="shared" si="12"/>
        <v>3527.7108433734938</v>
      </c>
      <c r="L32" s="378">
        <f t="shared" si="12"/>
        <v>3950.602409638554</v>
      </c>
      <c r="M32" s="378">
        <f t="shared" si="12"/>
        <v>3950.602409638554</v>
      </c>
      <c r="N32" s="378">
        <f t="shared" si="11"/>
        <v>29439.337349397592</v>
      </c>
      <c r="O32" s="385">
        <f t="shared" si="13"/>
        <v>1.3907757570026116E-2</v>
      </c>
      <c r="P32" s="385"/>
      <c r="Q32" s="378" t="s">
        <v>436</v>
      </c>
      <c r="R32" s="378"/>
      <c r="S32" s="378">
        <v>101119.21435742971</v>
      </c>
      <c r="T32" s="401">
        <f t="shared" si="14"/>
        <v>2.021217599624173E-2</v>
      </c>
      <c r="U32" s="378"/>
      <c r="V32" s="378"/>
      <c r="W32" s="670"/>
      <c r="X32" s="670"/>
      <c r="Y32" s="670"/>
      <c r="Z32" s="670"/>
    </row>
    <row r="33" spans="1:22" x14ac:dyDescent="0.35">
      <c r="A33" s="377" t="s">
        <v>400</v>
      </c>
      <c r="B33" s="378">
        <f t="shared" si="12"/>
        <v>2606.5667469879518</v>
      </c>
      <c r="C33" s="378">
        <f t="shared" si="12"/>
        <v>2891.2257831325305</v>
      </c>
      <c r="D33" s="378">
        <f t="shared" si="12"/>
        <v>2828.1132530120485</v>
      </c>
      <c r="E33" s="378">
        <f t="shared" si="12"/>
        <v>3999.7783132530121</v>
      </c>
      <c r="F33" s="378">
        <f t="shared" si="12"/>
        <v>3839.5066265060241</v>
      </c>
      <c r="G33" s="378">
        <f t="shared" si="12"/>
        <v>37912.65939759036</v>
      </c>
      <c r="H33" s="378">
        <f t="shared" si="12"/>
        <v>23777.646506024095</v>
      </c>
      <c r="I33" s="378">
        <f t="shared" si="12"/>
        <v>23592.039879518077</v>
      </c>
      <c r="J33" s="378">
        <f t="shared" si="12"/>
        <v>12895.941927710843</v>
      </c>
      <c r="K33" s="378">
        <f t="shared" si="12"/>
        <v>32592.933253012048</v>
      </c>
      <c r="L33" s="378">
        <f t="shared" si="12"/>
        <v>23071.63156626506</v>
      </c>
      <c r="M33" s="378">
        <f t="shared" si="12"/>
        <v>23071.63156626506</v>
      </c>
      <c r="N33" s="378">
        <f t="shared" si="11"/>
        <v>193079.67481927713</v>
      </c>
      <c r="O33" s="385">
        <f t="shared" si="13"/>
        <v>9.1214869316375111E-2</v>
      </c>
      <c r="P33" s="385"/>
      <c r="Q33" s="378"/>
      <c r="R33" s="378"/>
      <c r="S33" s="378">
        <v>5874.4780561093294</v>
      </c>
      <c r="T33" s="401">
        <f t="shared" si="14"/>
        <v>1.1742178290313988E-3</v>
      </c>
      <c r="U33" s="378"/>
      <c r="V33" s="378"/>
    </row>
    <row r="34" spans="1:22" s="206" customFormat="1" x14ac:dyDescent="0.35">
      <c r="A34" s="374" t="s">
        <v>401</v>
      </c>
      <c r="B34" s="379">
        <f>SUM(B29:B33)</f>
        <v>60818.462650602407</v>
      </c>
      <c r="C34" s="379">
        <f t="shared" ref="C34:N34" si="15">SUM(C29:C33)</f>
        <v>88483.757108433711</v>
      </c>
      <c r="D34" s="379">
        <f t="shared" si="15"/>
        <v>58511.347108433736</v>
      </c>
      <c r="E34" s="379">
        <f t="shared" si="15"/>
        <v>77053.388072289163</v>
      </c>
      <c r="F34" s="379">
        <f t="shared" si="15"/>
        <v>75151.677951807229</v>
      </c>
      <c r="G34" s="379">
        <f t="shared" si="15"/>
        <v>119305.76939759034</v>
      </c>
      <c r="H34" s="379">
        <f t="shared" si="15"/>
        <v>117104.55578313253</v>
      </c>
      <c r="I34" s="379">
        <f t="shared" si="15"/>
        <v>121785.77265060242</v>
      </c>
      <c r="J34" s="379">
        <f t="shared" si="15"/>
        <v>112143.22698795181</v>
      </c>
      <c r="K34" s="379">
        <f t="shared" si="15"/>
        <v>130814.71855421686</v>
      </c>
      <c r="L34" s="379">
        <f t="shared" si="15"/>
        <v>122636.1730120482</v>
      </c>
      <c r="M34" s="379">
        <f t="shared" si="15"/>
        <v>122636.1730120482</v>
      </c>
      <c r="N34" s="379">
        <f t="shared" si="15"/>
        <v>1206445.0222891569</v>
      </c>
      <c r="Q34" s="379"/>
      <c r="R34" s="379"/>
      <c r="S34" s="379">
        <v>2028388.9282604454</v>
      </c>
      <c r="T34" s="398"/>
      <c r="U34" s="379"/>
      <c r="V34" s="379"/>
    </row>
    <row r="35" spans="1:22" s="206" customFormat="1" x14ac:dyDescent="0.35">
      <c r="A35" s="374" t="s">
        <v>325</v>
      </c>
      <c r="B35" s="379">
        <f t="shared" ref="B35:M35" si="16">B28-B34</f>
        <v>30867.3573493976</v>
      </c>
      <c r="C35" s="379">
        <f t="shared" si="16"/>
        <v>16589.242891566289</v>
      </c>
      <c r="D35" s="379">
        <f t="shared" si="16"/>
        <v>66654.682891566263</v>
      </c>
      <c r="E35" s="379">
        <f t="shared" si="16"/>
        <v>65581.011927710832</v>
      </c>
      <c r="F35" s="379">
        <f t="shared" si="16"/>
        <v>97922.382048192769</v>
      </c>
      <c r="G35" s="379">
        <f t="shared" si="16"/>
        <v>86456.850602409657</v>
      </c>
      <c r="H35" s="379">
        <f t="shared" si="16"/>
        <v>97393.444216867472</v>
      </c>
      <c r="I35" s="379">
        <f t="shared" si="16"/>
        <v>101318.22734939758</v>
      </c>
      <c r="J35" s="379">
        <f t="shared" si="16"/>
        <v>116920.42301204815</v>
      </c>
      <c r="K35" s="379">
        <f t="shared" si="16"/>
        <v>89326.281445783141</v>
      </c>
      <c r="L35" s="379">
        <f t="shared" si="16"/>
        <v>70640.826987951776</v>
      </c>
      <c r="M35" s="379">
        <f t="shared" si="16"/>
        <v>70640.826987951776</v>
      </c>
      <c r="N35" s="379">
        <f t="shared" si="11"/>
        <v>910311.55771084316</v>
      </c>
      <c r="Q35" s="379"/>
      <c r="R35" s="379"/>
      <c r="S35" s="379">
        <v>2974497.1724855546</v>
      </c>
      <c r="T35" s="398"/>
      <c r="U35" s="379"/>
      <c r="V35" s="379"/>
    </row>
    <row r="36" spans="1:22" s="214" customFormat="1" x14ac:dyDescent="0.35">
      <c r="A36" s="383" t="s">
        <v>402</v>
      </c>
      <c r="B36" s="381">
        <f t="shared" ref="B36:N36" si="17">B35/B28</f>
        <v>0.33666446293873575</v>
      </c>
      <c r="C36" s="381">
        <f t="shared" si="17"/>
        <v>0.1578830231512024</v>
      </c>
      <c r="D36" s="381">
        <f t="shared" si="17"/>
        <v>0.53253013530561177</v>
      </c>
      <c r="E36" s="381">
        <f t="shared" si="17"/>
        <v>0.45978397867352361</v>
      </c>
      <c r="F36" s="381">
        <f t="shared" si="17"/>
        <v>0.56578312225525174</v>
      </c>
      <c r="G36" s="381">
        <f t="shared" si="17"/>
        <v>0.4201776328587265</v>
      </c>
      <c r="H36" s="381">
        <f t="shared" si="17"/>
        <v>0.45405292458142954</v>
      </c>
      <c r="I36" s="381">
        <f t="shared" si="17"/>
        <v>0.45413003509303995</v>
      </c>
      <c r="J36" s="381">
        <f t="shared" si="17"/>
        <v>0.51042766066134093</v>
      </c>
      <c r="K36" s="381">
        <f t="shared" si="17"/>
        <v>0.40576849131140108</v>
      </c>
      <c r="L36" s="381">
        <f t="shared" si="17"/>
        <v>0.36549008411736411</v>
      </c>
      <c r="M36" s="381">
        <f t="shared" si="17"/>
        <v>0.36549008411736411</v>
      </c>
      <c r="N36" s="381">
        <f t="shared" si="17"/>
        <v>0.43005018447177479</v>
      </c>
      <c r="Q36" s="381"/>
      <c r="R36" s="381"/>
      <c r="S36" s="381">
        <v>0.5945562446528645</v>
      </c>
      <c r="T36" s="400"/>
      <c r="U36" s="381"/>
      <c r="V36" s="381"/>
    </row>
    <row r="37" spans="1:22" s="206" customFormat="1" outlineLevel="1" x14ac:dyDescent="0.35">
      <c r="A37" s="374"/>
      <c r="B37" s="380"/>
      <c r="C37" s="380"/>
      <c r="D37" s="380"/>
      <c r="E37" s="380"/>
      <c r="F37" s="380"/>
      <c r="G37" s="380"/>
      <c r="H37" s="380"/>
      <c r="I37" s="380"/>
      <c r="J37" s="380"/>
      <c r="K37" s="380"/>
      <c r="L37" s="380"/>
      <c r="M37" s="380"/>
      <c r="N37" s="380"/>
      <c r="Q37" s="380"/>
      <c r="R37" s="380"/>
      <c r="S37" s="380"/>
      <c r="T37" s="399"/>
      <c r="U37" s="380"/>
      <c r="V37" s="380"/>
    </row>
    <row r="38" spans="1:22" s="206" customFormat="1" outlineLevel="1" x14ac:dyDescent="0.35">
      <c r="A38" s="374" t="s">
        <v>408</v>
      </c>
      <c r="B38" s="380"/>
      <c r="C38" s="380"/>
      <c r="D38" s="380"/>
      <c r="E38" s="380"/>
      <c r="F38" s="380"/>
      <c r="G38" s="380"/>
      <c r="H38" s="380"/>
      <c r="I38" s="380"/>
      <c r="J38" s="380"/>
      <c r="K38" s="380"/>
      <c r="L38" s="380"/>
      <c r="M38" s="380"/>
      <c r="N38" s="380"/>
      <c r="Q38" s="380"/>
      <c r="R38" s="380"/>
      <c r="S38" s="380"/>
      <c r="T38" s="399"/>
      <c r="U38" s="380"/>
      <c r="V38" s="380"/>
    </row>
    <row r="39" spans="1:22" s="206" customFormat="1" outlineLevel="1" x14ac:dyDescent="0.35">
      <c r="A39" s="374" t="s">
        <v>177</v>
      </c>
      <c r="B39" s="380"/>
      <c r="C39" s="380"/>
      <c r="D39" s="380"/>
      <c r="E39" s="380"/>
      <c r="F39" s="380"/>
      <c r="G39" s="380"/>
      <c r="H39" s="380"/>
      <c r="I39" s="380"/>
      <c r="J39" s="380"/>
      <c r="K39" s="380"/>
      <c r="L39" s="380"/>
      <c r="M39" s="380"/>
      <c r="N39" s="380"/>
      <c r="Q39" s="380"/>
      <c r="R39" s="380"/>
      <c r="S39" s="380"/>
      <c r="T39" s="399"/>
      <c r="U39" s="380"/>
      <c r="V39" s="380"/>
    </row>
    <row r="40" spans="1:22" s="206" customFormat="1" outlineLevel="1" x14ac:dyDescent="0.35">
      <c r="A40" s="374" t="s">
        <v>409</v>
      </c>
      <c r="B40" s="380"/>
      <c r="C40" s="380"/>
      <c r="D40" s="380"/>
      <c r="E40" s="380"/>
      <c r="F40" s="380"/>
      <c r="G40" s="380"/>
      <c r="H40" s="380"/>
      <c r="I40" s="380"/>
      <c r="J40" s="380"/>
      <c r="K40" s="380"/>
      <c r="L40" s="380"/>
      <c r="M40" s="380"/>
      <c r="N40" s="380"/>
      <c r="Q40" s="380"/>
      <c r="R40" s="380"/>
      <c r="S40" s="380"/>
      <c r="T40" s="399"/>
      <c r="U40" s="380"/>
      <c r="V40" s="380"/>
    </row>
    <row r="41" spans="1:22" outlineLevel="1" x14ac:dyDescent="0.35">
      <c r="A41" s="377" t="s">
        <v>289</v>
      </c>
      <c r="B41" s="378">
        <v>5029.7831325301204</v>
      </c>
      <c r="C41" s="378">
        <v>2514.8915662650602</v>
      </c>
      <c r="D41" s="378">
        <v>2514.8915662650602</v>
      </c>
      <c r="E41" s="378">
        <v>729.69879518072287</v>
      </c>
      <c r="F41" s="378">
        <v>1134.132530120482</v>
      </c>
      <c r="G41" s="378">
        <v>1212.4096385542168</v>
      </c>
      <c r="H41" s="378">
        <v>1312.4096385542168</v>
      </c>
      <c r="I41" s="378">
        <v>1150.7349397590363</v>
      </c>
      <c r="J41" s="378">
        <v>1330.301204819277</v>
      </c>
      <c r="K41" s="378">
        <v>1241.132530120482</v>
      </c>
      <c r="L41" s="378">
        <v>1177.4698795180723</v>
      </c>
      <c r="M41" s="378">
        <f>L41</f>
        <v>1177.4698795180723</v>
      </c>
      <c r="N41" s="378">
        <f>SUM(B41:M41)</f>
        <v>20525.325301204819</v>
      </c>
      <c r="O41" s="385">
        <f t="shared" ref="O41:O42" si="18">N41/$N$28</f>
        <v>9.6965921802897228E-3</v>
      </c>
      <c r="P41" s="670"/>
      <c r="Q41" s="378"/>
      <c r="R41" s="378"/>
      <c r="S41" s="378">
        <v>47832.795180722875</v>
      </c>
      <c r="T41" s="401">
        <f t="shared" ref="T41:T42" si="19">S41/$S$28</f>
        <v>9.5610402110874217E-3</v>
      </c>
      <c r="U41" s="378"/>
      <c r="V41" s="378"/>
    </row>
    <row r="42" spans="1:22" outlineLevel="1" x14ac:dyDescent="0.35">
      <c r="A42" s="377" t="s">
        <v>153</v>
      </c>
      <c r="B42" s="378">
        <v>318.67469879518075</v>
      </c>
      <c r="C42" s="378">
        <v>325.02409638554218</v>
      </c>
      <c r="D42" s="378">
        <v>0</v>
      </c>
      <c r="E42" s="378">
        <v>0</v>
      </c>
      <c r="F42" s="378">
        <v>979.91566265060237</v>
      </c>
      <c r="G42" s="378">
        <v>55.421686746987952</v>
      </c>
      <c r="H42" s="378">
        <v>0</v>
      </c>
      <c r="I42" s="378">
        <v>0</v>
      </c>
      <c r="J42" s="378">
        <v>1292.1686746987953</v>
      </c>
      <c r="K42" s="378">
        <v>0</v>
      </c>
      <c r="L42" s="378">
        <v>0</v>
      </c>
      <c r="M42" s="378">
        <f>L42</f>
        <v>0</v>
      </c>
      <c r="N42" s="378">
        <f>SUM(B42:M42)</f>
        <v>2971.2048192771085</v>
      </c>
      <c r="O42" s="385">
        <f t="shared" si="18"/>
        <v>1.403659186583045E-3</v>
      </c>
      <c r="P42" s="670"/>
      <c r="Q42" s="378"/>
      <c r="R42" s="378"/>
      <c r="S42" s="378">
        <v>31421.220883534148</v>
      </c>
      <c r="T42" s="401">
        <f t="shared" si="19"/>
        <v>6.2806188769416113E-3</v>
      </c>
      <c r="U42" s="378"/>
      <c r="V42" s="378"/>
    </row>
    <row r="43" spans="1:22" s="206" customFormat="1" outlineLevel="1" x14ac:dyDescent="0.35">
      <c r="A43" s="374" t="s">
        <v>174</v>
      </c>
      <c r="B43" s="379">
        <f>SUM(B41:B42)</f>
        <v>5348.4578313253014</v>
      </c>
      <c r="C43" s="379">
        <f t="shared" ref="C43:N43" si="20">SUM(C41:C42)</f>
        <v>2839.9156626506024</v>
      </c>
      <c r="D43" s="379">
        <f t="shared" si="20"/>
        <v>2514.8915662650602</v>
      </c>
      <c r="E43" s="379">
        <f t="shared" si="20"/>
        <v>729.69879518072287</v>
      </c>
      <c r="F43" s="379">
        <f t="shared" si="20"/>
        <v>2114.0481927710844</v>
      </c>
      <c r="G43" s="379">
        <f t="shared" si="20"/>
        <v>1267.8313253012047</v>
      </c>
      <c r="H43" s="379">
        <f t="shared" si="20"/>
        <v>1312.4096385542168</v>
      </c>
      <c r="I43" s="379">
        <f t="shared" si="20"/>
        <v>1150.7349397590363</v>
      </c>
      <c r="J43" s="379">
        <f t="shared" si="20"/>
        <v>2622.469879518072</v>
      </c>
      <c r="K43" s="379">
        <f t="shared" si="20"/>
        <v>1241.132530120482</v>
      </c>
      <c r="L43" s="379">
        <f t="shared" si="20"/>
        <v>1177.4698795180723</v>
      </c>
      <c r="M43" s="379">
        <f t="shared" si="20"/>
        <v>1177.4698795180723</v>
      </c>
      <c r="N43" s="379">
        <f t="shared" si="20"/>
        <v>23496.530120481926</v>
      </c>
      <c r="Q43" s="379"/>
      <c r="R43" s="379"/>
      <c r="S43" s="379">
        <v>79254.016064257026</v>
      </c>
      <c r="T43" s="398"/>
      <c r="U43" s="379"/>
      <c r="V43" s="379"/>
    </row>
    <row r="44" spans="1:22" s="206" customFormat="1" outlineLevel="1" x14ac:dyDescent="0.35">
      <c r="A44" s="374"/>
      <c r="B44" s="380"/>
      <c r="C44" s="380"/>
      <c r="D44" s="380"/>
      <c r="E44" s="380"/>
      <c r="F44" s="380"/>
      <c r="G44" s="380"/>
      <c r="H44" s="380"/>
      <c r="I44" s="380"/>
      <c r="J44" s="380"/>
      <c r="K44" s="380"/>
      <c r="L44" s="380"/>
      <c r="M44" s="380"/>
      <c r="N44" s="380"/>
      <c r="Q44" s="380"/>
      <c r="R44" s="380"/>
      <c r="S44" s="380"/>
      <c r="T44" s="399"/>
      <c r="U44" s="380"/>
      <c r="V44" s="380"/>
    </row>
    <row r="45" spans="1:22" s="206" customFormat="1" outlineLevel="1" x14ac:dyDescent="0.35">
      <c r="A45" s="374" t="s">
        <v>405</v>
      </c>
      <c r="B45" s="380"/>
      <c r="C45" s="380"/>
      <c r="D45" s="380"/>
      <c r="E45" s="380"/>
      <c r="F45" s="380"/>
      <c r="G45" s="380"/>
      <c r="H45" s="380"/>
      <c r="I45" s="380"/>
      <c r="J45" s="380"/>
      <c r="K45" s="380"/>
      <c r="L45" s="380"/>
      <c r="M45" s="380"/>
      <c r="N45" s="380"/>
      <c r="Q45" s="380"/>
      <c r="R45" s="380"/>
      <c r="S45" s="380"/>
      <c r="T45" s="399"/>
      <c r="U45" s="380"/>
      <c r="V45" s="380"/>
    </row>
    <row r="46" spans="1:22" outlineLevel="1" x14ac:dyDescent="0.35">
      <c r="A46" s="377" t="s">
        <v>289</v>
      </c>
      <c r="B46" s="378"/>
      <c r="C46" s="378"/>
      <c r="D46" s="378"/>
      <c r="E46" s="378"/>
      <c r="F46" s="378"/>
      <c r="G46" s="378"/>
      <c r="H46" s="378"/>
      <c r="I46" s="378"/>
      <c r="J46" s="378"/>
      <c r="K46" s="378"/>
      <c r="L46" s="378"/>
      <c r="M46" s="378">
        <f t="shared" ref="M46:M47" si="21">L46</f>
        <v>0</v>
      </c>
      <c r="N46" s="378">
        <f>SUM(B46:M46)</f>
        <v>0</v>
      </c>
      <c r="O46" s="385">
        <f t="shared" ref="O46:O47" si="22">N46/$N$28</f>
        <v>0</v>
      </c>
      <c r="P46" s="670"/>
      <c r="Q46" s="378"/>
      <c r="R46" s="378"/>
      <c r="S46" s="378">
        <v>0</v>
      </c>
      <c r="T46" s="401">
        <f t="shared" ref="T46:T47" si="23">S46/$S$28</f>
        <v>0</v>
      </c>
      <c r="U46" s="378"/>
      <c r="V46" s="378"/>
    </row>
    <row r="47" spans="1:22" outlineLevel="1" x14ac:dyDescent="0.35">
      <c r="A47" s="377" t="s">
        <v>153</v>
      </c>
      <c r="B47" s="378" t="e">
        <f>'5. US Expenses'!#REF!</f>
        <v>#REF!</v>
      </c>
      <c r="C47" s="378" t="e">
        <f>'5. US Expenses'!#REF!</f>
        <v>#REF!</v>
      </c>
      <c r="D47" s="378" t="e">
        <f>'5. US Expenses'!#REF!</f>
        <v>#REF!</v>
      </c>
      <c r="E47" s="378" t="e">
        <f>'5. US Expenses'!#REF!</f>
        <v>#REF!</v>
      </c>
      <c r="F47" s="378" t="e">
        <f>'5. US Expenses'!#REF!</f>
        <v>#REF!</v>
      </c>
      <c r="G47" s="378" t="e">
        <f>'5. US Expenses'!#REF!</f>
        <v>#REF!</v>
      </c>
      <c r="H47" s="378" t="e">
        <f>'5. US Expenses'!#REF!</f>
        <v>#REF!</v>
      </c>
      <c r="I47" s="378" t="e">
        <f>'5. US Expenses'!#REF!</f>
        <v>#REF!</v>
      </c>
      <c r="J47" s="378" t="e">
        <f>'5. US Expenses'!#REF!</f>
        <v>#REF!</v>
      </c>
      <c r="K47" s="378" t="e">
        <f>'5. US Expenses'!#REF!</f>
        <v>#REF!</v>
      </c>
      <c r="L47" s="378" t="e">
        <f>'5. US Expenses'!#REF!</f>
        <v>#REF!</v>
      </c>
      <c r="M47" s="378" t="e">
        <f t="shared" si="21"/>
        <v>#REF!</v>
      </c>
      <c r="N47" s="378" t="e">
        <f>SUM(B47:M47)</f>
        <v>#REF!</v>
      </c>
      <c r="O47" s="385" t="e">
        <f t="shared" si="22"/>
        <v>#REF!</v>
      </c>
      <c r="P47" s="670"/>
      <c r="Q47" s="378"/>
      <c r="R47" s="378"/>
      <c r="S47" s="378">
        <v>57400</v>
      </c>
      <c r="T47" s="401">
        <f t="shared" si="23"/>
        <v>1.1473377335422617E-2</v>
      </c>
      <c r="U47" s="378"/>
      <c r="V47" s="378"/>
    </row>
    <row r="48" spans="1:22" s="206" customFormat="1" outlineLevel="1" x14ac:dyDescent="0.35">
      <c r="A48" s="374" t="s">
        <v>174</v>
      </c>
      <c r="B48" s="379" t="e">
        <f t="shared" ref="B48:N48" si="24">SUM(B46:B47)</f>
        <v>#REF!</v>
      </c>
      <c r="C48" s="379" t="e">
        <f t="shared" si="24"/>
        <v>#REF!</v>
      </c>
      <c r="D48" s="379" t="e">
        <f t="shared" si="24"/>
        <v>#REF!</v>
      </c>
      <c r="E48" s="379" t="e">
        <f t="shared" si="24"/>
        <v>#REF!</v>
      </c>
      <c r="F48" s="379" t="e">
        <f t="shared" si="24"/>
        <v>#REF!</v>
      </c>
      <c r="G48" s="379" t="e">
        <f t="shared" si="24"/>
        <v>#REF!</v>
      </c>
      <c r="H48" s="379" t="e">
        <f t="shared" si="24"/>
        <v>#REF!</v>
      </c>
      <c r="I48" s="379" t="e">
        <f t="shared" si="24"/>
        <v>#REF!</v>
      </c>
      <c r="J48" s="379" t="e">
        <f t="shared" si="24"/>
        <v>#REF!</v>
      </c>
      <c r="K48" s="379" t="e">
        <f t="shared" si="24"/>
        <v>#REF!</v>
      </c>
      <c r="L48" s="379" t="e">
        <f t="shared" si="24"/>
        <v>#REF!</v>
      </c>
      <c r="M48" s="379" t="e">
        <f t="shared" si="24"/>
        <v>#REF!</v>
      </c>
      <c r="N48" s="379" t="e">
        <f t="shared" si="24"/>
        <v>#REF!</v>
      </c>
      <c r="Q48" s="379"/>
      <c r="R48" s="379"/>
      <c r="S48" s="379">
        <v>57400</v>
      </c>
      <c r="T48" s="398"/>
      <c r="U48" s="379"/>
      <c r="V48" s="379"/>
    </row>
    <row r="49" spans="1:22" s="206" customFormat="1" x14ac:dyDescent="0.35">
      <c r="A49" s="374"/>
      <c r="B49" s="380"/>
      <c r="C49" s="380"/>
      <c r="D49" s="380"/>
      <c r="E49" s="380"/>
      <c r="F49" s="380"/>
      <c r="G49" s="380"/>
      <c r="H49" s="380"/>
      <c r="I49" s="380"/>
      <c r="J49" s="380"/>
      <c r="K49" s="380"/>
      <c r="L49" s="380"/>
      <c r="M49" s="380"/>
      <c r="N49" s="380"/>
      <c r="Q49" s="380"/>
      <c r="R49" s="380"/>
      <c r="S49" s="380"/>
      <c r="T49" s="399"/>
      <c r="U49" s="380"/>
      <c r="V49" s="380"/>
    </row>
    <row r="50" spans="1:22" s="206" customFormat="1" x14ac:dyDescent="0.35">
      <c r="A50" s="374" t="s">
        <v>410</v>
      </c>
      <c r="B50" s="380"/>
      <c r="C50" s="380"/>
      <c r="D50" s="380"/>
      <c r="E50" s="380"/>
      <c r="F50" s="380"/>
      <c r="G50" s="380"/>
      <c r="H50" s="380"/>
      <c r="I50" s="380"/>
      <c r="J50" s="380"/>
      <c r="K50" s="380"/>
      <c r="L50" s="380"/>
      <c r="M50" s="380"/>
      <c r="N50" s="380"/>
      <c r="Q50" s="380"/>
      <c r="R50" s="380"/>
      <c r="S50" s="380"/>
      <c r="T50" s="399"/>
      <c r="U50" s="380"/>
      <c r="V50" s="380"/>
    </row>
    <row r="51" spans="1:22" x14ac:dyDescent="0.35">
      <c r="A51" s="377" t="s">
        <v>289</v>
      </c>
      <c r="B51" s="378">
        <f>B46+B41</f>
        <v>5029.7831325301204</v>
      </c>
      <c r="C51" s="378">
        <f t="shared" ref="C51:M52" si="25">C46+C41</f>
        <v>2514.8915662650602</v>
      </c>
      <c r="D51" s="378">
        <f t="shared" si="25"/>
        <v>2514.8915662650602</v>
      </c>
      <c r="E51" s="378">
        <f t="shared" si="25"/>
        <v>729.69879518072287</v>
      </c>
      <c r="F51" s="378">
        <f t="shared" si="25"/>
        <v>1134.132530120482</v>
      </c>
      <c r="G51" s="378">
        <f t="shared" si="25"/>
        <v>1212.4096385542168</v>
      </c>
      <c r="H51" s="378">
        <f t="shared" si="25"/>
        <v>1312.4096385542168</v>
      </c>
      <c r="I51" s="378">
        <f t="shared" si="25"/>
        <v>1150.7349397590363</v>
      </c>
      <c r="J51" s="378">
        <f t="shared" si="25"/>
        <v>1330.301204819277</v>
      </c>
      <c r="K51" s="378">
        <f t="shared" si="25"/>
        <v>1241.132530120482</v>
      </c>
      <c r="L51" s="378">
        <f t="shared" si="25"/>
        <v>1177.4698795180723</v>
      </c>
      <c r="M51" s="378">
        <f t="shared" si="25"/>
        <v>1177.4698795180723</v>
      </c>
      <c r="N51" s="378">
        <f>SUM(B51:M51)</f>
        <v>20525.325301204819</v>
      </c>
      <c r="O51" s="385">
        <f t="shared" ref="O51:O52" si="26">N51/$N$28</f>
        <v>9.6965921802897228E-3</v>
      </c>
      <c r="P51" s="385"/>
      <c r="Q51" s="378"/>
      <c r="R51" s="378"/>
      <c r="S51" s="378">
        <v>47832.795180722875</v>
      </c>
      <c r="T51" s="401">
        <f t="shared" ref="T51:T52" si="27">S51/$S$28</f>
        <v>9.5610402110874217E-3</v>
      </c>
      <c r="U51" s="378"/>
      <c r="V51" s="378"/>
    </row>
    <row r="52" spans="1:22" x14ac:dyDescent="0.35">
      <c r="A52" s="377" t="s">
        <v>153</v>
      </c>
      <c r="B52" s="378" t="e">
        <f>B47+B42</f>
        <v>#REF!</v>
      </c>
      <c r="C52" s="378" t="e">
        <f t="shared" si="25"/>
        <v>#REF!</v>
      </c>
      <c r="D52" s="378" t="e">
        <f t="shared" si="25"/>
        <v>#REF!</v>
      </c>
      <c r="E52" s="378" t="e">
        <f t="shared" si="25"/>
        <v>#REF!</v>
      </c>
      <c r="F52" s="378" t="e">
        <f t="shared" si="25"/>
        <v>#REF!</v>
      </c>
      <c r="G52" s="378" t="e">
        <f t="shared" si="25"/>
        <v>#REF!</v>
      </c>
      <c r="H52" s="378" t="e">
        <f t="shared" si="25"/>
        <v>#REF!</v>
      </c>
      <c r="I52" s="378" t="e">
        <f t="shared" si="25"/>
        <v>#REF!</v>
      </c>
      <c r="J52" s="378" t="e">
        <f t="shared" si="25"/>
        <v>#REF!</v>
      </c>
      <c r="K52" s="378" t="e">
        <f t="shared" si="25"/>
        <v>#REF!</v>
      </c>
      <c r="L52" s="378" t="e">
        <f t="shared" si="25"/>
        <v>#REF!</v>
      </c>
      <c r="M52" s="378" t="e">
        <f t="shared" si="25"/>
        <v>#REF!</v>
      </c>
      <c r="N52" s="378" t="e">
        <f>SUM(B52:M52)</f>
        <v>#REF!</v>
      </c>
      <c r="O52" s="385" t="e">
        <f t="shared" si="26"/>
        <v>#REF!</v>
      </c>
      <c r="P52" s="385"/>
      <c r="Q52" s="378"/>
      <c r="R52" s="378"/>
      <c r="S52" s="378">
        <v>88821.220883534144</v>
      </c>
      <c r="T52" s="401">
        <f t="shared" si="27"/>
        <v>1.7753996212364228E-2</v>
      </c>
      <c r="U52" s="378"/>
      <c r="V52" s="378"/>
    </row>
    <row r="53" spans="1:22" s="206" customFormat="1" x14ac:dyDescent="0.35">
      <c r="A53" s="374" t="s">
        <v>174</v>
      </c>
      <c r="B53" s="379" t="e">
        <f t="shared" ref="B53:N53" si="28">SUM(B51:B52)</f>
        <v>#REF!</v>
      </c>
      <c r="C53" s="379" t="e">
        <f t="shared" si="28"/>
        <v>#REF!</v>
      </c>
      <c r="D53" s="379" t="e">
        <f t="shared" si="28"/>
        <v>#REF!</v>
      </c>
      <c r="E53" s="379" t="e">
        <f t="shared" si="28"/>
        <v>#REF!</v>
      </c>
      <c r="F53" s="379" t="e">
        <f t="shared" si="28"/>
        <v>#REF!</v>
      </c>
      <c r="G53" s="379" t="e">
        <f t="shared" si="28"/>
        <v>#REF!</v>
      </c>
      <c r="H53" s="379" t="e">
        <f t="shared" si="28"/>
        <v>#REF!</v>
      </c>
      <c r="I53" s="379" t="e">
        <f t="shared" si="28"/>
        <v>#REF!</v>
      </c>
      <c r="J53" s="379" t="e">
        <f t="shared" si="28"/>
        <v>#REF!</v>
      </c>
      <c r="K53" s="379" t="e">
        <f t="shared" si="28"/>
        <v>#REF!</v>
      </c>
      <c r="L53" s="379" t="e">
        <f t="shared" si="28"/>
        <v>#REF!</v>
      </c>
      <c r="M53" s="379" t="e">
        <f t="shared" si="28"/>
        <v>#REF!</v>
      </c>
      <c r="N53" s="379" t="e">
        <f t="shared" si="28"/>
        <v>#REF!</v>
      </c>
      <c r="Q53" s="379"/>
      <c r="R53" s="379"/>
      <c r="S53" s="379">
        <v>136654.01606425701</v>
      </c>
      <c r="T53" s="398"/>
      <c r="U53" s="379"/>
      <c r="V53" s="379"/>
    </row>
    <row r="54" spans="1:22" s="206" customFormat="1" x14ac:dyDescent="0.35">
      <c r="A54" s="374" t="s">
        <v>411</v>
      </c>
      <c r="B54" s="381" t="e">
        <f>B53/B28</f>
        <v>#REF!</v>
      </c>
      <c r="C54" s="381" t="e">
        <f t="shared" ref="C54:N54" si="29">C53/C28</f>
        <v>#REF!</v>
      </c>
      <c r="D54" s="381" t="e">
        <f t="shared" si="29"/>
        <v>#REF!</v>
      </c>
      <c r="E54" s="381" t="e">
        <f t="shared" si="29"/>
        <v>#REF!</v>
      </c>
      <c r="F54" s="381" t="e">
        <f t="shared" si="29"/>
        <v>#REF!</v>
      </c>
      <c r="G54" s="381" t="e">
        <f t="shared" si="29"/>
        <v>#REF!</v>
      </c>
      <c r="H54" s="381" t="e">
        <f t="shared" si="29"/>
        <v>#REF!</v>
      </c>
      <c r="I54" s="381" t="e">
        <f t="shared" si="29"/>
        <v>#REF!</v>
      </c>
      <c r="J54" s="381" t="e">
        <f t="shared" si="29"/>
        <v>#REF!</v>
      </c>
      <c r="K54" s="381" t="e">
        <f t="shared" si="29"/>
        <v>#REF!</v>
      </c>
      <c r="L54" s="381" t="e">
        <f t="shared" si="29"/>
        <v>#REF!</v>
      </c>
      <c r="M54" s="381" t="e">
        <f t="shared" si="29"/>
        <v>#REF!</v>
      </c>
      <c r="N54" s="381" t="e">
        <f t="shared" si="29"/>
        <v>#REF!</v>
      </c>
      <c r="Q54" s="381"/>
      <c r="R54" s="381"/>
      <c r="S54" s="381">
        <v>2.731503642345165E-2</v>
      </c>
      <c r="T54" s="400"/>
      <c r="U54" s="381"/>
      <c r="V54" s="381"/>
    </row>
    <row r="55" spans="1:22" s="206" customFormat="1" x14ac:dyDescent="0.35">
      <c r="A55" s="374"/>
      <c r="B55" s="380"/>
      <c r="C55" s="380"/>
      <c r="D55" s="380"/>
      <c r="E55" s="380"/>
      <c r="F55" s="380"/>
      <c r="G55" s="380"/>
      <c r="H55" s="380"/>
      <c r="I55" s="380"/>
      <c r="J55" s="380"/>
      <c r="K55" s="380"/>
      <c r="L55" s="380"/>
      <c r="M55" s="380"/>
      <c r="N55" s="380"/>
      <c r="Q55" s="380"/>
      <c r="R55" s="380"/>
      <c r="S55" s="380"/>
      <c r="T55" s="399"/>
      <c r="U55" s="380"/>
      <c r="V55" s="380"/>
    </row>
    <row r="56" spans="1:22" s="206" customFormat="1" outlineLevel="1" x14ac:dyDescent="0.35">
      <c r="A56" s="374" t="s">
        <v>412</v>
      </c>
      <c r="B56" s="380"/>
      <c r="C56" s="380"/>
      <c r="D56" s="380"/>
      <c r="E56" s="380"/>
      <c r="F56" s="380"/>
      <c r="G56" s="380"/>
      <c r="H56" s="380"/>
      <c r="I56" s="380"/>
      <c r="J56" s="380"/>
      <c r="K56" s="380"/>
      <c r="L56" s="380"/>
      <c r="M56" s="380"/>
      <c r="N56" s="380"/>
      <c r="Q56" s="380"/>
      <c r="R56" s="380"/>
      <c r="S56" s="380"/>
      <c r="T56" s="399"/>
      <c r="U56" s="380"/>
      <c r="V56" s="380"/>
    </row>
    <row r="57" spans="1:22" s="206" customFormat="1" outlineLevel="1" x14ac:dyDescent="0.35">
      <c r="A57" s="374" t="s">
        <v>409</v>
      </c>
      <c r="B57" s="380"/>
      <c r="C57" s="380"/>
      <c r="D57" s="380"/>
      <c r="E57" s="380"/>
      <c r="F57" s="380"/>
      <c r="G57" s="380"/>
      <c r="H57" s="380"/>
      <c r="I57" s="380"/>
      <c r="J57" s="380"/>
      <c r="K57" s="380"/>
      <c r="L57" s="380"/>
      <c r="M57" s="380"/>
      <c r="N57" s="380"/>
      <c r="Q57" s="380"/>
      <c r="R57" s="380"/>
      <c r="S57" s="380"/>
      <c r="T57" s="399"/>
      <c r="U57" s="380"/>
      <c r="V57" s="380"/>
    </row>
    <row r="58" spans="1:22" outlineLevel="1" x14ac:dyDescent="0.35">
      <c r="A58" s="377" t="s">
        <v>413</v>
      </c>
      <c r="B58" s="378">
        <v>15366.89156626506</v>
      </c>
      <c r="C58" s="378">
        <v>0</v>
      </c>
      <c r="D58" s="378">
        <v>16007.373493975903</v>
      </c>
      <c r="E58" s="378">
        <v>11306.060240963856</v>
      </c>
      <c r="F58" s="378">
        <v>10245.819277108434</v>
      </c>
      <c r="G58" s="378">
        <v>10318.10843373494</v>
      </c>
      <c r="H58" s="378">
        <v>14294.831325301206</v>
      </c>
      <c r="I58" s="378">
        <v>10101.240963855422</v>
      </c>
      <c r="J58" s="378">
        <v>11065.096385542169</v>
      </c>
      <c r="K58" s="378">
        <v>26395.216867469881</v>
      </c>
      <c r="L58" s="378">
        <v>10101.240963855422</v>
      </c>
      <c r="M58" s="378">
        <f t="shared" ref="M58:M61" si="30">L58</f>
        <v>10101.240963855422</v>
      </c>
      <c r="N58" s="378">
        <f>SUM(B58:M58)</f>
        <v>145303.1204819277</v>
      </c>
      <c r="O58" s="385">
        <f t="shared" ref="O58:O62" si="31">N58/$N$28</f>
        <v>6.8644227614460845E-2</v>
      </c>
      <c r="P58" s="670"/>
      <c r="Q58" s="378"/>
      <c r="R58" s="378"/>
      <c r="S58" s="378">
        <v>128499.29148795181</v>
      </c>
      <c r="T58" s="401">
        <f t="shared" ref="T58:T62" si="32">S58/$S$28</f>
        <v>2.5685032379368131E-2</v>
      </c>
      <c r="U58" s="378"/>
      <c r="V58" s="378"/>
    </row>
    <row r="59" spans="1:22" outlineLevel="1" x14ac:dyDescent="0.35">
      <c r="A59" s="377" t="s">
        <v>289</v>
      </c>
      <c r="B59" s="378">
        <v>0</v>
      </c>
      <c r="C59" s="378">
        <v>0</v>
      </c>
      <c r="D59" s="378">
        <v>0</v>
      </c>
      <c r="E59" s="378">
        <v>789.28915662650604</v>
      </c>
      <c r="F59" s="378">
        <v>763.71084337349396</v>
      </c>
      <c r="G59" s="378">
        <v>741.32530120481931</v>
      </c>
      <c r="H59" s="378">
        <v>814.7831325301205</v>
      </c>
      <c r="I59" s="378">
        <v>1752.6746987951808</v>
      </c>
      <c r="J59" s="378">
        <v>1959.4939759036145</v>
      </c>
      <c r="K59" s="378">
        <v>2158.6144578313251</v>
      </c>
      <c r="L59" s="378">
        <v>1902.867469879518</v>
      </c>
      <c r="M59" s="378">
        <f t="shared" si="30"/>
        <v>1902.867469879518</v>
      </c>
      <c r="N59" s="378">
        <f>SUM(B59:M59)</f>
        <v>12785.626506024097</v>
      </c>
      <c r="O59" s="385">
        <f t="shared" si="31"/>
        <v>6.0401968874588766E-3</v>
      </c>
      <c r="P59" s="670"/>
      <c r="Q59" s="378"/>
      <c r="R59" s="378"/>
      <c r="S59" s="378">
        <v>33257.522891566252</v>
      </c>
      <c r="T59" s="401">
        <f t="shared" si="32"/>
        <v>6.6476674107385902E-3</v>
      </c>
      <c r="U59" s="378"/>
      <c r="V59" s="378"/>
    </row>
    <row r="60" spans="1:22" outlineLevel="1" x14ac:dyDescent="0.35">
      <c r="A60" s="377" t="s">
        <v>418</v>
      </c>
      <c r="B60" s="378">
        <v>2053.6144578313251</v>
      </c>
      <c r="C60" s="378">
        <v>1989.7590361445782</v>
      </c>
      <c r="D60" s="378">
        <v>2750.602409638554</v>
      </c>
      <c r="E60" s="378">
        <v>3060.265060240964</v>
      </c>
      <c r="F60" s="378">
        <v>2186.1566265060242</v>
      </c>
      <c r="G60" s="378">
        <v>1958.2530120481927</v>
      </c>
      <c r="H60" s="378">
        <v>1867.4698795180723</v>
      </c>
      <c r="I60" s="378">
        <v>4457.8313253012047</v>
      </c>
      <c r="J60" s="378">
        <v>1867.4698795180723</v>
      </c>
      <c r="K60" s="378">
        <v>3674.6987951807228</v>
      </c>
      <c r="L60" s="378">
        <v>3313.2530120481929</v>
      </c>
      <c r="M60" s="378">
        <f t="shared" si="30"/>
        <v>3313.2530120481929</v>
      </c>
      <c r="N60" s="378">
        <f>SUM(B60:M60)</f>
        <v>32492.626506024098</v>
      </c>
      <c r="O60" s="385">
        <f t="shared" si="31"/>
        <v>1.5350195111250863E-2</v>
      </c>
      <c r="P60" s="670"/>
      <c r="Q60" s="378"/>
      <c r="R60" s="378"/>
      <c r="S60" s="378">
        <v>5060.2409638554209</v>
      </c>
      <c r="T60" s="401">
        <f t="shared" si="32"/>
        <v>1.0114643551650852E-3</v>
      </c>
      <c r="U60" s="378"/>
      <c r="V60" s="378"/>
    </row>
    <row r="61" spans="1:22" outlineLevel="1" x14ac:dyDescent="0.35">
      <c r="A61" s="377" t="s">
        <v>151</v>
      </c>
      <c r="B61" s="378">
        <v>0</v>
      </c>
      <c r="C61" s="378">
        <v>0</v>
      </c>
      <c r="D61" s="378">
        <v>0</v>
      </c>
      <c r="E61" s="378">
        <v>789.28915662650604</v>
      </c>
      <c r="F61" s="378">
        <v>763.71084337349396</v>
      </c>
      <c r="G61" s="378">
        <v>741.32530120481931</v>
      </c>
      <c r="H61" s="378">
        <v>814.7831325301205</v>
      </c>
      <c r="I61" s="378">
        <v>1752.6746987951808</v>
      </c>
      <c r="J61" s="378">
        <v>1959.4939759036145</v>
      </c>
      <c r="K61" s="378">
        <v>2158.6144578313251</v>
      </c>
      <c r="L61" s="378">
        <v>1902.867469879518</v>
      </c>
      <c r="M61" s="378">
        <f t="shared" si="30"/>
        <v>1902.867469879518</v>
      </c>
      <c r="N61" s="378">
        <f>SUM(B61:M61)</f>
        <v>12785.626506024097</v>
      </c>
      <c r="O61" s="385">
        <f t="shared" si="31"/>
        <v>6.0401968874588766E-3</v>
      </c>
      <c r="P61" s="670"/>
      <c r="Q61" s="378"/>
      <c r="R61" s="378"/>
      <c r="S61" s="378">
        <v>11514.216867469879</v>
      </c>
      <c r="T61" s="401">
        <f t="shared" si="32"/>
        <v>2.3015148927242111E-3</v>
      </c>
      <c r="U61" s="378"/>
      <c r="V61" s="378"/>
    </row>
    <row r="62" spans="1:22" s="206" customFormat="1" outlineLevel="1" x14ac:dyDescent="0.35">
      <c r="A62" s="374" t="s">
        <v>174</v>
      </c>
      <c r="B62" s="379">
        <f>SUM(B58:B61)</f>
        <v>17420.506024096387</v>
      </c>
      <c r="C62" s="379">
        <f t="shared" ref="C62:N62" si="33">SUM(C58:C61)</f>
        <v>1989.7590361445782</v>
      </c>
      <c r="D62" s="379">
        <f t="shared" si="33"/>
        <v>18757.975903614457</v>
      </c>
      <c r="E62" s="379">
        <f t="shared" si="33"/>
        <v>15944.903614457831</v>
      </c>
      <c r="F62" s="379">
        <f t="shared" si="33"/>
        <v>13959.397590361446</v>
      </c>
      <c r="G62" s="379">
        <f t="shared" si="33"/>
        <v>13759.012048192772</v>
      </c>
      <c r="H62" s="379">
        <f t="shared" si="33"/>
        <v>17791.867469879518</v>
      </c>
      <c r="I62" s="379">
        <f t="shared" si="33"/>
        <v>18064.421686746988</v>
      </c>
      <c r="J62" s="379">
        <f t="shared" si="33"/>
        <v>16851.554216867469</v>
      </c>
      <c r="K62" s="379">
        <f t="shared" si="33"/>
        <v>34387.144578313251</v>
      </c>
      <c r="L62" s="379">
        <f t="shared" si="33"/>
        <v>17220.22891566265</v>
      </c>
      <c r="M62" s="379">
        <f t="shared" si="33"/>
        <v>17220.22891566265</v>
      </c>
      <c r="N62" s="379">
        <f t="shared" si="33"/>
        <v>203367</v>
      </c>
      <c r="O62" s="385">
        <f t="shared" si="31"/>
        <v>9.6074816500629462E-2</v>
      </c>
      <c r="Q62" s="379"/>
      <c r="R62" s="379"/>
      <c r="S62" s="379">
        <v>178331.27221084337</v>
      </c>
      <c r="T62" s="401">
        <f t="shared" si="32"/>
        <v>3.5645679037996016E-2</v>
      </c>
      <c r="U62" s="379"/>
      <c r="V62" s="379"/>
    </row>
    <row r="63" spans="1:22" s="206" customFormat="1" outlineLevel="1" x14ac:dyDescent="0.35">
      <c r="A63" s="374"/>
      <c r="B63" s="380"/>
      <c r="C63" s="380"/>
      <c r="D63" s="380"/>
      <c r="E63" s="380"/>
      <c r="F63" s="380"/>
      <c r="G63" s="380"/>
      <c r="H63" s="380"/>
      <c r="I63" s="380"/>
      <c r="J63" s="380"/>
      <c r="K63" s="380"/>
      <c r="L63" s="380"/>
      <c r="M63" s="380"/>
      <c r="N63" s="380"/>
      <c r="Q63" s="380"/>
      <c r="R63" s="380"/>
      <c r="S63" s="380"/>
      <c r="T63" s="399"/>
      <c r="U63" s="380"/>
      <c r="V63" s="380"/>
    </row>
    <row r="64" spans="1:22" s="206" customFormat="1" outlineLevel="1" x14ac:dyDescent="0.35">
      <c r="A64" s="374" t="s">
        <v>405</v>
      </c>
      <c r="B64" s="380"/>
      <c r="C64" s="380"/>
      <c r="D64" s="380"/>
      <c r="E64" s="380"/>
      <c r="F64" s="380"/>
      <c r="G64" s="380"/>
      <c r="H64" s="380"/>
      <c r="I64" s="380"/>
      <c r="J64" s="380"/>
      <c r="K64" s="380"/>
      <c r="L64" s="380"/>
      <c r="M64" s="380"/>
      <c r="N64" s="380"/>
      <c r="Q64" s="380"/>
      <c r="R64" s="380"/>
      <c r="S64" s="380"/>
      <c r="T64" s="399"/>
      <c r="U64" s="380"/>
      <c r="V64" s="380"/>
    </row>
    <row r="65" spans="1:22" outlineLevel="1" x14ac:dyDescent="0.35">
      <c r="A65" s="377" t="s">
        <v>413</v>
      </c>
      <c r="B65" s="378">
        <v>28737.96</v>
      </c>
      <c r="C65" s="378">
        <v>28214.260000000002</v>
      </c>
      <c r="D65" s="378">
        <v>28145.260000000002</v>
      </c>
      <c r="E65" s="378">
        <v>28096.66</v>
      </c>
      <c r="F65" s="378">
        <v>42144.990000000005</v>
      </c>
      <c r="G65" s="378">
        <v>28096.66</v>
      </c>
      <c r="H65" s="378">
        <v>28096.66</v>
      </c>
      <c r="I65" s="378">
        <v>28096.66</v>
      </c>
      <c r="J65" s="378">
        <v>28096.66</v>
      </c>
      <c r="K65" s="378">
        <v>27471.66</v>
      </c>
      <c r="L65" s="378">
        <v>41207.49</v>
      </c>
      <c r="M65" s="378">
        <f t="shared" ref="M65:M67" si="34">L65</f>
        <v>41207.49</v>
      </c>
      <c r="N65" s="378">
        <f>SUM(B65:M65)</f>
        <v>377612.41</v>
      </c>
      <c r="O65" s="385">
        <f t="shared" ref="O65:O68" si="35">N65/$N$28</f>
        <v>0.17839198591271177</v>
      </c>
      <c r="P65" s="670"/>
      <c r="Q65" s="378"/>
      <c r="R65" s="378"/>
      <c r="S65" s="378">
        <v>339452.52</v>
      </c>
      <c r="T65" s="401">
        <f t="shared" ref="T65:T68" si="36">S65/$S$28</f>
        <v>6.7851338840071301E-2</v>
      </c>
      <c r="U65" s="378"/>
      <c r="V65" s="378"/>
    </row>
    <row r="66" spans="1:22" outlineLevel="1" x14ac:dyDescent="0.35">
      <c r="A66" s="402" t="s">
        <v>415</v>
      </c>
      <c r="B66" s="378">
        <v>15865.51</v>
      </c>
      <c r="C66" s="378">
        <v>5300</v>
      </c>
      <c r="D66" s="378">
        <v>0</v>
      </c>
      <c r="E66" s="378">
        <v>5066.99</v>
      </c>
      <c r="F66" s="378">
        <v>0</v>
      </c>
      <c r="G66" s="378">
        <v>0</v>
      </c>
      <c r="H66" s="378">
        <v>0</v>
      </c>
      <c r="I66" s="378">
        <v>2400</v>
      </c>
      <c r="J66" s="378">
        <v>0</v>
      </c>
      <c r="K66" s="378">
        <v>0</v>
      </c>
      <c r="L66" s="378">
        <v>5025</v>
      </c>
      <c r="M66" s="378">
        <f t="shared" si="34"/>
        <v>5025</v>
      </c>
      <c r="N66" s="378">
        <f>SUM(B66:M66)</f>
        <v>38682.5</v>
      </c>
      <c r="O66" s="385">
        <f t="shared" si="35"/>
        <v>1.8274420576030521E-2</v>
      </c>
      <c r="P66" s="670"/>
      <c r="Q66" s="378"/>
      <c r="R66" s="378"/>
      <c r="S66" s="378"/>
      <c r="T66" s="401"/>
      <c r="U66" s="378"/>
      <c r="V66" s="378"/>
    </row>
    <row r="67" spans="1:22" outlineLevel="1" x14ac:dyDescent="0.35">
      <c r="A67" s="377" t="s">
        <v>416</v>
      </c>
      <c r="B67" s="378">
        <v>283.62</v>
      </c>
      <c r="C67" s="378">
        <v>7439.94</v>
      </c>
      <c r="D67" s="378">
        <v>4000.03</v>
      </c>
      <c r="E67" s="378">
        <v>2225.2999999999997</v>
      </c>
      <c r="F67" s="378">
        <v>3387.6</v>
      </c>
      <c r="G67" s="378">
        <v>2184.4</v>
      </c>
      <c r="H67" s="378">
        <v>3176.66</v>
      </c>
      <c r="I67" s="378">
        <v>3014.2</v>
      </c>
      <c r="J67" s="378">
        <v>6756.92</v>
      </c>
      <c r="K67" s="378">
        <v>3873.1299999999997</v>
      </c>
      <c r="L67" s="378">
        <v>3870.7400000000002</v>
      </c>
      <c r="M67" s="378">
        <f t="shared" si="34"/>
        <v>3870.7400000000002</v>
      </c>
      <c r="N67" s="378">
        <f>SUM(B67:M67)</f>
        <v>44083.279999999992</v>
      </c>
      <c r="O67" s="385">
        <f t="shared" si="35"/>
        <v>2.0825861800320936E-2</v>
      </c>
      <c r="P67" s="670" t="s">
        <v>437</v>
      </c>
      <c r="Q67" s="378"/>
      <c r="R67" s="378"/>
      <c r="S67" s="378">
        <v>132480</v>
      </c>
      <c r="T67" s="401">
        <f t="shared" si="36"/>
        <v>2.6480714797853456E-2</v>
      </c>
      <c r="U67" s="378"/>
      <c r="V67" s="378"/>
    </row>
    <row r="68" spans="1:22" s="206" customFormat="1" outlineLevel="1" x14ac:dyDescent="0.35">
      <c r="A68" s="374" t="s">
        <v>174</v>
      </c>
      <c r="B68" s="379">
        <f t="shared" ref="B68:N68" si="37">SUM(B65:B67)</f>
        <v>44887.090000000004</v>
      </c>
      <c r="C68" s="379">
        <f t="shared" si="37"/>
        <v>40954.200000000004</v>
      </c>
      <c r="D68" s="379">
        <f t="shared" si="37"/>
        <v>32145.29</v>
      </c>
      <c r="E68" s="379">
        <f t="shared" si="37"/>
        <v>35388.950000000004</v>
      </c>
      <c r="F68" s="379">
        <f t="shared" si="37"/>
        <v>45532.590000000004</v>
      </c>
      <c r="G68" s="379">
        <f t="shared" si="37"/>
        <v>30281.06</v>
      </c>
      <c r="H68" s="379">
        <f t="shared" si="37"/>
        <v>31273.32</v>
      </c>
      <c r="I68" s="379">
        <f t="shared" si="37"/>
        <v>33510.86</v>
      </c>
      <c r="J68" s="379">
        <f t="shared" si="37"/>
        <v>34853.58</v>
      </c>
      <c r="K68" s="379">
        <f t="shared" si="37"/>
        <v>31344.79</v>
      </c>
      <c r="L68" s="379">
        <f t="shared" si="37"/>
        <v>50103.229999999996</v>
      </c>
      <c r="M68" s="379">
        <f t="shared" si="37"/>
        <v>50103.229999999996</v>
      </c>
      <c r="N68" s="379">
        <f t="shared" si="37"/>
        <v>460378.18999999994</v>
      </c>
      <c r="O68" s="385">
        <f t="shared" si="35"/>
        <v>0.21749226828906323</v>
      </c>
      <c r="Q68" s="379"/>
      <c r="R68" s="379"/>
      <c r="S68" s="379">
        <v>471932.52</v>
      </c>
      <c r="T68" s="401">
        <f t="shared" si="36"/>
        <v>9.4332053637924754E-2</v>
      </c>
      <c r="U68" s="379"/>
      <c r="V68" s="379"/>
    </row>
    <row r="69" spans="1:22" s="206" customFormat="1" outlineLevel="1" x14ac:dyDescent="0.35">
      <c r="A69" s="374"/>
      <c r="B69" s="380"/>
      <c r="C69" s="380"/>
      <c r="D69" s="380"/>
      <c r="E69" s="380"/>
      <c r="F69" s="380"/>
      <c r="G69" s="380"/>
      <c r="H69" s="380"/>
      <c r="I69" s="380"/>
      <c r="J69" s="380"/>
      <c r="K69" s="380"/>
      <c r="L69" s="380"/>
      <c r="M69" s="380"/>
      <c r="N69" s="380"/>
      <c r="Q69" s="380"/>
      <c r="R69" s="380"/>
      <c r="S69" s="380"/>
      <c r="T69" s="399"/>
      <c r="U69" s="380"/>
      <c r="V69" s="380"/>
    </row>
    <row r="70" spans="1:22" s="206" customFormat="1" x14ac:dyDescent="0.35">
      <c r="A70" s="374" t="s">
        <v>417</v>
      </c>
      <c r="B70" s="380"/>
      <c r="C70" s="380"/>
      <c r="D70" s="380"/>
      <c r="E70" s="380"/>
      <c r="F70" s="380"/>
      <c r="G70" s="380"/>
      <c r="H70" s="380"/>
      <c r="I70" s="380"/>
      <c r="J70" s="380"/>
      <c r="K70" s="380"/>
      <c r="L70" s="380"/>
      <c r="M70" s="380"/>
      <c r="N70" s="380"/>
      <c r="Q70" s="380"/>
      <c r="R70" s="380"/>
      <c r="S70" s="380"/>
      <c r="T70" s="399"/>
      <c r="U70" s="380"/>
      <c r="V70" s="380"/>
    </row>
    <row r="71" spans="1:22" x14ac:dyDescent="0.35">
      <c r="A71" s="377" t="s">
        <v>413</v>
      </c>
      <c r="B71" s="378">
        <f t="shared" ref="B71:M71" si="38">B65+B58</f>
        <v>44104.851566265061</v>
      </c>
      <c r="C71" s="378">
        <f t="shared" si="38"/>
        <v>28214.260000000002</v>
      </c>
      <c r="D71" s="378">
        <f t="shared" si="38"/>
        <v>44152.633493975904</v>
      </c>
      <c r="E71" s="378">
        <f t="shared" si="38"/>
        <v>39402.720240963856</v>
      </c>
      <c r="F71" s="378">
        <f t="shared" si="38"/>
        <v>52390.809277108441</v>
      </c>
      <c r="G71" s="378">
        <f t="shared" si="38"/>
        <v>38414.768433734942</v>
      </c>
      <c r="H71" s="378">
        <f t="shared" si="38"/>
        <v>42391.491325301206</v>
      </c>
      <c r="I71" s="378">
        <f t="shared" si="38"/>
        <v>38197.90096385542</v>
      </c>
      <c r="J71" s="378">
        <f t="shared" si="38"/>
        <v>39161.756385542169</v>
      </c>
      <c r="K71" s="378">
        <f t="shared" si="38"/>
        <v>53866.87686746988</v>
      </c>
      <c r="L71" s="378">
        <f t="shared" si="38"/>
        <v>51308.730963855422</v>
      </c>
      <c r="M71" s="378">
        <f t="shared" si="38"/>
        <v>51308.730963855422</v>
      </c>
      <c r="N71" s="378">
        <f>SUM(B71:M71)</f>
        <v>522915.53048192768</v>
      </c>
      <c r="O71" s="385">
        <f t="shared" ref="O71:O75" si="39">N71/$N$28</f>
        <v>0.24703621352717262</v>
      </c>
      <c r="P71" s="385"/>
      <c r="Q71" s="378"/>
      <c r="R71" s="378"/>
      <c r="S71" s="378">
        <v>467951.81148795172</v>
      </c>
      <c r="T71" s="401">
        <f t="shared" ref="T71:T75" si="40">S71/$S$28</f>
        <v>9.3536371219439418E-2</v>
      </c>
      <c r="U71" s="378"/>
      <c r="V71" s="378"/>
    </row>
    <row r="72" spans="1:22" x14ac:dyDescent="0.35">
      <c r="A72" s="377" t="s">
        <v>289</v>
      </c>
      <c r="B72" s="378">
        <f t="shared" ref="B72:M72" si="41">B59</f>
        <v>0</v>
      </c>
      <c r="C72" s="378">
        <f t="shared" si="41"/>
        <v>0</v>
      </c>
      <c r="D72" s="378">
        <f t="shared" si="41"/>
        <v>0</v>
      </c>
      <c r="E72" s="378">
        <f t="shared" si="41"/>
        <v>789.28915662650604</v>
      </c>
      <c r="F72" s="378">
        <f t="shared" si="41"/>
        <v>763.71084337349396</v>
      </c>
      <c r="G72" s="378">
        <f t="shared" si="41"/>
        <v>741.32530120481931</v>
      </c>
      <c r="H72" s="378">
        <f t="shared" si="41"/>
        <v>814.7831325301205</v>
      </c>
      <c r="I72" s="378">
        <f t="shared" si="41"/>
        <v>1752.6746987951808</v>
      </c>
      <c r="J72" s="378">
        <f t="shared" si="41"/>
        <v>1959.4939759036145</v>
      </c>
      <c r="K72" s="378">
        <f t="shared" si="41"/>
        <v>2158.6144578313251</v>
      </c>
      <c r="L72" s="378">
        <f t="shared" si="41"/>
        <v>1902.867469879518</v>
      </c>
      <c r="M72" s="378">
        <f t="shared" si="41"/>
        <v>1902.867469879518</v>
      </c>
      <c r="N72" s="378">
        <f>SUM(B72:M72)</f>
        <v>12785.626506024097</v>
      </c>
      <c r="O72" s="385">
        <f t="shared" si="39"/>
        <v>6.0401968874588766E-3</v>
      </c>
      <c r="P72" s="385"/>
      <c r="Q72" s="378"/>
      <c r="R72" s="378"/>
      <c r="S72" s="378">
        <v>33257.522891566252</v>
      </c>
      <c r="T72" s="401">
        <f t="shared" si="40"/>
        <v>6.6476674107385902E-3</v>
      </c>
      <c r="U72" s="378"/>
      <c r="V72" s="378"/>
    </row>
    <row r="73" spans="1:22" x14ac:dyDescent="0.35">
      <c r="A73" s="377" t="s">
        <v>418</v>
      </c>
      <c r="B73" s="378">
        <f>B60+B66</f>
        <v>17919.124457831327</v>
      </c>
      <c r="C73" s="378">
        <f t="shared" ref="C73:M73" si="42">C60+C66</f>
        <v>7289.7590361445782</v>
      </c>
      <c r="D73" s="378">
        <f t="shared" si="42"/>
        <v>2750.602409638554</v>
      </c>
      <c r="E73" s="378">
        <f t="shared" si="42"/>
        <v>8127.2550602409638</v>
      </c>
      <c r="F73" s="378">
        <f t="shared" si="42"/>
        <v>2186.1566265060242</v>
      </c>
      <c r="G73" s="378">
        <f t="shared" si="42"/>
        <v>1958.2530120481927</v>
      </c>
      <c r="H73" s="378">
        <f t="shared" si="42"/>
        <v>1867.4698795180723</v>
      </c>
      <c r="I73" s="378">
        <f t="shared" si="42"/>
        <v>6857.8313253012047</v>
      </c>
      <c r="J73" s="378">
        <f t="shared" si="42"/>
        <v>1867.4698795180723</v>
      </c>
      <c r="K73" s="378">
        <f t="shared" si="42"/>
        <v>3674.6987951807228</v>
      </c>
      <c r="L73" s="378">
        <f t="shared" si="42"/>
        <v>8338.2530120481933</v>
      </c>
      <c r="M73" s="378">
        <f t="shared" si="42"/>
        <v>8338.2530120481933</v>
      </c>
      <c r="N73" s="378">
        <f>SUM(B73:M73)</f>
        <v>71175.126506024098</v>
      </c>
      <c r="O73" s="385">
        <f t="shared" si="39"/>
        <v>3.3624615687281388E-2</v>
      </c>
      <c r="P73" s="385"/>
      <c r="Q73" s="378"/>
      <c r="R73" s="378"/>
      <c r="S73" s="378">
        <v>5060.2409638554209</v>
      </c>
      <c r="T73" s="401">
        <f t="shared" si="40"/>
        <v>1.0114643551650852E-3</v>
      </c>
      <c r="U73" s="378"/>
      <c r="V73" s="378"/>
    </row>
    <row r="74" spans="1:22" x14ac:dyDescent="0.35">
      <c r="A74" s="377" t="s">
        <v>151</v>
      </c>
      <c r="B74" s="378">
        <f>B67+B61</f>
        <v>283.62</v>
      </c>
      <c r="C74" s="378">
        <f t="shared" ref="C74:M74" si="43">C67+C61</f>
        <v>7439.94</v>
      </c>
      <c r="D74" s="378">
        <f t="shared" si="43"/>
        <v>4000.03</v>
      </c>
      <c r="E74" s="378">
        <f t="shared" si="43"/>
        <v>3014.5891566265059</v>
      </c>
      <c r="F74" s="378">
        <f t="shared" si="43"/>
        <v>4151.3108433734942</v>
      </c>
      <c r="G74" s="378">
        <f t="shared" si="43"/>
        <v>2925.7253012048195</v>
      </c>
      <c r="H74" s="378">
        <f t="shared" si="43"/>
        <v>3991.4431325301202</v>
      </c>
      <c r="I74" s="378">
        <f t="shared" si="43"/>
        <v>4766.8746987951808</v>
      </c>
      <c r="J74" s="378">
        <f t="shared" si="43"/>
        <v>8716.4139759036152</v>
      </c>
      <c r="K74" s="378">
        <f t="shared" si="43"/>
        <v>6031.7444578313243</v>
      </c>
      <c r="L74" s="378">
        <f t="shared" si="43"/>
        <v>5773.6074698795182</v>
      </c>
      <c r="M74" s="378">
        <f t="shared" si="43"/>
        <v>5773.6074698795182</v>
      </c>
      <c r="N74" s="378">
        <f>SUM(B74:M74)</f>
        <v>56868.906506024097</v>
      </c>
      <c r="O74" s="385">
        <f t="shared" si="39"/>
        <v>2.6866058687779817E-2</v>
      </c>
      <c r="P74" s="385"/>
      <c r="Q74" s="378"/>
      <c r="R74" s="378"/>
      <c r="S74" s="378">
        <v>143994.21686746986</v>
      </c>
      <c r="T74" s="401">
        <f t="shared" si="40"/>
        <v>2.878222969057766E-2</v>
      </c>
      <c r="U74" s="378"/>
      <c r="V74" s="378"/>
    </row>
    <row r="75" spans="1:22" s="206" customFormat="1" x14ac:dyDescent="0.35">
      <c r="A75" s="374" t="s">
        <v>174</v>
      </c>
      <c r="B75" s="379">
        <f t="shared" ref="B75:N75" si="44">SUM(B71:B74)</f>
        <v>62307.59602409639</v>
      </c>
      <c r="C75" s="379">
        <f t="shared" si="44"/>
        <v>42943.959036144581</v>
      </c>
      <c r="D75" s="379">
        <f t="shared" si="44"/>
        <v>50903.265903614454</v>
      </c>
      <c r="E75" s="379">
        <f t="shared" si="44"/>
        <v>51333.853614457825</v>
      </c>
      <c r="F75" s="379">
        <f t="shared" si="44"/>
        <v>59491.987590361459</v>
      </c>
      <c r="G75" s="379">
        <f t="shared" si="44"/>
        <v>44040.072048192771</v>
      </c>
      <c r="H75" s="379">
        <f t="shared" si="44"/>
        <v>49065.187469879522</v>
      </c>
      <c r="I75" s="379">
        <f t="shared" si="44"/>
        <v>51575.281686746981</v>
      </c>
      <c r="J75" s="379">
        <f t="shared" si="44"/>
        <v>51705.134216867475</v>
      </c>
      <c r="K75" s="379">
        <f t="shared" si="44"/>
        <v>65731.934578313259</v>
      </c>
      <c r="L75" s="379">
        <f t="shared" si="44"/>
        <v>67323.458915662646</v>
      </c>
      <c r="M75" s="379">
        <f t="shared" si="44"/>
        <v>67323.458915662646</v>
      </c>
      <c r="N75" s="379">
        <f t="shared" si="44"/>
        <v>663745.18999999994</v>
      </c>
      <c r="O75" s="385">
        <f t="shared" si="39"/>
        <v>0.3135670847896927</v>
      </c>
      <c r="Q75" s="379"/>
      <c r="R75" s="379"/>
      <c r="S75" s="379">
        <v>650263.7922108433</v>
      </c>
      <c r="T75" s="401">
        <f t="shared" si="40"/>
        <v>0.12997773267592075</v>
      </c>
      <c r="U75" s="379"/>
      <c r="V75" s="379"/>
    </row>
    <row r="76" spans="1:22" s="214" customFormat="1" x14ac:dyDescent="0.35">
      <c r="A76" s="383" t="s">
        <v>419</v>
      </c>
      <c r="B76" s="381">
        <f t="shared" ref="B76:N76" si="45">B75/B28</f>
        <v>0.679577234779559</v>
      </c>
      <c r="C76" s="381">
        <f t="shared" si="45"/>
        <v>0.40870593812058836</v>
      </c>
      <c r="D76" s="381">
        <f t="shared" si="45"/>
        <v>0.40668595068178209</v>
      </c>
      <c r="E76" s="381">
        <f t="shared" si="45"/>
        <v>0.35989812846310448</v>
      </c>
      <c r="F76" s="381">
        <f t="shared" si="45"/>
        <v>0.34373717003207449</v>
      </c>
      <c r="G76" s="381">
        <f t="shared" si="45"/>
        <v>0.21403339463792195</v>
      </c>
      <c r="H76" s="381">
        <f t="shared" si="45"/>
        <v>0.22874426554037577</v>
      </c>
      <c r="I76" s="381">
        <f t="shared" si="45"/>
        <v>0.23117147916105035</v>
      </c>
      <c r="J76" s="381">
        <f t="shared" si="45"/>
        <v>0.22572387289239249</v>
      </c>
      <c r="K76" s="381">
        <f t="shared" si="45"/>
        <v>0.29859015166785496</v>
      </c>
      <c r="L76" s="381">
        <f t="shared" si="45"/>
        <v>0.34832628256679615</v>
      </c>
      <c r="M76" s="381">
        <f t="shared" si="45"/>
        <v>0.34832628256679615</v>
      </c>
      <c r="N76" s="381">
        <f t="shared" si="45"/>
        <v>0.3135670847896927</v>
      </c>
      <c r="Q76" s="381"/>
      <c r="R76" s="381"/>
      <c r="S76" s="381">
        <v>0.12997773267592075</v>
      </c>
      <c r="T76" s="400"/>
      <c r="U76" s="381"/>
      <c r="V76" s="381"/>
    </row>
    <row r="77" spans="1:22" s="206" customFormat="1" x14ac:dyDescent="0.35">
      <c r="A77" s="374"/>
      <c r="B77" s="380"/>
      <c r="C77" s="380"/>
      <c r="D77" s="380"/>
      <c r="E77" s="380"/>
      <c r="F77" s="380"/>
      <c r="G77" s="380"/>
      <c r="H77" s="380"/>
      <c r="I77" s="380"/>
      <c r="J77" s="380"/>
      <c r="K77" s="380"/>
      <c r="L77" s="380"/>
      <c r="M77" s="380"/>
      <c r="N77" s="380"/>
      <c r="Q77" s="380"/>
      <c r="R77" s="380"/>
      <c r="S77" s="380"/>
      <c r="T77" s="399"/>
      <c r="U77" s="380"/>
      <c r="V77" s="380"/>
    </row>
    <row r="78" spans="1:22" s="206" customFormat="1" x14ac:dyDescent="0.35">
      <c r="A78" s="374" t="s">
        <v>420</v>
      </c>
      <c r="B78" s="379" t="e">
        <f>B75+B53</f>
        <v>#REF!</v>
      </c>
      <c r="C78" s="379" t="e">
        <f t="shared" ref="C78:N78" si="46">C75+C53</f>
        <v>#REF!</v>
      </c>
      <c r="D78" s="379" t="e">
        <f t="shared" si="46"/>
        <v>#REF!</v>
      </c>
      <c r="E78" s="379" t="e">
        <f t="shared" si="46"/>
        <v>#REF!</v>
      </c>
      <c r="F78" s="379" t="e">
        <f t="shared" si="46"/>
        <v>#REF!</v>
      </c>
      <c r="G78" s="379" t="e">
        <f t="shared" si="46"/>
        <v>#REF!</v>
      </c>
      <c r="H78" s="379" t="e">
        <f t="shared" si="46"/>
        <v>#REF!</v>
      </c>
      <c r="I78" s="379" t="e">
        <f t="shared" si="46"/>
        <v>#REF!</v>
      </c>
      <c r="J78" s="379" t="e">
        <f t="shared" si="46"/>
        <v>#REF!</v>
      </c>
      <c r="K78" s="379" t="e">
        <f t="shared" si="46"/>
        <v>#REF!</v>
      </c>
      <c r="L78" s="379" t="e">
        <f t="shared" si="46"/>
        <v>#REF!</v>
      </c>
      <c r="M78" s="379" t="e">
        <f t="shared" si="46"/>
        <v>#REF!</v>
      </c>
      <c r="N78" s="379" t="e">
        <f t="shared" si="46"/>
        <v>#REF!</v>
      </c>
      <c r="O78" s="385" t="e">
        <f>N78/$N$28</f>
        <v>#REF!</v>
      </c>
      <c r="Q78" s="379"/>
      <c r="R78" s="379"/>
      <c r="S78" s="379">
        <v>786917.80827510031</v>
      </c>
      <c r="T78" s="401">
        <f t="shared" ref="T78" si="47">S78/$S$28</f>
        <v>0.1572927690993724</v>
      </c>
      <c r="U78" s="379"/>
      <c r="V78" s="379"/>
    </row>
    <row r="79" spans="1:22" s="206" customFormat="1" x14ac:dyDescent="0.35">
      <c r="A79" s="374" t="s">
        <v>421</v>
      </c>
      <c r="B79" s="379" t="e">
        <f t="shared" ref="B79:N79" si="48">B35-B78</f>
        <v>#REF!</v>
      </c>
      <c r="C79" s="379" t="e">
        <f t="shared" si="48"/>
        <v>#REF!</v>
      </c>
      <c r="D79" s="379" t="e">
        <f t="shared" si="48"/>
        <v>#REF!</v>
      </c>
      <c r="E79" s="379" t="e">
        <f t="shared" si="48"/>
        <v>#REF!</v>
      </c>
      <c r="F79" s="379" t="e">
        <f t="shared" si="48"/>
        <v>#REF!</v>
      </c>
      <c r="G79" s="379" t="e">
        <f t="shared" si="48"/>
        <v>#REF!</v>
      </c>
      <c r="H79" s="379" t="e">
        <f t="shared" si="48"/>
        <v>#REF!</v>
      </c>
      <c r="I79" s="379" t="e">
        <f t="shared" si="48"/>
        <v>#REF!</v>
      </c>
      <c r="J79" s="379" t="e">
        <f t="shared" si="48"/>
        <v>#REF!</v>
      </c>
      <c r="K79" s="379" t="e">
        <f t="shared" si="48"/>
        <v>#REF!</v>
      </c>
      <c r="L79" s="379" t="e">
        <f t="shared" si="48"/>
        <v>#REF!</v>
      </c>
      <c r="M79" s="379" t="e">
        <f t="shared" si="48"/>
        <v>#REF!</v>
      </c>
      <c r="N79" s="379" t="e">
        <f t="shared" si="48"/>
        <v>#REF!</v>
      </c>
      <c r="Q79" s="379"/>
      <c r="R79" s="379"/>
      <c r="S79" s="379">
        <v>2187579.3642104543</v>
      </c>
      <c r="T79" s="398"/>
      <c r="U79" s="379"/>
      <c r="V79" s="379"/>
    </row>
    <row r="80" spans="1:22" x14ac:dyDescent="0.35">
      <c r="A80" s="384" t="s">
        <v>422</v>
      </c>
      <c r="B80" s="673" t="e">
        <f t="shared" ref="B80:N80" si="49">B79/B28</f>
        <v>#REF!</v>
      </c>
      <c r="C80" s="673" t="e">
        <f t="shared" si="49"/>
        <v>#REF!</v>
      </c>
      <c r="D80" s="673" t="e">
        <f t="shared" si="49"/>
        <v>#REF!</v>
      </c>
      <c r="E80" s="673" t="e">
        <f t="shared" si="49"/>
        <v>#REF!</v>
      </c>
      <c r="F80" s="673" t="e">
        <f t="shared" si="49"/>
        <v>#REF!</v>
      </c>
      <c r="G80" s="673" t="e">
        <f t="shared" si="49"/>
        <v>#REF!</v>
      </c>
      <c r="H80" s="673" t="e">
        <f t="shared" si="49"/>
        <v>#REF!</v>
      </c>
      <c r="I80" s="673" t="e">
        <f t="shared" si="49"/>
        <v>#REF!</v>
      </c>
      <c r="J80" s="673" t="e">
        <f t="shared" si="49"/>
        <v>#REF!</v>
      </c>
      <c r="K80" s="673" t="e">
        <f t="shared" si="49"/>
        <v>#REF!</v>
      </c>
      <c r="L80" s="673" t="e">
        <f t="shared" si="49"/>
        <v>#REF!</v>
      </c>
      <c r="M80" s="673" t="e">
        <f t="shared" si="49"/>
        <v>#REF!</v>
      </c>
      <c r="N80" s="673" t="e">
        <f t="shared" si="49"/>
        <v>#REF!</v>
      </c>
      <c r="O80" s="670"/>
      <c r="P80" s="670"/>
      <c r="Q80" s="673"/>
      <c r="R80" s="673"/>
      <c r="S80" s="673">
        <v>0.43726347555349204</v>
      </c>
      <c r="T80" s="674"/>
      <c r="U80" s="673"/>
      <c r="V80" s="673"/>
    </row>
    <row r="81" spans="1:22" x14ac:dyDescent="0.35">
      <c r="A81" s="670"/>
      <c r="B81" s="675"/>
      <c r="C81" s="675"/>
      <c r="D81" s="675"/>
      <c r="E81" s="675"/>
      <c r="F81" s="675"/>
      <c r="G81" s="675"/>
      <c r="H81" s="675"/>
      <c r="I81" s="675"/>
      <c r="J81" s="675"/>
      <c r="K81" s="675"/>
      <c r="L81" s="675"/>
      <c r="M81" s="675"/>
      <c r="N81" s="675"/>
      <c r="O81" s="670"/>
      <c r="P81" s="670"/>
      <c r="Q81" s="675"/>
      <c r="R81" s="675"/>
      <c r="S81" s="675"/>
      <c r="T81" s="676"/>
      <c r="U81" s="675"/>
      <c r="V81" s="675"/>
    </row>
    <row r="82" spans="1:22" x14ac:dyDescent="0.35">
      <c r="A82" s="670"/>
      <c r="B82" s="675"/>
      <c r="C82" s="675"/>
      <c r="D82" s="675"/>
      <c r="E82" s="675"/>
      <c r="F82" s="675"/>
      <c r="G82" s="675"/>
      <c r="H82" s="675"/>
      <c r="I82" s="675"/>
      <c r="J82" s="675"/>
      <c r="K82" s="675"/>
      <c r="L82" s="675"/>
      <c r="M82" s="675"/>
      <c r="N82" s="675"/>
      <c r="O82" s="670"/>
      <c r="P82" s="670"/>
      <c r="Q82" s="675"/>
      <c r="R82" s="675"/>
      <c r="S82" s="675"/>
      <c r="T82" s="676"/>
      <c r="U82" s="675"/>
      <c r="V82" s="675"/>
    </row>
    <row r="83" spans="1:22" x14ac:dyDescent="0.35">
      <c r="A83" s="670">
        <v>2024</v>
      </c>
      <c r="B83" s="675"/>
      <c r="C83" s="675"/>
      <c r="D83" s="675"/>
      <c r="E83" s="675"/>
      <c r="F83" s="675"/>
      <c r="G83" s="675"/>
      <c r="H83" s="675"/>
      <c r="I83" s="675"/>
      <c r="J83" s="675"/>
      <c r="K83" s="675"/>
      <c r="L83" s="675"/>
      <c r="M83" s="675"/>
      <c r="N83" s="675"/>
      <c r="O83" s="670"/>
      <c r="P83" s="670"/>
      <c r="Q83" s="675"/>
      <c r="R83" s="675"/>
      <c r="S83" s="675"/>
      <c r="T83" s="676"/>
      <c r="U83" s="675"/>
      <c r="V83" s="675"/>
    </row>
    <row r="84" spans="1:22" x14ac:dyDescent="0.35">
      <c r="A84" s="670" t="s">
        <v>423</v>
      </c>
      <c r="O84" s="670"/>
      <c r="P84" s="670"/>
    </row>
    <row r="85" spans="1:22" x14ac:dyDescent="0.35">
      <c r="A85" s="670" t="s">
        <v>425</v>
      </c>
      <c r="O85" s="670"/>
      <c r="P85" s="670"/>
    </row>
    <row r="88" spans="1:22" x14ac:dyDescent="0.35">
      <c r="A88" s="670">
        <v>2025</v>
      </c>
      <c r="O88" s="670"/>
      <c r="P88" s="670"/>
    </row>
    <row r="89" spans="1:22" x14ac:dyDescent="0.35">
      <c r="A89" s="670" t="s">
        <v>423</v>
      </c>
      <c r="O89" s="670"/>
      <c r="P89" s="670"/>
    </row>
    <row r="90" spans="1:22" x14ac:dyDescent="0.35">
      <c r="A90" s="670" t="s">
        <v>425</v>
      </c>
      <c r="O90" s="670"/>
      <c r="P90" s="67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13"/>
  <sheetViews>
    <sheetView showGridLines="0" zoomScale="80" zoomScaleNormal="80" workbookViewId="0">
      <pane xSplit="1" ySplit="4" topLeftCell="B88" activePane="bottomRight" state="frozen"/>
      <selection pane="topRight" activeCell="B1" sqref="B1"/>
      <selection pane="bottomLeft" activeCell="A5" sqref="A5"/>
      <selection pane="bottomRight" activeCell="B106" sqref="B106"/>
    </sheetView>
  </sheetViews>
  <sheetFormatPr defaultColWidth="9.453125" defaultRowHeight="15.5" x14ac:dyDescent="0.35"/>
  <cols>
    <col min="1" max="1" width="32.453125" style="198" customWidth="1"/>
    <col min="2" max="14" width="14.453125" customWidth="1"/>
    <col min="15" max="15" width="9.453125" style="198"/>
    <col min="16" max="16" width="10.453125" style="198" bestFit="1" customWidth="1"/>
    <col min="17" max="16384" width="9.453125" style="198"/>
  </cols>
  <sheetData>
    <row r="1" spans="1:18" s="195" customFormat="1" ht="21" x14ac:dyDescent="0.35">
      <c r="A1" s="193" t="s">
        <v>265</v>
      </c>
      <c r="B1" s="194"/>
      <c r="C1" s="194"/>
      <c r="D1" s="194"/>
      <c r="E1" s="194"/>
      <c r="F1" s="194"/>
      <c r="G1" s="194"/>
      <c r="H1" s="194"/>
      <c r="I1" s="194"/>
      <c r="J1" s="194"/>
      <c r="K1" s="194"/>
      <c r="L1" s="194"/>
      <c r="M1" s="194"/>
      <c r="N1" s="194"/>
      <c r="R1" s="194" t="s">
        <v>438</v>
      </c>
    </row>
    <row r="2" spans="1:18" ht="18.5" x14ac:dyDescent="0.35">
      <c r="A2" s="196" t="s">
        <v>439</v>
      </c>
      <c r="B2" s="200"/>
      <c r="C2" s="200"/>
      <c r="D2" s="200"/>
      <c r="E2" s="200"/>
      <c r="F2" s="200"/>
      <c r="G2" s="200"/>
      <c r="H2" s="200"/>
      <c r="I2" s="200"/>
      <c r="J2" s="200"/>
      <c r="K2" s="200"/>
      <c r="L2" s="200"/>
      <c r="M2" s="200"/>
      <c r="N2" s="200"/>
      <c r="O2" s="670"/>
      <c r="P2" s="670"/>
      <c r="Q2" s="670"/>
      <c r="R2" s="670"/>
    </row>
    <row r="3" spans="1:18" ht="16.5" customHeight="1" x14ac:dyDescent="0.35">
      <c r="A3" s="199"/>
      <c r="O3" s="670"/>
      <c r="P3" s="670"/>
      <c r="Q3" s="670"/>
      <c r="R3" s="670"/>
    </row>
    <row r="4" spans="1:18" s="201" customFormat="1" x14ac:dyDescent="0.35">
      <c r="A4" s="201" t="s">
        <v>268</v>
      </c>
      <c r="B4" s="201">
        <v>45658</v>
      </c>
      <c r="C4" s="201">
        <v>45689</v>
      </c>
      <c r="D4" s="201">
        <v>45717</v>
      </c>
      <c r="E4" s="201">
        <v>45748</v>
      </c>
      <c r="F4" s="201">
        <v>45778</v>
      </c>
      <c r="G4" s="201">
        <v>45809</v>
      </c>
      <c r="H4" s="201">
        <v>45839</v>
      </c>
      <c r="I4" s="201">
        <v>45870</v>
      </c>
      <c r="J4" s="201">
        <v>45901</v>
      </c>
      <c r="K4" s="201">
        <v>45931</v>
      </c>
      <c r="L4" s="201">
        <v>45962</v>
      </c>
      <c r="M4" s="201">
        <v>45992</v>
      </c>
      <c r="N4" s="201" t="s">
        <v>174</v>
      </c>
    </row>
    <row r="5" spans="1:18" s="201" customFormat="1" x14ac:dyDescent="0.35">
      <c r="A5" s="202" t="s">
        <v>440</v>
      </c>
    </row>
    <row r="6" spans="1:18" s="201" customFormat="1" x14ac:dyDescent="0.35">
      <c r="A6" s="202" t="s">
        <v>344</v>
      </c>
    </row>
    <row r="7" spans="1:18" x14ac:dyDescent="0.35">
      <c r="A7" s="203" t="s">
        <v>289</v>
      </c>
      <c r="B7" s="305">
        <f>B45+B49+B56+B60+20792</f>
        <v>8725206.4000000004</v>
      </c>
      <c r="C7" s="305">
        <f>C45+C49+C56+C60+20792+150000</f>
        <v>8875206.4000000004</v>
      </c>
      <c r="D7" s="305">
        <f>D45+D49+D56+D60+20792+150000</f>
        <v>8614410.6999999993</v>
      </c>
      <c r="E7" s="305">
        <f>E45+E49+E56+E60+20792+15000</f>
        <v>8479410.6999999993</v>
      </c>
      <c r="F7" s="305">
        <f t="shared" ref="F7:M7" si="0">F45+F49+F56+F60+20792</f>
        <v>8667251.8000000007</v>
      </c>
      <c r="G7" s="305">
        <f t="shared" si="0"/>
        <v>8667251.8000000007</v>
      </c>
      <c r="H7" s="305">
        <f t="shared" si="0"/>
        <v>8812138.3000000007</v>
      </c>
      <c r="I7" s="305">
        <f t="shared" si="0"/>
        <v>9623502.7000000011</v>
      </c>
      <c r="J7" s="305">
        <f t="shared" si="0"/>
        <v>9768389.2000000011</v>
      </c>
      <c r="K7" s="305">
        <f t="shared" si="0"/>
        <v>9913275.7000000011</v>
      </c>
      <c r="L7" s="305">
        <f t="shared" si="0"/>
        <v>10058162.200000001</v>
      </c>
      <c r="M7" s="305">
        <f t="shared" si="0"/>
        <v>10203048.700000001</v>
      </c>
      <c r="N7" s="204">
        <f t="shared" ref="N7:N12" si="1">SUM(B7:M7)</f>
        <v>110407254.60000001</v>
      </c>
      <c r="O7" s="670"/>
      <c r="P7" s="670"/>
      <c r="Q7" s="670"/>
      <c r="R7" s="670"/>
    </row>
    <row r="8" spans="1:18" x14ac:dyDescent="0.35">
      <c r="A8" s="203" t="s">
        <v>441</v>
      </c>
      <c r="B8" s="305">
        <f>B7*10%</f>
        <v>872520.64000000013</v>
      </c>
      <c r="C8" s="305">
        <f>B8</f>
        <v>872520.64000000013</v>
      </c>
      <c r="D8" s="305">
        <f t="shared" ref="D8:M8" si="2">C8</f>
        <v>872520.64000000013</v>
      </c>
      <c r="E8" s="305">
        <f t="shared" si="2"/>
        <v>872520.64000000013</v>
      </c>
      <c r="F8" s="305">
        <f t="shared" si="2"/>
        <v>872520.64000000013</v>
      </c>
      <c r="G8" s="305">
        <f t="shared" si="2"/>
        <v>872520.64000000013</v>
      </c>
      <c r="H8" s="305">
        <f t="shared" si="2"/>
        <v>872520.64000000013</v>
      </c>
      <c r="I8" s="305">
        <f t="shared" si="2"/>
        <v>872520.64000000013</v>
      </c>
      <c r="J8" s="305">
        <f t="shared" si="2"/>
        <v>872520.64000000013</v>
      </c>
      <c r="K8" s="305">
        <f t="shared" si="2"/>
        <v>872520.64000000013</v>
      </c>
      <c r="L8" s="305">
        <f t="shared" si="2"/>
        <v>872520.64000000013</v>
      </c>
      <c r="M8" s="305">
        <f t="shared" si="2"/>
        <v>872520.64000000013</v>
      </c>
      <c r="N8" s="204">
        <f t="shared" si="1"/>
        <v>10470247.680000005</v>
      </c>
      <c r="O8" s="670"/>
      <c r="P8" s="670"/>
      <c r="Q8" s="670"/>
      <c r="R8" s="670"/>
    </row>
    <row r="9" spans="1:18" x14ac:dyDescent="0.35">
      <c r="A9" s="203" t="s">
        <v>146</v>
      </c>
      <c r="B9" s="305">
        <f t="shared" ref="B9:M9" si="3">B75</f>
        <v>958628</v>
      </c>
      <c r="C9" s="305">
        <f t="shared" si="3"/>
        <v>958628</v>
      </c>
      <c r="D9" s="305">
        <f t="shared" si="3"/>
        <v>951428</v>
      </c>
      <c r="E9" s="305">
        <f t="shared" si="3"/>
        <v>952678</v>
      </c>
      <c r="F9" s="305">
        <f t="shared" si="3"/>
        <v>958278</v>
      </c>
      <c r="G9" s="305">
        <f t="shared" si="3"/>
        <v>958278</v>
      </c>
      <c r="H9" s="305">
        <f t="shared" si="3"/>
        <v>962278</v>
      </c>
      <c r="I9" s="305">
        <f t="shared" si="3"/>
        <v>984678</v>
      </c>
      <c r="J9" s="305">
        <f t="shared" si="3"/>
        <v>988678</v>
      </c>
      <c r="K9" s="305">
        <f t="shared" si="3"/>
        <v>1014779.4</v>
      </c>
      <c r="L9" s="305">
        <f t="shared" si="3"/>
        <v>1018779.4</v>
      </c>
      <c r="M9" s="305">
        <f t="shared" si="3"/>
        <v>1022779.4</v>
      </c>
      <c r="N9" s="204">
        <f t="shared" si="1"/>
        <v>11729890.200000001</v>
      </c>
      <c r="O9" s="670"/>
      <c r="P9" s="670"/>
      <c r="Q9" s="670"/>
      <c r="R9" s="670"/>
    </row>
    <row r="10" spans="1:18" x14ac:dyDescent="0.35">
      <c r="A10" s="203" t="s">
        <v>147</v>
      </c>
      <c r="B10" s="305">
        <f>'India Expenses - Detailed'!E395+'India Expenses - Detailed'!E369+'India Expenses - Detailed'!E351</f>
        <v>142459</v>
      </c>
      <c r="C10" s="305">
        <f>'India Expenses - Detailed'!F395+'India Expenses - Detailed'!F369+'India Expenses - Detailed'!F351</f>
        <v>142459</v>
      </c>
      <c r="D10" s="305">
        <f>'India Expenses - Detailed'!G395+'India Expenses - Detailed'!G369+'India Expenses - Detailed'!G351</f>
        <v>147049</v>
      </c>
      <c r="E10" s="305">
        <f>'India Expenses - Detailed'!H395+'India Expenses - Detailed'!H369+'India Expenses - Detailed'!H351</f>
        <v>146019</v>
      </c>
      <c r="F10" s="305">
        <f>'India Expenses - Detailed'!I395+'India Expenses - Detailed'!I369+'India Expenses - Detailed'!I351</f>
        <v>147419</v>
      </c>
      <c r="G10" s="305">
        <f>'India Expenses - Detailed'!J395+'India Expenses - Detailed'!J369+'India Expenses - Detailed'!J351</f>
        <v>155300</v>
      </c>
      <c r="H10" s="305">
        <f>'India Expenses - Detailed'!K395+'India Expenses - Detailed'!K369+'India Expenses - Detailed'!K351</f>
        <v>148419</v>
      </c>
      <c r="I10" s="305">
        <f>'India Expenses - Detailed'!L395+'India Expenses - Detailed'!L369+'India Expenses - Detailed'!L351</f>
        <v>154019</v>
      </c>
      <c r="J10" s="305">
        <f>'India Expenses - Detailed'!M395+'India Expenses - Detailed'!M369+'India Expenses - Detailed'!M351</f>
        <v>157646</v>
      </c>
      <c r="K10" s="305">
        <f>'India Expenses - Detailed'!N395+'India Expenses - Detailed'!N369+'India Expenses - Detailed'!N351</f>
        <v>156019</v>
      </c>
      <c r="L10" s="305">
        <f>'India Expenses - Detailed'!O395+'India Expenses - Detailed'!O369+'India Expenses - Detailed'!O351</f>
        <v>157019</v>
      </c>
      <c r="M10" s="305">
        <f>'India Expenses - Detailed'!P395+'India Expenses - Detailed'!P369+'India Expenses - Detailed'!P351</f>
        <v>158019</v>
      </c>
      <c r="N10" s="204">
        <f t="shared" si="1"/>
        <v>1811846</v>
      </c>
      <c r="O10" s="670"/>
      <c r="P10" s="670"/>
      <c r="Q10" s="670"/>
      <c r="R10" s="670"/>
    </row>
    <row r="11" spans="1:18" x14ac:dyDescent="0.35">
      <c r="A11" s="203" t="s">
        <v>399</v>
      </c>
      <c r="B11" s="204">
        <f>'India Expenses - Detailed'!E360</f>
        <v>275000</v>
      </c>
      <c r="C11" s="204">
        <f>'India Expenses - Detailed'!F360</f>
        <v>275000</v>
      </c>
      <c r="D11" s="204">
        <f>'India Expenses - Detailed'!G360</f>
        <v>275000</v>
      </c>
      <c r="E11" s="204">
        <f>'India Expenses - Detailed'!H360</f>
        <v>275000</v>
      </c>
      <c r="F11" s="204">
        <f>'India Expenses - Detailed'!I360</f>
        <v>275000</v>
      </c>
      <c r="G11" s="204">
        <f>'India Expenses - Detailed'!J360</f>
        <v>275000</v>
      </c>
      <c r="H11" s="204">
        <f>'India Expenses - Detailed'!K360</f>
        <v>275000</v>
      </c>
      <c r="I11" s="204">
        <f>'India Expenses - Detailed'!L360</f>
        <v>275000</v>
      </c>
      <c r="J11" s="204">
        <f>'India Expenses - Detailed'!M360</f>
        <v>275000</v>
      </c>
      <c r="K11" s="204">
        <f>'India Expenses - Detailed'!N360</f>
        <v>275000</v>
      </c>
      <c r="L11" s="204">
        <f>'India Expenses - Detailed'!O360</f>
        <v>275000</v>
      </c>
      <c r="M11" s="204">
        <f>'India Expenses - Detailed'!P360</f>
        <v>275000</v>
      </c>
      <c r="N11" s="204">
        <f t="shared" si="1"/>
        <v>3300000</v>
      </c>
      <c r="O11" s="670"/>
      <c r="P11" s="670"/>
      <c r="Q11" s="670"/>
      <c r="R11" s="670"/>
    </row>
    <row r="12" spans="1:18" x14ac:dyDescent="0.35">
      <c r="A12" s="203" t="s">
        <v>400</v>
      </c>
      <c r="B12" s="204">
        <f>'India Expenses - Detailed'!E378+'India Expenses - Detailed'!E387</f>
        <v>261547.94964028776</v>
      </c>
      <c r="C12" s="204">
        <f>'India Expenses - Detailed'!F378+'India Expenses - Detailed'!F387</f>
        <v>261547.94964028776</v>
      </c>
      <c r="D12" s="204">
        <f>'India Expenses - Detailed'!G378+'India Expenses - Detailed'!G387</f>
        <v>252731.72661870503</v>
      </c>
      <c r="E12" s="204">
        <f>'India Expenses - Detailed'!H378+'India Expenses - Detailed'!H387</f>
        <v>252731.72661870503</v>
      </c>
      <c r="F12" s="204">
        <f>'India Expenses - Detailed'!I378+'India Expenses - Detailed'!I387</f>
        <v>259588.78896882493</v>
      </c>
      <c r="G12" s="204">
        <f>'India Expenses - Detailed'!J378+'India Expenses - Detailed'!J387</f>
        <v>335188.7889688249</v>
      </c>
      <c r="H12" s="204">
        <f>'India Expenses - Detailed'!K378+'India Expenses - Detailed'!K387</f>
        <v>264486.690647482</v>
      </c>
      <c r="I12" s="204">
        <f>'India Expenses - Detailed'!L378+'India Expenses - Detailed'!L387</f>
        <v>291914.9400479616</v>
      </c>
      <c r="J12" s="204">
        <f>'India Expenses - Detailed'!M378+'India Expenses - Detailed'!M387</f>
        <v>296812.8417266187</v>
      </c>
      <c r="K12" s="204">
        <f>'India Expenses - Detailed'!N378+'India Expenses - Detailed'!N387</f>
        <v>301710.74340527575</v>
      </c>
      <c r="L12" s="204">
        <f>'India Expenses - Detailed'!O378+'India Expenses - Detailed'!O387</f>
        <v>306608.64508393285</v>
      </c>
      <c r="M12" s="204">
        <f>'India Expenses - Detailed'!P378+'India Expenses - Detailed'!P387</f>
        <v>311506.54676258989</v>
      </c>
      <c r="N12" s="204">
        <f t="shared" si="1"/>
        <v>3396377.3381294962</v>
      </c>
      <c r="O12" s="670"/>
      <c r="P12" s="670"/>
      <c r="Q12" s="670"/>
      <c r="R12" s="670"/>
    </row>
    <row r="13" spans="1:18" s="206" customFormat="1" x14ac:dyDescent="0.35">
      <c r="A13" s="202" t="s">
        <v>442</v>
      </c>
      <c r="B13" s="205">
        <f>SUM(B7:B12)</f>
        <v>11235361.989640288</v>
      </c>
      <c r="C13" s="205">
        <f t="shared" ref="C13:N13" si="4">SUM(C7:C12)</f>
        <v>11385361.989640288</v>
      </c>
      <c r="D13" s="205">
        <f t="shared" si="4"/>
        <v>11113140.066618705</v>
      </c>
      <c r="E13" s="205">
        <f t="shared" si="4"/>
        <v>10978360.066618705</v>
      </c>
      <c r="F13" s="205">
        <f t="shared" si="4"/>
        <v>11180058.228968827</v>
      </c>
      <c r="G13" s="205">
        <f t="shared" si="4"/>
        <v>11263539.228968827</v>
      </c>
      <c r="H13" s="205">
        <f t="shared" si="4"/>
        <v>11334842.630647484</v>
      </c>
      <c r="I13" s="205">
        <f t="shared" si="4"/>
        <v>12201635.280047962</v>
      </c>
      <c r="J13" s="205">
        <f t="shared" si="4"/>
        <v>12359046.68172662</v>
      </c>
      <c r="K13" s="205">
        <f t="shared" si="4"/>
        <v>12533305.483405277</v>
      </c>
      <c r="L13" s="205">
        <f t="shared" si="4"/>
        <v>12688089.885083934</v>
      </c>
      <c r="M13" s="205">
        <f t="shared" si="4"/>
        <v>12842874.286762591</v>
      </c>
      <c r="N13" s="205">
        <f t="shared" si="4"/>
        <v>141115615.81812951</v>
      </c>
    </row>
    <row r="14" spans="1:18" s="206" customFormat="1" x14ac:dyDescent="0.35">
      <c r="A14" s="202"/>
      <c r="B14" s="205"/>
      <c r="C14" s="205"/>
      <c r="D14" s="205"/>
      <c r="E14" s="205"/>
      <c r="F14" s="205"/>
      <c r="G14" s="205"/>
      <c r="H14" s="205"/>
      <c r="I14" s="205"/>
      <c r="J14" s="205"/>
      <c r="K14" s="205"/>
      <c r="L14" s="205"/>
      <c r="M14" s="205"/>
      <c r="N14" s="205"/>
    </row>
    <row r="15" spans="1:18" s="206" customFormat="1" x14ac:dyDescent="0.35">
      <c r="A15" s="202" t="s">
        <v>403</v>
      </c>
      <c r="B15" s="205"/>
      <c r="C15" s="205"/>
      <c r="D15" s="205"/>
      <c r="E15" s="205"/>
      <c r="F15" s="205"/>
      <c r="G15" s="205"/>
      <c r="H15" s="205"/>
      <c r="I15" s="205"/>
      <c r="J15" s="205"/>
      <c r="K15" s="205"/>
      <c r="L15" s="205"/>
      <c r="M15" s="205"/>
      <c r="N15" s="205"/>
    </row>
    <row r="16" spans="1:18" s="206" customFormat="1" x14ac:dyDescent="0.35">
      <c r="A16" s="203" t="s">
        <v>289</v>
      </c>
      <c r="B16" s="305" t="e">
        <f>B46+B50+B57+B61</f>
        <v>#REF!</v>
      </c>
      <c r="C16" s="305" t="e">
        <f t="shared" ref="C16:M16" si="5">C46+C50+C57+C61</f>
        <v>#REF!</v>
      </c>
      <c r="D16" s="305" t="e">
        <f t="shared" si="5"/>
        <v>#REF!</v>
      </c>
      <c r="E16" s="305" t="e">
        <f t="shared" si="5"/>
        <v>#REF!</v>
      </c>
      <c r="F16" s="305" t="e">
        <f t="shared" si="5"/>
        <v>#REF!</v>
      </c>
      <c r="G16" s="305" t="e">
        <f t="shared" si="5"/>
        <v>#REF!</v>
      </c>
      <c r="H16" s="305" t="e">
        <f t="shared" si="5"/>
        <v>#REF!</v>
      </c>
      <c r="I16" s="305" t="e">
        <f t="shared" si="5"/>
        <v>#REF!</v>
      </c>
      <c r="J16" s="305" t="e">
        <f t="shared" si="5"/>
        <v>#REF!</v>
      </c>
      <c r="K16" s="305" t="e">
        <f t="shared" si="5"/>
        <v>#REF!</v>
      </c>
      <c r="L16" s="305" t="e">
        <f t="shared" si="5"/>
        <v>#REF!</v>
      </c>
      <c r="M16" s="305" t="e">
        <f t="shared" si="5"/>
        <v>#REF!</v>
      </c>
      <c r="N16" s="204" t="e">
        <f>SUM(B16:M16)</f>
        <v>#REF!</v>
      </c>
    </row>
    <row r="17" spans="1:22" s="206" customFormat="1" x14ac:dyDescent="0.35">
      <c r="A17" s="203" t="s">
        <v>146</v>
      </c>
      <c r="B17" s="305" t="e">
        <f t="shared" ref="B17:M17" si="6">B84</f>
        <v>#REF!</v>
      </c>
      <c r="C17" s="305" t="e">
        <f t="shared" si="6"/>
        <v>#REF!</v>
      </c>
      <c r="D17" s="305" t="e">
        <f t="shared" si="6"/>
        <v>#REF!</v>
      </c>
      <c r="E17" s="305" t="e">
        <f t="shared" si="6"/>
        <v>#REF!</v>
      </c>
      <c r="F17" s="305" t="e">
        <f t="shared" si="6"/>
        <v>#REF!</v>
      </c>
      <c r="G17" s="305" t="e">
        <f t="shared" si="6"/>
        <v>#REF!</v>
      </c>
      <c r="H17" s="305" t="e">
        <f t="shared" si="6"/>
        <v>#REF!</v>
      </c>
      <c r="I17" s="305" t="e">
        <f t="shared" si="6"/>
        <v>#REF!</v>
      </c>
      <c r="J17" s="305" t="e">
        <f t="shared" si="6"/>
        <v>#REF!</v>
      </c>
      <c r="K17" s="305" t="e">
        <f t="shared" si="6"/>
        <v>#REF!</v>
      </c>
      <c r="L17" s="305" t="e">
        <f t="shared" si="6"/>
        <v>#REF!</v>
      </c>
      <c r="M17" s="305" t="e">
        <f t="shared" si="6"/>
        <v>#REF!</v>
      </c>
      <c r="N17" s="204" t="e">
        <f>SUM(B17:M17)</f>
        <v>#REF!</v>
      </c>
    </row>
    <row r="18" spans="1:22" s="206" customFormat="1" x14ac:dyDescent="0.35">
      <c r="A18" s="203" t="s">
        <v>147</v>
      </c>
      <c r="B18" s="305" t="e">
        <f>'India Expenses - Detailed'!E352+'India Expenses - Detailed'!E370+'India Expenses - Detailed'!E396</f>
        <v>#REF!</v>
      </c>
      <c r="C18" s="305" t="e">
        <f>'India Expenses - Detailed'!F352+'India Expenses - Detailed'!F370+'India Expenses - Detailed'!F396</f>
        <v>#REF!</v>
      </c>
      <c r="D18" s="305" t="e">
        <f>'India Expenses - Detailed'!G352+'India Expenses - Detailed'!G370+'India Expenses - Detailed'!G396</f>
        <v>#REF!</v>
      </c>
      <c r="E18" s="305" t="e">
        <f>'India Expenses - Detailed'!H352+'India Expenses - Detailed'!H370+'India Expenses - Detailed'!H396</f>
        <v>#REF!</v>
      </c>
      <c r="F18" s="305" t="e">
        <f>'India Expenses - Detailed'!I352+'India Expenses - Detailed'!I370+'India Expenses - Detailed'!I396</f>
        <v>#REF!</v>
      </c>
      <c r="G18" s="305" t="e">
        <f>'India Expenses - Detailed'!J352+'India Expenses - Detailed'!J370+'India Expenses - Detailed'!J396</f>
        <v>#REF!</v>
      </c>
      <c r="H18" s="305" t="e">
        <f>'India Expenses - Detailed'!K352+'India Expenses - Detailed'!K370+'India Expenses - Detailed'!K396</f>
        <v>#REF!</v>
      </c>
      <c r="I18" s="305" t="e">
        <f>'India Expenses - Detailed'!L352+'India Expenses - Detailed'!L370+'India Expenses - Detailed'!L396</f>
        <v>#REF!</v>
      </c>
      <c r="J18" s="305" t="e">
        <f>'India Expenses - Detailed'!M352+'India Expenses - Detailed'!M370+'India Expenses - Detailed'!M396</f>
        <v>#REF!</v>
      </c>
      <c r="K18" s="305" t="e">
        <f>'India Expenses - Detailed'!N352+'India Expenses - Detailed'!N370+'India Expenses - Detailed'!N396</f>
        <v>#REF!</v>
      </c>
      <c r="L18" s="305" t="e">
        <f>'India Expenses - Detailed'!O352+'India Expenses - Detailed'!O370+'India Expenses - Detailed'!O396</f>
        <v>#REF!</v>
      </c>
      <c r="M18" s="305" t="e">
        <f>'India Expenses - Detailed'!P352+'India Expenses - Detailed'!P370+'India Expenses - Detailed'!P396</f>
        <v>#REF!</v>
      </c>
      <c r="N18" s="204" t="e">
        <f>SUM(B18:M18)</f>
        <v>#REF!</v>
      </c>
    </row>
    <row r="19" spans="1:22" s="206" customFormat="1" x14ac:dyDescent="0.35">
      <c r="A19" s="203" t="s">
        <v>399</v>
      </c>
      <c r="B19" s="204" t="e">
        <f>'India Expenses - Detailed'!E361</f>
        <v>#REF!</v>
      </c>
      <c r="C19" s="204" t="e">
        <f>'India Expenses - Detailed'!F361</f>
        <v>#REF!</v>
      </c>
      <c r="D19" s="204" t="e">
        <f>'India Expenses - Detailed'!G361</f>
        <v>#REF!</v>
      </c>
      <c r="E19" s="204" t="e">
        <f>'India Expenses - Detailed'!H361</f>
        <v>#REF!</v>
      </c>
      <c r="F19" s="204" t="e">
        <f>'India Expenses - Detailed'!I361</f>
        <v>#REF!</v>
      </c>
      <c r="G19" s="204" t="e">
        <f>'India Expenses - Detailed'!J361</f>
        <v>#REF!</v>
      </c>
      <c r="H19" s="204" t="e">
        <f>'India Expenses - Detailed'!K361</f>
        <v>#REF!</v>
      </c>
      <c r="I19" s="204" t="e">
        <f>'India Expenses - Detailed'!L361</f>
        <v>#REF!</v>
      </c>
      <c r="J19" s="204" t="e">
        <f>'India Expenses - Detailed'!M361</f>
        <v>#REF!</v>
      </c>
      <c r="K19" s="204" t="e">
        <f>'India Expenses - Detailed'!N361</f>
        <v>#REF!</v>
      </c>
      <c r="L19" s="204" t="e">
        <f>'India Expenses - Detailed'!O361</f>
        <v>#REF!</v>
      </c>
      <c r="M19" s="204" t="e">
        <f>'India Expenses - Detailed'!P361</f>
        <v>#REF!</v>
      </c>
      <c r="N19" s="204" t="e">
        <f>SUM(B19:M19)</f>
        <v>#REF!</v>
      </c>
    </row>
    <row r="20" spans="1:22" s="206" customFormat="1" x14ac:dyDescent="0.35">
      <c r="A20" s="203" t="s">
        <v>400</v>
      </c>
      <c r="B20" s="204" t="e">
        <f>'India Expenses - Detailed'!E379+'India Expenses - Detailed'!E529</f>
        <v>#REF!</v>
      </c>
      <c r="C20" s="204" t="e">
        <f>'India Expenses - Detailed'!F379+'India Expenses - Detailed'!F529</f>
        <v>#REF!</v>
      </c>
      <c r="D20" s="204" t="e">
        <f>'India Expenses - Detailed'!G379+'India Expenses - Detailed'!G529</f>
        <v>#REF!</v>
      </c>
      <c r="E20" s="204" t="e">
        <f>'India Expenses - Detailed'!H379+'India Expenses - Detailed'!H529</f>
        <v>#REF!</v>
      </c>
      <c r="F20" s="204" t="e">
        <f>'India Expenses - Detailed'!I379+'India Expenses - Detailed'!I529</f>
        <v>#REF!</v>
      </c>
      <c r="G20" s="204" t="e">
        <f>'India Expenses - Detailed'!J379+'India Expenses - Detailed'!J529</f>
        <v>#REF!</v>
      </c>
      <c r="H20" s="204" t="e">
        <f>'India Expenses - Detailed'!K379+'India Expenses - Detailed'!K529</f>
        <v>#REF!</v>
      </c>
      <c r="I20" s="204" t="e">
        <f>'India Expenses - Detailed'!L379+'India Expenses - Detailed'!L529</f>
        <v>#REF!</v>
      </c>
      <c r="J20" s="204" t="e">
        <f>'India Expenses - Detailed'!M379+'India Expenses - Detailed'!M529</f>
        <v>#REF!</v>
      </c>
      <c r="K20" s="204" t="e">
        <f>'India Expenses - Detailed'!N379+'India Expenses - Detailed'!N529</f>
        <v>#REF!</v>
      </c>
      <c r="L20" s="204" t="e">
        <f>'India Expenses - Detailed'!O379+'India Expenses - Detailed'!O529</f>
        <v>#REF!</v>
      </c>
      <c r="M20" s="204" t="e">
        <f>'India Expenses - Detailed'!P379+'India Expenses - Detailed'!P529</f>
        <v>#REF!</v>
      </c>
      <c r="N20" s="204" t="e">
        <f>SUM(B20:M20)</f>
        <v>#REF!</v>
      </c>
    </row>
    <row r="21" spans="1:22" s="206" customFormat="1" x14ac:dyDescent="0.35">
      <c r="A21" s="202" t="s">
        <v>442</v>
      </c>
      <c r="B21" s="205" t="e">
        <f>SUM(B16:B20)</f>
        <v>#REF!</v>
      </c>
      <c r="C21" s="205" t="e">
        <f t="shared" ref="C21:N21" si="7">SUM(C16:C20)</f>
        <v>#REF!</v>
      </c>
      <c r="D21" s="205" t="e">
        <f t="shared" si="7"/>
        <v>#REF!</v>
      </c>
      <c r="E21" s="205" t="e">
        <f t="shared" si="7"/>
        <v>#REF!</v>
      </c>
      <c r="F21" s="205" t="e">
        <f t="shared" si="7"/>
        <v>#REF!</v>
      </c>
      <c r="G21" s="205" t="e">
        <f t="shared" si="7"/>
        <v>#REF!</v>
      </c>
      <c r="H21" s="205" t="e">
        <f t="shared" si="7"/>
        <v>#REF!</v>
      </c>
      <c r="I21" s="205" t="e">
        <f t="shared" si="7"/>
        <v>#REF!</v>
      </c>
      <c r="J21" s="205" t="e">
        <f t="shared" si="7"/>
        <v>#REF!</v>
      </c>
      <c r="K21" s="205" t="e">
        <f t="shared" si="7"/>
        <v>#REF!</v>
      </c>
      <c r="L21" s="205" t="e">
        <f t="shared" si="7"/>
        <v>#REF!</v>
      </c>
      <c r="M21" s="205" t="e">
        <f t="shared" si="7"/>
        <v>#REF!</v>
      </c>
      <c r="N21" s="205" t="e">
        <f t="shared" si="7"/>
        <v>#REF!</v>
      </c>
    </row>
    <row r="22" spans="1:22" s="206" customFormat="1" x14ac:dyDescent="0.35">
      <c r="A22" s="202"/>
      <c r="B22" s="205"/>
      <c r="C22" s="205"/>
      <c r="D22" s="205"/>
      <c r="E22" s="205"/>
      <c r="F22" s="205"/>
      <c r="G22" s="205"/>
      <c r="H22" s="205"/>
      <c r="I22" s="205"/>
      <c r="J22" s="205"/>
      <c r="K22" s="205"/>
      <c r="L22" s="205"/>
      <c r="M22" s="205"/>
      <c r="N22" s="205"/>
    </row>
    <row r="23" spans="1:22" s="206" customFormat="1" x14ac:dyDescent="0.35">
      <c r="A23" s="202" t="s">
        <v>408</v>
      </c>
      <c r="B23" s="205"/>
      <c r="C23" s="205"/>
      <c r="D23" s="205"/>
      <c r="E23" s="205"/>
      <c r="F23" s="205"/>
      <c r="G23" s="205"/>
      <c r="H23" s="205"/>
      <c r="I23" s="205"/>
      <c r="J23" s="205"/>
      <c r="K23" s="205"/>
      <c r="L23" s="205"/>
      <c r="M23" s="205"/>
      <c r="N23" s="205"/>
    </row>
    <row r="24" spans="1:22" s="206" customFormat="1" x14ac:dyDescent="0.35">
      <c r="A24" s="202"/>
      <c r="B24" s="205"/>
      <c r="C24" s="205"/>
      <c r="D24" s="205"/>
      <c r="E24" s="205"/>
      <c r="F24" s="205"/>
      <c r="G24" s="205"/>
      <c r="H24" s="205"/>
      <c r="I24" s="205"/>
      <c r="J24" s="205"/>
      <c r="K24" s="205"/>
      <c r="L24" s="205"/>
      <c r="M24" s="205"/>
      <c r="N24" s="205"/>
    </row>
    <row r="25" spans="1:22" s="206" customFormat="1" x14ac:dyDescent="0.35">
      <c r="A25" s="202" t="s">
        <v>177</v>
      </c>
      <c r="B25" s="205"/>
      <c r="C25" s="205"/>
      <c r="D25" s="205"/>
      <c r="E25" s="205"/>
      <c r="F25" s="205"/>
      <c r="G25" s="205"/>
      <c r="H25" s="205"/>
      <c r="I25" s="205"/>
      <c r="J25" s="205"/>
      <c r="K25" s="205"/>
      <c r="L25" s="205"/>
      <c r="M25" s="205"/>
      <c r="N25" s="205"/>
    </row>
    <row r="26" spans="1:22" s="206" customFormat="1" x14ac:dyDescent="0.35">
      <c r="A26" s="203" t="s">
        <v>289</v>
      </c>
      <c r="B26" s="403">
        <f>SUMPRODUCT('2. Headcount Buildup'!$E$91:$E$92,'2. Headcount Buildup'!F$91:F$92)+SUMPRODUCT('2. Headcount Buildup'!$E$108:$E$109,'2. Headcount Buildup'!F$108:F$109)</f>
        <v>355248</v>
      </c>
      <c r="C26" s="403">
        <f>SUMPRODUCT('2. Headcount Buildup'!$E$91:$E$92,'2. Headcount Buildup'!G$91:G$92)+SUMPRODUCT('2. Headcount Buildup'!$E$108:$E$109,'2. Headcount Buildup'!G$108:G$109)</f>
        <v>355248</v>
      </c>
      <c r="D26" s="403">
        <f>SUMPRODUCT('2. Headcount Buildup'!$E$91:$E$92,'2. Headcount Buildup'!H$91:H$92)+SUMPRODUCT('2. Headcount Buildup'!$E$108:$E$109,'2. Headcount Buildup'!H$108:H$109)</f>
        <v>355248</v>
      </c>
      <c r="E26" s="403">
        <f>SUMPRODUCT('2. Headcount Buildup'!$E$91:$E$92,'2. Headcount Buildup'!I$91:I$92)+SUMPRODUCT('2. Headcount Buildup'!$E$108:$E$109,'2. Headcount Buildup'!I$108:I$109)</f>
        <v>355248</v>
      </c>
      <c r="F26" s="403">
        <f>SUMPRODUCT('2. Headcount Buildup'!$E$91:$E$92,'2. Headcount Buildup'!J$91:J$92)+SUMPRODUCT('2. Headcount Buildup'!$E$108:$E$109,'2. Headcount Buildup'!J$108:J$109)</f>
        <v>355248</v>
      </c>
      <c r="G26" s="403">
        <f>SUMPRODUCT('2. Headcount Buildup'!$E$91:$E$92,'2. Headcount Buildup'!K$91:K$92)+SUMPRODUCT('2. Headcount Buildup'!$E$108:$E$109,'2. Headcount Buildup'!K$108:K$109)</f>
        <v>355248</v>
      </c>
      <c r="H26" s="403">
        <f>SUMPRODUCT('2. Headcount Buildup'!$E$91:$E$92,'2. Headcount Buildup'!L$91:L$92)+SUMPRODUCT('2. Headcount Buildup'!$E$108:$E$109,'2. Headcount Buildup'!L$108:L$109)</f>
        <v>355248</v>
      </c>
      <c r="I26" s="403">
        <f>SUMPRODUCT('2. Headcount Buildup'!$E$91:$E$92,'2. Headcount Buildup'!M$91:M$92)+SUMPRODUCT('2. Headcount Buildup'!$E$108:$E$109,'2. Headcount Buildup'!M$108:M$109)</f>
        <v>355248</v>
      </c>
      <c r="J26" s="403">
        <f>SUMPRODUCT('2. Headcount Buildup'!$E$91:$E$92,'2. Headcount Buildup'!N$91:N$92)+SUMPRODUCT('2. Headcount Buildup'!$E$108:$E$109,'2. Headcount Buildup'!N$108:N$109)</f>
        <v>355248</v>
      </c>
      <c r="K26" s="403">
        <f>SUMPRODUCT('2. Headcount Buildup'!$E$91:$E$92,'2. Headcount Buildup'!O$91:O$92)+SUMPRODUCT('2. Headcount Buildup'!$E$108:$E$109,'2. Headcount Buildup'!O$108:O$109)</f>
        <v>355248</v>
      </c>
      <c r="L26" s="403">
        <f>SUMPRODUCT('2. Headcount Buildup'!$E$91:$E$92,'2. Headcount Buildup'!P$91:P$92)+SUMPRODUCT('2. Headcount Buildup'!$E$108:$E$109,'2. Headcount Buildup'!P$108:P$109)</f>
        <v>355248</v>
      </c>
      <c r="M26" s="403">
        <f>SUMPRODUCT('2. Headcount Buildup'!$E$91:$E$92,'2. Headcount Buildup'!Q$91:Q$92)+SUMPRODUCT('2. Headcount Buildup'!$E$108:$E$109,'2. Headcount Buildup'!Q$108:Q$109)</f>
        <v>355248</v>
      </c>
      <c r="N26" s="204">
        <f>SUM(B26:M26)</f>
        <v>4262976</v>
      </c>
      <c r="O26" s="487" t="s">
        <v>443</v>
      </c>
      <c r="P26" s="436"/>
      <c r="Q26" s="436"/>
      <c r="R26" s="436"/>
      <c r="S26" s="436"/>
    </row>
    <row r="27" spans="1:22" s="206" customFormat="1" x14ac:dyDescent="0.35">
      <c r="A27" s="485" t="s">
        <v>444</v>
      </c>
      <c r="B27" s="404">
        <f>SUMPRODUCT('2. Headcount Buildup'!$E$110:$E$111,'2. Headcount Buildup'!F$110:F$111)</f>
        <v>0</v>
      </c>
      <c r="C27" s="404">
        <f>SUMPRODUCT('2. Headcount Buildup'!$E$110:$E$111,'2. Headcount Buildup'!G$110:G$111)</f>
        <v>0</v>
      </c>
      <c r="D27" s="404">
        <f>SUMPRODUCT('2. Headcount Buildup'!$E$110:$E$111,'2. Headcount Buildup'!H$110:H$111)</f>
        <v>0</v>
      </c>
      <c r="E27" s="404">
        <f>SUMPRODUCT('2. Headcount Buildup'!$E$110:$E$111,'2. Headcount Buildup'!I$110:I$111)</f>
        <v>0</v>
      </c>
      <c r="F27" s="404">
        <f>SUMPRODUCT('2. Headcount Buildup'!$E$110:$E$111,'2. Headcount Buildup'!J$110:J$111)</f>
        <v>0</v>
      </c>
      <c r="G27" s="404">
        <f>SUMPRODUCT('2. Headcount Buildup'!$E$110:$E$111,'2. Headcount Buildup'!K$110:K$111)</f>
        <v>0</v>
      </c>
      <c r="H27" s="404">
        <f>SUMPRODUCT('2. Headcount Buildup'!$E$110:$E$111,'2. Headcount Buildup'!L$110:L$111)</f>
        <v>0</v>
      </c>
      <c r="I27" s="404">
        <f>SUMPRODUCT('2. Headcount Buildup'!$E$110:$E$111,'2. Headcount Buildup'!M$110:M$111)</f>
        <v>0</v>
      </c>
      <c r="J27" s="404">
        <f>SUMPRODUCT('2. Headcount Buildup'!$E$110:$E$111,'2. Headcount Buildup'!N$110:N$111)</f>
        <v>0</v>
      </c>
      <c r="K27" s="404">
        <f>SUMPRODUCT('2. Headcount Buildup'!$E$110:$E$111,'2. Headcount Buildup'!O$110:O$111)</f>
        <v>0</v>
      </c>
      <c r="L27" s="404">
        <f>SUMPRODUCT('2. Headcount Buildup'!$E$110:$E$111,'2. Headcount Buildup'!P$110:P$111)</f>
        <v>0</v>
      </c>
      <c r="M27" s="404">
        <f>SUMPRODUCT('2. Headcount Buildup'!$E$110:$E$111,'2. Headcount Buildup'!Q$110:Q$111)</f>
        <v>0</v>
      </c>
      <c r="N27" s="204">
        <f>SUM(B27:M27)</f>
        <v>0</v>
      </c>
      <c r="O27" s="436" t="s">
        <v>445</v>
      </c>
      <c r="P27" s="436"/>
      <c r="Q27" s="436"/>
      <c r="R27" s="436"/>
      <c r="S27" s="436"/>
      <c r="T27" s="436"/>
      <c r="U27" s="436"/>
      <c r="V27" s="436"/>
    </row>
    <row r="28" spans="1:22" x14ac:dyDescent="0.35">
      <c r="A28" s="203" t="s">
        <v>153</v>
      </c>
      <c r="B28" s="403">
        <f t="shared" ref="B28:M28" si="8">B107</f>
        <v>727529.56</v>
      </c>
      <c r="C28" s="403">
        <f t="shared" si="8"/>
        <v>277529.56</v>
      </c>
      <c r="D28" s="403">
        <f t="shared" si="8"/>
        <v>577529.56000000006</v>
      </c>
      <c r="E28" s="403">
        <f t="shared" si="8"/>
        <v>277529.56</v>
      </c>
      <c r="F28" s="403">
        <f t="shared" si="8"/>
        <v>277529.56</v>
      </c>
      <c r="G28" s="403">
        <f t="shared" si="8"/>
        <v>277529.56</v>
      </c>
      <c r="H28" s="403">
        <f t="shared" si="8"/>
        <v>277529.56</v>
      </c>
      <c r="I28" s="403">
        <f t="shared" si="8"/>
        <v>277529.56</v>
      </c>
      <c r="J28" s="403">
        <f t="shared" si="8"/>
        <v>277529.56</v>
      </c>
      <c r="K28" s="403">
        <f t="shared" si="8"/>
        <v>277529.56</v>
      </c>
      <c r="L28" s="403">
        <f t="shared" si="8"/>
        <v>277529.56</v>
      </c>
      <c r="M28" s="403">
        <f t="shared" si="8"/>
        <v>277529.56</v>
      </c>
      <c r="N28" s="204">
        <f>SUM(B28:M28)</f>
        <v>4080354.7200000007</v>
      </c>
      <c r="O28" s="680" t="s">
        <v>446</v>
      </c>
      <c r="P28" s="680"/>
      <c r="Q28" s="680"/>
      <c r="R28" s="680"/>
      <c r="S28" s="670"/>
      <c r="T28" s="670"/>
      <c r="U28" s="670"/>
      <c r="V28" s="670"/>
    </row>
    <row r="29" spans="1:22" s="206" customFormat="1" x14ac:dyDescent="0.35">
      <c r="A29" s="202" t="s">
        <v>174</v>
      </c>
      <c r="B29" s="205">
        <f>SUM(B26:B28)</f>
        <v>1082777.56</v>
      </c>
      <c r="C29" s="205">
        <f t="shared" ref="C29:N29" si="9">SUM(C26:C28)</f>
        <v>632777.56000000006</v>
      </c>
      <c r="D29" s="205">
        <f t="shared" si="9"/>
        <v>932777.56</v>
      </c>
      <c r="E29" s="205">
        <f t="shared" si="9"/>
        <v>632777.56000000006</v>
      </c>
      <c r="F29" s="205">
        <f t="shared" si="9"/>
        <v>632777.56000000006</v>
      </c>
      <c r="G29" s="205">
        <f t="shared" si="9"/>
        <v>632777.56000000006</v>
      </c>
      <c r="H29" s="205">
        <f t="shared" si="9"/>
        <v>632777.56000000006</v>
      </c>
      <c r="I29" s="205">
        <f t="shared" si="9"/>
        <v>632777.56000000006</v>
      </c>
      <c r="J29" s="205">
        <f t="shared" si="9"/>
        <v>632777.56000000006</v>
      </c>
      <c r="K29" s="205">
        <f t="shared" si="9"/>
        <v>632777.56000000006</v>
      </c>
      <c r="L29" s="205">
        <f t="shared" si="9"/>
        <v>632777.56000000006</v>
      </c>
      <c r="M29" s="205">
        <f t="shared" si="9"/>
        <v>632777.56000000006</v>
      </c>
      <c r="N29" s="205">
        <f t="shared" si="9"/>
        <v>8343330.7200000007</v>
      </c>
    </row>
    <row r="30" spans="1:22" s="206" customFormat="1" x14ac:dyDescent="0.35">
      <c r="A30" s="202"/>
      <c r="B30" s="205"/>
      <c r="C30" s="205"/>
      <c r="D30" s="205"/>
      <c r="E30" s="205"/>
      <c r="F30" s="205"/>
      <c r="G30" s="205"/>
      <c r="H30" s="205"/>
      <c r="I30" s="205"/>
      <c r="J30" s="205"/>
      <c r="K30" s="205"/>
      <c r="L30" s="205"/>
      <c r="M30" s="205"/>
      <c r="N30" s="205"/>
    </row>
    <row r="31" spans="1:22" s="206" customFormat="1" x14ac:dyDescent="0.35">
      <c r="A31" s="202" t="s">
        <v>412</v>
      </c>
      <c r="B31" s="205"/>
      <c r="C31" s="205"/>
      <c r="D31" s="205"/>
      <c r="E31" s="205"/>
      <c r="F31" s="205"/>
      <c r="G31" s="205"/>
      <c r="H31" s="205"/>
      <c r="I31" s="205"/>
      <c r="J31" s="205"/>
      <c r="K31" s="205"/>
      <c r="L31" s="205"/>
      <c r="M31" s="205"/>
      <c r="N31" s="205"/>
    </row>
    <row r="32" spans="1:22" s="411" customFormat="1" x14ac:dyDescent="0.35">
      <c r="A32" s="431" t="s">
        <v>413</v>
      </c>
      <c r="B32" s="432">
        <f>B101</f>
        <v>891545.07862499997</v>
      </c>
      <c r="C32" s="432">
        <f t="shared" ref="C32:M32" si="10">C101</f>
        <v>891545.07862499997</v>
      </c>
      <c r="D32" s="432">
        <f t="shared" si="10"/>
        <v>891545.07862499997</v>
      </c>
      <c r="E32" s="432">
        <f t="shared" si="10"/>
        <v>891545.07862499997</v>
      </c>
      <c r="F32" s="432">
        <f t="shared" si="10"/>
        <v>891545.07862499997</v>
      </c>
      <c r="G32" s="432">
        <f t="shared" si="10"/>
        <v>891545.07862499997</v>
      </c>
      <c r="H32" s="432">
        <f t="shared" si="10"/>
        <v>891545.07862499997</v>
      </c>
      <c r="I32" s="432">
        <f t="shared" si="10"/>
        <v>891545.07862499997</v>
      </c>
      <c r="J32" s="432">
        <f t="shared" si="10"/>
        <v>891545.07862499997</v>
      </c>
      <c r="K32" s="432">
        <f t="shared" si="10"/>
        <v>891545.07862499997</v>
      </c>
      <c r="L32" s="432">
        <f t="shared" si="10"/>
        <v>891545.07862499997</v>
      </c>
      <c r="M32" s="432">
        <f t="shared" si="10"/>
        <v>891545.07862499997</v>
      </c>
      <c r="N32" s="432">
        <f>SUM(B32:M32)</f>
        <v>10698540.943499997</v>
      </c>
    </row>
    <row r="33" spans="1:16" s="206" customFormat="1" x14ac:dyDescent="0.35">
      <c r="A33" s="203" t="s">
        <v>289</v>
      </c>
      <c r="B33" s="204">
        <f>'2. Headcount Buildup'!F104-'4. India Expenses INR'!B26</f>
        <v>457180</v>
      </c>
      <c r="C33" s="204">
        <f>'2. Headcount Buildup'!G104-'4. India Expenses INR'!C26</f>
        <v>457180</v>
      </c>
      <c r="D33" s="204">
        <f>'2. Headcount Buildup'!H104-'4. India Expenses INR'!D26</f>
        <v>457180</v>
      </c>
      <c r="E33" s="204">
        <f>'2. Headcount Buildup'!I104-'4. India Expenses INR'!E26</f>
        <v>457180</v>
      </c>
      <c r="F33" s="204">
        <f>'2. Headcount Buildup'!J104-'4. India Expenses INR'!F26</f>
        <v>457180</v>
      </c>
      <c r="G33" s="204">
        <f>'2. Headcount Buildup'!K104-'4. India Expenses INR'!G26</f>
        <v>457180</v>
      </c>
      <c r="H33" s="204">
        <f>'2. Headcount Buildup'!L104-'4. India Expenses INR'!H26</f>
        <v>457180</v>
      </c>
      <c r="I33" s="204">
        <f>'2. Headcount Buildup'!M104-'4. India Expenses INR'!I26</f>
        <v>457180</v>
      </c>
      <c r="J33" s="204">
        <f>'2. Headcount Buildup'!N104-'4. India Expenses INR'!J26</f>
        <v>457180</v>
      </c>
      <c r="K33" s="204">
        <f>'2. Headcount Buildup'!O104-'4. India Expenses INR'!K26</f>
        <v>457180</v>
      </c>
      <c r="L33" s="204">
        <f>'2. Headcount Buildup'!P104-'4. India Expenses INR'!L26</f>
        <v>457180</v>
      </c>
      <c r="M33" s="204">
        <f>'2. Headcount Buildup'!Q104-'4. India Expenses INR'!M26</f>
        <v>457180</v>
      </c>
      <c r="N33" s="204">
        <f>SUM(B33:M33)</f>
        <v>5486160</v>
      </c>
    </row>
    <row r="34" spans="1:16" s="212" customFormat="1" x14ac:dyDescent="0.35">
      <c r="A34" s="203" t="s">
        <v>418</v>
      </c>
      <c r="B34" s="204">
        <f>'India Expenses - Detailed'!E441</f>
        <v>35000</v>
      </c>
      <c r="C34" s="204">
        <f>'India Expenses - Detailed'!F441</f>
        <v>35000</v>
      </c>
      <c r="D34" s="204">
        <f>'India Expenses - Detailed'!G441</f>
        <v>35000</v>
      </c>
      <c r="E34" s="204">
        <f>'India Expenses - Detailed'!H441</f>
        <v>35000</v>
      </c>
      <c r="F34" s="204">
        <f>'India Expenses - Detailed'!I441</f>
        <v>35000</v>
      </c>
      <c r="G34" s="204">
        <f>'India Expenses - Detailed'!J441</f>
        <v>35000</v>
      </c>
      <c r="H34" s="204">
        <f>'India Expenses - Detailed'!K441</f>
        <v>35000</v>
      </c>
      <c r="I34" s="204">
        <f>'India Expenses - Detailed'!L441</f>
        <v>35000</v>
      </c>
      <c r="J34" s="204">
        <f>'India Expenses - Detailed'!M441</f>
        <v>35000</v>
      </c>
      <c r="K34" s="204">
        <f>'India Expenses - Detailed'!N441</f>
        <v>35000</v>
      </c>
      <c r="L34" s="204">
        <f>'India Expenses - Detailed'!O441</f>
        <v>35000</v>
      </c>
      <c r="M34" s="204">
        <f>'India Expenses - Detailed'!P441</f>
        <v>35000</v>
      </c>
      <c r="N34" s="204">
        <f>SUM(B34:M34)</f>
        <v>420000</v>
      </c>
      <c r="O34" s="670"/>
      <c r="P34" s="670"/>
    </row>
    <row r="35" spans="1:16" x14ac:dyDescent="0.35">
      <c r="A35" s="203" t="s">
        <v>151</v>
      </c>
      <c r="B35" s="204">
        <f>B92</f>
        <v>92000</v>
      </c>
      <c r="C35" s="204">
        <f t="shared" ref="C35:M35" si="11">C92</f>
        <v>92000</v>
      </c>
      <c r="D35" s="204">
        <f t="shared" si="11"/>
        <v>92000</v>
      </c>
      <c r="E35" s="204">
        <f t="shared" si="11"/>
        <v>92000</v>
      </c>
      <c r="F35" s="204">
        <f t="shared" si="11"/>
        <v>92000</v>
      </c>
      <c r="G35" s="204">
        <f t="shared" si="11"/>
        <v>92000</v>
      </c>
      <c r="H35" s="204">
        <f t="shared" si="11"/>
        <v>92000</v>
      </c>
      <c r="I35" s="204">
        <f t="shared" si="11"/>
        <v>92000</v>
      </c>
      <c r="J35" s="204">
        <f t="shared" si="11"/>
        <v>92000</v>
      </c>
      <c r="K35" s="204">
        <f t="shared" si="11"/>
        <v>92000</v>
      </c>
      <c r="L35" s="204">
        <f t="shared" si="11"/>
        <v>92000</v>
      </c>
      <c r="M35" s="204">
        <f t="shared" si="11"/>
        <v>92000</v>
      </c>
      <c r="N35" s="204">
        <f>SUM(B35:M35)</f>
        <v>1104000</v>
      </c>
      <c r="O35" s="670"/>
      <c r="P35" s="670"/>
    </row>
    <row r="36" spans="1:16" s="206" customFormat="1" x14ac:dyDescent="0.35">
      <c r="A36" s="202" t="s">
        <v>174</v>
      </c>
      <c r="B36" s="205">
        <f>SUM(B32:B35)</f>
        <v>1475725.0786250001</v>
      </c>
      <c r="C36" s="205">
        <f t="shared" ref="C36:N36" si="12">SUM(C32:C35)</f>
        <v>1475725.0786250001</v>
      </c>
      <c r="D36" s="205">
        <f t="shared" si="12"/>
        <v>1475725.0786250001</v>
      </c>
      <c r="E36" s="205">
        <f t="shared" si="12"/>
        <v>1475725.0786250001</v>
      </c>
      <c r="F36" s="205">
        <f t="shared" si="12"/>
        <v>1475725.0786250001</v>
      </c>
      <c r="G36" s="205">
        <f t="shared" si="12"/>
        <v>1475725.0786250001</v>
      </c>
      <c r="H36" s="205">
        <f t="shared" si="12"/>
        <v>1475725.0786250001</v>
      </c>
      <c r="I36" s="205">
        <f t="shared" si="12"/>
        <v>1475725.0786250001</v>
      </c>
      <c r="J36" s="205">
        <f t="shared" si="12"/>
        <v>1475725.0786250001</v>
      </c>
      <c r="K36" s="205">
        <f t="shared" si="12"/>
        <v>1475725.0786250001</v>
      </c>
      <c r="L36" s="205">
        <f t="shared" si="12"/>
        <v>1475725.0786250001</v>
      </c>
      <c r="M36" s="205">
        <f t="shared" si="12"/>
        <v>1475725.0786250001</v>
      </c>
      <c r="N36" s="205">
        <f t="shared" si="12"/>
        <v>17708700.943499997</v>
      </c>
    </row>
    <row r="37" spans="1:16" x14ac:dyDescent="0.35">
      <c r="A37" s="670"/>
      <c r="B37" s="200" t="e">
        <f t="shared" ref="B37:N37" si="13">SUM(B13,B21,B29,B36)</f>
        <v>#REF!</v>
      </c>
      <c r="C37" s="200" t="e">
        <f t="shared" si="13"/>
        <v>#REF!</v>
      </c>
      <c r="D37" s="200" t="e">
        <f t="shared" si="13"/>
        <v>#REF!</v>
      </c>
      <c r="E37" s="200" t="e">
        <f t="shared" si="13"/>
        <v>#REF!</v>
      </c>
      <c r="F37" s="200" t="e">
        <f t="shared" si="13"/>
        <v>#REF!</v>
      </c>
      <c r="G37" s="200" t="e">
        <f t="shared" si="13"/>
        <v>#REF!</v>
      </c>
      <c r="H37" s="200" t="e">
        <f t="shared" si="13"/>
        <v>#REF!</v>
      </c>
      <c r="I37" s="200" t="e">
        <f t="shared" si="13"/>
        <v>#REF!</v>
      </c>
      <c r="J37" s="200" t="e">
        <f t="shared" si="13"/>
        <v>#REF!</v>
      </c>
      <c r="K37" s="200" t="e">
        <f t="shared" si="13"/>
        <v>#REF!</v>
      </c>
      <c r="L37" s="200" t="e">
        <f t="shared" si="13"/>
        <v>#REF!</v>
      </c>
      <c r="M37" s="200" t="e">
        <f t="shared" si="13"/>
        <v>#REF!</v>
      </c>
      <c r="N37" s="200" t="e">
        <f t="shared" si="13"/>
        <v>#REF!</v>
      </c>
      <c r="O37" s="670"/>
      <c r="P37" s="670"/>
    </row>
    <row r="38" spans="1:16" x14ac:dyDescent="0.35">
      <c r="A38" s="670"/>
      <c r="F38" s="68"/>
      <c r="O38" s="670"/>
      <c r="P38" s="670"/>
    </row>
    <row r="39" spans="1:16" x14ac:dyDescent="0.35">
      <c r="A39" s="670"/>
      <c r="F39" s="68"/>
      <c r="O39" s="670"/>
      <c r="P39" s="670"/>
    </row>
    <row r="40" spans="1:16" x14ac:dyDescent="0.35">
      <c r="A40" s="206" t="s">
        <v>447</v>
      </c>
      <c r="B40" s="675"/>
      <c r="C40" s="675"/>
      <c r="D40" s="675"/>
      <c r="E40" s="675"/>
      <c r="F40" s="675"/>
      <c r="G40" s="675"/>
      <c r="H40" s="675"/>
      <c r="I40" s="675"/>
      <c r="J40" s="675"/>
      <c r="K40" s="675"/>
      <c r="L40" s="675"/>
      <c r="M40" s="675"/>
      <c r="N40" s="675"/>
      <c r="O40" s="670"/>
      <c r="P40" s="670"/>
    </row>
    <row r="41" spans="1:16" x14ac:dyDescent="0.35">
      <c r="A41" s="670"/>
      <c r="B41" s="675"/>
      <c r="C41" s="675"/>
      <c r="D41" s="675"/>
      <c r="E41" s="675"/>
      <c r="F41" s="675"/>
      <c r="G41" s="675"/>
      <c r="H41" s="675"/>
      <c r="I41" s="675"/>
      <c r="J41" s="675"/>
      <c r="K41" s="675"/>
      <c r="L41" s="675"/>
      <c r="M41" s="675"/>
      <c r="N41" s="675"/>
      <c r="O41" s="670"/>
      <c r="P41" s="670"/>
    </row>
    <row r="42" spans="1:16" s="209" customFormat="1" ht="14.5" x14ac:dyDescent="0.35">
      <c r="B42" s="210" t="s">
        <v>448</v>
      </c>
      <c r="C42" s="210" t="s">
        <v>449</v>
      </c>
      <c r="D42" s="210" t="s">
        <v>450</v>
      </c>
      <c r="E42" s="210" t="s">
        <v>451</v>
      </c>
      <c r="F42" s="210" t="s">
        <v>452</v>
      </c>
      <c r="G42" s="210" t="s">
        <v>453</v>
      </c>
      <c r="H42" s="210" t="s">
        <v>454</v>
      </c>
      <c r="I42" s="210" t="s">
        <v>455</v>
      </c>
      <c r="J42" s="210" t="s">
        <v>456</v>
      </c>
      <c r="K42" s="210" t="s">
        <v>457</v>
      </c>
      <c r="L42" s="210" t="s">
        <v>458</v>
      </c>
      <c r="M42" s="210" t="s">
        <v>459</v>
      </c>
      <c r="N42" s="210" t="s">
        <v>174</v>
      </c>
      <c r="O42" s="210"/>
      <c r="P42" s="210"/>
    </row>
    <row r="43" spans="1:16" x14ac:dyDescent="0.35">
      <c r="A43" s="206" t="s">
        <v>289</v>
      </c>
      <c r="B43" s="675"/>
      <c r="C43" s="675"/>
      <c r="D43" s="675"/>
      <c r="E43" s="675"/>
      <c r="F43" s="675"/>
      <c r="G43" s="675"/>
      <c r="H43" s="675"/>
      <c r="I43" s="675"/>
      <c r="J43" s="675"/>
      <c r="K43" s="675"/>
      <c r="L43" s="675"/>
      <c r="M43" s="675"/>
      <c r="N43" s="675">
        <f>SUM(B43:M43)</f>
        <v>0</v>
      </c>
      <c r="O43" s="670"/>
      <c r="P43" s="670"/>
    </row>
    <row r="44" spans="1:16" x14ac:dyDescent="0.35">
      <c r="A44" s="202" t="s">
        <v>280</v>
      </c>
      <c r="B44" s="675"/>
      <c r="C44" s="675"/>
      <c r="D44" s="675"/>
      <c r="E44" s="675"/>
      <c r="F44" s="675"/>
      <c r="G44" s="675"/>
      <c r="H44" s="675"/>
      <c r="I44" s="675"/>
      <c r="J44" s="675"/>
      <c r="K44" s="675"/>
      <c r="L44" s="675"/>
      <c r="M44" s="675"/>
      <c r="N44" s="675"/>
      <c r="O44" s="670"/>
      <c r="P44" s="670"/>
    </row>
    <row r="45" spans="1:16" x14ac:dyDescent="0.35">
      <c r="A45" s="203" t="s">
        <v>344</v>
      </c>
      <c r="B45" s="681">
        <f>'2. Headcount Buildup'!F29</f>
        <v>4873455</v>
      </c>
      <c r="C45" s="681">
        <f>'2. Headcount Buildup'!G29</f>
        <v>4873455</v>
      </c>
      <c r="D45" s="681">
        <f>'2. Headcount Buildup'!H29</f>
        <v>4636368</v>
      </c>
      <c r="E45" s="681">
        <f>'2. Headcount Buildup'!I29</f>
        <v>4636368</v>
      </c>
      <c r="F45" s="681">
        <f>'2. Headcount Buildup'!J29</f>
        <v>4820769</v>
      </c>
      <c r="G45" s="681">
        <f>'2. Headcount Buildup'!K29</f>
        <v>4820769</v>
      </c>
      <c r="H45" s="681">
        <f>'2. Headcount Buildup'!L29</f>
        <v>4952484</v>
      </c>
      <c r="I45" s="681">
        <f>'2. Headcount Buildup'!M29</f>
        <v>5690088</v>
      </c>
      <c r="J45" s="681">
        <f>'2. Headcount Buildup'!N29</f>
        <v>5821803</v>
      </c>
      <c r="K45" s="681">
        <f>'2. Headcount Buildup'!O29</f>
        <v>5953518</v>
      </c>
      <c r="L45" s="681">
        <f>'2. Headcount Buildup'!P29</f>
        <v>6085233</v>
      </c>
      <c r="M45" s="681">
        <f>'2. Headcount Buildup'!Q29</f>
        <v>6216948</v>
      </c>
      <c r="N45" s="675">
        <f>SUM(B45:M45)</f>
        <v>63381258</v>
      </c>
      <c r="O45" s="670"/>
      <c r="P45" s="670"/>
    </row>
    <row r="46" spans="1:16" x14ac:dyDescent="0.35">
      <c r="A46" s="203" t="s">
        <v>460</v>
      </c>
      <c r="B46" s="681" t="e">
        <f>'2. Headcount Buildup'!F30+'2. Headcount Buildup - MBMS'!E31</f>
        <v>#REF!</v>
      </c>
      <c r="C46" s="681">
        <f>'2. Headcount Buildup'!G30</f>
        <v>-201600.00000000003</v>
      </c>
      <c r="D46" s="681">
        <f>'2. Headcount Buildup'!H30</f>
        <v>-201600.00000000003</v>
      </c>
      <c r="E46" s="681">
        <f>'2. Headcount Buildup'!I30</f>
        <v>-302400</v>
      </c>
      <c r="F46" s="681">
        <f>'2. Headcount Buildup'!J30</f>
        <v>-302400</v>
      </c>
      <c r="G46" s="681">
        <f>'2. Headcount Buildup'!K30</f>
        <v>-302400</v>
      </c>
      <c r="H46" s="681">
        <f>'2. Headcount Buildup'!L30</f>
        <v>-403200.00000000006</v>
      </c>
      <c r="I46" s="681">
        <f>'2. Headcount Buildup'!M30</f>
        <v>-403200.00000000006</v>
      </c>
      <c r="J46" s="681">
        <f>'2. Headcount Buildup'!N30</f>
        <v>-403200.00000000006</v>
      </c>
      <c r="K46" s="681">
        <f>'2. Headcount Buildup'!O30</f>
        <v>-504000</v>
      </c>
      <c r="L46" s="681">
        <f>'2. Headcount Buildup'!P30</f>
        <v>-504000</v>
      </c>
      <c r="M46" s="681">
        <f>'2. Headcount Buildup'!Q30</f>
        <v>-504000</v>
      </c>
      <c r="N46" s="675" t="e">
        <f>SUM(B46:M46)</f>
        <v>#REF!</v>
      </c>
      <c r="O46" s="670"/>
      <c r="P46" s="670"/>
    </row>
    <row r="47" spans="1:16" x14ac:dyDescent="0.35">
      <c r="A47" s="202" t="s">
        <v>174</v>
      </c>
      <c r="B47" s="675" t="e">
        <f t="shared" ref="B47:N47" si="14">SUM(B45:B46)</f>
        <v>#REF!</v>
      </c>
      <c r="C47" s="675">
        <f t="shared" si="14"/>
        <v>4671855</v>
      </c>
      <c r="D47" s="675">
        <f t="shared" si="14"/>
        <v>4434768</v>
      </c>
      <c r="E47" s="675">
        <f t="shared" si="14"/>
        <v>4333968</v>
      </c>
      <c r="F47" s="675">
        <f t="shared" si="14"/>
        <v>4518369</v>
      </c>
      <c r="G47" s="675">
        <f t="shared" si="14"/>
        <v>4518369</v>
      </c>
      <c r="H47" s="675">
        <f t="shared" si="14"/>
        <v>4549284</v>
      </c>
      <c r="I47" s="675">
        <f t="shared" si="14"/>
        <v>5286888</v>
      </c>
      <c r="J47" s="675">
        <f t="shared" si="14"/>
        <v>5418603</v>
      </c>
      <c r="K47" s="675">
        <f t="shared" si="14"/>
        <v>5449518</v>
      </c>
      <c r="L47" s="675">
        <f t="shared" si="14"/>
        <v>5581233</v>
      </c>
      <c r="M47" s="675">
        <f t="shared" si="14"/>
        <v>5712948</v>
      </c>
      <c r="N47" s="675" t="e">
        <f t="shared" si="14"/>
        <v>#REF!</v>
      </c>
      <c r="O47" s="670"/>
      <c r="P47" s="670"/>
    </row>
    <row r="48" spans="1:16" x14ac:dyDescent="0.35">
      <c r="A48" s="203" t="s">
        <v>311</v>
      </c>
      <c r="B48" s="675"/>
      <c r="C48" s="675"/>
      <c r="D48" s="675"/>
      <c r="E48" s="675"/>
      <c r="F48" s="675"/>
      <c r="G48" s="675"/>
      <c r="H48" s="675"/>
      <c r="I48" s="675"/>
      <c r="J48" s="675"/>
      <c r="K48" s="675"/>
      <c r="L48" s="675"/>
      <c r="M48" s="675"/>
      <c r="N48" s="675"/>
      <c r="O48" s="670"/>
      <c r="P48" s="670"/>
    </row>
    <row r="49" spans="1:16" x14ac:dyDescent="0.35">
      <c r="A49" s="203" t="s">
        <v>344</v>
      </c>
      <c r="B49" s="681">
        <f>'2. Headcount Buildup'!F84</f>
        <v>3039649</v>
      </c>
      <c r="C49" s="681">
        <f>'2. Headcount Buildup'!G84</f>
        <v>3039649</v>
      </c>
      <c r="D49" s="681">
        <f>'2. Headcount Buildup'!H84</f>
        <v>3039649</v>
      </c>
      <c r="E49" s="681">
        <f>'2. Headcount Buildup'!I84</f>
        <v>3039649</v>
      </c>
      <c r="F49" s="681">
        <f>'2. Headcount Buildup'!J84</f>
        <v>3039649</v>
      </c>
      <c r="G49" s="681">
        <f>'2. Headcount Buildup'!K84</f>
        <v>3039649</v>
      </c>
      <c r="H49" s="681">
        <f>'2. Headcount Buildup'!L84</f>
        <v>3039649</v>
      </c>
      <c r="I49" s="681">
        <f>'2. Headcount Buildup'!M84</f>
        <v>3039649</v>
      </c>
      <c r="J49" s="681">
        <f>'2. Headcount Buildup'!N84</f>
        <v>3039649</v>
      </c>
      <c r="K49" s="681">
        <f>'2. Headcount Buildup'!O84</f>
        <v>3039649</v>
      </c>
      <c r="L49" s="681">
        <f>'2. Headcount Buildup'!P84</f>
        <v>3039649</v>
      </c>
      <c r="M49" s="681">
        <f>'2. Headcount Buildup'!Q84</f>
        <v>3039649</v>
      </c>
      <c r="N49" s="675">
        <f>SUM(B49:M49)</f>
        <v>36475788</v>
      </c>
      <c r="O49" s="670"/>
      <c r="P49" s="670"/>
    </row>
    <row r="50" spans="1:16" x14ac:dyDescent="0.35">
      <c r="A50" s="203" t="s">
        <v>460</v>
      </c>
      <c r="B50" s="675" t="e">
        <f>'2. Headcount Buildup'!F85+'2. Headcount Buildup - MBMS'!E87</f>
        <v>#REF!</v>
      </c>
      <c r="C50" s="675" t="e">
        <f>'2. Headcount Buildup'!G85+'India Expenses - Detailed'!F493+'India Expenses - Detailed'!F504+'2. Headcount Buildup - MBMS'!F87</f>
        <v>#REF!</v>
      </c>
      <c r="D50" s="675" t="e">
        <f>'2. Headcount Buildup'!H85+'India Expenses - Detailed'!G493+'India Expenses - Detailed'!G504+'2. Headcount Buildup - MBMS'!G87</f>
        <v>#REF!</v>
      </c>
      <c r="E50" s="675" t="e">
        <f>'2. Headcount Buildup'!I85+'India Expenses - Detailed'!H493+'India Expenses - Detailed'!H504+'2. Headcount Buildup - MBMS'!H87</f>
        <v>#REF!</v>
      </c>
      <c r="F50" s="675" t="e">
        <f>'2. Headcount Buildup'!J85+'India Expenses - Detailed'!I493+'India Expenses - Detailed'!I504+'2. Headcount Buildup - MBMS'!I87</f>
        <v>#REF!</v>
      </c>
      <c r="G50" s="675" t="e">
        <f>'2. Headcount Buildup'!K85+'India Expenses - Detailed'!J493+'India Expenses - Detailed'!J504+'2. Headcount Buildup - MBMS'!J87</f>
        <v>#REF!</v>
      </c>
      <c r="H50" s="675" t="e">
        <f>'2. Headcount Buildup'!L85+'India Expenses - Detailed'!K493+'India Expenses - Detailed'!K504+'2. Headcount Buildup - MBMS'!K87</f>
        <v>#REF!</v>
      </c>
      <c r="I50" s="675" t="e">
        <f>'2. Headcount Buildup'!M85+'India Expenses - Detailed'!L493+'India Expenses - Detailed'!L504+'2. Headcount Buildup - MBMS'!L87</f>
        <v>#REF!</v>
      </c>
      <c r="J50" s="675" t="e">
        <f>'2. Headcount Buildup'!N85+'India Expenses - Detailed'!M493+'India Expenses - Detailed'!M504+'2. Headcount Buildup - MBMS'!M87</f>
        <v>#REF!</v>
      </c>
      <c r="K50" s="675" t="e">
        <f>'2. Headcount Buildup'!O85+'India Expenses - Detailed'!N493+'India Expenses - Detailed'!N504+'2. Headcount Buildup - MBMS'!N87</f>
        <v>#REF!</v>
      </c>
      <c r="L50" s="675" t="e">
        <f>'2. Headcount Buildup'!P85+'India Expenses - Detailed'!O493+'India Expenses - Detailed'!O504+'2. Headcount Buildup - MBMS'!O87</f>
        <v>#REF!</v>
      </c>
      <c r="M50" s="675" t="e">
        <f>'2. Headcount Buildup'!Q85+'India Expenses - Detailed'!P493+'India Expenses - Detailed'!P504+'2. Headcount Buildup - MBMS'!P87</f>
        <v>#REF!</v>
      </c>
      <c r="N50" s="675" t="e">
        <f>SUM(B50:M50)</f>
        <v>#REF!</v>
      </c>
      <c r="O50" s="670"/>
      <c r="P50" s="670"/>
    </row>
    <row r="51" spans="1:16" x14ac:dyDescent="0.35">
      <c r="A51" s="202" t="s">
        <v>174</v>
      </c>
      <c r="B51" s="675" t="e">
        <f t="shared" ref="B51:N51" si="15">SUM(B49:B50)</f>
        <v>#REF!</v>
      </c>
      <c r="C51" s="675" t="e">
        <f t="shared" si="15"/>
        <v>#REF!</v>
      </c>
      <c r="D51" s="675" t="e">
        <f t="shared" si="15"/>
        <v>#REF!</v>
      </c>
      <c r="E51" s="675" t="e">
        <f t="shared" si="15"/>
        <v>#REF!</v>
      </c>
      <c r="F51" s="675" t="e">
        <f t="shared" si="15"/>
        <v>#REF!</v>
      </c>
      <c r="G51" s="675" t="e">
        <f t="shared" si="15"/>
        <v>#REF!</v>
      </c>
      <c r="H51" s="675" t="e">
        <f t="shared" si="15"/>
        <v>#REF!</v>
      </c>
      <c r="I51" s="675" t="e">
        <f t="shared" si="15"/>
        <v>#REF!</v>
      </c>
      <c r="J51" s="675" t="e">
        <f t="shared" si="15"/>
        <v>#REF!</v>
      </c>
      <c r="K51" s="675" t="e">
        <f t="shared" si="15"/>
        <v>#REF!</v>
      </c>
      <c r="L51" s="675" t="e">
        <f t="shared" si="15"/>
        <v>#REF!</v>
      </c>
      <c r="M51" s="675" t="e">
        <f t="shared" si="15"/>
        <v>#REF!</v>
      </c>
      <c r="N51" s="675" t="e">
        <f t="shared" si="15"/>
        <v>#REF!</v>
      </c>
      <c r="O51" s="670"/>
      <c r="P51" s="670"/>
    </row>
    <row r="52" spans="1:16" x14ac:dyDescent="0.35">
      <c r="A52" s="202" t="s">
        <v>174</v>
      </c>
      <c r="B52" s="207" t="e">
        <f t="shared" ref="B52:N52" si="16">B51+B47</f>
        <v>#REF!</v>
      </c>
      <c r="C52" s="207" t="e">
        <f t="shared" si="16"/>
        <v>#REF!</v>
      </c>
      <c r="D52" s="207" t="e">
        <f t="shared" si="16"/>
        <v>#REF!</v>
      </c>
      <c r="E52" s="207" t="e">
        <f t="shared" si="16"/>
        <v>#REF!</v>
      </c>
      <c r="F52" s="207" t="e">
        <f t="shared" si="16"/>
        <v>#REF!</v>
      </c>
      <c r="G52" s="207" t="e">
        <f t="shared" si="16"/>
        <v>#REF!</v>
      </c>
      <c r="H52" s="207" t="e">
        <f t="shared" si="16"/>
        <v>#REF!</v>
      </c>
      <c r="I52" s="207" t="e">
        <f t="shared" si="16"/>
        <v>#REF!</v>
      </c>
      <c r="J52" s="207" t="e">
        <f t="shared" si="16"/>
        <v>#REF!</v>
      </c>
      <c r="K52" s="207" t="e">
        <f t="shared" si="16"/>
        <v>#REF!</v>
      </c>
      <c r="L52" s="207" t="e">
        <f t="shared" si="16"/>
        <v>#REF!</v>
      </c>
      <c r="M52" s="207" t="e">
        <f t="shared" si="16"/>
        <v>#REF!</v>
      </c>
      <c r="N52" s="207" t="e">
        <f t="shared" si="16"/>
        <v>#REF!</v>
      </c>
      <c r="O52" s="670"/>
      <c r="P52" s="670"/>
    </row>
    <row r="53" spans="1:16" x14ac:dyDescent="0.35">
      <c r="A53" s="202"/>
      <c r="B53" s="207"/>
      <c r="C53" s="207"/>
      <c r="D53" s="207"/>
      <c r="E53" s="207"/>
      <c r="F53" s="207"/>
      <c r="G53" s="207"/>
      <c r="H53" s="207"/>
      <c r="I53" s="207"/>
      <c r="J53" s="207"/>
      <c r="K53" s="207"/>
      <c r="L53" s="207"/>
      <c r="M53" s="207"/>
      <c r="N53" s="207"/>
      <c r="O53" s="670"/>
      <c r="P53" s="670"/>
    </row>
    <row r="54" spans="1:16" x14ac:dyDescent="0.35">
      <c r="A54" s="202" t="s">
        <v>461</v>
      </c>
      <c r="B54" s="207">
        <v>0.1</v>
      </c>
      <c r="C54" s="207"/>
      <c r="D54" s="207"/>
      <c r="E54" s="207"/>
      <c r="F54" s="207"/>
      <c r="G54" s="207"/>
      <c r="H54" s="207"/>
      <c r="I54" s="207"/>
      <c r="J54" s="207"/>
      <c r="K54" s="207"/>
      <c r="L54" s="207"/>
      <c r="M54" s="207"/>
      <c r="N54" s="207"/>
      <c r="O54" s="670"/>
      <c r="P54" s="670"/>
    </row>
    <row r="55" spans="1:16" x14ac:dyDescent="0.35">
      <c r="A55" s="202" t="s">
        <v>280</v>
      </c>
      <c r="B55" s="675"/>
      <c r="C55" s="675"/>
      <c r="D55" s="675"/>
      <c r="E55" s="675"/>
      <c r="F55" s="675"/>
      <c r="G55" s="675"/>
      <c r="H55" s="675"/>
      <c r="I55" s="675"/>
      <c r="J55" s="675"/>
      <c r="K55" s="675"/>
      <c r="L55" s="675"/>
      <c r="M55" s="675"/>
      <c r="N55" s="675"/>
      <c r="O55" s="670"/>
      <c r="P55" s="670"/>
    </row>
    <row r="56" spans="1:16" x14ac:dyDescent="0.35">
      <c r="A56" s="203" t="s">
        <v>344</v>
      </c>
      <c r="B56" s="681">
        <f>B45*$B$54</f>
        <v>487345.5</v>
      </c>
      <c r="C56" s="681">
        <f t="shared" ref="C56:M56" si="17">C45*$B$54</f>
        <v>487345.5</v>
      </c>
      <c r="D56" s="681">
        <f t="shared" si="17"/>
        <v>463636.80000000005</v>
      </c>
      <c r="E56" s="681">
        <f t="shared" si="17"/>
        <v>463636.80000000005</v>
      </c>
      <c r="F56" s="681">
        <f t="shared" si="17"/>
        <v>482076.9</v>
      </c>
      <c r="G56" s="681">
        <f t="shared" si="17"/>
        <v>482076.9</v>
      </c>
      <c r="H56" s="681">
        <f t="shared" si="17"/>
        <v>495248.4</v>
      </c>
      <c r="I56" s="681">
        <f t="shared" si="17"/>
        <v>569008.80000000005</v>
      </c>
      <c r="J56" s="681">
        <f t="shared" si="17"/>
        <v>582180.30000000005</v>
      </c>
      <c r="K56" s="681">
        <f t="shared" si="17"/>
        <v>595351.80000000005</v>
      </c>
      <c r="L56" s="681">
        <f t="shared" si="17"/>
        <v>608523.30000000005</v>
      </c>
      <c r="M56" s="681">
        <f t="shared" si="17"/>
        <v>621694.80000000005</v>
      </c>
      <c r="N56" s="675">
        <f>SUM(B56:M56)</f>
        <v>6338125.7999999989</v>
      </c>
      <c r="O56" s="670"/>
      <c r="P56" s="670"/>
    </row>
    <row r="57" spans="1:16" x14ac:dyDescent="0.35">
      <c r="A57" s="203" t="s">
        <v>460</v>
      </c>
      <c r="B57" s="681" t="e">
        <f t="shared" ref="B57:M57" si="18">B46*$B$54</f>
        <v>#REF!</v>
      </c>
      <c r="C57" s="681">
        <f t="shared" si="18"/>
        <v>-20160.000000000004</v>
      </c>
      <c r="D57" s="681">
        <f t="shared" si="18"/>
        <v>-20160.000000000004</v>
      </c>
      <c r="E57" s="681">
        <f t="shared" si="18"/>
        <v>-30240</v>
      </c>
      <c r="F57" s="681">
        <f t="shared" si="18"/>
        <v>-30240</v>
      </c>
      <c r="G57" s="681">
        <f t="shared" si="18"/>
        <v>-30240</v>
      </c>
      <c r="H57" s="681">
        <f t="shared" si="18"/>
        <v>-40320.000000000007</v>
      </c>
      <c r="I57" s="681">
        <f t="shared" si="18"/>
        <v>-40320.000000000007</v>
      </c>
      <c r="J57" s="681">
        <f t="shared" si="18"/>
        <v>-40320.000000000007</v>
      </c>
      <c r="K57" s="681">
        <f t="shared" si="18"/>
        <v>-50400</v>
      </c>
      <c r="L57" s="681">
        <f t="shared" si="18"/>
        <v>-50400</v>
      </c>
      <c r="M57" s="681">
        <f t="shared" si="18"/>
        <v>-50400</v>
      </c>
      <c r="N57" s="675" t="e">
        <f>SUM(B57:M57)</f>
        <v>#REF!</v>
      </c>
      <c r="O57" s="670"/>
      <c r="P57" s="670"/>
    </row>
    <row r="58" spans="1:16" x14ac:dyDescent="0.35">
      <c r="A58" s="202" t="s">
        <v>174</v>
      </c>
      <c r="B58" s="675" t="e">
        <f t="shared" ref="B58:N58" si="19">SUM(B56:B57)</f>
        <v>#REF!</v>
      </c>
      <c r="C58" s="675">
        <f t="shared" si="19"/>
        <v>467185.5</v>
      </c>
      <c r="D58" s="675">
        <f t="shared" si="19"/>
        <v>443476.80000000005</v>
      </c>
      <c r="E58" s="675">
        <f t="shared" si="19"/>
        <v>433396.80000000005</v>
      </c>
      <c r="F58" s="675">
        <f t="shared" si="19"/>
        <v>451836.9</v>
      </c>
      <c r="G58" s="675">
        <f t="shared" si="19"/>
        <v>451836.9</v>
      </c>
      <c r="H58" s="675">
        <f t="shared" si="19"/>
        <v>454928.4</v>
      </c>
      <c r="I58" s="675">
        <f t="shared" si="19"/>
        <v>528688.80000000005</v>
      </c>
      <c r="J58" s="675">
        <f t="shared" si="19"/>
        <v>541860.30000000005</v>
      </c>
      <c r="K58" s="675">
        <f t="shared" si="19"/>
        <v>544951.80000000005</v>
      </c>
      <c r="L58" s="675">
        <f t="shared" si="19"/>
        <v>558123.30000000005</v>
      </c>
      <c r="M58" s="675">
        <f t="shared" si="19"/>
        <v>571294.80000000005</v>
      </c>
      <c r="N58" s="675" t="e">
        <f t="shared" si="19"/>
        <v>#REF!</v>
      </c>
      <c r="O58" s="670"/>
      <c r="P58" s="670"/>
    </row>
    <row r="59" spans="1:16" x14ac:dyDescent="0.35">
      <c r="A59" s="203" t="s">
        <v>311</v>
      </c>
      <c r="B59" s="675"/>
      <c r="C59" s="675"/>
      <c r="D59" s="675"/>
      <c r="E59" s="675"/>
      <c r="F59" s="675"/>
      <c r="G59" s="675"/>
      <c r="H59" s="675"/>
      <c r="I59" s="675"/>
      <c r="J59" s="675"/>
      <c r="K59" s="675"/>
      <c r="L59" s="675"/>
      <c r="M59" s="675"/>
      <c r="N59" s="675"/>
      <c r="O59" s="670"/>
      <c r="P59" s="670"/>
    </row>
    <row r="60" spans="1:16" x14ac:dyDescent="0.35">
      <c r="A60" s="203" t="s">
        <v>344</v>
      </c>
      <c r="B60" s="681">
        <f>B49*$B$54</f>
        <v>303964.90000000002</v>
      </c>
      <c r="C60" s="681">
        <f t="shared" ref="C60:M60" si="20">C49*$B$54</f>
        <v>303964.90000000002</v>
      </c>
      <c r="D60" s="681">
        <f t="shared" si="20"/>
        <v>303964.90000000002</v>
      </c>
      <c r="E60" s="681">
        <f t="shared" si="20"/>
        <v>303964.90000000002</v>
      </c>
      <c r="F60" s="681">
        <f t="shared" si="20"/>
        <v>303964.90000000002</v>
      </c>
      <c r="G60" s="681">
        <f t="shared" si="20"/>
        <v>303964.90000000002</v>
      </c>
      <c r="H60" s="681">
        <f t="shared" si="20"/>
        <v>303964.90000000002</v>
      </c>
      <c r="I60" s="681">
        <f t="shared" si="20"/>
        <v>303964.90000000002</v>
      </c>
      <c r="J60" s="681">
        <f t="shared" si="20"/>
        <v>303964.90000000002</v>
      </c>
      <c r="K60" s="681">
        <f t="shared" si="20"/>
        <v>303964.90000000002</v>
      </c>
      <c r="L60" s="681">
        <f t="shared" si="20"/>
        <v>303964.90000000002</v>
      </c>
      <c r="M60" s="681">
        <f t="shared" si="20"/>
        <v>303964.90000000002</v>
      </c>
      <c r="N60" s="675">
        <f>SUM(B60:M60)</f>
        <v>3647578.7999999993</v>
      </c>
      <c r="O60" s="670"/>
      <c r="P60" s="670"/>
    </row>
    <row r="61" spans="1:16" x14ac:dyDescent="0.35">
      <c r="A61" s="203" t="s">
        <v>460</v>
      </c>
      <c r="B61" s="681" t="e">
        <f t="shared" ref="B61:M61" si="21">B50*$B$54</f>
        <v>#REF!</v>
      </c>
      <c r="C61" s="681" t="e">
        <f t="shared" si="21"/>
        <v>#REF!</v>
      </c>
      <c r="D61" s="681" t="e">
        <f t="shared" si="21"/>
        <v>#REF!</v>
      </c>
      <c r="E61" s="681" t="e">
        <f t="shared" si="21"/>
        <v>#REF!</v>
      </c>
      <c r="F61" s="681" t="e">
        <f t="shared" si="21"/>
        <v>#REF!</v>
      </c>
      <c r="G61" s="681" t="e">
        <f t="shared" si="21"/>
        <v>#REF!</v>
      </c>
      <c r="H61" s="681" t="e">
        <f t="shared" si="21"/>
        <v>#REF!</v>
      </c>
      <c r="I61" s="681" t="e">
        <f t="shared" si="21"/>
        <v>#REF!</v>
      </c>
      <c r="J61" s="681" t="e">
        <f t="shared" si="21"/>
        <v>#REF!</v>
      </c>
      <c r="K61" s="681" t="e">
        <f t="shared" si="21"/>
        <v>#REF!</v>
      </c>
      <c r="L61" s="681" t="e">
        <f t="shared" si="21"/>
        <v>#REF!</v>
      </c>
      <c r="M61" s="681" t="e">
        <f t="shared" si="21"/>
        <v>#REF!</v>
      </c>
      <c r="N61" s="675" t="e">
        <f>SUM(B61:M61)</f>
        <v>#REF!</v>
      </c>
      <c r="O61" s="670"/>
      <c r="P61" s="670"/>
    </row>
    <row r="62" spans="1:16" x14ac:dyDescent="0.35">
      <c r="A62" s="202" t="s">
        <v>174</v>
      </c>
      <c r="B62" s="675" t="e">
        <f t="shared" ref="B62:N62" si="22">SUM(B60:B61)</f>
        <v>#REF!</v>
      </c>
      <c r="C62" s="675" t="e">
        <f t="shared" si="22"/>
        <v>#REF!</v>
      </c>
      <c r="D62" s="675" t="e">
        <f t="shared" si="22"/>
        <v>#REF!</v>
      </c>
      <c r="E62" s="675" t="e">
        <f t="shared" si="22"/>
        <v>#REF!</v>
      </c>
      <c r="F62" s="675" t="e">
        <f t="shared" si="22"/>
        <v>#REF!</v>
      </c>
      <c r="G62" s="675" t="e">
        <f t="shared" si="22"/>
        <v>#REF!</v>
      </c>
      <c r="H62" s="675" t="e">
        <f t="shared" si="22"/>
        <v>#REF!</v>
      </c>
      <c r="I62" s="675" t="e">
        <f t="shared" si="22"/>
        <v>#REF!</v>
      </c>
      <c r="J62" s="675" t="e">
        <f t="shared" si="22"/>
        <v>#REF!</v>
      </c>
      <c r="K62" s="675" t="e">
        <f t="shared" si="22"/>
        <v>#REF!</v>
      </c>
      <c r="L62" s="675" t="e">
        <f t="shared" si="22"/>
        <v>#REF!</v>
      </c>
      <c r="M62" s="675" t="e">
        <f t="shared" si="22"/>
        <v>#REF!</v>
      </c>
      <c r="N62" s="675" t="e">
        <f t="shared" si="22"/>
        <v>#REF!</v>
      </c>
      <c r="O62" s="670"/>
      <c r="P62" s="670"/>
    </row>
    <row r="63" spans="1:16" x14ac:dyDescent="0.35">
      <c r="A63" s="202" t="s">
        <v>174</v>
      </c>
      <c r="B63" s="207" t="e">
        <f t="shared" ref="B63:N63" si="23">B62+B58</f>
        <v>#REF!</v>
      </c>
      <c r="C63" s="207" t="e">
        <f t="shared" si="23"/>
        <v>#REF!</v>
      </c>
      <c r="D63" s="207" t="e">
        <f t="shared" si="23"/>
        <v>#REF!</v>
      </c>
      <c r="E63" s="207" t="e">
        <f t="shared" si="23"/>
        <v>#REF!</v>
      </c>
      <c r="F63" s="207" t="e">
        <f t="shared" si="23"/>
        <v>#REF!</v>
      </c>
      <c r="G63" s="207" t="e">
        <f t="shared" si="23"/>
        <v>#REF!</v>
      </c>
      <c r="H63" s="207" t="e">
        <f t="shared" si="23"/>
        <v>#REF!</v>
      </c>
      <c r="I63" s="207" t="e">
        <f t="shared" si="23"/>
        <v>#REF!</v>
      </c>
      <c r="J63" s="207" t="e">
        <f t="shared" si="23"/>
        <v>#REF!</v>
      </c>
      <c r="K63" s="207" t="e">
        <f t="shared" si="23"/>
        <v>#REF!</v>
      </c>
      <c r="L63" s="207" t="e">
        <f t="shared" si="23"/>
        <v>#REF!</v>
      </c>
      <c r="M63" s="207" t="e">
        <f t="shared" si="23"/>
        <v>#REF!</v>
      </c>
      <c r="N63" s="207" t="e">
        <f t="shared" si="23"/>
        <v>#REF!</v>
      </c>
      <c r="O63" s="670"/>
      <c r="P63" s="670"/>
    </row>
    <row r="64" spans="1:16" x14ac:dyDescent="0.35">
      <c r="A64" s="202"/>
      <c r="B64" s="207"/>
      <c r="C64" s="207"/>
      <c r="D64" s="207"/>
      <c r="E64" s="207"/>
      <c r="F64" s="207"/>
      <c r="G64" s="207"/>
      <c r="H64" s="207"/>
      <c r="I64" s="207"/>
      <c r="J64" s="207"/>
      <c r="K64" s="207"/>
      <c r="L64" s="207"/>
      <c r="M64" s="207"/>
      <c r="N64" s="207"/>
      <c r="O64" s="670"/>
      <c r="P64" s="670"/>
    </row>
    <row r="65" spans="1:16" s="209" customFormat="1" ht="14.5" x14ac:dyDescent="0.35">
      <c r="B65" s="210" t="s">
        <v>448</v>
      </c>
      <c r="C65" s="210" t="s">
        <v>449</v>
      </c>
      <c r="D65" s="210" t="s">
        <v>450</v>
      </c>
      <c r="E65" s="210" t="s">
        <v>451</v>
      </c>
      <c r="F65" s="210" t="s">
        <v>452</v>
      </c>
      <c r="G65" s="210" t="s">
        <v>453</v>
      </c>
      <c r="H65" s="210" t="s">
        <v>454</v>
      </c>
      <c r="I65" s="210" t="s">
        <v>455</v>
      </c>
      <c r="J65" s="210" t="s">
        <v>456</v>
      </c>
      <c r="K65" s="210" t="s">
        <v>457</v>
      </c>
      <c r="L65" s="210" t="s">
        <v>458</v>
      </c>
      <c r="M65" s="210" t="s">
        <v>459</v>
      </c>
      <c r="N65" s="210" t="s">
        <v>174</v>
      </c>
      <c r="O65" s="210"/>
      <c r="P65" s="210"/>
    </row>
    <row r="66" spans="1:16" x14ac:dyDescent="0.35">
      <c r="A66" s="202" t="s">
        <v>462</v>
      </c>
      <c r="B66" s="207"/>
      <c r="C66" s="207"/>
      <c r="D66" s="207"/>
      <c r="E66" s="207"/>
      <c r="F66" s="207"/>
      <c r="G66" s="207"/>
      <c r="H66" s="207"/>
      <c r="I66" s="207"/>
      <c r="J66" s="207"/>
      <c r="K66" s="207"/>
      <c r="L66" s="207"/>
      <c r="M66" s="207"/>
      <c r="N66" s="207"/>
      <c r="O66" s="670"/>
      <c r="P66" s="670"/>
    </row>
    <row r="67" spans="1:16" x14ac:dyDescent="0.35">
      <c r="A67" s="206" t="s">
        <v>463</v>
      </c>
      <c r="B67" s="675"/>
      <c r="C67" s="675"/>
      <c r="D67" s="675"/>
      <c r="E67" s="675"/>
      <c r="F67" s="675"/>
      <c r="G67" s="675"/>
      <c r="H67" s="675"/>
      <c r="I67" s="675"/>
      <c r="J67" s="675"/>
      <c r="K67" s="675"/>
      <c r="L67" s="675"/>
      <c r="M67" s="675"/>
      <c r="N67" s="675">
        <f t="shared" ref="N67:N75" si="24">SUM(B67:M67)</f>
        <v>0</v>
      </c>
      <c r="O67" s="670"/>
      <c r="P67" s="670"/>
    </row>
    <row r="68" spans="1:16" x14ac:dyDescent="0.35">
      <c r="A68" s="203" t="s">
        <v>464</v>
      </c>
      <c r="B68" s="681">
        <v>180000</v>
      </c>
      <c r="C68" s="681">
        <v>180000</v>
      </c>
      <c r="D68" s="681">
        <v>180000</v>
      </c>
      <c r="E68" s="681">
        <v>180000</v>
      </c>
      <c r="F68" s="681">
        <v>180000</v>
      </c>
      <c r="G68" s="681">
        <v>180000</v>
      </c>
      <c r="H68" s="681">
        <v>180000</v>
      </c>
      <c r="I68" s="681">
        <v>180000</v>
      </c>
      <c r="J68" s="681">
        <v>180000</v>
      </c>
      <c r="K68" s="681">
        <v>180000</v>
      </c>
      <c r="L68" s="681">
        <v>180000</v>
      </c>
      <c r="M68" s="681">
        <v>180000</v>
      </c>
      <c r="N68" s="675">
        <f t="shared" si="24"/>
        <v>2160000</v>
      </c>
      <c r="O68" s="670"/>
      <c r="P68" s="670"/>
    </row>
    <row r="69" spans="1:16" x14ac:dyDescent="0.35">
      <c r="A69" s="203" t="s">
        <v>465</v>
      </c>
      <c r="B69" s="681">
        <v>60000</v>
      </c>
      <c r="C69" s="681">
        <v>60000</v>
      </c>
      <c r="D69" s="681">
        <v>60000</v>
      </c>
      <c r="E69" s="681">
        <v>60000</v>
      </c>
      <c r="F69" s="681">
        <v>60000</v>
      </c>
      <c r="G69" s="681">
        <v>60000</v>
      </c>
      <c r="H69" s="681">
        <v>60000</v>
      </c>
      <c r="I69" s="681">
        <v>60000</v>
      </c>
      <c r="J69" s="681">
        <v>60000</v>
      </c>
      <c r="K69" s="681">
        <v>60000</v>
      </c>
      <c r="L69" s="681">
        <v>60000</v>
      </c>
      <c r="M69" s="681">
        <v>60000</v>
      </c>
      <c r="N69" s="675">
        <f t="shared" ref="N69" si="25">SUM(B69:M69)</f>
        <v>720000</v>
      </c>
      <c r="O69" s="670"/>
      <c r="P69" s="670"/>
    </row>
    <row r="70" spans="1:16" x14ac:dyDescent="0.35">
      <c r="A70" s="203" t="s">
        <v>166</v>
      </c>
      <c r="B70" s="681">
        <f>'India Expenses - Detailed'!E342</f>
        <v>213600</v>
      </c>
      <c r="C70" s="681">
        <f>'India Expenses - Detailed'!F342</f>
        <v>213600</v>
      </c>
      <c r="D70" s="681">
        <f>'India Expenses - Detailed'!G342</f>
        <v>206400</v>
      </c>
      <c r="E70" s="681">
        <f>'India Expenses - Detailed'!H342</f>
        <v>206400</v>
      </c>
      <c r="F70" s="681">
        <f>'India Expenses - Detailed'!I342</f>
        <v>212000</v>
      </c>
      <c r="G70" s="681">
        <f>'India Expenses - Detailed'!J342</f>
        <v>212000</v>
      </c>
      <c r="H70" s="681">
        <f>'India Expenses - Detailed'!K342</f>
        <v>216000</v>
      </c>
      <c r="I70" s="681">
        <f>'India Expenses - Detailed'!L342</f>
        <v>238400</v>
      </c>
      <c r="J70" s="681">
        <f>'India Expenses - Detailed'!M342</f>
        <v>242400</v>
      </c>
      <c r="K70" s="681">
        <f>'India Expenses - Detailed'!N342</f>
        <v>246400</v>
      </c>
      <c r="L70" s="681">
        <f>'India Expenses - Detailed'!O342</f>
        <v>250400</v>
      </c>
      <c r="M70" s="681">
        <f>'India Expenses - Detailed'!P342</f>
        <v>254400</v>
      </c>
      <c r="N70" s="675">
        <f t="shared" si="24"/>
        <v>2712000</v>
      </c>
      <c r="O70" s="670"/>
      <c r="P70" s="670"/>
    </row>
    <row r="71" spans="1:16" x14ac:dyDescent="0.35">
      <c r="A71" s="203" t="s">
        <v>466</v>
      </c>
      <c r="B71" s="681">
        <v>25000</v>
      </c>
      <c r="C71" s="681">
        <v>25000</v>
      </c>
      <c r="D71" s="681">
        <v>25000</v>
      </c>
      <c r="E71" s="681">
        <f>D71*105%</f>
        <v>26250</v>
      </c>
      <c r="F71" s="681">
        <f>E71</f>
        <v>26250</v>
      </c>
      <c r="G71" s="681">
        <f t="shared" ref="G71:M71" si="26">F71</f>
        <v>26250</v>
      </c>
      <c r="H71" s="681">
        <f t="shared" si="26"/>
        <v>26250</v>
      </c>
      <c r="I71" s="681">
        <f t="shared" si="26"/>
        <v>26250</v>
      </c>
      <c r="J71" s="681">
        <f t="shared" si="26"/>
        <v>26250</v>
      </c>
      <c r="K71" s="681">
        <f t="shared" si="26"/>
        <v>26250</v>
      </c>
      <c r="L71" s="681">
        <f t="shared" si="26"/>
        <v>26250</v>
      </c>
      <c r="M71" s="681">
        <f t="shared" si="26"/>
        <v>26250</v>
      </c>
      <c r="N71" s="675">
        <f t="shared" si="24"/>
        <v>311250</v>
      </c>
      <c r="O71" s="670"/>
      <c r="P71" s="670"/>
    </row>
    <row r="72" spans="1:16" x14ac:dyDescent="0.35">
      <c r="A72" s="203" t="s">
        <v>167</v>
      </c>
      <c r="B72" s="681">
        <v>65105</v>
      </c>
      <c r="C72" s="681">
        <v>65105</v>
      </c>
      <c r="D72" s="681">
        <v>65105</v>
      </c>
      <c r="E72" s="681">
        <v>65105</v>
      </c>
      <c r="F72" s="681">
        <v>65105</v>
      </c>
      <c r="G72" s="681">
        <v>65105</v>
      </c>
      <c r="H72" s="681">
        <v>65105</v>
      </c>
      <c r="I72" s="681">
        <v>65105</v>
      </c>
      <c r="J72" s="681">
        <v>65105</v>
      </c>
      <c r="K72" s="681">
        <f>J72*105%</f>
        <v>68360.25</v>
      </c>
      <c r="L72" s="681">
        <f>K72</f>
        <v>68360.25</v>
      </c>
      <c r="M72" s="681">
        <f t="shared" ref="M72:M74" si="27">L72</f>
        <v>68360.25</v>
      </c>
      <c r="N72" s="675">
        <f t="shared" si="24"/>
        <v>791025.75</v>
      </c>
      <c r="O72" s="670"/>
      <c r="P72" s="670"/>
    </row>
    <row r="73" spans="1:16" x14ac:dyDescent="0.35">
      <c r="A73" s="203" t="s">
        <v>467</v>
      </c>
      <c r="B73" s="681">
        <v>38000</v>
      </c>
      <c r="C73" s="681">
        <v>38000</v>
      </c>
      <c r="D73" s="681">
        <v>38000</v>
      </c>
      <c r="E73" s="681">
        <v>38000</v>
      </c>
      <c r="F73" s="681">
        <v>38000</v>
      </c>
      <c r="G73" s="681">
        <v>38000</v>
      </c>
      <c r="H73" s="681">
        <v>38000</v>
      </c>
      <c r="I73" s="681">
        <v>38000</v>
      </c>
      <c r="J73" s="681">
        <v>38000</v>
      </c>
      <c r="K73" s="681">
        <v>38000</v>
      </c>
      <c r="L73" s="681">
        <v>38000</v>
      </c>
      <c r="M73" s="681">
        <v>38000</v>
      </c>
      <c r="N73" s="675">
        <f t="shared" si="24"/>
        <v>456000</v>
      </c>
      <c r="O73" s="670"/>
      <c r="P73" s="670"/>
    </row>
    <row r="74" spans="1:16" x14ac:dyDescent="0.35">
      <c r="A74" s="203" t="s">
        <v>168</v>
      </c>
      <c r="B74" s="681">
        <v>376923</v>
      </c>
      <c r="C74" s="681">
        <v>376923</v>
      </c>
      <c r="D74" s="681">
        <v>376923</v>
      </c>
      <c r="E74" s="681">
        <v>376923</v>
      </c>
      <c r="F74" s="681">
        <v>376923</v>
      </c>
      <c r="G74" s="681">
        <v>376923</v>
      </c>
      <c r="H74" s="681">
        <v>376923</v>
      </c>
      <c r="I74" s="681">
        <v>376923</v>
      </c>
      <c r="J74" s="681">
        <v>376923</v>
      </c>
      <c r="K74" s="681">
        <f>J74*105%</f>
        <v>395769.15</v>
      </c>
      <c r="L74" s="681">
        <f>K74</f>
        <v>395769.15</v>
      </c>
      <c r="M74" s="681">
        <f t="shared" si="27"/>
        <v>395769.15</v>
      </c>
      <c r="N74" s="675">
        <f t="shared" si="24"/>
        <v>4579614.45</v>
      </c>
      <c r="O74" s="670"/>
      <c r="P74" s="670"/>
    </row>
    <row r="75" spans="1:16" x14ac:dyDescent="0.35">
      <c r="A75" s="206" t="s">
        <v>174</v>
      </c>
      <c r="B75" s="207">
        <f t="shared" ref="B75:M75" si="28">SUM(B68:B74)</f>
        <v>958628</v>
      </c>
      <c r="C75" s="207">
        <f t="shared" si="28"/>
        <v>958628</v>
      </c>
      <c r="D75" s="207">
        <f t="shared" si="28"/>
        <v>951428</v>
      </c>
      <c r="E75" s="207">
        <f t="shared" si="28"/>
        <v>952678</v>
      </c>
      <c r="F75" s="207">
        <f t="shared" si="28"/>
        <v>958278</v>
      </c>
      <c r="G75" s="207">
        <f t="shared" si="28"/>
        <v>958278</v>
      </c>
      <c r="H75" s="207">
        <f t="shared" si="28"/>
        <v>962278</v>
      </c>
      <c r="I75" s="207">
        <f t="shared" si="28"/>
        <v>984678</v>
      </c>
      <c r="J75" s="207">
        <f t="shared" si="28"/>
        <v>988678</v>
      </c>
      <c r="K75" s="207">
        <f t="shared" si="28"/>
        <v>1014779.4</v>
      </c>
      <c r="L75" s="207">
        <f t="shared" si="28"/>
        <v>1018779.4</v>
      </c>
      <c r="M75" s="207">
        <f t="shared" si="28"/>
        <v>1022779.4</v>
      </c>
      <c r="N75" s="207">
        <f t="shared" si="24"/>
        <v>11729890.200000001</v>
      </c>
      <c r="O75" s="670"/>
      <c r="P75" s="670"/>
    </row>
    <row r="76" spans="1:16" x14ac:dyDescent="0.35">
      <c r="A76" s="211" t="s">
        <v>468</v>
      </c>
      <c r="B76" s="207"/>
      <c r="C76" s="207"/>
      <c r="D76" s="207"/>
      <c r="E76" s="207"/>
      <c r="F76" s="207"/>
      <c r="G76" s="207"/>
      <c r="H76" s="207"/>
      <c r="I76" s="207"/>
      <c r="J76" s="207"/>
      <c r="K76" s="207"/>
      <c r="L76" s="207"/>
      <c r="M76" s="207"/>
      <c r="N76" s="207"/>
      <c r="O76" s="670"/>
      <c r="P76" s="670"/>
    </row>
    <row r="77" spans="1:16" x14ac:dyDescent="0.35">
      <c r="A77" s="206" t="s">
        <v>469</v>
      </c>
      <c r="B77" s="682">
        <v>1.5</v>
      </c>
      <c r="C77" s="675"/>
      <c r="D77" s="675"/>
      <c r="E77" s="675"/>
      <c r="F77" s="675"/>
      <c r="G77" s="675"/>
      <c r="H77" s="675"/>
      <c r="I77" s="675"/>
      <c r="J77" s="675"/>
      <c r="K77" s="675"/>
      <c r="L77" s="675"/>
      <c r="M77" s="675"/>
      <c r="N77" s="675">
        <f t="shared" ref="N77:N84" si="29">SUM(B77:M77)</f>
        <v>1.5</v>
      </c>
      <c r="O77" s="670"/>
      <c r="P77" s="670"/>
    </row>
    <row r="78" spans="1:16" x14ac:dyDescent="0.35">
      <c r="A78" s="203" t="s">
        <v>165</v>
      </c>
      <c r="B78" s="675"/>
      <c r="C78" s="675"/>
      <c r="D78" s="675"/>
      <c r="E78" s="675"/>
      <c r="F78" s="675"/>
      <c r="G78" s="675"/>
      <c r="H78" s="675"/>
      <c r="I78" s="675"/>
      <c r="J78" s="675"/>
      <c r="K78" s="675"/>
      <c r="L78" s="675"/>
      <c r="M78" s="675"/>
      <c r="N78" s="675">
        <f t="shared" si="29"/>
        <v>0</v>
      </c>
      <c r="O78" s="670"/>
      <c r="P78" s="670"/>
    </row>
    <row r="79" spans="1:16" x14ac:dyDescent="0.35">
      <c r="A79" s="203" t="s">
        <v>166</v>
      </c>
      <c r="B79" s="675" t="e">
        <f>'India Expenses - Detailed'!E343</f>
        <v>#REF!</v>
      </c>
      <c r="C79" s="675" t="e">
        <f>'India Expenses - Detailed'!F343</f>
        <v>#REF!</v>
      </c>
      <c r="D79" s="675" t="e">
        <f>'India Expenses - Detailed'!G343</f>
        <v>#REF!</v>
      </c>
      <c r="E79" s="675" t="e">
        <f>'India Expenses - Detailed'!H343</f>
        <v>#REF!</v>
      </c>
      <c r="F79" s="675" t="e">
        <f>'India Expenses - Detailed'!I343</f>
        <v>#REF!</v>
      </c>
      <c r="G79" s="675" t="e">
        <f>'India Expenses - Detailed'!J343</f>
        <v>#REF!</v>
      </c>
      <c r="H79" s="675" t="e">
        <f>'India Expenses - Detailed'!K343</f>
        <v>#REF!</v>
      </c>
      <c r="I79" s="675" t="e">
        <f>'India Expenses - Detailed'!L343</f>
        <v>#REF!</v>
      </c>
      <c r="J79" s="675" t="e">
        <f>'India Expenses - Detailed'!M343</f>
        <v>#REF!</v>
      </c>
      <c r="K79" s="675" t="e">
        <f>'India Expenses - Detailed'!N343</f>
        <v>#REF!</v>
      </c>
      <c r="L79" s="675" t="e">
        <f>'India Expenses - Detailed'!O343</f>
        <v>#REF!</v>
      </c>
      <c r="M79" s="675" t="e">
        <f>'India Expenses - Detailed'!P343</f>
        <v>#REF!</v>
      </c>
      <c r="N79" s="675" t="e">
        <f t="shared" si="29"/>
        <v>#REF!</v>
      </c>
      <c r="O79" s="670"/>
      <c r="P79" s="670"/>
    </row>
    <row r="80" spans="1:16" x14ac:dyDescent="0.35">
      <c r="A80" s="203" t="s">
        <v>470</v>
      </c>
      <c r="B80" s="683">
        <v>400000</v>
      </c>
      <c r="C80" s="683">
        <v>400000</v>
      </c>
      <c r="D80" s="683">
        <v>400000</v>
      </c>
      <c r="E80" s="683">
        <v>400000</v>
      </c>
      <c r="F80" s="683">
        <v>400000</v>
      </c>
      <c r="G80" s="683">
        <v>400000</v>
      </c>
      <c r="H80" s="683">
        <v>400000</v>
      </c>
      <c r="I80" s="683">
        <v>400000</v>
      </c>
      <c r="J80" s="683">
        <v>400000</v>
      </c>
      <c r="K80" s="683">
        <v>400000</v>
      </c>
      <c r="L80" s="683">
        <v>400000</v>
      </c>
      <c r="M80" s="683">
        <v>400000</v>
      </c>
      <c r="N80" s="675">
        <f t="shared" ref="N80:N81" si="30">SUM(B80:M80)</f>
        <v>4800000</v>
      </c>
      <c r="O80" s="670"/>
      <c r="P80" s="670"/>
    </row>
    <row r="81" spans="1:23" x14ac:dyDescent="0.35">
      <c r="A81" s="203" t="s">
        <v>471</v>
      </c>
      <c r="B81" s="683">
        <v>75000</v>
      </c>
      <c r="C81" s="683">
        <v>75000</v>
      </c>
      <c r="D81" s="683">
        <v>75000</v>
      </c>
      <c r="E81" s="683">
        <v>75000</v>
      </c>
      <c r="F81" s="683">
        <v>75000</v>
      </c>
      <c r="G81" s="683">
        <v>75000</v>
      </c>
      <c r="H81" s="683">
        <v>75000</v>
      </c>
      <c r="I81" s="683">
        <v>75000</v>
      </c>
      <c r="J81" s="683">
        <v>75000</v>
      </c>
      <c r="K81" s="683">
        <v>75000</v>
      </c>
      <c r="L81" s="683">
        <v>75000</v>
      </c>
      <c r="M81" s="683">
        <v>75000</v>
      </c>
      <c r="N81" s="675">
        <f t="shared" si="30"/>
        <v>900000</v>
      </c>
      <c r="O81" s="670"/>
      <c r="P81" s="670"/>
      <c r="Q81" s="670"/>
      <c r="R81" s="670"/>
      <c r="S81" s="670"/>
      <c r="T81" s="670"/>
      <c r="U81" s="670"/>
      <c r="V81" s="670"/>
      <c r="W81" s="670"/>
    </row>
    <row r="82" spans="1:23" x14ac:dyDescent="0.35">
      <c r="A82" s="203" t="s">
        <v>167</v>
      </c>
      <c r="B82" s="675"/>
      <c r="C82" s="675"/>
      <c r="D82" s="675"/>
      <c r="E82" s="675"/>
      <c r="F82" s="675"/>
      <c r="G82" s="675"/>
      <c r="H82" s="675"/>
      <c r="I82" s="675"/>
      <c r="J82" s="675"/>
      <c r="K82" s="675"/>
      <c r="L82" s="675"/>
      <c r="M82" s="675"/>
      <c r="N82" s="675">
        <f t="shared" si="29"/>
        <v>0</v>
      </c>
      <c r="O82" s="670"/>
      <c r="P82" s="670"/>
      <c r="Q82" s="670"/>
      <c r="R82" s="670"/>
      <c r="S82" s="670"/>
      <c r="T82" s="670"/>
      <c r="U82" s="670"/>
      <c r="V82" s="670"/>
      <c r="W82" s="670"/>
    </row>
    <row r="83" spans="1:23" x14ac:dyDescent="0.35">
      <c r="A83" s="203" t="s">
        <v>168</v>
      </c>
      <c r="B83" s="675"/>
      <c r="C83" s="675"/>
      <c r="D83" s="675"/>
      <c r="E83" s="675"/>
      <c r="F83" s="675"/>
      <c r="G83" s="675"/>
      <c r="H83" s="675"/>
      <c r="I83" s="675"/>
      <c r="J83" s="675"/>
      <c r="K83" s="675"/>
      <c r="L83" s="675"/>
      <c r="M83" s="675"/>
      <c r="N83" s="675">
        <f t="shared" si="29"/>
        <v>0</v>
      </c>
      <c r="O83" s="670"/>
      <c r="P83" s="670"/>
      <c r="Q83" s="670"/>
      <c r="R83" s="670"/>
      <c r="S83" s="670"/>
      <c r="T83" s="670"/>
      <c r="U83" s="670"/>
      <c r="V83" s="670"/>
      <c r="W83" s="670"/>
    </row>
    <row r="84" spans="1:23" x14ac:dyDescent="0.35">
      <c r="A84" s="206" t="s">
        <v>174</v>
      </c>
      <c r="B84" s="207" t="e">
        <f t="shared" ref="B84:M84" si="31">SUM(B78:B83)</f>
        <v>#REF!</v>
      </c>
      <c r="C84" s="207" t="e">
        <f t="shared" si="31"/>
        <v>#REF!</v>
      </c>
      <c r="D84" s="207" t="e">
        <f t="shared" si="31"/>
        <v>#REF!</v>
      </c>
      <c r="E84" s="207" t="e">
        <f t="shared" si="31"/>
        <v>#REF!</v>
      </c>
      <c r="F84" s="207" t="e">
        <f t="shared" si="31"/>
        <v>#REF!</v>
      </c>
      <c r="G84" s="207" t="e">
        <f t="shared" si="31"/>
        <v>#REF!</v>
      </c>
      <c r="H84" s="207" t="e">
        <f t="shared" si="31"/>
        <v>#REF!</v>
      </c>
      <c r="I84" s="207" t="e">
        <f t="shared" si="31"/>
        <v>#REF!</v>
      </c>
      <c r="J84" s="207" t="e">
        <f t="shared" si="31"/>
        <v>#REF!</v>
      </c>
      <c r="K84" s="207" t="e">
        <f t="shared" si="31"/>
        <v>#REF!</v>
      </c>
      <c r="L84" s="207" t="e">
        <f t="shared" si="31"/>
        <v>#REF!</v>
      </c>
      <c r="M84" s="207" t="e">
        <f t="shared" si="31"/>
        <v>#REF!</v>
      </c>
      <c r="N84" s="207" t="e">
        <f t="shared" si="29"/>
        <v>#REF!</v>
      </c>
      <c r="O84" s="670"/>
      <c r="P84" s="670"/>
      <c r="Q84" s="670"/>
      <c r="R84" s="670"/>
      <c r="S84" s="670"/>
      <c r="T84" s="670"/>
      <c r="U84" s="670"/>
      <c r="V84" s="670"/>
      <c r="W84" s="670"/>
    </row>
    <row r="85" spans="1:23" x14ac:dyDescent="0.35">
      <c r="A85" s="206"/>
      <c r="B85" s="675"/>
      <c r="C85" s="675"/>
      <c r="D85" s="675"/>
      <c r="E85" s="675"/>
      <c r="F85" s="675"/>
      <c r="G85" s="675"/>
      <c r="H85" s="675"/>
      <c r="I85" s="675"/>
      <c r="J85" s="675"/>
      <c r="K85" s="675"/>
      <c r="L85" s="675"/>
      <c r="M85" s="675"/>
      <c r="N85" s="675"/>
      <c r="O85" s="670"/>
      <c r="P85" s="670"/>
      <c r="Q85" s="670"/>
      <c r="R85" s="670"/>
      <c r="S85" s="670"/>
      <c r="T85" s="670"/>
      <c r="U85" s="670"/>
      <c r="V85" s="670"/>
      <c r="W85" s="670"/>
    </row>
    <row r="86" spans="1:23" x14ac:dyDescent="0.35">
      <c r="A86" s="206"/>
      <c r="B86" s="675"/>
      <c r="C86" s="675"/>
      <c r="D86" s="675"/>
      <c r="E86" s="675"/>
      <c r="F86" s="675"/>
      <c r="G86" s="675"/>
      <c r="H86" s="675"/>
      <c r="I86" s="675"/>
      <c r="J86" s="675"/>
      <c r="K86" s="675"/>
      <c r="L86" s="675"/>
      <c r="M86" s="675"/>
      <c r="N86" s="675"/>
      <c r="O86" s="670"/>
      <c r="P86" s="670"/>
      <c r="Q86" s="670"/>
      <c r="R86" s="670"/>
      <c r="S86" s="670"/>
      <c r="T86" s="670"/>
      <c r="U86" s="670"/>
      <c r="V86" s="670"/>
      <c r="W86" s="670"/>
    </row>
    <row r="87" spans="1:23" x14ac:dyDescent="0.35">
      <c r="A87" s="202" t="s">
        <v>151</v>
      </c>
      <c r="B87" s="675"/>
      <c r="C87" s="675"/>
      <c r="D87" s="675"/>
      <c r="E87" s="675"/>
      <c r="F87" s="675"/>
      <c r="G87" s="675"/>
      <c r="H87" s="675"/>
      <c r="I87" s="675"/>
      <c r="J87" s="675"/>
      <c r="K87" s="675"/>
      <c r="L87" s="675"/>
      <c r="M87" s="675"/>
      <c r="N87" s="675">
        <f t="shared" ref="N87:N93" si="32">SUM(B87:M87)</f>
        <v>0</v>
      </c>
      <c r="O87" s="670"/>
      <c r="P87" s="670"/>
      <c r="Q87" s="670"/>
      <c r="R87" s="670"/>
      <c r="S87" s="670"/>
      <c r="T87" s="670"/>
      <c r="U87" s="670"/>
      <c r="V87" s="670"/>
      <c r="W87" s="670"/>
    </row>
    <row r="88" spans="1:23" x14ac:dyDescent="0.35">
      <c r="A88" s="203" t="s">
        <v>209</v>
      </c>
      <c r="B88" s="675">
        <v>2000</v>
      </c>
      <c r="C88" s="675">
        <v>2000</v>
      </c>
      <c r="D88" s="675">
        <v>2000</v>
      </c>
      <c r="E88" s="675">
        <v>2000</v>
      </c>
      <c r="F88" s="675">
        <v>2000</v>
      </c>
      <c r="G88" s="675">
        <v>2000</v>
      </c>
      <c r="H88" s="675">
        <v>2000</v>
      </c>
      <c r="I88" s="675">
        <v>2000</v>
      </c>
      <c r="J88" s="675">
        <v>2000</v>
      </c>
      <c r="K88" s="675">
        <v>2000</v>
      </c>
      <c r="L88" s="675">
        <v>2000</v>
      </c>
      <c r="M88" s="675">
        <v>2000</v>
      </c>
      <c r="N88" s="675">
        <f t="shared" si="32"/>
        <v>24000</v>
      </c>
      <c r="O88" s="536" t="s">
        <v>472</v>
      </c>
      <c r="P88" s="684"/>
      <c r="Q88" s="536"/>
      <c r="R88" s="536"/>
      <c r="S88" s="536"/>
      <c r="T88" s="536"/>
      <c r="U88" s="536"/>
      <c r="V88" s="536"/>
      <c r="W88" s="670"/>
    </row>
    <row r="89" spans="1:23" x14ac:dyDescent="0.35">
      <c r="A89" s="208" t="s">
        <v>212</v>
      </c>
      <c r="B89" s="675">
        <v>50000</v>
      </c>
      <c r="C89" s="675">
        <v>50000</v>
      </c>
      <c r="D89" s="675">
        <v>50000</v>
      </c>
      <c r="E89" s="675">
        <v>50000</v>
      </c>
      <c r="F89" s="675">
        <v>50000</v>
      </c>
      <c r="G89" s="675">
        <v>50000</v>
      </c>
      <c r="H89" s="675">
        <v>50000</v>
      </c>
      <c r="I89" s="675">
        <v>50000</v>
      </c>
      <c r="J89" s="675">
        <v>50000</v>
      </c>
      <c r="K89" s="675">
        <v>50000</v>
      </c>
      <c r="L89" s="675">
        <v>50000</v>
      </c>
      <c r="M89" s="675">
        <v>50000</v>
      </c>
      <c r="N89" s="675">
        <f t="shared" si="32"/>
        <v>600000</v>
      </c>
      <c r="O89" s="536" t="s">
        <v>473</v>
      </c>
      <c r="P89" s="536"/>
      <c r="Q89" s="536"/>
      <c r="R89" s="536"/>
      <c r="S89" s="536"/>
      <c r="T89" s="536"/>
      <c r="U89" s="670"/>
      <c r="V89" s="670"/>
      <c r="W89" s="670"/>
    </row>
    <row r="90" spans="1:23" x14ac:dyDescent="0.35">
      <c r="A90" s="208" t="s">
        <v>474</v>
      </c>
      <c r="B90" s="675">
        <f>'India Expenses - Detailed'!E510</f>
        <v>0</v>
      </c>
      <c r="C90" s="675">
        <f>'India Expenses - Detailed'!F510</f>
        <v>0</v>
      </c>
      <c r="D90" s="675">
        <f>'India Expenses - Detailed'!G510</f>
        <v>0</v>
      </c>
      <c r="E90" s="675">
        <f>'India Expenses - Detailed'!H510</f>
        <v>0</v>
      </c>
      <c r="F90" s="675">
        <f>'India Expenses - Detailed'!I510</f>
        <v>0</v>
      </c>
      <c r="G90" s="675">
        <f>'India Expenses - Detailed'!J510</f>
        <v>0</v>
      </c>
      <c r="H90" s="675">
        <f>'India Expenses - Detailed'!K510</f>
        <v>0</v>
      </c>
      <c r="I90" s="675">
        <f>'India Expenses - Detailed'!L510</f>
        <v>0</v>
      </c>
      <c r="J90" s="675">
        <f>'India Expenses - Detailed'!M510</f>
        <v>0</v>
      </c>
      <c r="K90" s="675">
        <f>'India Expenses - Detailed'!N510</f>
        <v>0</v>
      </c>
      <c r="L90" s="675">
        <f>'India Expenses - Detailed'!O510</f>
        <v>0</v>
      </c>
      <c r="M90" s="675">
        <f>'India Expenses - Detailed'!P510</f>
        <v>0</v>
      </c>
      <c r="N90" s="675">
        <f t="shared" si="32"/>
        <v>0</v>
      </c>
      <c r="O90" s="670"/>
      <c r="P90" s="670"/>
      <c r="Q90" s="670"/>
      <c r="R90" s="670"/>
      <c r="S90" s="670"/>
      <c r="T90" s="670"/>
      <c r="U90" s="670"/>
      <c r="V90" s="670"/>
      <c r="W90" s="670"/>
    </row>
    <row r="91" spans="1:23" x14ac:dyDescent="0.35">
      <c r="A91" s="203" t="s">
        <v>213</v>
      </c>
      <c r="B91" s="675">
        <v>40000</v>
      </c>
      <c r="C91" s="675">
        <v>40000</v>
      </c>
      <c r="D91" s="675">
        <v>40000</v>
      </c>
      <c r="E91" s="675">
        <v>40000</v>
      </c>
      <c r="F91" s="675">
        <v>40000</v>
      </c>
      <c r="G91" s="675">
        <v>40000</v>
      </c>
      <c r="H91" s="675">
        <v>40000</v>
      </c>
      <c r="I91" s="675">
        <v>40000</v>
      </c>
      <c r="J91" s="675">
        <v>40000</v>
      </c>
      <c r="K91" s="675">
        <v>40000</v>
      </c>
      <c r="L91" s="675">
        <v>40000</v>
      </c>
      <c r="M91" s="675">
        <v>40000</v>
      </c>
      <c r="N91" s="675">
        <f t="shared" si="32"/>
        <v>480000</v>
      </c>
      <c r="O91" s="536" t="s">
        <v>475</v>
      </c>
      <c r="P91" s="536"/>
      <c r="Q91" s="536"/>
      <c r="R91" s="536"/>
      <c r="S91" s="536"/>
      <c r="T91" s="536"/>
      <c r="U91" s="536"/>
      <c r="V91" s="536"/>
      <c r="W91" s="536"/>
    </row>
    <row r="92" spans="1:23" x14ac:dyDescent="0.35">
      <c r="A92" s="206" t="s">
        <v>174</v>
      </c>
      <c r="B92" s="207">
        <f t="shared" ref="B92:M92" si="33">SUM(B88:B91)</f>
        <v>92000</v>
      </c>
      <c r="C92" s="207">
        <f t="shared" si="33"/>
        <v>92000</v>
      </c>
      <c r="D92" s="207">
        <f t="shared" si="33"/>
        <v>92000</v>
      </c>
      <c r="E92" s="207">
        <f t="shared" si="33"/>
        <v>92000</v>
      </c>
      <c r="F92" s="207">
        <f t="shared" si="33"/>
        <v>92000</v>
      </c>
      <c r="G92" s="207">
        <f t="shared" si="33"/>
        <v>92000</v>
      </c>
      <c r="H92" s="207">
        <f t="shared" si="33"/>
        <v>92000</v>
      </c>
      <c r="I92" s="207">
        <f t="shared" si="33"/>
        <v>92000</v>
      </c>
      <c r="J92" s="207">
        <f t="shared" si="33"/>
        <v>92000</v>
      </c>
      <c r="K92" s="207">
        <f t="shared" si="33"/>
        <v>92000</v>
      </c>
      <c r="L92" s="207">
        <f t="shared" si="33"/>
        <v>92000</v>
      </c>
      <c r="M92" s="207">
        <f t="shared" si="33"/>
        <v>92000</v>
      </c>
      <c r="N92" s="207">
        <f t="shared" si="32"/>
        <v>1104000</v>
      </c>
      <c r="O92" s="670"/>
      <c r="P92" s="670"/>
      <c r="Q92" s="670"/>
      <c r="R92" s="670"/>
      <c r="S92" s="670"/>
      <c r="T92" s="670"/>
      <c r="U92" s="670"/>
      <c r="V92" s="670"/>
      <c r="W92" s="670"/>
    </row>
    <row r="93" spans="1:23" x14ac:dyDescent="0.35">
      <c r="A93" s="670"/>
      <c r="B93" s="675"/>
      <c r="C93" s="675"/>
      <c r="D93" s="675"/>
      <c r="E93" s="675"/>
      <c r="F93" s="675"/>
      <c r="G93" s="675"/>
      <c r="H93" s="675"/>
      <c r="I93" s="675"/>
      <c r="J93" s="675"/>
      <c r="K93" s="675"/>
      <c r="L93" s="675"/>
      <c r="M93" s="675"/>
      <c r="N93" s="675">
        <f t="shared" si="32"/>
        <v>0</v>
      </c>
      <c r="O93" s="670"/>
      <c r="P93" s="670"/>
      <c r="Q93" s="670"/>
      <c r="R93" s="670"/>
      <c r="S93" s="670"/>
      <c r="T93" s="670"/>
      <c r="U93" s="670"/>
      <c r="V93" s="670"/>
      <c r="W93" s="670"/>
    </row>
    <row r="94" spans="1:23" x14ac:dyDescent="0.35">
      <c r="A94" s="202" t="s">
        <v>152</v>
      </c>
      <c r="B94" s="675"/>
      <c r="C94" s="675"/>
      <c r="D94" s="675"/>
      <c r="E94" s="675"/>
      <c r="F94" s="675"/>
      <c r="G94" s="675"/>
      <c r="H94" s="675"/>
      <c r="I94" s="675"/>
      <c r="J94" s="675"/>
      <c r="K94" s="675"/>
      <c r="L94" s="675"/>
      <c r="M94" s="675"/>
      <c r="N94" s="675"/>
      <c r="O94" s="670"/>
      <c r="P94" s="670"/>
      <c r="Q94" s="670"/>
      <c r="R94" s="670"/>
      <c r="S94" s="670"/>
      <c r="T94" s="670"/>
      <c r="U94" s="670"/>
      <c r="V94" s="670"/>
      <c r="W94" s="670"/>
    </row>
    <row r="95" spans="1:23" x14ac:dyDescent="0.35">
      <c r="A95" s="203" t="s">
        <v>192</v>
      </c>
      <c r="B95" s="683">
        <v>211345.19999999998</v>
      </c>
      <c r="C95" s="683">
        <v>211345.19999999998</v>
      </c>
      <c r="D95" s="683">
        <v>211345.19999999998</v>
      </c>
      <c r="E95" s="683">
        <v>211345.19999999998</v>
      </c>
      <c r="F95" s="683">
        <v>211345.19999999998</v>
      </c>
      <c r="G95" s="683">
        <v>211345.19999999998</v>
      </c>
      <c r="H95" s="683">
        <v>211345.19999999998</v>
      </c>
      <c r="I95" s="683">
        <v>211345.19999999998</v>
      </c>
      <c r="J95" s="683">
        <v>211345.19999999998</v>
      </c>
      <c r="K95" s="683">
        <v>211345.19999999998</v>
      </c>
      <c r="L95" s="683">
        <v>211345.19999999998</v>
      </c>
      <c r="M95" s="683">
        <v>211345.19999999998</v>
      </c>
      <c r="N95" s="675">
        <f t="shared" ref="N95:N106" si="34">SUM(B95:M95)</f>
        <v>2536142.4000000004</v>
      </c>
      <c r="O95" s="670"/>
      <c r="P95" s="670"/>
      <c r="Q95" s="670"/>
      <c r="R95" s="670"/>
      <c r="S95" s="670"/>
      <c r="T95" s="670"/>
      <c r="U95" s="670"/>
      <c r="V95" s="670"/>
      <c r="W95" s="670"/>
    </row>
    <row r="96" spans="1:23" x14ac:dyDescent="0.35">
      <c r="A96" s="203" t="s">
        <v>193</v>
      </c>
      <c r="B96" s="683">
        <v>162000</v>
      </c>
      <c r="C96" s="683">
        <v>162000</v>
      </c>
      <c r="D96" s="683">
        <v>162000</v>
      </c>
      <c r="E96" s="683">
        <v>162000</v>
      </c>
      <c r="F96" s="683">
        <v>162000</v>
      </c>
      <c r="G96" s="683">
        <v>162000</v>
      </c>
      <c r="H96" s="683">
        <v>162000</v>
      </c>
      <c r="I96" s="683">
        <v>162000</v>
      </c>
      <c r="J96" s="683">
        <v>162000</v>
      </c>
      <c r="K96" s="683">
        <v>162000</v>
      </c>
      <c r="L96" s="683">
        <v>162000</v>
      </c>
      <c r="M96" s="683">
        <v>162000</v>
      </c>
      <c r="N96" s="675">
        <f t="shared" si="34"/>
        <v>1944000</v>
      </c>
      <c r="O96" s="670"/>
      <c r="P96" s="670"/>
      <c r="Q96" s="670"/>
      <c r="R96" s="670"/>
      <c r="S96" s="670"/>
      <c r="T96" s="670"/>
      <c r="U96" s="670"/>
      <c r="V96" s="670"/>
      <c r="W96" s="670"/>
    </row>
    <row r="97" spans="1:23" x14ac:dyDescent="0.35">
      <c r="A97" s="203" t="s">
        <v>194</v>
      </c>
      <c r="B97" s="683">
        <f>445500+60000</f>
        <v>505500</v>
      </c>
      <c r="C97" s="683">
        <f t="shared" ref="C97:M97" si="35">445500+60000</f>
        <v>505500</v>
      </c>
      <c r="D97" s="683">
        <f t="shared" si="35"/>
        <v>505500</v>
      </c>
      <c r="E97" s="683">
        <f t="shared" si="35"/>
        <v>505500</v>
      </c>
      <c r="F97" s="683">
        <f t="shared" si="35"/>
        <v>505500</v>
      </c>
      <c r="G97" s="683">
        <f t="shared" si="35"/>
        <v>505500</v>
      </c>
      <c r="H97" s="683">
        <f t="shared" si="35"/>
        <v>505500</v>
      </c>
      <c r="I97" s="683">
        <f t="shared" si="35"/>
        <v>505500</v>
      </c>
      <c r="J97" s="683">
        <f t="shared" si="35"/>
        <v>505500</v>
      </c>
      <c r="K97" s="683">
        <f t="shared" si="35"/>
        <v>505500</v>
      </c>
      <c r="L97" s="683">
        <f t="shared" si="35"/>
        <v>505500</v>
      </c>
      <c r="M97" s="683">
        <f t="shared" si="35"/>
        <v>505500</v>
      </c>
      <c r="N97" s="675">
        <f t="shared" si="34"/>
        <v>6066000</v>
      </c>
      <c r="O97" s="680" t="s">
        <v>476</v>
      </c>
      <c r="P97" s="680"/>
      <c r="Q97" s="680"/>
      <c r="R97" s="680"/>
      <c r="S97" s="680"/>
      <c r="T97" s="670"/>
      <c r="U97" s="670"/>
      <c r="V97" s="670"/>
      <c r="W97" s="670"/>
    </row>
    <row r="98" spans="1:23" x14ac:dyDescent="0.35">
      <c r="A98" s="203" t="s">
        <v>196</v>
      </c>
      <c r="B98" s="683"/>
      <c r="C98" s="683"/>
      <c r="D98" s="683"/>
      <c r="E98" s="683"/>
      <c r="F98" s="683"/>
      <c r="G98" s="683"/>
      <c r="H98" s="683"/>
      <c r="I98" s="683"/>
      <c r="J98" s="683"/>
      <c r="K98" s="683"/>
      <c r="L98" s="683"/>
      <c r="M98" s="683"/>
      <c r="N98" s="675">
        <f t="shared" si="34"/>
        <v>0</v>
      </c>
      <c r="O98" s="536" t="s">
        <v>477</v>
      </c>
      <c r="P98" s="536"/>
      <c r="Q98" s="536"/>
      <c r="R98" s="536"/>
      <c r="S98" s="536"/>
      <c r="T98" s="536"/>
      <c r="U98" s="536"/>
      <c r="V98" s="670"/>
      <c r="W98" s="670"/>
    </row>
    <row r="99" spans="1:23" x14ac:dyDescent="0.35">
      <c r="A99" s="203" t="s">
        <v>201</v>
      </c>
      <c r="B99" s="683">
        <v>12699.878624999999</v>
      </c>
      <c r="C99" s="683">
        <v>12699.878624999999</v>
      </c>
      <c r="D99" s="683">
        <v>12699.878624999999</v>
      </c>
      <c r="E99" s="683">
        <v>12699.878624999999</v>
      </c>
      <c r="F99" s="683">
        <v>12699.878624999999</v>
      </c>
      <c r="G99" s="683">
        <v>12699.878624999999</v>
      </c>
      <c r="H99" s="683">
        <v>12699.878624999999</v>
      </c>
      <c r="I99" s="683">
        <v>12699.878624999999</v>
      </c>
      <c r="J99" s="683">
        <v>12699.878624999999</v>
      </c>
      <c r="K99" s="683">
        <v>12699.878624999999</v>
      </c>
      <c r="L99" s="683">
        <v>12699.878624999999</v>
      </c>
      <c r="M99" s="683">
        <v>12699.878624999999</v>
      </c>
      <c r="N99" s="675">
        <f t="shared" si="34"/>
        <v>152398.5435</v>
      </c>
      <c r="O99" s="536" t="s">
        <v>478</v>
      </c>
      <c r="P99" s="536"/>
      <c r="Q99" s="536"/>
      <c r="R99" s="536"/>
      <c r="S99" s="536"/>
      <c r="T99" s="536"/>
      <c r="U99" s="536"/>
      <c r="V99" s="670"/>
      <c r="W99" s="670"/>
    </row>
    <row r="100" spans="1:23" x14ac:dyDescent="0.35">
      <c r="A100" s="203" t="s">
        <v>202</v>
      </c>
      <c r="B100" s="683"/>
      <c r="C100" s="683"/>
      <c r="D100" s="683"/>
      <c r="E100" s="683"/>
      <c r="F100" s="683"/>
      <c r="G100" s="683"/>
      <c r="H100" s="683"/>
      <c r="I100" s="683"/>
      <c r="J100" s="683"/>
      <c r="K100" s="683"/>
      <c r="L100" s="683"/>
      <c r="M100" s="683"/>
      <c r="N100" s="675">
        <f t="shared" si="34"/>
        <v>0</v>
      </c>
      <c r="O100" s="680" t="s">
        <v>479</v>
      </c>
      <c r="P100" s="680"/>
      <c r="Q100" s="680"/>
      <c r="R100" s="680"/>
      <c r="S100" s="680"/>
      <c r="T100" s="680"/>
      <c r="U100" s="680"/>
      <c r="V100" s="680"/>
      <c r="W100" s="680"/>
    </row>
    <row r="101" spans="1:23" x14ac:dyDescent="0.35">
      <c r="A101" s="206" t="s">
        <v>174</v>
      </c>
      <c r="B101" s="207">
        <f t="shared" ref="B101:M101" si="36">SUM(B95:B100)</f>
        <v>891545.07862499997</v>
      </c>
      <c r="C101" s="207">
        <f t="shared" si="36"/>
        <v>891545.07862499997</v>
      </c>
      <c r="D101" s="207">
        <f t="shared" si="36"/>
        <v>891545.07862499997</v>
      </c>
      <c r="E101" s="207">
        <f t="shared" si="36"/>
        <v>891545.07862499997</v>
      </c>
      <c r="F101" s="207">
        <f t="shared" si="36"/>
        <v>891545.07862499997</v>
      </c>
      <c r="G101" s="207">
        <f t="shared" si="36"/>
        <v>891545.07862499997</v>
      </c>
      <c r="H101" s="207">
        <f t="shared" si="36"/>
        <v>891545.07862499997</v>
      </c>
      <c r="I101" s="207">
        <f t="shared" si="36"/>
        <v>891545.07862499997</v>
      </c>
      <c r="J101" s="207">
        <f t="shared" si="36"/>
        <v>891545.07862499997</v>
      </c>
      <c r="K101" s="207">
        <f t="shared" si="36"/>
        <v>891545.07862499997</v>
      </c>
      <c r="L101" s="207">
        <f t="shared" si="36"/>
        <v>891545.07862499997</v>
      </c>
      <c r="M101" s="207">
        <f t="shared" si="36"/>
        <v>891545.07862499997</v>
      </c>
      <c r="N101" s="207">
        <f t="shared" si="34"/>
        <v>10698540.943499997</v>
      </c>
      <c r="O101" s="670"/>
      <c r="P101" s="670"/>
      <c r="Q101" s="670"/>
      <c r="R101" s="670"/>
      <c r="S101" s="670"/>
      <c r="T101" s="670"/>
      <c r="U101" s="670"/>
      <c r="V101" s="670"/>
      <c r="W101" s="670"/>
    </row>
    <row r="102" spans="1:23" x14ac:dyDescent="0.35">
      <c r="A102" s="670"/>
      <c r="B102" s="675"/>
      <c r="C102" s="675"/>
      <c r="D102" s="675"/>
      <c r="E102" s="675"/>
      <c r="F102" s="675"/>
      <c r="G102" s="675"/>
      <c r="H102" s="675"/>
      <c r="I102" s="675"/>
      <c r="J102" s="675"/>
      <c r="K102" s="675"/>
      <c r="L102" s="675"/>
      <c r="M102" s="675"/>
      <c r="N102" s="675">
        <f t="shared" si="34"/>
        <v>0</v>
      </c>
      <c r="O102" s="670"/>
      <c r="P102" s="670"/>
      <c r="Q102" s="670"/>
      <c r="R102" s="670"/>
      <c r="S102" s="670"/>
      <c r="T102" s="670"/>
      <c r="U102" s="670"/>
      <c r="V102" s="670"/>
      <c r="W102" s="670"/>
    </row>
    <row r="103" spans="1:23" x14ac:dyDescent="0.35">
      <c r="A103" s="202" t="s">
        <v>480</v>
      </c>
      <c r="B103" s="675"/>
      <c r="C103" s="675"/>
      <c r="D103" s="675"/>
      <c r="E103" s="675"/>
      <c r="F103" s="675"/>
      <c r="G103" s="675"/>
      <c r="H103" s="675"/>
      <c r="I103" s="675"/>
      <c r="J103" s="675"/>
      <c r="K103" s="675"/>
      <c r="L103" s="675"/>
      <c r="M103" s="675"/>
      <c r="N103" s="675">
        <f t="shared" si="34"/>
        <v>0</v>
      </c>
      <c r="O103" s="670"/>
      <c r="P103" s="670"/>
      <c r="Q103" s="670"/>
      <c r="R103" s="670"/>
      <c r="S103" s="670"/>
      <c r="T103" s="670"/>
      <c r="U103" s="670"/>
      <c r="V103" s="670"/>
      <c r="W103" s="670"/>
    </row>
    <row r="104" spans="1:23" s="427" customFormat="1" x14ac:dyDescent="0.35">
      <c r="A104" s="203" t="s">
        <v>179</v>
      </c>
      <c r="B104" s="675">
        <f>'India Expenses - Detailed'!E509</f>
        <v>450000</v>
      </c>
      <c r="C104" s="675">
        <f>'India Expenses - Detailed'!F509</f>
        <v>0</v>
      </c>
      <c r="D104" s="675">
        <f>'India Expenses - Detailed'!G509</f>
        <v>300000</v>
      </c>
      <c r="E104" s="675">
        <f>'India Expenses - Detailed'!H509</f>
        <v>0</v>
      </c>
      <c r="F104" s="675">
        <f>'India Expenses - Detailed'!I509</f>
        <v>0</v>
      </c>
      <c r="G104" s="675">
        <f>'India Expenses - Detailed'!J509</f>
        <v>0</v>
      </c>
      <c r="H104" s="675">
        <f>'India Expenses - Detailed'!K509</f>
        <v>0</v>
      </c>
      <c r="I104" s="675">
        <f>'India Expenses - Detailed'!L509</f>
        <v>0</v>
      </c>
      <c r="J104" s="675">
        <f>'India Expenses - Detailed'!M509</f>
        <v>0</v>
      </c>
      <c r="K104" s="675">
        <f>'India Expenses - Detailed'!N509</f>
        <v>0</v>
      </c>
      <c r="L104" s="675">
        <f>'India Expenses - Detailed'!O509</f>
        <v>0</v>
      </c>
      <c r="M104" s="675">
        <f>'India Expenses - Detailed'!P509</f>
        <v>0</v>
      </c>
      <c r="N104" s="675">
        <f t="shared" si="34"/>
        <v>750000</v>
      </c>
      <c r="O104" s="670"/>
      <c r="P104" s="670"/>
      <c r="Q104" s="670"/>
      <c r="R104" s="670"/>
      <c r="S104" s="670"/>
      <c r="T104" s="670"/>
      <c r="U104" s="670"/>
      <c r="V104" s="670"/>
      <c r="W104" s="670"/>
    </row>
    <row r="105" spans="1:23" x14ac:dyDescent="0.35">
      <c r="A105" s="203" t="s">
        <v>481</v>
      </c>
      <c r="B105" s="675">
        <f>'India Expenses - Detailed'!E494</f>
        <v>123529.56</v>
      </c>
      <c r="C105" s="675">
        <f>'India Expenses - Detailed'!F494</f>
        <v>123529.56</v>
      </c>
      <c r="D105" s="675">
        <f>'India Expenses - Detailed'!G494</f>
        <v>123529.56</v>
      </c>
      <c r="E105" s="675">
        <f>'India Expenses - Detailed'!H494</f>
        <v>123529.56</v>
      </c>
      <c r="F105" s="675">
        <f>'India Expenses - Detailed'!I494</f>
        <v>123529.56</v>
      </c>
      <c r="G105" s="675">
        <f>'India Expenses - Detailed'!J494</f>
        <v>123529.56</v>
      </c>
      <c r="H105" s="675">
        <f>'India Expenses - Detailed'!K494</f>
        <v>123529.56</v>
      </c>
      <c r="I105" s="675">
        <f>'India Expenses - Detailed'!L494</f>
        <v>123529.56</v>
      </c>
      <c r="J105" s="675">
        <f>'India Expenses - Detailed'!M494</f>
        <v>123529.56</v>
      </c>
      <c r="K105" s="675">
        <f>'India Expenses - Detailed'!N494</f>
        <v>123529.56</v>
      </c>
      <c r="L105" s="675">
        <f>'India Expenses - Detailed'!O494</f>
        <v>123529.56</v>
      </c>
      <c r="M105" s="675">
        <f>'India Expenses - Detailed'!P494</f>
        <v>123529.56</v>
      </c>
      <c r="N105" s="675">
        <f t="shared" si="34"/>
        <v>1482354.7200000004</v>
      </c>
      <c r="O105" s="680" t="s">
        <v>482</v>
      </c>
      <c r="P105" s="680"/>
      <c r="Q105" s="680"/>
      <c r="R105" s="680"/>
      <c r="S105" s="680"/>
      <c r="T105" s="680"/>
      <c r="U105" s="680"/>
      <c r="V105" s="670"/>
      <c r="W105" s="670"/>
    </row>
    <row r="106" spans="1:23" x14ac:dyDescent="0.35">
      <c r="A106" s="203" t="s">
        <v>483</v>
      </c>
      <c r="B106" s="675">
        <f>'India Expenses - Detailed'!E495</f>
        <v>154000</v>
      </c>
      <c r="C106" s="675">
        <f>'India Expenses - Detailed'!F495</f>
        <v>154000</v>
      </c>
      <c r="D106" s="675">
        <f>'India Expenses - Detailed'!G495</f>
        <v>154000</v>
      </c>
      <c r="E106" s="675">
        <f>'India Expenses - Detailed'!H495</f>
        <v>154000</v>
      </c>
      <c r="F106" s="675">
        <f>'India Expenses - Detailed'!I495</f>
        <v>154000</v>
      </c>
      <c r="G106" s="675">
        <f>'India Expenses - Detailed'!J495</f>
        <v>154000</v>
      </c>
      <c r="H106" s="675">
        <f>'India Expenses - Detailed'!K495</f>
        <v>154000</v>
      </c>
      <c r="I106" s="675">
        <f>'India Expenses - Detailed'!L495</f>
        <v>154000</v>
      </c>
      <c r="J106" s="675">
        <f>'India Expenses - Detailed'!M495</f>
        <v>154000</v>
      </c>
      <c r="K106" s="675">
        <f>'India Expenses - Detailed'!N495</f>
        <v>154000</v>
      </c>
      <c r="L106" s="675">
        <f>'India Expenses - Detailed'!O495</f>
        <v>154000</v>
      </c>
      <c r="M106" s="675">
        <f>'India Expenses - Detailed'!P495</f>
        <v>154000</v>
      </c>
      <c r="N106" s="675">
        <f t="shared" si="34"/>
        <v>1848000</v>
      </c>
      <c r="O106" s="680" t="s">
        <v>484</v>
      </c>
      <c r="P106" s="680"/>
      <c r="Q106" s="680"/>
      <c r="R106" s="680"/>
      <c r="S106" s="680"/>
      <c r="T106" s="680"/>
      <c r="U106" s="680"/>
      <c r="V106" s="670"/>
      <c r="W106" s="670"/>
    </row>
    <row r="107" spans="1:23" x14ac:dyDescent="0.35">
      <c r="A107" s="206" t="s">
        <v>174</v>
      </c>
      <c r="B107" s="207">
        <f>SUM(B104:B106)</f>
        <v>727529.56</v>
      </c>
      <c r="C107" s="207">
        <f t="shared" ref="C107:N107" si="37">SUM(C104:C106)</f>
        <v>277529.56</v>
      </c>
      <c r="D107" s="207">
        <f t="shared" si="37"/>
        <v>577529.56000000006</v>
      </c>
      <c r="E107" s="207">
        <f t="shared" si="37"/>
        <v>277529.56</v>
      </c>
      <c r="F107" s="207">
        <f t="shared" si="37"/>
        <v>277529.56</v>
      </c>
      <c r="G107" s="207">
        <f t="shared" si="37"/>
        <v>277529.56</v>
      </c>
      <c r="H107" s="207">
        <f t="shared" si="37"/>
        <v>277529.56</v>
      </c>
      <c r="I107" s="207">
        <f t="shared" si="37"/>
        <v>277529.56</v>
      </c>
      <c r="J107" s="207">
        <f t="shared" si="37"/>
        <v>277529.56</v>
      </c>
      <c r="K107" s="207">
        <f t="shared" si="37"/>
        <v>277529.56</v>
      </c>
      <c r="L107" s="207">
        <f t="shared" si="37"/>
        <v>277529.56</v>
      </c>
      <c r="M107" s="207">
        <f t="shared" si="37"/>
        <v>277529.56</v>
      </c>
      <c r="N107" s="207">
        <f t="shared" si="37"/>
        <v>4080354.7200000007</v>
      </c>
      <c r="O107" s="670"/>
      <c r="P107" s="670"/>
      <c r="Q107" s="670"/>
      <c r="R107" s="670"/>
      <c r="S107" s="670"/>
      <c r="T107" s="670"/>
      <c r="U107" s="670"/>
      <c r="V107" s="670"/>
      <c r="W107" s="670"/>
    </row>
    <row r="108" spans="1:23" x14ac:dyDescent="0.35">
      <c r="A108" s="670"/>
      <c r="B108" s="675"/>
      <c r="C108" s="675"/>
      <c r="D108" s="675"/>
      <c r="E108" s="675"/>
      <c r="F108" s="675"/>
      <c r="G108" s="675"/>
      <c r="H108" s="675"/>
      <c r="I108" s="675"/>
      <c r="J108" s="675"/>
      <c r="K108" s="675"/>
      <c r="L108" s="675"/>
      <c r="M108" s="675"/>
      <c r="N108" s="675">
        <f t="shared" ref="N108:N113" si="38">SUM(B108:M108)</f>
        <v>0</v>
      </c>
      <c r="O108" s="670"/>
      <c r="P108" s="670"/>
      <c r="Q108" s="670"/>
      <c r="R108" s="670"/>
      <c r="S108" s="670"/>
      <c r="T108" s="670"/>
      <c r="U108" s="670"/>
      <c r="V108" s="670"/>
      <c r="W108" s="670"/>
    </row>
    <row r="109" spans="1:23" x14ac:dyDescent="0.35">
      <c r="A109" s="206" t="s">
        <v>485</v>
      </c>
      <c r="B109" s="675"/>
      <c r="C109" s="675"/>
      <c r="D109" s="675"/>
      <c r="E109" s="675"/>
      <c r="F109" s="675"/>
      <c r="G109" s="675"/>
      <c r="H109" s="675"/>
      <c r="I109" s="675"/>
      <c r="J109" s="675"/>
      <c r="K109" s="675"/>
      <c r="L109" s="675"/>
      <c r="M109" s="675"/>
      <c r="N109" s="675">
        <f t="shared" si="38"/>
        <v>0</v>
      </c>
      <c r="O109" s="670"/>
      <c r="P109" s="670"/>
      <c r="Q109" s="670"/>
      <c r="R109" s="670"/>
      <c r="S109" s="670"/>
      <c r="T109" s="670"/>
      <c r="U109" s="670"/>
      <c r="V109" s="670"/>
      <c r="W109" s="670"/>
    </row>
    <row r="110" spans="1:23" x14ac:dyDescent="0.35">
      <c r="A110" s="670" t="s">
        <v>486</v>
      </c>
      <c r="B110" s="675"/>
      <c r="C110" s="675"/>
      <c r="D110" s="675"/>
      <c r="E110" s="675"/>
      <c r="F110" s="675"/>
      <c r="G110" s="675"/>
      <c r="H110" s="675"/>
      <c r="I110" s="675"/>
      <c r="J110" s="675"/>
      <c r="K110" s="675"/>
      <c r="L110" s="675"/>
      <c r="M110" s="675"/>
      <c r="N110" s="675">
        <f t="shared" si="38"/>
        <v>0</v>
      </c>
      <c r="O110" s="670" t="s">
        <v>487</v>
      </c>
      <c r="P110" s="685"/>
      <c r="Q110" s="670"/>
      <c r="R110" s="670"/>
      <c r="S110" s="670"/>
      <c r="T110" s="670"/>
      <c r="U110" s="670"/>
      <c r="V110" s="670"/>
      <c r="W110" s="670"/>
    </row>
    <row r="111" spans="1:23" x14ac:dyDescent="0.35">
      <c r="A111" s="670" t="s">
        <v>488</v>
      </c>
      <c r="B111" s="675"/>
      <c r="C111" s="675"/>
      <c r="D111" s="675"/>
      <c r="E111" s="675"/>
      <c r="F111" s="675"/>
      <c r="G111" s="675"/>
      <c r="H111" s="675"/>
      <c r="I111" s="675"/>
      <c r="J111" s="675"/>
      <c r="K111" s="675"/>
      <c r="L111" s="675"/>
      <c r="M111" s="675"/>
      <c r="N111" s="675">
        <f t="shared" si="38"/>
        <v>0</v>
      </c>
      <c r="O111" s="670"/>
      <c r="P111" s="670"/>
      <c r="Q111" s="670"/>
      <c r="R111" s="670"/>
      <c r="S111" s="670"/>
      <c r="T111" s="670"/>
      <c r="U111" s="670"/>
      <c r="V111" s="670"/>
      <c r="W111" s="670"/>
    </row>
    <row r="112" spans="1:23" x14ac:dyDescent="0.35">
      <c r="A112" s="206" t="s">
        <v>174</v>
      </c>
      <c r="B112" s="207">
        <f t="shared" ref="B112:M112" si="39">SUM(B110:B111)</f>
        <v>0</v>
      </c>
      <c r="C112" s="207">
        <f t="shared" si="39"/>
        <v>0</v>
      </c>
      <c r="D112" s="207">
        <f t="shared" si="39"/>
        <v>0</v>
      </c>
      <c r="E112" s="207">
        <f t="shared" si="39"/>
        <v>0</v>
      </c>
      <c r="F112" s="207">
        <f t="shared" si="39"/>
        <v>0</v>
      </c>
      <c r="G112" s="207">
        <f t="shared" si="39"/>
        <v>0</v>
      </c>
      <c r="H112" s="207">
        <f t="shared" si="39"/>
        <v>0</v>
      </c>
      <c r="I112" s="207">
        <f t="shared" si="39"/>
        <v>0</v>
      </c>
      <c r="J112" s="207">
        <f t="shared" si="39"/>
        <v>0</v>
      </c>
      <c r="K112" s="207">
        <f t="shared" si="39"/>
        <v>0</v>
      </c>
      <c r="L112" s="207">
        <f t="shared" si="39"/>
        <v>0</v>
      </c>
      <c r="M112" s="207">
        <f t="shared" si="39"/>
        <v>0</v>
      </c>
      <c r="N112" s="207">
        <f t="shared" si="38"/>
        <v>0</v>
      </c>
      <c r="O112" s="670"/>
      <c r="P112" s="670"/>
      <c r="Q112" s="670"/>
      <c r="R112" s="670"/>
      <c r="S112" s="670"/>
      <c r="T112" s="670"/>
      <c r="U112" s="670"/>
      <c r="V112" s="670"/>
      <c r="W112" s="670"/>
    </row>
    <row r="113" spans="1:16" x14ac:dyDescent="0.35">
      <c r="A113" s="206"/>
      <c r="B113" s="207"/>
      <c r="C113" s="207"/>
      <c r="D113" s="207"/>
      <c r="E113" s="207"/>
      <c r="F113" s="207"/>
      <c r="G113" s="207"/>
      <c r="H113" s="207"/>
      <c r="I113" s="207"/>
      <c r="J113" s="207"/>
      <c r="K113" s="207"/>
      <c r="L113" s="207"/>
      <c r="M113" s="207"/>
      <c r="N113" s="207">
        <f t="shared" si="38"/>
        <v>0</v>
      </c>
      <c r="O113" s="670"/>
      <c r="P113" s="670"/>
    </row>
  </sheetData>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92E9B-529A-4728-BDFC-914CD34A32EF}">
  <dimension ref="A1:Z112"/>
  <sheetViews>
    <sheetView showGridLines="0" zoomScale="90" zoomScaleNormal="80" workbookViewId="0">
      <pane xSplit="1" ySplit="4" topLeftCell="B79" activePane="bottomRight" state="frozen"/>
      <selection pane="topRight" activeCell="B25" sqref="B25"/>
      <selection pane="bottomLeft" activeCell="B25" sqref="B25"/>
      <selection pane="bottomRight" activeCell="M89" sqref="M89"/>
    </sheetView>
  </sheetViews>
  <sheetFormatPr defaultColWidth="9.453125" defaultRowHeight="15.5" outlineLevelRow="1" x14ac:dyDescent="0.35"/>
  <cols>
    <col min="1" max="1" width="32.453125" style="198" customWidth="1"/>
    <col min="2" max="10" width="12.453125" customWidth="1"/>
    <col min="11" max="13" width="13.54296875" bestFit="1" customWidth="1"/>
    <col min="14" max="14" width="13.453125" customWidth="1"/>
    <col min="15" max="15" width="12.81640625" style="198" bestFit="1" customWidth="1"/>
    <col min="16" max="16" width="12.81640625" style="198" customWidth="1"/>
    <col min="17" max="17" width="13.453125" customWidth="1"/>
    <col min="18" max="18" width="5" style="9" bestFit="1" customWidth="1"/>
    <col min="19" max="19" width="13.453125" customWidth="1"/>
    <col min="20" max="20" width="5" style="9" bestFit="1" customWidth="1"/>
    <col min="21" max="22" width="13.453125" customWidth="1"/>
    <col min="23" max="16384" width="9.453125" style="198"/>
  </cols>
  <sheetData>
    <row r="1" spans="1:22" s="195" customFormat="1" ht="21" x14ac:dyDescent="0.35">
      <c r="A1" s="193" t="s">
        <v>390</v>
      </c>
      <c r="B1" s="194"/>
      <c r="C1" s="194"/>
      <c r="D1" s="194"/>
      <c r="E1" s="194"/>
      <c r="F1" s="194"/>
      <c r="G1" s="194"/>
      <c r="H1" s="194"/>
      <c r="I1" s="194"/>
      <c r="J1" s="194"/>
      <c r="K1" s="194"/>
      <c r="L1" s="194"/>
      <c r="M1" s="194"/>
      <c r="N1" s="194"/>
      <c r="Q1" s="194"/>
      <c r="R1" s="394"/>
      <c r="S1" s="194"/>
      <c r="T1" s="394"/>
      <c r="U1" s="194"/>
      <c r="V1" s="194"/>
    </row>
    <row r="2" spans="1:22" ht="21" x14ac:dyDescent="0.35">
      <c r="A2" s="196" t="s">
        <v>391</v>
      </c>
      <c r="B2" s="197"/>
      <c r="C2" s="197"/>
      <c r="D2" s="197"/>
      <c r="E2" s="197"/>
      <c r="F2" s="197"/>
      <c r="G2" s="197"/>
      <c r="H2" s="197"/>
      <c r="I2" s="197"/>
      <c r="J2" s="197"/>
      <c r="K2" s="197"/>
      <c r="L2" s="197"/>
      <c r="M2" s="197"/>
      <c r="N2" s="197"/>
      <c r="O2" s="670"/>
      <c r="P2" s="670"/>
      <c r="Q2" s="197"/>
      <c r="R2" s="395"/>
      <c r="S2" s="197"/>
      <c r="T2" s="395"/>
      <c r="U2" s="197"/>
      <c r="V2" s="197"/>
    </row>
    <row r="3" spans="1:22" s="220" customFormat="1" ht="13" x14ac:dyDescent="0.35">
      <c r="A3" s="217" t="s">
        <v>392</v>
      </c>
      <c r="B3" s="218">
        <v>87</v>
      </c>
      <c r="C3" s="218">
        <v>87</v>
      </c>
      <c r="D3" s="218">
        <v>87</v>
      </c>
      <c r="E3" s="218">
        <v>87</v>
      </c>
      <c r="F3" s="218">
        <v>87</v>
      </c>
      <c r="G3" s="218">
        <v>87</v>
      </c>
      <c r="H3" s="218">
        <v>87</v>
      </c>
      <c r="I3" s="218">
        <v>87</v>
      </c>
      <c r="J3" s="218">
        <v>87</v>
      </c>
      <c r="K3" s="218">
        <v>87</v>
      </c>
      <c r="L3" s="218">
        <v>87</v>
      </c>
      <c r="M3" s="218">
        <v>87</v>
      </c>
      <c r="N3" s="219"/>
      <c r="Q3" s="219"/>
      <c r="R3" s="396"/>
      <c r="S3" s="219"/>
      <c r="T3" s="396"/>
      <c r="U3" s="219"/>
      <c r="V3" s="219"/>
    </row>
    <row r="4" spans="1:22" s="201" customFormat="1" ht="31" x14ac:dyDescent="0.35">
      <c r="A4" s="373" t="s">
        <v>268</v>
      </c>
      <c r="B4" s="373">
        <v>46023</v>
      </c>
      <c r="C4" s="373">
        <v>46054</v>
      </c>
      <c r="D4" s="373">
        <v>46082</v>
      </c>
      <c r="E4" s="373">
        <v>46113</v>
      </c>
      <c r="F4" s="373">
        <v>46143</v>
      </c>
      <c r="G4" s="373">
        <v>46174</v>
      </c>
      <c r="H4" s="373">
        <v>46204</v>
      </c>
      <c r="I4" s="373">
        <v>46235</v>
      </c>
      <c r="J4" s="373">
        <v>46266</v>
      </c>
      <c r="K4" s="373">
        <v>46296</v>
      </c>
      <c r="L4" s="373">
        <v>46327</v>
      </c>
      <c r="M4" s="373">
        <v>46357</v>
      </c>
      <c r="N4" s="373" t="s">
        <v>174</v>
      </c>
      <c r="Q4" s="373" t="s">
        <v>393</v>
      </c>
      <c r="R4" s="373" t="s">
        <v>394</v>
      </c>
      <c r="S4" s="373" t="s">
        <v>395</v>
      </c>
      <c r="T4" s="373" t="s">
        <v>394</v>
      </c>
      <c r="U4" s="373" t="s">
        <v>396</v>
      </c>
      <c r="V4" s="373" t="s">
        <v>397</v>
      </c>
    </row>
    <row r="5" spans="1:22" s="201" customFormat="1" outlineLevel="1" x14ac:dyDescent="0.35">
      <c r="A5" s="374" t="s">
        <v>344</v>
      </c>
      <c r="B5" s="375"/>
      <c r="C5" s="375"/>
      <c r="D5" s="375"/>
      <c r="E5" s="375"/>
      <c r="F5" s="375"/>
      <c r="G5" s="375"/>
      <c r="H5" s="375"/>
      <c r="I5" s="375"/>
      <c r="J5" s="375"/>
      <c r="K5" s="375"/>
      <c r="L5" s="375"/>
      <c r="M5" s="375"/>
      <c r="N5" s="375"/>
      <c r="Q5" s="375"/>
      <c r="R5" s="375"/>
      <c r="S5" s="375"/>
      <c r="T5" s="375"/>
      <c r="U5" s="375"/>
      <c r="V5" s="375"/>
    </row>
    <row r="6" spans="1:22" s="201" customFormat="1" outlineLevel="1" x14ac:dyDescent="0.35">
      <c r="A6" s="374" t="s">
        <v>398</v>
      </c>
      <c r="B6" s="376">
        <f>'1. Revenue Buildup 2026'!D6</f>
        <v>225414.12</v>
      </c>
      <c r="C6" s="376">
        <f>'1. Revenue Buildup 2026'!E6</f>
        <v>238765.5</v>
      </c>
      <c r="D6" s="376">
        <f>'1. Revenue Buildup 2026'!F6</f>
        <v>239597.86</v>
      </c>
      <c r="E6" s="376">
        <f>'1. Revenue Buildup 2026'!G6</f>
        <v>203603.86</v>
      </c>
      <c r="F6" s="376">
        <f>'1. Revenue Buildup 2026'!H6</f>
        <v>199015.5</v>
      </c>
      <c r="G6" s="376">
        <f>'1. Revenue Buildup 2026'!I6</f>
        <v>198603.86</v>
      </c>
      <c r="H6" s="376">
        <f>'1. Revenue Buildup 2026'!J6</f>
        <v>198603.86</v>
      </c>
      <c r="I6" s="376">
        <f>'1. Revenue Buildup 2026'!K6</f>
        <v>196937.7</v>
      </c>
      <c r="J6" s="376">
        <f>'1. Revenue Buildup 2026'!L6</f>
        <v>196937.7</v>
      </c>
      <c r="K6" s="376">
        <f>'1. Revenue Buildup 2026'!M6</f>
        <v>198603.86</v>
      </c>
      <c r="L6" s="376">
        <f>'1. Revenue Buildup 2026'!N6</f>
        <v>195569.5</v>
      </c>
      <c r="M6" s="376">
        <f>'1. Revenue Buildup 2026'!O6</f>
        <v>198603.86</v>
      </c>
      <c r="N6" s="376">
        <f t="shared" ref="N6:N11" si="0">SUM(B6:M6)</f>
        <v>2490257.1799999992</v>
      </c>
      <c r="O6" s="286">
        <f>N6/140000</f>
        <v>17.787551285714279</v>
      </c>
      <c r="P6" s="286"/>
      <c r="Q6" s="376">
        <v>2116756.58</v>
      </c>
      <c r="R6" s="376"/>
      <c r="S6" s="376">
        <v>1186417.5207459999</v>
      </c>
      <c r="T6" s="376"/>
      <c r="U6" s="376"/>
      <c r="V6" s="376"/>
    </row>
    <row r="7" spans="1:22" outlineLevel="1" x14ac:dyDescent="0.35">
      <c r="A7" s="377" t="s">
        <v>289</v>
      </c>
      <c r="B7" s="378">
        <f>'India Expenses - Detailed'!E165</f>
        <v>91928.458013861746</v>
      </c>
      <c r="C7" s="378">
        <f>'India Expenses - Detailed'!F165</f>
        <v>97362.870685229194</v>
      </c>
      <c r="D7" s="378">
        <f>'India Expenses - Detailed'!G165</f>
        <v>89327.429272579247</v>
      </c>
      <c r="E7" s="378">
        <f>'India Expenses - Detailed'!H165</f>
        <v>89327.429272579247</v>
      </c>
      <c r="F7" s="378">
        <f>'India Expenses - Detailed'!I165</f>
        <v>97728.814532748802</v>
      </c>
      <c r="G7" s="378">
        <f>'India Expenses - Detailed'!J165</f>
        <v>94478.814532748802</v>
      </c>
      <c r="H7" s="378">
        <f>'India Expenses - Detailed'!K165</f>
        <v>96842.738935121059</v>
      </c>
      <c r="I7" s="378">
        <f>'India Expenses - Detailed'!L165</f>
        <v>113764.49778210244</v>
      </c>
      <c r="J7" s="378">
        <f>'India Expenses - Detailed'!M165</f>
        <v>116742.38588342415</v>
      </c>
      <c r="K7" s="378">
        <f>'India Expenses - Detailed'!N165</f>
        <v>121562.16508159427</v>
      </c>
      <c r="L7" s="378">
        <f>'India Expenses - Detailed'!O165</f>
        <v>123926.08948396657</v>
      </c>
      <c r="M7" s="378">
        <f>'India Expenses - Detailed'!P165</f>
        <v>127517.94128423775</v>
      </c>
      <c r="N7" s="378">
        <f t="shared" si="0"/>
        <v>1260509.6347601933</v>
      </c>
      <c r="O7" s="670"/>
      <c r="P7" s="670"/>
      <c r="Q7" s="378">
        <v>836770.97867469885</v>
      </c>
      <c r="R7" s="401">
        <v>0.39530807962562176</v>
      </c>
      <c r="S7" s="378">
        <v>524458.72532039729</v>
      </c>
      <c r="T7" s="397"/>
      <c r="U7" s="378"/>
      <c r="V7" s="378"/>
    </row>
    <row r="8" spans="1:22" outlineLevel="1" x14ac:dyDescent="0.35">
      <c r="A8" s="377" t="s">
        <v>146</v>
      </c>
      <c r="B8" s="378">
        <f>'India Expenses - Detailed'!E177</f>
        <v>15550.932068965516</v>
      </c>
      <c r="C8" s="378">
        <f>'India Expenses - Detailed'!F177</f>
        <v>15550.932068965516</v>
      </c>
      <c r="D8" s="378">
        <f>'India Expenses - Detailed'!G177</f>
        <v>15550.932068965516</v>
      </c>
      <c r="E8" s="378">
        <f>'India Expenses - Detailed'!H177</f>
        <v>15550.932068965516</v>
      </c>
      <c r="F8" s="378">
        <f>'India Expenses - Detailed'!I177</f>
        <v>15550.932068965516</v>
      </c>
      <c r="G8" s="378">
        <f>'India Expenses - Detailed'!J177</f>
        <v>15550.932068965516</v>
      </c>
      <c r="H8" s="378">
        <f>'India Expenses - Detailed'!K177</f>
        <v>20211.518275862069</v>
      </c>
      <c r="I8" s="378">
        <f>'India Expenses - Detailed'!L177</f>
        <v>20211.518275862069</v>
      </c>
      <c r="J8" s="378">
        <f>'India Expenses - Detailed'!M177</f>
        <v>20211.518275862069</v>
      </c>
      <c r="K8" s="378">
        <f>'India Expenses - Detailed'!N177</f>
        <v>20211.518275862069</v>
      </c>
      <c r="L8" s="378">
        <f>'India Expenses - Detailed'!O177</f>
        <v>20211.518275862069</v>
      </c>
      <c r="M8" s="378">
        <f>'India Expenses - Detailed'!P177</f>
        <v>20211.518275862069</v>
      </c>
      <c r="N8" s="378">
        <f t="shared" si="0"/>
        <v>214574.7020689655</v>
      </c>
      <c r="O8" s="670"/>
      <c r="P8" s="670"/>
      <c r="Q8" s="378">
        <v>109080.05204819277</v>
      </c>
      <c r="R8" s="401">
        <v>5.153169385598072E-2</v>
      </c>
      <c r="S8" s="378">
        <v>101610.98566265061</v>
      </c>
      <c r="T8" s="397"/>
      <c r="U8" s="378"/>
      <c r="V8" s="378"/>
    </row>
    <row r="9" spans="1:22" outlineLevel="1" x14ac:dyDescent="0.35">
      <c r="A9" s="377" t="s">
        <v>147</v>
      </c>
      <c r="B9" s="378">
        <f>'India Expenses - Detailed'!E188+'India Expenses - Detailed'!E204</f>
        <v>4802.8873155443871</v>
      </c>
      <c r="C9" s="378">
        <f>'India Expenses - Detailed'!F188+'India Expenses - Detailed'!F204</f>
        <v>4830.0480520105884</v>
      </c>
      <c r="D9" s="378">
        <f>'India Expenses - Detailed'!G188+'India Expenses - Detailed'!G204</f>
        <v>2963.3955582947706</v>
      </c>
      <c r="E9" s="378">
        <f>'India Expenses - Detailed'!H188+'India Expenses - Detailed'!H204</f>
        <v>2963.3955582947706</v>
      </c>
      <c r="F9" s="378">
        <f>'India Expenses - Detailed'!I188+'India Expenses - Detailed'!I204</f>
        <v>2984.3250840739802</v>
      </c>
      <c r="G9" s="378">
        <f>'India Expenses - Detailed'!J188+'India Expenses - Detailed'!J204</f>
        <v>3246.2446243038653</v>
      </c>
      <c r="H9" s="378">
        <f>'India Expenses - Detailed'!K188+'India Expenses - Detailed'!K204</f>
        <v>2999.2747453448442</v>
      </c>
      <c r="I9" s="378">
        <f>'India Expenses - Detailed'!L188+'India Expenses - Detailed'!L204</f>
        <v>3082.9928484616826</v>
      </c>
      <c r="J9" s="378">
        <f>'India Expenses - Detailed'!M188+'India Expenses - Detailed'!M204</f>
        <v>3097.9425097325466</v>
      </c>
      <c r="K9" s="378">
        <f>'India Expenses - Detailed'!N188+'India Expenses - Detailed'!N204</f>
        <v>3112.8921710034106</v>
      </c>
      <c r="L9" s="378">
        <f>'India Expenses - Detailed'!O188+'India Expenses - Detailed'!O204</f>
        <v>3127.8418322742746</v>
      </c>
      <c r="M9" s="378">
        <f>'India Expenses - Detailed'!P188+'India Expenses - Detailed'!P204</f>
        <v>3142.7914935451386</v>
      </c>
      <c r="N9" s="378">
        <f t="shared" si="0"/>
        <v>40354.031792884263</v>
      </c>
      <c r="O9" s="670"/>
      <c r="P9" s="670"/>
      <c r="Q9" s="378">
        <v>38074.979397590367</v>
      </c>
      <c r="R9" s="401">
        <v>1.7987415160221381E-2</v>
      </c>
      <c r="S9" s="378">
        <v>23641.274300944784</v>
      </c>
      <c r="T9" s="397"/>
      <c r="U9" s="378"/>
      <c r="V9" s="378"/>
    </row>
    <row r="10" spans="1:22" outlineLevel="1" x14ac:dyDescent="0.35">
      <c r="A10" s="377" t="s">
        <v>399</v>
      </c>
      <c r="B10" s="378">
        <f>'India Expenses - Detailed'!E209</f>
        <v>2361.0725927798021</v>
      </c>
      <c r="C10" s="378">
        <f>'India Expenses - Detailed'!F209</f>
        <v>2419.896122191567</v>
      </c>
      <c r="D10" s="378">
        <f>'India Expenses - Detailed'!G209</f>
        <v>2250.5925386892004</v>
      </c>
      <c r="E10" s="378">
        <f>'India Expenses - Detailed'!H209</f>
        <v>2250.5925386892004</v>
      </c>
      <c r="F10" s="378">
        <f>'India Expenses - Detailed'!I209</f>
        <v>2379.7338503862929</v>
      </c>
      <c r="G10" s="378">
        <f>'India Expenses - Detailed'!J209</f>
        <v>2379.7338503862929</v>
      </c>
      <c r="H10" s="378">
        <f>'India Expenses - Detailed'!K209</f>
        <v>2447.3471025837239</v>
      </c>
      <c r="I10" s="378">
        <f>'India Expenses - Detailed'!L209</f>
        <v>2894.9468321307149</v>
      </c>
      <c r="J10" s="378">
        <f>'India Expenses - Detailed'!M209</f>
        <v>2974.0543372017091</v>
      </c>
      <c r="K10" s="378">
        <f>'India Expenses - Detailed'!N209</f>
        <v>3087.6446008933926</v>
      </c>
      <c r="L10" s="378">
        <f>'India Expenses - Detailed'!O209</f>
        <v>3155.2578530908231</v>
      </c>
      <c r="M10" s="378">
        <f>'India Expenses - Detailed'!P209</f>
        <v>3245.8596110353801</v>
      </c>
      <c r="N10" s="378">
        <f t="shared" si="0"/>
        <v>31846.731830058099</v>
      </c>
      <c r="O10" s="670"/>
      <c r="P10" s="670"/>
      <c r="Q10" s="378">
        <v>29439.337349397592</v>
      </c>
      <c r="R10" s="401">
        <v>1.3907757570026116E-2</v>
      </c>
      <c r="S10" s="378">
        <v>30109.939759036144</v>
      </c>
      <c r="T10" s="397"/>
      <c r="U10" s="378"/>
      <c r="V10" s="378"/>
    </row>
    <row r="11" spans="1:22" outlineLevel="1" x14ac:dyDescent="0.35">
      <c r="A11" s="377" t="s">
        <v>400</v>
      </c>
      <c r="B11" s="378">
        <f>'India Expenses - Detailed'!$Q$221/12</f>
        <v>5759.2215671053245</v>
      </c>
      <c r="C11" s="378">
        <f>'India Expenses - Detailed'!$Q$221/12</f>
        <v>5759.2215671053245</v>
      </c>
      <c r="D11" s="378">
        <f>'India Expenses - Detailed'!$Q$221/12</f>
        <v>5759.2215671053245</v>
      </c>
      <c r="E11" s="378">
        <f>'India Expenses - Detailed'!$Q$221/12</f>
        <v>5759.2215671053245</v>
      </c>
      <c r="F11" s="378">
        <f>'India Expenses - Detailed'!$Q$221/12</f>
        <v>5759.2215671053245</v>
      </c>
      <c r="G11" s="378">
        <f>'India Expenses - Detailed'!$Q$221/12</f>
        <v>5759.2215671053245</v>
      </c>
      <c r="H11" s="378">
        <f>'India Expenses - Detailed'!$Q$221/12</f>
        <v>5759.2215671053245</v>
      </c>
      <c r="I11" s="378">
        <f>'India Expenses - Detailed'!$Q$221/12</f>
        <v>5759.2215671053245</v>
      </c>
      <c r="J11" s="378">
        <f>'India Expenses - Detailed'!$Q$221/12</f>
        <v>5759.2215671053245</v>
      </c>
      <c r="K11" s="378">
        <f>'India Expenses - Detailed'!$Q$221/12</f>
        <v>5759.2215671053245</v>
      </c>
      <c r="L11" s="378">
        <f>'India Expenses - Detailed'!$Q$221/12</f>
        <v>5759.2215671053245</v>
      </c>
      <c r="M11" s="378">
        <f>'India Expenses - Detailed'!$Q$221/12</f>
        <v>5759.2215671053245</v>
      </c>
      <c r="N11" s="378">
        <f t="shared" si="0"/>
        <v>69110.658805263913</v>
      </c>
      <c r="O11" s="670"/>
      <c r="P11" s="670"/>
      <c r="Q11" s="378">
        <v>193079.67481927713</v>
      </c>
      <c r="R11" s="401">
        <v>9.1214869316375111E-2</v>
      </c>
      <c r="S11" s="378">
        <v>1749.2242350697754</v>
      </c>
      <c r="T11" s="397"/>
      <c r="U11" s="378"/>
      <c r="V11" s="378"/>
    </row>
    <row r="12" spans="1:22" s="206" customFormat="1" outlineLevel="1" x14ac:dyDescent="0.35">
      <c r="A12" s="374" t="s">
        <v>401</v>
      </c>
      <c r="B12" s="379">
        <f>SUM(B7:B11)</f>
        <v>120402.57155825678</v>
      </c>
      <c r="C12" s="379">
        <f t="shared" ref="C12:N12" si="1">SUM(C7:C11)</f>
        <v>125922.96849550219</v>
      </c>
      <c r="D12" s="379">
        <f t="shared" si="1"/>
        <v>115851.57100563406</v>
      </c>
      <c r="E12" s="379">
        <f t="shared" si="1"/>
        <v>115851.57100563406</v>
      </c>
      <c r="F12" s="379">
        <f t="shared" si="1"/>
        <v>124403.02710327992</v>
      </c>
      <c r="G12" s="379">
        <f t="shared" si="1"/>
        <v>121414.94664350981</v>
      </c>
      <c r="H12" s="379">
        <f t="shared" si="1"/>
        <v>128260.10062601701</v>
      </c>
      <c r="I12" s="379">
        <f t="shared" si="1"/>
        <v>145713.17730566222</v>
      </c>
      <c r="J12" s="379">
        <f t="shared" si="1"/>
        <v>148785.12257332582</v>
      </c>
      <c r="K12" s="379">
        <f t="shared" si="1"/>
        <v>153733.4416964585</v>
      </c>
      <c r="L12" s="379">
        <f t="shared" si="1"/>
        <v>156179.92901229908</v>
      </c>
      <c r="M12" s="379">
        <f t="shared" si="1"/>
        <v>159877.33223178567</v>
      </c>
      <c r="N12" s="379">
        <f t="shared" si="1"/>
        <v>1616395.759257365</v>
      </c>
      <c r="Q12" s="379">
        <v>1206445.0222891569</v>
      </c>
      <c r="R12" s="398"/>
      <c r="S12" s="379">
        <v>681570.14927809872</v>
      </c>
      <c r="T12" s="398"/>
      <c r="U12" s="379"/>
      <c r="V12" s="379"/>
    </row>
    <row r="13" spans="1:22" s="206" customFormat="1" outlineLevel="1" x14ac:dyDescent="0.35">
      <c r="A13" s="374" t="s">
        <v>325</v>
      </c>
      <c r="B13" s="380">
        <f t="shared" ref="B13:N13" si="2">B6-B12</f>
        <v>105011.54844174322</v>
      </c>
      <c r="C13" s="380">
        <f t="shared" si="2"/>
        <v>112842.53150449781</v>
      </c>
      <c r="D13" s="380">
        <f t="shared" si="2"/>
        <v>123746.28899436592</v>
      </c>
      <c r="E13" s="380">
        <f t="shared" si="2"/>
        <v>87752.288994365925</v>
      </c>
      <c r="F13" s="380">
        <f t="shared" si="2"/>
        <v>74612.472896720079</v>
      </c>
      <c r="G13" s="380">
        <f t="shared" si="2"/>
        <v>77188.913356490171</v>
      </c>
      <c r="H13" s="380">
        <f t="shared" si="2"/>
        <v>70343.759373982975</v>
      </c>
      <c r="I13" s="380">
        <f t="shared" si="2"/>
        <v>51224.522694337793</v>
      </c>
      <c r="J13" s="380">
        <f t="shared" si="2"/>
        <v>48152.577426674194</v>
      </c>
      <c r="K13" s="380">
        <f t="shared" si="2"/>
        <v>44870.41830354149</v>
      </c>
      <c r="L13" s="380">
        <f t="shared" si="2"/>
        <v>39389.570987700921</v>
      </c>
      <c r="M13" s="380">
        <f t="shared" si="2"/>
        <v>38726.527768214321</v>
      </c>
      <c r="N13" s="380">
        <f t="shared" si="2"/>
        <v>873861.42074263422</v>
      </c>
      <c r="Q13" s="380">
        <v>910311.55771084316</v>
      </c>
      <c r="R13" s="399"/>
      <c r="S13" s="380">
        <v>504847.37146790116</v>
      </c>
      <c r="T13" s="399"/>
      <c r="U13" s="380"/>
      <c r="V13" s="380"/>
    </row>
    <row r="14" spans="1:22" s="206" customFormat="1" outlineLevel="1" x14ac:dyDescent="0.35">
      <c r="A14" s="374" t="s">
        <v>402</v>
      </c>
      <c r="B14" s="381">
        <f t="shared" ref="B14:N14" si="3">B13/B6</f>
        <v>0.46586056118287184</v>
      </c>
      <c r="C14" s="381">
        <f t="shared" si="3"/>
        <v>0.47260819299479112</v>
      </c>
      <c r="D14" s="381">
        <f t="shared" si="3"/>
        <v>0.51647493426846935</v>
      </c>
      <c r="E14" s="381">
        <f t="shared" si="3"/>
        <v>0.43099521293145393</v>
      </c>
      <c r="F14" s="381">
        <f t="shared" si="3"/>
        <v>0.37490784836718788</v>
      </c>
      <c r="G14" s="381">
        <f t="shared" si="3"/>
        <v>0.38865766937505736</v>
      </c>
      <c r="H14" s="381">
        <f t="shared" si="3"/>
        <v>0.35419130007837202</v>
      </c>
      <c r="I14" s="381">
        <f t="shared" si="3"/>
        <v>0.26010521446293822</v>
      </c>
      <c r="J14" s="381">
        <f t="shared" si="3"/>
        <v>0.24450665071580602</v>
      </c>
      <c r="K14" s="381">
        <f t="shared" si="3"/>
        <v>0.22592923573359297</v>
      </c>
      <c r="L14" s="381">
        <f t="shared" si="3"/>
        <v>0.20140958067439413</v>
      </c>
      <c r="M14" s="381">
        <f t="shared" si="3"/>
        <v>0.19499383228611128</v>
      </c>
      <c r="N14" s="381">
        <f t="shared" si="3"/>
        <v>0.35091211773662451</v>
      </c>
      <c r="Q14" s="381">
        <v>0.43005018447177479</v>
      </c>
      <c r="R14" s="400"/>
      <c r="S14" s="381">
        <v>0.42552251854006795</v>
      </c>
      <c r="T14" s="400"/>
      <c r="U14" s="381"/>
      <c r="V14" s="381"/>
    </row>
    <row r="15" spans="1:22" s="206" customFormat="1" outlineLevel="1" x14ac:dyDescent="0.35">
      <c r="A15" s="374"/>
      <c r="B15" s="381"/>
      <c r="C15" s="381"/>
      <c r="D15" s="381"/>
      <c r="E15" s="381"/>
      <c r="F15" s="381"/>
      <c r="G15" s="382"/>
      <c r="H15" s="381"/>
      <c r="I15" s="381"/>
      <c r="J15" s="381"/>
      <c r="K15" s="381"/>
      <c r="L15" s="381"/>
      <c r="M15" s="381"/>
      <c r="N15" s="381"/>
      <c r="Q15" s="381"/>
      <c r="R15" s="400"/>
      <c r="S15" s="381"/>
      <c r="T15" s="400"/>
      <c r="U15" s="381"/>
      <c r="V15" s="381"/>
    </row>
    <row r="16" spans="1:22" s="206" customFormat="1" outlineLevel="1" x14ac:dyDescent="0.35">
      <c r="A16" s="374" t="s">
        <v>403</v>
      </c>
      <c r="B16" s="380"/>
      <c r="C16" s="380"/>
      <c r="D16" s="380"/>
      <c r="E16" s="380"/>
      <c r="F16" s="380"/>
      <c r="G16" s="380"/>
      <c r="H16" s="380"/>
      <c r="I16" s="380"/>
      <c r="J16" s="380"/>
      <c r="K16" s="380"/>
      <c r="L16" s="380"/>
      <c r="M16" s="380"/>
      <c r="N16" s="380"/>
      <c r="Q16" s="380"/>
      <c r="R16" s="399"/>
      <c r="S16" s="380"/>
      <c r="T16" s="399"/>
      <c r="U16" s="380"/>
      <c r="V16" s="380"/>
    </row>
    <row r="17" spans="1:22" s="201" customFormat="1" outlineLevel="1" x14ac:dyDescent="0.35">
      <c r="A17" s="374" t="s">
        <v>398</v>
      </c>
      <c r="B17" s="376">
        <f>'1. Revenue Buildup 2026'!D9</f>
        <v>0</v>
      </c>
      <c r="C17" s="376">
        <f>'1. Revenue Buildup 2026'!E9</f>
        <v>0</v>
      </c>
      <c r="D17" s="376">
        <f>'1. Revenue Buildup 2026'!F9</f>
        <v>0</v>
      </c>
      <c r="E17" s="376">
        <f>'1. Revenue Buildup 2026'!G9</f>
        <v>0</v>
      </c>
      <c r="F17" s="376">
        <f>'1. Revenue Buildup 2026'!H9</f>
        <v>13800</v>
      </c>
      <c r="G17" s="376">
        <f>'1. Revenue Buildup 2026'!I9</f>
        <v>16800</v>
      </c>
      <c r="H17" s="376">
        <f>'1. Revenue Buildup 2026'!J9</f>
        <v>17150</v>
      </c>
      <c r="I17" s="376">
        <f>'1. Revenue Buildup 2026'!K9</f>
        <v>49550</v>
      </c>
      <c r="J17" s="376">
        <f>'1. Revenue Buildup 2026'!L9</f>
        <v>53550</v>
      </c>
      <c r="K17" s="376">
        <f>'1. Revenue Buildup 2026'!M9</f>
        <v>53550</v>
      </c>
      <c r="L17" s="376">
        <f>'1. Revenue Buildup 2026'!N9</f>
        <v>57550</v>
      </c>
      <c r="M17" s="376">
        <f>'1. Revenue Buildup 2026'!O9</f>
        <v>57550</v>
      </c>
      <c r="N17" s="376">
        <f t="shared" ref="N17:N24" si="4">SUM(B17:M17)</f>
        <v>319500</v>
      </c>
      <c r="O17" s="671"/>
      <c r="P17" s="671"/>
      <c r="Q17" s="376"/>
      <c r="R17" s="376"/>
      <c r="S17" s="376">
        <v>3816468.58</v>
      </c>
      <c r="T17" s="376"/>
      <c r="U17" s="376"/>
      <c r="V17" s="376"/>
    </row>
    <row r="18" spans="1:22" outlineLevel="1" x14ac:dyDescent="0.35">
      <c r="A18" s="377" t="s">
        <v>289</v>
      </c>
      <c r="B18" s="378"/>
      <c r="C18" s="378"/>
      <c r="D18" s="378"/>
      <c r="E18" s="378"/>
      <c r="F18" s="378"/>
      <c r="G18" s="378"/>
      <c r="H18" s="378"/>
      <c r="I18" s="378"/>
      <c r="J18" s="378"/>
      <c r="K18" s="378"/>
      <c r="L18" s="378"/>
      <c r="M18" s="378"/>
      <c r="N18" s="378"/>
      <c r="O18" s="671"/>
      <c r="P18" s="671"/>
      <c r="Q18" s="378"/>
      <c r="R18" s="397"/>
      <c r="S18" s="378">
        <v>1233644.8415570292</v>
      </c>
      <c r="T18" s="397"/>
      <c r="U18" s="378"/>
      <c r="V18" s="378"/>
    </row>
    <row r="19" spans="1:22" outlineLevel="1" x14ac:dyDescent="0.35">
      <c r="A19" s="377" t="s">
        <v>146</v>
      </c>
      <c r="B19" s="378"/>
      <c r="C19" s="378"/>
      <c r="D19" s="378"/>
      <c r="E19" s="378"/>
      <c r="F19" s="378"/>
      <c r="G19" s="378"/>
      <c r="H19" s="378"/>
      <c r="I19" s="378"/>
      <c r="J19" s="378"/>
      <c r="K19" s="378"/>
      <c r="L19" s="378"/>
      <c r="M19" s="378"/>
      <c r="N19" s="378"/>
      <c r="O19" s="670"/>
      <c r="P19" s="670"/>
      <c r="Q19" s="378"/>
      <c r="R19" s="397"/>
      <c r="S19" s="378">
        <v>24883.119155685737</v>
      </c>
      <c r="T19" s="397"/>
      <c r="U19" s="378"/>
      <c r="V19" s="378"/>
    </row>
    <row r="20" spans="1:22" outlineLevel="1" x14ac:dyDescent="0.35">
      <c r="A20" s="377" t="s">
        <v>147</v>
      </c>
      <c r="B20" s="378"/>
      <c r="C20" s="378"/>
      <c r="D20" s="378"/>
      <c r="E20" s="378"/>
      <c r="F20" s="378"/>
      <c r="G20" s="378"/>
      <c r="H20" s="378"/>
      <c r="I20" s="378"/>
      <c r="J20" s="378"/>
      <c r="K20" s="378"/>
      <c r="L20" s="378"/>
      <c r="M20" s="378"/>
      <c r="N20" s="378"/>
      <c r="O20" s="670"/>
      <c r="P20" s="670"/>
      <c r="Q20" s="378"/>
      <c r="R20" s="397"/>
      <c r="S20" s="378">
        <v>13156.289850198968</v>
      </c>
      <c r="T20" s="397"/>
      <c r="U20" s="378"/>
      <c r="V20" s="378"/>
    </row>
    <row r="21" spans="1:22" outlineLevel="1" x14ac:dyDescent="0.35">
      <c r="A21" s="377" t="s">
        <v>399</v>
      </c>
      <c r="B21" s="378"/>
      <c r="C21" s="378"/>
      <c r="D21" s="378"/>
      <c r="E21" s="378"/>
      <c r="F21" s="378"/>
      <c r="G21" s="378"/>
      <c r="H21" s="378"/>
      <c r="I21" s="378"/>
      <c r="J21" s="378"/>
      <c r="K21" s="378"/>
      <c r="L21" s="378"/>
      <c r="M21" s="378"/>
      <c r="N21" s="378"/>
      <c r="O21" s="670"/>
      <c r="P21" s="670"/>
      <c r="Q21" s="378"/>
      <c r="R21" s="397"/>
      <c r="S21" s="378">
        <v>71009.274598393589</v>
      </c>
      <c r="T21" s="397"/>
      <c r="U21" s="378"/>
      <c r="V21" s="378"/>
    </row>
    <row r="22" spans="1:22" outlineLevel="1" x14ac:dyDescent="0.35">
      <c r="A22" s="377" t="s">
        <v>400</v>
      </c>
      <c r="B22" s="378"/>
      <c r="C22" s="378"/>
      <c r="D22" s="378"/>
      <c r="E22" s="378"/>
      <c r="F22" s="378"/>
      <c r="G22" s="378"/>
      <c r="H22" s="378"/>
      <c r="I22" s="378"/>
      <c r="J22" s="378"/>
      <c r="K22" s="378"/>
      <c r="L22" s="378"/>
      <c r="M22" s="378"/>
      <c r="N22" s="378"/>
      <c r="O22" s="670" t="s">
        <v>404</v>
      </c>
      <c r="P22" s="670"/>
      <c r="Q22" s="378"/>
      <c r="R22" s="397"/>
      <c r="S22" s="378">
        <v>4125.2538210395542</v>
      </c>
      <c r="T22" s="397"/>
      <c r="U22" s="378"/>
      <c r="V22" s="378"/>
    </row>
    <row r="23" spans="1:22" s="206" customFormat="1" outlineLevel="1" x14ac:dyDescent="0.35">
      <c r="A23" s="374" t="s">
        <v>401</v>
      </c>
      <c r="B23" s="379">
        <f>SUM(B18:B22)</f>
        <v>0</v>
      </c>
      <c r="C23" s="379">
        <f t="shared" ref="C23:N23" si="5">SUM(C18:C22)</f>
        <v>0</v>
      </c>
      <c r="D23" s="379">
        <f t="shared" si="5"/>
        <v>0</v>
      </c>
      <c r="E23" s="379">
        <f t="shared" si="5"/>
        <v>0</v>
      </c>
      <c r="F23" s="379">
        <f t="shared" si="5"/>
        <v>0</v>
      </c>
      <c r="G23" s="379">
        <f t="shared" si="5"/>
        <v>0</v>
      </c>
      <c r="H23" s="379">
        <f t="shared" si="5"/>
        <v>0</v>
      </c>
      <c r="I23" s="379">
        <f t="shared" si="5"/>
        <v>0</v>
      </c>
      <c r="J23" s="379">
        <f t="shared" si="5"/>
        <v>0</v>
      </c>
      <c r="K23" s="379">
        <f t="shared" si="5"/>
        <v>0</v>
      </c>
      <c r="L23" s="379">
        <f t="shared" si="5"/>
        <v>0</v>
      </c>
      <c r="M23" s="379">
        <f t="shared" si="5"/>
        <v>0</v>
      </c>
      <c r="N23" s="379">
        <f t="shared" si="5"/>
        <v>0</v>
      </c>
      <c r="Q23" s="379"/>
      <c r="R23" s="398"/>
      <c r="S23" s="379">
        <v>1346818.7789823469</v>
      </c>
      <c r="T23" s="398"/>
      <c r="U23" s="379"/>
      <c r="V23" s="379"/>
    </row>
    <row r="24" spans="1:22" s="206" customFormat="1" outlineLevel="1" x14ac:dyDescent="0.35">
      <c r="A24" s="374" t="s">
        <v>325</v>
      </c>
      <c r="B24" s="379">
        <f>B17-B23</f>
        <v>0</v>
      </c>
      <c r="C24" s="379">
        <f t="shared" ref="C24:M24" si="6">C17-C23</f>
        <v>0</v>
      </c>
      <c r="D24" s="379">
        <f t="shared" si="6"/>
        <v>0</v>
      </c>
      <c r="E24" s="379">
        <f t="shared" si="6"/>
        <v>0</v>
      </c>
      <c r="F24" s="379">
        <f t="shared" si="6"/>
        <v>13800</v>
      </c>
      <c r="G24" s="379">
        <f t="shared" si="6"/>
        <v>16800</v>
      </c>
      <c r="H24" s="379">
        <f t="shared" si="6"/>
        <v>17150</v>
      </c>
      <c r="I24" s="379">
        <f t="shared" si="6"/>
        <v>49550</v>
      </c>
      <c r="J24" s="379">
        <f t="shared" si="6"/>
        <v>53550</v>
      </c>
      <c r="K24" s="379">
        <f t="shared" si="6"/>
        <v>53550</v>
      </c>
      <c r="L24" s="379">
        <f t="shared" si="6"/>
        <v>57550</v>
      </c>
      <c r="M24" s="379">
        <f t="shared" si="6"/>
        <v>57550</v>
      </c>
      <c r="N24" s="379">
        <f t="shared" si="4"/>
        <v>319500</v>
      </c>
      <c r="Q24" s="379"/>
      <c r="R24" s="398"/>
      <c r="S24" s="379">
        <v>2469649.8010176527</v>
      </c>
      <c r="T24" s="398"/>
      <c r="U24" s="379"/>
      <c r="V24" s="379"/>
    </row>
    <row r="25" spans="1:22" s="214" customFormat="1" outlineLevel="1" x14ac:dyDescent="0.35">
      <c r="A25" s="383" t="s">
        <v>402</v>
      </c>
      <c r="B25" s="381">
        <f>IFERROR(B24/B17,0)</f>
        <v>0</v>
      </c>
      <c r="C25" s="381">
        <f t="shared" ref="C25:N25" si="7">IFERROR(C24/C17,0)</f>
        <v>0</v>
      </c>
      <c r="D25" s="381">
        <f t="shared" si="7"/>
        <v>0</v>
      </c>
      <c r="E25" s="381">
        <f t="shared" si="7"/>
        <v>0</v>
      </c>
      <c r="F25" s="381">
        <f t="shared" si="7"/>
        <v>1</v>
      </c>
      <c r="G25" s="381">
        <f t="shared" si="7"/>
        <v>1</v>
      </c>
      <c r="H25" s="381">
        <f t="shared" si="7"/>
        <v>1</v>
      </c>
      <c r="I25" s="381">
        <f t="shared" si="7"/>
        <v>1</v>
      </c>
      <c r="J25" s="381">
        <f t="shared" si="7"/>
        <v>1</v>
      </c>
      <c r="K25" s="381">
        <f t="shared" si="7"/>
        <v>1</v>
      </c>
      <c r="L25" s="381">
        <f t="shared" si="7"/>
        <v>1</v>
      </c>
      <c r="M25" s="381">
        <f t="shared" si="7"/>
        <v>1</v>
      </c>
      <c r="N25" s="381">
        <f t="shared" si="7"/>
        <v>1</v>
      </c>
      <c r="Q25" s="381"/>
      <c r="R25" s="400"/>
      <c r="S25" s="381">
        <v>0.6471034018096522</v>
      </c>
      <c r="T25" s="400"/>
      <c r="U25" s="381"/>
      <c r="V25" s="381"/>
    </row>
    <row r="26" spans="1:22" s="214" customFormat="1" outlineLevel="1" x14ac:dyDescent="0.35">
      <c r="A26" s="383"/>
      <c r="B26" s="381"/>
      <c r="C26" s="381"/>
      <c r="D26" s="381"/>
      <c r="E26" s="381"/>
      <c r="F26" s="381"/>
      <c r="G26" s="381"/>
      <c r="H26" s="381"/>
      <c r="I26" s="381"/>
      <c r="J26" s="381"/>
      <c r="K26" s="381"/>
      <c r="L26" s="381"/>
      <c r="M26" s="381"/>
      <c r="N26" s="381"/>
      <c r="Q26" s="381"/>
      <c r="R26" s="400"/>
      <c r="S26" s="381"/>
      <c r="T26" s="400"/>
      <c r="U26" s="381"/>
      <c r="V26" s="381"/>
    </row>
    <row r="27" spans="1:22" s="214" customFormat="1" outlineLevel="1" x14ac:dyDescent="0.35">
      <c r="A27" s="374" t="s">
        <v>405</v>
      </c>
      <c r="B27" s="380"/>
      <c r="C27" s="380"/>
      <c r="D27" s="380"/>
      <c r="E27" s="380"/>
      <c r="F27" s="380"/>
      <c r="G27" s="380"/>
      <c r="H27" s="380"/>
      <c r="I27" s="380"/>
      <c r="J27" s="380"/>
      <c r="K27" s="380"/>
      <c r="L27" s="380"/>
      <c r="M27" s="380"/>
      <c r="N27" s="380"/>
      <c r="Q27" s="381"/>
      <c r="R27" s="400"/>
      <c r="S27" s="381"/>
      <c r="T27" s="400"/>
      <c r="U27" s="381"/>
      <c r="V27" s="381"/>
    </row>
    <row r="28" spans="1:22" s="214" customFormat="1" outlineLevel="1" x14ac:dyDescent="0.35">
      <c r="A28" s="374" t="s">
        <v>398</v>
      </c>
      <c r="B28" s="376"/>
      <c r="C28" s="376"/>
      <c r="D28" s="376"/>
      <c r="E28" s="376"/>
      <c r="F28" s="376"/>
      <c r="G28" s="376"/>
      <c r="H28" s="376"/>
      <c r="I28" s="376"/>
      <c r="J28" s="376"/>
      <c r="K28" s="376"/>
      <c r="L28" s="376"/>
      <c r="M28" s="376"/>
      <c r="N28" s="376">
        <f t="shared" ref="N28:N35" si="8">SUM(B28:M28)</f>
        <v>0</v>
      </c>
      <c r="Q28" s="381"/>
      <c r="R28" s="400"/>
      <c r="S28" s="381"/>
      <c r="T28" s="400"/>
      <c r="U28" s="381"/>
      <c r="V28" s="381"/>
    </row>
    <row r="29" spans="1:22" s="214" customFormat="1" outlineLevel="1" x14ac:dyDescent="0.35">
      <c r="A29" s="377" t="s">
        <v>289</v>
      </c>
      <c r="B29" s="378"/>
      <c r="C29" s="378"/>
      <c r="D29" s="378"/>
      <c r="E29" s="378"/>
      <c r="F29" s="378"/>
      <c r="G29" s="378"/>
      <c r="H29" s="378"/>
      <c r="I29" s="378"/>
      <c r="J29" s="378"/>
      <c r="K29" s="378"/>
      <c r="L29" s="378"/>
      <c r="M29" s="378"/>
      <c r="N29" s="378">
        <f t="shared" si="8"/>
        <v>0</v>
      </c>
      <c r="Q29" s="381"/>
      <c r="R29" s="400"/>
      <c r="S29" s="381"/>
      <c r="T29" s="400"/>
      <c r="U29" s="381"/>
      <c r="V29" s="381"/>
    </row>
    <row r="30" spans="1:22" s="214" customFormat="1" outlineLevel="1" x14ac:dyDescent="0.35">
      <c r="A30" s="377" t="s">
        <v>146</v>
      </c>
      <c r="B30" s="378">
        <f>'5. US Expenses'!D8</f>
        <v>1000</v>
      </c>
      <c r="C30" s="378">
        <f>'5. US Expenses'!E8</f>
        <v>1000</v>
      </c>
      <c r="D30" s="378">
        <f>'5. US Expenses'!F8</f>
        <v>1000</v>
      </c>
      <c r="E30" s="378">
        <f>'5. US Expenses'!G8</f>
        <v>1000</v>
      </c>
      <c r="F30" s="378">
        <f>'5. US Expenses'!H8</f>
        <v>1000</v>
      </c>
      <c r="G30" s="378">
        <f>'5. US Expenses'!I8</f>
        <v>1000</v>
      </c>
      <c r="H30" s="378">
        <f>'5. US Expenses'!J8</f>
        <v>1000</v>
      </c>
      <c r="I30" s="378">
        <f>'5. US Expenses'!K8</f>
        <v>1000</v>
      </c>
      <c r="J30" s="378">
        <f>'5. US Expenses'!L8</f>
        <v>1000</v>
      </c>
      <c r="K30" s="378">
        <f>'5. US Expenses'!M8</f>
        <v>1000</v>
      </c>
      <c r="L30" s="378">
        <f>'5. US Expenses'!N8</f>
        <v>1000</v>
      </c>
      <c r="M30" s="378">
        <f>'5. US Expenses'!O8</f>
        <v>1000</v>
      </c>
      <c r="N30" s="378">
        <f t="shared" si="8"/>
        <v>12000</v>
      </c>
      <c r="O30" s="672"/>
      <c r="Q30" s="381"/>
      <c r="R30" s="400"/>
      <c r="S30" s="381"/>
      <c r="T30" s="400"/>
      <c r="U30" s="381"/>
      <c r="V30" s="381"/>
    </row>
    <row r="31" spans="1:22" s="214" customFormat="1" outlineLevel="1" x14ac:dyDescent="0.35">
      <c r="A31" s="377" t="s">
        <v>406</v>
      </c>
      <c r="B31" s="378">
        <f>'5. US Expenses'!D24</f>
        <v>1472.83</v>
      </c>
      <c r="C31" s="378">
        <f>'5. US Expenses'!E24</f>
        <v>1472.83</v>
      </c>
      <c r="D31" s="378">
        <f>'5. US Expenses'!F24</f>
        <v>1378.83</v>
      </c>
      <c r="E31" s="378">
        <f>'5. US Expenses'!G24</f>
        <v>1378.83</v>
      </c>
      <c r="F31" s="378">
        <f>'5. US Expenses'!H24</f>
        <v>1330.83</v>
      </c>
      <c r="G31" s="378">
        <f>'5. US Expenses'!I24</f>
        <v>1330.83</v>
      </c>
      <c r="H31" s="378">
        <f>'5. US Expenses'!J24</f>
        <v>1330.83</v>
      </c>
      <c r="I31" s="378">
        <f>'5. US Expenses'!K24</f>
        <v>1330.83</v>
      </c>
      <c r="J31" s="378">
        <f>'5. US Expenses'!L24</f>
        <v>1543.0899999999997</v>
      </c>
      <c r="K31" s="378">
        <f>'5. US Expenses'!M24</f>
        <v>1330.83</v>
      </c>
      <c r="L31" s="378">
        <f>'5. US Expenses'!N24</f>
        <v>1330.83</v>
      </c>
      <c r="M31" s="378">
        <f>'5. US Expenses'!O24</f>
        <v>1330.83</v>
      </c>
      <c r="N31" s="378">
        <f t="shared" si="8"/>
        <v>16562.22</v>
      </c>
      <c r="O31" s="672"/>
      <c r="Q31" s="381"/>
      <c r="R31" s="400"/>
      <c r="S31" s="381"/>
      <c r="T31" s="400"/>
      <c r="U31" s="381"/>
      <c r="V31" s="381"/>
    </row>
    <row r="32" spans="1:22" s="214" customFormat="1" outlineLevel="1" x14ac:dyDescent="0.35">
      <c r="A32" s="377" t="s">
        <v>399</v>
      </c>
      <c r="B32" s="378"/>
      <c r="C32" s="378"/>
      <c r="D32" s="378"/>
      <c r="E32" s="378"/>
      <c r="F32" s="378"/>
      <c r="G32" s="378"/>
      <c r="H32" s="378"/>
      <c r="I32" s="378"/>
      <c r="J32" s="378"/>
      <c r="K32" s="378"/>
      <c r="L32" s="378"/>
      <c r="M32" s="378"/>
      <c r="N32" s="378">
        <f t="shared" si="8"/>
        <v>0</v>
      </c>
      <c r="O32" s="672"/>
      <c r="Q32" s="381"/>
      <c r="R32" s="400"/>
      <c r="S32" s="381"/>
      <c r="T32" s="400"/>
      <c r="U32" s="381"/>
      <c r="V32" s="381"/>
    </row>
    <row r="33" spans="1:26" s="214" customFormat="1" outlineLevel="1" x14ac:dyDescent="0.35">
      <c r="A33" s="377" t="s">
        <v>400</v>
      </c>
      <c r="B33" s="440">
        <f>'5. US Expenses'!D39</f>
        <v>20175.43</v>
      </c>
      <c r="C33" s="440">
        <f>'5. US Expenses'!E39</f>
        <v>20175.43</v>
      </c>
      <c r="D33" s="440">
        <f>'5. US Expenses'!F39</f>
        <v>8175.4299999999994</v>
      </c>
      <c r="E33" s="440">
        <f>'5. US Expenses'!G39</f>
        <v>8175.4299999999994</v>
      </c>
      <c r="F33" s="440">
        <f>'5. US Expenses'!H39</f>
        <v>8175.4299999999994</v>
      </c>
      <c r="G33" s="440">
        <f>'5. US Expenses'!I39</f>
        <v>8175.4299999999994</v>
      </c>
      <c r="H33" s="440">
        <f>'5. US Expenses'!J39</f>
        <v>6064.4299999999994</v>
      </c>
      <c r="I33" s="440">
        <f>'5. US Expenses'!K39</f>
        <v>6064.4299999999994</v>
      </c>
      <c r="J33" s="440">
        <f>'5. US Expenses'!L39</f>
        <v>6064.4299999999994</v>
      </c>
      <c r="K33" s="440">
        <f>'5. US Expenses'!M39</f>
        <v>6064.4299999999994</v>
      </c>
      <c r="L33" s="440">
        <f>'5. US Expenses'!N39</f>
        <v>6064.4299999999994</v>
      </c>
      <c r="M33" s="440">
        <f>'5. US Expenses'!O39</f>
        <v>6064.4299999999994</v>
      </c>
      <c r="N33" s="378">
        <f t="shared" si="8"/>
        <v>109439.15999999996</v>
      </c>
      <c r="O33" s="672"/>
      <c r="Q33" s="381"/>
      <c r="R33" s="400"/>
      <c r="S33" s="381"/>
      <c r="T33" s="400"/>
      <c r="U33" s="381"/>
      <c r="V33" s="381"/>
    </row>
    <row r="34" spans="1:26" s="214" customFormat="1" outlineLevel="1" x14ac:dyDescent="0.35">
      <c r="A34" s="374" t="s">
        <v>401</v>
      </c>
      <c r="B34" s="379">
        <f>SUM(B29:B33)</f>
        <v>22648.260000000002</v>
      </c>
      <c r="C34" s="379">
        <f t="shared" ref="C34:N34" si="9">SUM(C29:C33)</f>
        <v>22648.260000000002</v>
      </c>
      <c r="D34" s="379">
        <f t="shared" si="9"/>
        <v>10554.259999999998</v>
      </c>
      <c r="E34" s="379">
        <f t="shared" si="9"/>
        <v>10554.259999999998</v>
      </c>
      <c r="F34" s="379">
        <f t="shared" si="9"/>
        <v>10506.259999999998</v>
      </c>
      <c r="G34" s="379">
        <f t="shared" si="9"/>
        <v>10506.259999999998</v>
      </c>
      <c r="H34" s="379">
        <f t="shared" si="9"/>
        <v>8395.2599999999984</v>
      </c>
      <c r="I34" s="379">
        <f t="shared" si="9"/>
        <v>8395.2599999999984</v>
      </c>
      <c r="J34" s="379">
        <f t="shared" si="9"/>
        <v>8607.5199999999986</v>
      </c>
      <c r="K34" s="379">
        <f t="shared" si="9"/>
        <v>8395.2599999999984</v>
      </c>
      <c r="L34" s="379">
        <f t="shared" si="9"/>
        <v>8395.2599999999984</v>
      </c>
      <c r="M34" s="379">
        <f t="shared" si="9"/>
        <v>8395.2599999999984</v>
      </c>
      <c r="N34" s="379">
        <f t="shared" si="9"/>
        <v>138001.37999999995</v>
      </c>
      <c r="Q34" s="381"/>
      <c r="R34" s="400"/>
      <c r="S34" s="381"/>
      <c r="T34" s="400"/>
      <c r="U34" s="381"/>
      <c r="V34" s="381"/>
    </row>
    <row r="35" spans="1:26" s="206" customFormat="1" outlineLevel="1" x14ac:dyDescent="0.35">
      <c r="A35" s="374" t="s">
        <v>325</v>
      </c>
      <c r="B35" s="379">
        <f>B28-B34</f>
        <v>-22648.260000000002</v>
      </c>
      <c r="C35" s="379">
        <f t="shared" ref="C35:M35" si="10">C28-C34</f>
        <v>-22648.260000000002</v>
      </c>
      <c r="D35" s="379">
        <f t="shared" si="10"/>
        <v>-10554.259999999998</v>
      </c>
      <c r="E35" s="379">
        <f t="shared" si="10"/>
        <v>-10554.259999999998</v>
      </c>
      <c r="F35" s="379">
        <f t="shared" si="10"/>
        <v>-10506.259999999998</v>
      </c>
      <c r="G35" s="379">
        <f t="shared" si="10"/>
        <v>-10506.259999999998</v>
      </c>
      <c r="H35" s="379">
        <f t="shared" si="10"/>
        <v>-8395.2599999999984</v>
      </c>
      <c r="I35" s="379">
        <f t="shared" si="10"/>
        <v>-8395.2599999999984</v>
      </c>
      <c r="J35" s="379">
        <f t="shared" si="10"/>
        <v>-8607.5199999999986</v>
      </c>
      <c r="K35" s="379">
        <f t="shared" si="10"/>
        <v>-8395.2599999999984</v>
      </c>
      <c r="L35" s="379">
        <f t="shared" si="10"/>
        <v>-8395.2599999999984</v>
      </c>
      <c r="M35" s="379">
        <f t="shared" si="10"/>
        <v>-8395.2599999999984</v>
      </c>
      <c r="N35" s="379">
        <f t="shared" si="8"/>
        <v>-138001.37999999998</v>
      </c>
      <c r="Q35" s="380"/>
      <c r="R35" s="399"/>
      <c r="S35" s="380"/>
      <c r="T35" s="399"/>
      <c r="U35" s="380"/>
      <c r="V35" s="380"/>
    </row>
    <row r="36" spans="1:26" s="206" customFormat="1" outlineLevel="1" x14ac:dyDescent="0.35">
      <c r="A36" s="383" t="s">
        <v>402</v>
      </c>
      <c r="B36" s="381">
        <f t="shared" ref="B36:N36" si="11">IFERROR(B35/B28,0)</f>
        <v>0</v>
      </c>
      <c r="C36" s="381">
        <f t="shared" si="11"/>
        <v>0</v>
      </c>
      <c r="D36" s="381">
        <f t="shared" si="11"/>
        <v>0</v>
      </c>
      <c r="E36" s="381">
        <f t="shared" si="11"/>
        <v>0</v>
      </c>
      <c r="F36" s="381">
        <f t="shared" si="11"/>
        <v>0</v>
      </c>
      <c r="G36" s="381">
        <f t="shared" si="11"/>
        <v>0</v>
      </c>
      <c r="H36" s="381">
        <f t="shared" si="11"/>
        <v>0</v>
      </c>
      <c r="I36" s="381">
        <f t="shared" si="11"/>
        <v>0</v>
      </c>
      <c r="J36" s="381">
        <f t="shared" si="11"/>
        <v>0</v>
      </c>
      <c r="K36" s="381">
        <f t="shared" si="11"/>
        <v>0</v>
      </c>
      <c r="L36" s="381">
        <f t="shared" si="11"/>
        <v>0</v>
      </c>
      <c r="M36" s="381">
        <f t="shared" si="11"/>
        <v>0</v>
      </c>
      <c r="N36" s="381">
        <f t="shared" si="11"/>
        <v>0</v>
      </c>
      <c r="Q36" s="380"/>
      <c r="R36" s="399"/>
      <c r="S36" s="380"/>
      <c r="T36" s="399"/>
      <c r="U36" s="380"/>
      <c r="V36" s="380"/>
    </row>
    <row r="37" spans="1:26" s="206" customFormat="1" outlineLevel="1" x14ac:dyDescent="0.35">
      <c r="A37" s="383"/>
      <c r="B37" s="381"/>
      <c r="C37" s="381"/>
      <c r="D37" s="381"/>
      <c r="E37" s="381"/>
      <c r="F37" s="381"/>
      <c r="G37" s="381"/>
      <c r="H37" s="381"/>
      <c r="I37" s="381"/>
      <c r="J37" s="381"/>
      <c r="K37" s="381"/>
      <c r="L37" s="381"/>
      <c r="M37" s="381"/>
      <c r="N37" s="381"/>
      <c r="Q37" s="380"/>
      <c r="R37" s="399"/>
      <c r="S37" s="380"/>
      <c r="T37" s="399"/>
      <c r="U37" s="380"/>
      <c r="V37" s="380"/>
    </row>
    <row r="38" spans="1:26" s="201" customFormat="1" x14ac:dyDescent="0.35">
      <c r="A38" s="374" t="s">
        <v>398</v>
      </c>
      <c r="B38" s="376">
        <f t="shared" ref="B38:M38" si="12">B17+B6</f>
        <v>225414.12</v>
      </c>
      <c r="C38" s="376">
        <f t="shared" si="12"/>
        <v>238765.5</v>
      </c>
      <c r="D38" s="376">
        <f t="shared" si="12"/>
        <v>239597.86</v>
      </c>
      <c r="E38" s="376">
        <f t="shared" si="12"/>
        <v>203603.86</v>
      </c>
      <c r="F38" s="376">
        <f t="shared" si="12"/>
        <v>212815.5</v>
      </c>
      <c r="G38" s="376">
        <f t="shared" si="12"/>
        <v>215403.86</v>
      </c>
      <c r="H38" s="376">
        <f t="shared" si="12"/>
        <v>215753.86</v>
      </c>
      <c r="I38" s="376">
        <f t="shared" si="12"/>
        <v>246487.7</v>
      </c>
      <c r="J38" s="376">
        <f t="shared" si="12"/>
        <v>250487.7</v>
      </c>
      <c r="K38" s="376">
        <f t="shared" si="12"/>
        <v>252153.86</v>
      </c>
      <c r="L38" s="376">
        <f t="shared" si="12"/>
        <v>253119.5</v>
      </c>
      <c r="M38" s="376">
        <f t="shared" si="12"/>
        <v>256153.86</v>
      </c>
      <c r="N38" s="376">
        <f t="shared" ref="N38:N45" si="13">SUM(B38:M38)</f>
        <v>2809757.1799999992</v>
      </c>
      <c r="O38" s="213"/>
      <c r="P38" s="213"/>
      <c r="Q38" s="376">
        <f>'3. P&amp;L Summary Actual'!N28</f>
        <v>2116756.58</v>
      </c>
      <c r="R38" s="376"/>
      <c r="S38" s="376">
        <v>5002886.1007460011</v>
      </c>
      <c r="T38" s="376"/>
      <c r="U38" s="376"/>
      <c r="V38" s="376"/>
    </row>
    <row r="39" spans="1:26" x14ac:dyDescent="0.35">
      <c r="A39" s="377" t="s">
        <v>289</v>
      </c>
      <c r="B39" s="378">
        <f>B18+B7+B29</f>
        <v>91928.458013861746</v>
      </c>
      <c r="C39" s="378">
        <f t="shared" ref="C39:M40" si="14">C18+C7+C29</f>
        <v>97362.870685229194</v>
      </c>
      <c r="D39" s="378">
        <f t="shared" si="14"/>
        <v>89327.429272579247</v>
      </c>
      <c r="E39" s="378">
        <f t="shared" si="14"/>
        <v>89327.429272579247</v>
      </c>
      <c r="F39" s="378">
        <f t="shared" si="14"/>
        <v>97728.814532748802</v>
      </c>
      <c r="G39" s="378">
        <f t="shared" si="14"/>
        <v>94478.814532748802</v>
      </c>
      <c r="H39" s="378">
        <f t="shared" si="14"/>
        <v>96842.738935121059</v>
      </c>
      <c r="I39" s="378">
        <f t="shared" si="14"/>
        <v>113764.49778210244</v>
      </c>
      <c r="J39" s="378">
        <f t="shared" si="14"/>
        <v>116742.38588342415</v>
      </c>
      <c r="K39" s="378">
        <f t="shared" si="14"/>
        <v>121562.16508159427</v>
      </c>
      <c r="L39" s="378">
        <f t="shared" si="14"/>
        <v>123926.08948396657</v>
      </c>
      <c r="M39" s="378">
        <f t="shared" si="14"/>
        <v>127517.94128423775</v>
      </c>
      <c r="N39" s="378">
        <f t="shared" si="13"/>
        <v>1260509.6347601933</v>
      </c>
      <c r="O39" s="385">
        <f>N39/$N$38</f>
        <v>0.44861870759956335</v>
      </c>
      <c r="P39" s="385"/>
      <c r="Q39" s="378">
        <f>'3. P&amp;L Summary Actual'!N29</f>
        <v>836770.97867469885</v>
      </c>
      <c r="R39" s="401">
        <f>Q39/$Q$38</f>
        <v>0.39530807962562176</v>
      </c>
      <c r="S39" s="378">
        <v>1758103.5668774263</v>
      </c>
      <c r="T39" s="401">
        <f>S39/$S$38</f>
        <v>0.35141786790134361</v>
      </c>
      <c r="U39" s="378"/>
      <c r="V39" s="378"/>
      <c r="W39" s="670"/>
      <c r="X39" s="670"/>
      <c r="Y39" s="670"/>
      <c r="Z39" s="670"/>
    </row>
    <row r="40" spans="1:26" x14ac:dyDescent="0.35">
      <c r="A40" s="377" t="s">
        <v>146</v>
      </c>
      <c r="B40" s="378">
        <f>B19+B8+B30</f>
        <v>16550.932068965514</v>
      </c>
      <c r="C40" s="378">
        <f t="shared" si="14"/>
        <v>16550.932068965514</v>
      </c>
      <c r="D40" s="378">
        <f t="shared" si="14"/>
        <v>16550.932068965514</v>
      </c>
      <c r="E40" s="378">
        <f t="shared" si="14"/>
        <v>16550.932068965514</v>
      </c>
      <c r="F40" s="378">
        <f t="shared" si="14"/>
        <v>16550.932068965514</v>
      </c>
      <c r="G40" s="378">
        <f t="shared" si="14"/>
        <v>16550.932068965514</v>
      </c>
      <c r="H40" s="378">
        <f t="shared" si="14"/>
        <v>21211.518275862069</v>
      </c>
      <c r="I40" s="378">
        <f t="shared" si="14"/>
        <v>21211.518275862069</v>
      </c>
      <c r="J40" s="378">
        <f t="shared" si="14"/>
        <v>21211.518275862069</v>
      </c>
      <c r="K40" s="378">
        <f t="shared" si="14"/>
        <v>21211.518275862069</v>
      </c>
      <c r="L40" s="378">
        <f t="shared" si="14"/>
        <v>21211.518275862069</v>
      </c>
      <c r="M40" s="378">
        <f t="shared" si="14"/>
        <v>21211.518275862069</v>
      </c>
      <c r="N40" s="378">
        <f t="shared" si="13"/>
        <v>226574.70206896547</v>
      </c>
      <c r="O40" s="385">
        <f t="shared" ref="O40:O43" si="15">N40/$N$38</f>
        <v>8.0638534775081719E-2</v>
      </c>
      <c r="P40" s="385"/>
      <c r="Q40" s="378">
        <f>'3. P&amp;L Summary Actual'!N30</f>
        <v>109080.05204819277</v>
      </c>
      <c r="R40" s="401">
        <f t="shared" ref="R40:R43" si="16">Q40/$Q$38</f>
        <v>5.153169385598072E-2</v>
      </c>
      <c r="S40" s="378">
        <v>126494.10481833633</v>
      </c>
      <c r="T40" s="401">
        <f t="shared" ref="T40:T43" si="17">S40/$S$38</f>
        <v>2.5284226398732977E-2</v>
      </c>
      <c r="U40" s="378"/>
      <c r="V40" s="378"/>
      <c r="W40" s="670"/>
      <c r="X40" s="670"/>
      <c r="Y40" s="670"/>
      <c r="Z40" s="670" t="s">
        <v>407</v>
      </c>
    </row>
    <row r="41" spans="1:26" x14ac:dyDescent="0.35">
      <c r="A41" s="377" t="s">
        <v>147</v>
      </c>
      <c r="B41" s="378">
        <f t="shared" ref="B41:M41" si="18">B20+B9+B31</f>
        <v>6275.717315544387</v>
      </c>
      <c r="C41" s="378">
        <f t="shared" si="18"/>
        <v>6302.8780520105884</v>
      </c>
      <c r="D41" s="378">
        <f t="shared" si="18"/>
        <v>4342.225558294771</v>
      </c>
      <c r="E41" s="378">
        <f t="shared" si="18"/>
        <v>4342.225558294771</v>
      </c>
      <c r="F41" s="378">
        <f t="shared" si="18"/>
        <v>4315.1550840739801</v>
      </c>
      <c r="G41" s="378">
        <f t="shared" si="18"/>
        <v>4577.0746243038648</v>
      </c>
      <c r="H41" s="378">
        <f t="shared" si="18"/>
        <v>4330.1047453448446</v>
      </c>
      <c r="I41" s="378">
        <f t="shared" si="18"/>
        <v>4413.822848461683</v>
      </c>
      <c r="J41" s="378">
        <f t="shared" si="18"/>
        <v>4641.0325097325458</v>
      </c>
      <c r="K41" s="378">
        <f t="shared" si="18"/>
        <v>4443.72217100341</v>
      </c>
      <c r="L41" s="378">
        <f t="shared" si="18"/>
        <v>4458.6718322742745</v>
      </c>
      <c r="M41" s="378">
        <f t="shared" si="18"/>
        <v>4473.6214935451389</v>
      </c>
      <c r="N41" s="378">
        <f t="shared" si="13"/>
        <v>56916.251792884257</v>
      </c>
      <c r="O41" s="385">
        <f t="shared" si="15"/>
        <v>2.0256644310055388E-2</v>
      </c>
      <c r="P41" s="385"/>
      <c r="Q41" s="378">
        <f>'3. P&amp;L Summary Actual'!N31</f>
        <v>38074.979397590367</v>
      </c>
      <c r="R41" s="401">
        <f t="shared" si="16"/>
        <v>1.7987415160221381E-2</v>
      </c>
      <c r="S41" s="378">
        <v>36797.56415114375</v>
      </c>
      <c r="T41" s="401">
        <f t="shared" si="17"/>
        <v>7.3552672217855834E-3</v>
      </c>
      <c r="U41" s="378"/>
      <c r="V41" s="378"/>
      <c r="W41" s="670"/>
      <c r="X41" s="670"/>
      <c r="Y41" s="670"/>
      <c r="Z41" s="670"/>
    </row>
    <row r="42" spans="1:26" x14ac:dyDescent="0.35">
      <c r="A42" s="377" t="s">
        <v>399</v>
      </c>
      <c r="B42" s="378">
        <f t="shared" ref="B42:M42" si="19">B21+B10+B32</f>
        <v>2361.0725927798021</v>
      </c>
      <c r="C42" s="378">
        <f t="shared" si="19"/>
        <v>2419.896122191567</v>
      </c>
      <c r="D42" s="378">
        <f t="shared" si="19"/>
        <v>2250.5925386892004</v>
      </c>
      <c r="E42" s="378">
        <f t="shared" si="19"/>
        <v>2250.5925386892004</v>
      </c>
      <c r="F42" s="378">
        <f t="shared" si="19"/>
        <v>2379.7338503862929</v>
      </c>
      <c r="G42" s="378">
        <f t="shared" si="19"/>
        <v>2379.7338503862929</v>
      </c>
      <c r="H42" s="378">
        <f t="shared" si="19"/>
        <v>2447.3471025837239</v>
      </c>
      <c r="I42" s="378">
        <f t="shared" si="19"/>
        <v>2894.9468321307149</v>
      </c>
      <c r="J42" s="378">
        <f t="shared" si="19"/>
        <v>2974.0543372017091</v>
      </c>
      <c r="K42" s="378">
        <f t="shared" si="19"/>
        <v>3087.6446008933926</v>
      </c>
      <c r="L42" s="378">
        <f t="shared" si="19"/>
        <v>3155.2578530908231</v>
      </c>
      <c r="M42" s="378">
        <f t="shared" si="19"/>
        <v>3245.8596110353801</v>
      </c>
      <c r="N42" s="378">
        <f t="shared" si="13"/>
        <v>31846.731830058099</v>
      </c>
      <c r="O42" s="385">
        <f t="shared" si="15"/>
        <v>1.1334335954987437E-2</v>
      </c>
      <c r="P42" s="385"/>
      <c r="Q42" s="378">
        <f>'3. P&amp;L Summary Actual'!N32</f>
        <v>29439.337349397592</v>
      </c>
      <c r="R42" s="401">
        <f t="shared" si="16"/>
        <v>1.3907757570026116E-2</v>
      </c>
      <c r="S42" s="378">
        <v>101119.21435742971</v>
      </c>
      <c r="T42" s="401">
        <f t="shared" si="17"/>
        <v>2.021217599624173E-2</v>
      </c>
      <c r="U42" s="378"/>
      <c r="V42" s="378"/>
      <c r="W42" s="670"/>
      <c r="X42" s="670"/>
      <c r="Y42" s="670"/>
      <c r="Z42" s="670"/>
    </row>
    <row r="43" spans="1:26" x14ac:dyDescent="0.35">
      <c r="A43" s="377" t="s">
        <v>400</v>
      </c>
      <c r="B43" s="378">
        <f t="shared" ref="B43:M43" si="20">B22+B11+B33</f>
        <v>25934.651567105324</v>
      </c>
      <c r="C43" s="378">
        <f t="shared" si="20"/>
        <v>25934.651567105324</v>
      </c>
      <c r="D43" s="378">
        <f t="shared" si="20"/>
        <v>13934.651567105324</v>
      </c>
      <c r="E43" s="378">
        <f t="shared" si="20"/>
        <v>13934.651567105324</v>
      </c>
      <c r="F43" s="378">
        <f t="shared" si="20"/>
        <v>13934.651567105324</v>
      </c>
      <c r="G43" s="378">
        <f t="shared" si="20"/>
        <v>13934.651567105324</v>
      </c>
      <c r="H43" s="378">
        <f t="shared" si="20"/>
        <v>11823.651567105324</v>
      </c>
      <c r="I43" s="378">
        <f t="shared" si="20"/>
        <v>11823.651567105324</v>
      </c>
      <c r="J43" s="378">
        <f t="shared" si="20"/>
        <v>11823.651567105324</v>
      </c>
      <c r="K43" s="378">
        <f t="shared" si="20"/>
        <v>11823.651567105324</v>
      </c>
      <c r="L43" s="378">
        <f t="shared" si="20"/>
        <v>11823.651567105324</v>
      </c>
      <c r="M43" s="378">
        <f t="shared" si="20"/>
        <v>11823.651567105324</v>
      </c>
      <c r="N43" s="378">
        <f t="shared" si="13"/>
        <v>178549.81880526387</v>
      </c>
      <c r="O43" s="385">
        <f t="shared" si="15"/>
        <v>6.3546352003721523E-2</v>
      </c>
      <c r="P43" s="385"/>
      <c r="Q43" s="378">
        <f>'3. P&amp;L Summary Actual'!N33</f>
        <v>193079.67481927713</v>
      </c>
      <c r="R43" s="401">
        <f t="shared" si="16"/>
        <v>9.1214869316375111E-2</v>
      </c>
      <c r="S43" s="378">
        <v>5874.4780561093294</v>
      </c>
      <c r="T43" s="401">
        <f t="shared" si="17"/>
        <v>1.1742178290313988E-3</v>
      </c>
      <c r="U43" s="378"/>
      <c r="V43" s="378"/>
      <c r="W43" s="670"/>
      <c r="X43" s="670"/>
      <c r="Y43" s="670"/>
      <c r="Z43" s="670"/>
    </row>
    <row r="44" spans="1:26" s="206" customFormat="1" x14ac:dyDescent="0.35">
      <c r="A44" s="374" t="s">
        <v>401</v>
      </c>
      <c r="B44" s="379">
        <f t="shared" ref="B44:N44" si="21">SUM(B39:B43)</f>
        <v>143050.83155825679</v>
      </c>
      <c r="C44" s="379">
        <f t="shared" si="21"/>
        <v>148571.2284955022</v>
      </c>
      <c r="D44" s="379">
        <f t="shared" si="21"/>
        <v>126405.83100563406</v>
      </c>
      <c r="E44" s="379">
        <f t="shared" si="21"/>
        <v>126405.83100563406</v>
      </c>
      <c r="F44" s="379">
        <f t="shared" si="21"/>
        <v>134909.28710327993</v>
      </c>
      <c r="G44" s="379">
        <f t="shared" si="21"/>
        <v>131921.20664350979</v>
      </c>
      <c r="H44" s="379">
        <f t="shared" si="21"/>
        <v>136655.36062601701</v>
      </c>
      <c r="I44" s="379">
        <f t="shared" si="21"/>
        <v>154108.43730566223</v>
      </c>
      <c r="J44" s="379">
        <f t="shared" si="21"/>
        <v>157392.64257332581</v>
      </c>
      <c r="K44" s="379">
        <f t="shared" si="21"/>
        <v>162128.70169645848</v>
      </c>
      <c r="L44" s="379">
        <f t="shared" si="21"/>
        <v>164575.18901229906</v>
      </c>
      <c r="M44" s="379">
        <f t="shared" si="21"/>
        <v>168272.59223178565</v>
      </c>
      <c r="N44" s="379">
        <f t="shared" si="21"/>
        <v>1754397.1392573649</v>
      </c>
      <c r="Q44" s="379">
        <f>'3. P&amp;L Summary Actual'!N34</f>
        <v>1206445.0222891569</v>
      </c>
      <c r="R44" s="398"/>
      <c r="S44" s="379">
        <v>2028388.9282604454</v>
      </c>
      <c r="T44" s="398"/>
      <c r="U44" s="379"/>
      <c r="V44" s="379"/>
    </row>
    <row r="45" spans="1:26" s="206" customFormat="1" x14ac:dyDescent="0.35">
      <c r="A45" s="374" t="s">
        <v>325</v>
      </c>
      <c r="B45" s="379">
        <f t="shared" ref="B45:M45" si="22">B38-B44</f>
        <v>82363.288441743207</v>
      </c>
      <c r="C45" s="379">
        <f t="shared" si="22"/>
        <v>90194.271504497796</v>
      </c>
      <c r="D45" s="379">
        <f t="shared" si="22"/>
        <v>113192.02899436593</v>
      </c>
      <c r="E45" s="379">
        <f t="shared" si="22"/>
        <v>77198.02899436593</v>
      </c>
      <c r="F45" s="379">
        <f t="shared" si="22"/>
        <v>77906.21289672007</v>
      </c>
      <c r="G45" s="379">
        <f t="shared" si="22"/>
        <v>83482.653356490191</v>
      </c>
      <c r="H45" s="379">
        <f t="shared" si="22"/>
        <v>79098.499373982981</v>
      </c>
      <c r="I45" s="379">
        <f t="shared" si="22"/>
        <v>92379.262694337784</v>
      </c>
      <c r="J45" s="379">
        <f t="shared" si="22"/>
        <v>93095.057426674204</v>
      </c>
      <c r="K45" s="379">
        <f t="shared" si="22"/>
        <v>90025.15830354151</v>
      </c>
      <c r="L45" s="379">
        <f t="shared" si="22"/>
        <v>88544.310987700941</v>
      </c>
      <c r="M45" s="379">
        <f t="shared" si="22"/>
        <v>87881.26776821434</v>
      </c>
      <c r="N45" s="379">
        <f t="shared" si="13"/>
        <v>1055360.0407426348</v>
      </c>
      <c r="Q45" s="379">
        <f>'3. P&amp;L Summary Actual'!N35</f>
        <v>910311.55771084316</v>
      </c>
      <c r="R45" s="398"/>
      <c r="S45" s="379">
        <v>2974497.1724855546</v>
      </c>
      <c r="T45" s="398"/>
      <c r="U45" s="379"/>
      <c r="V45" s="379"/>
    </row>
    <row r="46" spans="1:26" s="214" customFormat="1" x14ac:dyDescent="0.35">
      <c r="A46" s="383" t="s">
        <v>402</v>
      </c>
      <c r="B46" s="381">
        <f t="shared" ref="B46:N46" si="23">B45/B38</f>
        <v>0.36538655360961064</v>
      </c>
      <c r="C46" s="381">
        <f t="shared" si="23"/>
        <v>0.37775252917401297</v>
      </c>
      <c r="D46" s="381">
        <f t="shared" si="23"/>
        <v>0.47242504166926175</v>
      </c>
      <c r="E46" s="381">
        <f t="shared" si="23"/>
        <v>0.37915798351939856</v>
      </c>
      <c r="F46" s="381">
        <f t="shared" si="23"/>
        <v>0.3660739602929301</v>
      </c>
      <c r="G46" s="381">
        <f t="shared" si="23"/>
        <v>0.38756340465064182</v>
      </c>
      <c r="H46" s="381">
        <f t="shared" si="23"/>
        <v>0.36661452719308468</v>
      </c>
      <c r="I46" s="381">
        <f t="shared" si="23"/>
        <v>0.37478244429372248</v>
      </c>
      <c r="J46" s="381">
        <f t="shared" si="23"/>
        <v>0.37165520473330305</v>
      </c>
      <c r="K46" s="381">
        <f t="shared" si="23"/>
        <v>0.35702470826162058</v>
      </c>
      <c r="L46" s="381">
        <f t="shared" si="23"/>
        <v>0.34981228624306282</v>
      </c>
      <c r="M46" s="381">
        <f t="shared" si="23"/>
        <v>0.34308000577549114</v>
      </c>
      <c r="N46" s="381">
        <f t="shared" si="23"/>
        <v>0.37560542535659081</v>
      </c>
      <c r="Q46" s="381">
        <f>'3. P&amp;L Summary Actual'!N36</f>
        <v>0.43005018447177479</v>
      </c>
      <c r="R46" s="400"/>
      <c r="S46" s="381">
        <v>0.5945562446528645</v>
      </c>
      <c r="T46" s="400"/>
      <c r="U46" s="381"/>
      <c r="V46" s="381"/>
    </row>
    <row r="47" spans="1:26" s="206" customFormat="1" outlineLevel="1" x14ac:dyDescent="0.35">
      <c r="A47" s="374"/>
      <c r="B47" s="380"/>
      <c r="C47" s="380"/>
      <c r="D47" s="380"/>
      <c r="E47" s="380"/>
      <c r="F47" s="380"/>
      <c r="G47" s="380"/>
      <c r="H47" s="380"/>
      <c r="I47" s="380"/>
      <c r="J47" s="380"/>
      <c r="K47" s="380"/>
      <c r="L47" s="380"/>
      <c r="M47" s="380"/>
      <c r="N47" s="380"/>
      <c r="Q47" s="380"/>
      <c r="R47" s="399"/>
      <c r="S47" s="380"/>
      <c r="T47" s="399"/>
      <c r="U47" s="380"/>
      <c r="V47" s="380"/>
    </row>
    <row r="48" spans="1:26" s="206" customFormat="1" outlineLevel="1" x14ac:dyDescent="0.35">
      <c r="A48" s="374" t="s">
        <v>408</v>
      </c>
      <c r="B48" s="380"/>
      <c r="C48" s="380"/>
      <c r="D48" s="380"/>
      <c r="E48" s="380"/>
      <c r="F48" s="380"/>
      <c r="G48" s="380"/>
      <c r="H48" s="380"/>
      <c r="I48" s="380"/>
      <c r="J48" s="380"/>
      <c r="K48" s="380"/>
      <c r="L48" s="380"/>
      <c r="M48" s="380"/>
      <c r="N48" s="380"/>
      <c r="Q48" s="380"/>
      <c r="R48" s="399"/>
      <c r="S48" s="380"/>
      <c r="T48" s="399"/>
      <c r="U48" s="380"/>
      <c r="V48" s="380"/>
    </row>
    <row r="49" spans="1:22" s="206" customFormat="1" outlineLevel="1" x14ac:dyDescent="0.35">
      <c r="A49" s="374" t="s">
        <v>177</v>
      </c>
      <c r="B49" s="380"/>
      <c r="C49" s="380"/>
      <c r="D49" s="380"/>
      <c r="E49" s="380"/>
      <c r="F49" s="380"/>
      <c r="G49" s="380"/>
      <c r="H49" s="380"/>
      <c r="I49" s="380"/>
      <c r="J49" s="380"/>
      <c r="K49" s="380"/>
      <c r="L49" s="380"/>
      <c r="M49" s="380"/>
      <c r="N49" s="380"/>
      <c r="Q49" s="380"/>
      <c r="R49" s="399"/>
      <c r="S49" s="380"/>
      <c r="T49" s="399"/>
      <c r="U49" s="380"/>
      <c r="V49" s="380"/>
    </row>
    <row r="50" spans="1:22" s="206" customFormat="1" outlineLevel="1" x14ac:dyDescent="0.35">
      <c r="A50" s="374" t="s">
        <v>409</v>
      </c>
      <c r="B50" s="380"/>
      <c r="C50" s="380"/>
      <c r="D50" s="380"/>
      <c r="E50" s="380"/>
      <c r="F50" s="380"/>
      <c r="G50" s="380"/>
      <c r="H50" s="380"/>
      <c r="I50" s="380"/>
      <c r="J50" s="380"/>
      <c r="K50" s="380"/>
      <c r="L50" s="380"/>
      <c r="M50" s="380"/>
      <c r="N50" s="380"/>
      <c r="Q50" s="380"/>
      <c r="R50" s="399"/>
      <c r="S50" s="380"/>
      <c r="T50" s="399"/>
      <c r="U50" s="380"/>
      <c r="V50" s="380"/>
    </row>
    <row r="51" spans="1:22" outlineLevel="1" x14ac:dyDescent="0.35">
      <c r="A51" s="377" t="s">
        <v>289</v>
      </c>
      <c r="B51" s="378">
        <f>'India Expenses - Detailed'!E238+'India Expenses - Detailed'!E239</f>
        <v>3620</v>
      </c>
      <c r="C51" s="378">
        <f>'India Expenses - Detailed'!F238+'India Expenses - Detailed'!F239</f>
        <v>3620</v>
      </c>
      <c r="D51" s="378">
        <f>'India Expenses - Detailed'!G238+'India Expenses - Detailed'!G239</f>
        <v>1620</v>
      </c>
      <c r="E51" s="378">
        <f>'India Expenses - Detailed'!H238+'India Expenses - Detailed'!H239</f>
        <v>1620</v>
      </c>
      <c r="F51" s="378">
        <f>'India Expenses - Detailed'!I238+'India Expenses - Detailed'!I239</f>
        <v>1620</v>
      </c>
      <c r="G51" s="378">
        <f>'India Expenses - Detailed'!J238+'India Expenses - Detailed'!J239</f>
        <v>1620</v>
      </c>
      <c r="H51" s="378">
        <f>'India Expenses - Detailed'!K238+'India Expenses - Detailed'!K239</f>
        <v>1620</v>
      </c>
      <c r="I51" s="378">
        <f>'India Expenses - Detailed'!L238+'India Expenses - Detailed'!L239</f>
        <v>1620</v>
      </c>
      <c r="J51" s="378">
        <f>'India Expenses - Detailed'!M238+'India Expenses - Detailed'!M239</f>
        <v>1620</v>
      </c>
      <c r="K51" s="378">
        <f>'India Expenses - Detailed'!N238+'India Expenses - Detailed'!N239</f>
        <v>1620</v>
      </c>
      <c r="L51" s="378">
        <f>'India Expenses - Detailed'!O238+'India Expenses - Detailed'!O239</f>
        <v>1620</v>
      </c>
      <c r="M51" s="378">
        <f>'India Expenses - Detailed'!P238+'India Expenses - Detailed'!P239</f>
        <v>1620</v>
      </c>
      <c r="N51" s="378">
        <f>SUM(B51:M51)</f>
        <v>23440</v>
      </c>
      <c r="O51" s="385">
        <f t="shared" ref="O51:O52" si="24">N51/$N$38</f>
        <v>8.3423578972756669E-3</v>
      </c>
      <c r="P51" s="670"/>
      <c r="Q51" s="378">
        <f>'3. P&amp;L Summary Actual'!N41</f>
        <v>20525.325301204819</v>
      </c>
      <c r="R51" s="401">
        <f t="shared" ref="R51:R53" si="25">Q51/$Q$38</f>
        <v>9.6965921802897228E-3</v>
      </c>
      <c r="S51" s="378">
        <v>47832.795180722875</v>
      </c>
      <c r="T51" s="401">
        <f t="shared" ref="T51:T52" si="26">S51/$S$38</f>
        <v>9.5610402110874217E-3</v>
      </c>
      <c r="U51" s="378"/>
      <c r="V51" s="378"/>
    </row>
    <row r="52" spans="1:22" outlineLevel="1" x14ac:dyDescent="0.35">
      <c r="A52" s="377" t="s">
        <v>153</v>
      </c>
      <c r="B52" s="378">
        <f>'India Expenses - Detailed'!E106+'India Expenses - Detailed'!E107+'India Expenses - Detailed'!E108+'India Expenses - Detailed'!E109</f>
        <v>0</v>
      </c>
      <c r="C52" s="378">
        <f>'India Expenses - Detailed'!F106+'India Expenses - Detailed'!F107+'India Expenses - Detailed'!F108+'India Expenses - Detailed'!F109</f>
        <v>0</v>
      </c>
      <c r="D52" s="378" t="e">
        <f>'India Expenses - Detailed'!G106+'India Expenses - Detailed'!#REF!+'India Expenses - Detailed'!G108+'India Expenses - Detailed'!G109</f>
        <v>#REF!</v>
      </c>
      <c r="E52" s="378">
        <f>'India Expenses - Detailed'!H106+'India Expenses - Detailed'!H107+'India Expenses - Detailed'!H108+'India Expenses - Detailed'!H109</f>
        <v>0</v>
      </c>
      <c r="F52" s="378" t="e">
        <f>'India Expenses - Detailed'!I106+'India Expenses - Detailed'!I107+'India Expenses - Detailed'!#REF!+'India Expenses - Detailed'!I109</f>
        <v>#REF!</v>
      </c>
      <c r="G52" s="378" t="e">
        <f>'India Expenses - Detailed'!J106+'India Expenses - Detailed'!J107+'India Expenses - Detailed'!#REF!+'India Expenses - Detailed'!J109</f>
        <v>#REF!</v>
      </c>
      <c r="H52" s="378">
        <f>'India Expenses - Detailed'!K106+'India Expenses - Detailed'!G107+'India Expenses - Detailed'!I108+'India Expenses - Detailed'!K109</f>
        <v>3000</v>
      </c>
      <c r="I52" s="378">
        <f>'India Expenses - Detailed'!L106+'India Expenses - Detailed'!L107+'India Expenses - Detailed'!L108+'India Expenses - Detailed'!L109</f>
        <v>0</v>
      </c>
      <c r="J52" s="378">
        <f>'India Expenses - Detailed'!M106+'India Expenses - Detailed'!M107+'India Expenses - Detailed'!M108+'India Expenses - Detailed'!M109</f>
        <v>0</v>
      </c>
      <c r="K52" s="378">
        <f>'India Expenses - Detailed'!N106+'India Expenses - Detailed'!N107+'India Expenses - Detailed'!N108+'India Expenses - Detailed'!N109</f>
        <v>0</v>
      </c>
      <c r="L52" s="378">
        <f>'India Expenses - Detailed'!O106+'India Expenses - Detailed'!O107+'India Expenses - Detailed'!O108+'India Expenses - Detailed'!O109</f>
        <v>0</v>
      </c>
      <c r="M52" s="378">
        <f>'India Expenses - Detailed'!P106+'India Expenses - Detailed'!P107+'India Expenses - Detailed'!P108+'India Expenses - Detailed'!P109</f>
        <v>0</v>
      </c>
      <c r="N52" s="378" t="e">
        <f>SUM(B52:M52)</f>
        <v>#REF!</v>
      </c>
      <c r="O52" s="385" t="e">
        <f t="shared" si="24"/>
        <v>#REF!</v>
      </c>
      <c r="P52" s="670"/>
      <c r="Q52" s="378">
        <f>'3. P&amp;L Summary Actual'!N42</f>
        <v>2971.2048192771085</v>
      </c>
      <c r="R52" s="401">
        <f t="shared" si="25"/>
        <v>1.403659186583045E-3</v>
      </c>
      <c r="S52" s="378">
        <v>31421.220883534148</v>
      </c>
      <c r="T52" s="401">
        <f t="shared" si="26"/>
        <v>6.2806188769416113E-3</v>
      </c>
      <c r="U52" s="378"/>
      <c r="V52" s="378"/>
    </row>
    <row r="53" spans="1:22" s="206" customFormat="1" outlineLevel="1" x14ac:dyDescent="0.35">
      <c r="A53" s="374" t="s">
        <v>174</v>
      </c>
      <c r="B53" s="379">
        <f>SUM(B51:B52)</f>
        <v>3620</v>
      </c>
      <c r="C53" s="379">
        <f t="shared" ref="C53:N53" si="27">SUM(C51:C52)</f>
        <v>3620</v>
      </c>
      <c r="D53" s="379" t="e">
        <f t="shared" si="27"/>
        <v>#REF!</v>
      </c>
      <c r="E53" s="379">
        <f t="shared" si="27"/>
        <v>1620</v>
      </c>
      <c r="F53" s="379" t="e">
        <f t="shared" si="27"/>
        <v>#REF!</v>
      </c>
      <c r="G53" s="379" t="e">
        <f t="shared" si="27"/>
        <v>#REF!</v>
      </c>
      <c r="H53" s="379">
        <f t="shared" si="27"/>
        <v>4620</v>
      </c>
      <c r="I53" s="379">
        <f t="shared" si="27"/>
        <v>1620</v>
      </c>
      <c r="J53" s="379">
        <f t="shared" si="27"/>
        <v>1620</v>
      </c>
      <c r="K53" s="379">
        <f t="shared" si="27"/>
        <v>1620</v>
      </c>
      <c r="L53" s="379">
        <f t="shared" si="27"/>
        <v>1620</v>
      </c>
      <c r="M53" s="379">
        <f t="shared" si="27"/>
        <v>1620</v>
      </c>
      <c r="N53" s="379" t="e">
        <f t="shared" si="27"/>
        <v>#REF!</v>
      </c>
      <c r="Q53" s="379">
        <f>'3. P&amp;L Summary Actual'!N43</f>
        <v>23496.530120481926</v>
      </c>
      <c r="R53" s="401">
        <f t="shared" si="25"/>
        <v>1.1100251366872768E-2</v>
      </c>
      <c r="S53" s="379">
        <v>79254.016064257026</v>
      </c>
      <c r="T53" s="398"/>
      <c r="U53" s="379"/>
      <c r="V53" s="379"/>
    </row>
    <row r="54" spans="1:22" s="206" customFormat="1" outlineLevel="1" x14ac:dyDescent="0.35">
      <c r="A54" s="374"/>
      <c r="B54" s="380"/>
      <c r="C54" s="380"/>
      <c r="D54" s="380"/>
      <c r="E54" s="380"/>
      <c r="F54" s="380"/>
      <c r="G54" s="380"/>
      <c r="H54" s="380"/>
      <c r="I54" s="380"/>
      <c r="J54" s="380"/>
      <c r="K54" s="380"/>
      <c r="L54" s="380"/>
      <c r="M54" s="380"/>
      <c r="N54" s="380"/>
      <c r="Q54" s="380"/>
      <c r="R54" s="399"/>
      <c r="S54" s="380"/>
      <c r="T54" s="399"/>
      <c r="U54" s="380"/>
      <c r="V54" s="380"/>
    </row>
    <row r="55" spans="1:22" s="206" customFormat="1" outlineLevel="1" x14ac:dyDescent="0.35">
      <c r="A55" s="374" t="s">
        <v>405</v>
      </c>
      <c r="B55" s="380"/>
      <c r="C55" s="380"/>
      <c r="D55" s="380"/>
      <c r="E55" s="380"/>
      <c r="F55" s="380"/>
      <c r="G55" s="380"/>
      <c r="H55" s="380"/>
      <c r="I55" s="380"/>
      <c r="J55" s="380"/>
      <c r="K55" s="380"/>
      <c r="L55" s="380"/>
      <c r="M55" s="380"/>
      <c r="N55" s="380"/>
      <c r="Q55" s="380"/>
      <c r="R55" s="399"/>
      <c r="S55" s="380"/>
      <c r="T55" s="399"/>
      <c r="U55" s="380"/>
      <c r="V55" s="380"/>
    </row>
    <row r="56" spans="1:22" outlineLevel="1" x14ac:dyDescent="0.35">
      <c r="A56" s="377" t="s">
        <v>289</v>
      </c>
      <c r="B56" s="378">
        <f>'5. US Expenses'!D43</f>
        <v>14760</v>
      </c>
      <c r="C56" s="378">
        <f>'5. US Expenses'!E43</f>
        <v>0</v>
      </c>
      <c r="D56" s="378">
        <f>'5. US Expenses'!F43</f>
        <v>0</v>
      </c>
      <c r="E56" s="378">
        <f>'5. US Expenses'!G43</f>
        <v>0</v>
      </c>
      <c r="F56" s="378">
        <f>'5. US Expenses'!H43</f>
        <v>0</v>
      </c>
      <c r="G56" s="378">
        <f>'5. US Expenses'!I43</f>
        <v>0</v>
      </c>
      <c r="H56" s="378">
        <f>'5. US Expenses'!J43</f>
        <v>0</v>
      </c>
      <c r="I56" s="378">
        <f>'5. US Expenses'!K43</f>
        <v>0</v>
      </c>
      <c r="J56" s="378">
        <f>'5. US Expenses'!L43</f>
        <v>0</v>
      </c>
      <c r="K56" s="378">
        <f>'5. US Expenses'!M43</f>
        <v>0</v>
      </c>
      <c r="L56" s="378">
        <f>'5. US Expenses'!N43</f>
        <v>0</v>
      </c>
      <c r="M56" s="378">
        <f>'5. US Expenses'!O43</f>
        <v>0</v>
      </c>
      <c r="N56" s="378">
        <f>SUM(B56:M56)</f>
        <v>14760</v>
      </c>
      <c r="O56" s="385">
        <f t="shared" ref="O56:O57" si="28">N56/$N$38</f>
        <v>5.2531229762708548E-3</v>
      </c>
      <c r="P56" s="670"/>
      <c r="Q56" s="378">
        <f>'3. P&amp;L Summary Actual'!N46</f>
        <v>0</v>
      </c>
      <c r="R56" s="401">
        <f t="shared" ref="R56:R58" si="29">Q56/$Q$38</f>
        <v>0</v>
      </c>
      <c r="S56" s="378">
        <v>0</v>
      </c>
      <c r="T56" s="401">
        <f t="shared" ref="T56:T57" si="30">S56/$S$38</f>
        <v>0</v>
      </c>
      <c r="U56" s="378"/>
      <c r="V56" s="378"/>
    </row>
    <row r="57" spans="1:22" outlineLevel="1" x14ac:dyDescent="0.35">
      <c r="A57" s="377" t="s">
        <v>153</v>
      </c>
      <c r="B57" s="378">
        <f>'5. US Expenses'!D52</f>
        <v>3628.52</v>
      </c>
      <c r="C57" s="378">
        <f>'5. US Expenses'!E52</f>
        <v>3628.52</v>
      </c>
      <c r="D57" s="378">
        <f>'5. US Expenses'!F52</f>
        <v>1455</v>
      </c>
      <c r="E57" s="378">
        <f>'5. US Expenses'!G52</f>
        <v>1955</v>
      </c>
      <c r="F57" s="378">
        <f>'5. US Expenses'!H52</f>
        <v>1955</v>
      </c>
      <c r="G57" s="378">
        <f>'5. US Expenses'!I52</f>
        <v>1955</v>
      </c>
      <c r="H57" s="378">
        <f>'5. US Expenses'!J52</f>
        <v>1955</v>
      </c>
      <c r="I57" s="378">
        <f>'5. US Expenses'!K52</f>
        <v>1955</v>
      </c>
      <c r="J57" s="378">
        <f>'5. US Expenses'!L52</f>
        <v>1955</v>
      </c>
      <c r="K57" s="378">
        <f>'5. US Expenses'!M52</f>
        <v>4455</v>
      </c>
      <c r="L57" s="378">
        <f>'5. US Expenses'!N52</f>
        <v>1955</v>
      </c>
      <c r="M57" s="378">
        <f>'5. US Expenses'!O52</f>
        <v>1955</v>
      </c>
      <c r="N57" s="378">
        <f>SUM(B57:M57)</f>
        <v>28807.040000000001</v>
      </c>
      <c r="O57" s="385">
        <f t="shared" si="28"/>
        <v>1.0252501605850513E-2</v>
      </c>
      <c r="P57" s="670"/>
      <c r="Q57" s="378" t="e">
        <f>'3. P&amp;L Summary Actual'!N47</f>
        <v>#REF!</v>
      </c>
      <c r="R57" s="401" t="e">
        <f t="shared" si="29"/>
        <v>#REF!</v>
      </c>
      <c r="S57" s="378">
        <v>57400</v>
      </c>
      <c r="T57" s="401">
        <f t="shared" si="30"/>
        <v>1.1473377335422617E-2</v>
      </c>
      <c r="U57" s="378"/>
      <c r="V57" s="378"/>
    </row>
    <row r="58" spans="1:22" s="206" customFormat="1" outlineLevel="1" x14ac:dyDescent="0.35">
      <c r="A58" s="374" t="s">
        <v>174</v>
      </c>
      <c r="B58" s="379">
        <f t="shared" ref="B58:N58" si="31">SUM(B56:B57)</f>
        <v>18388.52</v>
      </c>
      <c r="C58" s="379">
        <f t="shared" si="31"/>
        <v>3628.52</v>
      </c>
      <c r="D58" s="379">
        <f t="shared" si="31"/>
        <v>1455</v>
      </c>
      <c r="E58" s="379">
        <f t="shared" si="31"/>
        <v>1955</v>
      </c>
      <c r="F58" s="379">
        <f t="shared" si="31"/>
        <v>1955</v>
      </c>
      <c r="G58" s="379">
        <f t="shared" si="31"/>
        <v>1955</v>
      </c>
      <c r="H58" s="379">
        <f t="shared" si="31"/>
        <v>1955</v>
      </c>
      <c r="I58" s="379">
        <f t="shared" si="31"/>
        <v>1955</v>
      </c>
      <c r="J58" s="379">
        <f t="shared" si="31"/>
        <v>1955</v>
      </c>
      <c r="K58" s="379">
        <f t="shared" si="31"/>
        <v>4455</v>
      </c>
      <c r="L58" s="379">
        <f t="shared" si="31"/>
        <v>1955</v>
      </c>
      <c r="M58" s="379">
        <f t="shared" si="31"/>
        <v>1955</v>
      </c>
      <c r="N58" s="379">
        <f t="shared" si="31"/>
        <v>43567.040000000001</v>
      </c>
      <c r="Q58" s="379" t="e">
        <f>'3. P&amp;L Summary Actual'!N48</f>
        <v>#REF!</v>
      </c>
      <c r="R58" s="401" t="e">
        <f t="shared" si="29"/>
        <v>#REF!</v>
      </c>
      <c r="S58" s="379">
        <v>57400</v>
      </c>
      <c r="T58" s="398"/>
      <c r="U58" s="379"/>
      <c r="V58" s="379"/>
    </row>
    <row r="59" spans="1:22" s="206" customFormat="1" x14ac:dyDescent="0.35">
      <c r="A59" s="374"/>
      <c r="B59" s="380"/>
      <c r="C59" s="380"/>
      <c r="D59" s="380"/>
      <c r="E59" s="380"/>
      <c r="F59" s="380"/>
      <c r="G59" s="380"/>
      <c r="H59" s="380"/>
      <c r="I59" s="380"/>
      <c r="J59" s="380"/>
      <c r="K59" s="380"/>
      <c r="L59" s="380"/>
      <c r="M59" s="380"/>
      <c r="N59" s="380"/>
      <c r="Q59" s="380"/>
      <c r="R59" s="399"/>
      <c r="S59" s="380"/>
      <c r="T59" s="399"/>
      <c r="U59" s="380"/>
      <c r="V59" s="380"/>
    </row>
    <row r="60" spans="1:22" s="206" customFormat="1" ht="13.5" customHeight="1" x14ac:dyDescent="0.35">
      <c r="A60" s="374" t="s">
        <v>410</v>
      </c>
      <c r="B60" s="380"/>
      <c r="C60" s="380"/>
      <c r="D60" s="380"/>
      <c r="E60" s="380"/>
      <c r="F60" s="380"/>
      <c r="G60" s="380"/>
      <c r="H60" s="380"/>
      <c r="I60" s="380"/>
      <c r="J60" s="380"/>
      <c r="K60" s="380"/>
      <c r="L60" s="380"/>
      <c r="M60" s="380"/>
      <c r="N60" s="380"/>
      <c r="Q60" s="380"/>
      <c r="R60" s="399"/>
      <c r="S60" s="380"/>
      <c r="T60" s="399"/>
      <c r="U60" s="380"/>
      <c r="V60" s="380"/>
    </row>
    <row r="61" spans="1:22" x14ac:dyDescent="0.35">
      <c r="A61" s="377" t="s">
        <v>289</v>
      </c>
      <c r="B61" s="378">
        <f>B56+B51</f>
        <v>18380</v>
      </c>
      <c r="C61" s="378">
        <f t="shared" ref="C61:M62" si="32">C56+C51</f>
        <v>3620</v>
      </c>
      <c r="D61" s="378">
        <f t="shared" si="32"/>
        <v>1620</v>
      </c>
      <c r="E61" s="378">
        <f t="shared" si="32"/>
        <v>1620</v>
      </c>
      <c r="F61" s="378">
        <f t="shared" si="32"/>
        <v>1620</v>
      </c>
      <c r="G61" s="378">
        <f t="shared" si="32"/>
        <v>1620</v>
      </c>
      <c r="H61" s="378">
        <f t="shared" si="32"/>
        <v>1620</v>
      </c>
      <c r="I61" s="378">
        <f t="shared" si="32"/>
        <v>1620</v>
      </c>
      <c r="J61" s="378">
        <f t="shared" si="32"/>
        <v>1620</v>
      </c>
      <c r="K61" s="378">
        <f t="shared" si="32"/>
        <v>1620</v>
      </c>
      <c r="L61" s="378">
        <f t="shared" si="32"/>
        <v>1620</v>
      </c>
      <c r="M61" s="378">
        <f t="shared" si="32"/>
        <v>1620</v>
      </c>
      <c r="N61" s="378">
        <f>SUM(B61:M61)</f>
        <v>38200</v>
      </c>
      <c r="O61" s="385">
        <f t="shared" ref="O61:O62" si="33">N61/$N$38</f>
        <v>1.3595480873546522E-2</v>
      </c>
      <c r="P61" s="385"/>
      <c r="Q61" s="378">
        <f>'3. P&amp;L Summary Actual'!N51</f>
        <v>20525.325301204819</v>
      </c>
      <c r="R61" s="401">
        <f t="shared" ref="R61:R63" si="34">Q61/$Q$38</f>
        <v>9.6965921802897228E-3</v>
      </c>
      <c r="S61" s="378">
        <v>47832.795180722875</v>
      </c>
      <c r="T61" s="401">
        <f t="shared" ref="T61:T62" si="35">S61/$S$38</f>
        <v>9.5610402110874217E-3</v>
      </c>
      <c r="U61" s="378"/>
      <c r="V61" s="378"/>
    </row>
    <row r="62" spans="1:22" x14ac:dyDescent="0.35">
      <c r="A62" s="377" t="s">
        <v>153</v>
      </c>
      <c r="B62" s="378">
        <f>B57+B52</f>
        <v>3628.52</v>
      </c>
      <c r="C62" s="378">
        <f t="shared" si="32"/>
        <v>3628.52</v>
      </c>
      <c r="D62" s="378" t="e">
        <f t="shared" si="32"/>
        <v>#REF!</v>
      </c>
      <c r="E62" s="378">
        <f t="shared" si="32"/>
        <v>1955</v>
      </c>
      <c r="F62" s="378" t="e">
        <f t="shared" si="32"/>
        <v>#REF!</v>
      </c>
      <c r="G62" s="378" t="e">
        <f t="shared" si="32"/>
        <v>#REF!</v>
      </c>
      <c r="H62" s="378">
        <f t="shared" si="32"/>
        <v>4955</v>
      </c>
      <c r="I62" s="378">
        <f t="shared" si="32"/>
        <v>1955</v>
      </c>
      <c r="J62" s="378">
        <f t="shared" si="32"/>
        <v>1955</v>
      </c>
      <c r="K62" s="378">
        <f t="shared" si="32"/>
        <v>4455</v>
      </c>
      <c r="L62" s="378">
        <f t="shared" si="32"/>
        <v>1955</v>
      </c>
      <c r="M62" s="378">
        <f t="shared" si="32"/>
        <v>1955</v>
      </c>
      <c r="N62" s="378" t="e">
        <f>SUM(B62:M62)</f>
        <v>#REF!</v>
      </c>
      <c r="O62" s="385" t="e">
        <f t="shared" si="33"/>
        <v>#REF!</v>
      </c>
      <c r="P62" s="385"/>
      <c r="Q62" s="378" t="e">
        <f>'3. P&amp;L Summary Actual'!N52</f>
        <v>#REF!</v>
      </c>
      <c r="R62" s="401" t="e">
        <f t="shared" si="34"/>
        <v>#REF!</v>
      </c>
      <c r="S62" s="378">
        <v>88821.220883534144</v>
      </c>
      <c r="T62" s="401">
        <f t="shared" si="35"/>
        <v>1.7753996212364228E-2</v>
      </c>
      <c r="U62" s="378"/>
      <c r="V62" s="378"/>
    </row>
    <row r="63" spans="1:22" s="206" customFormat="1" x14ac:dyDescent="0.35">
      <c r="A63" s="374" t="s">
        <v>174</v>
      </c>
      <c r="B63" s="379">
        <f t="shared" ref="B63:N63" si="36">SUM(B61:B62)</f>
        <v>22008.52</v>
      </c>
      <c r="C63" s="379">
        <f t="shared" si="36"/>
        <v>7248.52</v>
      </c>
      <c r="D63" s="379" t="e">
        <f t="shared" si="36"/>
        <v>#REF!</v>
      </c>
      <c r="E63" s="379">
        <f t="shared" si="36"/>
        <v>3575</v>
      </c>
      <c r="F63" s="379" t="e">
        <f t="shared" si="36"/>
        <v>#REF!</v>
      </c>
      <c r="G63" s="379" t="e">
        <f t="shared" si="36"/>
        <v>#REF!</v>
      </c>
      <c r="H63" s="379">
        <f t="shared" si="36"/>
        <v>6575</v>
      </c>
      <c r="I63" s="379">
        <f t="shared" si="36"/>
        <v>3575</v>
      </c>
      <c r="J63" s="379">
        <f t="shared" si="36"/>
        <v>3575</v>
      </c>
      <c r="K63" s="379">
        <f t="shared" si="36"/>
        <v>6075</v>
      </c>
      <c r="L63" s="379">
        <f t="shared" si="36"/>
        <v>3575</v>
      </c>
      <c r="M63" s="379">
        <f t="shared" si="36"/>
        <v>3575</v>
      </c>
      <c r="N63" s="379" t="e">
        <f t="shared" si="36"/>
        <v>#REF!</v>
      </c>
      <c r="Q63" s="379" t="e">
        <f>'3. P&amp;L Summary Actual'!N53</f>
        <v>#REF!</v>
      </c>
      <c r="R63" s="401" t="e">
        <f t="shared" si="34"/>
        <v>#REF!</v>
      </c>
      <c r="S63" s="379">
        <v>136654.01606425701</v>
      </c>
      <c r="T63" s="398"/>
      <c r="U63" s="379"/>
      <c r="V63" s="379"/>
    </row>
    <row r="64" spans="1:22" s="206" customFormat="1" x14ac:dyDescent="0.35">
      <c r="A64" s="374" t="s">
        <v>411</v>
      </c>
      <c r="B64" s="381">
        <f t="shared" ref="B64:N64" si="37">B63/B38</f>
        <v>9.7635942238223583E-2</v>
      </c>
      <c r="C64" s="381">
        <f t="shared" si="37"/>
        <v>3.0358322286930067E-2</v>
      </c>
      <c r="D64" s="381" t="e">
        <f t="shared" si="37"/>
        <v>#REF!</v>
      </c>
      <c r="E64" s="381">
        <f t="shared" si="37"/>
        <v>1.7558606207171121E-2</v>
      </c>
      <c r="F64" s="381" t="e">
        <f t="shared" si="37"/>
        <v>#REF!</v>
      </c>
      <c r="G64" s="381" t="e">
        <f t="shared" si="37"/>
        <v>#REF!</v>
      </c>
      <c r="H64" s="381">
        <f t="shared" si="37"/>
        <v>3.0474541683750179E-2</v>
      </c>
      <c r="I64" s="381">
        <f t="shared" si="37"/>
        <v>1.4503766313694355E-2</v>
      </c>
      <c r="J64" s="381">
        <f t="shared" si="37"/>
        <v>1.4272157874418583E-2</v>
      </c>
      <c r="K64" s="381">
        <f t="shared" si="37"/>
        <v>2.4092433088273961E-2</v>
      </c>
      <c r="L64" s="381">
        <f t="shared" si="37"/>
        <v>1.4123763676840385E-2</v>
      </c>
      <c r="M64" s="381">
        <f t="shared" si="37"/>
        <v>1.3956455702053446E-2</v>
      </c>
      <c r="N64" s="381" t="e">
        <f t="shared" si="37"/>
        <v>#REF!</v>
      </c>
      <c r="Q64" s="381"/>
      <c r="R64" s="400"/>
      <c r="S64" s="381">
        <v>2.731503642345165E-2</v>
      </c>
      <c r="T64" s="400"/>
      <c r="U64" s="381"/>
      <c r="V64" s="381"/>
    </row>
    <row r="65" spans="1:22" s="206" customFormat="1" x14ac:dyDescent="0.35">
      <c r="A65" s="374"/>
      <c r="B65" s="380"/>
      <c r="C65" s="380"/>
      <c r="D65" s="380"/>
      <c r="E65" s="380"/>
      <c r="F65" s="380"/>
      <c r="G65" s="380"/>
      <c r="H65" s="380"/>
      <c r="I65" s="380"/>
      <c r="J65" s="380"/>
      <c r="K65" s="380"/>
      <c r="L65" s="380"/>
      <c r="M65" s="380"/>
      <c r="N65" s="380"/>
      <c r="Q65" s="380"/>
      <c r="R65" s="399"/>
      <c r="S65" s="380"/>
      <c r="T65" s="399"/>
      <c r="U65" s="380"/>
      <c r="V65" s="380"/>
    </row>
    <row r="66" spans="1:22" s="206" customFormat="1" outlineLevel="1" x14ac:dyDescent="0.35">
      <c r="A66" s="374" t="s">
        <v>412</v>
      </c>
      <c r="B66" s="380"/>
      <c r="C66" s="380"/>
      <c r="D66" s="380"/>
      <c r="E66" s="380"/>
      <c r="F66" s="380"/>
      <c r="G66" s="380"/>
      <c r="H66" s="380"/>
      <c r="I66" s="380"/>
      <c r="J66" s="380"/>
      <c r="K66" s="380"/>
      <c r="L66" s="380"/>
      <c r="M66" s="380"/>
      <c r="N66" s="380"/>
      <c r="Q66" s="380"/>
      <c r="R66" s="399"/>
      <c r="S66" s="380"/>
      <c r="T66" s="399"/>
      <c r="U66" s="380"/>
      <c r="V66" s="380"/>
    </row>
    <row r="67" spans="1:22" s="206" customFormat="1" outlineLevel="1" x14ac:dyDescent="0.35">
      <c r="A67" s="374" t="s">
        <v>409</v>
      </c>
      <c r="B67" s="380"/>
      <c r="C67" s="380"/>
      <c r="D67" s="380"/>
      <c r="E67" s="380"/>
      <c r="F67" s="380"/>
      <c r="G67" s="380"/>
      <c r="H67" s="380"/>
      <c r="I67" s="380"/>
      <c r="J67" s="380"/>
      <c r="K67" s="380"/>
      <c r="L67" s="380"/>
      <c r="M67" s="380"/>
      <c r="N67" s="380"/>
      <c r="Q67" s="380"/>
      <c r="R67" s="399"/>
      <c r="S67" s="380"/>
      <c r="T67" s="399"/>
      <c r="U67" s="380"/>
      <c r="V67" s="380"/>
    </row>
    <row r="68" spans="1:22" s="490" customFormat="1" outlineLevel="1" x14ac:dyDescent="0.35">
      <c r="A68" s="668" t="s">
        <v>413</v>
      </c>
      <c r="B68" s="412">
        <f>'India Expenses - Detailed'!E223</f>
        <v>9945</v>
      </c>
      <c r="C68" s="412">
        <f>'India Expenses - Detailed'!F223</f>
        <v>9945</v>
      </c>
      <c r="D68" s="412">
        <f>'India Expenses - Detailed'!G223</f>
        <v>9945</v>
      </c>
      <c r="E68" s="412">
        <f>'India Expenses - Detailed'!H223</f>
        <v>9945</v>
      </c>
      <c r="F68" s="412">
        <f>'India Expenses - Detailed'!I223</f>
        <v>9945</v>
      </c>
      <c r="G68" s="412">
        <f>'India Expenses - Detailed'!J223</f>
        <v>9945</v>
      </c>
      <c r="H68" s="412">
        <f>'India Expenses - Detailed'!K223</f>
        <v>9945</v>
      </c>
      <c r="I68" s="412">
        <f>'India Expenses - Detailed'!L223</f>
        <v>9945</v>
      </c>
      <c r="J68" s="412">
        <f>'India Expenses - Detailed'!M223</f>
        <v>9945</v>
      </c>
      <c r="K68" s="412">
        <f>'India Expenses - Detailed'!N223</f>
        <v>9945</v>
      </c>
      <c r="L68" s="412">
        <f>'India Expenses - Detailed'!O223</f>
        <v>9945</v>
      </c>
      <c r="M68" s="412">
        <f>'India Expenses - Detailed'!P223</f>
        <v>9945</v>
      </c>
      <c r="N68" s="412">
        <f>SUM(B68:M68)</f>
        <v>119340</v>
      </c>
      <c r="O68" s="430">
        <f t="shared" ref="O68:O72" si="38">N68/$N$38</f>
        <v>4.247342113740947E-2</v>
      </c>
      <c r="Q68" s="429">
        <f>'3. P&amp;L Summary Actual'!N58</f>
        <v>145303.1204819277</v>
      </c>
      <c r="R68" s="489">
        <f t="shared" ref="R68:R72" si="39">Q68/$Q$38</f>
        <v>6.8644227614460845E-2</v>
      </c>
      <c r="S68" s="429">
        <v>128499.29148795181</v>
      </c>
      <c r="T68" s="489">
        <f t="shared" ref="T68:T72" si="40">S68/$S$38</f>
        <v>2.5685032379368131E-2</v>
      </c>
      <c r="U68" s="429"/>
      <c r="V68" s="429"/>
    </row>
    <row r="69" spans="1:22" outlineLevel="1" x14ac:dyDescent="0.35">
      <c r="A69" s="377" t="s">
        <v>289</v>
      </c>
      <c r="B69" s="378">
        <f>'India Expenses - Detailed'!E224+'India Expenses - Detailed'!E225+'India Expenses - Detailed'!E226+'India Expenses - Detailed'!E227</f>
        <v>3160</v>
      </c>
      <c r="C69" s="378">
        <f>'India Expenses - Detailed'!F224+'India Expenses - Detailed'!F225+'India Expenses - Detailed'!F226+'India Expenses - Detailed'!F227</f>
        <v>3160</v>
      </c>
      <c r="D69" s="378">
        <f>'India Expenses - Detailed'!G224+'India Expenses - Detailed'!G225+'India Expenses - Detailed'!G226+'India Expenses - Detailed'!G227</f>
        <v>2060</v>
      </c>
      <c r="E69" s="378">
        <f>'India Expenses - Detailed'!H224+'India Expenses - Detailed'!H225+'India Expenses - Detailed'!H226+'India Expenses - Detailed'!H227</f>
        <v>2060</v>
      </c>
      <c r="F69" s="378">
        <f>'India Expenses - Detailed'!I224+'India Expenses - Detailed'!I225+'India Expenses - Detailed'!I226+'India Expenses - Detailed'!I227</f>
        <v>3510</v>
      </c>
      <c r="G69" s="378">
        <f>'India Expenses - Detailed'!J224+'India Expenses - Detailed'!J225+'India Expenses - Detailed'!J226+'India Expenses - Detailed'!J227</f>
        <v>3510</v>
      </c>
      <c r="H69" s="378">
        <f>'India Expenses - Detailed'!K224+'India Expenses - Detailed'!K225+'India Expenses - Detailed'!K226+'India Expenses - Detailed'!K227</f>
        <v>3510</v>
      </c>
      <c r="I69" s="378">
        <f>'India Expenses - Detailed'!L224+'India Expenses - Detailed'!L225+'India Expenses - Detailed'!L226+'India Expenses - Detailed'!L227</f>
        <v>3510</v>
      </c>
      <c r="J69" s="378">
        <f>'India Expenses - Detailed'!M224+'India Expenses - Detailed'!M225+'India Expenses - Detailed'!M226+'India Expenses - Detailed'!M227</f>
        <v>3510</v>
      </c>
      <c r="K69" s="378">
        <f>'India Expenses - Detailed'!N224+'India Expenses - Detailed'!N225+'India Expenses - Detailed'!N226+'India Expenses - Detailed'!N227</f>
        <v>3510</v>
      </c>
      <c r="L69" s="378">
        <f>'India Expenses - Detailed'!O224+'India Expenses - Detailed'!O225+'India Expenses - Detailed'!O226+'India Expenses - Detailed'!O227</f>
        <v>3510</v>
      </c>
      <c r="M69" s="378">
        <f>'India Expenses - Detailed'!P224+'India Expenses - Detailed'!P225+'India Expenses - Detailed'!P226+'India Expenses - Detailed'!P227</f>
        <v>3510</v>
      </c>
      <c r="N69" s="378">
        <f>SUM(B69:M69)</f>
        <v>38520</v>
      </c>
      <c r="O69" s="385">
        <f t="shared" si="38"/>
        <v>1.3709369718560524E-2</v>
      </c>
      <c r="P69" s="670"/>
      <c r="Q69" s="378">
        <f>'3. P&amp;L Summary Actual'!N59</f>
        <v>12785.626506024097</v>
      </c>
      <c r="R69" s="401">
        <f t="shared" si="39"/>
        <v>6.0401968874588766E-3</v>
      </c>
      <c r="S69" s="378">
        <v>33257.522891566252</v>
      </c>
      <c r="T69" s="401">
        <f t="shared" si="40"/>
        <v>6.6476674107385902E-3</v>
      </c>
      <c r="U69" s="378"/>
      <c r="V69" s="378"/>
    </row>
    <row r="70" spans="1:22" outlineLevel="1" x14ac:dyDescent="0.35">
      <c r="A70" s="377" t="s">
        <v>414</v>
      </c>
      <c r="B70" s="378">
        <f>'India Expenses - Detailed'!E236</f>
        <v>1971.2643678160921</v>
      </c>
      <c r="C70" s="378">
        <f>'India Expenses - Detailed'!F236</f>
        <v>4660.9195402298847</v>
      </c>
      <c r="D70" s="378">
        <f>'India Expenses - Detailed'!G236</f>
        <v>1500</v>
      </c>
      <c r="E70" s="378">
        <f>'India Expenses - Detailed'!H236</f>
        <v>1500</v>
      </c>
      <c r="F70" s="378">
        <f>'India Expenses - Detailed'!I236</f>
        <v>1500</v>
      </c>
      <c r="G70" s="378">
        <f>'India Expenses - Detailed'!J236</f>
        <v>1500</v>
      </c>
      <c r="H70" s="378">
        <f>'India Expenses - Detailed'!K236</f>
        <v>1500</v>
      </c>
      <c r="I70" s="378">
        <f>'India Expenses - Detailed'!L236</f>
        <v>1500</v>
      </c>
      <c r="J70" s="378">
        <f>'India Expenses - Detailed'!M236</f>
        <v>1500</v>
      </c>
      <c r="K70" s="378">
        <f>'India Expenses - Detailed'!N236</f>
        <v>1500</v>
      </c>
      <c r="L70" s="378">
        <f>'India Expenses - Detailed'!O236</f>
        <v>1500</v>
      </c>
      <c r="M70" s="378">
        <f>'India Expenses - Detailed'!P236</f>
        <v>1500</v>
      </c>
      <c r="N70" s="378">
        <f>SUM(B70:M70)</f>
        <v>21632.183908045976</v>
      </c>
      <c r="O70" s="385">
        <f t="shared" si="38"/>
        <v>7.6989513763057564E-3</v>
      </c>
      <c r="P70" s="670"/>
      <c r="Q70" s="378">
        <f>'3. P&amp;L Summary Actual'!N60</f>
        <v>32492.626506024098</v>
      </c>
      <c r="R70" s="401">
        <f t="shared" si="39"/>
        <v>1.5350195111250863E-2</v>
      </c>
      <c r="S70" s="378">
        <v>5060.2409638554209</v>
      </c>
      <c r="T70" s="401">
        <f t="shared" si="40"/>
        <v>1.0114643551650852E-3</v>
      </c>
      <c r="U70" s="378"/>
      <c r="V70" s="378"/>
    </row>
    <row r="71" spans="1:22" outlineLevel="1" x14ac:dyDescent="0.35">
      <c r="A71" s="377" t="s">
        <v>151</v>
      </c>
      <c r="B71" s="378">
        <f>'India Expenses - Detailed'!E264</f>
        <v>1379.3103448275863</v>
      </c>
      <c r="C71" s="378">
        <f>'India Expenses - Detailed'!F264</f>
        <v>7126.4367816091954</v>
      </c>
      <c r="D71" s="378">
        <f>'India Expenses - Detailed'!G264</f>
        <v>1379.3103448275863</v>
      </c>
      <c r="E71" s="378">
        <f>'India Expenses - Detailed'!H264</f>
        <v>1379.3103448275863</v>
      </c>
      <c r="F71" s="378">
        <f>'India Expenses - Detailed'!I264</f>
        <v>1379.3103448275863</v>
      </c>
      <c r="G71" s="378">
        <f>'India Expenses - Detailed'!J264</f>
        <v>1379.3103448275863</v>
      </c>
      <c r="H71" s="378">
        <f>'India Expenses - Detailed'!K264</f>
        <v>7379.3103448275861</v>
      </c>
      <c r="I71" s="378">
        <f>'India Expenses - Detailed'!L264</f>
        <v>1379.3103448275863</v>
      </c>
      <c r="J71" s="378">
        <f>'India Expenses - Detailed'!M264</f>
        <v>1379.3103448275863</v>
      </c>
      <c r="K71" s="378">
        <f>'India Expenses - Detailed'!N264</f>
        <v>1379.3103448275863</v>
      </c>
      <c r="L71" s="378">
        <f>'India Expenses - Detailed'!O264</f>
        <v>1379.3103448275863</v>
      </c>
      <c r="M71" s="378">
        <f>'India Expenses - Detailed'!P264</f>
        <v>1379.3103448275863</v>
      </c>
      <c r="N71" s="378">
        <f>SUM(B71:M71)</f>
        <v>28298.850574712651</v>
      </c>
      <c r="O71" s="385">
        <f t="shared" si="38"/>
        <v>1.0071635647430808E-2</v>
      </c>
      <c r="P71" s="670"/>
      <c r="Q71" s="378">
        <f>'3. P&amp;L Summary Actual'!N61</f>
        <v>12785.626506024097</v>
      </c>
      <c r="R71" s="401">
        <f t="shared" si="39"/>
        <v>6.0401968874588766E-3</v>
      </c>
      <c r="S71" s="378">
        <v>11514.216867469879</v>
      </c>
      <c r="T71" s="401">
        <f t="shared" si="40"/>
        <v>2.3015148927242111E-3</v>
      </c>
      <c r="U71" s="378"/>
      <c r="V71" s="378"/>
    </row>
    <row r="72" spans="1:22" s="206" customFormat="1" outlineLevel="1" x14ac:dyDescent="0.35">
      <c r="A72" s="374" t="s">
        <v>174</v>
      </c>
      <c r="B72" s="379">
        <f>SUM(B68:B71)</f>
        <v>16455.57471264368</v>
      </c>
      <c r="C72" s="379">
        <f t="shared" ref="C72:N72" si="41">SUM(C68:C71)</f>
        <v>24892.356321839081</v>
      </c>
      <c r="D72" s="379">
        <f t="shared" si="41"/>
        <v>14884.310344827587</v>
      </c>
      <c r="E72" s="379">
        <f t="shared" si="41"/>
        <v>14884.310344827587</v>
      </c>
      <c r="F72" s="379">
        <f t="shared" si="41"/>
        <v>16334.310344827587</v>
      </c>
      <c r="G72" s="379">
        <f t="shared" si="41"/>
        <v>16334.310344827587</v>
      </c>
      <c r="H72" s="379">
        <f t="shared" si="41"/>
        <v>22334.310344827587</v>
      </c>
      <c r="I72" s="379">
        <f t="shared" si="41"/>
        <v>16334.310344827587</v>
      </c>
      <c r="J72" s="379">
        <f t="shared" si="41"/>
        <v>16334.310344827587</v>
      </c>
      <c r="K72" s="379">
        <f t="shared" si="41"/>
        <v>16334.310344827587</v>
      </c>
      <c r="L72" s="379">
        <f t="shared" si="41"/>
        <v>16334.310344827587</v>
      </c>
      <c r="M72" s="379">
        <f t="shared" si="41"/>
        <v>16334.310344827587</v>
      </c>
      <c r="N72" s="379">
        <f t="shared" si="41"/>
        <v>207791.03448275864</v>
      </c>
      <c r="O72" s="385">
        <f t="shared" si="38"/>
        <v>7.3953377879706558E-2</v>
      </c>
      <c r="Q72" s="379">
        <f>'3. P&amp;L Summary Actual'!N62</f>
        <v>203367</v>
      </c>
      <c r="R72" s="401">
        <f t="shared" si="39"/>
        <v>9.6074816500629462E-2</v>
      </c>
      <c r="S72" s="379">
        <v>178331.27221084337</v>
      </c>
      <c r="T72" s="401">
        <f t="shared" si="40"/>
        <v>3.5645679037996016E-2</v>
      </c>
      <c r="U72" s="379"/>
      <c r="V72" s="379"/>
    </row>
    <row r="73" spans="1:22" s="206" customFormat="1" outlineLevel="1" x14ac:dyDescent="0.35">
      <c r="A73" s="374"/>
      <c r="B73" s="380"/>
      <c r="C73" s="380"/>
      <c r="D73" s="380"/>
      <c r="E73" s="380"/>
      <c r="F73" s="380"/>
      <c r="G73" s="380"/>
      <c r="H73" s="380"/>
      <c r="I73" s="380"/>
      <c r="J73" s="380"/>
      <c r="K73" s="380"/>
      <c r="L73" s="380"/>
      <c r="M73" s="380"/>
      <c r="N73" s="380"/>
      <c r="Q73" s="380"/>
      <c r="R73" s="399"/>
      <c r="S73" s="380"/>
      <c r="T73" s="399"/>
      <c r="U73" s="380"/>
      <c r="V73" s="380"/>
    </row>
    <row r="74" spans="1:22" s="206" customFormat="1" outlineLevel="1" x14ac:dyDescent="0.35">
      <c r="A74" s="374" t="s">
        <v>405</v>
      </c>
      <c r="B74" s="380"/>
      <c r="C74" s="380"/>
      <c r="D74" s="380"/>
      <c r="E74" s="380"/>
      <c r="F74" s="380"/>
      <c r="G74" s="380"/>
      <c r="H74" s="380"/>
      <c r="I74" s="380"/>
      <c r="J74" s="380"/>
      <c r="K74" s="380"/>
      <c r="L74" s="380"/>
      <c r="M74" s="380"/>
      <c r="N74" s="380"/>
      <c r="Q74" s="380"/>
      <c r="R74" s="399"/>
      <c r="S74" s="380"/>
      <c r="T74" s="399"/>
      <c r="U74" s="380"/>
      <c r="V74" s="380"/>
    </row>
    <row r="75" spans="1:22" s="490" customFormat="1" outlineLevel="1" x14ac:dyDescent="0.35">
      <c r="A75" s="668" t="s">
        <v>413</v>
      </c>
      <c r="B75" s="412">
        <f>'5. US Expenses'!D58</f>
        <v>27300</v>
      </c>
      <c r="C75" s="412">
        <f>'5. US Expenses'!E58</f>
        <v>17154.84</v>
      </c>
      <c r="D75" s="412">
        <f>'5. US Expenses'!F58</f>
        <v>17154.84</v>
      </c>
      <c r="E75" s="412">
        <f>'5. US Expenses'!G58</f>
        <v>17154.84</v>
      </c>
      <c r="F75" s="412">
        <f>'5. US Expenses'!H58</f>
        <v>21709.730000000003</v>
      </c>
      <c r="G75" s="412">
        <f>'5. US Expenses'!I58</f>
        <v>17154.84</v>
      </c>
      <c r="H75" s="412">
        <f>'5. US Expenses'!J58</f>
        <v>17154.84</v>
      </c>
      <c r="I75" s="412">
        <f>'5. US Expenses'!K58</f>
        <v>17154.84</v>
      </c>
      <c r="J75" s="412">
        <f>'5. US Expenses'!L58</f>
        <v>17154.84</v>
      </c>
      <c r="K75" s="412">
        <f>'5. US Expenses'!M58</f>
        <v>21709.730000000003</v>
      </c>
      <c r="L75" s="412">
        <f>'5. US Expenses'!N58</f>
        <v>17154.84</v>
      </c>
      <c r="M75" s="412">
        <f>'5. US Expenses'!O58</f>
        <v>17154.84</v>
      </c>
      <c r="N75" s="412">
        <f>SUM(B75:M75)</f>
        <v>225113.02</v>
      </c>
      <c r="O75" s="430">
        <f t="shared" ref="O75:O78" si="42">N75/$N$38</f>
        <v>8.0118318266918731E-2</v>
      </c>
      <c r="Q75" s="429">
        <f>'3. P&amp;L Summary Actual'!N65</f>
        <v>377612.41</v>
      </c>
      <c r="R75" s="489">
        <f t="shared" ref="R75:R78" si="43">Q75/$Q$38</f>
        <v>0.17839198591271177</v>
      </c>
      <c r="S75" s="429">
        <v>339452.52</v>
      </c>
      <c r="T75" s="489">
        <f t="shared" ref="T75:T78" si="44">S75/$S$38</f>
        <v>6.7851338840071301E-2</v>
      </c>
      <c r="U75" s="429"/>
      <c r="V75" s="429"/>
    </row>
    <row r="76" spans="1:22" outlineLevel="1" x14ac:dyDescent="0.35">
      <c r="A76" s="402" t="s">
        <v>415</v>
      </c>
      <c r="B76" s="378"/>
      <c r="C76" s="378"/>
      <c r="D76" s="378"/>
      <c r="E76" s="378"/>
      <c r="F76" s="378"/>
      <c r="G76" s="378"/>
      <c r="H76" s="378"/>
      <c r="I76" s="378"/>
      <c r="J76" s="378"/>
      <c r="K76" s="378"/>
      <c r="L76" s="378"/>
      <c r="M76" s="378"/>
      <c r="N76" s="378"/>
      <c r="O76" s="385"/>
      <c r="P76" s="670"/>
      <c r="Q76" s="378">
        <f>'3. P&amp;L Summary Actual'!N66</f>
        <v>38682.5</v>
      </c>
      <c r="R76" s="401">
        <f t="shared" si="43"/>
        <v>1.8274420576030521E-2</v>
      </c>
      <c r="S76" s="378"/>
      <c r="T76" s="401"/>
      <c r="U76" s="378"/>
      <c r="V76" s="378"/>
    </row>
    <row r="77" spans="1:22" outlineLevel="1" x14ac:dyDescent="0.35">
      <c r="A77" s="377" t="s">
        <v>416</v>
      </c>
      <c r="B77" s="378">
        <f>'5. US Expenses'!D90</f>
        <v>26177.477011494251</v>
      </c>
      <c r="C77" s="378">
        <f>'5. US Expenses'!E90</f>
        <v>20658.488505747126</v>
      </c>
      <c r="D77" s="378">
        <f>'5. US Expenses'!F90</f>
        <v>16694.5</v>
      </c>
      <c r="E77" s="378">
        <f>'5. US Expenses'!G90</f>
        <v>15885.5</v>
      </c>
      <c r="F77" s="378">
        <f>'5. US Expenses'!H90</f>
        <v>15885.5</v>
      </c>
      <c r="G77" s="378">
        <f>'5. US Expenses'!I90</f>
        <v>16414.5</v>
      </c>
      <c r="H77" s="378">
        <f>'5. US Expenses'!J90</f>
        <v>16205.5</v>
      </c>
      <c r="I77" s="378">
        <f>'5. US Expenses'!K90</f>
        <v>16205.5</v>
      </c>
      <c r="J77" s="378">
        <f>'5. US Expenses'!L90</f>
        <v>16414.5</v>
      </c>
      <c r="K77" s="378">
        <f>'5. US Expenses'!M90</f>
        <v>16205.5</v>
      </c>
      <c r="L77" s="378">
        <f>'5. US Expenses'!N90</f>
        <v>16205.5</v>
      </c>
      <c r="M77" s="378">
        <f>'5. US Expenses'!O90</f>
        <v>16414.5</v>
      </c>
      <c r="N77" s="378">
        <f>SUM(B77:M77)</f>
        <v>209366.96551724139</v>
      </c>
      <c r="O77" s="385">
        <f t="shared" si="42"/>
        <v>7.4514255896390824E-2</v>
      </c>
      <c r="P77" s="670"/>
      <c r="Q77" s="378">
        <f>'3. P&amp;L Summary Actual'!N67</f>
        <v>44083.279999999992</v>
      </c>
      <c r="R77" s="401">
        <f t="shared" si="43"/>
        <v>2.0825861800320936E-2</v>
      </c>
      <c r="S77" s="378">
        <v>132480</v>
      </c>
      <c r="T77" s="401">
        <f t="shared" si="44"/>
        <v>2.6480714797853456E-2</v>
      </c>
      <c r="U77" s="378"/>
      <c r="V77" s="378"/>
    </row>
    <row r="78" spans="1:22" s="206" customFormat="1" outlineLevel="1" x14ac:dyDescent="0.35">
      <c r="A78" s="374" t="s">
        <v>174</v>
      </c>
      <c r="B78" s="379">
        <f t="shared" ref="B78:N78" si="45">SUM(B75:B77)</f>
        <v>53477.477011494251</v>
      </c>
      <c r="C78" s="379">
        <f t="shared" si="45"/>
        <v>37813.328505747122</v>
      </c>
      <c r="D78" s="379">
        <f t="shared" si="45"/>
        <v>33849.339999999997</v>
      </c>
      <c r="E78" s="379">
        <f t="shared" si="45"/>
        <v>33040.339999999997</v>
      </c>
      <c r="F78" s="379">
        <f t="shared" si="45"/>
        <v>37595.230000000003</v>
      </c>
      <c r="G78" s="379">
        <f t="shared" si="45"/>
        <v>33569.339999999997</v>
      </c>
      <c r="H78" s="379">
        <f t="shared" si="45"/>
        <v>33360.339999999997</v>
      </c>
      <c r="I78" s="379">
        <f t="shared" si="45"/>
        <v>33360.339999999997</v>
      </c>
      <c r="J78" s="379">
        <f t="shared" si="45"/>
        <v>33569.339999999997</v>
      </c>
      <c r="K78" s="379">
        <f t="shared" si="45"/>
        <v>37915.230000000003</v>
      </c>
      <c r="L78" s="379">
        <f t="shared" si="45"/>
        <v>33360.339999999997</v>
      </c>
      <c r="M78" s="379">
        <f t="shared" si="45"/>
        <v>33569.339999999997</v>
      </c>
      <c r="N78" s="379">
        <f t="shared" si="45"/>
        <v>434479.98551724141</v>
      </c>
      <c r="O78" s="385">
        <f t="shared" si="42"/>
        <v>0.15463257416330956</v>
      </c>
      <c r="Q78" s="379">
        <f>'3. P&amp;L Summary Actual'!N68</f>
        <v>460378.18999999994</v>
      </c>
      <c r="R78" s="401">
        <f t="shared" si="43"/>
        <v>0.21749226828906323</v>
      </c>
      <c r="S78" s="379">
        <v>471932.52</v>
      </c>
      <c r="T78" s="401">
        <f t="shared" si="44"/>
        <v>9.4332053637924754E-2</v>
      </c>
      <c r="U78" s="379"/>
      <c r="V78" s="379"/>
    </row>
    <row r="79" spans="1:22" s="206" customFormat="1" outlineLevel="1" x14ac:dyDescent="0.35">
      <c r="A79" s="374"/>
      <c r="B79" s="380"/>
      <c r="C79" s="380"/>
      <c r="D79" s="380"/>
      <c r="E79" s="380"/>
      <c r="F79" s="380"/>
      <c r="G79" s="380"/>
      <c r="H79" s="380"/>
      <c r="I79" s="380"/>
      <c r="J79" s="380"/>
      <c r="K79" s="380"/>
      <c r="L79" s="380"/>
      <c r="M79" s="380"/>
      <c r="N79" s="380"/>
      <c r="Q79" s="380"/>
      <c r="R79" s="399"/>
      <c r="S79" s="380"/>
      <c r="T79" s="399"/>
      <c r="U79" s="380"/>
      <c r="V79" s="380"/>
    </row>
    <row r="80" spans="1:22" s="206" customFormat="1" x14ac:dyDescent="0.35">
      <c r="A80" s="374" t="s">
        <v>417</v>
      </c>
      <c r="B80" s="380"/>
      <c r="C80" s="380"/>
      <c r="D80" s="380"/>
      <c r="E80" s="380"/>
      <c r="F80" s="380"/>
      <c r="G80" s="380"/>
      <c r="H80" s="380"/>
      <c r="I80" s="380"/>
      <c r="J80" s="380"/>
      <c r="K80" s="380"/>
      <c r="L80" s="380"/>
      <c r="M80" s="380"/>
      <c r="N80" s="380"/>
      <c r="Q80" s="380"/>
      <c r="R80" s="399"/>
      <c r="S80" s="380"/>
      <c r="T80" s="399"/>
      <c r="U80" s="380"/>
      <c r="V80" s="380"/>
    </row>
    <row r="81" spans="1:22" s="490" customFormat="1" x14ac:dyDescent="0.35">
      <c r="A81" s="668" t="s">
        <v>413</v>
      </c>
      <c r="B81" s="412">
        <f t="shared" ref="B81:M81" si="46">B75+B68</f>
        <v>37245</v>
      </c>
      <c r="C81" s="412">
        <f t="shared" si="46"/>
        <v>27099.84</v>
      </c>
      <c r="D81" s="412">
        <f t="shared" si="46"/>
        <v>27099.84</v>
      </c>
      <c r="E81" s="412">
        <f t="shared" si="46"/>
        <v>27099.84</v>
      </c>
      <c r="F81" s="412">
        <f t="shared" si="46"/>
        <v>31654.730000000003</v>
      </c>
      <c r="G81" s="412">
        <f t="shared" si="46"/>
        <v>27099.84</v>
      </c>
      <c r="H81" s="412">
        <f t="shared" si="46"/>
        <v>27099.84</v>
      </c>
      <c r="I81" s="412">
        <f t="shared" si="46"/>
        <v>27099.84</v>
      </c>
      <c r="J81" s="412">
        <f t="shared" si="46"/>
        <v>27099.84</v>
      </c>
      <c r="K81" s="412">
        <f t="shared" si="46"/>
        <v>31654.730000000003</v>
      </c>
      <c r="L81" s="412">
        <f t="shared" si="46"/>
        <v>27099.84</v>
      </c>
      <c r="M81" s="412">
        <f t="shared" si="46"/>
        <v>27099.84</v>
      </c>
      <c r="N81" s="412">
        <f>SUM(B81:M81)</f>
        <v>344453.02</v>
      </c>
      <c r="O81" s="430">
        <f t="shared" ref="O81:O85" si="47">N81/$N$38</f>
        <v>0.12259173940432821</v>
      </c>
      <c r="P81" s="430"/>
      <c r="Q81" s="429">
        <f>'3. P&amp;L Summary Actual'!N71</f>
        <v>522915.53048192768</v>
      </c>
      <c r="R81" s="489">
        <f t="shared" ref="R81:R85" si="48">Q81/$Q$38</f>
        <v>0.24703621352717262</v>
      </c>
      <c r="S81" s="429">
        <v>467951.81148795172</v>
      </c>
      <c r="T81" s="489">
        <f t="shared" ref="T81:T85" si="49">S81/$S$38</f>
        <v>9.3536371219439418E-2</v>
      </c>
      <c r="U81" s="429"/>
      <c r="V81" s="429"/>
    </row>
    <row r="82" spans="1:22" x14ac:dyDescent="0.35">
      <c r="A82" s="377" t="s">
        <v>289</v>
      </c>
      <c r="B82" s="378">
        <f>B69</f>
        <v>3160</v>
      </c>
      <c r="C82" s="378">
        <f t="shared" ref="C82:M83" si="50">C69</f>
        <v>3160</v>
      </c>
      <c r="D82" s="378">
        <f t="shared" si="50"/>
        <v>2060</v>
      </c>
      <c r="E82" s="378">
        <f t="shared" si="50"/>
        <v>2060</v>
      </c>
      <c r="F82" s="378">
        <f t="shared" si="50"/>
        <v>3510</v>
      </c>
      <c r="G82" s="378">
        <f t="shared" si="50"/>
        <v>3510</v>
      </c>
      <c r="H82" s="378">
        <f t="shared" si="50"/>
        <v>3510</v>
      </c>
      <c r="I82" s="378">
        <f t="shared" si="50"/>
        <v>3510</v>
      </c>
      <c r="J82" s="378">
        <f t="shared" si="50"/>
        <v>3510</v>
      </c>
      <c r="K82" s="378">
        <f t="shared" si="50"/>
        <v>3510</v>
      </c>
      <c r="L82" s="378">
        <f t="shared" si="50"/>
        <v>3510</v>
      </c>
      <c r="M82" s="378">
        <f t="shared" si="50"/>
        <v>3510</v>
      </c>
      <c r="N82" s="378">
        <f>SUM(B82:M82)</f>
        <v>38520</v>
      </c>
      <c r="O82" s="385">
        <f t="shared" si="47"/>
        <v>1.3709369718560524E-2</v>
      </c>
      <c r="P82" s="385"/>
      <c r="Q82" s="378">
        <f>'3. P&amp;L Summary Actual'!N72</f>
        <v>12785.626506024097</v>
      </c>
      <c r="R82" s="401">
        <f t="shared" si="48"/>
        <v>6.0401968874588766E-3</v>
      </c>
      <c r="S82" s="378">
        <v>33257.522891566252</v>
      </c>
      <c r="T82" s="401">
        <f t="shared" si="49"/>
        <v>6.6476674107385902E-3</v>
      </c>
      <c r="U82" s="378"/>
      <c r="V82" s="378"/>
    </row>
    <row r="83" spans="1:22" x14ac:dyDescent="0.35">
      <c r="A83" s="377" t="s">
        <v>418</v>
      </c>
      <c r="B83" s="378">
        <f>B70</f>
        <v>1971.2643678160921</v>
      </c>
      <c r="C83" s="378">
        <f t="shared" si="50"/>
        <v>4660.9195402298847</v>
      </c>
      <c r="D83" s="378">
        <f t="shared" si="50"/>
        <v>1500</v>
      </c>
      <c r="E83" s="378">
        <f t="shared" si="50"/>
        <v>1500</v>
      </c>
      <c r="F83" s="378">
        <f t="shared" si="50"/>
        <v>1500</v>
      </c>
      <c r="G83" s="378">
        <f t="shared" si="50"/>
        <v>1500</v>
      </c>
      <c r="H83" s="378">
        <f t="shared" si="50"/>
        <v>1500</v>
      </c>
      <c r="I83" s="378">
        <f t="shared" si="50"/>
        <v>1500</v>
      </c>
      <c r="J83" s="378">
        <f t="shared" si="50"/>
        <v>1500</v>
      </c>
      <c r="K83" s="378">
        <f t="shared" si="50"/>
        <v>1500</v>
      </c>
      <c r="L83" s="378">
        <f t="shared" si="50"/>
        <v>1500</v>
      </c>
      <c r="M83" s="378">
        <f t="shared" si="50"/>
        <v>1500</v>
      </c>
      <c r="N83" s="378">
        <f>SUM(B83:M83)</f>
        <v>21632.183908045976</v>
      </c>
      <c r="O83" s="385">
        <f t="shared" si="47"/>
        <v>7.6989513763057564E-3</v>
      </c>
      <c r="P83" s="385"/>
      <c r="Q83" s="378">
        <f>'3. P&amp;L Summary Actual'!N73</f>
        <v>71175.126506024098</v>
      </c>
      <c r="R83" s="401">
        <f t="shared" si="48"/>
        <v>3.3624615687281388E-2</v>
      </c>
      <c r="S83" s="378">
        <v>5060.2409638554209</v>
      </c>
      <c r="T83" s="401">
        <f t="shared" si="49"/>
        <v>1.0114643551650852E-3</v>
      </c>
      <c r="U83" s="378"/>
      <c r="V83" s="378"/>
    </row>
    <row r="84" spans="1:22" x14ac:dyDescent="0.35">
      <c r="A84" s="377" t="s">
        <v>151</v>
      </c>
      <c r="B84" s="378">
        <f>B77+B71</f>
        <v>27556.787356321838</v>
      </c>
      <c r="C84" s="378">
        <f t="shared" ref="C84:M84" si="51">C77+C71</f>
        <v>27784.92528735632</v>
      </c>
      <c r="D84" s="378">
        <f t="shared" si="51"/>
        <v>18073.810344827587</v>
      </c>
      <c r="E84" s="378">
        <f t="shared" si="51"/>
        <v>17264.810344827587</v>
      </c>
      <c r="F84" s="378">
        <f t="shared" si="51"/>
        <v>17264.810344827587</v>
      </c>
      <c r="G84" s="378">
        <f t="shared" si="51"/>
        <v>17793.810344827587</v>
      </c>
      <c r="H84" s="378">
        <f t="shared" si="51"/>
        <v>23584.810344827587</v>
      </c>
      <c r="I84" s="378">
        <f t="shared" si="51"/>
        <v>17584.810344827587</v>
      </c>
      <c r="J84" s="378">
        <f t="shared" si="51"/>
        <v>17793.810344827587</v>
      </c>
      <c r="K84" s="378">
        <f t="shared" si="51"/>
        <v>17584.810344827587</v>
      </c>
      <c r="L84" s="378">
        <f t="shared" si="51"/>
        <v>17584.810344827587</v>
      </c>
      <c r="M84" s="378">
        <f t="shared" si="51"/>
        <v>17793.810344827587</v>
      </c>
      <c r="N84" s="378">
        <f>SUM(B84:M84)</f>
        <v>237665.8160919541</v>
      </c>
      <c r="O84" s="385">
        <f t="shared" si="47"/>
        <v>8.4585891543821651E-2</v>
      </c>
      <c r="P84" s="385"/>
      <c r="Q84" s="378">
        <f>'3. P&amp;L Summary Actual'!N74</f>
        <v>56868.906506024097</v>
      </c>
      <c r="R84" s="401">
        <f t="shared" si="48"/>
        <v>2.6866058687779817E-2</v>
      </c>
      <c r="S84" s="378">
        <v>143994.21686746986</v>
      </c>
      <c r="T84" s="401">
        <f t="shared" si="49"/>
        <v>2.878222969057766E-2</v>
      </c>
      <c r="U84" s="378"/>
      <c r="V84" s="378"/>
    </row>
    <row r="85" spans="1:22" s="206" customFormat="1" x14ac:dyDescent="0.35">
      <c r="A85" s="374" t="s">
        <v>174</v>
      </c>
      <c r="B85" s="379">
        <f t="shared" ref="B85:N85" si="52">SUM(B81:B84)</f>
        <v>69933.051724137928</v>
      </c>
      <c r="C85" s="379">
        <f t="shared" si="52"/>
        <v>62705.684827586199</v>
      </c>
      <c r="D85" s="379">
        <f t="shared" si="52"/>
        <v>48733.650344827591</v>
      </c>
      <c r="E85" s="379">
        <f t="shared" si="52"/>
        <v>47924.650344827591</v>
      </c>
      <c r="F85" s="379">
        <f t="shared" si="52"/>
        <v>53929.54034482759</v>
      </c>
      <c r="G85" s="379">
        <f t="shared" si="52"/>
        <v>49903.650344827591</v>
      </c>
      <c r="H85" s="379">
        <f t="shared" si="52"/>
        <v>55694.650344827591</v>
      </c>
      <c r="I85" s="379">
        <f t="shared" si="52"/>
        <v>49694.650344827591</v>
      </c>
      <c r="J85" s="379">
        <f t="shared" si="52"/>
        <v>49903.650344827591</v>
      </c>
      <c r="K85" s="379">
        <f t="shared" si="52"/>
        <v>54249.54034482759</v>
      </c>
      <c r="L85" s="379">
        <f t="shared" si="52"/>
        <v>49694.650344827591</v>
      </c>
      <c r="M85" s="379">
        <f t="shared" si="52"/>
        <v>49903.650344827591</v>
      </c>
      <c r="N85" s="379">
        <f t="shared" si="52"/>
        <v>642271.02000000014</v>
      </c>
      <c r="O85" s="385">
        <f t="shared" si="47"/>
        <v>0.22858595204301616</v>
      </c>
      <c r="Q85" s="379">
        <f>'3. P&amp;L Summary Actual'!N75</f>
        <v>663745.18999999994</v>
      </c>
      <c r="R85" s="401">
        <f t="shared" si="48"/>
        <v>0.3135670847896927</v>
      </c>
      <c r="S85" s="379">
        <v>650263.7922108433</v>
      </c>
      <c r="T85" s="401">
        <f t="shared" si="49"/>
        <v>0.12997773267592075</v>
      </c>
      <c r="U85" s="379"/>
      <c r="V85" s="379"/>
    </row>
    <row r="86" spans="1:22" s="214" customFormat="1" x14ac:dyDescent="0.35">
      <c r="A86" s="383" t="s">
        <v>419</v>
      </c>
      <c r="B86" s="381">
        <f t="shared" ref="B86:N86" si="53">B85/B38</f>
        <v>0.31024255146100843</v>
      </c>
      <c r="C86" s="381">
        <f t="shared" si="53"/>
        <v>0.26262456187173688</v>
      </c>
      <c r="D86" s="381">
        <f t="shared" si="53"/>
        <v>0.20339768620983339</v>
      </c>
      <c r="E86" s="381">
        <f t="shared" si="53"/>
        <v>0.23538183581012459</v>
      </c>
      <c r="F86" s="381">
        <f t="shared" si="53"/>
        <v>0.25340983314104276</v>
      </c>
      <c r="G86" s="381">
        <f t="shared" si="53"/>
        <v>0.2316748193130225</v>
      </c>
      <c r="H86" s="381">
        <f t="shared" si="53"/>
        <v>0.2581397632692532</v>
      </c>
      <c r="I86" s="381">
        <f t="shared" si="53"/>
        <v>0.20161107570409229</v>
      </c>
      <c r="J86" s="381">
        <f t="shared" si="53"/>
        <v>0.19922595139333224</v>
      </c>
      <c r="K86" s="381">
        <f t="shared" si="53"/>
        <v>0.2151445960209675</v>
      </c>
      <c r="L86" s="381">
        <f t="shared" si="53"/>
        <v>0.19632881048211454</v>
      </c>
      <c r="M86" s="381">
        <f t="shared" si="53"/>
        <v>0.19481904486946866</v>
      </c>
      <c r="N86" s="381">
        <f t="shared" si="53"/>
        <v>0.22858595204301616</v>
      </c>
      <c r="Q86" s="381">
        <f>'3. P&amp;L Summary Actual'!N76</f>
        <v>0.3135670847896927</v>
      </c>
      <c r="R86" s="400"/>
      <c r="S86" s="381">
        <v>0.12997773267592075</v>
      </c>
      <c r="T86" s="400"/>
      <c r="U86" s="381"/>
      <c r="V86" s="381"/>
    </row>
    <row r="87" spans="1:22" s="206" customFormat="1" x14ac:dyDescent="0.35">
      <c r="A87" s="374"/>
      <c r="B87" s="380"/>
      <c r="C87" s="380"/>
      <c r="D87" s="380"/>
      <c r="E87" s="380"/>
      <c r="F87" s="380"/>
      <c r="G87" s="380"/>
      <c r="H87" s="380"/>
      <c r="I87" s="380"/>
      <c r="J87" s="380"/>
      <c r="K87" s="380"/>
      <c r="L87" s="380"/>
      <c r="M87" s="380"/>
      <c r="N87" s="380"/>
      <c r="Q87" s="380"/>
      <c r="R87" s="399"/>
      <c r="S87" s="380"/>
      <c r="T87" s="399"/>
      <c r="U87" s="380"/>
      <c r="V87" s="380"/>
    </row>
    <row r="88" spans="1:22" s="206" customFormat="1" x14ac:dyDescent="0.35">
      <c r="A88" s="374" t="s">
        <v>420</v>
      </c>
      <c r="B88" s="379">
        <f>B85+B63</f>
        <v>91941.571724137932</v>
      </c>
      <c r="C88" s="379">
        <f t="shared" ref="C88:N88" si="54">C85+C63</f>
        <v>69954.204827586203</v>
      </c>
      <c r="D88" s="379" t="e">
        <f t="shared" si="54"/>
        <v>#REF!</v>
      </c>
      <c r="E88" s="379">
        <f t="shared" si="54"/>
        <v>51499.650344827591</v>
      </c>
      <c r="F88" s="379" t="e">
        <f t="shared" si="54"/>
        <v>#REF!</v>
      </c>
      <c r="G88" s="379" t="e">
        <f t="shared" si="54"/>
        <v>#REF!</v>
      </c>
      <c r="H88" s="379">
        <f t="shared" si="54"/>
        <v>62269.650344827591</v>
      </c>
      <c r="I88" s="379">
        <f t="shared" si="54"/>
        <v>53269.650344827591</v>
      </c>
      <c r="J88" s="379">
        <f t="shared" si="54"/>
        <v>53478.650344827591</v>
      </c>
      <c r="K88" s="379">
        <f t="shared" si="54"/>
        <v>60324.54034482759</v>
      </c>
      <c r="L88" s="379">
        <f t="shared" si="54"/>
        <v>53269.650344827591</v>
      </c>
      <c r="M88" s="379">
        <f t="shared" si="54"/>
        <v>53478.650344827591</v>
      </c>
      <c r="N88" s="379" t="e">
        <f t="shared" si="54"/>
        <v>#REF!</v>
      </c>
      <c r="O88" s="385" t="e">
        <f>N88/$N$38</f>
        <v>#REF!</v>
      </c>
      <c r="Q88" s="379" t="e">
        <f>'3. P&amp;L Summary Actual'!N78</f>
        <v>#REF!</v>
      </c>
      <c r="R88" s="401" t="e">
        <f>Q88/$Q$38</f>
        <v>#REF!</v>
      </c>
      <c r="S88" s="379">
        <v>786917.80827510031</v>
      </c>
      <c r="T88" s="401">
        <f t="shared" ref="T88" si="55">S88/$S$38</f>
        <v>0.1572927690993724</v>
      </c>
      <c r="U88" s="379"/>
      <c r="V88" s="379"/>
    </row>
    <row r="89" spans="1:22" s="206" customFormat="1" x14ac:dyDescent="0.35">
      <c r="A89" s="374" t="s">
        <v>421</v>
      </c>
      <c r="B89" s="379">
        <f>B45-B88</f>
        <v>-9578.2832823947247</v>
      </c>
      <c r="C89" s="379">
        <f t="shared" ref="C89:N89" si="56">C45-C88</f>
        <v>20240.066676911592</v>
      </c>
      <c r="D89" s="379" t="e">
        <f t="shared" si="56"/>
        <v>#REF!</v>
      </c>
      <c r="E89" s="379">
        <f t="shared" si="56"/>
        <v>25698.378649538339</v>
      </c>
      <c r="F89" s="379" t="e">
        <f t="shared" si="56"/>
        <v>#REF!</v>
      </c>
      <c r="G89" s="379" t="e">
        <f t="shared" si="56"/>
        <v>#REF!</v>
      </c>
      <c r="H89" s="379">
        <f t="shared" si="56"/>
        <v>16828.84902915539</v>
      </c>
      <c r="I89" s="379">
        <f t="shared" si="56"/>
        <v>39109.612349510193</v>
      </c>
      <c r="J89" s="379">
        <f t="shared" si="56"/>
        <v>39616.407081846613</v>
      </c>
      <c r="K89" s="379">
        <f t="shared" si="56"/>
        <v>29700.61795871392</v>
      </c>
      <c r="L89" s="379">
        <f t="shared" si="56"/>
        <v>35274.66064287335</v>
      </c>
      <c r="M89" s="379">
        <f t="shared" si="56"/>
        <v>34402.61742338675</v>
      </c>
      <c r="N89" s="379" t="e">
        <f t="shared" si="56"/>
        <v>#REF!</v>
      </c>
      <c r="Q89" s="379" t="e">
        <f>'3. P&amp;L Summary Actual'!N79</f>
        <v>#REF!</v>
      </c>
      <c r="R89" s="401"/>
      <c r="S89" s="379">
        <v>2187579.3642104543</v>
      </c>
      <c r="T89" s="398"/>
      <c r="U89" s="379"/>
      <c r="V89" s="379"/>
    </row>
    <row r="90" spans="1:22" x14ac:dyDescent="0.35">
      <c r="A90" s="384" t="s">
        <v>422</v>
      </c>
      <c r="B90" s="673">
        <f t="shared" ref="B90:N90" si="57">B89/B38</f>
        <v>-4.2491940089621379E-2</v>
      </c>
      <c r="C90" s="673">
        <f t="shared" si="57"/>
        <v>8.4769645015345993E-2</v>
      </c>
      <c r="D90" s="673" t="e">
        <f t="shared" si="57"/>
        <v>#REF!</v>
      </c>
      <c r="E90" s="673">
        <f t="shared" si="57"/>
        <v>0.12621754150210288</v>
      </c>
      <c r="F90" s="673" t="e">
        <f t="shared" si="57"/>
        <v>#REF!</v>
      </c>
      <c r="G90" s="673" t="e">
        <f t="shared" si="57"/>
        <v>#REF!</v>
      </c>
      <c r="H90" s="673">
        <f t="shared" si="57"/>
        <v>7.8000222240081324E-2</v>
      </c>
      <c r="I90" s="673">
        <f t="shared" si="57"/>
        <v>0.15866760227593585</v>
      </c>
      <c r="J90" s="673">
        <f t="shared" si="57"/>
        <v>0.15815709546555223</v>
      </c>
      <c r="K90" s="673">
        <f t="shared" si="57"/>
        <v>0.11778767915237912</v>
      </c>
      <c r="L90" s="673">
        <f t="shared" si="57"/>
        <v>0.13935971208410791</v>
      </c>
      <c r="M90" s="673">
        <f t="shared" si="57"/>
        <v>0.13430450520396903</v>
      </c>
      <c r="N90" s="673" t="e">
        <f t="shared" si="57"/>
        <v>#REF!</v>
      </c>
      <c r="O90" s="670"/>
      <c r="P90" s="670"/>
      <c r="Q90" s="673" t="e">
        <f>'3. P&amp;L Summary Actual'!N80</f>
        <v>#REF!</v>
      </c>
      <c r="R90" s="674"/>
      <c r="S90" s="673">
        <v>0.43726347555349204</v>
      </c>
      <c r="T90" s="674"/>
      <c r="U90" s="673"/>
      <c r="V90" s="673"/>
    </row>
    <row r="91" spans="1:22" x14ac:dyDescent="0.35">
      <c r="A91" s="670"/>
      <c r="B91" s="675"/>
      <c r="C91" s="675"/>
      <c r="D91" s="675"/>
      <c r="E91" s="675"/>
      <c r="F91" s="675"/>
      <c r="G91" s="675"/>
      <c r="H91" s="675"/>
      <c r="I91" s="675"/>
      <c r="J91" s="675"/>
      <c r="K91" s="675"/>
      <c r="L91" s="675"/>
      <c r="M91" s="675"/>
      <c r="N91" s="675"/>
      <c r="O91" s="670"/>
      <c r="P91" s="670"/>
      <c r="Q91" s="675"/>
      <c r="R91" s="676"/>
      <c r="S91" s="675"/>
      <c r="T91" s="676"/>
      <c r="U91" s="675"/>
      <c r="V91" s="675"/>
    </row>
    <row r="92" spans="1:22" x14ac:dyDescent="0.35">
      <c r="A92" s="406">
        <v>2024</v>
      </c>
      <c r="B92" s="675"/>
      <c r="C92" s="675"/>
      <c r="D92" s="675"/>
      <c r="E92" s="675"/>
      <c r="F92" s="675"/>
      <c r="G92" s="675"/>
      <c r="H92" s="675"/>
      <c r="I92" s="675"/>
      <c r="J92" s="675"/>
      <c r="K92" s="675"/>
      <c r="L92" s="675"/>
      <c r="M92" s="675"/>
      <c r="N92" s="675"/>
      <c r="O92" s="670"/>
      <c r="P92" s="670"/>
      <c r="Q92" s="675"/>
      <c r="R92" s="676"/>
      <c r="S92" s="675"/>
      <c r="T92" s="676"/>
      <c r="U92" s="675"/>
      <c r="V92" s="675"/>
    </row>
    <row r="93" spans="1:22" x14ac:dyDescent="0.35">
      <c r="A93" s="677" t="s">
        <v>423</v>
      </c>
      <c r="B93" s="168">
        <v>1234.9184013550562</v>
      </c>
      <c r="C93" s="168">
        <v>1076.496478021978</v>
      </c>
      <c r="D93" s="168">
        <v>1270.886324175824</v>
      </c>
      <c r="E93" s="168">
        <v>1505.7855901960786</v>
      </c>
      <c r="F93" s="168">
        <v>2040.1772000000001</v>
      </c>
      <c r="G93" s="168">
        <v>1756.7330491666667</v>
      </c>
      <c r="H93" s="168">
        <v>1613.0392901408452</v>
      </c>
      <c r="I93" s="168">
        <v>1459.9285033868093</v>
      </c>
      <c r="J93" s="168">
        <v>1455.1136722580645</v>
      </c>
      <c r="K93" s="168">
        <v>1323.7734496969697</v>
      </c>
      <c r="L93" s="168">
        <v>1276.1175898734177</v>
      </c>
      <c r="M93" s="168">
        <v>1235.5695139240506</v>
      </c>
      <c r="N93" s="168">
        <v>1431.8413060163145</v>
      </c>
      <c r="O93" s="670" t="s">
        <v>424</v>
      </c>
      <c r="P93" s="670"/>
    </row>
    <row r="94" spans="1:22" x14ac:dyDescent="0.35">
      <c r="A94" s="677" t="s">
        <v>425</v>
      </c>
      <c r="B94" s="168">
        <v>631.97104101800448</v>
      </c>
      <c r="C94" s="168">
        <v>895.66403415861237</v>
      </c>
      <c r="D94" s="168">
        <v>625.68447371905211</v>
      </c>
      <c r="E94" s="168">
        <v>649.86272619891326</v>
      </c>
      <c r="F94" s="168">
        <v>759.83976791376017</v>
      </c>
      <c r="G94" s="168">
        <v>647.27924497991955</v>
      </c>
      <c r="H94" s="168">
        <v>649.94130833191923</v>
      </c>
      <c r="I94" s="168">
        <v>624.643808173872</v>
      </c>
      <c r="J94" s="168">
        <v>612.83617411581815</v>
      </c>
      <c r="K94" s="168">
        <v>633.45283972252639</v>
      </c>
      <c r="L94" s="168">
        <v>652.77957602562151</v>
      </c>
      <c r="M94" s="168">
        <v>652.77957602562151</v>
      </c>
      <c r="N94" s="168">
        <v>661.27864535165008</v>
      </c>
      <c r="O94" s="670" t="s">
        <v>426</v>
      </c>
      <c r="P94" s="670"/>
    </row>
    <row r="96" spans="1:22" x14ac:dyDescent="0.35">
      <c r="A96" s="406">
        <v>2025</v>
      </c>
      <c r="O96" s="670"/>
      <c r="P96" s="670"/>
    </row>
    <row r="97" spans="1:26" x14ac:dyDescent="0.35">
      <c r="A97" s="677" t="s">
        <v>423</v>
      </c>
      <c r="B97" s="168">
        <f>'1. Revenue Buildup 2026'!D36</f>
        <v>1287.7541216216218</v>
      </c>
      <c r="C97" s="168">
        <f>'1. Revenue Buildup 2026'!E36</f>
        <v>1547.1734415584415</v>
      </c>
      <c r="D97" s="168">
        <f>'1. Revenue Buildup 2026'!F36</f>
        <v>1265.2515337423313</v>
      </c>
      <c r="E97" s="168">
        <f>'1. Revenue Buildup 2026'!G36</f>
        <v>1295.926705882353</v>
      </c>
      <c r="F97" s="168">
        <f>'1. Revenue Buildup 2026'!H36</f>
        <v>1422.1352941176472</v>
      </c>
      <c r="G97" s="168">
        <f>'1. Revenue Buildup 2026'!I36</f>
        <v>1478.7630057803469</v>
      </c>
      <c r="H97" s="168">
        <f>'1. Revenue Buildup 2026'!J36</f>
        <v>1438.798221614227</v>
      </c>
      <c r="I97" s="168">
        <f>'1. Revenue Buildup 2026'!K36</f>
        <v>1195.4881361315938</v>
      </c>
      <c r="J97" s="168">
        <f>'1. Revenue Buildup 2026'!L36</f>
        <v>1206.7186790697674</v>
      </c>
      <c r="K97" s="168">
        <f>'1. Revenue Buildup 2026'!M36</f>
        <v>1153.4731707317073</v>
      </c>
      <c r="L97" s="168">
        <f>'1. Revenue Buildup 2026'!N36</f>
        <v>1105.7536945812808</v>
      </c>
      <c r="M97" s="168">
        <f>'1. Revenue Buildup 2026'!O36</f>
        <v>1105.7536945812808</v>
      </c>
      <c r="N97" s="168">
        <v>1280.9981344166854</v>
      </c>
      <c r="O97" s="670" t="s">
        <v>424</v>
      </c>
      <c r="P97" s="670"/>
      <c r="W97" s="670"/>
      <c r="X97" s="670"/>
      <c r="Y97" s="670"/>
      <c r="Z97" s="670"/>
    </row>
    <row r="98" spans="1:26" x14ac:dyDescent="0.35">
      <c r="A98" s="677" t="s">
        <v>425</v>
      </c>
      <c r="B98" s="168">
        <f>'1. Revenue Buildup 2026'!D38</f>
        <v>739.17474412868489</v>
      </c>
      <c r="C98" s="168">
        <f>'1. Revenue Buildup 2026'!E38</f>
        <v>682.37080515040941</v>
      </c>
      <c r="D98" s="168">
        <f>'1. Revenue Buildup 2026'!F38</f>
        <v>810</v>
      </c>
      <c r="E98" s="168">
        <f>'1. Revenue Buildup 2026'!G38</f>
        <v>719</v>
      </c>
      <c r="F98" s="168">
        <f>'1. Revenue Buildup 2026'!H38</f>
        <v>744</v>
      </c>
      <c r="G98" s="168">
        <f>'1. Revenue Buildup 2026'!I38</f>
        <v>746</v>
      </c>
      <c r="H98" s="168">
        <f>'1. Revenue Buildup 2026'!J38</f>
        <v>777</v>
      </c>
      <c r="I98" s="168">
        <f>'1. Revenue Buildup 2026'!K38</f>
        <v>860</v>
      </c>
      <c r="J98" s="168">
        <f>'1. Revenue Buildup 2026'!L38</f>
        <v>793</v>
      </c>
      <c r="K98" s="168">
        <f>'1. Revenue Buildup 2026'!M38</f>
        <v>840</v>
      </c>
      <c r="L98" s="168">
        <f>'1. Revenue Buildup 2026'!N38</f>
        <v>842</v>
      </c>
      <c r="M98" s="168">
        <f>'1. Revenue Buildup 2026'!O38</f>
        <v>842</v>
      </c>
      <c r="N98" s="168">
        <f>AVERAGE(B98:M98)</f>
        <v>782.87879577325782</v>
      </c>
      <c r="O98" s="670" t="s">
        <v>426</v>
      </c>
      <c r="P98" s="670"/>
      <c r="W98" s="670"/>
      <c r="X98" s="670"/>
      <c r="Y98" s="670"/>
      <c r="Z98" s="670"/>
    </row>
    <row r="100" spans="1:26" x14ac:dyDescent="0.35">
      <c r="A100" s="406">
        <v>2026</v>
      </c>
      <c r="O100" s="670"/>
      <c r="P100" s="670"/>
      <c r="W100" s="670"/>
      <c r="X100" s="670"/>
      <c r="Y100" s="670"/>
      <c r="Z100" s="670"/>
    </row>
    <row r="101" spans="1:26" x14ac:dyDescent="0.35">
      <c r="A101" s="677" t="s">
        <v>423</v>
      </c>
      <c r="B101" s="168">
        <f>'1. Revenue Buildup 2026'!D20</f>
        <v>1488.7337956287286</v>
      </c>
      <c r="C101" s="168">
        <f>'1. Revenue Buildup 2026'!E20</f>
        <v>1535.1637767907844</v>
      </c>
      <c r="D101" s="168">
        <f>'1. Revenue Buildup 2026'!F20</f>
        <v>1666.1702085767679</v>
      </c>
      <c r="E101" s="168">
        <f>'1. Revenue Buildup 2026'!G20</f>
        <v>1415.8669275394825</v>
      </c>
      <c r="F101" s="168">
        <f>'1. Revenue Buildup 2026'!H20</f>
        <v>1399.7626695222834</v>
      </c>
      <c r="G101" s="168">
        <f>'1. Revenue Buildup 2026'!I20</f>
        <v>1416.7872269595221</v>
      </c>
      <c r="H101" s="168">
        <f>'1. Revenue Buildup 2026'!J20</f>
        <v>1366.2294568058935</v>
      </c>
      <c r="I101" s="168">
        <f>'1. Revenue Buildup 2026'!K20</f>
        <v>1291.4556035051801</v>
      </c>
      <c r="J101" s="168">
        <f>'1. Revenue Buildup 2026'!L20</f>
        <v>1273.173872249494</v>
      </c>
      <c r="K101" s="168">
        <f>'1. Revenue Buildup 2026'!M20</f>
        <v>1244.4355834647367</v>
      </c>
      <c r="L101" s="168">
        <f>'1. Revenue Buildup 2026'!N20</f>
        <v>1213.9591193099691</v>
      </c>
      <c r="M101" s="168">
        <f>'1. Revenue Buildup 2026'!O20</f>
        <v>1194.804400843695</v>
      </c>
      <c r="N101" s="168">
        <f>'1. Revenue Buildup 2026'!C6/SUM('1. Revenue Buildup 2026'!D16:O16)</f>
        <v>1203.2171268243817</v>
      </c>
      <c r="O101" s="670" t="s">
        <v>424</v>
      </c>
      <c r="P101" s="670"/>
      <c r="W101" s="670"/>
      <c r="X101" s="670"/>
      <c r="Y101" s="670"/>
      <c r="Z101" s="670"/>
    </row>
    <row r="102" spans="1:26" x14ac:dyDescent="0.35">
      <c r="A102" s="677" t="s">
        <v>425</v>
      </c>
      <c r="B102" s="168">
        <f>(B12+B23)/'1. Revenue Buildup 2026'!D16</f>
        <v>795.19143414522227</v>
      </c>
      <c r="C102" s="168">
        <f>(C12+C23)/'1. Revenue Buildup 2026'!E16</f>
        <v>809.63279829063276</v>
      </c>
      <c r="D102" s="168">
        <f>(D12+D23)/'1. Revenue Buildup 2026'!F16</f>
        <v>805.63505962199974</v>
      </c>
      <c r="E102" s="168">
        <f>(E12+E23)/'1. Revenue Buildup 2026'!G16</f>
        <v>805.63505962199974</v>
      </c>
      <c r="F102" s="168">
        <f>(F12+F23)/'1. Revenue Buildup 2026'!H16</f>
        <v>818.2426247840973</v>
      </c>
      <c r="G102" s="168">
        <f>(G12+G23)/'1. Revenue Buildup 2026'!I16</f>
        <v>798.58896477758856</v>
      </c>
      <c r="H102" s="168">
        <f>(H12+H23)/'1. Revenue Buildup 2026'!J16</f>
        <v>812.18814628925986</v>
      </c>
      <c r="I102" s="168">
        <f>(I12+I23)/'1. Revenue Buildup 2026'!K16</f>
        <v>763.45431977312171</v>
      </c>
      <c r="J102" s="168">
        <f>(J12+J23)/'1. Revenue Buildup 2026'!L16</f>
        <v>756.24204557667622</v>
      </c>
      <c r="K102" s="168">
        <f>(K12+K23)/'1. Revenue Buildup 2026'!M16</f>
        <v>758.7088502851966</v>
      </c>
      <c r="L102" s="168">
        <f>(L12+L23)/'1. Revenue Buildup 2026'!N16</f>
        <v>749.03770384211441</v>
      </c>
      <c r="M102" s="168">
        <f>(M12+M23)/'1. Revenue Buildup 2026'!O16</f>
        <v>745.73203833698642</v>
      </c>
      <c r="N102" s="168">
        <f>(N12+N23)/'1. Revenue Buildup 2026'!P16</f>
        <v>780.99365675346121</v>
      </c>
      <c r="O102" s="670" t="s">
        <v>426</v>
      </c>
      <c r="P102" s="670"/>
      <c r="W102" s="670"/>
      <c r="X102" s="670"/>
      <c r="Y102" s="670"/>
      <c r="Z102" s="670"/>
    </row>
    <row r="110" spans="1:26" customFormat="1" x14ac:dyDescent="0.35">
      <c r="A110" s="670"/>
      <c r="B110" s="622">
        <f t="shared" ref="B110:M110" si="58">B72+B53+B12</f>
        <v>140478.14627090047</v>
      </c>
      <c r="C110" s="622">
        <f t="shared" si="58"/>
        <v>154435.32481734129</v>
      </c>
      <c r="D110" s="622" t="e">
        <f t="shared" si="58"/>
        <v>#REF!</v>
      </c>
      <c r="E110" s="622">
        <f t="shared" si="58"/>
        <v>132355.88135046166</v>
      </c>
      <c r="F110" s="622" t="e">
        <f t="shared" si="58"/>
        <v>#REF!</v>
      </c>
      <c r="G110" s="622" t="e">
        <f t="shared" si="58"/>
        <v>#REF!</v>
      </c>
      <c r="H110" s="622">
        <f t="shared" si="58"/>
        <v>155214.41097084459</v>
      </c>
      <c r="I110" s="622">
        <f t="shared" si="58"/>
        <v>163667.48765048981</v>
      </c>
      <c r="J110" s="622">
        <f t="shared" si="58"/>
        <v>166739.43291815341</v>
      </c>
      <c r="K110" s="622">
        <f t="shared" si="58"/>
        <v>171687.75204128609</v>
      </c>
      <c r="L110" s="622">
        <f t="shared" si="58"/>
        <v>174134.23935712667</v>
      </c>
      <c r="M110" s="622">
        <f t="shared" si="58"/>
        <v>177831.64257661326</v>
      </c>
      <c r="O110" s="670"/>
      <c r="P110" s="670"/>
      <c r="R110" s="9"/>
      <c r="T110" s="9"/>
      <c r="W110" s="670"/>
      <c r="X110" s="670"/>
      <c r="Y110" s="670"/>
      <c r="Z110" s="670"/>
    </row>
    <row r="112" spans="1:26" customFormat="1" x14ac:dyDescent="0.35">
      <c r="A112" s="670"/>
      <c r="B112" s="622">
        <f t="shared" ref="B112:M112" si="59">B78+B58+B34</f>
        <v>94514.25701149425</v>
      </c>
      <c r="C112" s="622">
        <f t="shared" si="59"/>
        <v>64090.108505747121</v>
      </c>
      <c r="D112" s="622">
        <f t="shared" si="59"/>
        <v>45858.599999999991</v>
      </c>
      <c r="E112" s="622">
        <f t="shared" si="59"/>
        <v>45549.599999999991</v>
      </c>
      <c r="F112" s="622">
        <f t="shared" si="59"/>
        <v>50056.490000000005</v>
      </c>
      <c r="G112" s="622">
        <f t="shared" si="59"/>
        <v>46030.599999999991</v>
      </c>
      <c r="H112" s="622">
        <f t="shared" si="59"/>
        <v>43710.599999999991</v>
      </c>
      <c r="I112" s="622">
        <f t="shared" si="59"/>
        <v>43710.599999999991</v>
      </c>
      <c r="J112" s="622">
        <f t="shared" si="59"/>
        <v>44131.859999999993</v>
      </c>
      <c r="K112" s="622">
        <f t="shared" si="59"/>
        <v>50765.490000000005</v>
      </c>
      <c r="L112" s="622">
        <f t="shared" si="59"/>
        <v>43710.599999999991</v>
      </c>
      <c r="M112" s="622">
        <f t="shared" si="59"/>
        <v>43919.599999999991</v>
      </c>
      <c r="O112" s="670"/>
      <c r="P112" s="670"/>
      <c r="R112" s="9"/>
      <c r="T112" s="9"/>
      <c r="W112" s="670"/>
      <c r="X112" s="670"/>
      <c r="Y112" s="670"/>
      <c r="Z112" s="67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3"/>
  <sheetViews>
    <sheetView showGridLines="0" tabSelected="1" zoomScale="80" zoomScaleNormal="80" workbookViewId="0">
      <pane xSplit="2" ySplit="3" topLeftCell="E24" activePane="bottomRight" state="frozen"/>
      <selection pane="topRight" activeCell="C1" sqref="C1"/>
      <selection pane="bottomLeft" activeCell="A4" sqref="A4"/>
      <selection pane="bottomRight" activeCell="R32" sqref="R32"/>
    </sheetView>
  </sheetViews>
  <sheetFormatPr defaultColWidth="8.81640625" defaultRowHeight="14.5" x14ac:dyDescent="0.35"/>
  <cols>
    <col min="2" max="2" width="38.453125" bestFit="1" customWidth="1"/>
    <col min="3" max="3" width="38.453125" customWidth="1"/>
    <col min="4" max="15" width="12.26953125" bestFit="1" customWidth="1"/>
    <col min="16" max="16" width="14.81640625" bestFit="1" customWidth="1"/>
  </cols>
  <sheetData>
    <row r="1" spans="1:17" x14ac:dyDescent="0.35">
      <c r="B1" s="215">
        <v>1</v>
      </c>
      <c r="C1" s="215"/>
      <c r="D1" s="215"/>
      <c r="E1" s="215"/>
      <c r="F1" s="215"/>
      <c r="G1" s="215"/>
      <c r="H1" s="215"/>
      <c r="I1" s="215"/>
      <c r="J1" s="215"/>
      <c r="K1" s="215"/>
      <c r="L1" s="215"/>
      <c r="M1" s="215"/>
      <c r="N1" s="215"/>
      <c r="O1" s="215"/>
      <c r="P1" s="215"/>
    </row>
    <row r="3" spans="1:17" s="106" customFormat="1" ht="13" x14ac:dyDescent="0.3">
      <c r="A3" s="189"/>
      <c r="B3" s="189" t="s">
        <v>489</v>
      </c>
      <c r="C3" s="189" t="s">
        <v>490</v>
      </c>
      <c r="D3" s="189">
        <v>46023</v>
      </c>
      <c r="E3" s="190">
        <v>46054</v>
      </c>
      <c r="F3" s="190">
        <v>46082</v>
      </c>
      <c r="G3" s="190">
        <v>46113</v>
      </c>
      <c r="H3" s="190">
        <v>46143</v>
      </c>
      <c r="I3" s="190">
        <v>46174</v>
      </c>
      <c r="J3" s="190">
        <v>46204</v>
      </c>
      <c r="K3" s="190">
        <v>46235</v>
      </c>
      <c r="L3" s="190">
        <v>46266</v>
      </c>
      <c r="M3" s="190">
        <v>46296</v>
      </c>
      <c r="N3" s="190">
        <v>46327</v>
      </c>
      <c r="O3" s="190">
        <v>46357</v>
      </c>
      <c r="P3" s="190" t="s">
        <v>174</v>
      </c>
      <c r="Q3" s="191"/>
    </row>
    <row r="4" spans="1:17" x14ac:dyDescent="0.35">
      <c r="B4" s="386" t="s">
        <v>489</v>
      </c>
      <c r="C4" s="386"/>
      <c r="D4" s="386"/>
      <c r="E4" s="386"/>
      <c r="F4" s="386"/>
      <c r="G4" s="386"/>
      <c r="H4" s="386"/>
      <c r="I4" s="386"/>
      <c r="J4" s="386"/>
      <c r="K4" s="386"/>
      <c r="L4" s="386"/>
      <c r="M4" s="386"/>
      <c r="N4" s="386"/>
      <c r="O4" s="386"/>
      <c r="P4" s="386">
        <f>SUM(D4:O4)</f>
        <v>0</v>
      </c>
    </row>
    <row r="5" spans="1:17" x14ac:dyDescent="0.35">
      <c r="B5" s="387" t="s">
        <v>491</v>
      </c>
      <c r="C5" s="387"/>
      <c r="D5" s="387"/>
      <c r="E5" s="387"/>
      <c r="F5" s="387"/>
      <c r="G5" s="387"/>
      <c r="H5" s="387"/>
      <c r="I5" s="387"/>
      <c r="J5" s="387"/>
      <c r="K5" s="387"/>
      <c r="L5" s="387"/>
      <c r="M5" s="387"/>
      <c r="N5" s="387"/>
      <c r="O5" s="387"/>
      <c r="P5" s="387">
        <f t="shared" ref="P5:P38" si="0">SUM(D5:O5)</f>
        <v>0</v>
      </c>
    </row>
    <row r="6" spans="1:17" x14ac:dyDescent="0.35">
      <c r="B6" s="388" t="s">
        <v>492</v>
      </c>
      <c r="C6" s="388"/>
      <c r="D6" s="388">
        <f>'India Expenses - Detailed'!E133</f>
        <v>156912.59007287529</v>
      </c>
      <c r="E6" s="388">
        <f>'India Expenses - Detailed'!F133</f>
        <v>163002.24524528906</v>
      </c>
      <c r="F6" s="388">
        <f>'India Expenses - Detailed'!G133</f>
        <v>148769.54367987908</v>
      </c>
      <c r="G6" s="388">
        <f>'India Expenses - Detailed'!H133</f>
        <v>150370.11839252277</v>
      </c>
      <c r="H6" s="388">
        <f>'India Expenses - Detailed'!I133</f>
        <v>156664.40050097363</v>
      </c>
      <c r="I6" s="388">
        <f>'India Expenses - Detailed'!J133</f>
        <v>155260.80279982422</v>
      </c>
      <c r="J6" s="388">
        <f>'India Expenses - Detailed'!K133</f>
        <v>166575.82860799518</v>
      </c>
      <c r="K6" s="388">
        <f>'India Expenses - Detailed'!L133</f>
        <v>178293.64669697097</v>
      </c>
      <c r="L6" s="388">
        <f>'India Expenses - Detailed'!M133</f>
        <v>184767.47710284311</v>
      </c>
      <c r="M6" s="388">
        <f>'India Expenses - Detailed'!N133</f>
        <v>194084.27302595659</v>
      </c>
      <c r="N6" s="388">
        <f>'India Expenses - Detailed'!O133</f>
        <v>187608.81607550688</v>
      </c>
      <c r="O6" s="388">
        <f>'India Expenses - Detailed'!P133</f>
        <v>190760.80740091921</v>
      </c>
      <c r="P6" s="582">
        <f t="shared" si="0"/>
        <v>2033070.5496015563</v>
      </c>
    </row>
    <row r="7" spans="1:17" x14ac:dyDescent="0.35">
      <c r="B7" s="387" t="s">
        <v>463</v>
      </c>
      <c r="C7" s="387"/>
      <c r="D7" s="387"/>
      <c r="E7" s="387"/>
      <c r="F7" s="387"/>
      <c r="G7" s="387"/>
      <c r="H7" s="387"/>
      <c r="I7" s="387"/>
      <c r="J7" s="387"/>
      <c r="K7" s="387"/>
      <c r="L7" s="387"/>
      <c r="M7" s="387"/>
      <c r="N7" s="387"/>
      <c r="O7" s="387"/>
      <c r="P7" s="387">
        <f t="shared" si="0"/>
        <v>0</v>
      </c>
    </row>
    <row r="8" spans="1:17" x14ac:dyDescent="0.35">
      <c r="B8" s="619" t="s">
        <v>493</v>
      </c>
      <c r="C8" s="620">
        <v>1000</v>
      </c>
      <c r="D8" s="619">
        <f t="shared" ref="D8:O8" si="1">$C8</f>
        <v>1000</v>
      </c>
      <c r="E8" s="619">
        <f t="shared" si="1"/>
        <v>1000</v>
      </c>
      <c r="F8" s="619">
        <f t="shared" si="1"/>
        <v>1000</v>
      </c>
      <c r="G8" s="619">
        <f t="shared" si="1"/>
        <v>1000</v>
      </c>
      <c r="H8" s="619">
        <f t="shared" si="1"/>
        <v>1000</v>
      </c>
      <c r="I8" s="619">
        <f t="shared" si="1"/>
        <v>1000</v>
      </c>
      <c r="J8" s="619">
        <f t="shared" si="1"/>
        <v>1000</v>
      </c>
      <c r="K8" s="619">
        <f t="shared" si="1"/>
        <v>1000</v>
      </c>
      <c r="L8" s="619">
        <f t="shared" si="1"/>
        <v>1000</v>
      </c>
      <c r="M8" s="619">
        <f t="shared" si="1"/>
        <v>1000</v>
      </c>
      <c r="N8" s="619">
        <f t="shared" si="1"/>
        <v>1000</v>
      </c>
      <c r="O8" s="619">
        <f t="shared" si="1"/>
        <v>1000</v>
      </c>
      <c r="P8" s="621">
        <f t="shared" si="0"/>
        <v>12000</v>
      </c>
    </row>
    <row r="9" spans="1:17" x14ac:dyDescent="0.35">
      <c r="B9" s="387" t="s">
        <v>494</v>
      </c>
      <c r="C9" s="387"/>
      <c r="D9" s="387"/>
      <c r="E9" s="387"/>
      <c r="F9" s="387"/>
      <c r="G9" s="387"/>
      <c r="H9" s="387"/>
      <c r="I9" s="387"/>
      <c r="J9" s="387"/>
      <c r="K9" s="387"/>
      <c r="L9" s="387"/>
      <c r="M9" s="387"/>
      <c r="N9" s="387"/>
      <c r="O9" s="387"/>
      <c r="P9" s="387">
        <f t="shared" si="0"/>
        <v>0</v>
      </c>
    </row>
    <row r="10" spans="1:17" x14ac:dyDescent="0.35">
      <c r="B10" s="388" t="s">
        <v>495</v>
      </c>
      <c r="C10" s="390"/>
      <c r="D10" s="388"/>
      <c r="E10" s="388"/>
      <c r="F10" s="388"/>
      <c r="G10" s="388"/>
      <c r="H10" s="388"/>
      <c r="I10" s="388"/>
      <c r="J10" s="388"/>
      <c r="K10" s="388"/>
      <c r="L10" s="388"/>
      <c r="M10" s="388"/>
      <c r="N10" s="388"/>
      <c r="O10" s="388"/>
      <c r="P10" s="582">
        <f t="shared" si="0"/>
        <v>0</v>
      </c>
    </row>
    <row r="11" spans="1:17" x14ac:dyDescent="0.35">
      <c r="B11" s="390" t="s">
        <v>496</v>
      </c>
      <c r="C11" s="578">
        <v>500</v>
      </c>
      <c r="D11" s="390">
        <f t="shared" ref="D11:O32" si="2">$C11</f>
        <v>500</v>
      </c>
      <c r="E11" s="390">
        <f t="shared" si="2"/>
        <v>500</v>
      </c>
      <c r="F11" s="390">
        <f t="shared" si="2"/>
        <v>500</v>
      </c>
      <c r="G11" s="390">
        <f t="shared" si="2"/>
        <v>500</v>
      </c>
      <c r="H11" s="390">
        <f t="shared" si="2"/>
        <v>500</v>
      </c>
      <c r="I11" s="390">
        <f t="shared" si="2"/>
        <v>500</v>
      </c>
      <c r="J11" s="390">
        <f t="shared" si="2"/>
        <v>500</v>
      </c>
      <c r="K11" s="390">
        <f t="shared" si="2"/>
        <v>500</v>
      </c>
      <c r="L11" s="390">
        <f t="shared" si="2"/>
        <v>500</v>
      </c>
      <c r="M11" s="390">
        <f t="shared" si="2"/>
        <v>500</v>
      </c>
      <c r="N11" s="390">
        <f t="shared" si="2"/>
        <v>500</v>
      </c>
      <c r="O11" s="390">
        <f t="shared" si="2"/>
        <v>500</v>
      </c>
      <c r="P11" s="583">
        <f t="shared" ref="P11" si="3">SUM(D11:O11)</f>
        <v>6000</v>
      </c>
    </row>
    <row r="12" spans="1:17" x14ac:dyDescent="0.35">
      <c r="A12" t="s">
        <v>497</v>
      </c>
      <c r="B12" s="390" t="s">
        <v>498</v>
      </c>
      <c r="C12" s="390"/>
      <c r="D12" s="390"/>
      <c r="E12" s="390"/>
      <c r="F12" s="390"/>
      <c r="G12" s="390"/>
      <c r="H12" s="390"/>
      <c r="I12" s="390"/>
      <c r="J12" s="390"/>
      <c r="K12" s="390"/>
      <c r="L12" s="390">
        <v>212.26</v>
      </c>
      <c r="M12" s="390"/>
      <c r="N12" s="390"/>
      <c r="O12" s="390"/>
      <c r="P12" s="583">
        <f t="shared" si="0"/>
        <v>212.26</v>
      </c>
    </row>
    <row r="13" spans="1:17" x14ac:dyDescent="0.35">
      <c r="B13" s="390" t="s">
        <v>499</v>
      </c>
      <c r="C13" s="578">
        <v>13.8</v>
      </c>
      <c r="D13" s="390">
        <f t="shared" si="2"/>
        <v>13.8</v>
      </c>
      <c r="E13" s="390">
        <f t="shared" si="2"/>
        <v>13.8</v>
      </c>
      <c r="F13" s="390">
        <f t="shared" si="2"/>
        <v>13.8</v>
      </c>
      <c r="G13" s="390">
        <f t="shared" si="2"/>
        <v>13.8</v>
      </c>
      <c r="H13" s="390">
        <f t="shared" si="2"/>
        <v>13.8</v>
      </c>
      <c r="I13" s="390">
        <f t="shared" si="2"/>
        <v>13.8</v>
      </c>
      <c r="J13" s="390">
        <f t="shared" si="2"/>
        <v>13.8</v>
      </c>
      <c r="K13" s="390">
        <f t="shared" si="2"/>
        <v>13.8</v>
      </c>
      <c r="L13" s="390">
        <f t="shared" si="2"/>
        <v>13.8</v>
      </c>
      <c r="M13" s="390">
        <f t="shared" si="2"/>
        <v>13.8</v>
      </c>
      <c r="N13" s="390">
        <f t="shared" si="2"/>
        <v>13.8</v>
      </c>
      <c r="O13" s="390">
        <f t="shared" si="2"/>
        <v>13.8</v>
      </c>
      <c r="P13" s="583">
        <f t="shared" si="0"/>
        <v>165.60000000000002</v>
      </c>
    </row>
    <row r="14" spans="1:17" x14ac:dyDescent="0.35">
      <c r="B14" s="390" t="s">
        <v>500</v>
      </c>
      <c r="C14" s="578">
        <v>25.54</v>
      </c>
      <c r="D14" s="390">
        <f t="shared" si="2"/>
        <v>25.54</v>
      </c>
      <c r="E14" s="390">
        <f t="shared" si="2"/>
        <v>25.54</v>
      </c>
      <c r="F14" s="390">
        <f t="shared" si="2"/>
        <v>25.54</v>
      </c>
      <c r="G14" s="390">
        <f t="shared" si="2"/>
        <v>25.54</v>
      </c>
      <c r="H14" s="390">
        <f t="shared" si="2"/>
        <v>25.54</v>
      </c>
      <c r="I14" s="390">
        <f t="shared" si="2"/>
        <v>25.54</v>
      </c>
      <c r="J14" s="390">
        <f t="shared" si="2"/>
        <v>25.54</v>
      </c>
      <c r="K14" s="390">
        <f t="shared" si="2"/>
        <v>25.54</v>
      </c>
      <c r="L14" s="390">
        <f t="shared" si="2"/>
        <v>25.54</v>
      </c>
      <c r="M14" s="390">
        <f t="shared" si="2"/>
        <v>25.54</v>
      </c>
      <c r="N14" s="390">
        <f t="shared" si="2"/>
        <v>25.54</v>
      </c>
      <c r="O14" s="390">
        <f t="shared" si="2"/>
        <v>25.54</v>
      </c>
      <c r="P14" s="583">
        <f t="shared" si="0"/>
        <v>306.47999999999996</v>
      </c>
    </row>
    <row r="15" spans="1:17" x14ac:dyDescent="0.35">
      <c r="B15" s="390" t="s">
        <v>501</v>
      </c>
      <c r="C15" s="578">
        <v>178</v>
      </c>
      <c r="D15" s="390">
        <f t="shared" si="2"/>
        <v>178</v>
      </c>
      <c r="E15" s="390">
        <f t="shared" si="2"/>
        <v>178</v>
      </c>
      <c r="F15" s="390">
        <f t="shared" si="2"/>
        <v>178</v>
      </c>
      <c r="G15" s="390">
        <f t="shared" si="2"/>
        <v>178</v>
      </c>
      <c r="H15" s="390">
        <f t="shared" si="2"/>
        <v>178</v>
      </c>
      <c r="I15" s="390">
        <f t="shared" si="2"/>
        <v>178</v>
      </c>
      <c r="J15" s="390">
        <f t="shared" si="2"/>
        <v>178</v>
      </c>
      <c r="K15" s="390">
        <f t="shared" si="2"/>
        <v>178</v>
      </c>
      <c r="L15" s="390">
        <f t="shared" si="2"/>
        <v>178</v>
      </c>
      <c r="M15" s="390">
        <f t="shared" si="2"/>
        <v>178</v>
      </c>
      <c r="N15" s="390">
        <f t="shared" si="2"/>
        <v>178</v>
      </c>
      <c r="O15" s="390">
        <f t="shared" si="2"/>
        <v>178</v>
      </c>
      <c r="P15" s="583">
        <f t="shared" si="0"/>
        <v>2136</v>
      </c>
    </row>
    <row r="16" spans="1:17" x14ac:dyDescent="0.35">
      <c r="B16" s="390" t="s">
        <v>502</v>
      </c>
      <c r="C16" s="578">
        <v>12.78</v>
      </c>
      <c r="D16" s="390">
        <f t="shared" si="2"/>
        <v>12.78</v>
      </c>
      <c r="E16" s="390">
        <f t="shared" si="2"/>
        <v>12.78</v>
      </c>
      <c r="F16" s="390">
        <f t="shared" si="2"/>
        <v>12.78</v>
      </c>
      <c r="G16" s="390">
        <f t="shared" si="2"/>
        <v>12.78</v>
      </c>
      <c r="H16" s="390">
        <f t="shared" si="2"/>
        <v>12.78</v>
      </c>
      <c r="I16" s="390">
        <f t="shared" si="2"/>
        <v>12.78</v>
      </c>
      <c r="J16" s="390">
        <f t="shared" si="2"/>
        <v>12.78</v>
      </c>
      <c r="K16" s="390">
        <f t="shared" si="2"/>
        <v>12.78</v>
      </c>
      <c r="L16" s="390">
        <f t="shared" si="2"/>
        <v>12.78</v>
      </c>
      <c r="M16" s="390">
        <f t="shared" si="2"/>
        <v>12.78</v>
      </c>
      <c r="N16" s="390">
        <f t="shared" si="2"/>
        <v>12.78</v>
      </c>
      <c r="O16" s="390">
        <f t="shared" si="2"/>
        <v>12.78</v>
      </c>
      <c r="P16" s="583">
        <f t="shared" si="0"/>
        <v>153.35999999999999</v>
      </c>
    </row>
    <row r="17" spans="1:16" x14ac:dyDescent="0.35">
      <c r="B17" s="390" t="s">
        <v>503</v>
      </c>
      <c r="C17" s="578">
        <v>21.01</v>
      </c>
      <c r="D17" s="390">
        <f t="shared" si="2"/>
        <v>21.01</v>
      </c>
      <c r="E17" s="390">
        <f t="shared" si="2"/>
        <v>21.01</v>
      </c>
      <c r="F17" s="390">
        <f t="shared" si="2"/>
        <v>21.01</v>
      </c>
      <c r="G17" s="390">
        <f t="shared" si="2"/>
        <v>21.01</v>
      </c>
      <c r="H17" s="390">
        <f t="shared" si="2"/>
        <v>21.01</v>
      </c>
      <c r="I17" s="390">
        <f t="shared" si="2"/>
        <v>21.01</v>
      </c>
      <c r="J17" s="390">
        <f t="shared" si="2"/>
        <v>21.01</v>
      </c>
      <c r="K17" s="390">
        <f t="shared" si="2"/>
        <v>21.01</v>
      </c>
      <c r="L17" s="390">
        <f t="shared" si="2"/>
        <v>21.01</v>
      </c>
      <c r="M17" s="390">
        <f t="shared" si="2"/>
        <v>21.01</v>
      </c>
      <c r="N17" s="390">
        <f t="shared" si="2"/>
        <v>21.01</v>
      </c>
      <c r="O17" s="390">
        <f t="shared" si="2"/>
        <v>21.01</v>
      </c>
      <c r="P17" s="583">
        <f t="shared" si="0"/>
        <v>252.11999999999998</v>
      </c>
    </row>
    <row r="18" spans="1:16" x14ac:dyDescent="0.35">
      <c r="B18" s="390" t="s">
        <v>504</v>
      </c>
      <c r="C18" s="578">
        <v>138.58000000000001</v>
      </c>
      <c r="D18" s="390">
        <f t="shared" si="2"/>
        <v>138.58000000000001</v>
      </c>
      <c r="E18" s="390">
        <f t="shared" si="2"/>
        <v>138.58000000000001</v>
      </c>
      <c r="F18" s="390">
        <f t="shared" si="2"/>
        <v>138.58000000000001</v>
      </c>
      <c r="G18" s="390">
        <f t="shared" si="2"/>
        <v>138.58000000000001</v>
      </c>
      <c r="H18" s="390">
        <f t="shared" si="2"/>
        <v>138.58000000000001</v>
      </c>
      <c r="I18" s="390">
        <f t="shared" si="2"/>
        <v>138.58000000000001</v>
      </c>
      <c r="J18" s="390">
        <f t="shared" si="2"/>
        <v>138.58000000000001</v>
      </c>
      <c r="K18" s="390">
        <f t="shared" si="2"/>
        <v>138.58000000000001</v>
      </c>
      <c r="L18" s="390">
        <f t="shared" si="2"/>
        <v>138.58000000000001</v>
      </c>
      <c r="M18" s="390">
        <f t="shared" si="2"/>
        <v>138.58000000000001</v>
      </c>
      <c r="N18" s="390">
        <f t="shared" si="2"/>
        <v>138.58000000000001</v>
      </c>
      <c r="O18" s="390">
        <f t="shared" si="2"/>
        <v>138.58000000000001</v>
      </c>
      <c r="P18" s="583">
        <f t="shared" si="0"/>
        <v>1662.9599999999998</v>
      </c>
    </row>
    <row r="19" spans="1:16" x14ac:dyDescent="0.35">
      <c r="B19" s="388" t="s">
        <v>505</v>
      </c>
      <c r="C19" s="578"/>
      <c r="D19" s="390">
        <f t="shared" si="2"/>
        <v>0</v>
      </c>
      <c r="E19" s="390">
        <f t="shared" si="2"/>
        <v>0</v>
      </c>
      <c r="F19" s="390">
        <f t="shared" si="2"/>
        <v>0</v>
      </c>
      <c r="G19" s="390">
        <f t="shared" si="2"/>
        <v>0</v>
      </c>
      <c r="H19" s="390">
        <f t="shared" si="2"/>
        <v>0</v>
      </c>
      <c r="I19" s="390">
        <f t="shared" si="2"/>
        <v>0</v>
      </c>
      <c r="J19" s="390">
        <f t="shared" si="2"/>
        <v>0</v>
      </c>
      <c r="K19" s="390">
        <f t="shared" si="2"/>
        <v>0</v>
      </c>
      <c r="L19" s="390">
        <f t="shared" si="2"/>
        <v>0</v>
      </c>
      <c r="M19" s="390">
        <f t="shared" si="2"/>
        <v>0</v>
      </c>
      <c r="N19" s="390">
        <f t="shared" si="2"/>
        <v>0</v>
      </c>
      <c r="O19" s="390">
        <f t="shared" si="2"/>
        <v>0</v>
      </c>
      <c r="P19" s="582">
        <f t="shared" si="0"/>
        <v>0</v>
      </c>
    </row>
    <row r="20" spans="1:16" x14ac:dyDescent="0.35">
      <c r="B20" s="390" t="s">
        <v>506</v>
      </c>
      <c r="C20" s="578">
        <v>85.12</v>
      </c>
      <c r="D20" s="390">
        <f t="shared" si="2"/>
        <v>85.12</v>
      </c>
      <c r="E20" s="390">
        <f t="shared" si="2"/>
        <v>85.12</v>
      </c>
      <c r="F20" s="390">
        <f t="shared" si="2"/>
        <v>85.12</v>
      </c>
      <c r="G20" s="390">
        <f t="shared" si="2"/>
        <v>85.12</v>
      </c>
      <c r="H20" s="390">
        <f t="shared" si="2"/>
        <v>85.12</v>
      </c>
      <c r="I20" s="390">
        <f t="shared" si="2"/>
        <v>85.12</v>
      </c>
      <c r="J20" s="390">
        <f t="shared" si="2"/>
        <v>85.12</v>
      </c>
      <c r="K20" s="390">
        <f t="shared" si="2"/>
        <v>85.12</v>
      </c>
      <c r="L20" s="390">
        <f t="shared" si="2"/>
        <v>85.12</v>
      </c>
      <c r="M20" s="390">
        <f t="shared" si="2"/>
        <v>85.12</v>
      </c>
      <c r="N20" s="390">
        <f t="shared" si="2"/>
        <v>85.12</v>
      </c>
      <c r="O20" s="390">
        <f t="shared" si="2"/>
        <v>85.12</v>
      </c>
      <c r="P20" s="583">
        <f t="shared" si="0"/>
        <v>1021.44</v>
      </c>
    </row>
    <row r="21" spans="1:16" x14ac:dyDescent="0.35">
      <c r="B21" s="390" t="s">
        <v>507</v>
      </c>
      <c r="C21" s="578">
        <v>176</v>
      </c>
      <c r="D21" s="390">
        <f t="shared" si="2"/>
        <v>176</v>
      </c>
      <c r="E21" s="390">
        <f t="shared" si="2"/>
        <v>176</v>
      </c>
      <c r="F21" s="390">
        <f t="shared" si="2"/>
        <v>176</v>
      </c>
      <c r="G21" s="390">
        <f t="shared" si="2"/>
        <v>176</v>
      </c>
      <c r="H21" s="390">
        <f t="shared" si="2"/>
        <v>176</v>
      </c>
      <c r="I21" s="390">
        <f t="shared" si="2"/>
        <v>176</v>
      </c>
      <c r="J21" s="390">
        <f t="shared" si="2"/>
        <v>176</v>
      </c>
      <c r="K21" s="390">
        <f t="shared" si="2"/>
        <v>176</v>
      </c>
      <c r="L21" s="390">
        <f t="shared" si="2"/>
        <v>176</v>
      </c>
      <c r="M21" s="390">
        <f t="shared" si="2"/>
        <v>176</v>
      </c>
      <c r="N21" s="390">
        <f t="shared" si="2"/>
        <v>176</v>
      </c>
      <c r="O21" s="390">
        <f t="shared" si="2"/>
        <v>176</v>
      </c>
      <c r="P21" s="583">
        <f t="shared" si="0"/>
        <v>2112</v>
      </c>
    </row>
    <row r="22" spans="1:16" x14ac:dyDescent="0.35">
      <c r="B22" s="388" t="s">
        <v>508</v>
      </c>
      <c r="C22" s="578"/>
      <c r="D22" s="390"/>
      <c r="E22" s="390"/>
      <c r="F22" s="390"/>
      <c r="G22" s="390"/>
      <c r="H22" s="390"/>
      <c r="I22" s="390"/>
      <c r="J22" s="390"/>
      <c r="K22" s="390"/>
      <c r="L22" s="390"/>
      <c r="M22" s="390"/>
      <c r="N22" s="390"/>
      <c r="O22" s="390"/>
      <c r="P22" s="582"/>
    </row>
    <row r="23" spans="1:16" x14ac:dyDescent="0.35">
      <c r="B23" s="390" t="s">
        <v>509</v>
      </c>
      <c r="C23" s="578">
        <v>322</v>
      </c>
      <c r="D23" s="390">
        <f t="shared" si="2"/>
        <v>322</v>
      </c>
      <c r="E23" s="390">
        <f t="shared" si="2"/>
        <v>322</v>
      </c>
      <c r="F23" s="390">
        <v>228</v>
      </c>
      <c r="G23" s="390">
        <v>228</v>
      </c>
      <c r="H23" s="390">
        <v>180</v>
      </c>
      <c r="I23" s="390">
        <v>180</v>
      </c>
      <c r="J23" s="390">
        <v>180</v>
      </c>
      <c r="K23" s="390">
        <v>180</v>
      </c>
      <c r="L23" s="390">
        <v>180</v>
      </c>
      <c r="M23" s="390">
        <v>180</v>
      </c>
      <c r="N23" s="390">
        <v>180</v>
      </c>
      <c r="O23" s="390">
        <v>180</v>
      </c>
      <c r="P23" s="583">
        <f t="shared" si="0"/>
        <v>2540</v>
      </c>
    </row>
    <row r="24" spans="1:16" ht="15.5" x14ac:dyDescent="0.35">
      <c r="A24" s="567"/>
      <c r="B24" s="617" t="s">
        <v>494</v>
      </c>
      <c r="C24" s="618"/>
      <c r="D24" s="618">
        <f t="shared" ref="D24:O24" si="4">SUM(D11:D23)</f>
        <v>1472.83</v>
      </c>
      <c r="E24" s="618">
        <f t="shared" si="4"/>
        <v>1472.83</v>
      </c>
      <c r="F24" s="618">
        <f t="shared" si="4"/>
        <v>1378.83</v>
      </c>
      <c r="G24" s="618">
        <f t="shared" si="4"/>
        <v>1378.83</v>
      </c>
      <c r="H24" s="618">
        <f t="shared" si="4"/>
        <v>1330.83</v>
      </c>
      <c r="I24" s="618">
        <f t="shared" si="4"/>
        <v>1330.83</v>
      </c>
      <c r="J24" s="618">
        <f t="shared" si="4"/>
        <v>1330.83</v>
      </c>
      <c r="K24" s="618">
        <f t="shared" si="4"/>
        <v>1330.83</v>
      </c>
      <c r="L24" s="618">
        <f t="shared" si="4"/>
        <v>1543.0899999999997</v>
      </c>
      <c r="M24" s="618">
        <f t="shared" si="4"/>
        <v>1330.83</v>
      </c>
      <c r="N24" s="618">
        <f t="shared" si="4"/>
        <v>1330.83</v>
      </c>
      <c r="O24" s="618">
        <f t="shared" si="4"/>
        <v>1330.83</v>
      </c>
      <c r="P24" s="618">
        <f t="shared" ref="P24" si="5">SUM(D24:O24)</f>
        <v>16562.22</v>
      </c>
    </row>
    <row r="25" spans="1:16" x14ac:dyDescent="0.35">
      <c r="B25" s="390"/>
      <c r="C25" s="578"/>
      <c r="D25" s="390"/>
      <c r="E25" s="390"/>
      <c r="F25" s="390"/>
      <c r="G25" s="390"/>
      <c r="H25" s="390"/>
      <c r="I25" s="390"/>
      <c r="J25" s="390"/>
      <c r="K25" s="390"/>
      <c r="L25" s="390"/>
      <c r="M25" s="390"/>
      <c r="N25" s="390"/>
      <c r="O25" s="390"/>
      <c r="P25" s="583"/>
    </row>
    <row r="26" spans="1:16" x14ac:dyDescent="0.35">
      <c r="B26" s="387" t="s">
        <v>510</v>
      </c>
      <c r="C26" s="387"/>
      <c r="D26" s="390">
        <f t="shared" si="2"/>
        <v>0</v>
      </c>
      <c r="E26" s="390">
        <f t="shared" si="2"/>
        <v>0</v>
      </c>
      <c r="F26" s="390">
        <f t="shared" si="2"/>
        <v>0</v>
      </c>
      <c r="G26" s="390">
        <f t="shared" si="2"/>
        <v>0</v>
      </c>
      <c r="H26" s="390">
        <f t="shared" si="2"/>
        <v>0</v>
      </c>
      <c r="I26" s="390">
        <f t="shared" si="2"/>
        <v>0</v>
      </c>
      <c r="J26" s="390">
        <f t="shared" si="2"/>
        <v>0</v>
      </c>
      <c r="K26" s="390">
        <f t="shared" si="2"/>
        <v>0</v>
      </c>
      <c r="L26" s="390">
        <f t="shared" si="2"/>
        <v>0</v>
      </c>
      <c r="M26" s="390">
        <f t="shared" si="2"/>
        <v>0</v>
      </c>
      <c r="N26" s="390">
        <f t="shared" si="2"/>
        <v>0</v>
      </c>
      <c r="O26" s="390">
        <f t="shared" si="2"/>
        <v>0</v>
      </c>
      <c r="P26" s="387">
        <f t="shared" si="0"/>
        <v>0</v>
      </c>
    </row>
    <row r="27" spans="1:16" x14ac:dyDescent="0.35">
      <c r="B27" s="387"/>
      <c r="C27" s="387"/>
      <c r="D27" s="390"/>
      <c r="E27" s="390"/>
      <c r="F27" s="390"/>
      <c r="G27" s="390"/>
      <c r="H27" s="390"/>
      <c r="I27" s="390"/>
      <c r="J27" s="390"/>
      <c r="K27" s="390"/>
      <c r="L27" s="390"/>
      <c r="M27" s="390"/>
      <c r="N27" s="390"/>
      <c r="O27" s="390"/>
      <c r="P27" s="387"/>
    </row>
    <row r="28" spans="1:16" x14ac:dyDescent="0.35">
      <c r="B28" s="388" t="s">
        <v>511</v>
      </c>
      <c r="C28" s="388"/>
      <c r="D28" s="390">
        <f t="shared" si="2"/>
        <v>0</v>
      </c>
      <c r="E28" s="390">
        <f t="shared" si="2"/>
        <v>0</v>
      </c>
      <c r="F28" s="390">
        <f t="shared" si="2"/>
        <v>0</v>
      </c>
      <c r="G28" s="390">
        <f t="shared" si="2"/>
        <v>0</v>
      </c>
      <c r="H28" s="390">
        <f t="shared" si="2"/>
        <v>0</v>
      </c>
      <c r="I28" s="390">
        <f t="shared" si="2"/>
        <v>0</v>
      </c>
      <c r="J28" s="390">
        <f t="shared" si="2"/>
        <v>0</v>
      </c>
      <c r="K28" s="390">
        <f t="shared" si="2"/>
        <v>0</v>
      </c>
      <c r="L28" s="390">
        <f t="shared" si="2"/>
        <v>0</v>
      </c>
      <c r="M28" s="390">
        <f t="shared" si="2"/>
        <v>0</v>
      </c>
      <c r="N28" s="390">
        <f t="shared" si="2"/>
        <v>0</v>
      </c>
      <c r="O28" s="390">
        <f t="shared" si="2"/>
        <v>0</v>
      </c>
      <c r="P28" s="582">
        <f t="shared" si="0"/>
        <v>0</v>
      </c>
    </row>
    <row r="29" spans="1:16" x14ac:dyDescent="0.35">
      <c r="A29" s="41" t="s">
        <v>1305</v>
      </c>
      <c r="B29" s="390" t="s">
        <v>512</v>
      </c>
      <c r="C29" s="578">
        <v>12000</v>
      </c>
      <c r="D29" s="390">
        <f t="shared" si="2"/>
        <v>12000</v>
      </c>
      <c r="E29" s="390">
        <f t="shared" si="2"/>
        <v>12000</v>
      </c>
      <c r="F29" s="390"/>
      <c r="G29" s="390"/>
      <c r="H29" s="390"/>
      <c r="I29" s="390"/>
      <c r="J29" s="390"/>
      <c r="K29" s="390"/>
      <c r="L29" s="390"/>
      <c r="M29" s="390"/>
      <c r="N29" s="390"/>
      <c r="O29" s="390"/>
      <c r="P29" s="583">
        <f t="shared" si="0"/>
        <v>24000</v>
      </c>
    </row>
    <row r="30" spans="1:16" x14ac:dyDescent="0.35">
      <c r="B30" s="390" t="s">
        <v>513</v>
      </c>
      <c r="C30" s="578">
        <v>30</v>
      </c>
      <c r="D30" s="390">
        <f t="shared" si="2"/>
        <v>30</v>
      </c>
      <c r="E30" s="390">
        <f t="shared" si="2"/>
        <v>30</v>
      </c>
      <c r="F30" s="390">
        <f t="shared" si="2"/>
        <v>30</v>
      </c>
      <c r="G30" s="390">
        <f t="shared" si="2"/>
        <v>30</v>
      </c>
      <c r="H30" s="390">
        <f t="shared" si="2"/>
        <v>30</v>
      </c>
      <c r="I30" s="390">
        <f t="shared" si="2"/>
        <v>30</v>
      </c>
      <c r="J30" s="390">
        <f t="shared" si="2"/>
        <v>30</v>
      </c>
      <c r="K30" s="390">
        <f t="shared" si="2"/>
        <v>30</v>
      </c>
      <c r="L30" s="390">
        <f t="shared" si="2"/>
        <v>30</v>
      </c>
      <c r="M30" s="390">
        <f t="shared" si="2"/>
        <v>30</v>
      </c>
      <c r="N30" s="390">
        <f t="shared" si="2"/>
        <v>30</v>
      </c>
      <c r="O30" s="390">
        <f t="shared" si="2"/>
        <v>30</v>
      </c>
      <c r="P30" s="583">
        <f t="shared" si="0"/>
        <v>360</v>
      </c>
    </row>
    <row r="31" spans="1:16" x14ac:dyDescent="0.35">
      <c r="B31" s="390" t="s">
        <v>1658</v>
      </c>
      <c r="C31" s="578">
        <v>2169</v>
      </c>
      <c r="D31" s="390">
        <f t="shared" si="2"/>
        <v>2169</v>
      </c>
      <c r="E31" s="390">
        <f t="shared" si="2"/>
        <v>2169</v>
      </c>
      <c r="F31" s="390">
        <f t="shared" si="2"/>
        <v>2169</v>
      </c>
      <c r="G31" s="390">
        <f t="shared" si="2"/>
        <v>2169</v>
      </c>
      <c r="H31" s="390">
        <f t="shared" si="2"/>
        <v>2169</v>
      </c>
      <c r="I31" s="390">
        <f t="shared" si="2"/>
        <v>2169</v>
      </c>
      <c r="J31" s="390">
        <f t="shared" si="2"/>
        <v>2169</v>
      </c>
      <c r="K31" s="390">
        <f t="shared" si="2"/>
        <v>2169</v>
      </c>
      <c r="L31" s="390">
        <f t="shared" si="2"/>
        <v>2169</v>
      </c>
      <c r="M31" s="390">
        <f t="shared" si="2"/>
        <v>2169</v>
      </c>
      <c r="N31" s="390">
        <f t="shared" si="2"/>
        <v>2169</v>
      </c>
      <c r="O31" s="390">
        <f t="shared" si="2"/>
        <v>2169</v>
      </c>
      <c r="P31" s="583">
        <f t="shared" si="0"/>
        <v>26028</v>
      </c>
    </row>
    <row r="32" spans="1:16" x14ac:dyDescent="0.35">
      <c r="B32" s="390" t="s">
        <v>514</v>
      </c>
      <c r="C32" s="578">
        <v>170</v>
      </c>
      <c r="D32" s="390">
        <f t="shared" si="2"/>
        <v>170</v>
      </c>
      <c r="E32" s="390">
        <f t="shared" si="2"/>
        <v>170</v>
      </c>
      <c r="F32" s="390">
        <f t="shared" si="2"/>
        <v>170</v>
      </c>
      <c r="G32" s="390">
        <f t="shared" si="2"/>
        <v>170</v>
      </c>
      <c r="H32" s="390">
        <f t="shared" si="2"/>
        <v>170</v>
      </c>
      <c r="I32" s="390">
        <f t="shared" si="2"/>
        <v>170</v>
      </c>
      <c r="J32" s="390">
        <f t="shared" si="2"/>
        <v>170</v>
      </c>
      <c r="K32" s="390">
        <f t="shared" si="2"/>
        <v>170</v>
      </c>
      <c r="L32" s="390">
        <f t="shared" si="2"/>
        <v>170</v>
      </c>
      <c r="M32" s="390">
        <f t="shared" si="2"/>
        <v>170</v>
      </c>
      <c r="N32" s="390">
        <f t="shared" si="2"/>
        <v>170</v>
      </c>
      <c r="O32" s="390">
        <f t="shared" si="2"/>
        <v>170</v>
      </c>
      <c r="P32" s="583">
        <f t="shared" ref="P32" si="6">SUM(D32:O32)</f>
        <v>2040</v>
      </c>
    </row>
    <row r="33" spans="1:16" x14ac:dyDescent="0.35">
      <c r="B33" s="390" t="s">
        <v>515</v>
      </c>
      <c r="C33" s="578"/>
      <c r="D33" s="390">
        <f t="shared" ref="D33:O38" si="7">$C33</f>
        <v>0</v>
      </c>
      <c r="E33" s="390">
        <f t="shared" si="7"/>
        <v>0</v>
      </c>
      <c r="F33" s="390">
        <f t="shared" si="7"/>
        <v>0</v>
      </c>
      <c r="G33" s="390">
        <f t="shared" si="7"/>
        <v>0</v>
      </c>
      <c r="H33" s="390">
        <f t="shared" si="7"/>
        <v>0</v>
      </c>
      <c r="I33" s="390">
        <f t="shared" si="7"/>
        <v>0</v>
      </c>
      <c r="J33" s="390">
        <f t="shared" si="7"/>
        <v>0</v>
      </c>
      <c r="K33" s="390">
        <f t="shared" si="7"/>
        <v>0</v>
      </c>
      <c r="L33" s="390">
        <f t="shared" si="7"/>
        <v>0</v>
      </c>
      <c r="M33" s="390">
        <f t="shared" si="7"/>
        <v>0</v>
      </c>
      <c r="N33" s="390">
        <f t="shared" si="7"/>
        <v>0</v>
      </c>
      <c r="O33" s="390">
        <f t="shared" si="7"/>
        <v>0</v>
      </c>
      <c r="P33" s="583">
        <f t="shared" si="0"/>
        <v>0</v>
      </c>
    </row>
    <row r="34" spans="1:16" x14ac:dyDescent="0.35">
      <c r="B34" s="390" t="s">
        <v>516</v>
      </c>
      <c r="C34" s="578">
        <v>5000</v>
      </c>
      <c r="D34" s="390">
        <f>IF('India Expenses - Detailed'!$S$1="With",'5. US Expenses'!$C$34,0)</f>
        <v>5000</v>
      </c>
      <c r="E34" s="390">
        <f>IF('India Expenses - Detailed'!$S$1="With",'5. US Expenses'!$C$34,0)</f>
        <v>5000</v>
      </c>
      <c r="F34" s="390">
        <f>IF('India Expenses - Detailed'!$S$1="With",'5. US Expenses'!$C$34,0)</f>
        <v>5000</v>
      </c>
      <c r="G34" s="390">
        <f>IF('India Expenses - Detailed'!$S$1="With",'5. US Expenses'!$C$34,0)</f>
        <v>5000</v>
      </c>
      <c r="H34" s="390">
        <f>IF('India Expenses - Detailed'!$S$1="With",'5. US Expenses'!$C$34,0)</f>
        <v>5000</v>
      </c>
      <c r="I34" s="390">
        <f>IF('India Expenses - Detailed'!$S$1="With",'5. US Expenses'!$C$34,0)</f>
        <v>5000</v>
      </c>
      <c r="J34" s="390">
        <v>3000</v>
      </c>
      <c r="K34" s="390">
        <v>3000</v>
      </c>
      <c r="L34" s="390">
        <v>3000</v>
      </c>
      <c r="M34" s="390">
        <v>3000</v>
      </c>
      <c r="N34" s="390">
        <v>3000</v>
      </c>
      <c r="O34" s="390">
        <v>3000</v>
      </c>
      <c r="P34" s="583">
        <f t="shared" si="0"/>
        <v>48000</v>
      </c>
    </row>
    <row r="35" spans="1:16" x14ac:dyDescent="0.35">
      <c r="B35" s="390" t="s">
        <v>517</v>
      </c>
      <c r="C35" s="578">
        <v>105.53</v>
      </c>
      <c r="D35" s="390">
        <f t="shared" si="7"/>
        <v>105.53</v>
      </c>
      <c r="E35" s="390">
        <f t="shared" si="7"/>
        <v>105.53</v>
      </c>
      <c r="F35" s="390">
        <f t="shared" si="7"/>
        <v>105.53</v>
      </c>
      <c r="G35" s="390">
        <f t="shared" si="7"/>
        <v>105.53</v>
      </c>
      <c r="H35" s="390">
        <f t="shared" si="7"/>
        <v>105.53</v>
      </c>
      <c r="I35" s="390">
        <f t="shared" si="7"/>
        <v>105.53</v>
      </c>
      <c r="J35" s="390">
        <f t="shared" si="7"/>
        <v>105.53</v>
      </c>
      <c r="K35" s="390">
        <f t="shared" si="7"/>
        <v>105.53</v>
      </c>
      <c r="L35" s="390">
        <f t="shared" si="7"/>
        <v>105.53</v>
      </c>
      <c r="M35" s="390">
        <f t="shared" si="7"/>
        <v>105.53</v>
      </c>
      <c r="N35" s="390">
        <f t="shared" si="7"/>
        <v>105.53</v>
      </c>
      <c r="O35" s="390">
        <f t="shared" si="7"/>
        <v>105.53</v>
      </c>
      <c r="P35" s="583">
        <f t="shared" si="0"/>
        <v>1266.3599999999999</v>
      </c>
    </row>
    <row r="36" spans="1:16" x14ac:dyDescent="0.35">
      <c r="B36" s="390" t="s">
        <v>518</v>
      </c>
      <c r="C36" s="578">
        <v>111</v>
      </c>
      <c r="D36" s="390">
        <f t="shared" si="7"/>
        <v>111</v>
      </c>
      <c r="E36" s="390">
        <f t="shared" si="7"/>
        <v>111</v>
      </c>
      <c r="F36" s="390">
        <f t="shared" si="7"/>
        <v>111</v>
      </c>
      <c r="G36" s="390">
        <f t="shared" si="7"/>
        <v>111</v>
      </c>
      <c r="H36" s="390">
        <f t="shared" si="7"/>
        <v>111</v>
      </c>
      <c r="I36" s="390">
        <f t="shared" si="7"/>
        <v>111</v>
      </c>
      <c r="J36" s="390"/>
      <c r="K36" s="390"/>
      <c r="L36" s="390"/>
      <c r="M36" s="390"/>
      <c r="N36" s="390"/>
      <c r="O36" s="390"/>
      <c r="P36" s="583">
        <f t="shared" si="0"/>
        <v>666</v>
      </c>
    </row>
    <row r="37" spans="1:16" x14ac:dyDescent="0.35">
      <c r="B37" s="390" t="s">
        <v>519</v>
      </c>
      <c r="C37" s="578">
        <v>19.899999999999999</v>
      </c>
      <c r="D37" s="390">
        <f t="shared" si="7"/>
        <v>19.899999999999999</v>
      </c>
      <c r="E37" s="390">
        <f t="shared" si="7"/>
        <v>19.899999999999999</v>
      </c>
      <c r="F37" s="390">
        <f t="shared" si="7"/>
        <v>19.899999999999999</v>
      </c>
      <c r="G37" s="390">
        <f t="shared" si="7"/>
        <v>19.899999999999999</v>
      </c>
      <c r="H37" s="390">
        <f t="shared" si="7"/>
        <v>19.899999999999999</v>
      </c>
      <c r="I37" s="390">
        <f t="shared" si="7"/>
        <v>19.899999999999999</v>
      </c>
      <c r="J37" s="390">
        <f t="shared" si="7"/>
        <v>19.899999999999999</v>
      </c>
      <c r="K37" s="390">
        <f t="shared" si="7"/>
        <v>19.899999999999999</v>
      </c>
      <c r="L37" s="390">
        <f t="shared" si="7"/>
        <v>19.899999999999999</v>
      </c>
      <c r="M37" s="390">
        <f t="shared" si="7"/>
        <v>19.899999999999999</v>
      </c>
      <c r="N37" s="390">
        <f t="shared" si="7"/>
        <v>19.899999999999999</v>
      </c>
      <c r="O37" s="390">
        <f t="shared" si="7"/>
        <v>19.899999999999999</v>
      </c>
      <c r="P37" s="583">
        <f t="shared" si="0"/>
        <v>238.80000000000004</v>
      </c>
    </row>
    <row r="38" spans="1:16" x14ac:dyDescent="0.35">
      <c r="A38" t="s">
        <v>1675</v>
      </c>
      <c r="B38" s="390" t="s">
        <v>520</v>
      </c>
      <c r="C38" s="578">
        <v>570</v>
      </c>
      <c r="D38" s="390">
        <f t="shared" si="7"/>
        <v>570</v>
      </c>
      <c r="E38" s="390">
        <f t="shared" si="7"/>
        <v>570</v>
      </c>
      <c r="F38" s="390">
        <f t="shared" si="7"/>
        <v>570</v>
      </c>
      <c r="G38" s="390">
        <f t="shared" si="7"/>
        <v>570</v>
      </c>
      <c r="H38" s="390">
        <f t="shared" si="7"/>
        <v>570</v>
      </c>
      <c r="I38" s="390">
        <f t="shared" si="7"/>
        <v>570</v>
      </c>
      <c r="J38" s="390">
        <f t="shared" si="7"/>
        <v>570</v>
      </c>
      <c r="K38" s="390">
        <f t="shared" si="7"/>
        <v>570</v>
      </c>
      <c r="L38" s="390">
        <f t="shared" si="7"/>
        <v>570</v>
      </c>
      <c r="M38" s="390">
        <f t="shared" si="7"/>
        <v>570</v>
      </c>
      <c r="N38" s="390">
        <f t="shared" si="7"/>
        <v>570</v>
      </c>
      <c r="O38" s="390">
        <f t="shared" si="7"/>
        <v>570</v>
      </c>
      <c r="P38" s="583">
        <f t="shared" si="0"/>
        <v>6840</v>
      </c>
    </row>
    <row r="39" spans="1:16" ht="15.5" x14ac:dyDescent="0.35">
      <c r="A39" s="567"/>
      <c r="B39" s="617" t="s">
        <v>521</v>
      </c>
      <c r="C39" s="617"/>
      <c r="D39" s="618">
        <f t="shared" ref="D39:O39" si="8">SUM(D28:D38)</f>
        <v>20175.43</v>
      </c>
      <c r="E39" s="618">
        <f t="shared" si="8"/>
        <v>20175.43</v>
      </c>
      <c r="F39" s="618">
        <f t="shared" si="8"/>
        <v>8175.4299999999994</v>
      </c>
      <c r="G39" s="618">
        <f t="shared" si="8"/>
        <v>8175.4299999999994</v>
      </c>
      <c r="H39" s="618">
        <f t="shared" si="8"/>
        <v>8175.4299999999994</v>
      </c>
      <c r="I39" s="618">
        <f t="shared" si="8"/>
        <v>8175.4299999999994</v>
      </c>
      <c r="J39" s="618">
        <f t="shared" si="8"/>
        <v>6064.4299999999994</v>
      </c>
      <c r="K39" s="618">
        <f t="shared" si="8"/>
        <v>6064.4299999999994</v>
      </c>
      <c r="L39" s="618">
        <f t="shared" si="8"/>
        <v>6064.4299999999994</v>
      </c>
      <c r="M39" s="618">
        <f t="shared" si="8"/>
        <v>6064.4299999999994</v>
      </c>
      <c r="N39" s="618">
        <f t="shared" si="8"/>
        <v>6064.4299999999994</v>
      </c>
      <c r="O39" s="618">
        <f t="shared" si="8"/>
        <v>6064.4299999999994</v>
      </c>
      <c r="P39" s="618">
        <f t="shared" ref="P39" si="9">SUM(D39:O39)</f>
        <v>109439.15999999996</v>
      </c>
    </row>
    <row r="40" spans="1:16" x14ac:dyDescent="0.35">
      <c r="B40" s="390"/>
      <c r="C40" s="578"/>
      <c r="D40" s="390"/>
      <c r="E40" s="390"/>
      <c r="F40" s="390"/>
      <c r="G40" s="390"/>
      <c r="H40" s="390"/>
      <c r="I40" s="390"/>
      <c r="J40" s="390"/>
      <c r="K40" s="390"/>
      <c r="L40" s="390"/>
      <c r="M40" s="390"/>
      <c r="N40" s="390"/>
      <c r="O40" s="390"/>
      <c r="P40" s="583"/>
    </row>
    <row r="41" spans="1:16" x14ac:dyDescent="0.35">
      <c r="B41" s="387" t="s">
        <v>1676</v>
      </c>
      <c r="C41" s="578"/>
      <c r="D41" s="387"/>
      <c r="E41" s="387"/>
      <c r="F41" s="387"/>
      <c r="G41" s="387"/>
      <c r="H41" s="387"/>
      <c r="I41" s="387"/>
      <c r="J41" s="387"/>
      <c r="K41" s="387"/>
      <c r="L41" s="387"/>
      <c r="M41" s="387"/>
      <c r="N41" s="387"/>
      <c r="O41" s="387"/>
      <c r="P41" s="387"/>
    </row>
    <row r="42" spans="1:16" x14ac:dyDescent="0.35">
      <c r="A42" s="41">
        <v>14</v>
      </c>
      <c r="B42" s="387" t="s">
        <v>1677</v>
      </c>
      <c r="C42" s="578">
        <f>80*14</f>
        <v>1120</v>
      </c>
      <c r="D42" s="721">
        <f>$C42*2</f>
        <v>2240</v>
      </c>
      <c r="E42" s="721">
        <f t="shared" ref="E42:O42" si="10">$C42*2</f>
        <v>2240</v>
      </c>
      <c r="F42" s="721">
        <f t="shared" si="10"/>
        <v>2240</v>
      </c>
      <c r="G42" s="721">
        <f t="shared" si="10"/>
        <v>2240</v>
      </c>
      <c r="H42" s="721">
        <f t="shared" si="10"/>
        <v>2240</v>
      </c>
      <c r="I42" s="721">
        <f t="shared" si="10"/>
        <v>2240</v>
      </c>
      <c r="J42" s="721">
        <f t="shared" si="10"/>
        <v>2240</v>
      </c>
      <c r="K42" s="721">
        <f t="shared" si="10"/>
        <v>2240</v>
      </c>
      <c r="L42" s="721">
        <f t="shared" si="10"/>
        <v>2240</v>
      </c>
      <c r="M42" s="721">
        <f t="shared" si="10"/>
        <v>2240</v>
      </c>
      <c r="N42" s="721">
        <f t="shared" si="10"/>
        <v>2240</v>
      </c>
      <c r="O42" s="721">
        <f t="shared" si="10"/>
        <v>2240</v>
      </c>
      <c r="P42" s="387">
        <f t="shared" ref="P42:P49" si="11">SUM(D42:O42)</f>
        <v>26880</v>
      </c>
    </row>
    <row r="43" spans="1:16" x14ac:dyDescent="0.35">
      <c r="A43" s="41"/>
      <c r="B43" s="387" t="s">
        <v>522</v>
      </c>
      <c r="C43" s="578"/>
      <c r="D43" s="390">
        <f>17000-D42</f>
        <v>14760</v>
      </c>
      <c r="E43" s="390">
        <f>$C43*2</f>
        <v>0</v>
      </c>
      <c r="F43" s="390">
        <f>$C43*2</f>
        <v>0</v>
      </c>
      <c r="G43" s="390">
        <f>$C43*2</f>
        <v>0</v>
      </c>
      <c r="H43" s="390">
        <f>$C43*3</f>
        <v>0</v>
      </c>
      <c r="I43" s="390">
        <f>$C43*2</f>
        <v>0</v>
      </c>
      <c r="J43" s="390">
        <f>$C43*2</f>
        <v>0</v>
      </c>
      <c r="K43" s="390">
        <f>$C43*2</f>
        <v>0</v>
      </c>
      <c r="L43" s="390">
        <f>$C43*2</f>
        <v>0</v>
      </c>
      <c r="M43" s="390">
        <f>$C43*3</f>
        <v>0</v>
      </c>
      <c r="N43" s="390">
        <f>$C43*2</f>
        <v>0</v>
      </c>
      <c r="O43" s="390">
        <f>$C43*2</f>
        <v>0</v>
      </c>
      <c r="P43" s="387">
        <f t="shared" si="11"/>
        <v>14760</v>
      </c>
    </row>
    <row r="44" spans="1:16" x14ac:dyDescent="0.35">
      <c r="B44" s="387"/>
      <c r="C44" s="578"/>
      <c r="D44" s="390"/>
      <c r="E44" s="390"/>
      <c r="F44" s="390"/>
      <c r="G44" s="390"/>
      <c r="H44" s="390"/>
      <c r="I44" s="390"/>
      <c r="J44" s="390"/>
      <c r="K44" s="390"/>
      <c r="L44" s="390"/>
      <c r="M44" s="390"/>
      <c r="N44" s="390"/>
      <c r="O44" s="390"/>
      <c r="P44" s="387"/>
    </row>
    <row r="45" spans="1:16" ht="15.5" x14ac:dyDescent="0.35">
      <c r="A45" s="567"/>
      <c r="B45" s="617" t="s">
        <v>1678</v>
      </c>
      <c r="C45" s="617"/>
      <c r="D45" s="618">
        <f>SUM(D42:D43)</f>
        <v>17000</v>
      </c>
      <c r="E45" s="618">
        <f t="shared" ref="E45:O45" si="12">SUM(E42:E43)</f>
        <v>2240</v>
      </c>
      <c r="F45" s="618">
        <f t="shared" si="12"/>
        <v>2240</v>
      </c>
      <c r="G45" s="618">
        <f t="shared" si="12"/>
        <v>2240</v>
      </c>
      <c r="H45" s="618">
        <f t="shared" si="12"/>
        <v>2240</v>
      </c>
      <c r="I45" s="618">
        <f t="shared" si="12"/>
        <v>2240</v>
      </c>
      <c r="J45" s="618">
        <f t="shared" si="12"/>
        <v>2240</v>
      </c>
      <c r="K45" s="618">
        <f t="shared" si="12"/>
        <v>2240</v>
      </c>
      <c r="L45" s="618">
        <f t="shared" si="12"/>
        <v>2240</v>
      </c>
      <c r="M45" s="618">
        <f t="shared" si="12"/>
        <v>2240</v>
      </c>
      <c r="N45" s="618">
        <f t="shared" si="12"/>
        <v>2240</v>
      </c>
      <c r="O45" s="618">
        <f t="shared" si="12"/>
        <v>2240</v>
      </c>
      <c r="P45" s="618">
        <f t="shared" ref="P45" si="13">SUM(D45:O45)</f>
        <v>41640</v>
      </c>
    </row>
    <row r="46" spans="1:16" x14ac:dyDescent="0.35">
      <c r="B46" s="388"/>
      <c r="C46" s="578"/>
      <c r="D46" s="388"/>
      <c r="E46" s="388"/>
      <c r="F46" s="388"/>
      <c r="G46" s="388"/>
      <c r="H46" s="388"/>
      <c r="I46" s="388"/>
      <c r="J46" s="388"/>
      <c r="K46" s="388"/>
      <c r="L46" s="388"/>
      <c r="M46" s="388"/>
      <c r="N46" s="388"/>
      <c r="O46" s="388"/>
      <c r="P46" s="582"/>
    </row>
    <row r="47" spans="1:16" x14ac:dyDescent="0.35">
      <c r="B47" s="388" t="s">
        <v>523</v>
      </c>
      <c r="C47" s="578"/>
      <c r="D47" s="388"/>
      <c r="E47" s="388"/>
      <c r="F47" s="388"/>
      <c r="G47" s="388"/>
      <c r="H47" s="388"/>
      <c r="I47" s="388"/>
      <c r="J47" s="388"/>
      <c r="K47" s="388"/>
      <c r="L47" s="388"/>
      <c r="M47" s="388"/>
      <c r="N47" s="388"/>
      <c r="O47" s="388"/>
      <c r="P47" s="582">
        <f t="shared" si="11"/>
        <v>0</v>
      </c>
    </row>
    <row r="48" spans="1:16" x14ac:dyDescent="0.35">
      <c r="B48" s="390" t="s">
        <v>524</v>
      </c>
      <c r="C48" s="578"/>
      <c r="D48" s="390"/>
      <c r="E48" s="390">
        <v>2500</v>
      </c>
      <c r="F48" s="390">
        <v>500</v>
      </c>
      <c r="G48" s="390">
        <v>1000</v>
      </c>
      <c r="H48" s="390">
        <v>1000</v>
      </c>
      <c r="I48" s="390">
        <v>1000</v>
      </c>
      <c r="J48" s="390">
        <v>1000</v>
      </c>
      <c r="K48" s="390">
        <v>1000</v>
      </c>
      <c r="L48" s="390">
        <v>1000</v>
      </c>
      <c r="M48" s="390">
        <v>1000</v>
      </c>
      <c r="N48" s="390">
        <v>1000</v>
      </c>
      <c r="O48" s="390">
        <v>1000</v>
      </c>
      <c r="P48" s="583">
        <f t="shared" si="11"/>
        <v>12000</v>
      </c>
    </row>
    <row r="49" spans="1:16" x14ac:dyDescent="0.35">
      <c r="B49" s="390" t="s">
        <v>525</v>
      </c>
      <c r="C49" s="578">
        <v>955</v>
      </c>
      <c r="D49" s="390">
        <v>1128.52</v>
      </c>
      <c r="E49" s="390">
        <v>1128.52</v>
      </c>
      <c r="F49" s="390">
        <f t="shared" ref="F49:O49" si="14">$C49</f>
        <v>955</v>
      </c>
      <c r="G49" s="390">
        <f t="shared" si="14"/>
        <v>955</v>
      </c>
      <c r="H49" s="390">
        <f t="shared" si="14"/>
        <v>955</v>
      </c>
      <c r="I49" s="390">
        <f t="shared" si="14"/>
        <v>955</v>
      </c>
      <c r="J49" s="390">
        <f t="shared" si="14"/>
        <v>955</v>
      </c>
      <c r="K49" s="390">
        <f t="shared" si="14"/>
        <v>955</v>
      </c>
      <c r="L49" s="390">
        <f t="shared" si="14"/>
        <v>955</v>
      </c>
      <c r="M49" s="390">
        <f t="shared" si="14"/>
        <v>955</v>
      </c>
      <c r="N49" s="390">
        <f t="shared" si="14"/>
        <v>955</v>
      </c>
      <c r="O49" s="390">
        <f t="shared" si="14"/>
        <v>955</v>
      </c>
      <c r="P49" s="583">
        <f t="shared" si="11"/>
        <v>11807.04</v>
      </c>
    </row>
    <row r="50" spans="1:16" x14ac:dyDescent="0.35">
      <c r="B50" s="556" t="s">
        <v>526</v>
      </c>
      <c r="C50" s="578">
        <v>1250</v>
      </c>
      <c r="D50" s="390">
        <f>$C50*2</f>
        <v>2500</v>
      </c>
      <c r="E50" s="390"/>
      <c r="F50" s="390"/>
      <c r="G50" s="390"/>
      <c r="H50" s="390"/>
      <c r="I50" s="390"/>
      <c r="J50" s="390"/>
      <c r="K50" s="390"/>
      <c r="L50" s="390"/>
      <c r="M50" s="390"/>
      <c r="N50" s="390"/>
      <c r="O50" s="390"/>
      <c r="P50" s="583">
        <f t="shared" ref="P50:P51" si="15">SUM(D50:O50)</f>
        <v>2500</v>
      </c>
    </row>
    <row r="51" spans="1:16" x14ac:dyDescent="0.35">
      <c r="B51" s="556" t="s">
        <v>648</v>
      </c>
      <c r="C51" s="578">
        <v>2500</v>
      </c>
      <c r="D51" s="390"/>
      <c r="E51" s="390"/>
      <c r="F51" s="390"/>
      <c r="G51" s="390">
        <v>0</v>
      </c>
      <c r="H51" s="390"/>
      <c r="I51" s="390"/>
      <c r="J51" s="390"/>
      <c r="K51" s="390"/>
      <c r="L51" s="390"/>
      <c r="M51" s="390">
        <v>2500</v>
      </c>
      <c r="N51" s="390"/>
      <c r="O51" s="390"/>
      <c r="P51" s="583">
        <f t="shared" si="15"/>
        <v>2500</v>
      </c>
    </row>
    <row r="52" spans="1:16" ht="15.5" x14ac:dyDescent="0.35">
      <c r="A52" s="567"/>
      <c r="B52" s="617" t="s">
        <v>527</v>
      </c>
      <c r="C52" s="617"/>
      <c r="D52" s="618">
        <f t="shared" ref="D52:O52" si="16">SUM(D48:D51)</f>
        <v>3628.52</v>
      </c>
      <c r="E52" s="618">
        <f t="shared" si="16"/>
        <v>3628.52</v>
      </c>
      <c r="F52" s="618">
        <f t="shared" si="16"/>
        <v>1455</v>
      </c>
      <c r="G52" s="618">
        <f t="shared" si="16"/>
        <v>1955</v>
      </c>
      <c r="H52" s="618">
        <f t="shared" si="16"/>
        <v>1955</v>
      </c>
      <c r="I52" s="618">
        <f t="shared" si="16"/>
        <v>1955</v>
      </c>
      <c r="J52" s="618">
        <f t="shared" si="16"/>
        <v>1955</v>
      </c>
      <c r="K52" s="618">
        <f t="shared" si="16"/>
        <v>1955</v>
      </c>
      <c r="L52" s="618">
        <f t="shared" si="16"/>
        <v>1955</v>
      </c>
      <c r="M52" s="618">
        <f t="shared" si="16"/>
        <v>4455</v>
      </c>
      <c r="N52" s="618">
        <f t="shared" si="16"/>
        <v>1955</v>
      </c>
      <c r="O52" s="618">
        <f t="shared" si="16"/>
        <v>1955</v>
      </c>
      <c r="P52" s="618">
        <f t="shared" ref="P52" si="17">SUM(D52:O52)</f>
        <v>28807.040000000001</v>
      </c>
    </row>
    <row r="53" spans="1:16" x14ac:dyDescent="0.35">
      <c r="B53" s="387"/>
      <c r="C53" s="387"/>
      <c r="D53" s="387"/>
      <c r="E53" s="387"/>
      <c r="F53" s="387"/>
      <c r="G53" s="387"/>
      <c r="H53" s="387"/>
      <c r="I53" s="387"/>
      <c r="J53" s="387"/>
      <c r="K53" s="387"/>
      <c r="L53" s="387"/>
      <c r="M53" s="387"/>
      <c r="N53" s="387"/>
      <c r="O53" s="387"/>
      <c r="P53" s="387"/>
    </row>
    <row r="54" spans="1:16" x14ac:dyDescent="0.35">
      <c r="B54" s="387" t="s">
        <v>413</v>
      </c>
      <c r="C54" s="387"/>
      <c r="D54" s="387"/>
      <c r="E54" s="387"/>
      <c r="F54" s="387"/>
      <c r="G54" s="387"/>
      <c r="H54" s="387"/>
      <c r="I54" s="387"/>
      <c r="J54" s="387"/>
      <c r="K54" s="387"/>
      <c r="L54" s="387"/>
      <c r="M54" s="387"/>
      <c r="N54" s="387"/>
      <c r="O54" s="387"/>
      <c r="P54" s="583">
        <f t="shared" ref="P54:P56" si="18">SUM(D54:O54)</f>
        <v>0</v>
      </c>
    </row>
    <row r="55" spans="1:16" x14ac:dyDescent="0.35">
      <c r="B55" s="716"/>
      <c r="C55" s="716"/>
      <c r="D55" s="716"/>
      <c r="E55" s="716"/>
      <c r="F55" s="716"/>
      <c r="G55" s="716"/>
      <c r="H55" s="716"/>
      <c r="I55" s="716"/>
      <c r="J55" s="716"/>
      <c r="K55" s="716"/>
      <c r="L55" s="716"/>
      <c r="M55" s="716"/>
      <c r="N55" s="716"/>
      <c r="O55" s="716"/>
      <c r="P55" s="717">
        <f t="shared" si="18"/>
        <v>0</v>
      </c>
    </row>
    <row r="56" spans="1:16" x14ac:dyDescent="0.35">
      <c r="B56" s="390" t="s">
        <v>528</v>
      </c>
      <c r="C56" s="578">
        <v>8045.06</v>
      </c>
      <c r="D56" s="390">
        <v>11300</v>
      </c>
      <c r="E56" s="390">
        <f t="shared" ref="E56:O56" si="19">$C56</f>
        <v>8045.06</v>
      </c>
      <c r="F56" s="390">
        <f t="shared" si="19"/>
        <v>8045.06</v>
      </c>
      <c r="G56" s="390">
        <f t="shared" si="19"/>
        <v>8045.06</v>
      </c>
      <c r="H56" s="390">
        <f t="shared" si="19"/>
        <v>8045.06</v>
      </c>
      <c r="I56" s="390">
        <f t="shared" si="19"/>
        <v>8045.06</v>
      </c>
      <c r="J56" s="390">
        <f t="shared" si="19"/>
        <v>8045.06</v>
      </c>
      <c r="K56" s="390">
        <f t="shared" si="19"/>
        <v>8045.06</v>
      </c>
      <c r="L56" s="390">
        <f t="shared" si="19"/>
        <v>8045.06</v>
      </c>
      <c r="M56" s="390">
        <f t="shared" si="19"/>
        <v>8045.06</v>
      </c>
      <c r="N56" s="390">
        <f t="shared" si="19"/>
        <v>8045.06</v>
      </c>
      <c r="O56" s="390">
        <f t="shared" si="19"/>
        <v>8045.06</v>
      </c>
      <c r="P56" s="583">
        <f t="shared" si="18"/>
        <v>99795.659999999989</v>
      </c>
    </row>
    <row r="57" spans="1:16" x14ac:dyDescent="0.35">
      <c r="B57" s="388" t="s">
        <v>529</v>
      </c>
      <c r="C57" s="669">
        <v>4554.8900000000003</v>
      </c>
      <c r="D57" s="390">
        <v>16000</v>
      </c>
      <c r="E57" s="390">
        <f>$C57*2</f>
        <v>9109.7800000000007</v>
      </c>
      <c r="F57" s="390">
        <f>$C57*2</f>
        <v>9109.7800000000007</v>
      </c>
      <c r="G57" s="390">
        <f>$C57*2</f>
        <v>9109.7800000000007</v>
      </c>
      <c r="H57" s="390">
        <f>$C57*3</f>
        <v>13664.670000000002</v>
      </c>
      <c r="I57" s="390">
        <f>$C57*2</f>
        <v>9109.7800000000007</v>
      </c>
      <c r="J57" s="390">
        <f>$C57*2</f>
        <v>9109.7800000000007</v>
      </c>
      <c r="K57" s="390">
        <f>$C57*2</f>
        <v>9109.7800000000007</v>
      </c>
      <c r="L57" s="390">
        <f>$C57*2</f>
        <v>9109.7800000000007</v>
      </c>
      <c r="M57" s="390">
        <f>$C57*3</f>
        <v>13664.670000000002</v>
      </c>
      <c r="N57" s="390">
        <f>$C57*2</f>
        <v>9109.7800000000007</v>
      </c>
      <c r="O57" s="390">
        <f>$C57*2</f>
        <v>9109.7800000000007</v>
      </c>
      <c r="P57" s="583">
        <f>SUM(D57:O57)</f>
        <v>125317.35999999999</v>
      </c>
    </row>
    <row r="58" spans="1:16" ht="15.5" x14ac:dyDescent="0.35">
      <c r="A58" s="567"/>
      <c r="B58" s="667" t="s">
        <v>530</v>
      </c>
      <c r="C58" s="617"/>
      <c r="D58" s="618">
        <f>SUM(D56:D57)</f>
        <v>27300</v>
      </c>
      <c r="E58" s="618">
        <f t="shared" ref="E58:O58" si="20">SUM(E56:E57)</f>
        <v>17154.84</v>
      </c>
      <c r="F58" s="618">
        <f t="shared" si="20"/>
        <v>17154.84</v>
      </c>
      <c r="G58" s="618">
        <f t="shared" si="20"/>
        <v>17154.84</v>
      </c>
      <c r="H58" s="618">
        <f t="shared" si="20"/>
        <v>21709.730000000003</v>
      </c>
      <c r="I58" s="618">
        <f t="shared" si="20"/>
        <v>17154.84</v>
      </c>
      <c r="J58" s="618">
        <f t="shared" si="20"/>
        <v>17154.84</v>
      </c>
      <c r="K58" s="618">
        <f t="shared" si="20"/>
        <v>17154.84</v>
      </c>
      <c r="L58" s="618">
        <f t="shared" si="20"/>
        <v>17154.84</v>
      </c>
      <c r="M58" s="618">
        <f t="shared" si="20"/>
        <v>21709.730000000003</v>
      </c>
      <c r="N58" s="618">
        <f t="shared" si="20"/>
        <v>17154.84</v>
      </c>
      <c r="O58" s="618">
        <f t="shared" si="20"/>
        <v>17154.84</v>
      </c>
      <c r="P58" s="618">
        <f t="shared" ref="P58" si="21">SUM(D58:O58)</f>
        <v>225113.02</v>
      </c>
    </row>
    <row r="59" spans="1:16" x14ac:dyDescent="0.35">
      <c r="B59" s="555"/>
      <c r="C59" s="584"/>
      <c r="D59" s="390"/>
      <c r="E59" s="390"/>
      <c r="F59" s="390"/>
      <c r="G59" s="390"/>
      <c r="H59" s="390"/>
      <c r="I59" s="390"/>
      <c r="J59" s="390"/>
      <c r="K59" s="390"/>
      <c r="L59" s="390"/>
      <c r="M59" s="390"/>
      <c r="N59" s="390"/>
      <c r="O59" s="390"/>
      <c r="P59" s="583"/>
    </row>
    <row r="60" spans="1:16" x14ac:dyDescent="0.35">
      <c r="B60" s="387" t="s">
        <v>531</v>
      </c>
      <c r="C60" s="387"/>
      <c r="D60" s="387"/>
      <c r="E60" s="387"/>
      <c r="F60" s="387"/>
      <c r="G60" s="387"/>
      <c r="H60" s="387"/>
      <c r="I60" s="387"/>
      <c r="J60" s="387"/>
      <c r="K60" s="387"/>
      <c r="L60" s="387"/>
      <c r="M60" s="387"/>
      <c r="N60" s="387"/>
      <c r="O60" s="387"/>
      <c r="P60" s="583">
        <f t="shared" ref="P60:P88" si="22">SUM(D60:O60)</f>
        <v>0</v>
      </c>
    </row>
    <row r="61" spans="1:16" x14ac:dyDescent="0.35">
      <c r="B61" s="388" t="s">
        <v>532</v>
      </c>
      <c r="C61" s="388"/>
      <c r="D61" s="388"/>
      <c r="E61" s="388"/>
      <c r="F61" s="388"/>
      <c r="G61" s="388"/>
      <c r="H61" s="388"/>
      <c r="I61" s="388"/>
      <c r="J61" s="388"/>
      <c r="K61" s="388"/>
      <c r="L61" s="388"/>
      <c r="M61" s="388"/>
      <c r="N61" s="388"/>
      <c r="O61" s="388"/>
      <c r="P61" s="583">
        <f t="shared" si="22"/>
        <v>0</v>
      </c>
    </row>
    <row r="62" spans="1:16" x14ac:dyDescent="0.35">
      <c r="B62" s="390" t="s">
        <v>533</v>
      </c>
      <c r="C62" s="390"/>
      <c r="D62" s="390"/>
      <c r="E62" s="390"/>
      <c r="F62" s="390">
        <v>209</v>
      </c>
      <c r="G62" s="390"/>
      <c r="H62" s="390"/>
      <c r="I62" s="390">
        <v>209</v>
      </c>
      <c r="J62" s="390"/>
      <c r="K62" s="390"/>
      <c r="L62" s="390">
        <v>209</v>
      </c>
      <c r="M62" s="390"/>
      <c r="N62" s="390"/>
      <c r="O62" s="390">
        <v>209</v>
      </c>
      <c r="P62" s="583">
        <f t="shared" si="22"/>
        <v>836</v>
      </c>
    </row>
    <row r="63" spans="1:16" x14ac:dyDescent="0.35">
      <c r="B63" s="390" t="s">
        <v>1671</v>
      </c>
      <c r="C63" s="578">
        <v>2500</v>
      </c>
      <c r="D63" s="390">
        <f t="shared" ref="D63:F63" si="23">$C63</f>
        <v>2500</v>
      </c>
      <c r="E63" s="390">
        <f t="shared" si="23"/>
        <v>2500</v>
      </c>
      <c r="F63" s="390">
        <f t="shared" si="23"/>
        <v>2500</v>
      </c>
      <c r="G63" s="390">
        <f>$C63-500</f>
        <v>2000</v>
      </c>
      <c r="H63" s="390">
        <f t="shared" ref="H63:O63" si="24">$C63-500</f>
        <v>2000</v>
      </c>
      <c r="I63" s="390">
        <f t="shared" si="24"/>
        <v>2000</v>
      </c>
      <c r="J63" s="390">
        <f t="shared" si="24"/>
        <v>2000</v>
      </c>
      <c r="K63" s="390">
        <f t="shared" si="24"/>
        <v>2000</v>
      </c>
      <c r="L63" s="390">
        <f t="shared" si="24"/>
        <v>2000</v>
      </c>
      <c r="M63" s="390">
        <f t="shared" si="24"/>
        <v>2000</v>
      </c>
      <c r="N63" s="390">
        <f t="shared" si="24"/>
        <v>2000</v>
      </c>
      <c r="O63" s="390">
        <f t="shared" si="24"/>
        <v>2000</v>
      </c>
      <c r="P63" s="583">
        <f t="shared" si="22"/>
        <v>25500</v>
      </c>
    </row>
    <row r="64" spans="1:16" x14ac:dyDescent="0.35">
      <c r="B64" s="388" t="s">
        <v>534</v>
      </c>
      <c r="C64" s="578"/>
      <c r="D64" s="388"/>
      <c r="E64" s="388"/>
      <c r="F64" s="388"/>
      <c r="G64" s="388"/>
      <c r="H64" s="388"/>
      <c r="I64" s="388"/>
      <c r="J64" s="388"/>
      <c r="K64" s="388"/>
      <c r="L64" s="388"/>
      <c r="M64" s="388"/>
      <c r="N64" s="388"/>
      <c r="O64" s="388"/>
      <c r="P64" s="583">
        <f t="shared" si="22"/>
        <v>0</v>
      </c>
    </row>
    <row r="65" spans="1:16" x14ac:dyDescent="0.35">
      <c r="B65" s="390" t="s">
        <v>535</v>
      </c>
      <c r="C65" s="578">
        <v>57</v>
      </c>
      <c r="D65" s="390">
        <f t="shared" ref="D65:O65" si="25">$C65</f>
        <v>57</v>
      </c>
      <c r="E65" s="390">
        <f t="shared" si="25"/>
        <v>57</v>
      </c>
      <c r="F65" s="390">
        <f t="shared" si="25"/>
        <v>57</v>
      </c>
      <c r="G65" s="390">
        <f t="shared" si="25"/>
        <v>57</v>
      </c>
      <c r="H65" s="390">
        <f t="shared" si="25"/>
        <v>57</v>
      </c>
      <c r="I65" s="390">
        <f t="shared" si="25"/>
        <v>57</v>
      </c>
      <c r="J65" s="390">
        <f t="shared" si="25"/>
        <v>57</v>
      </c>
      <c r="K65" s="390">
        <f t="shared" si="25"/>
        <v>57</v>
      </c>
      <c r="L65" s="390">
        <f t="shared" si="25"/>
        <v>57</v>
      </c>
      <c r="M65" s="390">
        <f t="shared" si="25"/>
        <v>57</v>
      </c>
      <c r="N65" s="390">
        <f t="shared" si="25"/>
        <v>57</v>
      </c>
      <c r="O65" s="390">
        <f t="shared" si="25"/>
        <v>57</v>
      </c>
      <c r="P65" s="583">
        <f t="shared" si="22"/>
        <v>684</v>
      </c>
    </row>
    <row r="66" spans="1:16" x14ac:dyDescent="0.35">
      <c r="B66" s="388" t="s">
        <v>536</v>
      </c>
      <c r="C66" s="578"/>
      <c r="D66" s="388"/>
      <c r="E66" s="388"/>
      <c r="F66" s="388"/>
      <c r="G66" s="388"/>
      <c r="H66" s="388"/>
      <c r="I66" s="388"/>
      <c r="J66" s="388"/>
      <c r="K66" s="388"/>
      <c r="L66" s="388"/>
      <c r="M66" s="388"/>
      <c r="N66" s="388"/>
      <c r="O66" s="388"/>
      <c r="P66" s="583">
        <f t="shared" si="22"/>
        <v>0</v>
      </c>
    </row>
    <row r="67" spans="1:16" x14ac:dyDescent="0.35">
      <c r="B67" s="388" t="s">
        <v>1681</v>
      </c>
      <c r="C67" s="578">
        <v>5000</v>
      </c>
      <c r="D67" s="388">
        <f>$C$67</f>
        <v>5000</v>
      </c>
      <c r="E67" s="388">
        <f t="shared" ref="E67:O67" si="26">$C$67</f>
        <v>5000</v>
      </c>
      <c r="F67" s="388">
        <f t="shared" si="26"/>
        <v>5000</v>
      </c>
      <c r="G67" s="388">
        <f t="shared" si="26"/>
        <v>5000</v>
      </c>
      <c r="H67" s="388">
        <f t="shared" si="26"/>
        <v>5000</v>
      </c>
      <c r="I67" s="388">
        <f t="shared" si="26"/>
        <v>5000</v>
      </c>
      <c r="J67" s="388">
        <f t="shared" si="26"/>
        <v>5000</v>
      </c>
      <c r="K67" s="388">
        <f t="shared" si="26"/>
        <v>5000</v>
      </c>
      <c r="L67" s="388">
        <f t="shared" si="26"/>
        <v>5000</v>
      </c>
      <c r="M67" s="388">
        <f t="shared" si="26"/>
        <v>5000</v>
      </c>
      <c r="N67" s="388">
        <f t="shared" si="26"/>
        <v>5000</v>
      </c>
      <c r="O67" s="388">
        <f t="shared" si="26"/>
        <v>5000</v>
      </c>
      <c r="P67" s="583">
        <f t="shared" si="22"/>
        <v>60000</v>
      </c>
    </row>
    <row r="68" spans="1:16" x14ac:dyDescent="0.35">
      <c r="A68" t="s">
        <v>537</v>
      </c>
      <c r="B68" s="390" t="s">
        <v>538</v>
      </c>
      <c r="C68" s="578">
        <v>2500</v>
      </c>
      <c r="D68" s="390">
        <f t="shared" ref="D68:O89" si="27">$C68</f>
        <v>2500</v>
      </c>
      <c r="E68" s="390">
        <f t="shared" si="27"/>
        <v>2500</v>
      </c>
      <c r="F68" s="390">
        <f t="shared" si="27"/>
        <v>2500</v>
      </c>
      <c r="G68" s="390">
        <f t="shared" si="27"/>
        <v>2500</v>
      </c>
      <c r="H68" s="390">
        <f t="shared" si="27"/>
        <v>2500</v>
      </c>
      <c r="I68" s="390">
        <f t="shared" si="27"/>
        <v>2500</v>
      </c>
      <c r="J68" s="390">
        <f t="shared" si="27"/>
        <v>2500</v>
      </c>
      <c r="K68" s="390">
        <f t="shared" si="27"/>
        <v>2500</v>
      </c>
      <c r="L68" s="390">
        <f t="shared" si="27"/>
        <v>2500</v>
      </c>
      <c r="M68" s="390">
        <f t="shared" si="27"/>
        <v>2500</v>
      </c>
      <c r="N68" s="390">
        <f t="shared" si="27"/>
        <v>2500</v>
      </c>
      <c r="O68" s="390">
        <f t="shared" si="27"/>
        <v>2500</v>
      </c>
      <c r="P68" s="583">
        <f t="shared" si="22"/>
        <v>30000</v>
      </c>
    </row>
    <row r="69" spans="1:16" x14ac:dyDescent="0.35">
      <c r="B69" s="390" t="s">
        <v>539</v>
      </c>
      <c r="C69" s="578">
        <v>0</v>
      </c>
      <c r="D69" s="390">
        <v>1521</v>
      </c>
      <c r="E69" s="390">
        <f t="shared" si="27"/>
        <v>0</v>
      </c>
      <c r="F69" s="390">
        <f t="shared" si="27"/>
        <v>0</v>
      </c>
      <c r="G69" s="390">
        <f t="shared" si="27"/>
        <v>0</v>
      </c>
      <c r="H69" s="390">
        <f t="shared" si="27"/>
        <v>0</v>
      </c>
      <c r="I69" s="390">
        <f t="shared" si="27"/>
        <v>0</v>
      </c>
      <c r="J69" s="390">
        <f t="shared" si="27"/>
        <v>0</v>
      </c>
      <c r="K69" s="390">
        <f t="shared" si="27"/>
        <v>0</v>
      </c>
      <c r="L69" s="390">
        <f t="shared" si="27"/>
        <v>0</v>
      </c>
      <c r="M69" s="390">
        <f t="shared" si="27"/>
        <v>0</v>
      </c>
      <c r="N69" s="390">
        <f t="shared" si="27"/>
        <v>0</v>
      </c>
      <c r="O69" s="390">
        <f t="shared" si="27"/>
        <v>0</v>
      </c>
      <c r="P69" s="583">
        <f t="shared" si="22"/>
        <v>1521</v>
      </c>
    </row>
    <row r="70" spans="1:16" x14ac:dyDescent="0.35">
      <c r="B70" s="390" t="s">
        <v>540</v>
      </c>
      <c r="C70" s="578">
        <v>2300</v>
      </c>
      <c r="D70" s="390">
        <f t="shared" si="27"/>
        <v>2300</v>
      </c>
      <c r="E70" s="390">
        <f t="shared" si="27"/>
        <v>2300</v>
      </c>
      <c r="F70" s="390">
        <f t="shared" si="27"/>
        <v>2300</v>
      </c>
      <c r="G70" s="390">
        <f t="shared" si="27"/>
        <v>2300</v>
      </c>
      <c r="H70" s="390">
        <f t="shared" si="27"/>
        <v>2300</v>
      </c>
      <c r="I70" s="390">
        <f t="shared" si="27"/>
        <v>2300</v>
      </c>
      <c r="J70" s="390">
        <f t="shared" si="27"/>
        <v>2300</v>
      </c>
      <c r="K70" s="390">
        <f t="shared" si="27"/>
        <v>2300</v>
      </c>
      <c r="L70" s="390">
        <f t="shared" si="27"/>
        <v>2300</v>
      </c>
      <c r="M70" s="390">
        <f t="shared" si="27"/>
        <v>2300</v>
      </c>
      <c r="N70" s="390">
        <f t="shared" si="27"/>
        <v>2300</v>
      </c>
      <c r="O70" s="390">
        <f t="shared" si="27"/>
        <v>2300</v>
      </c>
      <c r="P70" s="583">
        <f t="shared" si="22"/>
        <v>27600</v>
      </c>
    </row>
    <row r="71" spans="1:16" x14ac:dyDescent="0.35">
      <c r="B71" s="390" t="s">
        <v>541</v>
      </c>
      <c r="C71" s="578">
        <v>30</v>
      </c>
      <c r="D71" s="390">
        <f t="shared" si="27"/>
        <v>30</v>
      </c>
      <c r="E71" s="390">
        <f t="shared" si="27"/>
        <v>30</v>
      </c>
      <c r="F71" s="390">
        <f t="shared" si="27"/>
        <v>30</v>
      </c>
      <c r="G71" s="390">
        <f t="shared" si="27"/>
        <v>30</v>
      </c>
      <c r="H71" s="390">
        <f t="shared" si="27"/>
        <v>30</v>
      </c>
      <c r="I71" s="390">
        <f t="shared" si="27"/>
        <v>30</v>
      </c>
      <c r="J71" s="390">
        <f t="shared" si="27"/>
        <v>30</v>
      </c>
      <c r="K71" s="390">
        <f t="shared" si="27"/>
        <v>30</v>
      </c>
      <c r="L71" s="390">
        <f t="shared" si="27"/>
        <v>30</v>
      </c>
      <c r="M71" s="390">
        <f t="shared" si="27"/>
        <v>30</v>
      </c>
      <c r="N71" s="390">
        <f t="shared" si="27"/>
        <v>30</v>
      </c>
      <c r="O71" s="390">
        <f t="shared" si="27"/>
        <v>30</v>
      </c>
      <c r="P71" s="583">
        <f t="shared" si="22"/>
        <v>360</v>
      </c>
    </row>
    <row r="72" spans="1:16" x14ac:dyDescent="0.35">
      <c r="B72" s="390" t="s">
        <v>542</v>
      </c>
      <c r="C72" s="578">
        <v>17.5</v>
      </c>
      <c r="D72" s="390">
        <f t="shared" si="27"/>
        <v>17.5</v>
      </c>
      <c r="E72" s="390">
        <f t="shared" si="27"/>
        <v>17.5</v>
      </c>
      <c r="F72" s="390">
        <f t="shared" si="27"/>
        <v>17.5</v>
      </c>
      <c r="G72" s="390">
        <f t="shared" si="27"/>
        <v>17.5</v>
      </c>
      <c r="H72" s="390">
        <f t="shared" si="27"/>
        <v>17.5</v>
      </c>
      <c r="I72" s="390">
        <f t="shared" si="27"/>
        <v>17.5</v>
      </c>
      <c r="J72" s="390">
        <f t="shared" si="27"/>
        <v>17.5</v>
      </c>
      <c r="K72" s="390">
        <f t="shared" si="27"/>
        <v>17.5</v>
      </c>
      <c r="L72" s="390">
        <f t="shared" si="27"/>
        <v>17.5</v>
      </c>
      <c r="M72" s="390">
        <f t="shared" si="27"/>
        <v>17.5</v>
      </c>
      <c r="N72" s="390">
        <f t="shared" si="27"/>
        <v>17.5</v>
      </c>
      <c r="O72" s="390">
        <f t="shared" si="27"/>
        <v>17.5</v>
      </c>
      <c r="P72" s="583">
        <f t="shared" si="22"/>
        <v>210</v>
      </c>
    </row>
    <row r="73" spans="1:16" x14ac:dyDescent="0.35">
      <c r="B73" s="388" t="s">
        <v>543</v>
      </c>
      <c r="C73" s="578"/>
      <c r="D73" s="390">
        <f t="shared" si="27"/>
        <v>0</v>
      </c>
      <c r="E73" s="390">
        <f t="shared" si="27"/>
        <v>0</v>
      </c>
      <c r="F73" s="390">
        <f t="shared" si="27"/>
        <v>0</v>
      </c>
      <c r="G73" s="390">
        <f t="shared" si="27"/>
        <v>0</v>
      </c>
      <c r="H73" s="390">
        <f t="shared" si="27"/>
        <v>0</v>
      </c>
      <c r="I73" s="390">
        <f t="shared" si="27"/>
        <v>0</v>
      </c>
      <c r="J73" s="390">
        <f t="shared" si="27"/>
        <v>0</v>
      </c>
      <c r="K73" s="390">
        <f t="shared" si="27"/>
        <v>0</v>
      </c>
      <c r="L73" s="390">
        <f t="shared" si="27"/>
        <v>0</v>
      </c>
      <c r="M73" s="390">
        <f t="shared" si="27"/>
        <v>0</v>
      </c>
      <c r="N73" s="390">
        <f t="shared" si="27"/>
        <v>0</v>
      </c>
      <c r="O73" s="390">
        <f t="shared" si="27"/>
        <v>0</v>
      </c>
      <c r="P73" s="583">
        <f t="shared" si="22"/>
        <v>0</v>
      </c>
    </row>
    <row r="74" spans="1:16" x14ac:dyDescent="0.35">
      <c r="B74" s="390" t="s">
        <v>232</v>
      </c>
      <c r="C74" s="578">
        <v>320</v>
      </c>
      <c r="D74" s="390">
        <v>0</v>
      </c>
      <c r="E74" s="390">
        <v>250</v>
      </c>
      <c r="F74" s="390">
        <v>100</v>
      </c>
      <c r="G74" s="390"/>
      <c r="H74" s="390"/>
      <c r="I74" s="390">
        <f t="shared" si="27"/>
        <v>320</v>
      </c>
      <c r="J74" s="390">
        <f t="shared" si="27"/>
        <v>320</v>
      </c>
      <c r="K74" s="390">
        <f t="shared" si="27"/>
        <v>320</v>
      </c>
      <c r="L74" s="390">
        <f t="shared" si="27"/>
        <v>320</v>
      </c>
      <c r="M74" s="390">
        <f t="shared" si="27"/>
        <v>320</v>
      </c>
      <c r="N74" s="390">
        <f t="shared" si="27"/>
        <v>320</v>
      </c>
      <c r="O74" s="390">
        <f t="shared" si="27"/>
        <v>320</v>
      </c>
      <c r="P74" s="583">
        <f t="shared" si="22"/>
        <v>2590</v>
      </c>
    </row>
    <row r="75" spans="1:16" x14ac:dyDescent="0.35">
      <c r="B75" s="388" t="s">
        <v>544</v>
      </c>
      <c r="C75" s="388"/>
      <c r="D75" s="390">
        <f t="shared" si="27"/>
        <v>0</v>
      </c>
      <c r="E75" s="390">
        <f t="shared" si="27"/>
        <v>0</v>
      </c>
      <c r="F75" s="390">
        <f t="shared" si="27"/>
        <v>0</v>
      </c>
      <c r="G75" s="390">
        <f t="shared" si="27"/>
        <v>0</v>
      </c>
      <c r="H75" s="390">
        <f t="shared" si="27"/>
        <v>0</v>
      </c>
      <c r="I75" s="390">
        <f t="shared" si="27"/>
        <v>0</v>
      </c>
      <c r="J75" s="390">
        <f t="shared" si="27"/>
        <v>0</v>
      </c>
      <c r="K75" s="390">
        <f t="shared" si="27"/>
        <v>0</v>
      </c>
      <c r="L75" s="390">
        <f t="shared" si="27"/>
        <v>0</v>
      </c>
      <c r="M75" s="390">
        <f t="shared" si="27"/>
        <v>0</v>
      </c>
      <c r="N75" s="390">
        <f t="shared" si="27"/>
        <v>0</v>
      </c>
      <c r="O75" s="390">
        <f t="shared" si="27"/>
        <v>0</v>
      </c>
      <c r="P75" s="583">
        <f t="shared" si="22"/>
        <v>0</v>
      </c>
    </row>
    <row r="76" spans="1:16" x14ac:dyDescent="0.35">
      <c r="B76" s="718" t="s">
        <v>545</v>
      </c>
      <c r="C76" s="578">
        <v>3484</v>
      </c>
      <c r="D76" s="390">
        <f t="shared" si="27"/>
        <v>3484</v>
      </c>
      <c r="E76" s="390">
        <f t="shared" si="27"/>
        <v>3484</v>
      </c>
      <c r="F76" s="390">
        <f t="shared" si="27"/>
        <v>3484</v>
      </c>
      <c r="G76" s="390">
        <f t="shared" si="27"/>
        <v>3484</v>
      </c>
      <c r="H76" s="390">
        <f t="shared" si="27"/>
        <v>3484</v>
      </c>
      <c r="I76" s="390">
        <f t="shared" si="27"/>
        <v>3484</v>
      </c>
      <c r="J76" s="390">
        <f t="shared" si="27"/>
        <v>3484</v>
      </c>
      <c r="K76" s="390">
        <f t="shared" si="27"/>
        <v>3484</v>
      </c>
      <c r="L76" s="390">
        <f t="shared" si="27"/>
        <v>3484</v>
      </c>
      <c r="M76" s="390">
        <f t="shared" si="27"/>
        <v>3484</v>
      </c>
      <c r="N76" s="390">
        <f t="shared" si="27"/>
        <v>3484</v>
      </c>
      <c r="O76" s="390">
        <f t="shared" si="27"/>
        <v>3484</v>
      </c>
      <c r="P76" s="583">
        <f t="shared" si="22"/>
        <v>41808</v>
      </c>
    </row>
    <row r="77" spans="1:16" x14ac:dyDescent="0.35">
      <c r="B77" s="388" t="s">
        <v>546</v>
      </c>
      <c r="C77" s="388"/>
      <c r="D77" s="390">
        <f t="shared" si="27"/>
        <v>0</v>
      </c>
      <c r="E77" s="390">
        <f t="shared" si="27"/>
        <v>0</v>
      </c>
      <c r="F77" s="390">
        <f t="shared" si="27"/>
        <v>0</v>
      </c>
      <c r="G77" s="390">
        <f t="shared" si="27"/>
        <v>0</v>
      </c>
      <c r="H77" s="390">
        <f t="shared" si="27"/>
        <v>0</v>
      </c>
      <c r="I77" s="390">
        <f t="shared" si="27"/>
        <v>0</v>
      </c>
      <c r="J77" s="390">
        <f t="shared" si="27"/>
        <v>0</v>
      </c>
      <c r="K77" s="390">
        <f t="shared" si="27"/>
        <v>0</v>
      </c>
      <c r="L77" s="390">
        <f t="shared" si="27"/>
        <v>0</v>
      </c>
      <c r="M77" s="390">
        <f t="shared" si="27"/>
        <v>0</v>
      </c>
      <c r="N77" s="390">
        <f t="shared" si="27"/>
        <v>0</v>
      </c>
      <c r="O77" s="390">
        <f t="shared" si="27"/>
        <v>0</v>
      </c>
      <c r="P77" s="583">
        <f t="shared" si="22"/>
        <v>0</v>
      </c>
    </row>
    <row r="78" spans="1:16" x14ac:dyDescent="0.35">
      <c r="B78" s="390" t="s">
        <v>547</v>
      </c>
      <c r="C78" s="578">
        <v>17</v>
      </c>
      <c r="D78" s="390">
        <f t="shared" si="27"/>
        <v>17</v>
      </c>
      <c r="E78" s="390">
        <f t="shared" si="27"/>
        <v>17</v>
      </c>
      <c r="F78" s="390">
        <f t="shared" si="27"/>
        <v>17</v>
      </c>
      <c r="G78" s="390">
        <f t="shared" si="27"/>
        <v>17</v>
      </c>
      <c r="H78" s="390">
        <f t="shared" si="27"/>
        <v>17</v>
      </c>
      <c r="I78" s="390">
        <f t="shared" si="27"/>
        <v>17</v>
      </c>
      <c r="J78" s="390">
        <f t="shared" si="27"/>
        <v>17</v>
      </c>
      <c r="K78" s="390">
        <f t="shared" si="27"/>
        <v>17</v>
      </c>
      <c r="L78" s="390">
        <f t="shared" si="27"/>
        <v>17</v>
      </c>
      <c r="M78" s="390">
        <f t="shared" si="27"/>
        <v>17</v>
      </c>
      <c r="N78" s="390">
        <f t="shared" si="27"/>
        <v>17</v>
      </c>
      <c r="O78" s="390">
        <f t="shared" si="27"/>
        <v>17</v>
      </c>
      <c r="P78" s="583">
        <f t="shared" si="22"/>
        <v>204</v>
      </c>
    </row>
    <row r="79" spans="1:16" x14ac:dyDescent="0.35">
      <c r="B79" s="388" t="s">
        <v>548</v>
      </c>
      <c r="C79" s="578"/>
      <c r="D79" s="388"/>
      <c r="E79" s="388"/>
      <c r="F79" s="388"/>
      <c r="G79" s="388"/>
      <c r="H79" s="388"/>
      <c r="I79" s="388"/>
      <c r="J79" s="388"/>
      <c r="K79" s="388"/>
      <c r="L79" s="388"/>
      <c r="M79" s="388"/>
      <c r="N79" s="388"/>
      <c r="O79" s="388"/>
      <c r="P79" s="583">
        <f t="shared" si="22"/>
        <v>0</v>
      </c>
    </row>
    <row r="80" spans="1:16" x14ac:dyDescent="0.35">
      <c r="A80" t="s">
        <v>549</v>
      </c>
      <c r="B80" s="390" t="s">
        <v>550</v>
      </c>
      <c r="C80" s="578">
        <v>225</v>
      </c>
      <c r="D80" s="390">
        <f t="shared" si="27"/>
        <v>225</v>
      </c>
      <c r="E80" s="390"/>
      <c r="F80" s="390"/>
      <c r="G80" s="390"/>
      <c r="H80" s="390"/>
      <c r="I80" s="390"/>
      <c r="J80" s="390"/>
      <c r="K80" s="390"/>
      <c r="L80" s="390"/>
      <c r="M80" s="390"/>
      <c r="N80" s="390"/>
      <c r="O80" s="390"/>
      <c r="P80" s="583">
        <f t="shared" si="22"/>
        <v>225</v>
      </c>
    </row>
    <row r="81" spans="1:16" x14ac:dyDescent="0.35">
      <c r="B81" s="388" t="s">
        <v>551</v>
      </c>
      <c r="C81" s="578"/>
      <c r="D81" s="388"/>
      <c r="E81" s="388"/>
      <c r="F81" s="388"/>
      <c r="G81" s="388"/>
      <c r="H81" s="388"/>
      <c r="I81" s="388"/>
      <c r="J81" s="388"/>
      <c r="K81" s="388"/>
      <c r="L81" s="388"/>
      <c r="M81" s="388"/>
      <c r="N81" s="388"/>
      <c r="O81" s="388"/>
      <c r="P81" s="583">
        <f t="shared" si="22"/>
        <v>0</v>
      </c>
    </row>
    <row r="82" spans="1:16" x14ac:dyDescent="0.35">
      <c r="B82" s="390" t="s">
        <v>552</v>
      </c>
      <c r="C82" s="578">
        <v>25</v>
      </c>
      <c r="D82" s="390">
        <f t="shared" si="27"/>
        <v>25</v>
      </c>
      <c r="E82" s="390">
        <f t="shared" si="27"/>
        <v>25</v>
      </c>
      <c r="F82" s="390">
        <f t="shared" si="27"/>
        <v>25</v>
      </c>
      <c r="G82" s="390">
        <f t="shared" si="27"/>
        <v>25</v>
      </c>
      <c r="H82" s="390">
        <f t="shared" si="27"/>
        <v>25</v>
      </c>
      <c r="I82" s="390">
        <f t="shared" si="27"/>
        <v>25</v>
      </c>
      <c r="J82" s="390">
        <f t="shared" si="27"/>
        <v>25</v>
      </c>
      <c r="K82" s="390">
        <f t="shared" si="27"/>
        <v>25</v>
      </c>
      <c r="L82" s="390">
        <f t="shared" si="27"/>
        <v>25</v>
      </c>
      <c r="M82" s="390">
        <f t="shared" si="27"/>
        <v>25</v>
      </c>
      <c r="N82" s="390">
        <f t="shared" si="27"/>
        <v>25</v>
      </c>
      <c r="O82" s="390">
        <f t="shared" si="27"/>
        <v>25</v>
      </c>
      <c r="P82" s="583">
        <f t="shared" si="22"/>
        <v>300</v>
      </c>
    </row>
    <row r="83" spans="1:16" x14ac:dyDescent="0.35">
      <c r="B83" s="388" t="s">
        <v>553</v>
      </c>
      <c r="C83" s="578"/>
      <c r="D83" s="388"/>
      <c r="E83" s="388"/>
      <c r="F83" s="388"/>
      <c r="G83" s="388"/>
      <c r="H83" s="388"/>
      <c r="I83" s="388"/>
      <c r="J83" s="388"/>
      <c r="K83" s="388"/>
      <c r="L83" s="388"/>
      <c r="M83" s="388"/>
      <c r="N83" s="388"/>
      <c r="O83" s="388"/>
      <c r="P83" s="583">
        <f t="shared" si="22"/>
        <v>0</v>
      </c>
    </row>
    <row r="84" spans="1:16" x14ac:dyDescent="0.35">
      <c r="B84" s="390" t="s">
        <v>554</v>
      </c>
      <c r="C84" s="578"/>
      <c r="D84" s="390">
        <f>700000/87</f>
        <v>8045.977011494253</v>
      </c>
      <c r="E84" s="390">
        <f>350000/87</f>
        <v>4022.9885057471265</v>
      </c>
      <c r="F84" s="390"/>
      <c r="G84" s="390"/>
      <c r="H84" s="390"/>
      <c r="I84" s="390"/>
      <c r="J84" s="390"/>
      <c r="K84" s="390"/>
      <c r="L84" s="390"/>
      <c r="M84" s="390"/>
      <c r="N84" s="390"/>
      <c r="O84" s="390"/>
      <c r="P84" s="583">
        <f t="shared" si="22"/>
        <v>12068.96551724138</v>
      </c>
    </row>
    <row r="85" spans="1:16" x14ac:dyDescent="0.35">
      <c r="B85" s="390" t="s">
        <v>555</v>
      </c>
      <c r="C85" s="578">
        <v>455</v>
      </c>
      <c r="D85" s="390">
        <f t="shared" si="27"/>
        <v>455</v>
      </c>
      <c r="E85" s="390">
        <f t="shared" si="27"/>
        <v>455</v>
      </c>
      <c r="F85" s="390">
        <f t="shared" si="27"/>
        <v>455</v>
      </c>
      <c r="G85" s="390">
        <f t="shared" si="27"/>
        <v>455</v>
      </c>
      <c r="H85" s="390">
        <f t="shared" si="27"/>
        <v>455</v>
      </c>
      <c r="I85" s="390">
        <f t="shared" si="27"/>
        <v>455</v>
      </c>
      <c r="J85" s="390">
        <f t="shared" si="27"/>
        <v>455</v>
      </c>
      <c r="K85" s="390">
        <f t="shared" si="27"/>
        <v>455</v>
      </c>
      <c r="L85" s="390">
        <f t="shared" si="27"/>
        <v>455</v>
      </c>
      <c r="M85" s="390">
        <f t="shared" si="27"/>
        <v>455</v>
      </c>
      <c r="N85" s="390">
        <f t="shared" si="27"/>
        <v>455</v>
      </c>
      <c r="O85" s="390">
        <f t="shared" si="27"/>
        <v>455</v>
      </c>
      <c r="P85" s="583">
        <f t="shared" si="22"/>
        <v>5460</v>
      </c>
    </row>
    <row r="86" spans="1:16" x14ac:dyDescent="0.35">
      <c r="B86" s="388" t="s">
        <v>556</v>
      </c>
      <c r="C86" s="388"/>
      <c r="D86" s="388"/>
      <c r="E86" s="388"/>
      <c r="F86" s="388"/>
      <c r="G86" s="388"/>
      <c r="H86" s="388"/>
      <c r="I86" s="388"/>
      <c r="J86" s="388"/>
      <c r="K86" s="388"/>
      <c r="L86" s="388"/>
      <c r="M86" s="388"/>
      <c r="N86" s="388"/>
      <c r="O86" s="388"/>
      <c r="P86" s="583">
        <f t="shared" si="22"/>
        <v>0</v>
      </c>
    </row>
    <row r="87" spans="1:16" x14ac:dyDescent="0.35">
      <c r="B87" s="390" t="s">
        <v>213</v>
      </c>
      <c r="C87" s="390"/>
      <c r="D87" s="390">
        <f t="shared" si="27"/>
        <v>0</v>
      </c>
      <c r="E87" s="390">
        <f t="shared" si="27"/>
        <v>0</v>
      </c>
      <c r="F87" s="390">
        <f t="shared" si="27"/>
        <v>0</v>
      </c>
      <c r="G87" s="390">
        <f t="shared" si="27"/>
        <v>0</v>
      </c>
      <c r="H87" s="390">
        <f t="shared" si="27"/>
        <v>0</v>
      </c>
      <c r="I87" s="390">
        <f t="shared" si="27"/>
        <v>0</v>
      </c>
      <c r="J87" s="390">
        <f t="shared" si="27"/>
        <v>0</v>
      </c>
      <c r="K87" s="390">
        <f t="shared" si="27"/>
        <v>0</v>
      </c>
      <c r="L87" s="390">
        <f t="shared" si="27"/>
        <v>0</v>
      </c>
      <c r="M87" s="390">
        <f t="shared" si="27"/>
        <v>0</v>
      </c>
      <c r="N87" s="390">
        <f t="shared" si="27"/>
        <v>0</v>
      </c>
      <c r="O87" s="390">
        <f t="shared" si="27"/>
        <v>0</v>
      </c>
      <c r="P87" s="583">
        <f t="shared" si="22"/>
        <v>0</v>
      </c>
    </row>
    <row r="88" spans="1:16" x14ac:dyDescent="0.35">
      <c r="B88" s="388" t="s">
        <v>557</v>
      </c>
      <c r="C88" s="388"/>
      <c r="D88" s="388"/>
      <c r="E88" s="388"/>
      <c r="F88" s="388"/>
      <c r="G88" s="388"/>
      <c r="H88" s="388"/>
      <c r="I88" s="388"/>
      <c r="J88" s="388"/>
      <c r="K88" s="388"/>
      <c r="L88" s="388"/>
      <c r="M88" s="388"/>
      <c r="N88" s="388"/>
      <c r="O88" s="388"/>
      <c r="P88" s="583">
        <f t="shared" si="22"/>
        <v>0</v>
      </c>
    </row>
    <row r="89" spans="1:16" x14ac:dyDescent="0.35">
      <c r="B89" s="390" t="s">
        <v>557</v>
      </c>
      <c r="C89" s="390"/>
      <c r="D89" s="390">
        <f t="shared" si="27"/>
        <v>0</v>
      </c>
      <c r="E89" s="390">
        <f t="shared" si="27"/>
        <v>0</v>
      </c>
      <c r="F89" s="390">
        <f t="shared" si="27"/>
        <v>0</v>
      </c>
      <c r="G89" s="390">
        <f t="shared" si="27"/>
        <v>0</v>
      </c>
      <c r="H89" s="390">
        <f t="shared" si="27"/>
        <v>0</v>
      </c>
      <c r="I89" s="390">
        <f t="shared" si="27"/>
        <v>0</v>
      </c>
      <c r="J89" s="390">
        <f t="shared" si="27"/>
        <v>0</v>
      </c>
      <c r="K89" s="390">
        <f t="shared" si="27"/>
        <v>0</v>
      </c>
      <c r="L89" s="390">
        <f t="shared" si="27"/>
        <v>0</v>
      </c>
      <c r="M89" s="390">
        <f t="shared" si="27"/>
        <v>0</v>
      </c>
      <c r="N89" s="390">
        <f t="shared" si="27"/>
        <v>0</v>
      </c>
      <c r="O89" s="390">
        <f t="shared" si="27"/>
        <v>0</v>
      </c>
      <c r="P89" s="583">
        <f t="shared" ref="P89:P101" si="28">SUM(D89:O89)</f>
        <v>0</v>
      </c>
    </row>
    <row r="90" spans="1:16" ht="15.5" x14ac:dyDescent="0.35">
      <c r="A90" s="567"/>
      <c r="B90" s="617" t="s">
        <v>419</v>
      </c>
      <c r="C90" s="617"/>
      <c r="D90" s="618">
        <f t="shared" ref="D90:O90" si="29">SUM(D62:D89)</f>
        <v>26177.477011494251</v>
      </c>
      <c r="E90" s="618">
        <f t="shared" si="29"/>
        <v>20658.488505747126</v>
      </c>
      <c r="F90" s="618">
        <f t="shared" si="29"/>
        <v>16694.5</v>
      </c>
      <c r="G90" s="618">
        <f t="shared" si="29"/>
        <v>15885.5</v>
      </c>
      <c r="H90" s="618">
        <f t="shared" si="29"/>
        <v>15885.5</v>
      </c>
      <c r="I90" s="618">
        <f t="shared" si="29"/>
        <v>16414.5</v>
      </c>
      <c r="J90" s="618">
        <f t="shared" si="29"/>
        <v>16205.5</v>
      </c>
      <c r="K90" s="618">
        <f t="shared" si="29"/>
        <v>16205.5</v>
      </c>
      <c r="L90" s="618">
        <f t="shared" si="29"/>
        <v>16414.5</v>
      </c>
      <c r="M90" s="618">
        <f t="shared" si="29"/>
        <v>16205.5</v>
      </c>
      <c r="N90" s="618">
        <f t="shared" si="29"/>
        <v>16205.5</v>
      </c>
      <c r="O90" s="618">
        <f t="shared" si="29"/>
        <v>16414.5</v>
      </c>
      <c r="P90" s="618">
        <f t="shared" ref="P90" si="30">SUM(D90:O90)</f>
        <v>209366.96551724139</v>
      </c>
    </row>
    <row r="91" spans="1:16" x14ac:dyDescent="0.35">
      <c r="B91" s="390"/>
      <c r="C91" s="390"/>
      <c r="D91" s="390"/>
      <c r="E91" s="390"/>
      <c r="F91" s="390"/>
      <c r="G91" s="390"/>
      <c r="H91" s="390"/>
      <c r="I91" s="390"/>
      <c r="J91" s="390"/>
      <c r="K91" s="390"/>
      <c r="L91" s="390"/>
      <c r="M91" s="390"/>
      <c r="N91" s="390"/>
      <c r="O91" s="390"/>
      <c r="P91" s="583"/>
    </row>
    <row r="92" spans="1:16" x14ac:dyDescent="0.35">
      <c r="B92" s="387" t="s">
        <v>558</v>
      </c>
      <c r="C92" s="387"/>
      <c r="D92" s="387"/>
      <c r="E92" s="387"/>
      <c r="F92" s="387"/>
      <c r="G92" s="387"/>
      <c r="H92" s="387"/>
      <c r="I92" s="387"/>
      <c r="J92" s="387"/>
      <c r="K92" s="387"/>
      <c r="L92" s="387"/>
      <c r="M92" s="387"/>
      <c r="N92" s="387"/>
      <c r="O92" s="387"/>
      <c r="P92" s="387">
        <f t="shared" si="28"/>
        <v>0</v>
      </c>
    </row>
    <row r="93" spans="1:16" x14ac:dyDescent="0.35">
      <c r="B93" s="388" t="s">
        <v>559</v>
      </c>
      <c r="C93" s="388"/>
      <c r="D93" s="388"/>
      <c r="E93" s="388"/>
      <c r="F93" s="388"/>
      <c r="G93" s="388"/>
      <c r="H93" s="388"/>
      <c r="I93" s="388"/>
      <c r="J93" s="388"/>
      <c r="K93" s="388"/>
      <c r="L93" s="388"/>
      <c r="M93" s="388"/>
      <c r="N93" s="388"/>
      <c r="O93" s="388"/>
      <c r="P93" s="582">
        <f t="shared" si="28"/>
        <v>0</v>
      </c>
    </row>
    <row r="94" spans="1:16" x14ac:dyDescent="0.35">
      <c r="B94" s="390" t="s">
        <v>550</v>
      </c>
      <c r="C94" s="578">
        <v>21</v>
      </c>
      <c r="D94" s="390">
        <f t="shared" ref="D94:O94" si="31">$C94</f>
        <v>21</v>
      </c>
      <c r="E94" s="390">
        <f t="shared" si="31"/>
        <v>21</v>
      </c>
      <c r="F94" s="390">
        <f t="shared" si="31"/>
        <v>21</v>
      </c>
      <c r="G94" s="390">
        <f t="shared" si="31"/>
        <v>21</v>
      </c>
      <c r="H94" s="390">
        <f t="shared" si="31"/>
        <v>21</v>
      </c>
      <c r="I94" s="390">
        <f t="shared" si="31"/>
        <v>21</v>
      </c>
      <c r="J94" s="390">
        <f t="shared" si="31"/>
        <v>21</v>
      </c>
      <c r="K94" s="390">
        <f t="shared" si="31"/>
        <v>21</v>
      </c>
      <c r="L94" s="390">
        <f t="shared" si="31"/>
        <v>21</v>
      </c>
      <c r="M94" s="390">
        <f t="shared" si="31"/>
        <v>21</v>
      </c>
      <c r="N94" s="390">
        <f t="shared" si="31"/>
        <v>21</v>
      </c>
      <c r="O94" s="390">
        <f t="shared" si="31"/>
        <v>21</v>
      </c>
      <c r="P94" s="583">
        <f t="shared" si="28"/>
        <v>252</v>
      </c>
    </row>
    <row r="95" spans="1:16" x14ac:dyDescent="0.35">
      <c r="B95" s="388" t="s">
        <v>560</v>
      </c>
      <c r="C95" s="578"/>
      <c r="D95" s="388"/>
      <c r="E95" s="388"/>
      <c r="F95" s="388"/>
      <c r="G95" s="388"/>
      <c r="H95" s="388"/>
      <c r="I95" s="388"/>
      <c r="J95" s="388"/>
      <c r="K95" s="388"/>
      <c r="L95" s="388"/>
      <c r="M95" s="388"/>
      <c r="N95" s="388"/>
      <c r="O95" s="388"/>
      <c r="P95" s="582">
        <f t="shared" si="28"/>
        <v>0</v>
      </c>
    </row>
    <row r="96" spans="1:16" x14ac:dyDescent="0.35">
      <c r="B96" s="390" t="s">
        <v>550</v>
      </c>
      <c r="C96" s="578">
        <v>171</v>
      </c>
      <c r="D96" s="390">
        <f t="shared" ref="D96:O96" si="32">$C96</f>
        <v>171</v>
      </c>
      <c r="E96" s="390">
        <f t="shared" si="32"/>
        <v>171</v>
      </c>
      <c r="F96" s="390">
        <f t="shared" si="32"/>
        <v>171</v>
      </c>
      <c r="G96" s="390">
        <f t="shared" si="32"/>
        <v>171</v>
      </c>
      <c r="H96" s="390">
        <f t="shared" si="32"/>
        <v>171</v>
      </c>
      <c r="I96" s="390">
        <f t="shared" si="32"/>
        <v>171</v>
      </c>
      <c r="J96" s="390">
        <f t="shared" si="32"/>
        <v>171</v>
      </c>
      <c r="K96" s="390">
        <f t="shared" si="32"/>
        <v>171</v>
      </c>
      <c r="L96" s="390">
        <f t="shared" si="32"/>
        <v>171</v>
      </c>
      <c r="M96" s="390">
        <f t="shared" si="32"/>
        <v>171</v>
      </c>
      <c r="N96" s="390">
        <f t="shared" si="32"/>
        <v>171</v>
      </c>
      <c r="O96" s="390">
        <f t="shared" si="32"/>
        <v>171</v>
      </c>
      <c r="P96" s="583">
        <f t="shared" si="28"/>
        <v>2052</v>
      </c>
    </row>
    <row r="97" spans="1:16" x14ac:dyDescent="0.35">
      <c r="B97" s="388" t="s">
        <v>561</v>
      </c>
      <c r="C97" s="578"/>
      <c r="D97" s="388"/>
      <c r="E97" s="388"/>
      <c r="F97" s="388"/>
      <c r="G97" s="388"/>
      <c r="H97" s="388"/>
      <c r="I97" s="388"/>
      <c r="J97" s="388"/>
      <c r="K97" s="388"/>
      <c r="L97" s="388"/>
      <c r="M97" s="388"/>
      <c r="N97" s="388"/>
      <c r="O97" s="388"/>
      <c r="P97" s="582">
        <f t="shared" si="28"/>
        <v>0</v>
      </c>
    </row>
    <row r="98" spans="1:16" x14ac:dyDescent="0.35">
      <c r="A98" t="s">
        <v>562</v>
      </c>
      <c r="B98" s="390" t="s">
        <v>563</v>
      </c>
      <c r="C98" s="578">
        <v>2360.4</v>
      </c>
      <c r="D98" s="390">
        <f t="shared" ref="D98:K98" si="33">$C98</f>
        <v>2360.4</v>
      </c>
      <c r="E98" s="390">
        <f t="shared" si="33"/>
        <v>2360.4</v>
      </c>
      <c r="F98" s="390">
        <f t="shared" si="33"/>
        <v>2360.4</v>
      </c>
      <c r="G98" s="390">
        <f t="shared" si="33"/>
        <v>2360.4</v>
      </c>
      <c r="H98" s="390">
        <f t="shared" si="33"/>
        <v>2360.4</v>
      </c>
      <c r="I98" s="390">
        <f t="shared" si="33"/>
        <v>2360.4</v>
      </c>
      <c r="J98" s="390">
        <f t="shared" si="33"/>
        <v>2360.4</v>
      </c>
      <c r="K98" s="390">
        <f t="shared" si="33"/>
        <v>2360.4</v>
      </c>
      <c r="L98" s="390"/>
      <c r="M98" s="390"/>
      <c r="N98" s="390"/>
      <c r="O98" s="390"/>
      <c r="P98" s="583">
        <f t="shared" si="28"/>
        <v>18883.2</v>
      </c>
    </row>
    <row r="99" spans="1:16" ht="15.5" x14ac:dyDescent="0.35">
      <c r="A99" s="567"/>
      <c r="B99" s="559" t="s">
        <v>564</v>
      </c>
      <c r="C99" s="559"/>
      <c r="D99" s="567">
        <f>SUM(D93:D98)</f>
        <v>2552.4</v>
      </c>
      <c r="E99" s="567">
        <f t="shared" ref="E99:O99" si="34">SUM(E93:E98)</f>
        <v>2552.4</v>
      </c>
      <c r="F99" s="567">
        <f t="shared" si="34"/>
        <v>2552.4</v>
      </c>
      <c r="G99" s="567">
        <f t="shared" si="34"/>
        <v>2552.4</v>
      </c>
      <c r="H99" s="567">
        <f t="shared" si="34"/>
        <v>2552.4</v>
      </c>
      <c r="I99" s="567">
        <f t="shared" si="34"/>
        <v>2552.4</v>
      </c>
      <c r="J99" s="567">
        <f t="shared" si="34"/>
        <v>2552.4</v>
      </c>
      <c r="K99" s="567">
        <f t="shared" si="34"/>
        <v>2552.4</v>
      </c>
      <c r="L99" s="567">
        <f t="shared" si="34"/>
        <v>192</v>
      </c>
      <c r="M99" s="567">
        <f t="shared" si="34"/>
        <v>192</v>
      </c>
      <c r="N99" s="567">
        <f t="shared" si="34"/>
        <v>192</v>
      </c>
      <c r="O99" s="567">
        <f t="shared" si="34"/>
        <v>192</v>
      </c>
      <c r="P99" s="567">
        <f t="shared" ref="P99" si="35">SUM(D99:O99)</f>
        <v>21187.200000000001</v>
      </c>
    </row>
    <row r="100" spans="1:16" x14ac:dyDescent="0.35">
      <c r="B100" s="390"/>
      <c r="C100" s="578"/>
      <c r="D100" s="390"/>
      <c r="E100" s="390"/>
      <c r="F100" s="390"/>
      <c r="G100" s="390"/>
      <c r="H100" s="390"/>
      <c r="I100" s="390"/>
      <c r="J100" s="390"/>
      <c r="K100" s="390"/>
      <c r="L100" s="390"/>
      <c r="M100" s="390"/>
      <c r="N100" s="390"/>
      <c r="O100" s="390"/>
      <c r="P100" s="583"/>
    </row>
    <row r="101" spans="1:16" x14ac:dyDescent="0.35">
      <c r="B101" s="391" t="s">
        <v>565</v>
      </c>
      <c r="C101" s="391"/>
      <c r="D101" s="391">
        <f t="shared" ref="D101:O101" si="36">D90+D52+D39+D24+D6+D58+D8+D45</f>
        <v>253666.84708436954</v>
      </c>
      <c r="E101" s="391">
        <f t="shared" si="36"/>
        <v>229332.35375103619</v>
      </c>
      <c r="F101" s="391">
        <f t="shared" si="36"/>
        <v>196868.14367987908</v>
      </c>
      <c r="G101" s="391">
        <f t="shared" si="36"/>
        <v>198159.71839252277</v>
      </c>
      <c r="H101" s="391">
        <f t="shared" si="36"/>
        <v>208960.89050097365</v>
      </c>
      <c r="I101" s="391">
        <f t="shared" si="36"/>
        <v>203531.40279982422</v>
      </c>
      <c r="J101" s="391">
        <f t="shared" si="36"/>
        <v>212526.42860799519</v>
      </c>
      <c r="K101" s="391">
        <f t="shared" si="36"/>
        <v>224244.24669697098</v>
      </c>
      <c r="L101" s="391">
        <f t="shared" si="36"/>
        <v>231139.3371028431</v>
      </c>
      <c r="M101" s="391">
        <f t="shared" si="36"/>
        <v>247089.76302595661</v>
      </c>
      <c r="N101" s="391">
        <f t="shared" si="36"/>
        <v>233559.41607550689</v>
      </c>
      <c r="O101" s="391">
        <f t="shared" si="36"/>
        <v>236920.40740091921</v>
      </c>
      <c r="P101" s="391">
        <f t="shared" si="28"/>
        <v>2675998.9551187973</v>
      </c>
    </row>
    <row r="103" spans="1:16" x14ac:dyDescent="0.35">
      <c r="D103" s="67">
        <f t="shared" ref="D103:O103" si="37">D90+D58+D52+D45+D39+D24+D8</f>
        <v>96754.257011494235</v>
      </c>
      <c r="E103" s="67">
        <f t="shared" si="37"/>
        <v>66330.108505747121</v>
      </c>
      <c r="F103" s="67">
        <f t="shared" si="37"/>
        <v>48098.6</v>
      </c>
      <c r="G103" s="67">
        <f t="shared" si="37"/>
        <v>47789.599999999999</v>
      </c>
      <c r="H103" s="67">
        <f t="shared" si="37"/>
        <v>52296.490000000005</v>
      </c>
      <c r="I103" s="67">
        <f t="shared" si="37"/>
        <v>48270.6</v>
      </c>
      <c r="J103" s="67">
        <f t="shared" si="37"/>
        <v>45950.6</v>
      </c>
      <c r="K103" s="67">
        <f t="shared" si="37"/>
        <v>45950.6</v>
      </c>
      <c r="L103" s="67">
        <f t="shared" si="37"/>
        <v>46371.859999999993</v>
      </c>
      <c r="M103" s="67">
        <f t="shared" si="37"/>
        <v>53005.490000000005</v>
      </c>
      <c r="N103" s="67">
        <f t="shared" si="37"/>
        <v>45950.6</v>
      </c>
      <c r="O103" s="67">
        <f t="shared" si="37"/>
        <v>46159.6</v>
      </c>
    </row>
  </sheetData>
  <phoneticPr fontId="42" type="noConversion"/>
  <conditionalFormatting sqref="B45">
    <cfRule type="duplicateValues" dxfId="22" priority="1"/>
  </conditionalFormatting>
  <conditionalFormatting sqref="B50:B63 B13:B23 B4:C7 B12:C12 B9:C10 B8 B11 B38:B40 B25:B34">
    <cfRule type="duplicateValues" dxfId="21" priority="112"/>
  </conditionalFormatting>
  <conditionalFormatting sqref="B90">
    <cfRule type="duplicateValues" dxfId="20" priority="4"/>
  </conditionalFormatting>
  <conditionalFormatting sqref="B99">
    <cfRule type="duplicateValues" dxfId="19" priority="3"/>
  </conditionalFormatting>
  <conditionalFormatting sqref="C57 C53:C55 C59:C62">
    <cfRule type="duplicateValues" dxfId="18" priority="5"/>
  </conditionalFormatting>
  <conditionalFormatting sqref="D60:D62 D4:D5 D7 D53:D55 D12 D9:D10">
    <cfRule type="duplicateValues" dxfId="17" priority="19"/>
  </conditionalFormatting>
  <conditionalFormatting sqref="E60:E62 E4:E5 E7 E53:E55 E12 E9:E10">
    <cfRule type="duplicateValues" dxfId="16" priority="18"/>
  </conditionalFormatting>
  <conditionalFormatting sqref="F60:F62 F4:F5 F7 F53:F55 F12 F9:F10">
    <cfRule type="duplicateValues" dxfId="15" priority="17"/>
  </conditionalFormatting>
  <conditionalFormatting sqref="G60:G62 G4:G5 G7 G53:G55 G12 G9:G10">
    <cfRule type="duplicateValues" dxfId="14" priority="16"/>
  </conditionalFormatting>
  <conditionalFormatting sqref="H60:H62 H4:H5 H7 H53:H55 H12 H9:H10">
    <cfRule type="duplicateValues" dxfId="13" priority="15"/>
  </conditionalFormatting>
  <conditionalFormatting sqref="I60:I62 I4:I5 I7 I53:I55 I12 I9:I10">
    <cfRule type="duplicateValues" dxfId="12" priority="14"/>
  </conditionalFormatting>
  <conditionalFormatting sqref="J60:J62 J4:J5 J7 J53:J55 J12 J9:J10">
    <cfRule type="duplicateValues" dxfId="11" priority="13"/>
  </conditionalFormatting>
  <conditionalFormatting sqref="K60:K62 K4:K5 K7 K53:K55 K12 K9:K10">
    <cfRule type="duplicateValues" dxfId="10" priority="12"/>
  </conditionalFormatting>
  <conditionalFormatting sqref="L60:L62 L4:L5 L7 L53:L55 L12 L9:L10">
    <cfRule type="duplicateValues" dxfId="9" priority="11"/>
  </conditionalFormatting>
  <conditionalFormatting sqref="M60:M62 M4:M5 M7 M53:M55 M12 M9:M10">
    <cfRule type="duplicateValues" dxfId="8" priority="10"/>
  </conditionalFormatting>
  <conditionalFormatting sqref="N60:N62 N4:N5 N7 N53:N55 N12 N9:N10">
    <cfRule type="duplicateValues" dxfId="7" priority="9"/>
  </conditionalFormatting>
  <conditionalFormatting sqref="O60:O62 O4:O5 O7 O53:O55 O12 O9:O10">
    <cfRule type="duplicateValues" dxfId="6" priority="8"/>
  </conditionalFormatting>
  <conditionalFormatting sqref="P53 P12">
    <cfRule type="duplicateValues" dxfId="5" priority="7"/>
  </conditionalFormatting>
  <pageMargins left="0.7" right="0.7" top="0.75" bottom="0.75" header="0.3" footer="0.3"/>
  <pageSetup paperSize="9" orientation="portrait" horizontalDpi="4294967293" verticalDpi="4294967293"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EW529"/>
  <sheetViews>
    <sheetView showGridLines="0" topLeftCell="A42" zoomScale="90" zoomScaleNormal="90" workbookViewId="0">
      <selection activeCell="K38" sqref="K38"/>
    </sheetView>
  </sheetViews>
  <sheetFormatPr defaultColWidth="8.453125" defaultRowHeight="13" x14ac:dyDescent="0.3"/>
  <cols>
    <col min="1" max="1" width="23.1796875" style="159" customWidth="1"/>
    <col min="2" max="2" width="28.7265625" style="159" customWidth="1"/>
    <col min="3" max="3" width="37.1796875" style="159" customWidth="1"/>
    <col min="4" max="4" width="21.1796875" style="159" customWidth="1"/>
    <col min="5" max="5" width="10.81640625" style="106" hidden="1" customWidth="1"/>
    <col min="6" max="6" width="12.453125" style="106" hidden="1" customWidth="1"/>
    <col min="7" max="10" width="10.81640625" style="106" hidden="1" customWidth="1"/>
    <col min="11" max="16" width="10.81640625" style="106" bestFit="1" customWidth="1"/>
    <col min="17" max="17" width="13.453125" style="106" bestFit="1" customWidth="1"/>
    <col min="18" max="18" width="11.54296875" style="106" customWidth="1"/>
    <col min="19" max="19" width="12.1796875" style="106" customWidth="1"/>
    <col min="20" max="20" width="9.453125" style="106" bestFit="1" customWidth="1"/>
    <col min="21" max="21" width="8.453125" style="106"/>
    <col min="22" max="22" width="9.453125" style="106" bestFit="1" customWidth="1"/>
    <col min="23" max="16384" width="8.453125" style="106"/>
  </cols>
  <sheetData>
    <row r="1" spans="1:19 16377:16377" ht="13.5" thickBot="1" x14ac:dyDescent="0.35">
      <c r="A1" s="167" t="s">
        <v>566</v>
      </c>
      <c r="B1" s="167"/>
      <c r="C1" s="167"/>
      <c r="D1" s="167"/>
      <c r="E1" s="165"/>
      <c r="F1" s="165"/>
      <c r="G1" s="165"/>
      <c r="H1" s="165"/>
      <c r="I1" s="165"/>
      <c r="J1" s="165"/>
      <c r="K1" s="165"/>
      <c r="L1" s="165"/>
      <c r="M1" s="165"/>
      <c r="N1" s="165"/>
      <c r="O1" s="165"/>
      <c r="P1" s="165"/>
      <c r="Q1" s="166"/>
      <c r="R1" s="106">
        <v>87</v>
      </c>
      <c r="S1" s="662" t="s">
        <v>567</v>
      </c>
      <c r="XEW1" s="106" t="s">
        <v>567</v>
      </c>
    </row>
    <row r="2" spans="1:19 16377:16377" x14ac:dyDescent="0.3">
      <c r="A2" s="106"/>
      <c r="B2" s="106"/>
      <c r="C2" s="557"/>
      <c r="D2" s="557"/>
      <c r="E2" s="558"/>
      <c r="F2" s="558"/>
      <c r="G2" s="558"/>
      <c r="H2" s="558"/>
      <c r="I2" s="558"/>
      <c r="J2" s="558"/>
      <c r="K2" s="558"/>
      <c r="L2" s="558"/>
      <c r="M2" s="558"/>
      <c r="N2" s="558"/>
      <c r="O2" s="558"/>
      <c r="P2" s="558"/>
      <c r="Q2" s="558"/>
      <c r="XEW2" s="106" t="s">
        <v>568</v>
      </c>
    </row>
    <row r="3" spans="1:19 16377:16377" x14ac:dyDescent="0.3">
      <c r="A3" s="610" t="s">
        <v>1673</v>
      </c>
      <c r="B3" s="610"/>
      <c r="C3" s="610"/>
      <c r="D3" s="610"/>
      <c r="E3" s="611">
        <f>300-13</f>
        <v>287</v>
      </c>
      <c r="F3" s="611">
        <f>300-13</f>
        <v>287</v>
      </c>
      <c r="G3" s="611">
        <f t="shared" ref="G3:P3" si="0">300-41</f>
        <v>259</v>
      </c>
      <c r="H3" s="611">
        <f t="shared" si="0"/>
        <v>259</v>
      </c>
      <c r="I3" s="611">
        <f t="shared" si="0"/>
        <v>259</v>
      </c>
      <c r="J3" s="611">
        <f t="shared" si="0"/>
        <v>259</v>
      </c>
      <c r="K3" s="611">
        <f t="shared" si="0"/>
        <v>259</v>
      </c>
      <c r="L3" s="611">
        <f t="shared" si="0"/>
        <v>259</v>
      </c>
      <c r="M3" s="611">
        <f t="shared" si="0"/>
        <v>259</v>
      </c>
      <c r="N3" s="611">
        <f t="shared" si="0"/>
        <v>259</v>
      </c>
      <c r="O3" s="611">
        <f t="shared" si="0"/>
        <v>259</v>
      </c>
      <c r="P3" s="611">
        <f t="shared" si="0"/>
        <v>259</v>
      </c>
      <c r="Q3" s="611"/>
    </row>
    <row r="4" spans="1:19 16377:16377" x14ac:dyDescent="0.3">
      <c r="A4" s="557" t="s">
        <v>569</v>
      </c>
      <c r="B4" s="557"/>
      <c r="C4" s="557"/>
      <c r="D4" s="557"/>
      <c r="E4" s="558">
        <v>19</v>
      </c>
      <c r="F4" s="558">
        <v>19</v>
      </c>
      <c r="G4" s="558">
        <v>19</v>
      </c>
      <c r="H4" s="558">
        <v>19</v>
      </c>
      <c r="I4" s="558">
        <v>19</v>
      </c>
      <c r="J4" s="558">
        <v>19</v>
      </c>
      <c r="K4" s="558">
        <v>19</v>
      </c>
      <c r="L4" s="558">
        <v>19</v>
      </c>
      <c r="M4" s="558">
        <v>19</v>
      </c>
      <c r="N4" s="558">
        <v>19</v>
      </c>
      <c r="O4" s="558">
        <v>19</v>
      </c>
      <c r="P4" s="558">
        <v>19</v>
      </c>
      <c r="Q4" s="558"/>
    </row>
    <row r="5" spans="1:19 16377:16377" x14ac:dyDescent="0.3">
      <c r="A5" s="560" t="s">
        <v>570</v>
      </c>
      <c r="B5" s="560"/>
      <c r="C5" s="560"/>
      <c r="D5" s="560"/>
      <c r="E5" s="561">
        <f t="shared" ref="E5:P5" si="1">SUM(E3:E4)</f>
        <v>306</v>
      </c>
      <c r="F5" s="561">
        <f t="shared" si="1"/>
        <v>306</v>
      </c>
      <c r="G5" s="561">
        <f t="shared" si="1"/>
        <v>278</v>
      </c>
      <c r="H5" s="561">
        <f t="shared" si="1"/>
        <v>278</v>
      </c>
      <c r="I5" s="561">
        <f t="shared" si="1"/>
        <v>278</v>
      </c>
      <c r="J5" s="561">
        <f t="shared" si="1"/>
        <v>278</v>
      </c>
      <c r="K5" s="561">
        <f t="shared" si="1"/>
        <v>278</v>
      </c>
      <c r="L5" s="561">
        <f t="shared" si="1"/>
        <v>278</v>
      </c>
      <c r="M5" s="561">
        <f t="shared" si="1"/>
        <v>278</v>
      </c>
      <c r="N5" s="561">
        <f t="shared" si="1"/>
        <v>278</v>
      </c>
      <c r="O5" s="561">
        <f t="shared" si="1"/>
        <v>278</v>
      </c>
      <c r="P5" s="561">
        <f t="shared" si="1"/>
        <v>278</v>
      </c>
      <c r="Q5" s="561"/>
    </row>
    <row r="6" spans="1:19 16377:16377" x14ac:dyDescent="0.3">
      <c r="A6" s="557"/>
      <c r="B6" s="557"/>
      <c r="C6" s="557"/>
      <c r="D6" s="557"/>
      <c r="E6" s="558"/>
      <c r="F6" s="558"/>
      <c r="G6" s="558"/>
      <c r="H6" s="558"/>
      <c r="I6" s="558"/>
      <c r="J6" s="558"/>
      <c r="K6" s="558"/>
      <c r="L6" s="558"/>
      <c r="M6" s="558"/>
      <c r="N6" s="558"/>
      <c r="O6" s="558"/>
      <c r="P6" s="558"/>
      <c r="Q6" s="558"/>
    </row>
    <row r="7" spans="1:19 16377:16377" x14ac:dyDescent="0.3">
      <c r="A7" s="557" t="s">
        <v>571</v>
      </c>
      <c r="B7" s="557"/>
      <c r="C7" s="557" t="s">
        <v>572</v>
      </c>
      <c r="D7" s="557"/>
      <c r="E7" s="558">
        <v>30</v>
      </c>
      <c r="F7" s="558">
        <v>30</v>
      </c>
      <c r="G7" s="558">
        <v>30</v>
      </c>
      <c r="H7" s="558">
        <v>30</v>
      </c>
      <c r="I7" s="558">
        <v>30</v>
      </c>
      <c r="J7" s="558">
        <v>30</v>
      </c>
      <c r="K7" s="558">
        <v>30</v>
      </c>
      <c r="L7" s="558">
        <v>30</v>
      </c>
      <c r="M7" s="558">
        <v>30</v>
      </c>
      <c r="N7" s="558">
        <v>30</v>
      </c>
      <c r="O7" s="558">
        <v>30</v>
      </c>
      <c r="P7" s="558">
        <v>30</v>
      </c>
      <c r="Q7" s="558"/>
    </row>
    <row r="8" spans="1:19 16377:16377" x14ac:dyDescent="0.3">
      <c r="A8" s="557"/>
      <c r="B8" s="557"/>
      <c r="C8" s="557" t="s">
        <v>573</v>
      </c>
      <c r="D8" s="557"/>
      <c r="E8" s="558">
        <v>12</v>
      </c>
      <c r="F8" s="558">
        <v>12</v>
      </c>
      <c r="G8" s="558">
        <v>12</v>
      </c>
      <c r="H8" s="558">
        <v>12</v>
      </c>
      <c r="I8" s="558">
        <v>12</v>
      </c>
      <c r="J8" s="558">
        <v>12</v>
      </c>
      <c r="K8" s="558">
        <v>12</v>
      </c>
      <c r="L8" s="558">
        <v>12</v>
      </c>
      <c r="M8" s="558">
        <v>12</v>
      </c>
      <c r="N8" s="558">
        <v>12</v>
      </c>
      <c r="O8" s="558">
        <v>12</v>
      </c>
      <c r="P8" s="558">
        <v>12</v>
      </c>
      <c r="Q8" s="558"/>
    </row>
    <row r="9" spans="1:19 16377:16377" x14ac:dyDescent="0.3">
      <c r="A9" s="557"/>
      <c r="B9" s="557"/>
      <c r="C9" s="557" t="s">
        <v>574</v>
      </c>
      <c r="D9" s="557"/>
      <c r="E9" s="558">
        <f>E7-E8</f>
        <v>18</v>
      </c>
      <c r="F9" s="558">
        <f t="shared" ref="F9:P9" si="2">F7-F8</f>
        <v>18</v>
      </c>
      <c r="G9" s="558">
        <f t="shared" si="2"/>
        <v>18</v>
      </c>
      <c r="H9" s="558">
        <f t="shared" si="2"/>
        <v>18</v>
      </c>
      <c r="I9" s="558">
        <f t="shared" si="2"/>
        <v>18</v>
      </c>
      <c r="J9" s="558">
        <f t="shared" si="2"/>
        <v>18</v>
      </c>
      <c r="K9" s="558">
        <f t="shared" si="2"/>
        <v>18</v>
      </c>
      <c r="L9" s="558">
        <f t="shared" si="2"/>
        <v>18</v>
      </c>
      <c r="M9" s="558">
        <f t="shared" si="2"/>
        <v>18</v>
      </c>
      <c r="N9" s="558">
        <f t="shared" si="2"/>
        <v>18</v>
      </c>
      <c r="O9" s="558">
        <f t="shared" si="2"/>
        <v>18</v>
      </c>
      <c r="P9" s="558">
        <f t="shared" si="2"/>
        <v>18</v>
      </c>
      <c r="Q9" s="558"/>
    </row>
    <row r="10" spans="1:19 16377:16377" x14ac:dyDescent="0.3">
      <c r="A10" s="557"/>
      <c r="B10" s="557"/>
      <c r="C10" s="557"/>
      <c r="D10" s="557"/>
      <c r="E10" s="558"/>
      <c r="F10" s="558"/>
      <c r="G10" s="558"/>
      <c r="H10" s="558"/>
      <c r="I10" s="558"/>
      <c r="J10" s="558"/>
      <c r="K10" s="558"/>
      <c r="L10" s="558"/>
      <c r="M10" s="558"/>
      <c r="N10" s="558"/>
      <c r="O10" s="558"/>
      <c r="P10" s="558"/>
      <c r="Q10" s="558"/>
    </row>
    <row r="11" spans="1:19 16377:16377" x14ac:dyDescent="0.3">
      <c r="A11" s="557" t="s">
        <v>1674</v>
      </c>
      <c r="B11" s="557"/>
      <c r="C11" s="557"/>
      <c r="D11" s="557"/>
      <c r="E11" s="558">
        <f>E13+E14+4+15+7+$C$89+$C$90+$C$91+$C$92+$C$103</f>
        <v>273</v>
      </c>
      <c r="F11" s="558">
        <f t="shared" ref="F11:P11" si="3">F13+F14+4+15+7+$C$89+$C$90+$C$91+$C$92+$C$103</f>
        <v>273</v>
      </c>
      <c r="G11" s="558">
        <f t="shared" si="3"/>
        <v>249</v>
      </c>
      <c r="H11" s="558">
        <f t="shared" si="3"/>
        <v>249</v>
      </c>
      <c r="I11" s="656">
        <f t="shared" si="3"/>
        <v>258.33333333333337</v>
      </c>
      <c r="J11" s="656">
        <f t="shared" si="3"/>
        <v>258.33333333333337</v>
      </c>
      <c r="K11" s="656">
        <f t="shared" si="3"/>
        <v>265</v>
      </c>
      <c r="L11" s="656">
        <f t="shared" si="3"/>
        <v>302.33333333333337</v>
      </c>
      <c r="M11" s="656">
        <f t="shared" si="3"/>
        <v>309</v>
      </c>
      <c r="N11" s="656">
        <f t="shared" si="3"/>
        <v>315.66666666666669</v>
      </c>
      <c r="O11" s="656">
        <f t="shared" si="3"/>
        <v>322.33333333333331</v>
      </c>
      <c r="P11" s="656">
        <f t="shared" si="3"/>
        <v>329</v>
      </c>
      <c r="Q11" s="558"/>
    </row>
    <row r="12" spans="1:19 16377:16377" x14ac:dyDescent="0.3">
      <c r="A12" s="189" t="s">
        <v>575</v>
      </c>
      <c r="B12" s="189"/>
      <c r="C12" s="189" t="s">
        <v>576</v>
      </c>
      <c r="D12" s="189" t="s">
        <v>490</v>
      </c>
      <c r="E12" s="190">
        <v>46023</v>
      </c>
      <c r="F12" s="190">
        <v>46054</v>
      </c>
      <c r="G12" s="190">
        <v>46082</v>
      </c>
      <c r="H12" s="190">
        <v>46113</v>
      </c>
      <c r="I12" s="190">
        <v>46143</v>
      </c>
      <c r="J12" s="190">
        <v>46174</v>
      </c>
      <c r="K12" s="190">
        <v>46204</v>
      </c>
      <c r="L12" s="190">
        <v>46235</v>
      </c>
      <c r="M12" s="190">
        <v>46266</v>
      </c>
      <c r="N12" s="190">
        <v>46296</v>
      </c>
      <c r="O12" s="190">
        <v>46327</v>
      </c>
      <c r="P12" s="190">
        <v>46357</v>
      </c>
      <c r="Q12" s="191" t="s">
        <v>577</v>
      </c>
    </row>
    <row r="13" spans="1:19 16377:16377" x14ac:dyDescent="0.3">
      <c r="A13" s="557" t="s">
        <v>578</v>
      </c>
      <c r="B13" s="557"/>
      <c r="C13" s="557"/>
      <c r="D13" s="557"/>
      <c r="E13" s="558">
        <f>IF($S$1="Without",184,184-E9)</f>
        <v>166</v>
      </c>
      <c r="F13" s="558">
        <f>IF($S$1="Without",184,184-F9)</f>
        <v>166</v>
      </c>
      <c r="G13" s="558">
        <f>IF($S$1="Without",175,175-G9)</f>
        <v>157</v>
      </c>
      <c r="H13" s="558">
        <f t="shared" ref="H13" si="4">IF($S$1="Without",175,175-H9)</f>
        <v>157</v>
      </c>
      <c r="I13" s="656">
        <f>IF($S$1="Without",175,175-I9)+'1. Revenue Buildup 2026'!H11</f>
        <v>164</v>
      </c>
      <c r="J13" s="656">
        <f>IF($S$1="Without",175,175-J9)+'1. Revenue Buildup 2026'!I11</f>
        <v>164</v>
      </c>
      <c r="K13" s="656">
        <f>IF($S$1="Without",175,175-K9)+'1. Revenue Buildup 2026'!J11</f>
        <v>169</v>
      </c>
      <c r="L13" s="656">
        <f>IF($S$1="Without",175,175-L9)+'1. Revenue Buildup 2026'!K11</f>
        <v>197</v>
      </c>
      <c r="M13" s="656">
        <f>IF($S$1="Without",175,175-M9)+'1. Revenue Buildup 2026'!L11</f>
        <v>202</v>
      </c>
      <c r="N13" s="656">
        <f>IF($S$1="Without",175,175-N9)+'1. Revenue Buildup 2026'!M11</f>
        <v>207</v>
      </c>
      <c r="O13" s="656">
        <f>IF($S$1="Without",175,175-O9)+'1. Revenue Buildup 2026'!N11</f>
        <v>212</v>
      </c>
      <c r="P13" s="656">
        <f>IF($S$1="Without",175,175-P9)+'1. Revenue Buildup 2026'!O11</f>
        <v>217</v>
      </c>
      <c r="Q13" s="558"/>
    </row>
    <row r="14" spans="1:19 16377:16377" x14ac:dyDescent="0.3">
      <c r="A14" s="557" t="s">
        <v>1304</v>
      </c>
      <c r="B14" s="557"/>
      <c r="C14" s="557"/>
      <c r="D14" s="557"/>
      <c r="E14" s="558">
        <f>63-3</f>
        <v>60</v>
      </c>
      <c r="F14" s="558">
        <f t="shared" ref="F14" si="5">63-3</f>
        <v>60</v>
      </c>
      <c r="G14" s="558">
        <f>45</f>
        <v>45</v>
      </c>
      <c r="H14" s="558">
        <f>45</f>
        <v>45</v>
      </c>
      <c r="I14" s="656">
        <f>45+('1. Revenue Buildup 2026'!H11/3)</f>
        <v>47.333333333333336</v>
      </c>
      <c r="J14" s="656">
        <f>45+('1. Revenue Buildup 2026'!I11/3)</f>
        <v>47.333333333333336</v>
      </c>
      <c r="K14" s="656">
        <f>45+('1. Revenue Buildup 2026'!J11/3)</f>
        <v>49</v>
      </c>
      <c r="L14" s="656">
        <f>45+('1. Revenue Buildup 2026'!K11/3)</f>
        <v>58.333333333333336</v>
      </c>
      <c r="M14" s="656">
        <f>45+('1. Revenue Buildup 2026'!L11/3)</f>
        <v>60</v>
      </c>
      <c r="N14" s="656">
        <f>45+('1. Revenue Buildup 2026'!M11/3)</f>
        <v>61.666666666666671</v>
      </c>
      <c r="O14" s="656">
        <f>45+('1. Revenue Buildup 2026'!N11/3)</f>
        <v>63.333333333333329</v>
      </c>
      <c r="P14" s="656">
        <f>45+('1. Revenue Buildup 2026'!O11/3)</f>
        <v>65</v>
      </c>
      <c r="Q14" s="558"/>
    </row>
    <row r="15" spans="1:19 16377:16377" ht="15.5" x14ac:dyDescent="0.35">
      <c r="A15" s="225" t="s">
        <v>580</v>
      </c>
      <c r="B15" s="225"/>
      <c r="C15" s="565" t="s">
        <v>581</v>
      </c>
      <c r="D15" s="578">
        <v>350</v>
      </c>
      <c r="E15" s="563">
        <f t="shared" ref="E15:P15" si="6">SUMPRODUCT(E$13,$D15)</f>
        <v>58100</v>
      </c>
      <c r="F15" s="563">
        <f t="shared" si="6"/>
        <v>58100</v>
      </c>
      <c r="G15" s="563">
        <f t="shared" si="6"/>
        <v>54950</v>
      </c>
      <c r="H15" s="563">
        <f t="shared" si="6"/>
        <v>54950</v>
      </c>
      <c r="I15" s="563">
        <f>SUMPRODUCT(I$13,$D15)</f>
        <v>57400</v>
      </c>
      <c r="J15" s="563">
        <f t="shared" si="6"/>
        <v>57400</v>
      </c>
      <c r="K15" s="563">
        <f>SUMPRODUCT(K$13,$D15)</f>
        <v>59150</v>
      </c>
      <c r="L15" s="563">
        <f t="shared" si="6"/>
        <v>68950</v>
      </c>
      <c r="M15" s="563">
        <f t="shared" si="6"/>
        <v>70700</v>
      </c>
      <c r="N15" s="563">
        <f t="shared" si="6"/>
        <v>72450</v>
      </c>
      <c r="O15" s="563">
        <f t="shared" si="6"/>
        <v>74200</v>
      </c>
      <c r="P15" s="563">
        <f t="shared" si="6"/>
        <v>75950</v>
      </c>
      <c r="Q15" s="564">
        <f t="shared" ref="Q15:Q41" si="7">SUM(E15:P15)</f>
        <v>762300</v>
      </c>
    </row>
    <row r="16" spans="1:19 16377:16377" ht="15.5" x14ac:dyDescent="0.35">
      <c r="A16" s="225"/>
      <c r="B16" s="225"/>
      <c r="C16" s="565" t="s">
        <v>582</v>
      </c>
      <c r="D16" s="578">
        <v>550</v>
      </c>
      <c r="E16" s="563">
        <f>SUMPRODUCT(E$14,$D16)</f>
        <v>33000</v>
      </c>
      <c r="F16" s="563">
        <f t="shared" ref="F16:P16" si="8">SUMPRODUCT(F$14,$D16)</f>
        <v>33000</v>
      </c>
      <c r="G16" s="563">
        <f t="shared" si="8"/>
        <v>24750</v>
      </c>
      <c r="H16" s="563">
        <f t="shared" si="8"/>
        <v>24750</v>
      </c>
      <c r="I16" s="563">
        <f t="shared" si="8"/>
        <v>26033.333333333336</v>
      </c>
      <c r="J16" s="563">
        <f t="shared" si="8"/>
        <v>26033.333333333336</v>
      </c>
      <c r="K16" s="563">
        <f t="shared" si="8"/>
        <v>26950</v>
      </c>
      <c r="L16" s="563">
        <f t="shared" si="8"/>
        <v>32083.333333333336</v>
      </c>
      <c r="M16" s="563">
        <f t="shared" si="8"/>
        <v>33000</v>
      </c>
      <c r="N16" s="563">
        <f t="shared" si="8"/>
        <v>33916.666666666672</v>
      </c>
      <c r="O16" s="563">
        <f t="shared" si="8"/>
        <v>34833.333333333328</v>
      </c>
      <c r="P16" s="563">
        <f t="shared" si="8"/>
        <v>35750</v>
      </c>
      <c r="Q16" s="564">
        <f t="shared" si="7"/>
        <v>364100</v>
      </c>
    </row>
    <row r="17" spans="1:19" ht="15.5" x14ac:dyDescent="0.35">
      <c r="A17" s="225"/>
      <c r="B17" s="225"/>
      <c r="C17" s="565" t="s">
        <v>583</v>
      </c>
      <c r="D17" s="580">
        <f>45000*4</f>
        <v>180000</v>
      </c>
      <c r="E17" s="571">
        <f t="shared" ref="E17:P18" si="9">($D17/$R$1)</f>
        <v>2068.9655172413795</v>
      </c>
      <c r="F17" s="571">
        <f t="shared" si="9"/>
        <v>2068.9655172413795</v>
      </c>
      <c r="G17" s="571">
        <f t="shared" si="9"/>
        <v>2068.9655172413795</v>
      </c>
      <c r="H17" s="571">
        <f t="shared" si="9"/>
        <v>2068.9655172413795</v>
      </c>
      <c r="I17" s="571">
        <f t="shared" si="9"/>
        <v>2068.9655172413795</v>
      </c>
      <c r="J17" s="571">
        <f t="shared" si="9"/>
        <v>2068.9655172413795</v>
      </c>
      <c r="K17" s="571">
        <f t="shared" si="9"/>
        <v>2068.9655172413795</v>
      </c>
      <c r="L17" s="571">
        <f t="shared" si="9"/>
        <v>2068.9655172413795</v>
      </c>
      <c r="M17" s="571">
        <f t="shared" si="9"/>
        <v>2068.9655172413795</v>
      </c>
      <c r="N17" s="571">
        <f t="shared" si="9"/>
        <v>2068.9655172413795</v>
      </c>
      <c r="O17" s="571">
        <f t="shared" si="9"/>
        <v>2068.9655172413795</v>
      </c>
      <c r="P17" s="571">
        <f t="shared" si="9"/>
        <v>2068.9655172413795</v>
      </c>
      <c r="Q17" s="564">
        <f t="shared" si="7"/>
        <v>24827.586206896562</v>
      </c>
    </row>
    <row r="18" spans="1:19" ht="15.5" x14ac:dyDescent="0.35">
      <c r="A18" s="225"/>
      <c r="B18" s="225"/>
      <c r="C18" s="565" t="s">
        <v>584</v>
      </c>
      <c r="D18" s="580">
        <f>18000*15</f>
        <v>270000</v>
      </c>
      <c r="E18" s="571">
        <f t="shared" si="9"/>
        <v>3103.4482758620688</v>
      </c>
      <c r="F18" s="571">
        <f t="shared" si="9"/>
        <v>3103.4482758620688</v>
      </c>
      <c r="G18" s="571">
        <f t="shared" si="9"/>
        <v>3103.4482758620688</v>
      </c>
      <c r="H18" s="571">
        <f t="shared" si="9"/>
        <v>3103.4482758620688</v>
      </c>
      <c r="I18" s="571">
        <f t="shared" si="9"/>
        <v>3103.4482758620688</v>
      </c>
      <c r="J18" s="571">
        <f t="shared" si="9"/>
        <v>3103.4482758620688</v>
      </c>
      <c r="K18" s="571">
        <f t="shared" si="9"/>
        <v>3103.4482758620688</v>
      </c>
      <c r="L18" s="571">
        <f t="shared" si="9"/>
        <v>3103.4482758620688</v>
      </c>
      <c r="M18" s="571">
        <f t="shared" si="9"/>
        <v>3103.4482758620688</v>
      </c>
      <c r="N18" s="571">
        <f t="shared" si="9"/>
        <v>3103.4482758620688</v>
      </c>
      <c r="O18" s="571">
        <f t="shared" si="9"/>
        <v>3103.4482758620688</v>
      </c>
      <c r="P18" s="571">
        <f t="shared" si="9"/>
        <v>3103.4482758620688</v>
      </c>
      <c r="Q18" s="564">
        <f t="shared" si="7"/>
        <v>37241.379310344826</v>
      </c>
    </row>
    <row r="19" spans="1:19" ht="15.5" x14ac:dyDescent="0.35">
      <c r="A19" s="225"/>
      <c r="B19" s="225"/>
      <c r="C19" s="565" t="s">
        <v>1666</v>
      </c>
      <c r="D19" s="580">
        <v>35000</v>
      </c>
      <c r="E19" s="571"/>
      <c r="F19" s="571"/>
      <c r="G19" s="571">
        <f t="shared" ref="G19:P19" si="10">($D19*7)/$R$1</f>
        <v>2816.0919540229884</v>
      </c>
      <c r="H19" s="571">
        <f t="shared" si="10"/>
        <v>2816.0919540229884</v>
      </c>
      <c r="I19" s="571">
        <f t="shared" si="10"/>
        <v>2816.0919540229884</v>
      </c>
      <c r="J19" s="571">
        <f t="shared" si="10"/>
        <v>2816.0919540229884</v>
      </c>
      <c r="K19" s="571">
        <f t="shared" si="10"/>
        <v>2816.0919540229884</v>
      </c>
      <c r="L19" s="571">
        <f t="shared" si="10"/>
        <v>2816.0919540229884</v>
      </c>
      <c r="M19" s="571">
        <f t="shared" si="10"/>
        <v>2816.0919540229884</v>
      </c>
      <c r="N19" s="571">
        <f t="shared" si="10"/>
        <v>2816.0919540229884</v>
      </c>
      <c r="O19" s="571">
        <f t="shared" si="10"/>
        <v>2816.0919540229884</v>
      </c>
      <c r="P19" s="571">
        <f t="shared" si="10"/>
        <v>2816.0919540229884</v>
      </c>
      <c r="Q19" s="564">
        <f t="shared" si="7"/>
        <v>28160.919540229883</v>
      </c>
    </row>
    <row r="20" spans="1:19" ht="15.5" x14ac:dyDescent="0.35">
      <c r="A20" s="225"/>
      <c r="B20" s="225"/>
      <c r="C20" s="565" t="s">
        <v>585</v>
      </c>
      <c r="D20" s="562">
        <v>0.05</v>
      </c>
      <c r="E20" s="563">
        <f t="shared" ref="E20:P21" si="11">$D20*(E$15+E$16)</f>
        <v>4555</v>
      </c>
      <c r="F20" s="563">
        <f t="shared" si="11"/>
        <v>4555</v>
      </c>
      <c r="G20" s="563">
        <f t="shared" si="11"/>
        <v>3985</v>
      </c>
      <c r="H20" s="563">
        <f t="shared" si="11"/>
        <v>3985</v>
      </c>
      <c r="I20" s="563">
        <f t="shared" si="11"/>
        <v>4171.666666666667</v>
      </c>
      <c r="J20" s="563">
        <f t="shared" si="11"/>
        <v>4171.666666666667</v>
      </c>
      <c r="K20" s="563">
        <f t="shared" si="11"/>
        <v>4305</v>
      </c>
      <c r="L20" s="563">
        <f t="shared" si="11"/>
        <v>5051.6666666666679</v>
      </c>
      <c r="M20" s="563">
        <f t="shared" si="11"/>
        <v>5185</v>
      </c>
      <c r="N20" s="563">
        <f t="shared" si="11"/>
        <v>5318.3333333333339</v>
      </c>
      <c r="O20" s="563">
        <f t="shared" si="11"/>
        <v>5451.666666666667</v>
      </c>
      <c r="P20" s="563">
        <f t="shared" si="11"/>
        <v>5585</v>
      </c>
      <c r="Q20" s="564">
        <f t="shared" si="7"/>
        <v>56320</v>
      </c>
    </row>
    <row r="21" spans="1:19" ht="15.5" x14ac:dyDescent="0.35">
      <c r="A21" s="225"/>
      <c r="B21" s="225"/>
      <c r="C21" s="565" t="s">
        <v>586</v>
      </c>
      <c r="D21" s="562">
        <v>0.05</v>
      </c>
      <c r="E21" s="563">
        <f t="shared" si="11"/>
        <v>4555</v>
      </c>
      <c r="F21" s="563">
        <f t="shared" si="11"/>
        <v>4555</v>
      </c>
      <c r="G21" s="563">
        <f t="shared" si="11"/>
        <v>3985</v>
      </c>
      <c r="H21" s="563">
        <f t="shared" si="11"/>
        <v>3985</v>
      </c>
      <c r="I21" s="563">
        <f t="shared" si="11"/>
        <v>4171.666666666667</v>
      </c>
      <c r="J21" s="563">
        <f t="shared" si="11"/>
        <v>4171.666666666667</v>
      </c>
      <c r="K21" s="563">
        <f t="shared" si="11"/>
        <v>4305</v>
      </c>
      <c r="L21" s="563">
        <f t="shared" si="11"/>
        <v>5051.6666666666679</v>
      </c>
      <c r="M21" s="563">
        <f t="shared" si="11"/>
        <v>5185</v>
      </c>
      <c r="N21" s="563">
        <f t="shared" si="11"/>
        <v>5318.3333333333339</v>
      </c>
      <c r="O21" s="563">
        <f t="shared" si="11"/>
        <v>5451.666666666667</v>
      </c>
      <c r="P21" s="563">
        <f t="shared" si="11"/>
        <v>5585</v>
      </c>
      <c r="Q21" s="564">
        <f t="shared" si="7"/>
        <v>56320</v>
      </c>
    </row>
    <row r="22" spans="1:19" ht="15.5" x14ac:dyDescent="0.35">
      <c r="A22" s="225"/>
      <c r="B22" s="225"/>
      <c r="C22" s="565" t="s">
        <v>587</v>
      </c>
      <c r="D22" s="562">
        <v>0.05</v>
      </c>
      <c r="E22" s="563">
        <f>$D22*(E$17+E$18+E$19)</f>
        <v>258.62068965517244</v>
      </c>
      <c r="F22" s="563">
        <f t="shared" ref="F22:P23" si="12">$D22*(F$17+F$18+F$19)</f>
        <v>258.62068965517244</v>
      </c>
      <c r="G22" s="563">
        <f t="shared" si="12"/>
        <v>399.42528735632186</v>
      </c>
      <c r="H22" s="563">
        <f t="shared" si="12"/>
        <v>399.42528735632186</v>
      </c>
      <c r="I22" s="563">
        <f t="shared" si="12"/>
        <v>399.42528735632186</v>
      </c>
      <c r="J22" s="563">
        <f t="shared" si="12"/>
        <v>399.42528735632186</v>
      </c>
      <c r="K22" s="563">
        <f t="shared" si="12"/>
        <v>399.42528735632186</v>
      </c>
      <c r="L22" s="563">
        <f t="shared" si="12"/>
        <v>399.42528735632186</v>
      </c>
      <c r="M22" s="563">
        <f t="shared" si="12"/>
        <v>399.42528735632186</v>
      </c>
      <c r="N22" s="563">
        <f t="shared" si="12"/>
        <v>399.42528735632186</v>
      </c>
      <c r="O22" s="563">
        <f t="shared" si="12"/>
        <v>399.42528735632186</v>
      </c>
      <c r="P22" s="563">
        <f t="shared" si="12"/>
        <v>399.42528735632186</v>
      </c>
      <c r="Q22" s="564">
        <f t="shared" ref="Q22:Q23" si="13">SUM(E22:P22)</f>
        <v>4511.4942528735637</v>
      </c>
    </row>
    <row r="23" spans="1:19" ht="15.5" x14ac:dyDescent="0.35">
      <c r="A23" s="225"/>
      <c r="B23" s="225"/>
      <c r="C23" s="565" t="s">
        <v>588</v>
      </c>
      <c r="D23" s="562">
        <v>0.05</v>
      </c>
      <c r="E23" s="563">
        <f>$D23*(E$17+E$18+E$19)</f>
        <v>258.62068965517244</v>
      </c>
      <c r="F23" s="563">
        <f t="shared" si="12"/>
        <v>258.62068965517244</v>
      </c>
      <c r="G23" s="563">
        <f t="shared" si="12"/>
        <v>399.42528735632186</v>
      </c>
      <c r="H23" s="563">
        <f t="shared" si="12"/>
        <v>399.42528735632186</v>
      </c>
      <c r="I23" s="563">
        <f t="shared" si="12"/>
        <v>399.42528735632186</v>
      </c>
      <c r="J23" s="563">
        <f t="shared" si="12"/>
        <v>399.42528735632186</v>
      </c>
      <c r="K23" s="563">
        <f t="shared" si="12"/>
        <v>399.42528735632186</v>
      </c>
      <c r="L23" s="563">
        <f t="shared" si="12"/>
        <v>399.42528735632186</v>
      </c>
      <c r="M23" s="563">
        <f t="shared" si="12"/>
        <v>399.42528735632186</v>
      </c>
      <c r="N23" s="563">
        <f t="shared" si="12"/>
        <v>399.42528735632186</v>
      </c>
      <c r="O23" s="563">
        <f t="shared" si="12"/>
        <v>399.42528735632186</v>
      </c>
      <c r="P23" s="563">
        <f t="shared" si="12"/>
        <v>399.42528735632186</v>
      </c>
      <c r="Q23" s="564">
        <f t="shared" si="13"/>
        <v>4511.4942528735637</v>
      </c>
    </row>
    <row r="24" spans="1:19" ht="15.5" x14ac:dyDescent="0.35">
      <c r="A24" s="225"/>
      <c r="B24" s="225"/>
      <c r="C24" s="565" t="s">
        <v>589</v>
      </c>
      <c r="D24" s="562"/>
      <c r="E24" s="563"/>
      <c r="F24" s="563"/>
      <c r="G24" s="563"/>
      <c r="H24" s="563"/>
      <c r="I24" s="563"/>
      <c r="J24" s="563"/>
      <c r="K24" s="563"/>
      <c r="L24" s="563"/>
      <c r="M24" s="563"/>
      <c r="N24" s="563"/>
      <c r="O24" s="563"/>
      <c r="P24" s="563"/>
      <c r="Q24" s="564">
        <f t="shared" si="7"/>
        <v>0</v>
      </c>
    </row>
    <row r="25" spans="1:19" ht="15.5" x14ac:dyDescent="0.35">
      <c r="A25" s="225"/>
      <c r="B25" s="225"/>
      <c r="C25" s="565" t="s">
        <v>590</v>
      </c>
      <c r="D25" s="562">
        <v>0.01</v>
      </c>
      <c r="E25" s="563">
        <f t="shared" ref="E25:P28" si="14">$D25*(E$15+E$16+E$17+E$18+E$19)</f>
        <v>962.72413793103453</v>
      </c>
      <c r="F25" s="563">
        <f t="shared" si="14"/>
        <v>962.72413793103453</v>
      </c>
      <c r="G25" s="563">
        <f t="shared" si="14"/>
        <v>876.88505747126442</v>
      </c>
      <c r="H25" s="563">
        <f t="shared" si="14"/>
        <v>876.88505747126442</v>
      </c>
      <c r="I25" s="563">
        <f t="shared" si="14"/>
        <v>914.2183908045979</v>
      </c>
      <c r="J25" s="563">
        <f t="shared" si="14"/>
        <v>914.2183908045979</v>
      </c>
      <c r="K25" s="563">
        <f t="shared" si="14"/>
        <v>940.88505747126442</v>
      </c>
      <c r="L25" s="563">
        <f t="shared" si="14"/>
        <v>1090.2183908045979</v>
      </c>
      <c r="M25" s="563">
        <f t="shared" si="14"/>
        <v>1116.8850574712644</v>
      </c>
      <c r="N25" s="563">
        <f t="shared" si="14"/>
        <v>1143.5517241379312</v>
      </c>
      <c r="O25" s="563">
        <f t="shared" si="14"/>
        <v>1170.2183908045977</v>
      </c>
      <c r="P25" s="563">
        <f t="shared" si="14"/>
        <v>1196.8850574712644</v>
      </c>
      <c r="Q25" s="564">
        <f t="shared" si="7"/>
        <v>12166.298850574714</v>
      </c>
    </row>
    <row r="26" spans="1:19" ht="15.5" x14ac:dyDescent="0.35">
      <c r="A26" s="225"/>
      <c r="B26" s="225"/>
      <c r="C26" s="565" t="s">
        <v>591</v>
      </c>
      <c r="D26" s="562">
        <v>2.0911508615978724E-3</v>
      </c>
      <c r="E26" s="563">
        <f t="shared" si="14"/>
        <v>201.32014105155517</v>
      </c>
      <c r="F26" s="563">
        <f t="shared" si="14"/>
        <v>201.32014105155517</v>
      </c>
      <c r="G26" s="563">
        <f t="shared" si="14"/>
        <v>183.36989434533345</v>
      </c>
      <c r="H26" s="563">
        <f t="shared" si="14"/>
        <v>183.36989434533345</v>
      </c>
      <c r="I26" s="563">
        <f t="shared" si="14"/>
        <v>191.17685756196553</v>
      </c>
      <c r="J26" s="563">
        <f t="shared" si="14"/>
        <v>191.17685756196553</v>
      </c>
      <c r="K26" s="563">
        <f t="shared" si="14"/>
        <v>196.75325985955985</v>
      </c>
      <c r="L26" s="563">
        <f t="shared" si="14"/>
        <v>227.98111272608807</v>
      </c>
      <c r="M26" s="563">
        <f t="shared" si="14"/>
        <v>233.55751502368238</v>
      </c>
      <c r="N26" s="563">
        <f t="shared" si="14"/>
        <v>239.13391732127673</v>
      </c>
      <c r="O26" s="563">
        <f t="shared" si="14"/>
        <v>244.71031961887104</v>
      </c>
      <c r="P26" s="563">
        <f t="shared" si="14"/>
        <v>250.28672191646538</v>
      </c>
      <c r="Q26" s="564">
        <f t="shared" si="7"/>
        <v>2544.1566323836514</v>
      </c>
    </row>
    <row r="27" spans="1:19" ht="15.5" x14ac:dyDescent="0.35">
      <c r="A27" s="225"/>
      <c r="B27" s="225"/>
      <c r="C27" s="565" t="s">
        <v>201</v>
      </c>
      <c r="D27" s="562">
        <v>3.7216846420317839E-3</v>
      </c>
      <c r="E27" s="563">
        <f t="shared" si="14"/>
        <v>358.29556386512201</v>
      </c>
      <c r="F27" s="563">
        <f t="shared" si="14"/>
        <v>358.29556386512201</v>
      </c>
      <c r="G27" s="563">
        <f t="shared" si="14"/>
        <v>326.34896512179631</v>
      </c>
      <c r="H27" s="563">
        <f t="shared" si="14"/>
        <v>326.34896512179631</v>
      </c>
      <c r="I27" s="563">
        <f t="shared" si="14"/>
        <v>340.24325445204835</v>
      </c>
      <c r="J27" s="563">
        <f t="shared" si="14"/>
        <v>340.24325445204835</v>
      </c>
      <c r="K27" s="563">
        <f t="shared" si="14"/>
        <v>350.16774683079973</v>
      </c>
      <c r="L27" s="563">
        <f t="shared" si="14"/>
        <v>405.74490415180776</v>
      </c>
      <c r="M27" s="563">
        <f t="shared" si="14"/>
        <v>415.66939653055914</v>
      </c>
      <c r="N27" s="563">
        <f t="shared" si="14"/>
        <v>425.59388890931058</v>
      </c>
      <c r="O27" s="563">
        <f t="shared" si="14"/>
        <v>435.51838128806196</v>
      </c>
      <c r="P27" s="563">
        <f t="shared" si="14"/>
        <v>445.4428736668134</v>
      </c>
      <c r="Q27" s="564">
        <f t="shared" si="7"/>
        <v>4527.9127582552856</v>
      </c>
    </row>
    <row r="28" spans="1:19" ht="15.5" x14ac:dyDescent="0.35">
      <c r="A28" s="577"/>
      <c r="B28" s="225"/>
      <c r="C28" s="565" t="s">
        <v>592</v>
      </c>
      <c r="D28" s="562">
        <v>4.8479894993666778E-4</v>
      </c>
      <c r="E28" s="563">
        <f t="shared" si="14"/>
        <v>46.672765114764921</v>
      </c>
      <c r="F28" s="563">
        <f t="shared" si="14"/>
        <v>46.672765114764921</v>
      </c>
      <c r="G28" s="563">
        <f t="shared" si="14"/>
        <v>42.511295507722359</v>
      </c>
      <c r="H28" s="563">
        <f t="shared" si="14"/>
        <v>42.511295507722359</v>
      </c>
      <c r="I28" s="563">
        <f t="shared" si="14"/>
        <v>44.321211587485919</v>
      </c>
      <c r="J28" s="563">
        <f t="shared" si="14"/>
        <v>44.321211587485919</v>
      </c>
      <c r="K28" s="563">
        <f t="shared" si="14"/>
        <v>45.614008787317033</v>
      </c>
      <c r="L28" s="563">
        <f t="shared" si="14"/>
        <v>52.853673106371275</v>
      </c>
      <c r="M28" s="563">
        <f t="shared" si="14"/>
        <v>54.146470306202382</v>
      </c>
      <c r="N28" s="563">
        <f t="shared" si="14"/>
        <v>55.439267506033502</v>
      </c>
      <c r="O28" s="563">
        <f t="shared" si="14"/>
        <v>56.732064705864609</v>
      </c>
      <c r="P28" s="563">
        <f t="shared" si="14"/>
        <v>58.02486190569573</v>
      </c>
      <c r="Q28" s="564">
        <f t="shared" si="7"/>
        <v>589.820890737431</v>
      </c>
    </row>
    <row r="29" spans="1:19" ht="15.5" x14ac:dyDescent="0.35">
      <c r="A29" s="225"/>
      <c r="B29" s="225"/>
      <c r="C29" s="565"/>
      <c r="D29" s="578"/>
      <c r="E29" s="563"/>
      <c r="F29" s="563"/>
      <c r="G29" s="563"/>
      <c r="H29" s="563"/>
      <c r="I29" s="563"/>
      <c r="J29" s="563"/>
      <c r="K29" s="563"/>
      <c r="L29" s="563"/>
      <c r="M29" s="563"/>
      <c r="N29" s="563"/>
      <c r="O29" s="563"/>
      <c r="P29" s="563"/>
      <c r="Q29" s="564">
        <f t="shared" si="7"/>
        <v>0</v>
      </c>
    </row>
    <row r="30" spans="1:19" ht="15.5" x14ac:dyDescent="0.35">
      <c r="A30" s="559" t="s">
        <v>594</v>
      </c>
      <c r="B30" s="559"/>
      <c r="C30" s="559"/>
      <c r="D30" s="559"/>
      <c r="E30" s="567">
        <f t="shared" ref="E30:P30" si="15">SUM(E15:E29)</f>
        <v>107468.66778037627</v>
      </c>
      <c r="F30" s="567">
        <f t="shared" si="15"/>
        <v>107468.66778037627</v>
      </c>
      <c r="G30" s="567">
        <f t="shared" si="15"/>
        <v>97886.471534285214</v>
      </c>
      <c r="H30" s="567">
        <f t="shared" si="15"/>
        <v>97886.471534285214</v>
      </c>
      <c r="I30" s="567">
        <f>SUM(I15:I29)</f>
        <v>102053.98270291188</v>
      </c>
      <c r="J30" s="567">
        <f t="shared" si="15"/>
        <v>102053.98270291188</v>
      </c>
      <c r="K30" s="567">
        <f t="shared" si="15"/>
        <v>105030.77639478804</v>
      </c>
      <c r="L30" s="567">
        <f t="shared" si="15"/>
        <v>121700.82106929464</v>
      </c>
      <c r="M30" s="567">
        <f t="shared" si="15"/>
        <v>124677.61476117081</v>
      </c>
      <c r="N30" s="567">
        <f t="shared" si="15"/>
        <v>127654.40845304697</v>
      </c>
      <c r="O30" s="567">
        <f t="shared" si="15"/>
        <v>130631.20214492315</v>
      </c>
      <c r="P30" s="567">
        <f t="shared" si="15"/>
        <v>133607.99583679929</v>
      </c>
      <c r="Q30" s="567">
        <f t="shared" si="7"/>
        <v>1358121.0626951696</v>
      </c>
      <c r="S30" s="729"/>
    </row>
    <row r="31" spans="1:19" x14ac:dyDescent="0.3">
      <c r="A31" s="557"/>
      <c r="B31" s="557"/>
      <c r="C31" s="557"/>
      <c r="D31" s="557"/>
      <c r="E31" s="558"/>
      <c r="F31" s="558"/>
      <c r="G31" s="558"/>
      <c r="H31" s="558"/>
      <c r="I31" s="558"/>
      <c r="J31" s="558"/>
      <c r="K31" s="558"/>
      <c r="L31" s="558"/>
      <c r="M31" s="558"/>
      <c r="N31" s="558"/>
      <c r="O31" s="558"/>
      <c r="P31" s="558"/>
      <c r="Q31" s="558"/>
    </row>
    <row r="32" spans="1:19" ht="15.5" x14ac:dyDescent="0.35">
      <c r="A32" s="225" t="s">
        <v>595</v>
      </c>
      <c r="B32" s="225"/>
      <c r="C32" s="565" t="s">
        <v>596</v>
      </c>
      <c r="D32" s="557"/>
      <c r="E32" s="566">
        <v>4549.0689655172409</v>
      </c>
      <c r="F32" s="566">
        <v>4549.0689655172409</v>
      </c>
      <c r="G32" s="566">
        <v>4549.0689655172409</v>
      </c>
      <c r="H32" s="566">
        <v>4549.0689655172409</v>
      </c>
      <c r="I32" s="566">
        <v>4549.0689655172409</v>
      </c>
      <c r="J32" s="566">
        <v>4549.0689655172409</v>
      </c>
      <c r="K32" s="566"/>
      <c r="L32" s="566"/>
      <c r="M32" s="566"/>
      <c r="N32" s="566"/>
      <c r="O32" s="566"/>
      <c r="P32" s="566"/>
      <c r="Q32" s="564">
        <f t="shared" si="7"/>
        <v>27294.413793103442</v>
      </c>
    </row>
    <row r="33" spans="1:17" x14ac:dyDescent="0.3">
      <c r="A33" s="557"/>
      <c r="B33" s="557"/>
      <c r="C33" s="565" t="s">
        <v>597</v>
      </c>
      <c r="D33" s="557"/>
      <c r="E33" s="566">
        <v>3196.2298850574712</v>
      </c>
      <c r="F33" s="566">
        <v>3196.2298850574712</v>
      </c>
      <c r="G33" s="566">
        <v>3196.2298850574712</v>
      </c>
      <c r="H33" s="566">
        <v>3196.2298850574712</v>
      </c>
      <c r="I33" s="566">
        <v>3196.2298850574712</v>
      </c>
      <c r="J33" s="566">
        <v>3196.2298850574712</v>
      </c>
      <c r="K33" s="566">
        <v>3196.2298850574712</v>
      </c>
      <c r="L33" s="566">
        <v>3196.2298850574712</v>
      </c>
      <c r="M33" s="566">
        <v>3196.2298850574712</v>
      </c>
      <c r="N33" s="566">
        <v>3196.2298850574712</v>
      </c>
      <c r="O33" s="566">
        <v>3196.2298850574712</v>
      </c>
      <c r="P33" s="566">
        <v>3196.2298850574712</v>
      </c>
      <c r="Q33" s="564">
        <f t="shared" si="7"/>
        <v>38354.758620689652</v>
      </c>
    </row>
    <row r="34" spans="1:17" x14ac:dyDescent="0.3">
      <c r="A34" s="557"/>
      <c r="B34" s="557"/>
      <c r="C34" s="565" t="s">
        <v>598</v>
      </c>
      <c r="D34" s="557"/>
      <c r="E34" s="566">
        <v>1830.4608045977011</v>
      </c>
      <c r="F34" s="566">
        <v>1830.4608045977011</v>
      </c>
      <c r="G34" s="566">
        <v>1830.4608045977011</v>
      </c>
      <c r="H34" s="566">
        <v>1830.4608045977011</v>
      </c>
      <c r="I34" s="566">
        <v>1830.4608045977011</v>
      </c>
      <c r="J34" s="566">
        <v>1830.4608045977011</v>
      </c>
      <c r="K34" s="566">
        <v>1830.4608045977011</v>
      </c>
      <c r="L34" s="566">
        <v>1830.4608045977011</v>
      </c>
      <c r="M34" s="566">
        <v>1830.4608045977011</v>
      </c>
      <c r="N34" s="566">
        <v>1830.4608045977011</v>
      </c>
      <c r="O34" s="566">
        <v>1830.4608045977011</v>
      </c>
      <c r="P34" s="566">
        <v>1830.4608045977011</v>
      </c>
      <c r="Q34" s="564">
        <f t="shared" si="7"/>
        <v>21965.529655172406</v>
      </c>
    </row>
    <row r="35" spans="1:17" x14ac:dyDescent="0.3">
      <c r="A35" s="557"/>
      <c r="B35" s="557"/>
      <c r="C35" s="565" t="s">
        <v>599</v>
      </c>
      <c r="D35" s="557"/>
      <c r="E35" s="566">
        <v>4597.7011494252874</v>
      </c>
      <c r="F35" s="566">
        <v>4597.7011494252874</v>
      </c>
      <c r="G35" s="566">
        <v>4597.7011494252874</v>
      </c>
      <c r="H35" s="566">
        <v>4597.7011494252874</v>
      </c>
      <c r="I35" s="566">
        <v>4597.7011494252874</v>
      </c>
      <c r="J35" s="566">
        <v>4597.7011494252874</v>
      </c>
      <c r="K35" s="566">
        <v>4597.7011494252874</v>
      </c>
      <c r="L35" s="566">
        <v>4597.7011494252874</v>
      </c>
      <c r="M35" s="566">
        <v>4597.7011494252874</v>
      </c>
      <c r="N35" s="566">
        <v>4597.7011494252874</v>
      </c>
      <c r="O35" s="566">
        <v>4597.7011494252874</v>
      </c>
      <c r="P35" s="566">
        <v>4597.7011494252874</v>
      </c>
      <c r="Q35" s="564">
        <f t="shared" si="7"/>
        <v>55172.413793103449</v>
      </c>
    </row>
    <row r="36" spans="1:17" x14ac:dyDescent="0.3">
      <c r="A36" s="557"/>
      <c r="B36" s="557"/>
      <c r="C36" s="565" t="s">
        <v>596</v>
      </c>
      <c r="D36" s="557"/>
      <c r="E36" s="566">
        <v>785.74712643678163</v>
      </c>
      <c r="F36" s="566">
        <v>785.74712643678163</v>
      </c>
      <c r="G36" s="566">
        <v>785.74712643678163</v>
      </c>
      <c r="H36" s="566">
        <v>785.74712643678163</v>
      </c>
      <c r="I36" s="566">
        <v>785.74712643678163</v>
      </c>
      <c r="J36" s="566">
        <v>785.74712643678163</v>
      </c>
      <c r="K36" s="566"/>
      <c r="L36" s="566"/>
      <c r="M36" s="566"/>
      <c r="N36" s="566"/>
      <c r="O36" s="566"/>
      <c r="P36" s="566"/>
      <c r="Q36" s="564">
        <f t="shared" si="7"/>
        <v>4714.4827586206893</v>
      </c>
    </row>
    <row r="37" spans="1:17" x14ac:dyDescent="0.3">
      <c r="A37" s="557"/>
      <c r="B37" s="557"/>
      <c r="C37" s="565" t="s">
        <v>600</v>
      </c>
      <c r="D37" s="557"/>
      <c r="E37" s="566">
        <v>301.72413793103448</v>
      </c>
      <c r="F37" s="566">
        <v>301.72413793103448</v>
      </c>
      <c r="G37" s="566">
        <v>301.72413793103448</v>
      </c>
      <c r="H37" s="566">
        <v>301.72413793103448</v>
      </c>
      <c r="I37" s="566">
        <v>301.72413793103448</v>
      </c>
      <c r="J37" s="566">
        <v>301.72413793103448</v>
      </c>
      <c r="K37" s="566">
        <v>301.72413793103448</v>
      </c>
      <c r="L37" s="566">
        <v>301.72413793103448</v>
      </c>
      <c r="M37" s="566">
        <v>301.72413793103448</v>
      </c>
      <c r="N37" s="566">
        <v>301.72413793103448</v>
      </c>
      <c r="O37" s="566">
        <v>301.72413793103448</v>
      </c>
      <c r="P37" s="566">
        <v>301.72413793103448</v>
      </c>
      <c r="Q37" s="564">
        <f t="shared" si="7"/>
        <v>3620.6896551724135</v>
      </c>
    </row>
    <row r="38" spans="1:17" x14ac:dyDescent="0.3">
      <c r="A38" s="557"/>
      <c r="B38" s="557"/>
      <c r="C38" s="565" t="s">
        <v>601</v>
      </c>
      <c r="D38" s="578">
        <v>290</v>
      </c>
      <c r="E38" s="566">
        <v>290</v>
      </c>
      <c r="F38" s="566">
        <v>290</v>
      </c>
      <c r="G38" s="566">
        <v>290</v>
      </c>
      <c r="H38" s="566">
        <v>290</v>
      </c>
      <c r="I38" s="566">
        <v>290</v>
      </c>
      <c r="J38" s="566">
        <v>290</v>
      </c>
      <c r="K38" s="566">
        <v>290</v>
      </c>
      <c r="L38" s="566">
        <v>290</v>
      </c>
      <c r="M38" s="566">
        <v>290</v>
      </c>
      <c r="N38" s="566">
        <v>290</v>
      </c>
      <c r="O38" s="566">
        <v>290</v>
      </c>
      <c r="P38" s="566">
        <v>290</v>
      </c>
      <c r="Q38" s="564">
        <f t="shared" si="7"/>
        <v>3480</v>
      </c>
    </row>
    <row r="39" spans="1:17" x14ac:dyDescent="0.3">
      <c r="A39" s="557"/>
      <c r="B39" s="557"/>
      <c r="C39" s="565" t="s">
        <v>602</v>
      </c>
      <c r="D39" s="580">
        <v>800000</v>
      </c>
      <c r="E39" s="558"/>
      <c r="F39" s="558"/>
      <c r="G39" s="571"/>
      <c r="H39" s="566"/>
      <c r="I39" s="566"/>
      <c r="J39" s="566"/>
      <c r="K39" s="566">
        <f t="shared" ref="K39:P39" si="16">($D39/$R$1)</f>
        <v>9195.4022988505749</v>
      </c>
      <c r="L39" s="566">
        <f t="shared" si="16"/>
        <v>9195.4022988505749</v>
      </c>
      <c r="M39" s="566">
        <f t="shared" si="16"/>
        <v>9195.4022988505749</v>
      </c>
      <c r="N39" s="566">
        <f t="shared" si="16"/>
        <v>9195.4022988505749</v>
      </c>
      <c r="O39" s="566">
        <f t="shared" si="16"/>
        <v>9195.4022988505749</v>
      </c>
      <c r="P39" s="566">
        <f t="shared" si="16"/>
        <v>9195.4022988505749</v>
      </c>
      <c r="Q39" s="564">
        <f t="shared" si="7"/>
        <v>55172.413793103449</v>
      </c>
    </row>
    <row r="40" spans="1:17" x14ac:dyDescent="0.3">
      <c r="A40" s="557"/>
      <c r="B40" s="557"/>
      <c r="C40" s="565" t="s">
        <v>603</v>
      </c>
      <c r="D40" s="557"/>
      <c r="E40" s="558"/>
      <c r="F40" s="558"/>
      <c r="G40" s="558"/>
      <c r="H40" s="566"/>
      <c r="I40" s="566"/>
      <c r="J40" s="566"/>
      <c r="K40" s="566">
        <v>800</v>
      </c>
      <c r="L40" s="566">
        <v>800</v>
      </c>
      <c r="M40" s="566">
        <v>800</v>
      </c>
      <c r="N40" s="566">
        <v>800</v>
      </c>
      <c r="O40" s="566">
        <v>800</v>
      </c>
      <c r="P40" s="566">
        <v>800</v>
      </c>
      <c r="Q40" s="564">
        <f t="shared" si="7"/>
        <v>4800</v>
      </c>
    </row>
    <row r="41" spans="1:17" x14ac:dyDescent="0.3">
      <c r="A41" s="557"/>
      <c r="B41" s="557"/>
      <c r="C41" s="557"/>
      <c r="D41" s="557"/>
      <c r="E41" s="558"/>
      <c r="F41" s="558"/>
      <c r="G41" s="558"/>
      <c r="H41" s="558"/>
      <c r="I41" s="558"/>
      <c r="J41" s="558"/>
      <c r="K41" s="558"/>
      <c r="L41" s="558"/>
      <c r="M41" s="558"/>
      <c r="N41" s="558"/>
      <c r="O41" s="558"/>
      <c r="P41" s="558"/>
      <c r="Q41" s="564">
        <f t="shared" si="7"/>
        <v>0</v>
      </c>
    </row>
    <row r="42" spans="1:17" ht="15.5" x14ac:dyDescent="0.35">
      <c r="A42" s="617" t="s">
        <v>604</v>
      </c>
      <c r="B42" s="617"/>
      <c r="C42" s="617"/>
      <c r="D42" s="617"/>
      <c r="E42" s="618">
        <f t="shared" ref="E42:P42" si="17">SUM(E32:E41)</f>
        <v>15550.932068965516</v>
      </c>
      <c r="F42" s="618">
        <f t="shared" si="17"/>
        <v>15550.932068965516</v>
      </c>
      <c r="G42" s="618">
        <f t="shared" si="17"/>
        <v>15550.932068965516</v>
      </c>
      <c r="H42" s="618">
        <f t="shared" si="17"/>
        <v>15550.932068965516</v>
      </c>
      <c r="I42" s="618">
        <f t="shared" si="17"/>
        <v>15550.932068965516</v>
      </c>
      <c r="J42" s="618">
        <f t="shared" si="17"/>
        <v>15550.932068965516</v>
      </c>
      <c r="K42" s="618">
        <f t="shared" si="17"/>
        <v>20211.518275862069</v>
      </c>
      <c r="L42" s="618">
        <f t="shared" si="17"/>
        <v>20211.518275862069</v>
      </c>
      <c r="M42" s="618">
        <f t="shared" si="17"/>
        <v>20211.518275862069</v>
      </c>
      <c r="N42" s="618">
        <f t="shared" si="17"/>
        <v>20211.518275862069</v>
      </c>
      <c r="O42" s="618">
        <f t="shared" si="17"/>
        <v>20211.518275862069</v>
      </c>
      <c r="P42" s="618">
        <f t="shared" si="17"/>
        <v>20211.518275862069</v>
      </c>
      <c r="Q42" s="618">
        <f t="shared" ref="Q42" si="18">SUM(E42:P42)</f>
        <v>214574.7020689655</v>
      </c>
    </row>
    <row r="43" spans="1:17" x14ac:dyDescent="0.3">
      <c r="A43" s="557"/>
      <c r="B43" s="557"/>
      <c r="C43" s="557"/>
      <c r="D43" s="557"/>
      <c r="E43" s="558"/>
      <c r="F43" s="725"/>
      <c r="G43" s="558"/>
      <c r="H43" s="558"/>
      <c r="I43" s="558"/>
      <c r="J43" s="558"/>
      <c r="K43" s="558"/>
      <c r="L43" s="558"/>
      <c r="M43" s="558"/>
      <c r="N43" s="558"/>
      <c r="O43" s="558"/>
      <c r="P43" s="558"/>
      <c r="Q43" s="558"/>
    </row>
    <row r="44" spans="1:17" ht="15.5" x14ac:dyDescent="0.35">
      <c r="A44" s="225" t="s">
        <v>605</v>
      </c>
      <c r="B44" s="569"/>
      <c r="C44" s="565"/>
      <c r="D44" s="572"/>
      <c r="E44" s="571"/>
      <c r="F44" s="571"/>
      <c r="G44" s="571"/>
      <c r="H44" s="571"/>
      <c r="I44" s="571"/>
      <c r="J44" s="571"/>
      <c r="K44" s="571"/>
      <c r="L44" s="571"/>
      <c r="M44" s="571"/>
      <c r="N44" s="571"/>
      <c r="O44" s="571"/>
      <c r="P44" s="571"/>
      <c r="Q44" s="564"/>
    </row>
    <row r="45" spans="1:17" x14ac:dyDescent="0.3">
      <c r="A45" s="557"/>
      <c r="B45" s="569" t="s">
        <v>606</v>
      </c>
      <c r="C45" s="575" t="s">
        <v>607</v>
      </c>
      <c r="D45" s="579">
        <v>283.83155080213902</v>
      </c>
      <c r="E45" s="571">
        <f>($D45*E$11)/$R$1</f>
        <v>890.64383182740175</v>
      </c>
      <c r="F45" s="571">
        <f>($D45*F$11)/$R$1</f>
        <v>890.64383182740175</v>
      </c>
      <c r="G45" s="571"/>
      <c r="H45" s="571"/>
      <c r="I45" s="571"/>
      <c r="J45" s="571"/>
      <c r="K45" s="571"/>
      <c r="L45" s="571"/>
      <c r="M45" s="571"/>
      <c r="N45" s="571"/>
      <c r="O45" s="571"/>
      <c r="P45" s="571"/>
      <c r="Q45" s="564">
        <f t="shared" ref="Q45:Q51" si="19">SUM(E45:P45)</f>
        <v>1781.2876636548035</v>
      </c>
    </row>
    <row r="46" spans="1:17" x14ac:dyDescent="0.3">
      <c r="A46" s="557"/>
      <c r="B46" s="569"/>
      <c r="C46" s="575" t="s">
        <v>608</v>
      </c>
      <c r="D46" s="580">
        <v>33000</v>
      </c>
      <c r="E46" s="571">
        <f t="shared" ref="E46:I46" si="20">($D46/$R$1)</f>
        <v>379.31034482758622</v>
      </c>
      <c r="F46" s="571">
        <f t="shared" si="20"/>
        <v>379.31034482758622</v>
      </c>
      <c r="G46" s="571">
        <f t="shared" si="20"/>
        <v>379.31034482758622</v>
      </c>
      <c r="H46" s="571">
        <f t="shared" si="20"/>
        <v>379.31034482758622</v>
      </c>
      <c r="I46" s="571">
        <f t="shared" si="20"/>
        <v>379.31034482758622</v>
      </c>
      <c r="J46" s="571">
        <f>($D46/$R$1)*130%</f>
        <v>493.10344827586209</v>
      </c>
      <c r="K46" s="571">
        <f t="shared" ref="K46:P46" si="21">($D46/$R$1)*130%</f>
        <v>493.10344827586209</v>
      </c>
      <c r="L46" s="571">
        <f t="shared" si="21"/>
        <v>493.10344827586209</v>
      </c>
      <c r="M46" s="571">
        <f t="shared" si="21"/>
        <v>493.10344827586209</v>
      </c>
      <c r="N46" s="571">
        <f t="shared" si="21"/>
        <v>493.10344827586209</v>
      </c>
      <c r="O46" s="571">
        <f t="shared" si="21"/>
        <v>493.10344827586209</v>
      </c>
      <c r="P46" s="571">
        <f t="shared" si="21"/>
        <v>493.10344827586209</v>
      </c>
      <c r="Q46" s="564">
        <f t="shared" si="19"/>
        <v>5348.2758620689674</v>
      </c>
    </row>
    <row r="47" spans="1:17" x14ac:dyDescent="0.3">
      <c r="A47" s="557"/>
      <c r="B47" s="569" t="s">
        <v>505</v>
      </c>
      <c r="C47" s="565"/>
      <c r="D47" s="579"/>
      <c r="E47" s="571"/>
      <c r="F47" s="571"/>
      <c r="G47" s="571"/>
      <c r="H47" s="571"/>
      <c r="I47" s="571"/>
      <c r="J47" s="571"/>
      <c r="K47" s="571"/>
      <c r="L47" s="571"/>
      <c r="M47" s="571"/>
      <c r="N47" s="571"/>
      <c r="O47" s="571"/>
      <c r="P47" s="571"/>
      <c r="Q47" s="564">
        <f t="shared" si="19"/>
        <v>0</v>
      </c>
    </row>
    <row r="48" spans="1:17" x14ac:dyDescent="0.3">
      <c r="A48" s="557"/>
      <c r="B48" s="569"/>
      <c r="C48" s="565" t="s">
        <v>609</v>
      </c>
      <c r="D48" s="581"/>
      <c r="E48" s="571">
        <f t="shared" ref="E48:P48" si="22">($D48*E$13)/$R$1</f>
        <v>0</v>
      </c>
      <c r="F48" s="571">
        <f t="shared" si="22"/>
        <v>0</v>
      </c>
      <c r="G48" s="571">
        <f t="shared" si="22"/>
        <v>0</v>
      </c>
      <c r="H48" s="571">
        <f t="shared" si="22"/>
        <v>0</v>
      </c>
      <c r="I48" s="571">
        <f t="shared" si="22"/>
        <v>0</v>
      </c>
      <c r="J48" s="571">
        <f t="shared" si="22"/>
        <v>0</v>
      </c>
      <c r="K48" s="571">
        <f t="shared" si="22"/>
        <v>0</v>
      </c>
      <c r="L48" s="571">
        <f t="shared" si="22"/>
        <v>0</v>
      </c>
      <c r="M48" s="571">
        <f t="shared" si="22"/>
        <v>0</v>
      </c>
      <c r="N48" s="571">
        <f t="shared" si="22"/>
        <v>0</v>
      </c>
      <c r="O48" s="571">
        <f t="shared" si="22"/>
        <v>0</v>
      </c>
      <c r="P48" s="571">
        <f t="shared" si="22"/>
        <v>0</v>
      </c>
      <c r="Q48" s="564">
        <f t="shared" si="19"/>
        <v>0</v>
      </c>
    </row>
    <row r="49" spans="1:18" x14ac:dyDescent="0.3">
      <c r="A49" s="557"/>
      <c r="B49" s="569"/>
      <c r="C49" s="565" t="s">
        <v>610</v>
      </c>
      <c r="D49" s="580">
        <v>152000</v>
      </c>
      <c r="E49" s="571">
        <f>($D49/$R$1)/3</f>
        <v>582.37547892720306</v>
      </c>
      <c r="F49" s="571">
        <f t="shared" ref="F49:I49" si="23">($D49/$R$1)/3</f>
        <v>582.37547892720306</v>
      </c>
      <c r="G49" s="571">
        <f t="shared" si="23"/>
        <v>582.37547892720306</v>
      </c>
      <c r="H49" s="571">
        <f t="shared" si="23"/>
        <v>582.37547892720306</v>
      </c>
      <c r="I49" s="571">
        <f t="shared" si="23"/>
        <v>582.37547892720306</v>
      </c>
      <c r="J49" s="571">
        <f>(($D49/$R$1)/3)*130%</f>
        <v>757.08812260536399</v>
      </c>
      <c r="K49" s="571">
        <f t="shared" ref="K49:P49" si="24">(($D49/$R$1)/3)*130%</f>
        <v>757.08812260536399</v>
      </c>
      <c r="L49" s="571">
        <f t="shared" si="24"/>
        <v>757.08812260536399</v>
      </c>
      <c r="M49" s="571">
        <f t="shared" si="24"/>
        <v>757.08812260536399</v>
      </c>
      <c r="N49" s="571">
        <f t="shared" si="24"/>
        <v>757.08812260536399</v>
      </c>
      <c r="O49" s="571">
        <f t="shared" si="24"/>
        <v>757.08812260536399</v>
      </c>
      <c r="P49" s="571">
        <f t="shared" si="24"/>
        <v>757.08812260536399</v>
      </c>
      <c r="Q49" s="564">
        <f t="shared" si="19"/>
        <v>8211.4942528735646</v>
      </c>
      <c r="R49" s="136"/>
    </row>
    <row r="50" spans="1:18" x14ac:dyDescent="0.3">
      <c r="A50" s="557"/>
      <c r="B50" s="569" t="s">
        <v>173</v>
      </c>
      <c r="C50" s="565" t="s">
        <v>611</v>
      </c>
      <c r="D50" s="580">
        <v>20000</v>
      </c>
      <c r="E50" s="571">
        <f t="shared" ref="E50:E51" si="25">($D50/$R$1)</f>
        <v>229.88505747126436</v>
      </c>
      <c r="F50" s="571">
        <f t="shared" ref="F50:P51" si="26">($D50/$R$1)</f>
        <v>229.88505747126436</v>
      </c>
      <c r="G50" s="571">
        <f t="shared" si="26"/>
        <v>229.88505747126436</v>
      </c>
      <c r="H50" s="571">
        <f t="shared" si="26"/>
        <v>229.88505747126436</v>
      </c>
      <c r="I50" s="571">
        <f t="shared" si="26"/>
        <v>229.88505747126436</v>
      </c>
      <c r="J50" s="571">
        <f>($D50/$R$1)*130%</f>
        <v>298.85057471264366</v>
      </c>
      <c r="K50" s="571">
        <f t="shared" ref="K50:P50" si="27">($D50/$R$1)*130%</f>
        <v>298.85057471264366</v>
      </c>
      <c r="L50" s="571">
        <f t="shared" si="27"/>
        <v>298.85057471264366</v>
      </c>
      <c r="M50" s="571">
        <f t="shared" si="27"/>
        <v>298.85057471264366</v>
      </c>
      <c r="N50" s="571">
        <f t="shared" si="27"/>
        <v>298.85057471264366</v>
      </c>
      <c r="O50" s="571">
        <f t="shared" si="27"/>
        <v>298.85057471264366</v>
      </c>
      <c r="P50" s="571">
        <f t="shared" si="27"/>
        <v>298.85057471264366</v>
      </c>
      <c r="Q50" s="564">
        <f t="shared" si="19"/>
        <v>3241.3793103448279</v>
      </c>
    </row>
    <row r="51" spans="1:18" x14ac:dyDescent="0.3">
      <c r="A51" s="557"/>
      <c r="B51" s="569" t="s">
        <v>170</v>
      </c>
      <c r="C51" s="565" t="s">
        <v>612</v>
      </c>
      <c r="D51" s="580">
        <v>2500</v>
      </c>
      <c r="E51" s="571">
        <f t="shared" si="25"/>
        <v>28.735632183908045</v>
      </c>
      <c r="F51" s="571">
        <f t="shared" si="26"/>
        <v>28.735632183908045</v>
      </c>
      <c r="G51" s="571">
        <f t="shared" si="26"/>
        <v>28.735632183908045</v>
      </c>
      <c r="H51" s="571">
        <f t="shared" si="26"/>
        <v>28.735632183908045</v>
      </c>
      <c r="I51" s="571">
        <f t="shared" si="26"/>
        <v>28.735632183908045</v>
      </c>
      <c r="J51" s="571">
        <f t="shared" si="26"/>
        <v>28.735632183908045</v>
      </c>
      <c r="K51" s="571">
        <f t="shared" si="26"/>
        <v>28.735632183908045</v>
      </c>
      <c r="L51" s="571">
        <f t="shared" si="26"/>
        <v>28.735632183908045</v>
      </c>
      <c r="M51" s="571">
        <f t="shared" si="26"/>
        <v>28.735632183908045</v>
      </c>
      <c r="N51" s="571">
        <f t="shared" si="26"/>
        <v>28.735632183908045</v>
      </c>
      <c r="O51" s="571">
        <f t="shared" si="26"/>
        <v>28.735632183908045</v>
      </c>
      <c r="P51" s="571">
        <f t="shared" si="26"/>
        <v>28.735632183908045</v>
      </c>
      <c r="Q51" s="564">
        <f t="shared" si="19"/>
        <v>344.82758620689651</v>
      </c>
    </row>
    <row r="52" spans="1:18" x14ac:dyDescent="0.3">
      <c r="A52" s="557"/>
      <c r="B52" s="557"/>
      <c r="C52" s="557"/>
      <c r="D52" s="557"/>
      <c r="E52" s="558"/>
      <c r="F52" s="558"/>
      <c r="G52" s="558"/>
      <c r="H52" s="558"/>
      <c r="I52" s="558"/>
      <c r="J52" s="558"/>
      <c r="K52" s="558"/>
      <c r="L52" s="558"/>
      <c r="M52" s="558"/>
      <c r="N52" s="558"/>
      <c r="O52" s="558"/>
      <c r="P52" s="558"/>
      <c r="Q52" s="558"/>
    </row>
    <row r="53" spans="1:18" ht="15.5" x14ac:dyDescent="0.35">
      <c r="A53" s="617" t="s">
        <v>605</v>
      </c>
      <c r="B53" s="617"/>
      <c r="C53" s="617"/>
      <c r="D53" s="617"/>
      <c r="E53" s="618">
        <f t="shared" ref="E53:P53" si="28">SUM(E44:E52)</f>
        <v>2110.9503452373633</v>
      </c>
      <c r="F53" s="618">
        <f t="shared" si="28"/>
        <v>2110.9503452373633</v>
      </c>
      <c r="G53" s="618">
        <f t="shared" si="28"/>
        <v>1220.3065134099618</v>
      </c>
      <c r="H53" s="618">
        <f t="shared" si="28"/>
        <v>1220.3065134099618</v>
      </c>
      <c r="I53" s="618">
        <f t="shared" si="28"/>
        <v>1220.3065134099618</v>
      </c>
      <c r="J53" s="618">
        <f t="shared" si="28"/>
        <v>1577.7777777777781</v>
      </c>
      <c r="K53" s="618">
        <f t="shared" si="28"/>
        <v>1577.7777777777781</v>
      </c>
      <c r="L53" s="618">
        <f t="shared" si="28"/>
        <v>1577.7777777777781</v>
      </c>
      <c r="M53" s="618">
        <f t="shared" si="28"/>
        <v>1577.7777777777781</v>
      </c>
      <c r="N53" s="618">
        <f t="shared" si="28"/>
        <v>1577.7777777777781</v>
      </c>
      <c r="O53" s="618">
        <f t="shared" si="28"/>
        <v>1577.7777777777781</v>
      </c>
      <c r="P53" s="618">
        <f t="shared" si="28"/>
        <v>1577.7777777777781</v>
      </c>
      <c r="Q53" s="618">
        <f t="shared" ref="Q53" si="29">SUM(E53:P53)</f>
        <v>18927.264675149054</v>
      </c>
    </row>
    <row r="54" spans="1:18" x14ac:dyDescent="0.3">
      <c r="A54" s="557"/>
      <c r="B54" s="557"/>
      <c r="C54" s="557"/>
      <c r="D54" s="557"/>
      <c r="E54" s="558"/>
      <c r="F54" s="725"/>
      <c r="G54" s="725"/>
      <c r="H54" s="558"/>
      <c r="I54" s="558"/>
      <c r="J54" s="558"/>
      <c r="K54" s="558"/>
      <c r="L54" s="558"/>
      <c r="M54" s="558"/>
      <c r="N54" s="558"/>
      <c r="O54" s="558"/>
      <c r="P54" s="558"/>
      <c r="Q54" s="558"/>
    </row>
    <row r="55" spans="1:18" ht="15.5" x14ac:dyDescent="0.35">
      <c r="A55" s="225" t="s">
        <v>613</v>
      </c>
      <c r="B55" s="557"/>
      <c r="C55" s="557"/>
      <c r="D55" s="726"/>
      <c r="E55" s="726"/>
      <c r="F55" s="558"/>
      <c r="G55" s="558"/>
      <c r="H55" s="558"/>
      <c r="I55" s="558"/>
      <c r="J55" s="558"/>
      <c r="K55" s="558"/>
      <c r="L55" s="558"/>
      <c r="M55" s="558"/>
      <c r="N55" s="558"/>
      <c r="O55" s="558"/>
      <c r="P55" s="558"/>
      <c r="Q55" s="558"/>
    </row>
    <row r="56" spans="1:18" x14ac:dyDescent="0.3">
      <c r="A56" s="557"/>
      <c r="B56" s="569" t="s">
        <v>154</v>
      </c>
      <c r="C56" s="565" t="s">
        <v>614</v>
      </c>
      <c r="D56" s="580">
        <v>51.383565062388598</v>
      </c>
      <c r="E56" s="571">
        <f>($D56*(E$11-E$14))/$R$1</f>
        <v>125.80114204929623</v>
      </c>
      <c r="F56" s="571">
        <f t="shared" ref="F56:P56" si="30">($D56*(F$11-F$14))/$R$1</f>
        <v>125.80114204929623</v>
      </c>
      <c r="G56" s="571">
        <f t="shared" si="30"/>
        <v>120.48560083594568</v>
      </c>
      <c r="H56" s="571">
        <f t="shared" si="30"/>
        <v>120.48560083594568</v>
      </c>
      <c r="I56" s="571">
        <f t="shared" si="30"/>
        <v>124.61991066855168</v>
      </c>
      <c r="J56" s="571">
        <f t="shared" si="30"/>
        <v>124.61991066855168</v>
      </c>
      <c r="K56" s="571">
        <f t="shared" si="30"/>
        <v>127.57298912041307</v>
      </c>
      <c r="L56" s="571">
        <f t="shared" si="30"/>
        <v>144.11022845083698</v>
      </c>
      <c r="M56" s="571">
        <f t="shared" si="30"/>
        <v>147.0633069026984</v>
      </c>
      <c r="N56" s="571">
        <f t="shared" si="30"/>
        <v>150.01638535455982</v>
      </c>
      <c r="O56" s="571">
        <f t="shared" si="30"/>
        <v>152.96946380642123</v>
      </c>
      <c r="P56" s="571">
        <f t="shared" si="30"/>
        <v>155.92254225828265</v>
      </c>
      <c r="Q56" s="564">
        <f t="shared" ref="Q56:Q58" si="31">SUM(E56:P56)</f>
        <v>1619.4682230007993</v>
      </c>
    </row>
    <row r="57" spans="1:18" x14ac:dyDescent="0.3">
      <c r="A57" s="557"/>
      <c r="B57" s="557"/>
      <c r="C57" s="565" t="s">
        <v>615</v>
      </c>
      <c r="D57" s="580">
        <v>6500</v>
      </c>
      <c r="E57" s="571">
        <f>($D57)/$R$1</f>
        <v>74.712643678160916</v>
      </c>
      <c r="F57" s="571">
        <f t="shared" ref="F57:P57" si="32">($D57)/$R$1</f>
        <v>74.712643678160916</v>
      </c>
      <c r="G57" s="571">
        <f t="shared" si="32"/>
        <v>74.712643678160916</v>
      </c>
      <c r="H57" s="571">
        <f t="shared" si="32"/>
        <v>74.712643678160916</v>
      </c>
      <c r="I57" s="571">
        <f t="shared" si="32"/>
        <v>74.712643678160916</v>
      </c>
      <c r="J57" s="571">
        <f t="shared" si="32"/>
        <v>74.712643678160916</v>
      </c>
      <c r="K57" s="571">
        <f t="shared" si="32"/>
        <v>74.712643678160916</v>
      </c>
      <c r="L57" s="571">
        <f t="shared" si="32"/>
        <v>74.712643678160916</v>
      </c>
      <c r="M57" s="571">
        <f t="shared" si="32"/>
        <v>74.712643678160916</v>
      </c>
      <c r="N57" s="571">
        <f t="shared" si="32"/>
        <v>74.712643678160916</v>
      </c>
      <c r="O57" s="571">
        <f t="shared" si="32"/>
        <v>74.712643678160916</v>
      </c>
      <c r="P57" s="571">
        <f t="shared" si="32"/>
        <v>74.712643678160916</v>
      </c>
      <c r="Q57" s="564">
        <f t="shared" si="31"/>
        <v>896.55172413793105</v>
      </c>
    </row>
    <row r="58" spans="1:18" x14ac:dyDescent="0.3">
      <c r="A58" s="557"/>
      <c r="B58" s="557"/>
      <c r="C58" s="565" t="s">
        <v>154</v>
      </c>
      <c r="D58" s="579">
        <v>169.72192513368984</v>
      </c>
      <c r="E58" s="571">
        <f>($D58*(E$11-E$14))/$R$1</f>
        <v>415.52609256868891</v>
      </c>
      <c r="F58" s="571">
        <f t="shared" ref="F58:P58" si="33">($D58*(F$11-F$14))/$R$1</f>
        <v>415.52609256868891</v>
      </c>
      <c r="G58" s="571">
        <f t="shared" si="33"/>
        <v>397.96865203761757</v>
      </c>
      <c r="H58" s="571">
        <f t="shared" si="33"/>
        <v>397.96865203761757</v>
      </c>
      <c r="I58" s="571">
        <f t="shared" si="33"/>
        <v>411.62443911733982</v>
      </c>
      <c r="J58" s="571">
        <f t="shared" si="33"/>
        <v>411.62443911733982</v>
      </c>
      <c r="K58" s="571">
        <f t="shared" si="33"/>
        <v>421.37857274571269</v>
      </c>
      <c r="L58" s="571">
        <f t="shared" si="33"/>
        <v>476.00172106460144</v>
      </c>
      <c r="M58" s="571">
        <f t="shared" si="33"/>
        <v>485.75585469297437</v>
      </c>
      <c r="N58" s="571">
        <f t="shared" si="33"/>
        <v>495.50998832134735</v>
      </c>
      <c r="O58" s="571">
        <f t="shared" si="33"/>
        <v>505.26412194972028</v>
      </c>
      <c r="P58" s="571">
        <f t="shared" si="33"/>
        <v>515.01825557809332</v>
      </c>
      <c r="Q58" s="564">
        <f t="shared" si="31"/>
        <v>5349.1668817997415</v>
      </c>
    </row>
    <row r="59" spans="1:18" x14ac:dyDescent="0.3">
      <c r="A59" s="557"/>
      <c r="B59" s="569" t="s">
        <v>221</v>
      </c>
      <c r="C59" s="565" t="s">
        <v>257</v>
      </c>
      <c r="D59" s="572"/>
      <c r="E59" s="571">
        <f t="shared" ref="E59:P59" si="34">($D59*(E$13+E$4))/$R$1</f>
        <v>0</v>
      </c>
      <c r="F59" s="571">
        <f t="shared" si="34"/>
        <v>0</v>
      </c>
      <c r="G59" s="571">
        <f t="shared" si="34"/>
        <v>0</v>
      </c>
      <c r="H59" s="571">
        <f t="shared" si="34"/>
        <v>0</v>
      </c>
      <c r="I59" s="571">
        <f t="shared" si="34"/>
        <v>0</v>
      </c>
      <c r="J59" s="571">
        <f t="shared" si="34"/>
        <v>0</v>
      </c>
      <c r="K59" s="571">
        <f t="shared" si="34"/>
        <v>0</v>
      </c>
      <c r="L59" s="571">
        <f t="shared" si="34"/>
        <v>0</v>
      </c>
      <c r="M59" s="571">
        <f t="shared" si="34"/>
        <v>0</v>
      </c>
      <c r="N59" s="571">
        <f t="shared" si="34"/>
        <v>0</v>
      </c>
      <c r="O59" s="571">
        <f t="shared" si="34"/>
        <v>0</v>
      </c>
      <c r="P59" s="571">
        <f t="shared" si="34"/>
        <v>0</v>
      </c>
      <c r="Q59" s="564">
        <f>SUM(E59:P59)</f>
        <v>0</v>
      </c>
    </row>
    <row r="60" spans="1:18" x14ac:dyDescent="0.3">
      <c r="A60" s="557"/>
      <c r="B60" s="557"/>
      <c r="C60" s="565" t="s">
        <v>616</v>
      </c>
      <c r="D60" s="580">
        <v>15000</v>
      </c>
      <c r="E60" s="571">
        <f t="shared" ref="E60:P60" si="35">($D60/$R$1)</f>
        <v>172.41379310344828</v>
      </c>
      <c r="F60" s="571">
        <f t="shared" si="35"/>
        <v>172.41379310344828</v>
      </c>
      <c r="G60" s="571">
        <f t="shared" si="35"/>
        <v>172.41379310344828</v>
      </c>
      <c r="H60" s="571">
        <f t="shared" si="35"/>
        <v>172.41379310344828</v>
      </c>
      <c r="I60" s="571">
        <f t="shared" si="35"/>
        <v>172.41379310344828</v>
      </c>
      <c r="J60" s="571">
        <f t="shared" si="35"/>
        <v>172.41379310344828</v>
      </c>
      <c r="K60" s="571">
        <f t="shared" si="35"/>
        <v>172.41379310344828</v>
      </c>
      <c r="L60" s="571">
        <f t="shared" si="35"/>
        <v>172.41379310344828</v>
      </c>
      <c r="M60" s="571">
        <f t="shared" si="35"/>
        <v>172.41379310344828</v>
      </c>
      <c r="N60" s="571">
        <f t="shared" si="35"/>
        <v>172.41379310344828</v>
      </c>
      <c r="O60" s="571">
        <f t="shared" si="35"/>
        <v>172.41379310344828</v>
      </c>
      <c r="P60" s="571">
        <f t="shared" si="35"/>
        <v>172.41379310344828</v>
      </c>
      <c r="Q60" s="564">
        <f>SUM(E60:P60)</f>
        <v>2068.96551724138</v>
      </c>
    </row>
    <row r="61" spans="1:18" x14ac:dyDescent="0.3">
      <c r="A61" s="557"/>
      <c r="B61" s="557"/>
      <c r="C61" s="565" t="s">
        <v>617</v>
      </c>
      <c r="D61" s="572"/>
      <c r="E61" s="571">
        <f t="shared" ref="E61:P61" si="36">($D61*(E$13+E$4))/$R$1</f>
        <v>0</v>
      </c>
      <c r="F61" s="571">
        <f t="shared" si="36"/>
        <v>0</v>
      </c>
      <c r="G61" s="571">
        <f t="shared" si="36"/>
        <v>0</v>
      </c>
      <c r="H61" s="571">
        <f t="shared" si="36"/>
        <v>0</v>
      </c>
      <c r="I61" s="571">
        <f t="shared" si="36"/>
        <v>0</v>
      </c>
      <c r="J61" s="571">
        <f t="shared" si="36"/>
        <v>0</v>
      </c>
      <c r="K61" s="571">
        <f t="shared" si="36"/>
        <v>0</v>
      </c>
      <c r="L61" s="571">
        <f t="shared" si="36"/>
        <v>0</v>
      </c>
      <c r="M61" s="571">
        <f t="shared" si="36"/>
        <v>0</v>
      </c>
      <c r="N61" s="571">
        <f t="shared" si="36"/>
        <v>0</v>
      </c>
      <c r="O61" s="571">
        <f t="shared" si="36"/>
        <v>0</v>
      </c>
      <c r="P61" s="571">
        <f t="shared" si="36"/>
        <v>0</v>
      </c>
      <c r="Q61" s="564">
        <f>SUM(E61:P61)</f>
        <v>0</v>
      </c>
    </row>
    <row r="62" spans="1:18" x14ac:dyDescent="0.3">
      <c r="A62" s="557"/>
      <c r="B62" s="557"/>
      <c r="C62" s="565" t="s">
        <v>221</v>
      </c>
      <c r="D62" s="580">
        <v>1000</v>
      </c>
      <c r="E62" s="571">
        <f t="shared" ref="E62:P62" si="37">($D62/$R$1)</f>
        <v>11.494252873563218</v>
      </c>
      <c r="F62" s="571">
        <f t="shared" si="37"/>
        <v>11.494252873563218</v>
      </c>
      <c r="G62" s="571">
        <f t="shared" si="37"/>
        <v>11.494252873563218</v>
      </c>
      <c r="H62" s="571">
        <f t="shared" si="37"/>
        <v>11.494252873563218</v>
      </c>
      <c r="I62" s="571">
        <f t="shared" si="37"/>
        <v>11.494252873563218</v>
      </c>
      <c r="J62" s="571">
        <f t="shared" si="37"/>
        <v>11.494252873563218</v>
      </c>
      <c r="K62" s="571">
        <f t="shared" si="37"/>
        <v>11.494252873563218</v>
      </c>
      <c r="L62" s="571">
        <f t="shared" si="37"/>
        <v>11.494252873563218</v>
      </c>
      <c r="M62" s="571">
        <f t="shared" si="37"/>
        <v>11.494252873563218</v>
      </c>
      <c r="N62" s="571">
        <f t="shared" si="37"/>
        <v>11.494252873563218</v>
      </c>
      <c r="O62" s="571">
        <f t="shared" si="37"/>
        <v>11.494252873563218</v>
      </c>
      <c r="P62" s="571">
        <f t="shared" si="37"/>
        <v>11.494252873563218</v>
      </c>
      <c r="Q62" s="564">
        <f>SUM(E62:P62)</f>
        <v>137.93103448275858</v>
      </c>
    </row>
    <row r="63" spans="1:18" x14ac:dyDescent="0.3">
      <c r="A63" s="557"/>
      <c r="B63" s="557"/>
      <c r="C63" s="565" t="s">
        <v>618</v>
      </c>
      <c r="D63" s="580">
        <v>22787</v>
      </c>
      <c r="E63" s="571"/>
      <c r="F63" s="571"/>
      <c r="G63" s="571"/>
      <c r="H63" s="571"/>
      <c r="I63" s="571"/>
      <c r="J63" s="571">
        <f>($D63/$R$1)</f>
        <v>261.91954022988506</v>
      </c>
      <c r="K63" s="571"/>
      <c r="L63" s="571"/>
      <c r="M63" s="571"/>
      <c r="N63" s="571"/>
      <c r="O63" s="571"/>
      <c r="P63" s="571"/>
      <c r="Q63" s="564">
        <f t="shared" ref="Q63:Q64" si="38">SUM(E63:P63)</f>
        <v>261.91954022988506</v>
      </c>
    </row>
    <row r="64" spans="1:18" x14ac:dyDescent="0.3">
      <c r="A64" s="557"/>
      <c r="B64" s="557"/>
      <c r="C64" s="565" t="s">
        <v>619</v>
      </c>
      <c r="D64" s="580"/>
      <c r="E64" s="571">
        <v>1150</v>
      </c>
      <c r="F64" s="571">
        <v>1150</v>
      </c>
      <c r="G64" s="571"/>
      <c r="H64" s="571"/>
      <c r="I64" s="571"/>
      <c r="J64" s="571"/>
      <c r="K64" s="571"/>
      <c r="L64" s="571"/>
      <c r="M64" s="571"/>
      <c r="N64" s="571"/>
      <c r="O64" s="571"/>
      <c r="P64" s="571"/>
      <c r="Q64" s="564">
        <f t="shared" si="38"/>
        <v>2300</v>
      </c>
    </row>
    <row r="65" spans="1:18" x14ac:dyDescent="0.3">
      <c r="A65" s="557"/>
      <c r="B65" s="557"/>
      <c r="C65" s="565" t="s">
        <v>1672</v>
      </c>
      <c r="D65" s="578">
        <v>3400</v>
      </c>
      <c r="E65" s="571"/>
      <c r="F65" s="571">
        <f>$D65/2</f>
        <v>1700</v>
      </c>
      <c r="G65" s="571">
        <f t="shared" ref="G65:P65" si="39">$D65</f>
        <v>3400</v>
      </c>
      <c r="H65" s="571">
        <f t="shared" si="39"/>
        <v>3400</v>
      </c>
      <c r="I65" s="571">
        <f t="shared" si="39"/>
        <v>3400</v>
      </c>
      <c r="J65" s="571">
        <f t="shared" si="39"/>
        <v>3400</v>
      </c>
      <c r="K65" s="571">
        <f t="shared" si="39"/>
        <v>3400</v>
      </c>
      <c r="L65" s="571">
        <f t="shared" si="39"/>
        <v>3400</v>
      </c>
      <c r="M65" s="571">
        <f t="shared" si="39"/>
        <v>3400</v>
      </c>
      <c r="N65" s="571">
        <f t="shared" si="39"/>
        <v>3400</v>
      </c>
      <c r="O65" s="571">
        <f t="shared" si="39"/>
        <v>3400</v>
      </c>
      <c r="P65" s="571">
        <f t="shared" si="39"/>
        <v>3400</v>
      </c>
      <c r="Q65" s="564">
        <f t="shared" ref="Q65" si="40">SUM(E65:P65)</f>
        <v>35700</v>
      </c>
    </row>
    <row r="66" spans="1:18" x14ac:dyDescent="0.3">
      <c r="A66" s="557"/>
      <c r="B66" s="557"/>
      <c r="C66" s="565" t="s">
        <v>621</v>
      </c>
      <c r="D66" s="580"/>
      <c r="E66" s="571">
        <f t="shared" ref="E66:P66" si="41">($D66*(E$13+E$4))/$R$1</f>
        <v>0</v>
      </c>
      <c r="F66" s="571">
        <f t="shared" si="41"/>
        <v>0</v>
      </c>
      <c r="G66" s="571">
        <f t="shared" si="41"/>
        <v>0</v>
      </c>
      <c r="H66" s="571">
        <f t="shared" si="41"/>
        <v>0</v>
      </c>
      <c r="I66" s="571">
        <f t="shared" si="41"/>
        <v>0</v>
      </c>
      <c r="J66" s="571">
        <f t="shared" si="41"/>
        <v>0</v>
      </c>
      <c r="K66" s="571">
        <f t="shared" si="41"/>
        <v>0</v>
      </c>
      <c r="L66" s="571">
        <f t="shared" si="41"/>
        <v>0</v>
      </c>
      <c r="M66" s="571">
        <f t="shared" si="41"/>
        <v>0</v>
      </c>
      <c r="N66" s="571">
        <f t="shared" si="41"/>
        <v>0</v>
      </c>
      <c r="O66" s="571">
        <f t="shared" si="41"/>
        <v>0</v>
      </c>
      <c r="P66" s="571">
        <f t="shared" si="41"/>
        <v>0</v>
      </c>
      <c r="Q66" s="564">
        <f>SUM(E66:P66)</f>
        <v>0</v>
      </c>
    </row>
    <row r="67" spans="1:18" x14ac:dyDescent="0.3">
      <c r="A67" s="557"/>
      <c r="B67" s="569"/>
      <c r="C67" s="565"/>
      <c r="D67" s="572"/>
      <c r="E67" s="571"/>
      <c r="F67" s="571"/>
      <c r="G67" s="571"/>
      <c r="H67" s="571"/>
      <c r="I67" s="571"/>
      <c r="J67" s="571"/>
      <c r="K67" s="571"/>
      <c r="L67" s="571"/>
      <c r="M67" s="571"/>
      <c r="N67" s="571"/>
      <c r="O67" s="571"/>
      <c r="P67" s="571"/>
      <c r="Q67" s="564"/>
    </row>
    <row r="68" spans="1:18" x14ac:dyDescent="0.3">
      <c r="A68" s="557"/>
      <c r="B68" s="557"/>
      <c r="C68" s="557"/>
      <c r="D68" s="726"/>
      <c r="E68" s="558"/>
      <c r="F68" s="558"/>
      <c r="G68" s="558"/>
      <c r="H68" s="558"/>
      <c r="I68" s="558"/>
      <c r="J68" s="558"/>
      <c r="K68" s="558"/>
      <c r="L68" s="558"/>
      <c r="M68" s="558"/>
      <c r="N68" s="558"/>
      <c r="O68" s="558"/>
      <c r="P68" s="558"/>
      <c r="Q68" s="558"/>
    </row>
    <row r="69" spans="1:18" ht="15.5" x14ac:dyDescent="0.35">
      <c r="A69" s="617" t="s">
        <v>613</v>
      </c>
      <c r="B69" s="617"/>
      <c r="C69" s="617"/>
      <c r="D69" s="617"/>
      <c r="E69" s="618">
        <f t="shared" ref="E69:P69" si="42">SUM(E56:E68)</f>
        <v>1949.9479242731577</v>
      </c>
      <c r="F69" s="618">
        <f t="shared" si="42"/>
        <v>3649.9479242731577</v>
      </c>
      <c r="G69" s="618">
        <f t="shared" si="42"/>
        <v>4177.0749425287358</v>
      </c>
      <c r="H69" s="618">
        <f t="shared" si="42"/>
        <v>4177.0749425287358</v>
      </c>
      <c r="I69" s="618">
        <f t="shared" si="42"/>
        <v>4194.8650394410643</v>
      </c>
      <c r="J69" s="618">
        <f t="shared" si="42"/>
        <v>4456.7845796709489</v>
      </c>
      <c r="K69" s="618">
        <f t="shared" si="42"/>
        <v>4207.5722515212983</v>
      </c>
      <c r="L69" s="618">
        <f t="shared" si="42"/>
        <v>4278.732639170611</v>
      </c>
      <c r="M69" s="618">
        <f t="shared" si="42"/>
        <v>4291.4398512508451</v>
      </c>
      <c r="N69" s="618">
        <f t="shared" si="42"/>
        <v>4304.1470633310801</v>
      </c>
      <c r="O69" s="618">
        <f t="shared" si="42"/>
        <v>4316.8542754113141</v>
      </c>
      <c r="P69" s="618">
        <f t="shared" si="42"/>
        <v>4329.5614874915482</v>
      </c>
      <c r="Q69" s="618">
        <f t="shared" ref="Q69" si="43">SUM(E69:P69)</f>
        <v>48334.002920892497</v>
      </c>
    </row>
    <row r="70" spans="1:18" x14ac:dyDescent="0.3">
      <c r="A70" s="557"/>
      <c r="B70" s="557" t="s">
        <v>622</v>
      </c>
      <c r="C70" s="557"/>
      <c r="D70" s="557"/>
      <c r="E70" s="719">
        <v>196</v>
      </c>
      <c r="F70" s="719">
        <v>196</v>
      </c>
      <c r="G70" s="719">
        <v>196</v>
      </c>
      <c r="H70" s="719">
        <v>196</v>
      </c>
      <c r="I70" s="719">
        <v>196</v>
      </c>
      <c r="J70" s="719">
        <v>196</v>
      </c>
      <c r="K70" s="719">
        <v>196</v>
      </c>
      <c r="L70" s="719">
        <v>196</v>
      </c>
      <c r="M70" s="719">
        <v>196</v>
      </c>
      <c r="N70" s="719">
        <v>196</v>
      </c>
      <c r="O70" s="719">
        <v>196</v>
      </c>
      <c r="P70" s="719">
        <v>196</v>
      </c>
      <c r="Q70" s="558"/>
    </row>
    <row r="71" spans="1:18" x14ac:dyDescent="0.3">
      <c r="A71" s="557"/>
      <c r="B71" s="557" t="s">
        <v>623</v>
      </c>
      <c r="C71" s="557"/>
      <c r="D71" s="557"/>
      <c r="E71" s="719">
        <v>68</v>
      </c>
      <c r="F71" s="719">
        <v>68</v>
      </c>
      <c r="G71" s="719">
        <v>68</v>
      </c>
      <c r="H71" s="719">
        <v>68</v>
      </c>
      <c r="I71" s="719">
        <v>68</v>
      </c>
      <c r="J71" s="719">
        <v>68</v>
      </c>
      <c r="K71" s="719">
        <v>68</v>
      </c>
      <c r="L71" s="719">
        <v>68</v>
      </c>
      <c r="M71" s="719">
        <v>68</v>
      </c>
      <c r="N71" s="719">
        <v>68</v>
      </c>
      <c r="O71" s="719">
        <v>68</v>
      </c>
      <c r="P71" s="719">
        <v>68</v>
      </c>
      <c r="Q71" s="558"/>
    </row>
    <row r="72" spans="1:18" ht="15.5" x14ac:dyDescent="0.35">
      <c r="A72" s="225" t="s">
        <v>624</v>
      </c>
      <c r="B72" s="557" t="s">
        <v>625</v>
      </c>
      <c r="C72" t="s">
        <v>626</v>
      </c>
      <c r="D72" s="720">
        <v>1000</v>
      </c>
      <c r="E72" s="719">
        <f t="shared" ref="E72:H72" si="44">($D72*E$70)/$R$1</f>
        <v>2252.8735632183907</v>
      </c>
      <c r="F72" s="719">
        <f t="shared" si="44"/>
        <v>2252.8735632183907</v>
      </c>
      <c r="G72" s="719">
        <f t="shared" si="44"/>
        <v>2252.8735632183907</v>
      </c>
      <c r="H72" s="719">
        <f t="shared" si="44"/>
        <v>2252.8735632183907</v>
      </c>
      <c r="I72" s="719">
        <f>(($D72*I$70)/$R$1)*130%</f>
        <v>2928.7356321839079</v>
      </c>
      <c r="J72" s="719">
        <f t="shared" ref="J72:P72" si="45">(($D72*J$70)/$R$1)*130%</f>
        <v>2928.7356321839079</v>
      </c>
      <c r="K72" s="719">
        <f t="shared" si="45"/>
        <v>2928.7356321839079</v>
      </c>
      <c r="L72" s="719">
        <f t="shared" si="45"/>
        <v>2928.7356321839079</v>
      </c>
      <c r="M72" s="719">
        <f t="shared" si="45"/>
        <v>2928.7356321839079</v>
      </c>
      <c r="N72" s="719">
        <f t="shared" si="45"/>
        <v>2928.7356321839079</v>
      </c>
      <c r="O72" s="719">
        <f t="shared" si="45"/>
        <v>2928.7356321839079</v>
      </c>
      <c r="P72" s="719">
        <f t="shared" si="45"/>
        <v>2928.7356321839079</v>
      </c>
      <c r="Q72" s="564">
        <f t="shared" ref="Q72:Q73" si="46">SUM(E72:P72)</f>
        <v>32441.379310344819</v>
      </c>
    </row>
    <row r="73" spans="1:18" ht="14.5" x14ac:dyDescent="0.35">
      <c r="A73" s="557"/>
      <c r="B73" s="557" t="s">
        <v>627</v>
      </c>
      <c r="C73" t="s">
        <v>628</v>
      </c>
      <c r="D73" s="720">
        <v>1000</v>
      </c>
      <c r="E73" s="719">
        <f t="shared" ref="E73:H73" si="47">($D73*E$71)/$R$1</f>
        <v>781.60919540229884</v>
      </c>
      <c r="F73" s="719">
        <f t="shared" si="47"/>
        <v>781.60919540229884</v>
      </c>
      <c r="G73" s="719">
        <f t="shared" si="47"/>
        <v>781.60919540229884</v>
      </c>
      <c r="H73" s="719">
        <f t="shared" si="47"/>
        <v>781.60919540229884</v>
      </c>
      <c r="I73" s="719">
        <f>(($D73*I$71)/$R$1)*130%</f>
        <v>1016.0919540229885</v>
      </c>
      <c r="J73" s="719">
        <f t="shared" ref="J73:P73" si="48">(($D73*J$71)/$R$1)*130%</f>
        <v>1016.0919540229885</v>
      </c>
      <c r="K73" s="719">
        <f t="shared" si="48"/>
        <v>1016.0919540229885</v>
      </c>
      <c r="L73" s="719">
        <f t="shared" si="48"/>
        <v>1016.0919540229885</v>
      </c>
      <c r="M73" s="719">
        <f t="shared" si="48"/>
        <v>1016.0919540229885</v>
      </c>
      <c r="N73" s="719">
        <f t="shared" si="48"/>
        <v>1016.0919540229885</v>
      </c>
      <c r="O73" s="719">
        <f t="shared" si="48"/>
        <v>1016.0919540229885</v>
      </c>
      <c r="P73" s="719">
        <f t="shared" si="48"/>
        <v>1016.0919540229885</v>
      </c>
      <c r="Q73" s="564">
        <f t="shared" si="46"/>
        <v>11255.172413793103</v>
      </c>
    </row>
    <row r="74" spans="1:18" ht="15.5" x14ac:dyDescent="0.35">
      <c r="A74" s="617" t="s">
        <v>624</v>
      </c>
      <c r="B74" s="617"/>
      <c r="C74" s="617"/>
      <c r="D74" s="617"/>
      <c r="E74" s="618">
        <f>SUM(E72:E73)</f>
        <v>3034.4827586206893</v>
      </c>
      <c r="F74" s="618">
        <f t="shared" ref="F74:P74" si="49">SUM(F72:F73)</f>
        <v>3034.4827586206893</v>
      </c>
      <c r="G74" s="618">
        <f t="shared" si="49"/>
        <v>3034.4827586206893</v>
      </c>
      <c r="H74" s="618">
        <f t="shared" si="49"/>
        <v>3034.4827586206893</v>
      </c>
      <c r="I74" s="618">
        <f t="shared" si="49"/>
        <v>3944.8275862068963</v>
      </c>
      <c r="J74" s="618">
        <f t="shared" si="49"/>
        <v>3944.8275862068963</v>
      </c>
      <c r="K74" s="618">
        <f t="shared" si="49"/>
        <v>3944.8275862068963</v>
      </c>
      <c r="L74" s="618">
        <f t="shared" si="49"/>
        <v>3944.8275862068963</v>
      </c>
      <c r="M74" s="618">
        <f t="shared" si="49"/>
        <v>3944.8275862068963</v>
      </c>
      <c r="N74" s="618">
        <f t="shared" si="49"/>
        <v>3944.8275862068963</v>
      </c>
      <c r="O74" s="618">
        <f t="shared" si="49"/>
        <v>3944.8275862068963</v>
      </c>
      <c r="P74" s="618">
        <f t="shared" si="49"/>
        <v>3944.8275862068963</v>
      </c>
      <c r="Q74" s="618">
        <f t="shared" ref="Q74" si="50">SUM(E74:P74)</f>
        <v>43696.551724137928</v>
      </c>
    </row>
    <row r="75" spans="1:18" x14ac:dyDescent="0.3">
      <c r="A75" s="557"/>
      <c r="B75" s="557"/>
      <c r="C75" s="557"/>
      <c r="D75" s="557"/>
      <c r="E75" s="558"/>
      <c r="F75" s="558"/>
      <c r="G75" s="558"/>
      <c r="H75" s="558"/>
      <c r="I75" s="558"/>
      <c r="J75" s="558"/>
      <c r="K75" s="558"/>
      <c r="L75" s="558"/>
      <c r="M75" s="558"/>
      <c r="N75" s="558"/>
      <c r="O75" s="558"/>
      <c r="P75" s="558"/>
      <c r="Q75" s="558"/>
    </row>
    <row r="76" spans="1:18" ht="15.5" x14ac:dyDescent="0.35">
      <c r="A76" s="225" t="s">
        <v>521</v>
      </c>
      <c r="B76" s="100" t="s">
        <v>186</v>
      </c>
      <c r="C76" s="557"/>
      <c r="D76" s="578">
        <f>1200/87</f>
        <v>13.793103448275861</v>
      </c>
      <c r="E76" s="714">
        <f t="shared" ref="E76:H76" si="51">$D76*E11</f>
        <v>3765.5172413793102</v>
      </c>
      <c r="F76" s="714">
        <f t="shared" si="51"/>
        <v>3765.5172413793102</v>
      </c>
      <c r="G76" s="714">
        <f t="shared" si="51"/>
        <v>3434.4827586206893</v>
      </c>
      <c r="H76" s="714">
        <f t="shared" si="51"/>
        <v>3434.4827586206893</v>
      </c>
      <c r="I76" s="714">
        <f>($D76*I11)*130%</f>
        <v>4632.1839080459777</v>
      </c>
      <c r="J76" s="714">
        <f t="shared" ref="J76:P76" si="52">($D76*J11)*130%</f>
        <v>4632.1839080459777</v>
      </c>
      <c r="K76" s="714">
        <f t="shared" si="52"/>
        <v>4751.7241379310344</v>
      </c>
      <c r="L76" s="714">
        <f t="shared" si="52"/>
        <v>5421.1494252873572</v>
      </c>
      <c r="M76" s="714">
        <f t="shared" si="52"/>
        <v>5540.689655172413</v>
      </c>
      <c r="N76" s="714">
        <f t="shared" si="52"/>
        <v>5660.2298850574716</v>
      </c>
      <c r="O76" s="714">
        <f t="shared" si="52"/>
        <v>5779.7701149425284</v>
      </c>
      <c r="P76" s="714">
        <f t="shared" si="52"/>
        <v>5899.3103448275861</v>
      </c>
      <c r="Q76" s="564">
        <f t="shared" ref="Q76:Q85" si="53">SUM(E76:P76)</f>
        <v>56717.241379310348</v>
      </c>
    </row>
    <row r="77" spans="1:18" ht="14.5" x14ac:dyDescent="0.35">
      <c r="A77" s="557"/>
      <c r="B77" s="100" t="s">
        <v>214</v>
      </c>
      <c r="C77" s="557" t="s">
        <v>629</v>
      </c>
      <c r="D77" s="573">
        <v>0.01</v>
      </c>
      <c r="E77" s="563">
        <f t="shared" ref="E77:P77" si="54">$D77*(E$15+E$16+E$17+E$18)</f>
        <v>962.72413793103453</v>
      </c>
      <c r="F77" s="563">
        <f t="shared" si="54"/>
        <v>962.72413793103453</v>
      </c>
      <c r="G77" s="563">
        <f t="shared" si="54"/>
        <v>848.72413793103453</v>
      </c>
      <c r="H77" s="563">
        <f t="shared" si="54"/>
        <v>848.72413793103453</v>
      </c>
      <c r="I77" s="563">
        <f t="shared" si="54"/>
        <v>886.0574712643679</v>
      </c>
      <c r="J77" s="563">
        <f t="shared" si="54"/>
        <v>886.0574712643679</v>
      </c>
      <c r="K77" s="563">
        <f t="shared" si="54"/>
        <v>912.72413793103453</v>
      </c>
      <c r="L77" s="563">
        <f t="shared" si="54"/>
        <v>1062.0574712643679</v>
      </c>
      <c r="M77" s="563">
        <f t="shared" si="54"/>
        <v>1088.7241379310344</v>
      </c>
      <c r="N77" s="563">
        <f t="shared" si="54"/>
        <v>1115.3908045977012</v>
      </c>
      <c r="O77" s="563">
        <f t="shared" si="54"/>
        <v>1142.0574712643679</v>
      </c>
      <c r="P77" s="563">
        <f t="shared" si="54"/>
        <v>1168.7241379310344</v>
      </c>
      <c r="Q77" s="564">
        <f t="shared" si="53"/>
        <v>11884.689655172415</v>
      </c>
      <c r="R77" s="136"/>
    </row>
    <row r="78" spans="1:18" ht="14.5" x14ac:dyDescent="0.35">
      <c r="A78" s="557"/>
      <c r="B78" s="100" t="s">
        <v>437</v>
      </c>
      <c r="C78" s="557" t="s">
        <v>630</v>
      </c>
      <c r="D78" s="580">
        <v>836838</v>
      </c>
      <c r="E78" s="558"/>
      <c r="F78" s="558"/>
      <c r="G78" s="558"/>
      <c r="H78" s="558"/>
      <c r="I78" s="558"/>
      <c r="J78" s="558"/>
      <c r="K78" s="558"/>
      <c r="L78" s="558"/>
      <c r="M78" s="558"/>
      <c r="N78" s="576">
        <f>D78/$R$1</f>
        <v>9618.8275862068967</v>
      </c>
      <c r="O78" s="558"/>
      <c r="P78" s="558"/>
      <c r="Q78" s="564">
        <f t="shared" si="53"/>
        <v>9618.8275862068967</v>
      </c>
    </row>
    <row r="79" spans="1:18" ht="14.5" x14ac:dyDescent="0.35">
      <c r="A79" s="557"/>
      <c r="B79" s="100" t="s">
        <v>223</v>
      </c>
      <c r="C79" s="557" t="s">
        <v>631</v>
      </c>
      <c r="D79" s="715">
        <v>750</v>
      </c>
      <c r="E79" s="571"/>
      <c r="F79" s="571"/>
      <c r="G79" s="571">
        <f>($D79*G$11/$R$1)</f>
        <v>2146.5517241379312</v>
      </c>
      <c r="H79" s="571"/>
      <c r="I79" s="571"/>
      <c r="J79" s="571">
        <f>($D79*J$11/$R$1)</f>
        <v>2227.0114942528739</v>
      </c>
      <c r="K79" s="571"/>
      <c r="L79" s="571"/>
      <c r="M79" s="571">
        <f>($D79*M$11/$R$1)</f>
        <v>2663.7931034482758</v>
      </c>
      <c r="N79" s="571"/>
      <c r="O79" s="571"/>
      <c r="P79" s="571">
        <f t="shared" ref="P79" si="55">($D79/$R$1)</f>
        <v>8.6206896551724146</v>
      </c>
      <c r="Q79" s="564">
        <f t="shared" si="53"/>
        <v>7045.977011494253</v>
      </c>
    </row>
    <row r="80" spans="1:18" ht="14.5" x14ac:dyDescent="0.35">
      <c r="A80" s="557"/>
      <c r="B80" s="100" t="s">
        <v>226</v>
      </c>
      <c r="C80" s="557" t="s">
        <v>632</v>
      </c>
      <c r="D80" s="715">
        <v>100</v>
      </c>
      <c r="E80" s="571">
        <f t="shared" ref="E80:P80" si="56">($D80*E$11/$R$1)</f>
        <v>313.79310344827587</v>
      </c>
      <c r="F80" s="576">
        <f t="shared" si="56"/>
        <v>313.79310344827587</v>
      </c>
      <c r="G80" s="576">
        <f t="shared" si="56"/>
        <v>286.20689655172413</v>
      </c>
      <c r="H80" s="576">
        <f t="shared" si="56"/>
        <v>286.20689655172413</v>
      </c>
      <c r="I80" s="576">
        <f t="shared" si="56"/>
        <v>296.93486590038316</v>
      </c>
      <c r="J80" s="576">
        <f t="shared" si="56"/>
        <v>296.93486590038316</v>
      </c>
      <c r="K80" s="576">
        <f t="shared" si="56"/>
        <v>304.59770114942529</v>
      </c>
      <c r="L80" s="576">
        <f t="shared" si="56"/>
        <v>347.50957854406136</v>
      </c>
      <c r="M80" s="576">
        <f t="shared" si="56"/>
        <v>355.17241379310343</v>
      </c>
      <c r="N80" s="576">
        <f t="shared" si="56"/>
        <v>362.83524904214562</v>
      </c>
      <c r="O80" s="576">
        <f t="shared" si="56"/>
        <v>370.49808429118775</v>
      </c>
      <c r="P80" s="576">
        <f t="shared" si="56"/>
        <v>378.16091954022988</v>
      </c>
      <c r="Q80" s="564">
        <f t="shared" si="53"/>
        <v>3912.6436781609191</v>
      </c>
    </row>
    <row r="81" spans="1:17" ht="14.5" x14ac:dyDescent="0.35">
      <c r="A81" s="557"/>
      <c r="B81" s="100" t="s">
        <v>233</v>
      </c>
      <c r="C81" s="557" t="s">
        <v>633</v>
      </c>
      <c r="D81" s="580">
        <v>10000</v>
      </c>
      <c r="E81" s="558"/>
      <c r="F81" s="558"/>
      <c r="G81" s="558"/>
      <c r="H81" s="558"/>
      <c r="I81" s="558"/>
      <c r="J81" s="558"/>
      <c r="K81" s="558"/>
      <c r="L81" s="576">
        <f>D81/$R$1</f>
        <v>114.94252873563218</v>
      </c>
      <c r="M81" s="558"/>
      <c r="N81" s="558"/>
      <c r="O81" s="558"/>
      <c r="P81" s="558"/>
      <c r="Q81" s="564">
        <f t="shared" si="53"/>
        <v>114.94252873563218</v>
      </c>
    </row>
    <row r="82" spans="1:17" ht="14.5" x14ac:dyDescent="0.35">
      <c r="A82" s="557"/>
      <c r="B82" s="100" t="s">
        <v>224</v>
      </c>
      <c r="C82" s="557" t="s">
        <v>634</v>
      </c>
      <c r="D82" s="580">
        <v>68000</v>
      </c>
      <c r="E82" s="558"/>
      <c r="F82" s="558"/>
      <c r="G82" s="558"/>
      <c r="H82" s="558"/>
      <c r="I82" s="558"/>
      <c r="J82" s="558"/>
      <c r="K82" s="558"/>
      <c r="L82" s="558"/>
      <c r="M82" s="576">
        <f>D82/R1</f>
        <v>781.60919540229884</v>
      </c>
      <c r="N82" s="558"/>
      <c r="O82" s="558"/>
      <c r="P82" s="558"/>
      <c r="Q82" s="564">
        <f t="shared" si="53"/>
        <v>781.60919540229884</v>
      </c>
    </row>
    <row r="83" spans="1:17" ht="14.5" x14ac:dyDescent="0.35">
      <c r="A83" s="557"/>
      <c r="B83" s="100" t="s">
        <v>635</v>
      </c>
      <c r="C83" s="557"/>
      <c r="D83" s="557"/>
      <c r="E83" s="558"/>
      <c r="F83" s="558"/>
      <c r="G83" s="558"/>
      <c r="H83" s="558"/>
      <c r="I83" s="558"/>
      <c r="J83" s="558"/>
      <c r="K83" s="558"/>
      <c r="L83" s="558"/>
      <c r="M83" s="558"/>
      <c r="N83" s="558"/>
      <c r="O83" s="558"/>
      <c r="P83" s="558"/>
      <c r="Q83" s="564">
        <f t="shared" si="53"/>
        <v>0</v>
      </c>
    </row>
    <row r="84" spans="1:17" ht="14.5" x14ac:dyDescent="0.35">
      <c r="A84" s="557"/>
      <c r="B84" s="100" t="s">
        <v>217</v>
      </c>
      <c r="C84" s="557"/>
      <c r="D84" s="557"/>
      <c r="E84" s="558"/>
      <c r="F84" s="558"/>
      <c r="G84" s="558"/>
      <c r="H84" s="558"/>
      <c r="I84" s="558"/>
      <c r="J84" s="558"/>
      <c r="K84" s="558"/>
      <c r="L84" s="558"/>
      <c r="M84" s="558"/>
      <c r="N84" s="558"/>
      <c r="O84" s="558"/>
      <c r="P84" s="558"/>
      <c r="Q84" s="564">
        <f t="shared" si="53"/>
        <v>0</v>
      </c>
    </row>
    <row r="85" spans="1:17" x14ac:dyDescent="0.3">
      <c r="A85" s="557"/>
      <c r="B85" s="557"/>
      <c r="C85" s="557"/>
      <c r="D85" s="557"/>
      <c r="E85" s="558"/>
      <c r="F85" s="558"/>
      <c r="G85" s="558"/>
      <c r="H85" s="558"/>
      <c r="I85" s="558"/>
      <c r="J85" s="558"/>
      <c r="K85" s="558"/>
      <c r="L85" s="558"/>
      <c r="M85" s="558"/>
      <c r="N85" s="558"/>
      <c r="O85" s="558"/>
      <c r="P85" s="558"/>
      <c r="Q85" s="564">
        <f t="shared" si="53"/>
        <v>0</v>
      </c>
    </row>
    <row r="86" spans="1:17" ht="15.5" x14ac:dyDescent="0.35">
      <c r="A86" s="617" t="s">
        <v>521</v>
      </c>
      <c r="B86" s="617"/>
      <c r="C86" s="617"/>
      <c r="D86" s="617"/>
      <c r="E86" s="618">
        <f t="shared" ref="E86:P86" si="57">SUM(E76:E85)</f>
        <v>5042.0344827586214</v>
      </c>
      <c r="F86" s="618">
        <f t="shared" si="57"/>
        <v>5042.0344827586214</v>
      </c>
      <c r="G86" s="618">
        <f t="shared" si="57"/>
        <v>6715.9655172413786</v>
      </c>
      <c r="H86" s="618">
        <f t="shared" si="57"/>
        <v>4569.4137931034475</v>
      </c>
      <c r="I86" s="618">
        <f t="shared" si="57"/>
        <v>5815.1762452107296</v>
      </c>
      <c r="J86" s="618">
        <f t="shared" si="57"/>
        <v>8042.187739463604</v>
      </c>
      <c r="K86" s="618">
        <f t="shared" si="57"/>
        <v>5969.045977011494</v>
      </c>
      <c r="L86" s="618">
        <f t="shared" si="57"/>
        <v>6945.6590038314189</v>
      </c>
      <c r="M86" s="618">
        <f t="shared" si="57"/>
        <v>10429.988505747126</v>
      </c>
      <c r="N86" s="618">
        <f t="shared" si="57"/>
        <v>16757.283524904215</v>
      </c>
      <c r="O86" s="618">
        <f t="shared" si="57"/>
        <v>7292.3256704980849</v>
      </c>
      <c r="P86" s="618">
        <f t="shared" si="57"/>
        <v>7454.8160919540223</v>
      </c>
      <c r="Q86" s="618">
        <f t="shared" ref="Q86" si="58">SUM(E86:P86)</f>
        <v>90075.931034482768</v>
      </c>
    </row>
    <row r="87" spans="1:17" x14ac:dyDescent="0.3">
      <c r="A87" s="557"/>
      <c r="B87" s="557"/>
      <c r="C87" s="557"/>
      <c r="D87" s="557"/>
      <c r="E87" s="558"/>
      <c r="F87" s="558"/>
      <c r="G87" s="558"/>
      <c r="H87" s="558"/>
      <c r="I87" s="558"/>
      <c r="J87" s="558"/>
      <c r="K87" s="558"/>
      <c r="L87" s="558"/>
      <c r="M87" s="558"/>
      <c r="N87" s="558"/>
      <c r="O87" s="558"/>
      <c r="P87" s="558"/>
      <c r="Q87" s="558"/>
    </row>
    <row r="88" spans="1:17" s="724" customFormat="1" ht="15.5" x14ac:dyDescent="0.35">
      <c r="A88" s="723" t="s">
        <v>636</v>
      </c>
      <c r="B88" s="663" t="s">
        <v>413</v>
      </c>
      <c r="C88" s="215">
        <v>1</v>
      </c>
      <c r="D88" s="664">
        <v>9945</v>
      </c>
      <c r="E88" s="665">
        <f>$C88*$D88</f>
        <v>9945</v>
      </c>
      <c r="F88" s="665">
        <f t="shared" ref="F88:P89" si="59">$C88*$D88</f>
        <v>9945</v>
      </c>
      <c r="G88" s="665">
        <f t="shared" si="59"/>
        <v>9945</v>
      </c>
      <c r="H88" s="665">
        <f t="shared" si="59"/>
        <v>9945</v>
      </c>
      <c r="I88" s="665">
        <f t="shared" si="59"/>
        <v>9945</v>
      </c>
      <c r="J88" s="665">
        <f t="shared" si="59"/>
        <v>9945</v>
      </c>
      <c r="K88" s="665">
        <f t="shared" si="59"/>
        <v>9945</v>
      </c>
      <c r="L88" s="665">
        <f t="shared" si="59"/>
        <v>9945</v>
      </c>
      <c r="M88" s="665">
        <f t="shared" si="59"/>
        <v>9945</v>
      </c>
      <c r="N88" s="665">
        <f t="shared" si="59"/>
        <v>9945</v>
      </c>
      <c r="O88" s="665">
        <f t="shared" si="59"/>
        <v>9945</v>
      </c>
      <c r="P88" s="665">
        <f t="shared" si="59"/>
        <v>9945</v>
      </c>
      <c r="Q88" s="666">
        <f t="shared" ref="Q88" si="60">SUM(E88:P88)</f>
        <v>119340</v>
      </c>
    </row>
    <row r="89" spans="1:17" ht="14.5" x14ac:dyDescent="0.35">
      <c r="A89" s="557"/>
      <c r="B89" s="100" t="s">
        <v>637</v>
      </c>
      <c r="C89">
        <v>3</v>
      </c>
      <c r="D89" s="578">
        <v>300</v>
      </c>
      <c r="E89" s="570">
        <f>$C89*$D89</f>
        <v>900</v>
      </c>
      <c r="F89" s="570">
        <f t="shared" si="59"/>
        <v>900</v>
      </c>
      <c r="G89" s="570">
        <f t="shared" si="59"/>
        <v>900</v>
      </c>
      <c r="H89" s="570">
        <f t="shared" si="59"/>
        <v>900</v>
      </c>
      <c r="I89" s="570">
        <f t="shared" si="59"/>
        <v>900</v>
      </c>
      <c r="J89" s="570">
        <f t="shared" si="59"/>
        <v>900</v>
      </c>
      <c r="K89" s="570">
        <f t="shared" si="59"/>
        <v>900</v>
      </c>
      <c r="L89" s="570">
        <f t="shared" si="59"/>
        <v>900</v>
      </c>
      <c r="M89" s="570">
        <f t="shared" si="59"/>
        <v>900</v>
      </c>
      <c r="N89" s="570">
        <f t="shared" si="59"/>
        <v>900</v>
      </c>
      <c r="O89" s="570">
        <f t="shared" si="59"/>
        <v>900</v>
      </c>
      <c r="P89" s="570">
        <f t="shared" si="59"/>
        <v>900</v>
      </c>
      <c r="Q89" s="564">
        <f t="shared" ref="Q89:Q91" si="61">SUM(E89:P89)</f>
        <v>10800</v>
      </c>
    </row>
    <row r="90" spans="1:17" ht="14.5" x14ac:dyDescent="0.35">
      <c r="A90" s="557"/>
      <c r="B90" s="100" t="s">
        <v>638</v>
      </c>
      <c r="C90">
        <v>4</v>
      </c>
      <c r="D90" s="578">
        <v>350</v>
      </c>
      <c r="E90" s="570">
        <f t="shared" ref="E90:P92" si="62">$C90*$D90</f>
        <v>1400</v>
      </c>
      <c r="F90" s="570">
        <f t="shared" si="62"/>
        <v>1400</v>
      </c>
      <c r="G90" s="570">
        <f t="shared" si="62"/>
        <v>1400</v>
      </c>
      <c r="H90" s="570">
        <f t="shared" si="62"/>
        <v>1400</v>
      </c>
      <c r="I90" s="570">
        <f t="shared" si="62"/>
        <v>1400</v>
      </c>
      <c r="J90" s="570">
        <f t="shared" si="62"/>
        <v>1400</v>
      </c>
      <c r="K90" s="570">
        <f t="shared" si="62"/>
        <v>1400</v>
      </c>
      <c r="L90" s="570">
        <f t="shared" si="62"/>
        <v>1400</v>
      </c>
      <c r="M90" s="570">
        <f t="shared" si="62"/>
        <v>1400</v>
      </c>
      <c r="N90" s="570">
        <f t="shared" si="62"/>
        <v>1400</v>
      </c>
      <c r="O90" s="570">
        <f t="shared" si="62"/>
        <v>1400</v>
      </c>
      <c r="P90" s="570">
        <f t="shared" si="62"/>
        <v>1400</v>
      </c>
      <c r="Q90" s="564">
        <f t="shared" si="61"/>
        <v>16800</v>
      </c>
    </row>
    <row r="91" spans="1:17" ht="14.5" x14ac:dyDescent="0.35">
      <c r="A91" s="557"/>
      <c r="B91" s="100" t="s">
        <v>639</v>
      </c>
      <c r="C91">
        <v>4</v>
      </c>
      <c r="D91" s="578">
        <v>270</v>
      </c>
      <c r="E91" s="570">
        <f t="shared" si="62"/>
        <v>1080</v>
      </c>
      <c r="F91" s="570">
        <f t="shared" si="62"/>
        <v>1080</v>
      </c>
      <c r="G91" s="570">
        <f t="shared" si="62"/>
        <v>1080</v>
      </c>
      <c r="H91" s="570">
        <f t="shared" si="62"/>
        <v>1080</v>
      </c>
      <c r="I91" s="570">
        <f t="shared" si="62"/>
        <v>1080</v>
      </c>
      <c r="J91" s="570">
        <f t="shared" si="62"/>
        <v>1080</v>
      </c>
      <c r="K91" s="570">
        <f t="shared" si="62"/>
        <v>1080</v>
      </c>
      <c r="L91" s="570">
        <f t="shared" si="62"/>
        <v>1080</v>
      </c>
      <c r="M91" s="570">
        <f t="shared" si="62"/>
        <v>1080</v>
      </c>
      <c r="N91" s="570">
        <f t="shared" si="62"/>
        <v>1080</v>
      </c>
      <c r="O91" s="570">
        <f t="shared" si="62"/>
        <v>1080</v>
      </c>
      <c r="P91" s="570">
        <f t="shared" si="62"/>
        <v>1080</v>
      </c>
      <c r="Q91" s="564">
        <f t="shared" si="61"/>
        <v>12960</v>
      </c>
    </row>
    <row r="92" spans="1:17" ht="14.5" x14ac:dyDescent="0.35">
      <c r="A92" s="557"/>
      <c r="B92" s="557" t="s">
        <v>354</v>
      </c>
      <c r="C92">
        <v>1</v>
      </c>
      <c r="D92" s="578">
        <v>1450</v>
      </c>
      <c r="E92" s="570">
        <v>1100</v>
      </c>
      <c r="F92" s="570">
        <v>550</v>
      </c>
      <c r="G92" s="570">
        <v>0</v>
      </c>
      <c r="H92" s="570">
        <v>0</v>
      </c>
      <c r="I92" s="570">
        <f t="shared" si="62"/>
        <v>1450</v>
      </c>
      <c r="J92" s="570">
        <f t="shared" si="62"/>
        <v>1450</v>
      </c>
      <c r="K92" s="570">
        <f t="shared" si="62"/>
        <v>1450</v>
      </c>
      <c r="L92" s="570">
        <f t="shared" si="62"/>
        <v>1450</v>
      </c>
      <c r="M92" s="570">
        <f t="shared" si="62"/>
        <v>1450</v>
      </c>
      <c r="N92" s="570">
        <f t="shared" si="62"/>
        <v>1450</v>
      </c>
      <c r="O92" s="570">
        <f t="shared" si="62"/>
        <v>1450</v>
      </c>
      <c r="P92" s="570">
        <f t="shared" si="62"/>
        <v>1450</v>
      </c>
      <c r="Q92" s="564">
        <f t="shared" ref="Q92" si="63">SUM(E92:P92)</f>
        <v>13250</v>
      </c>
    </row>
    <row r="93" spans="1:17" ht="15.5" x14ac:dyDescent="0.35">
      <c r="A93" s="617" t="s">
        <v>636</v>
      </c>
      <c r="B93" s="617"/>
      <c r="C93" s="617"/>
      <c r="D93" s="617"/>
      <c r="E93" s="618">
        <f t="shared" ref="E93:P93" si="64">SUM(E88:E92)</f>
        <v>14425</v>
      </c>
      <c r="F93" s="618">
        <f t="shared" si="64"/>
        <v>13875</v>
      </c>
      <c r="G93" s="618">
        <f t="shared" si="64"/>
        <v>13325</v>
      </c>
      <c r="H93" s="618">
        <f t="shared" si="64"/>
        <v>13325</v>
      </c>
      <c r="I93" s="618">
        <f t="shared" si="64"/>
        <v>14775</v>
      </c>
      <c r="J93" s="618">
        <f t="shared" si="64"/>
        <v>14775</v>
      </c>
      <c r="K93" s="618">
        <f t="shared" si="64"/>
        <v>14775</v>
      </c>
      <c r="L93" s="618">
        <f t="shared" si="64"/>
        <v>14775</v>
      </c>
      <c r="M93" s="618">
        <f t="shared" si="64"/>
        <v>14775</v>
      </c>
      <c r="N93" s="618">
        <f t="shared" si="64"/>
        <v>14775</v>
      </c>
      <c r="O93" s="618">
        <f t="shared" si="64"/>
        <v>14775</v>
      </c>
      <c r="P93" s="618">
        <f t="shared" si="64"/>
        <v>14775</v>
      </c>
      <c r="Q93" s="618">
        <f t="shared" ref="Q93" si="65">SUM(E93:P93)</f>
        <v>173150</v>
      </c>
    </row>
    <row r="94" spans="1:17" x14ac:dyDescent="0.3">
      <c r="A94" s="557"/>
      <c r="B94" s="557"/>
      <c r="C94" s="557"/>
      <c r="D94" s="557"/>
      <c r="E94" s="558"/>
      <c r="F94" s="558"/>
      <c r="G94" s="558"/>
      <c r="H94" s="558"/>
      <c r="I94" s="558"/>
      <c r="J94" s="558"/>
      <c r="K94" s="558"/>
      <c r="L94" s="558"/>
      <c r="M94" s="558"/>
      <c r="N94" s="558"/>
      <c r="O94" s="558"/>
      <c r="P94" s="558"/>
      <c r="Q94" s="558"/>
    </row>
    <row r="95" spans="1:17" ht="15.5" x14ac:dyDescent="0.35">
      <c r="A95" s="225" t="s">
        <v>640</v>
      </c>
      <c r="B95" s="557"/>
      <c r="C95" s="557"/>
      <c r="D95" s="557"/>
      <c r="E95" s="558"/>
      <c r="F95" s="558"/>
      <c r="G95" s="558"/>
      <c r="H95" s="558"/>
      <c r="I95" s="558"/>
      <c r="J95" s="558"/>
      <c r="K95" s="558"/>
      <c r="L95" s="558"/>
      <c r="M95" s="558"/>
      <c r="N95" s="558"/>
      <c r="O95" s="558"/>
      <c r="P95" s="558"/>
      <c r="Q95" s="558"/>
    </row>
    <row r="96" spans="1:17" ht="14.5" x14ac:dyDescent="0.35">
      <c r="A96" s="557"/>
      <c r="B96" s="100" t="s">
        <v>641</v>
      </c>
      <c r="C96" s="557"/>
      <c r="D96" s="557"/>
      <c r="E96" s="558"/>
      <c r="F96" s="558"/>
      <c r="G96" s="558"/>
      <c r="H96" s="558"/>
      <c r="I96" s="558"/>
      <c r="J96" s="558"/>
      <c r="K96" s="558"/>
      <c r="L96" s="558"/>
      <c r="M96" s="558"/>
      <c r="N96" s="558"/>
      <c r="O96" s="558"/>
      <c r="P96" s="558"/>
      <c r="Q96" s="558"/>
    </row>
    <row r="97" spans="1:17" ht="14.5" x14ac:dyDescent="0.35">
      <c r="A97" s="557"/>
      <c r="B97" s="100" t="s">
        <v>642</v>
      </c>
      <c r="C97" t="s">
        <v>643</v>
      </c>
      <c r="D97" s="580">
        <f>125000</f>
        <v>125000</v>
      </c>
      <c r="E97" s="571">
        <f t="shared" ref="E97:P97" si="66">$D97/$R$1</f>
        <v>1436.7816091954023</v>
      </c>
      <c r="F97" s="571">
        <f t="shared" si="66"/>
        <v>1436.7816091954023</v>
      </c>
      <c r="G97" s="571">
        <f t="shared" si="66"/>
        <v>1436.7816091954023</v>
      </c>
      <c r="H97" s="571">
        <f t="shared" si="66"/>
        <v>1436.7816091954023</v>
      </c>
      <c r="I97" s="571">
        <f t="shared" si="66"/>
        <v>1436.7816091954023</v>
      </c>
      <c r="J97" s="571">
        <f t="shared" si="66"/>
        <v>1436.7816091954023</v>
      </c>
      <c r="K97" s="571">
        <f t="shared" si="66"/>
        <v>1436.7816091954023</v>
      </c>
      <c r="L97" s="571">
        <f t="shared" si="66"/>
        <v>1436.7816091954023</v>
      </c>
      <c r="M97" s="571">
        <f t="shared" si="66"/>
        <v>1436.7816091954023</v>
      </c>
      <c r="N97" s="571">
        <f t="shared" si="66"/>
        <v>1436.7816091954023</v>
      </c>
      <c r="O97" s="571">
        <f t="shared" si="66"/>
        <v>1436.7816091954023</v>
      </c>
      <c r="P97" s="571">
        <f t="shared" si="66"/>
        <v>1436.7816091954023</v>
      </c>
      <c r="Q97" s="564">
        <f>SUM(E97:P97)</f>
        <v>17241.37931034483</v>
      </c>
    </row>
    <row r="98" spans="1:17" ht="14.5" x14ac:dyDescent="0.35">
      <c r="A98" s="557"/>
      <c r="B98" s="100"/>
      <c r="C98" t="s">
        <v>644</v>
      </c>
      <c r="D98" s="557"/>
      <c r="E98" s="576">
        <f>(41000+5500)/$R$1</f>
        <v>534.48275862068965</v>
      </c>
      <c r="F98" s="576">
        <f>5500/$R$1</f>
        <v>63.218390804597703</v>
      </c>
      <c r="G98" s="576">
        <f t="shared" ref="G98:P98" si="67">5500/$R$1</f>
        <v>63.218390804597703</v>
      </c>
      <c r="H98" s="576">
        <f t="shared" si="67"/>
        <v>63.218390804597703</v>
      </c>
      <c r="I98" s="576">
        <f t="shared" si="67"/>
        <v>63.218390804597703</v>
      </c>
      <c r="J98" s="576">
        <f t="shared" si="67"/>
        <v>63.218390804597703</v>
      </c>
      <c r="K98" s="576">
        <f t="shared" si="67"/>
        <v>63.218390804597703</v>
      </c>
      <c r="L98" s="576">
        <f t="shared" si="67"/>
        <v>63.218390804597703</v>
      </c>
      <c r="M98" s="576">
        <f t="shared" si="67"/>
        <v>63.218390804597703</v>
      </c>
      <c r="N98" s="576">
        <f t="shared" si="67"/>
        <v>63.218390804597703</v>
      </c>
      <c r="O98" s="576">
        <f t="shared" si="67"/>
        <v>63.218390804597703</v>
      </c>
      <c r="P98" s="576">
        <f t="shared" si="67"/>
        <v>63.218390804597703</v>
      </c>
      <c r="Q98" s="564">
        <f t="shared" ref="Q98:Q99" si="68">SUM(E98:P98)</f>
        <v>1229.8850574712642</v>
      </c>
    </row>
    <row r="99" spans="1:17" ht="14.5" x14ac:dyDescent="0.35">
      <c r="A99" s="557"/>
      <c r="B99" s="100"/>
      <c r="C99" t="s">
        <v>1669</v>
      </c>
      <c r="D99" s="557"/>
      <c r="E99" s="576"/>
      <c r="F99" s="576">
        <f>275000/$R$1</f>
        <v>3160.9195402298851</v>
      </c>
      <c r="G99" s="558"/>
      <c r="H99" s="558"/>
      <c r="I99" s="558"/>
      <c r="J99" s="558"/>
      <c r="K99" s="558"/>
      <c r="L99" s="558"/>
      <c r="M99" s="558"/>
      <c r="N99" s="558"/>
      <c r="O99" s="558"/>
      <c r="P99" s="558"/>
      <c r="Q99" s="564">
        <f t="shared" si="68"/>
        <v>3160.9195402298851</v>
      </c>
    </row>
    <row r="100" spans="1:17" x14ac:dyDescent="0.3">
      <c r="A100" s="557"/>
      <c r="B100" s="557"/>
      <c r="C100" s="557"/>
      <c r="D100" s="557"/>
      <c r="E100" s="558"/>
      <c r="F100" s="558"/>
      <c r="G100" s="558"/>
      <c r="H100" s="558"/>
      <c r="I100" s="558"/>
      <c r="J100" s="558"/>
      <c r="K100" s="558"/>
      <c r="L100" s="558"/>
      <c r="M100" s="558"/>
      <c r="N100" s="558"/>
      <c r="O100" s="558"/>
      <c r="P100" s="558"/>
      <c r="Q100" s="558"/>
    </row>
    <row r="101" spans="1:17" ht="15.5" x14ac:dyDescent="0.35">
      <c r="A101" s="617" t="s">
        <v>640</v>
      </c>
      <c r="B101" s="617"/>
      <c r="C101" s="617"/>
      <c r="D101" s="617"/>
      <c r="E101" s="618">
        <f t="shared" ref="E101:P101" si="69">SUM(E96:E100)</f>
        <v>1971.2643678160921</v>
      </c>
      <c r="F101" s="618">
        <f t="shared" si="69"/>
        <v>4660.9195402298847</v>
      </c>
      <c r="G101" s="618">
        <f t="shared" si="69"/>
        <v>1500</v>
      </c>
      <c r="H101" s="618">
        <f t="shared" si="69"/>
        <v>1500</v>
      </c>
      <c r="I101" s="618">
        <f t="shared" si="69"/>
        <v>1500</v>
      </c>
      <c r="J101" s="618">
        <f t="shared" si="69"/>
        <v>1500</v>
      </c>
      <c r="K101" s="618">
        <f t="shared" si="69"/>
        <v>1500</v>
      </c>
      <c r="L101" s="618">
        <f t="shared" si="69"/>
        <v>1500</v>
      </c>
      <c r="M101" s="618">
        <f t="shared" si="69"/>
        <v>1500</v>
      </c>
      <c r="N101" s="618">
        <f t="shared" si="69"/>
        <v>1500</v>
      </c>
      <c r="O101" s="618">
        <f t="shared" si="69"/>
        <v>1500</v>
      </c>
      <c r="P101" s="618">
        <f t="shared" si="69"/>
        <v>1500</v>
      </c>
      <c r="Q101" s="618">
        <f t="shared" ref="Q101" si="70">SUM(E101:P101)</f>
        <v>21632.183908045976</v>
      </c>
    </row>
    <row r="102" spans="1:17" x14ac:dyDescent="0.3">
      <c r="A102" s="557"/>
      <c r="B102" s="557"/>
      <c r="C102" s="557"/>
      <c r="D102" s="557"/>
      <c r="E102" s="558"/>
      <c r="F102" s="558"/>
      <c r="G102" s="558"/>
      <c r="H102" s="558"/>
      <c r="I102" s="558"/>
      <c r="J102" s="558"/>
      <c r="K102" s="558"/>
      <c r="L102" s="558"/>
      <c r="M102" s="558"/>
      <c r="N102" s="558"/>
      <c r="O102" s="558"/>
      <c r="P102" s="558"/>
      <c r="Q102" s="558"/>
    </row>
    <row r="103" spans="1:17" ht="15.5" x14ac:dyDescent="0.35">
      <c r="A103" s="225" t="s">
        <v>646</v>
      </c>
      <c r="B103" s="100" t="s">
        <v>522</v>
      </c>
      <c r="C103">
        <v>9</v>
      </c>
      <c r="D103" s="578">
        <v>220</v>
      </c>
      <c r="E103" s="570">
        <f>$C103*$D103</f>
        <v>1980</v>
      </c>
      <c r="F103" s="570">
        <f t="shared" ref="F103:P104" si="71">$C103*$D103</f>
        <v>1980</v>
      </c>
      <c r="G103" s="570">
        <f t="shared" si="71"/>
        <v>1980</v>
      </c>
      <c r="H103" s="570">
        <f t="shared" si="71"/>
        <v>1980</v>
      </c>
      <c r="I103" s="570">
        <f t="shared" si="71"/>
        <v>1980</v>
      </c>
      <c r="J103" s="570">
        <f t="shared" si="71"/>
        <v>1980</v>
      </c>
      <c r="K103" s="570">
        <f t="shared" si="71"/>
        <v>1980</v>
      </c>
      <c r="L103" s="570">
        <f t="shared" si="71"/>
        <v>1980</v>
      </c>
      <c r="M103" s="570">
        <f t="shared" si="71"/>
        <v>1980</v>
      </c>
      <c r="N103" s="570">
        <f t="shared" si="71"/>
        <v>1980</v>
      </c>
      <c r="O103" s="570">
        <f t="shared" si="71"/>
        <v>1980</v>
      </c>
      <c r="P103" s="570">
        <f t="shared" si="71"/>
        <v>1980</v>
      </c>
      <c r="Q103" s="564">
        <f t="shared" ref="Q103:Q106" si="72">SUM(E103:P103)</f>
        <v>23760</v>
      </c>
    </row>
    <row r="104" spans="1:17" ht="15.5" x14ac:dyDescent="0.35">
      <c r="A104" s="711" t="s">
        <v>1659</v>
      </c>
      <c r="B104" s="100" t="s">
        <v>647</v>
      </c>
      <c r="C104">
        <v>1</v>
      </c>
      <c r="D104" s="578"/>
      <c r="E104" s="570">
        <v>2000</v>
      </c>
      <c r="F104" s="570">
        <v>1000</v>
      </c>
      <c r="G104" s="570">
        <f t="shared" si="71"/>
        <v>0</v>
      </c>
      <c r="H104" s="570">
        <f t="shared" si="71"/>
        <v>0</v>
      </c>
      <c r="I104" s="570">
        <f t="shared" si="71"/>
        <v>0</v>
      </c>
      <c r="J104" s="570">
        <f t="shared" si="71"/>
        <v>0</v>
      </c>
      <c r="K104" s="570">
        <f t="shared" si="71"/>
        <v>0</v>
      </c>
      <c r="L104" s="570">
        <f t="shared" si="71"/>
        <v>0</v>
      </c>
      <c r="M104" s="570">
        <f t="shared" si="71"/>
        <v>0</v>
      </c>
      <c r="N104" s="570">
        <f t="shared" si="71"/>
        <v>0</v>
      </c>
      <c r="O104" s="570">
        <f t="shared" si="71"/>
        <v>0</v>
      </c>
      <c r="P104" s="570">
        <f t="shared" si="71"/>
        <v>0</v>
      </c>
      <c r="Q104" s="564">
        <f t="shared" ref="Q104" si="73">SUM(E104:P104)</f>
        <v>3000</v>
      </c>
    </row>
    <row r="105" spans="1:17" ht="15.5" x14ac:dyDescent="0.35">
      <c r="A105" s="225"/>
      <c r="B105" s="100"/>
      <c r="C105"/>
      <c r="D105" s="578"/>
      <c r="E105" s="570"/>
      <c r="F105" s="570"/>
      <c r="G105" s="570"/>
      <c r="H105" s="570"/>
      <c r="I105" s="570"/>
      <c r="J105" s="570"/>
      <c r="K105" s="570"/>
      <c r="L105" s="570"/>
      <c r="M105" s="570"/>
      <c r="N105" s="570"/>
      <c r="O105" s="570"/>
      <c r="P105" s="570"/>
      <c r="Q105" s="564"/>
    </row>
    <row r="106" spans="1:17" ht="15.5" x14ac:dyDescent="0.35">
      <c r="A106" s="225"/>
      <c r="B106" s="100" t="s">
        <v>648</v>
      </c>
      <c r="C106" t="s">
        <v>649</v>
      </c>
      <c r="D106" s="578"/>
      <c r="E106" s="558"/>
      <c r="F106" s="558"/>
      <c r="G106" s="570"/>
      <c r="H106" s="558"/>
      <c r="I106" s="558"/>
      <c r="J106" s="570"/>
      <c r="K106" s="558"/>
      <c r="L106" s="558"/>
      <c r="M106" s="570"/>
      <c r="N106" s="558"/>
      <c r="O106" s="558"/>
      <c r="P106" s="570"/>
      <c r="Q106" s="564">
        <f t="shared" si="72"/>
        <v>0</v>
      </c>
    </row>
    <row r="107" spans="1:17" ht="15.5" x14ac:dyDescent="0.35">
      <c r="A107" s="612" t="s">
        <v>1670</v>
      </c>
      <c r="B107" s="100" t="s">
        <v>651</v>
      </c>
      <c r="C107" t="s">
        <v>651</v>
      </c>
      <c r="D107" s="578"/>
      <c r="E107" s="558"/>
      <c r="F107" s="558"/>
      <c r="G107" s="570">
        <v>2000</v>
      </c>
      <c r="H107" s="558"/>
      <c r="I107" s="558"/>
      <c r="J107" s="558"/>
      <c r="L107" s="558"/>
      <c r="M107" s="558"/>
      <c r="N107" s="558"/>
      <c r="O107" s="558"/>
      <c r="P107" s="558"/>
      <c r="Q107" s="564">
        <f t="shared" ref="Q107:Q108" si="74">SUM(E107:P107)</f>
        <v>2000</v>
      </c>
    </row>
    <row r="108" spans="1:17" ht="15.5" x14ac:dyDescent="0.35">
      <c r="A108" s="612" t="s">
        <v>1670</v>
      </c>
      <c r="B108" s="100" t="s">
        <v>652</v>
      </c>
      <c r="C108" t="s">
        <v>652</v>
      </c>
      <c r="D108" s="578"/>
      <c r="E108" s="558"/>
      <c r="F108" s="558"/>
      <c r="G108" s="570"/>
      <c r="H108" s="558"/>
      <c r="I108" s="570">
        <v>1000</v>
      </c>
      <c r="L108" s="558"/>
      <c r="M108" s="558"/>
      <c r="N108" s="558"/>
      <c r="O108" s="558"/>
      <c r="P108" s="558"/>
      <c r="Q108" s="564">
        <f t="shared" si="74"/>
        <v>1000</v>
      </c>
    </row>
    <row r="109" spans="1:17" ht="15.5" x14ac:dyDescent="0.35">
      <c r="A109" s="225"/>
      <c r="B109" s="100" t="s">
        <v>653</v>
      </c>
      <c r="C109"/>
      <c r="D109" s="578"/>
      <c r="E109" s="558"/>
      <c r="F109" s="558"/>
      <c r="G109" s="558"/>
      <c r="H109" s="558"/>
      <c r="I109" s="558"/>
      <c r="J109" s="558"/>
      <c r="K109" s="558"/>
      <c r="L109" s="558"/>
      <c r="M109" s="558"/>
      <c r="N109" s="558"/>
      <c r="O109" s="558"/>
      <c r="P109" s="558"/>
      <c r="Q109" s="558"/>
    </row>
    <row r="110" spans="1:17" ht="15.5" x14ac:dyDescent="0.35">
      <c r="A110" s="225"/>
      <c r="B110" s="607"/>
      <c r="C110"/>
      <c r="D110"/>
      <c r="E110" s="558"/>
      <c r="F110" s="558"/>
      <c r="G110" s="558"/>
      <c r="H110" s="558"/>
      <c r="I110" s="558"/>
      <c r="J110" s="558"/>
      <c r="K110" s="558"/>
      <c r="L110" s="558"/>
      <c r="M110" s="558"/>
      <c r="N110" s="558"/>
      <c r="O110" s="558"/>
      <c r="P110" s="558"/>
      <c r="Q110" s="558"/>
    </row>
    <row r="111" spans="1:17" ht="15.5" x14ac:dyDescent="0.35">
      <c r="A111" s="617" t="s">
        <v>646</v>
      </c>
      <c r="B111" s="617"/>
      <c r="C111" s="617"/>
      <c r="D111" s="617"/>
      <c r="E111" s="618">
        <f>SUM(E103:E110)</f>
        <v>3980</v>
      </c>
      <c r="F111" s="618">
        <f t="shared" ref="F111:P111" si="75">SUM(F103:F110)</f>
        <v>2980</v>
      </c>
      <c r="G111" s="618">
        <f t="shared" si="75"/>
        <v>3980</v>
      </c>
      <c r="H111" s="618">
        <f t="shared" si="75"/>
        <v>1980</v>
      </c>
      <c r="I111" s="618">
        <f t="shared" si="75"/>
        <v>2980</v>
      </c>
      <c r="J111" s="618">
        <f t="shared" si="75"/>
        <v>1980</v>
      </c>
      <c r="K111" s="618">
        <f t="shared" si="75"/>
        <v>1980</v>
      </c>
      <c r="L111" s="618">
        <f t="shared" si="75"/>
        <v>1980</v>
      </c>
      <c r="M111" s="618">
        <f t="shared" si="75"/>
        <v>1980</v>
      </c>
      <c r="N111" s="618">
        <f t="shared" si="75"/>
        <v>1980</v>
      </c>
      <c r="O111" s="618">
        <f t="shared" si="75"/>
        <v>1980</v>
      </c>
      <c r="P111" s="618">
        <f t="shared" si="75"/>
        <v>1980</v>
      </c>
      <c r="Q111" s="618">
        <f t="shared" ref="Q111" si="76">SUM(E111:P111)</f>
        <v>29760</v>
      </c>
    </row>
    <row r="112" spans="1:17" x14ac:dyDescent="0.3">
      <c r="A112" s="557"/>
      <c r="B112" s="557"/>
      <c r="C112" s="557"/>
      <c r="D112" s="557"/>
      <c r="E112" s="558"/>
      <c r="F112" s="558"/>
      <c r="G112" s="558"/>
      <c r="H112" s="558"/>
      <c r="I112" s="558"/>
      <c r="J112" s="558"/>
      <c r="K112" s="558"/>
      <c r="L112" s="558"/>
      <c r="M112" s="558"/>
      <c r="N112" s="558"/>
      <c r="O112" s="558"/>
      <c r="P112" s="558"/>
      <c r="Q112" s="558"/>
    </row>
    <row r="113" spans="1:17" ht="15.5" x14ac:dyDescent="0.35">
      <c r="A113" s="225" t="s">
        <v>654</v>
      </c>
      <c r="B113" s="100"/>
    </row>
    <row r="114" spans="1:17" ht="14.5" x14ac:dyDescent="0.35">
      <c r="A114" s="557"/>
      <c r="B114" s="100" t="s">
        <v>556</v>
      </c>
      <c r="C114" t="s">
        <v>655</v>
      </c>
      <c r="D114" s="580">
        <v>30000</v>
      </c>
      <c r="E114" s="571">
        <f t="shared" ref="E114:P119" si="77">$D114/$R$1</f>
        <v>344.82758620689657</v>
      </c>
      <c r="F114" s="571">
        <f t="shared" si="77"/>
        <v>344.82758620689657</v>
      </c>
      <c r="G114" s="571">
        <f t="shared" si="77"/>
        <v>344.82758620689657</v>
      </c>
      <c r="H114" s="571">
        <f t="shared" si="77"/>
        <v>344.82758620689657</v>
      </c>
      <c r="I114" s="571">
        <f t="shared" si="77"/>
        <v>344.82758620689657</v>
      </c>
      <c r="J114" s="571">
        <f t="shared" si="77"/>
        <v>344.82758620689657</v>
      </c>
      <c r="K114" s="571">
        <f t="shared" si="77"/>
        <v>344.82758620689657</v>
      </c>
      <c r="L114" s="571">
        <f t="shared" si="77"/>
        <v>344.82758620689657</v>
      </c>
      <c r="M114" s="571">
        <f t="shared" si="77"/>
        <v>344.82758620689657</v>
      </c>
      <c r="N114" s="571">
        <f t="shared" si="77"/>
        <v>344.82758620689657</v>
      </c>
      <c r="O114" s="571">
        <f t="shared" si="77"/>
        <v>344.82758620689657</v>
      </c>
      <c r="P114" s="571">
        <f t="shared" si="77"/>
        <v>344.82758620689657</v>
      </c>
      <c r="Q114" s="564">
        <f t="shared" ref="Q114:Q129" si="78">SUM(E114:P114)</f>
        <v>4137.93103448276</v>
      </c>
    </row>
    <row r="115" spans="1:17" ht="14.5" x14ac:dyDescent="0.35">
      <c r="A115" s="557"/>
      <c r="B115" s="100"/>
      <c r="C115" t="s">
        <v>656</v>
      </c>
      <c r="D115" s="580">
        <v>20000</v>
      </c>
      <c r="E115" s="571">
        <f t="shared" si="77"/>
        <v>229.88505747126436</v>
      </c>
      <c r="F115" s="571">
        <f t="shared" si="77"/>
        <v>229.88505747126436</v>
      </c>
      <c r="G115" s="571">
        <f t="shared" si="77"/>
        <v>229.88505747126436</v>
      </c>
      <c r="H115" s="571">
        <f t="shared" si="77"/>
        <v>229.88505747126436</v>
      </c>
      <c r="I115" s="571">
        <f t="shared" si="77"/>
        <v>229.88505747126436</v>
      </c>
      <c r="J115" s="571">
        <f t="shared" si="77"/>
        <v>229.88505747126436</v>
      </c>
      <c r="K115" s="571">
        <f t="shared" si="77"/>
        <v>229.88505747126436</v>
      </c>
      <c r="L115" s="571">
        <f t="shared" si="77"/>
        <v>229.88505747126436</v>
      </c>
      <c r="M115" s="571">
        <f t="shared" si="77"/>
        <v>229.88505747126436</v>
      </c>
      <c r="N115" s="571">
        <f t="shared" si="77"/>
        <v>229.88505747126436</v>
      </c>
      <c r="O115" s="571">
        <f t="shared" si="77"/>
        <v>229.88505747126436</v>
      </c>
      <c r="P115" s="571">
        <f t="shared" si="77"/>
        <v>229.88505747126436</v>
      </c>
      <c r="Q115" s="564">
        <f t="shared" si="78"/>
        <v>2758.6206896551721</v>
      </c>
    </row>
    <row r="116" spans="1:17" ht="14.5" x14ac:dyDescent="0.35">
      <c r="A116" s="557"/>
      <c r="B116" s="100" t="s">
        <v>657</v>
      </c>
      <c r="C116"/>
      <c r="D116" s="580"/>
      <c r="E116" s="558"/>
      <c r="F116" s="558"/>
      <c r="G116" s="558"/>
      <c r="H116" s="558"/>
      <c r="I116" s="558"/>
      <c r="J116" s="558"/>
      <c r="K116" s="558"/>
      <c r="L116" s="558"/>
      <c r="M116" s="558"/>
      <c r="N116" s="558"/>
      <c r="O116" s="558"/>
      <c r="P116" s="558"/>
      <c r="Q116" s="564">
        <f t="shared" si="78"/>
        <v>0</v>
      </c>
    </row>
    <row r="117" spans="1:17" ht="14.5" x14ac:dyDescent="0.35">
      <c r="A117" s="557"/>
      <c r="B117" s="100" t="s">
        <v>215</v>
      </c>
      <c r="C117" t="s">
        <v>658</v>
      </c>
      <c r="D117" s="580">
        <v>40000</v>
      </c>
      <c r="E117" s="571">
        <f t="shared" si="77"/>
        <v>459.77011494252872</v>
      </c>
      <c r="F117" s="571">
        <f t="shared" si="77"/>
        <v>459.77011494252872</v>
      </c>
      <c r="G117" s="571">
        <f t="shared" si="77"/>
        <v>459.77011494252872</v>
      </c>
      <c r="H117" s="571">
        <f t="shared" si="77"/>
        <v>459.77011494252872</v>
      </c>
      <c r="I117" s="571">
        <f t="shared" si="77"/>
        <v>459.77011494252872</v>
      </c>
      <c r="J117" s="571">
        <f t="shared" si="77"/>
        <v>459.77011494252872</v>
      </c>
      <c r="K117" s="571">
        <f t="shared" si="77"/>
        <v>459.77011494252872</v>
      </c>
      <c r="L117" s="571">
        <f t="shared" si="77"/>
        <v>459.77011494252872</v>
      </c>
      <c r="M117" s="571">
        <f t="shared" si="77"/>
        <v>459.77011494252872</v>
      </c>
      <c r="N117" s="571">
        <f t="shared" si="77"/>
        <v>459.77011494252872</v>
      </c>
      <c r="O117" s="571">
        <f t="shared" si="77"/>
        <v>459.77011494252872</v>
      </c>
      <c r="P117" s="571">
        <f t="shared" si="77"/>
        <v>459.77011494252872</v>
      </c>
      <c r="Q117" s="564">
        <f t="shared" si="78"/>
        <v>5517.2413793103442</v>
      </c>
    </row>
    <row r="118" spans="1:17" ht="14.5" x14ac:dyDescent="0.35">
      <c r="A118" s="557"/>
      <c r="B118" s="100"/>
      <c r="C118" t="s">
        <v>659</v>
      </c>
      <c r="D118" s="580">
        <v>20000</v>
      </c>
      <c r="E118" s="571">
        <f t="shared" si="77"/>
        <v>229.88505747126436</v>
      </c>
      <c r="F118" s="571">
        <f t="shared" si="77"/>
        <v>229.88505747126436</v>
      </c>
      <c r="G118" s="571">
        <f t="shared" si="77"/>
        <v>229.88505747126436</v>
      </c>
      <c r="H118" s="571">
        <f t="shared" si="77"/>
        <v>229.88505747126436</v>
      </c>
      <c r="I118" s="571">
        <f t="shared" si="77"/>
        <v>229.88505747126436</v>
      </c>
      <c r="J118" s="571">
        <f t="shared" si="77"/>
        <v>229.88505747126436</v>
      </c>
      <c r="K118" s="571">
        <f t="shared" si="77"/>
        <v>229.88505747126436</v>
      </c>
      <c r="L118" s="571">
        <f t="shared" si="77"/>
        <v>229.88505747126436</v>
      </c>
      <c r="M118" s="571">
        <f t="shared" si="77"/>
        <v>229.88505747126436</v>
      </c>
      <c r="N118" s="571">
        <f t="shared" si="77"/>
        <v>229.88505747126436</v>
      </c>
      <c r="O118" s="571">
        <f t="shared" si="77"/>
        <v>229.88505747126436</v>
      </c>
      <c r="P118" s="571">
        <f t="shared" si="77"/>
        <v>229.88505747126436</v>
      </c>
      <c r="Q118" s="564">
        <f t="shared" si="78"/>
        <v>2758.6206896551721</v>
      </c>
    </row>
    <row r="119" spans="1:17" ht="14.5" x14ac:dyDescent="0.35">
      <c r="A119" s="557"/>
      <c r="B119" s="100" t="s">
        <v>206</v>
      </c>
      <c r="C119" t="s">
        <v>206</v>
      </c>
      <c r="D119" s="580">
        <v>5000</v>
      </c>
      <c r="E119" s="571">
        <f t="shared" si="77"/>
        <v>57.47126436781609</v>
      </c>
      <c r="F119" s="571">
        <f t="shared" si="77"/>
        <v>57.47126436781609</v>
      </c>
      <c r="G119" s="571">
        <f t="shared" si="77"/>
        <v>57.47126436781609</v>
      </c>
      <c r="H119" s="571">
        <f t="shared" si="77"/>
        <v>57.47126436781609</v>
      </c>
      <c r="I119" s="571">
        <f t="shared" si="77"/>
        <v>57.47126436781609</v>
      </c>
      <c r="J119" s="571">
        <f t="shared" si="77"/>
        <v>57.47126436781609</v>
      </c>
      <c r="K119" s="571">
        <f t="shared" si="77"/>
        <v>57.47126436781609</v>
      </c>
      <c r="L119" s="571">
        <f t="shared" si="77"/>
        <v>57.47126436781609</v>
      </c>
      <c r="M119" s="571">
        <f t="shared" si="77"/>
        <v>57.47126436781609</v>
      </c>
      <c r="N119" s="571">
        <f t="shared" si="77"/>
        <v>57.47126436781609</v>
      </c>
      <c r="O119" s="571">
        <f t="shared" si="77"/>
        <v>57.47126436781609</v>
      </c>
      <c r="P119" s="571">
        <f t="shared" si="77"/>
        <v>57.47126436781609</v>
      </c>
      <c r="Q119" s="564">
        <f t="shared" si="78"/>
        <v>689.65517241379303</v>
      </c>
    </row>
    <row r="120" spans="1:17" ht="14.5" x14ac:dyDescent="0.35">
      <c r="A120" s="557" t="s">
        <v>497</v>
      </c>
      <c r="B120" s="100" t="s">
        <v>660</v>
      </c>
      <c r="C120" t="s">
        <v>661</v>
      </c>
      <c r="D120" s="557"/>
      <c r="E120" s="558"/>
      <c r="F120" s="558"/>
      <c r="G120" s="558"/>
      <c r="H120" s="558"/>
      <c r="I120" s="558"/>
      <c r="J120" s="558"/>
      <c r="K120" s="558"/>
      <c r="L120" s="558"/>
      <c r="M120" s="558"/>
      <c r="N120" s="558"/>
      <c r="O120" s="558"/>
      <c r="P120" s="558"/>
      <c r="Q120" s="564">
        <f t="shared" si="78"/>
        <v>0</v>
      </c>
    </row>
    <row r="121" spans="1:17" ht="14.5" x14ac:dyDescent="0.35">
      <c r="A121" s="557"/>
      <c r="B121" s="100" t="s">
        <v>642</v>
      </c>
      <c r="C121" t="s">
        <v>662</v>
      </c>
      <c r="D121" s="578">
        <v>6000</v>
      </c>
      <c r="E121" s="558"/>
      <c r="F121" s="558"/>
      <c r="G121" s="558"/>
      <c r="H121" s="558"/>
      <c r="I121" s="558"/>
      <c r="J121" s="558"/>
      <c r="K121" s="570">
        <v>6000</v>
      </c>
      <c r="L121" s="558"/>
      <c r="M121" s="558"/>
      <c r="N121" s="558"/>
      <c r="O121" s="558"/>
      <c r="P121" s="558"/>
      <c r="Q121" s="564">
        <f t="shared" si="78"/>
        <v>6000</v>
      </c>
    </row>
    <row r="122" spans="1:17" ht="14.5" x14ac:dyDescent="0.35">
      <c r="A122" s="557" t="s">
        <v>497</v>
      </c>
      <c r="B122" s="100" t="s">
        <v>663</v>
      </c>
      <c r="C122" t="s">
        <v>664</v>
      </c>
      <c r="D122" s="557"/>
      <c r="E122" s="558"/>
      <c r="F122" s="558"/>
      <c r="G122" s="558"/>
      <c r="H122" s="558"/>
      <c r="I122" s="558"/>
      <c r="J122" s="558"/>
      <c r="K122" s="558"/>
      <c r="L122" s="558"/>
      <c r="M122" s="558"/>
      <c r="N122" s="558"/>
      <c r="O122" s="558"/>
      <c r="P122" s="558"/>
      <c r="Q122" s="564">
        <f t="shared" si="78"/>
        <v>0</v>
      </c>
    </row>
    <row r="123" spans="1:17" ht="14.5" x14ac:dyDescent="0.35">
      <c r="A123" s="557" t="s">
        <v>497</v>
      </c>
      <c r="B123" s="100" t="s">
        <v>665</v>
      </c>
      <c r="C123" t="s">
        <v>665</v>
      </c>
      <c r="Q123" s="564">
        <f t="shared" si="78"/>
        <v>0</v>
      </c>
    </row>
    <row r="124" spans="1:17" ht="14.5" x14ac:dyDescent="0.35">
      <c r="A124" s="557"/>
      <c r="B124" s="100" t="s">
        <v>666</v>
      </c>
      <c r="C124" t="s">
        <v>666</v>
      </c>
      <c r="D124" s="580">
        <v>5000</v>
      </c>
      <c r="E124" s="571">
        <f t="shared" ref="E124:P124" si="79">$D124/$R$1</f>
        <v>57.47126436781609</v>
      </c>
      <c r="F124" s="571">
        <f t="shared" si="79"/>
        <v>57.47126436781609</v>
      </c>
      <c r="G124" s="571">
        <f t="shared" si="79"/>
        <v>57.47126436781609</v>
      </c>
      <c r="H124" s="571">
        <f t="shared" si="79"/>
        <v>57.47126436781609</v>
      </c>
      <c r="I124" s="571">
        <f t="shared" si="79"/>
        <v>57.47126436781609</v>
      </c>
      <c r="J124" s="571">
        <f t="shared" si="79"/>
        <v>57.47126436781609</v>
      </c>
      <c r="K124" s="571">
        <f t="shared" si="79"/>
        <v>57.47126436781609</v>
      </c>
      <c r="L124" s="571">
        <f t="shared" si="79"/>
        <v>57.47126436781609</v>
      </c>
      <c r="M124" s="571">
        <f t="shared" si="79"/>
        <v>57.47126436781609</v>
      </c>
      <c r="N124" s="571">
        <f t="shared" si="79"/>
        <v>57.47126436781609</v>
      </c>
      <c r="O124" s="571">
        <f t="shared" si="79"/>
        <v>57.47126436781609</v>
      </c>
      <c r="P124" s="571">
        <f t="shared" si="79"/>
        <v>57.47126436781609</v>
      </c>
      <c r="Q124" s="564">
        <f t="shared" si="78"/>
        <v>689.65517241379303</v>
      </c>
    </row>
    <row r="125" spans="1:17" ht="14.5" x14ac:dyDescent="0.35">
      <c r="A125" s="557" t="s">
        <v>497</v>
      </c>
      <c r="B125" s="100" t="s">
        <v>667</v>
      </c>
      <c r="C125"/>
      <c r="D125" s="580">
        <v>500000</v>
      </c>
      <c r="E125" s="571"/>
      <c r="G125" s="571"/>
      <c r="H125" s="571">
        <f>D125/$R$1</f>
        <v>5747.1264367816093</v>
      </c>
      <c r="I125" s="571"/>
      <c r="J125" s="571"/>
      <c r="K125" s="571"/>
      <c r="L125" s="571"/>
      <c r="M125" s="571"/>
      <c r="N125" s="571"/>
      <c r="O125" s="571"/>
      <c r="P125" s="571"/>
      <c r="Q125" s="564">
        <f t="shared" si="78"/>
        <v>5747.1264367816093</v>
      </c>
    </row>
    <row r="126" spans="1:17" ht="14.5" x14ac:dyDescent="0.35">
      <c r="A126" s="557"/>
      <c r="B126" s="100" t="s">
        <v>1682</v>
      </c>
      <c r="C126"/>
      <c r="D126" s="578">
        <v>6500</v>
      </c>
      <c r="E126" s="571"/>
      <c r="F126" s="106">
        <f>D126/2</f>
        <v>3250</v>
      </c>
      <c r="G126" s="571"/>
      <c r="H126" s="571"/>
      <c r="I126" s="571">
        <f>D126/2</f>
        <v>3250</v>
      </c>
      <c r="J126" s="571"/>
      <c r="K126" s="571"/>
      <c r="L126" s="571"/>
      <c r="M126" s="571"/>
      <c r="N126" s="571"/>
      <c r="O126" s="571"/>
      <c r="P126" s="571"/>
      <c r="Q126" s="564"/>
    </row>
    <row r="127" spans="1:17" ht="14.5" x14ac:dyDescent="0.35">
      <c r="A127" s="557" t="s">
        <v>497</v>
      </c>
      <c r="B127" s="100" t="s">
        <v>668</v>
      </c>
      <c r="C127"/>
      <c r="Q127" s="564">
        <f t="shared" si="78"/>
        <v>0</v>
      </c>
    </row>
    <row r="128" spans="1:17" ht="14.5" x14ac:dyDescent="0.35">
      <c r="A128" s="557" t="s">
        <v>497</v>
      </c>
      <c r="B128" s="100" t="s">
        <v>669</v>
      </c>
      <c r="C128"/>
      <c r="Q128" s="564">
        <f t="shared" si="78"/>
        <v>0</v>
      </c>
    </row>
    <row r="129" spans="1:19" x14ac:dyDescent="0.3">
      <c r="Q129" s="564">
        <f t="shared" si="78"/>
        <v>0</v>
      </c>
    </row>
    <row r="130" spans="1:19" ht="15.5" x14ac:dyDescent="0.35">
      <c r="A130" s="617" t="s">
        <v>654</v>
      </c>
      <c r="B130" s="617"/>
      <c r="C130" s="617"/>
      <c r="D130" s="617"/>
      <c r="E130" s="618">
        <f>SUM(E114:E129)</f>
        <v>1379.3103448275863</v>
      </c>
      <c r="F130" s="618">
        <f t="shared" ref="F130:P130" si="80">SUM(F114:F129)</f>
        <v>4629.3103448275861</v>
      </c>
      <c r="G130" s="618">
        <f t="shared" si="80"/>
        <v>1379.3103448275863</v>
      </c>
      <c r="H130" s="618">
        <f t="shared" si="80"/>
        <v>7126.4367816091954</v>
      </c>
      <c r="I130" s="618">
        <f t="shared" si="80"/>
        <v>4629.3103448275861</v>
      </c>
      <c r="J130" s="618">
        <f t="shared" si="80"/>
        <v>1379.3103448275863</v>
      </c>
      <c r="K130" s="618">
        <f t="shared" si="80"/>
        <v>7379.3103448275861</v>
      </c>
      <c r="L130" s="618">
        <f t="shared" si="80"/>
        <v>1379.3103448275863</v>
      </c>
      <c r="M130" s="618">
        <f t="shared" si="80"/>
        <v>1379.3103448275863</v>
      </c>
      <c r="N130" s="618">
        <f t="shared" si="80"/>
        <v>1379.3103448275863</v>
      </c>
      <c r="O130" s="618">
        <f t="shared" si="80"/>
        <v>1379.3103448275863</v>
      </c>
      <c r="P130" s="618">
        <f t="shared" si="80"/>
        <v>1379.3103448275863</v>
      </c>
      <c r="Q130" s="618">
        <f t="shared" ref="Q130" si="81">SUM(E130:P130)</f>
        <v>34798.850574712647</v>
      </c>
    </row>
    <row r="133" spans="1:19" ht="15.5" x14ac:dyDescent="0.35">
      <c r="A133" s="559" t="s">
        <v>670</v>
      </c>
      <c r="B133" s="559"/>
      <c r="C133" s="559"/>
      <c r="D133" s="559"/>
      <c r="E133" s="567">
        <f>E130+E111+E101+E93+E86+E74+E53+E42+E30+E69</f>
        <v>156912.59007287529</v>
      </c>
      <c r="F133" s="567">
        <f t="shared" ref="F133:P133" si="82">F130+F111+F101+F93+F86+F74+F53+F42+F30+F69</f>
        <v>163002.24524528906</v>
      </c>
      <c r="G133" s="567">
        <f t="shared" si="82"/>
        <v>148769.54367987908</v>
      </c>
      <c r="H133" s="567">
        <f t="shared" si="82"/>
        <v>150370.11839252277</v>
      </c>
      <c r="I133" s="567">
        <f t="shared" si="82"/>
        <v>156664.40050097363</v>
      </c>
      <c r="J133" s="567">
        <f t="shared" si="82"/>
        <v>155260.80279982422</v>
      </c>
      <c r="K133" s="567">
        <f t="shared" si="82"/>
        <v>166575.82860799518</v>
      </c>
      <c r="L133" s="567">
        <f t="shared" si="82"/>
        <v>178293.64669697097</v>
      </c>
      <c r="M133" s="567">
        <f t="shared" si="82"/>
        <v>184767.47710284311</v>
      </c>
      <c r="N133" s="567">
        <f t="shared" si="82"/>
        <v>194084.27302595659</v>
      </c>
      <c r="O133" s="567">
        <f t="shared" si="82"/>
        <v>187608.81607550688</v>
      </c>
      <c r="P133" s="567">
        <f t="shared" si="82"/>
        <v>190760.80740091921</v>
      </c>
      <c r="Q133" s="567">
        <f t="shared" ref="Q133" si="83">SUM(E133:P133)</f>
        <v>2033070.5496015563</v>
      </c>
      <c r="R133" s="585">
        <f>S133-Q133</f>
        <v>73542.997179568745</v>
      </c>
      <c r="S133" s="106">
        <v>2106613.546781125</v>
      </c>
    </row>
    <row r="134" spans="1:19" x14ac:dyDescent="0.3">
      <c r="R134" s="126">
        <f>R133/12</f>
        <v>6128.5830982973957</v>
      </c>
      <c r="S134" s="126">
        <f>R134-5000</f>
        <v>1128.5830982973957</v>
      </c>
    </row>
    <row r="135" spans="1:19" ht="15.5" x14ac:dyDescent="0.35">
      <c r="A135" s="559" t="s">
        <v>671</v>
      </c>
      <c r="B135" s="559"/>
      <c r="C135" s="574">
        <v>0.15</v>
      </c>
      <c r="D135" s="559"/>
      <c r="E135" s="567">
        <f>E133*(1+$C$135)</f>
        <v>180449.47858380657</v>
      </c>
      <c r="F135" s="567">
        <f t="shared" ref="F135:P135" si="84">F133*(1+$C$135)</f>
        <v>187452.5820320824</v>
      </c>
      <c r="G135" s="567">
        <f t="shared" si="84"/>
        <v>171084.97523186091</v>
      </c>
      <c r="H135" s="567">
        <f t="shared" si="84"/>
        <v>172925.63615140118</v>
      </c>
      <c r="I135" s="567">
        <f t="shared" si="84"/>
        <v>180164.06057611966</v>
      </c>
      <c r="J135" s="567">
        <f t="shared" si="84"/>
        <v>178549.92321979784</v>
      </c>
      <c r="K135" s="567">
        <f t="shared" si="84"/>
        <v>191562.20289919444</v>
      </c>
      <c r="L135" s="567">
        <f t="shared" si="84"/>
        <v>205037.6937015166</v>
      </c>
      <c r="M135" s="567">
        <f t="shared" si="84"/>
        <v>212482.59866826955</v>
      </c>
      <c r="N135" s="567">
        <f t="shared" si="84"/>
        <v>223196.91397985007</v>
      </c>
      <c r="O135" s="567">
        <f t="shared" si="84"/>
        <v>215750.1384868329</v>
      </c>
      <c r="P135" s="567">
        <f t="shared" si="84"/>
        <v>219374.92851105708</v>
      </c>
      <c r="Q135" s="567">
        <f t="shared" ref="Q135" si="85">SUM(E135:P135)</f>
        <v>2338031.1320417896</v>
      </c>
    </row>
    <row r="137" spans="1:19" x14ac:dyDescent="0.3">
      <c r="E137" s="585">
        <f>E135-E133</f>
        <v>23536.888510931283</v>
      </c>
      <c r="F137" s="585">
        <f t="shared" ref="F137:P137" si="86">F135-F133</f>
        <v>24450.336786793341</v>
      </c>
      <c r="G137" s="585">
        <f t="shared" si="86"/>
        <v>22315.431551981834</v>
      </c>
      <c r="H137" s="585">
        <f t="shared" si="86"/>
        <v>22555.517758878414</v>
      </c>
      <c r="I137" s="585">
        <f t="shared" si="86"/>
        <v>23499.660075146036</v>
      </c>
      <c r="J137" s="585">
        <f t="shared" si="86"/>
        <v>23289.120419973624</v>
      </c>
      <c r="K137" s="585">
        <f t="shared" si="86"/>
        <v>24986.374291199259</v>
      </c>
      <c r="L137" s="585">
        <f t="shared" si="86"/>
        <v>26744.047004545631</v>
      </c>
      <c r="M137" s="585">
        <f t="shared" si="86"/>
        <v>27715.121565426438</v>
      </c>
      <c r="N137" s="585">
        <f t="shared" si="86"/>
        <v>29112.640953893482</v>
      </c>
      <c r="O137" s="585">
        <f t="shared" si="86"/>
        <v>28141.322411326022</v>
      </c>
      <c r="P137" s="585">
        <f t="shared" si="86"/>
        <v>28614.121110137872</v>
      </c>
    </row>
    <row r="138" spans="1:19" ht="14.5" x14ac:dyDescent="0.35">
      <c r="E138">
        <v>232086</v>
      </c>
      <c r="F138">
        <v>232086</v>
      </c>
      <c r="G138">
        <v>232086</v>
      </c>
      <c r="H138">
        <v>232086</v>
      </c>
      <c r="I138">
        <v>232086</v>
      </c>
      <c r="J138">
        <v>232086</v>
      </c>
      <c r="K138">
        <v>232086</v>
      </c>
      <c r="L138">
        <v>232086</v>
      </c>
      <c r="M138">
        <v>232086</v>
      </c>
      <c r="N138">
        <v>232086</v>
      </c>
      <c r="O138">
        <v>232086</v>
      </c>
      <c r="P138">
        <v>232086</v>
      </c>
    </row>
    <row r="139" spans="1:19" x14ac:dyDescent="0.3">
      <c r="E139" s="585">
        <f>E138-E133</f>
        <v>75173.409927124711</v>
      </c>
      <c r="F139" s="585">
        <f t="shared" ref="F139:P139" si="87">F138-F133</f>
        <v>69083.754754710943</v>
      </c>
      <c r="G139" s="585">
        <f t="shared" si="87"/>
        <v>83316.456320120924</v>
      </c>
      <c r="H139" s="585">
        <f t="shared" si="87"/>
        <v>81715.881607477233</v>
      </c>
      <c r="I139" s="585">
        <f t="shared" si="87"/>
        <v>75421.599499026372</v>
      </c>
      <c r="J139" s="585">
        <f t="shared" si="87"/>
        <v>76825.197200175782</v>
      </c>
      <c r="K139" s="585">
        <f t="shared" si="87"/>
        <v>65510.171392004821</v>
      </c>
      <c r="L139" s="585">
        <f t="shared" si="87"/>
        <v>53792.353303029027</v>
      </c>
      <c r="M139" s="585">
        <f t="shared" si="87"/>
        <v>47318.522897156887</v>
      </c>
      <c r="N139" s="585">
        <f t="shared" si="87"/>
        <v>38001.726974043413</v>
      </c>
      <c r="O139" s="585">
        <f t="shared" si="87"/>
        <v>44477.183924493118</v>
      </c>
      <c r="P139" s="585">
        <f t="shared" si="87"/>
        <v>41325.192599080794</v>
      </c>
    </row>
    <row r="140" spans="1:19" x14ac:dyDescent="0.3">
      <c r="E140" s="585"/>
      <c r="F140" s="585"/>
      <c r="G140" s="585"/>
      <c r="H140" s="585"/>
      <c r="I140" s="585"/>
      <c r="J140" s="585"/>
      <c r="K140" s="585"/>
      <c r="L140" s="585"/>
      <c r="M140" s="585"/>
      <c r="N140" s="585"/>
      <c r="O140" s="585"/>
      <c r="P140" s="585"/>
    </row>
    <row r="141" spans="1:19" x14ac:dyDescent="0.3">
      <c r="E141" s="585"/>
      <c r="F141" s="585"/>
      <c r="G141" s="585"/>
      <c r="H141" s="585"/>
      <c r="I141" s="585"/>
      <c r="J141" s="585"/>
      <c r="K141" s="585"/>
      <c r="L141" s="585"/>
      <c r="M141" s="585"/>
      <c r="N141" s="585"/>
      <c r="O141" s="585"/>
      <c r="P141" s="585"/>
    </row>
    <row r="142" spans="1:19" x14ac:dyDescent="0.3">
      <c r="E142" s="585"/>
      <c r="F142" s="585"/>
      <c r="G142" s="585"/>
      <c r="H142" s="585"/>
      <c r="I142" s="585"/>
      <c r="J142" s="585"/>
      <c r="K142" s="585"/>
      <c r="L142" s="585"/>
      <c r="M142" s="585"/>
      <c r="N142" s="585"/>
      <c r="O142" s="585"/>
      <c r="P142" s="585"/>
    </row>
    <row r="143" spans="1:19" x14ac:dyDescent="0.3">
      <c r="A143" s="159" t="s">
        <v>570</v>
      </c>
      <c r="E143" s="657">
        <f>E150+E151+$C224+$C225+$C226+$C227+$C238+$C239</f>
        <v>205.41331557184279</v>
      </c>
      <c r="F143" s="657">
        <f t="shared" ref="F143:P143" si="88">F150+F151+$C224+$C225+$C226+$C227+$C238+$C239</f>
        <v>210.53096263066629</v>
      </c>
      <c r="G143" s="657">
        <f t="shared" si="88"/>
        <v>195.80155086596042</v>
      </c>
      <c r="H143" s="657">
        <f t="shared" si="88"/>
        <v>195.80155086596042</v>
      </c>
      <c r="I143" s="657">
        <f t="shared" si="88"/>
        <v>207.03684498360749</v>
      </c>
      <c r="J143" s="657">
        <f t="shared" si="88"/>
        <v>207.03684498360749</v>
      </c>
      <c r="K143" s="657">
        <f t="shared" si="88"/>
        <v>212.91919792478396</v>
      </c>
      <c r="L143" s="657">
        <f t="shared" si="88"/>
        <v>251.86037439537219</v>
      </c>
      <c r="M143" s="657">
        <f t="shared" si="88"/>
        <v>258.74272733654868</v>
      </c>
      <c r="N143" s="657">
        <f t="shared" si="88"/>
        <v>268.62508027772515</v>
      </c>
      <c r="O143" s="657">
        <f t="shared" si="88"/>
        <v>274.50743321890161</v>
      </c>
      <c r="P143" s="657">
        <f t="shared" si="88"/>
        <v>282.38978616007807</v>
      </c>
    </row>
    <row r="144" spans="1:19" x14ac:dyDescent="0.3">
      <c r="E144" s="657"/>
      <c r="F144" s="657"/>
      <c r="G144" s="657"/>
      <c r="H144" s="657"/>
      <c r="I144" s="657"/>
      <c r="J144" s="657"/>
      <c r="K144" s="657"/>
      <c r="L144" s="657"/>
      <c r="M144" s="657"/>
      <c r="N144" s="657"/>
      <c r="O144" s="657"/>
      <c r="P144" s="657"/>
    </row>
    <row r="145" spans="1:17" x14ac:dyDescent="0.3">
      <c r="A145" s="557" t="s">
        <v>571</v>
      </c>
      <c r="B145" s="557"/>
      <c r="C145" s="557" t="s">
        <v>572</v>
      </c>
      <c r="D145" s="557"/>
      <c r="E145" s="558">
        <v>30</v>
      </c>
      <c r="F145" s="558">
        <v>30</v>
      </c>
      <c r="G145" s="558">
        <v>30</v>
      </c>
      <c r="H145" s="558">
        <v>30</v>
      </c>
      <c r="I145" s="558">
        <v>30</v>
      </c>
      <c r="J145" s="558">
        <v>30</v>
      </c>
      <c r="K145" s="558">
        <v>30</v>
      </c>
      <c r="L145" s="558">
        <v>30</v>
      </c>
      <c r="M145" s="558">
        <v>30</v>
      </c>
      <c r="N145" s="558">
        <v>30</v>
      </c>
      <c r="O145" s="558">
        <v>30</v>
      </c>
      <c r="P145" s="558">
        <v>30</v>
      </c>
    </row>
    <row r="146" spans="1:17" x14ac:dyDescent="0.3">
      <c r="A146" s="557"/>
      <c r="B146" s="557"/>
      <c r="C146" s="557" t="s">
        <v>573</v>
      </c>
      <c r="D146" s="557"/>
      <c r="E146" s="558">
        <v>12</v>
      </c>
      <c r="F146" s="558">
        <v>12</v>
      </c>
      <c r="G146" s="558">
        <v>12</v>
      </c>
      <c r="H146" s="558">
        <v>12</v>
      </c>
      <c r="I146" s="558">
        <v>12</v>
      </c>
      <c r="J146" s="558">
        <v>12</v>
      </c>
      <c r="K146" s="558">
        <v>12</v>
      </c>
      <c r="L146" s="558">
        <v>12</v>
      </c>
      <c r="M146" s="558">
        <v>12</v>
      </c>
      <c r="N146" s="558">
        <v>12</v>
      </c>
      <c r="O146" s="558">
        <v>12</v>
      </c>
      <c r="P146" s="558">
        <v>12</v>
      </c>
    </row>
    <row r="147" spans="1:17" x14ac:dyDescent="0.3">
      <c r="A147" s="557"/>
      <c r="B147" s="557"/>
      <c r="C147" s="557" t="s">
        <v>574</v>
      </c>
      <c r="D147" s="557"/>
      <c r="E147" s="558">
        <f>E145-E146</f>
        <v>18</v>
      </c>
      <c r="F147" s="558">
        <f t="shared" ref="F147" si="89">F145-F146</f>
        <v>18</v>
      </c>
      <c r="G147" s="558">
        <f t="shared" ref="G147" si="90">G145-G146</f>
        <v>18</v>
      </c>
      <c r="H147" s="558">
        <f t="shared" ref="H147" si="91">H145-H146</f>
        <v>18</v>
      </c>
      <c r="I147" s="558">
        <f t="shared" ref="I147" si="92">I145-I146</f>
        <v>18</v>
      </c>
      <c r="J147" s="558">
        <f t="shared" ref="J147" si="93">J145-J146</f>
        <v>18</v>
      </c>
      <c r="K147" s="558">
        <f t="shared" ref="K147" si="94">K145-K146</f>
        <v>18</v>
      </c>
      <c r="L147" s="558">
        <f t="shared" ref="L147" si="95">L145-L146</f>
        <v>18</v>
      </c>
      <c r="M147" s="558">
        <f t="shared" ref="M147" si="96">M145-M146</f>
        <v>18</v>
      </c>
      <c r="N147" s="558">
        <f t="shared" ref="N147" si="97">N145-N146</f>
        <v>18</v>
      </c>
      <c r="O147" s="558">
        <f t="shared" ref="O147" si="98">O145-O146</f>
        <v>18</v>
      </c>
      <c r="P147" s="558">
        <f t="shared" ref="P147" si="99">P145-P146</f>
        <v>18</v>
      </c>
    </row>
    <row r="149" spans="1:17" x14ac:dyDescent="0.3">
      <c r="A149" s="189" t="s">
        <v>575</v>
      </c>
      <c r="B149" s="189"/>
      <c r="C149" s="189" t="s">
        <v>576</v>
      </c>
      <c r="D149" s="189" t="s">
        <v>490</v>
      </c>
      <c r="E149" s="190">
        <v>46023</v>
      </c>
      <c r="F149" s="190">
        <v>46054</v>
      </c>
      <c r="G149" s="190">
        <v>46082</v>
      </c>
      <c r="H149" s="190">
        <v>46113</v>
      </c>
      <c r="I149" s="190">
        <v>46143</v>
      </c>
      <c r="J149" s="190">
        <v>46174</v>
      </c>
      <c r="K149" s="190">
        <v>46204</v>
      </c>
      <c r="L149" s="190">
        <v>46235</v>
      </c>
      <c r="M149" s="190">
        <v>46266</v>
      </c>
      <c r="N149" s="190">
        <v>46296</v>
      </c>
      <c r="O149" s="190">
        <v>46327</v>
      </c>
      <c r="P149" s="190">
        <v>46357</v>
      </c>
      <c r="Q149" s="191" t="s">
        <v>577</v>
      </c>
    </row>
    <row r="150" spans="1:17" x14ac:dyDescent="0.3">
      <c r="A150" s="557" t="s">
        <v>578</v>
      </c>
      <c r="B150" s="557"/>
      <c r="C150" s="557"/>
      <c r="D150" s="557"/>
      <c r="E150" s="656">
        <f>IF($S$1="Without",'2. Headcount Buildup'!F5,'2. Headcount Buildup'!F5-E147)</f>
        <v>133.41331557184279</v>
      </c>
      <c r="F150" s="656">
        <f>IF($S$1="Without",'2. Headcount Buildup'!G5,'2. Headcount Buildup'!G5-F147)</f>
        <v>137.53096263066629</v>
      </c>
      <c r="G150" s="656">
        <f>IF($S$1="Without",'2. Headcount Buildup'!H5,'2. Headcount Buildup'!H5-G147)</f>
        <v>125.80155086596042</v>
      </c>
      <c r="H150" s="656">
        <f>IF($S$1="Without",'2. Headcount Buildup'!I5,'2. Headcount Buildup'!I5-H147)</f>
        <v>125.80155086596042</v>
      </c>
      <c r="I150" s="656">
        <f>IF($S$1="Without",'2. Headcount Buildup'!J5,'2. Headcount Buildup'!J5-I147)</f>
        <v>134.03684498360749</v>
      </c>
      <c r="J150" s="656">
        <f>IF($S$1="Without",'2. Headcount Buildup'!K5,'2. Headcount Buildup'!K5-J147)</f>
        <v>134.03684498360749</v>
      </c>
      <c r="K150" s="656">
        <f>IF($S$1="Without",'2. Headcount Buildup'!L5,'2. Headcount Buildup'!L5-K147)</f>
        <v>139.91919792478396</v>
      </c>
      <c r="L150" s="656">
        <f>IF($S$1="Without",'2. Headcount Buildup'!M5,'2. Headcount Buildup'!M5-L147)</f>
        <v>172.86037439537219</v>
      </c>
      <c r="M150" s="656">
        <f>IF($S$1="Without",'2. Headcount Buildup'!N5,'2. Headcount Buildup'!N5-M147)</f>
        <v>178.74272733654865</v>
      </c>
      <c r="N150" s="656">
        <f>IF($S$1="Without",'2. Headcount Buildup'!O5,'2. Headcount Buildup'!O5-N147)</f>
        <v>184.62508027772512</v>
      </c>
      <c r="O150" s="656">
        <f>IF($S$1="Without",'2. Headcount Buildup'!P5,'2. Headcount Buildup'!P5-O147)</f>
        <v>190.50743321890161</v>
      </c>
      <c r="P150" s="656">
        <f>IF($S$1="Without",'2. Headcount Buildup'!Q5,'2. Headcount Buildup'!Q5-P147)</f>
        <v>196.38978616007807</v>
      </c>
      <c r="Q150" s="558"/>
    </row>
    <row r="151" spans="1:17" x14ac:dyDescent="0.3">
      <c r="A151" s="557" t="s">
        <v>579</v>
      </c>
      <c r="B151" s="557"/>
      <c r="C151" s="557"/>
      <c r="D151" s="557"/>
      <c r="E151" s="558">
        <f>'2. Headcount Buildup'!F48</f>
        <v>53</v>
      </c>
      <c r="F151" s="558">
        <f>'2. Headcount Buildup'!G48</f>
        <v>54</v>
      </c>
      <c r="G151" s="558">
        <f>'2. Headcount Buildup'!H48</f>
        <v>51</v>
      </c>
      <c r="H151" s="558">
        <f>'2. Headcount Buildup'!I48</f>
        <v>51</v>
      </c>
      <c r="I151" s="558">
        <f>'2. Headcount Buildup'!J48</f>
        <v>54</v>
      </c>
      <c r="J151" s="558">
        <f>'2. Headcount Buildup'!K48</f>
        <v>54</v>
      </c>
      <c r="K151" s="558">
        <f>'2. Headcount Buildup'!L48</f>
        <v>54</v>
      </c>
      <c r="L151" s="558">
        <f>'2. Headcount Buildup'!M48</f>
        <v>60</v>
      </c>
      <c r="M151" s="558">
        <f>'2. Headcount Buildup'!N48</f>
        <v>61</v>
      </c>
      <c r="N151" s="558">
        <f>'2. Headcount Buildup'!O48</f>
        <v>65</v>
      </c>
      <c r="O151" s="558">
        <f>'2. Headcount Buildup'!P48</f>
        <v>65</v>
      </c>
      <c r="P151" s="558">
        <f>'2. Headcount Buildup'!Q48</f>
        <v>67</v>
      </c>
      <c r="Q151" s="558"/>
    </row>
    <row r="152" spans="1:17" ht="15.5" x14ac:dyDescent="0.35">
      <c r="A152" s="225" t="s">
        <v>580</v>
      </c>
      <c r="B152" s="225"/>
      <c r="C152" s="565" t="s">
        <v>581</v>
      </c>
      <c r="D152" s="578">
        <v>360</v>
      </c>
      <c r="E152" s="563">
        <f>SUMPRODUCT(E$150,$D152)</f>
        <v>48028.7936058634</v>
      </c>
      <c r="F152" s="563">
        <f t="shared" ref="F152:P152" si="100">SUMPRODUCT(F$150,$D152)</f>
        <v>49511.146547039869</v>
      </c>
      <c r="G152" s="563">
        <f t="shared" si="100"/>
        <v>45288.55831174575</v>
      </c>
      <c r="H152" s="563">
        <f t="shared" si="100"/>
        <v>45288.55831174575</v>
      </c>
      <c r="I152" s="563">
        <f t="shared" si="100"/>
        <v>48253.264194098701</v>
      </c>
      <c r="J152" s="563">
        <f t="shared" si="100"/>
        <v>48253.264194098701</v>
      </c>
      <c r="K152" s="563">
        <f t="shared" si="100"/>
        <v>50370.911252922226</v>
      </c>
      <c r="L152" s="563">
        <f t="shared" si="100"/>
        <v>62229.734782333988</v>
      </c>
      <c r="M152" s="563">
        <f t="shared" si="100"/>
        <v>64347.381841157512</v>
      </c>
      <c r="N152" s="563">
        <f t="shared" si="100"/>
        <v>66465.028899981044</v>
      </c>
      <c r="O152" s="563">
        <f t="shared" si="100"/>
        <v>68582.675958804582</v>
      </c>
      <c r="P152" s="563">
        <f t="shared" si="100"/>
        <v>70700.323017628107</v>
      </c>
      <c r="Q152" s="564">
        <f t="shared" ref="Q152:Q158" si="101">SUM(E152:P152)</f>
        <v>667319.64091741969</v>
      </c>
    </row>
    <row r="153" spans="1:17" ht="15.5" x14ac:dyDescent="0.35">
      <c r="A153" s="225"/>
      <c r="B153" s="225"/>
      <c r="C153" s="565" t="s">
        <v>582</v>
      </c>
      <c r="D153" s="578">
        <v>550</v>
      </c>
      <c r="E153" s="563">
        <f>SUMPRODUCT(E$151,$D153)</f>
        <v>29150</v>
      </c>
      <c r="F153" s="563">
        <f t="shared" ref="F153:P153" si="102">SUMPRODUCT(F$151,$D153)</f>
        <v>29700</v>
      </c>
      <c r="G153" s="563">
        <f t="shared" si="102"/>
        <v>28050</v>
      </c>
      <c r="H153" s="563">
        <f t="shared" si="102"/>
        <v>28050</v>
      </c>
      <c r="I153" s="563">
        <f t="shared" si="102"/>
        <v>29700</v>
      </c>
      <c r="J153" s="563">
        <f t="shared" si="102"/>
        <v>29700</v>
      </c>
      <c r="K153" s="563">
        <f t="shared" si="102"/>
        <v>29700</v>
      </c>
      <c r="L153" s="563">
        <f t="shared" si="102"/>
        <v>33000</v>
      </c>
      <c r="M153" s="563">
        <f t="shared" si="102"/>
        <v>33550</v>
      </c>
      <c r="N153" s="563">
        <f t="shared" si="102"/>
        <v>35750</v>
      </c>
      <c r="O153" s="563">
        <f t="shared" si="102"/>
        <v>35750</v>
      </c>
      <c r="P153" s="563">
        <f t="shared" si="102"/>
        <v>36850</v>
      </c>
      <c r="Q153" s="564">
        <f t="shared" si="101"/>
        <v>378950</v>
      </c>
    </row>
    <row r="154" spans="1:17" ht="15.5" x14ac:dyDescent="0.35">
      <c r="A154" s="225"/>
      <c r="B154" s="225"/>
      <c r="C154" s="565" t="s">
        <v>583</v>
      </c>
      <c r="D154" s="580">
        <f>45000*4</f>
        <v>180000</v>
      </c>
      <c r="E154" s="571">
        <f t="shared" ref="E154:P155" si="103">($D154/$R$1)</f>
        <v>2068.9655172413795</v>
      </c>
      <c r="F154" s="571">
        <f t="shared" si="103"/>
        <v>2068.9655172413795</v>
      </c>
      <c r="G154" s="571">
        <f t="shared" si="103"/>
        <v>2068.9655172413795</v>
      </c>
      <c r="H154" s="571">
        <f t="shared" si="103"/>
        <v>2068.9655172413795</v>
      </c>
      <c r="I154" s="571">
        <f t="shared" si="103"/>
        <v>2068.9655172413795</v>
      </c>
      <c r="J154" s="571">
        <f t="shared" si="103"/>
        <v>2068.9655172413795</v>
      </c>
      <c r="K154" s="571">
        <f t="shared" si="103"/>
        <v>2068.9655172413795</v>
      </c>
      <c r="L154" s="571">
        <f t="shared" si="103"/>
        <v>2068.9655172413795</v>
      </c>
      <c r="M154" s="571">
        <f t="shared" si="103"/>
        <v>2068.9655172413795</v>
      </c>
      <c r="N154" s="571">
        <f t="shared" si="103"/>
        <v>2068.9655172413795</v>
      </c>
      <c r="O154" s="571">
        <f t="shared" si="103"/>
        <v>2068.9655172413795</v>
      </c>
      <c r="P154" s="571">
        <f t="shared" si="103"/>
        <v>2068.9655172413795</v>
      </c>
      <c r="Q154" s="564">
        <f t="shared" si="101"/>
        <v>24827.586206896562</v>
      </c>
    </row>
    <row r="155" spans="1:17" ht="15.5" x14ac:dyDescent="0.35">
      <c r="A155" s="225"/>
      <c r="B155" s="225"/>
      <c r="C155" s="565" t="s">
        <v>584</v>
      </c>
      <c r="D155" s="580">
        <f>18000*15</f>
        <v>270000</v>
      </c>
      <c r="E155" s="571">
        <f t="shared" si="103"/>
        <v>3103.4482758620688</v>
      </c>
      <c r="F155" s="571">
        <f t="shared" si="103"/>
        <v>3103.4482758620688</v>
      </c>
      <c r="G155" s="571">
        <f t="shared" si="103"/>
        <v>3103.4482758620688</v>
      </c>
      <c r="H155" s="571">
        <f t="shared" si="103"/>
        <v>3103.4482758620688</v>
      </c>
      <c r="I155" s="571">
        <f t="shared" si="103"/>
        <v>3103.4482758620688</v>
      </c>
      <c r="J155" s="571">
        <f t="shared" si="103"/>
        <v>3103.4482758620688</v>
      </c>
      <c r="K155" s="571">
        <f t="shared" si="103"/>
        <v>3103.4482758620688</v>
      </c>
      <c r="L155" s="571">
        <f t="shared" si="103"/>
        <v>3103.4482758620688</v>
      </c>
      <c r="M155" s="571">
        <f t="shared" si="103"/>
        <v>3103.4482758620688</v>
      </c>
      <c r="N155" s="571">
        <f t="shared" si="103"/>
        <v>3103.4482758620688</v>
      </c>
      <c r="O155" s="571">
        <f t="shared" si="103"/>
        <v>3103.4482758620688</v>
      </c>
      <c r="P155" s="571">
        <f t="shared" si="103"/>
        <v>3103.4482758620688</v>
      </c>
      <c r="Q155" s="564">
        <f t="shared" si="101"/>
        <v>37241.379310344826</v>
      </c>
    </row>
    <row r="156" spans="1:17" ht="15.5" x14ac:dyDescent="0.35">
      <c r="A156" s="225"/>
      <c r="B156" s="225"/>
      <c r="C156" s="565" t="s">
        <v>1666</v>
      </c>
      <c r="D156" s="580">
        <v>35000</v>
      </c>
      <c r="E156" s="571"/>
      <c r="F156" s="571"/>
      <c r="G156" s="571">
        <f>($D156*4)/$R$1</f>
        <v>1609.1954022988505</v>
      </c>
      <c r="H156" s="571">
        <f t="shared" ref="H156:P156" si="104">($D156*4)/$R$1</f>
        <v>1609.1954022988505</v>
      </c>
      <c r="I156" s="571">
        <f t="shared" si="104"/>
        <v>1609.1954022988505</v>
      </c>
      <c r="J156" s="571">
        <f t="shared" si="104"/>
        <v>1609.1954022988505</v>
      </c>
      <c r="K156" s="571">
        <f t="shared" si="104"/>
        <v>1609.1954022988505</v>
      </c>
      <c r="L156" s="571">
        <f t="shared" si="104"/>
        <v>1609.1954022988505</v>
      </c>
      <c r="M156" s="571">
        <f t="shared" si="104"/>
        <v>1609.1954022988505</v>
      </c>
      <c r="N156" s="571">
        <f t="shared" si="104"/>
        <v>1609.1954022988505</v>
      </c>
      <c r="O156" s="571">
        <f t="shared" si="104"/>
        <v>1609.1954022988505</v>
      </c>
      <c r="P156" s="571">
        <f t="shared" si="104"/>
        <v>1609.1954022988505</v>
      </c>
      <c r="Q156" s="564">
        <f t="shared" si="101"/>
        <v>16091.954022988504</v>
      </c>
    </row>
    <row r="157" spans="1:17" ht="15.5" x14ac:dyDescent="0.35">
      <c r="A157" s="225"/>
      <c r="B157" s="225"/>
      <c r="C157" s="565" t="s">
        <v>585</v>
      </c>
      <c r="D157" s="562">
        <v>0.05</v>
      </c>
      <c r="E157" s="563">
        <f>$D157*(E$152+E$153+E$154+E$155+E$156)</f>
        <v>4117.5603699483427</v>
      </c>
      <c r="F157" s="563">
        <f t="shared" ref="F157:P158" si="105">$D157*(F$152+F$153+F$154+F$155+F$156)</f>
        <v>4219.1780170071661</v>
      </c>
      <c r="G157" s="563">
        <f t="shared" si="105"/>
        <v>4006.0083753574031</v>
      </c>
      <c r="H157" s="563">
        <f t="shared" si="105"/>
        <v>4006.0083753574031</v>
      </c>
      <c r="I157" s="563">
        <f t="shared" si="105"/>
        <v>4236.7436694750504</v>
      </c>
      <c r="J157" s="563">
        <f t="shared" si="105"/>
        <v>4236.7436694750504</v>
      </c>
      <c r="K157" s="563">
        <f t="shared" si="105"/>
        <v>4342.626022416227</v>
      </c>
      <c r="L157" s="563">
        <f t="shared" si="105"/>
        <v>5100.5671988868144</v>
      </c>
      <c r="M157" s="563">
        <f t="shared" si="105"/>
        <v>5233.9495518279909</v>
      </c>
      <c r="N157" s="563">
        <f t="shared" si="105"/>
        <v>5449.8319047691675</v>
      </c>
      <c r="O157" s="563">
        <f t="shared" si="105"/>
        <v>5555.7142577103441</v>
      </c>
      <c r="P157" s="563">
        <f t="shared" si="105"/>
        <v>5716.5966106515207</v>
      </c>
      <c r="Q157" s="564">
        <f t="shared" si="101"/>
        <v>56221.528022882478</v>
      </c>
    </row>
    <row r="158" spans="1:17" ht="15.5" x14ac:dyDescent="0.35">
      <c r="A158" s="225"/>
      <c r="B158" s="225"/>
      <c r="C158" s="565" t="s">
        <v>586</v>
      </c>
      <c r="D158" s="562">
        <v>0.05</v>
      </c>
      <c r="E158" s="563">
        <f>$D158*(E$152+E$153+E$154+E$155+E$156)</f>
        <v>4117.5603699483427</v>
      </c>
      <c r="F158" s="563">
        <f t="shared" si="105"/>
        <v>4219.1780170071661</v>
      </c>
      <c r="G158" s="563">
        <f t="shared" si="105"/>
        <v>4006.0083753574031</v>
      </c>
      <c r="H158" s="563">
        <f t="shared" si="105"/>
        <v>4006.0083753574031</v>
      </c>
      <c r="I158" s="563">
        <f t="shared" si="105"/>
        <v>4236.7436694750504</v>
      </c>
      <c r="J158" s="563">
        <f t="shared" si="105"/>
        <v>4236.7436694750504</v>
      </c>
      <c r="K158" s="563">
        <f t="shared" si="105"/>
        <v>4342.626022416227</v>
      </c>
      <c r="L158" s="563">
        <f t="shared" si="105"/>
        <v>5100.5671988868144</v>
      </c>
      <c r="M158" s="563">
        <f t="shared" si="105"/>
        <v>5233.9495518279909</v>
      </c>
      <c r="N158" s="563">
        <f t="shared" si="105"/>
        <v>5449.8319047691675</v>
      </c>
      <c r="O158" s="563">
        <f t="shared" si="105"/>
        <v>5555.7142577103441</v>
      </c>
      <c r="P158" s="563">
        <f t="shared" si="105"/>
        <v>5716.5966106515207</v>
      </c>
      <c r="Q158" s="564">
        <f t="shared" si="101"/>
        <v>56221.528022882478</v>
      </c>
    </row>
    <row r="159" spans="1:17" ht="15.5" x14ac:dyDescent="0.35">
      <c r="A159" s="225"/>
      <c r="B159" s="225"/>
      <c r="C159" s="565" t="s">
        <v>589</v>
      </c>
      <c r="D159" s="562"/>
      <c r="E159" s="563"/>
      <c r="F159" s="563"/>
      <c r="G159" s="563"/>
      <c r="H159" s="563"/>
      <c r="I159" s="563"/>
      <c r="J159" s="563"/>
      <c r="K159" s="563"/>
      <c r="L159" s="563"/>
      <c r="M159" s="563"/>
      <c r="N159" s="563"/>
      <c r="O159" s="563"/>
      <c r="P159" s="563"/>
      <c r="Q159" s="564">
        <f t="shared" ref="Q159:Q165" si="106">SUM(E159:P159)</f>
        <v>0</v>
      </c>
    </row>
    <row r="160" spans="1:17" ht="15.5" x14ac:dyDescent="0.35">
      <c r="A160" s="225"/>
      <c r="B160" s="225"/>
      <c r="C160" s="565" t="s">
        <v>590</v>
      </c>
      <c r="D160" s="562">
        <v>0.01</v>
      </c>
      <c r="E160" s="563">
        <f>$D160*(E$152+E$153+E$154+E$155+E$156)</f>
        <v>823.51207398966858</v>
      </c>
      <c r="F160" s="563">
        <f t="shared" ref="F160:P163" si="107">$D160*(F$152+F$153)</f>
        <v>792.11146547039868</v>
      </c>
      <c r="G160" s="563">
        <f t="shared" si="107"/>
        <v>733.3855831174576</v>
      </c>
      <c r="H160" s="563">
        <f t="shared" si="107"/>
        <v>733.3855831174576</v>
      </c>
      <c r="I160" s="563">
        <f t="shared" si="107"/>
        <v>779.53264194098711</v>
      </c>
      <c r="J160" s="563">
        <f t="shared" si="107"/>
        <v>779.53264194098711</v>
      </c>
      <c r="K160" s="563">
        <f t="shared" si="107"/>
        <v>800.70911252922235</v>
      </c>
      <c r="L160" s="563">
        <f t="shared" si="107"/>
        <v>952.29734782333981</v>
      </c>
      <c r="M160" s="563">
        <f t="shared" si="107"/>
        <v>978.97381841157505</v>
      </c>
      <c r="N160" s="563">
        <f t="shared" si="107"/>
        <v>1022.1502889998104</v>
      </c>
      <c r="O160" s="563">
        <f t="shared" si="107"/>
        <v>1043.3267595880459</v>
      </c>
      <c r="P160" s="563">
        <f t="shared" si="107"/>
        <v>1075.503230176281</v>
      </c>
      <c r="Q160" s="564">
        <f t="shared" si="106"/>
        <v>10514.420547105232</v>
      </c>
    </row>
    <row r="161" spans="1:18" ht="15.5" x14ac:dyDescent="0.35">
      <c r="A161" s="225"/>
      <c r="B161" s="225"/>
      <c r="C161" s="565" t="s">
        <v>591</v>
      </c>
      <c r="D161" s="562">
        <v>2.0911508615978724E-3</v>
      </c>
      <c r="E161" s="563">
        <f>$D161*(E$152+E$153+E$154+E$155+E$156)</f>
        <v>172.20879830597463</v>
      </c>
      <c r="F161" s="563">
        <f t="shared" si="107"/>
        <v>165.64245734999776</v>
      </c>
      <c r="G161" s="563">
        <f t="shared" si="107"/>
        <v>153.36198940195294</v>
      </c>
      <c r="H161" s="563">
        <f t="shared" si="107"/>
        <v>153.36198940195294</v>
      </c>
      <c r="I161" s="563">
        <f t="shared" si="107"/>
        <v>163.01203558385609</v>
      </c>
      <c r="J161" s="563">
        <f t="shared" si="107"/>
        <v>163.01203558385609</v>
      </c>
      <c r="K161" s="563">
        <f t="shared" si="107"/>
        <v>167.4403550554751</v>
      </c>
      <c r="L161" s="563">
        <f t="shared" si="107"/>
        <v>199.13974193981457</v>
      </c>
      <c r="M161" s="563">
        <f t="shared" si="107"/>
        <v>204.71819438531242</v>
      </c>
      <c r="N161" s="563">
        <f t="shared" si="107"/>
        <v>213.74704575244678</v>
      </c>
      <c r="O161" s="563">
        <f t="shared" si="107"/>
        <v>218.17536522406584</v>
      </c>
      <c r="P161" s="563">
        <f t="shared" si="107"/>
        <v>224.9039506434425</v>
      </c>
      <c r="Q161" s="564">
        <f t="shared" si="106"/>
        <v>2198.723958628148</v>
      </c>
    </row>
    <row r="162" spans="1:18" ht="15.5" x14ac:dyDescent="0.35">
      <c r="A162" s="225"/>
      <c r="B162" s="225"/>
      <c r="C162" s="565" t="s">
        <v>201</v>
      </c>
      <c r="D162" s="562">
        <v>3.7216846420317839E-3</v>
      </c>
      <c r="E162" s="563">
        <f>$D162*(E$152+E$153+E$154+E$155+E$156)</f>
        <v>306.48522382950915</v>
      </c>
      <c r="F162" s="563">
        <f t="shared" si="107"/>
        <v>294.79890758184723</v>
      </c>
      <c r="G162" s="563">
        <f t="shared" si="107"/>
        <v>272.94298613757661</v>
      </c>
      <c r="H162" s="563">
        <f t="shared" si="107"/>
        <v>272.94298613757661</v>
      </c>
      <c r="I162" s="563">
        <f t="shared" si="107"/>
        <v>290.11746614742333</v>
      </c>
      <c r="J162" s="563">
        <f t="shared" si="107"/>
        <v>290.11746614742333</v>
      </c>
      <c r="K162" s="563">
        <f t="shared" si="107"/>
        <v>297.99868068349065</v>
      </c>
      <c r="L162" s="563">
        <f t="shared" si="107"/>
        <v>354.41504140417237</v>
      </c>
      <c r="M162" s="563">
        <f t="shared" si="107"/>
        <v>364.34318249335712</v>
      </c>
      <c r="N162" s="563">
        <f t="shared" si="107"/>
        <v>380.41210324189439</v>
      </c>
      <c r="O162" s="563">
        <f t="shared" si="107"/>
        <v>388.29331777796176</v>
      </c>
      <c r="P162" s="563">
        <f t="shared" si="107"/>
        <v>400.268385420264</v>
      </c>
      <c r="Q162" s="564">
        <f t="shared" si="106"/>
        <v>3913.1357470024968</v>
      </c>
    </row>
    <row r="163" spans="1:18" ht="15.5" x14ac:dyDescent="0.35">
      <c r="A163" s="577"/>
      <c r="B163" s="225"/>
      <c r="C163" s="565" t="s">
        <v>592</v>
      </c>
      <c r="D163" s="562">
        <v>4.8479894993666778E-4</v>
      </c>
      <c r="E163" s="563">
        <f>$D163*(E$152+E$153+E$154+E$155+E$156)</f>
        <v>39.923778873035879</v>
      </c>
      <c r="F163" s="563">
        <f t="shared" si="107"/>
        <v>38.401480669284439</v>
      </c>
      <c r="G163" s="563">
        <f t="shared" si="107"/>
        <v>35.554456059403421</v>
      </c>
      <c r="H163" s="563">
        <f t="shared" si="107"/>
        <v>35.554456059403421</v>
      </c>
      <c r="I163" s="563">
        <f t="shared" si="107"/>
        <v>37.791660625434695</v>
      </c>
      <c r="J163" s="563">
        <f t="shared" si="107"/>
        <v>37.791660625434695</v>
      </c>
      <c r="K163" s="563">
        <f t="shared" si="107"/>
        <v>38.818293695888812</v>
      </c>
      <c r="L163" s="563">
        <f t="shared" si="107"/>
        <v>46.167275425222883</v>
      </c>
      <c r="M163" s="563">
        <f t="shared" si="107"/>
        <v>47.460547918142169</v>
      </c>
      <c r="N163" s="563">
        <f t="shared" si="107"/>
        <v>49.553738678456959</v>
      </c>
      <c r="O163" s="563">
        <f t="shared" si="107"/>
        <v>50.580371748911084</v>
      </c>
      <c r="P163" s="563">
        <f t="shared" si="107"/>
        <v>52.140283664295538</v>
      </c>
      <c r="Q163" s="564">
        <f t="shared" si="106"/>
        <v>509.73800404291399</v>
      </c>
    </row>
    <row r="164" spans="1:18" ht="15.5" x14ac:dyDescent="0.35">
      <c r="A164" s="225"/>
      <c r="B164" s="225"/>
      <c r="C164" s="565" t="s">
        <v>593</v>
      </c>
      <c r="D164" s="578">
        <v>6500</v>
      </c>
      <c r="E164" s="563">
        <v>0</v>
      </c>
      <c r="F164" s="563">
        <v>3250</v>
      </c>
      <c r="G164" s="563">
        <v>0</v>
      </c>
      <c r="H164" s="563">
        <v>0</v>
      </c>
      <c r="I164" s="563">
        <v>3250</v>
      </c>
      <c r="J164" s="563">
        <v>0</v>
      </c>
      <c r="K164" s="563">
        <v>0</v>
      </c>
      <c r="L164" s="563">
        <v>0</v>
      </c>
      <c r="M164" s="563">
        <v>0</v>
      </c>
      <c r="N164" s="563">
        <v>0</v>
      </c>
      <c r="O164" s="563">
        <v>0</v>
      </c>
      <c r="P164" s="563">
        <v>0</v>
      </c>
      <c r="Q164" s="564">
        <f t="shared" si="106"/>
        <v>6500</v>
      </c>
    </row>
    <row r="165" spans="1:18" ht="15.5" x14ac:dyDescent="0.35">
      <c r="A165" s="559" t="s">
        <v>594</v>
      </c>
      <c r="B165" s="559"/>
      <c r="C165" s="559"/>
      <c r="D165" s="559"/>
      <c r="E165" s="567">
        <f>SUM(E152:E164)</f>
        <v>91928.458013861746</v>
      </c>
      <c r="F165" s="567">
        <f t="shared" ref="F165:P165" si="108">SUM(F152:F164)</f>
        <v>97362.870685229194</v>
      </c>
      <c r="G165" s="567">
        <f t="shared" si="108"/>
        <v>89327.429272579247</v>
      </c>
      <c r="H165" s="567">
        <f t="shared" si="108"/>
        <v>89327.429272579247</v>
      </c>
      <c r="I165" s="567">
        <f t="shared" si="108"/>
        <v>97728.814532748802</v>
      </c>
      <c r="J165" s="567">
        <f t="shared" si="108"/>
        <v>94478.814532748802</v>
      </c>
      <c r="K165" s="567">
        <f t="shared" si="108"/>
        <v>96842.738935121059</v>
      </c>
      <c r="L165" s="567">
        <f t="shared" si="108"/>
        <v>113764.49778210244</v>
      </c>
      <c r="M165" s="567">
        <f t="shared" si="108"/>
        <v>116742.38588342415</v>
      </c>
      <c r="N165" s="567">
        <f t="shared" si="108"/>
        <v>121562.16508159427</v>
      </c>
      <c r="O165" s="567">
        <f t="shared" si="108"/>
        <v>123926.08948396657</v>
      </c>
      <c r="P165" s="567">
        <f t="shared" si="108"/>
        <v>127517.94128423775</v>
      </c>
      <c r="Q165" s="567">
        <f t="shared" si="106"/>
        <v>1260509.6347601933</v>
      </c>
    </row>
    <row r="167" spans="1:18" ht="15.5" x14ac:dyDescent="0.35">
      <c r="A167" s="225" t="s">
        <v>595</v>
      </c>
      <c r="B167" s="225"/>
      <c r="C167" s="565" t="s">
        <v>596</v>
      </c>
      <c r="D167" s="557"/>
      <c r="E167" s="566">
        <v>4549.0689655172409</v>
      </c>
      <c r="F167" s="566">
        <v>4549.0689655172409</v>
      </c>
      <c r="G167" s="566">
        <v>4549.0689655172409</v>
      </c>
      <c r="H167" s="566">
        <v>4549.0689655172409</v>
      </c>
      <c r="I167" s="566">
        <v>4549.0689655172409</v>
      </c>
      <c r="J167" s="566">
        <v>4549.0689655172409</v>
      </c>
      <c r="K167" s="566"/>
      <c r="L167" s="566"/>
      <c r="M167" s="566"/>
      <c r="N167" s="566"/>
      <c r="O167" s="566"/>
      <c r="P167" s="566"/>
      <c r="Q167" s="564">
        <f t="shared" ref="Q167:Q176" si="109">SUM(E167:P167)</f>
        <v>27294.413793103442</v>
      </c>
    </row>
    <row r="168" spans="1:18" x14ac:dyDescent="0.3">
      <c r="A168" s="557"/>
      <c r="B168" s="557"/>
      <c r="C168" s="565" t="s">
        <v>597</v>
      </c>
      <c r="D168" s="557"/>
      <c r="E168" s="566">
        <v>3196.2298850574712</v>
      </c>
      <c r="F168" s="566">
        <v>3196.2298850574712</v>
      </c>
      <c r="G168" s="566">
        <v>3196.2298850574712</v>
      </c>
      <c r="H168" s="566">
        <v>3196.2298850574712</v>
      </c>
      <c r="I168" s="566">
        <v>3196.2298850574712</v>
      </c>
      <c r="J168" s="566">
        <v>3196.2298850574712</v>
      </c>
      <c r="K168" s="566">
        <v>3196.2298850574712</v>
      </c>
      <c r="L168" s="566">
        <v>3196.2298850574712</v>
      </c>
      <c r="M168" s="566">
        <v>3196.2298850574712</v>
      </c>
      <c r="N168" s="566">
        <v>3196.2298850574712</v>
      </c>
      <c r="O168" s="566">
        <v>3196.2298850574712</v>
      </c>
      <c r="P168" s="566">
        <v>3196.2298850574712</v>
      </c>
      <c r="Q168" s="564">
        <f t="shared" si="109"/>
        <v>38354.758620689652</v>
      </c>
      <c r="R168" s="136"/>
    </row>
    <row r="169" spans="1:18" x14ac:dyDescent="0.3">
      <c r="A169" s="557"/>
      <c r="B169" s="557"/>
      <c r="C169" s="565" t="s">
        <v>598</v>
      </c>
      <c r="D169" s="557"/>
      <c r="E169" s="566">
        <v>1830.4608045977011</v>
      </c>
      <c r="F169" s="566">
        <v>1830.4608045977011</v>
      </c>
      <c r="G169" s="566">
        <v>1830.4608045977011</v>
      </c>
      <c r="H169" s="566">
        <v>1830.4608045977011</v>
      </c>
      <c r="I169" s="566">
        <v>1830.4608045977011</v>
      </c>
      <c r="J169" s="566">
        <v>1830.4608045977011</v>
      </c>
      <c r="K169" s="566">
        <v>1830.4608045977011</v>
      </c>
      <c r="L169" s="566">
        <v>1830.4608045977011</v>
      </c>
      <c r="M169" s="566">
        <v>1830.4608045977011</v>
      </c>
      <c r="N169" s="566">
        <v>1830.4608045977011</v>
      </c>
      <c r="O169" s="566">
        <v>1830.4608045977011</v>
      </c>
      <c r="P169" s="566">
        <v>1830.4608045977011</v>
      </c>
      <c r="Q169" s="564">
        <f t="shared" si="109"/>
        <v>21965.529655172406</v>
      </c>
    </row>
    <row r="170" spans="1:18" x14ac:dyDescent="0.3">
      <c r="A170" s="557"/>
      <c r="B170" s="557"/>
      <c r="C170" s="565" t="s">
        <v>599</v>
      </c>
      <c r="D170" s="557"/>
      <c r="E170" s="566">
        <v>4597.7011494252874</v>
      </c>
      <c r="F170" s="566">
        <v>4597.7011494252874</v>
      </c>
      <c r="G170" s="566">
        <v>4597.7011494252874</v>
      </c>
      <c r="H170" s="566">
        <v>4597.7011494252874</v>
      </c>
      <c r="I170" s="566">
        <v>4597.7011494252874</v>
      </c>
      <c r="J170" s="566">
        <v>4597.7011494252874</v>
      </c>
      <c r="K170" s="566">
        <v>4597.7011494252874</v>
      </c>
      <c r="L170" s="566">
        <v>4597.7011494252874</v>
      </c>
      <c r="M170" s="566">
        <v>4597.7011494252874</v>
      </c>
      <c r="N170" s="566">
        <v>4597.7011494252874</v>
      </c>
      <c r="O170" s="566">
        <v>4597.7011494252874</v>
      </c>
      <c r="P170" s="566">
        <v>4597.7011494252874</v>
      </c>
      <c r="Q170" s="564">
        <f t="shared" si="109"/>
        <v>55172.413793103449</v>
      </c>
    </row>
    <row r="171" spans="1:18" x14ac:dyDescent="0.3">
      <c r="A171" s="557"/>
      <c r="B171" s="557"/>
      <c r="C171" s="565" t="s">
        <v>596</v>
      </c>
      <c r="D171" s="557"/>
      <c r="E171" s="566">
        <v>785.74712643678163</v>
      </c>
      <c r="F171" s="566">
        <v>785.74712643678163</v>
      </c>
      <c r="G171" s="566">
        <v>785.74712643678163</v>
      </c>
      <c r="H171" s="566">
        <v>785.74712643678163</v>
      </c>
      <c r="I171" s="566">
        <v>785.74712643678163</v>
      </c>
      <c r="J171" s="566">
        <v>785.74712643678163</v>
      </c>
      <c r="K171" s="566"/>
      <c r="L171" s="566"/>
      <c r="M171" s="566"/>
      <c r="N171" s="566"/>
      <c r="O171" s="566"/>
      <c r="P171" s="566"/>
      <c r="Q171" s="564">
        <f t="shared" si="109"/>
        <v>4714.4827586206893</v>
      </c>
    </row>
    <row r="172" spans="1:18" x14ac:dyDescent="0.3">
      <c r="A172" s="557"/>
      <c r="B172" s="557"/>
      <c r="C172" s="565" t="s">
        <v>600</v>
      </c>
      <c r="D172" s="557"/>
      <c r="E172" s="566">
        <v>301.72413793103448</v>
      </c>
      <c r="F172" s="566">
        <v>301.72413793103448</v>
      </c>
      <c r="G172" s="566">
        <v>301.72413793103448</v>
      </c>
      <c r="H172" s="566">
        <v>301.72413793103448</v>
      </c>
      <c r="I172" s="566">
        <v>301.72413793103448</v>
      </c>
      <c r="J172" s="566">
        <v>301.72413793103448</v>
      </c>
      <c r="K172" s="566">
        <v>301.72413793103448</v>
      </c>
      <c r="L172" s="566">
        <v>301.72413793103448</v>
      </c>
      <c r="M172" s="566">
        <v>301.72413793103448</v>
      </c>
      <c r="N172" s="566">
        <v>301.72413793103448</v>
      </c>
      <c r="O172" s="566">
        <v>301.72413793103448</v>
      </c>
      <c r="P172" s="566">
        <v>301.72413793103448</v>
      </c>
      <c r="Q172" s="564">
        <f t="shared" si="109"/>
        <v>3620.6896551724135</v>
      </c>
    </row>
    <row r="173" spans="1:18" x14ac:dyDescent="0.3">
      <c r="A173" s="557"/>
      <c r="B173" s="557"/>
      <c r="C173" s="565" t="s">
        <v>601</v>
      </c>
      <c r="D173" s="578">
        <v>290</v>
      </c>
      <c r="E173" s="566">
        <v>290</v>
      </c>
      <c r="F173" s="566">
        <v>290</v>
      </c>
      <c r="G173" s="566">
        <v>290</v>
      </c>
      <c r="H173" s="566">
        <v>290</v>
      </c>
      <c r="I173" s="566">
        <v>290</v>
      </c>
      <c r="J173" s="566">
        <v>290</v>
      </c>
      <c r="K173" s="566">
        <v>290</v>
      </c>
      <c r="L173" s="566">
        <v>290</v>
      </c>
      <c r="M173" s="566">
        <v>290</v>
      </c>
      <c r="N173" s="566">
        <v>290</v>
      </c>
      <c r="O173" s="566">
        <v>290</v>
      </c>
      <c r="P173" s="566">
        <v>290</v>
      </c>
      <c r="Q173" s="564">
        <f t="shared" si="109"/>
        <v>3480</v>
      </c>
    </row>
    <row r="174" spans="1:18" x14ac:dyDescent="0.3">
      <c r="A174" s="557"/>
      <c r="B174" s="557"/>
      <c r="C174" s="565" t="s">
        <v>602</v>
      </c>
      <c r="D174" s="580">
        <v>800000</v>
      </c>
      <c r="E174" s="558"/>
      <c r="F174" s="558"/>
      <c r="G174" s="571"/>
      <c r="H174" s="566"/>
      <c r="I174" s="566"/>
      <c r="J174" s="566"/>
      <c r="K174" s="566">
        <f t="shared" ref="K174:P174" si="110">($D174/$R$1)</f>
        <v>9195.4022988505749</v>
      </c>
      <c r="L174" s="566">
        <f t="shared" si="110"/>
        <v>9195.4022988505749</v>
      </c>
      <c r="M174" s="566">
        <f t="shared" si="110"/>
        <v>9195.4022988505749</v>
      </c>
      <c r="N174" s="566">
        <f t="shared" si="110"/>
        <v>9195.4022988505749</v>
      </c>
      <c r="O174" s="566">
        <f t="shared" si="110"/>
        <v>9195.4022988505749</v>
      </c>
      <c r="P174" s="566">
        <f t="shared" si="110"/>
        <v>9195.4022988505749</v>
      </c>
      <c r="Q174" s="564">
        <f t="shared" si="109"/>
        <v>55172.413793103449</v>
      </c>
    </row>
    <row r="175" spans="1:18" x14ac:dyDescent="0.3">
      <c r="A175" s="557"/>
      <c r="B175" s="557"/>
      <c r="C175" s="565" t="s">
        <v>603</v>
      </c>
      <c r="D175" s="557"/>
      <c r="E175" s="558"/>
      <c r="F175" s="558"/>
      <c r="G175" s="558"/>
      <c r="H175" s="566"/>
      <c r="I175" s="566"/>
      <c r="J175" s="566"/>
      <c r="K175" s="566">
        <v>800</v>
      </c>
      <c r="L175" s="566">
        <v>800</v>
      </c>
      <c r="M175" s="566">
        <v>800</v>
      </c>
      <c r="N175" s="566">
        <v>800</v>
      </c>
      <c r="O175" s="566">
        <v>800</v>
      </c>
      <c r="P175" s="566">
        <v>800</v>
      </c>
      <c r="Q175" s="564">
        <f t="shared" si="109"/>
        <v>4800</v>
      </c>
    </row>
    <row r="176" spans="1:18" x14ac:dyDescent="0.3">
      <c r="A176" s="557"/>
      <c r="B176" s="557"/>
      <c r="C176" s="557"/>
      <c r="D176" s="557"/>
      <c r="E176" s="558"/>
      <c r="F176" s="558"/>
      <c r="G176" s="558"/>
      <c r="H176" s="558"/>
      <c r="I176" s="558"/>
      <c r="J176" s="558"/>
      <c r="K176" s="558"/>
      <c r="L176" s="558"/>
      <c r="M176" s="558"/>
      <c r="N176" s="558"/>
      <c r="O176" s="558"/>
      <c r="P176" s="558"/>
      <c r="Q176" s="564">
        <f t="shared" si="109"/>
        <v>0</v>
      </c>
    </row>
    <row r="177" spans="1:17" ht="15.5" x14ac:dyDescent="0.35">
      <c r="A177" s="617" t="s">
        <v>604</v>
      </c>
      <c r="B177" s="617"/>
      <c r="C177" s="617"/>
      <c r="D177" s="617"/>
      <c r="E177" s="618">
        <f t="shared" ref="E177:P177" si="111">SUM(E167:E176)</f>
        <v>15550.932068965516</v>
      </c>
      <c r="F177" s="618">
        <f t="shared" si="111"/>
        <v>15550.932068965516</v>
      </c>
      <c r="G177" s="618">
        <f t="shared" si="111"/>
        <v>15550.932068965516</v>
      </c>
      <c r="H177" s="618">
        <f t="shared" si="111"/>
        <v>15550.932068965516</v>
      </c>
      <c r="I177" s="618">
        <f t="shared" si="111"/>
        <v>15550.932068965516</v>
      </c>
      <c r="J177" s="618">
        <f t="shared" si="111"/>
        <v>15550.932068965516</v>
      </c>
      <c r="K177" s="618">
        <f t="shared" si="111"/>
        <v>20211.518275862069</v>
      </c>
      <c r="L177" s="618">
        <f t="shared" si="111"/>
        <v>20211.518275862069</v>
      </c>
      <c r="M177" s="618">
        <f t="shared" si="111"/>
        <v>20211.518275862069</v>
      </c>
      <c r="N177" s="618">
        <f t="shared" si="111"/>
        <v>20211.518275862069</v>
      </c>
      <c r="O177" s="618">
        <f t="shared" si="111"/>
        <v>20211.518275862069</v>
      </c>
      <c r="P177" s="618">
        <f t="shared" si="111"/>
        <v>20211.518275862069</v>
      </c>
      <c r="Q177" s="618">
        <f t="shared" ref="Q177" si="112">SUM(E177:P177)</f>
        <v>214574.7020689655</v>
      </c>
    </row>
    <row r="178" spans="1:17" x14ac:dyDescent="0.3">
      <c r="A178" s="557"/>
      <c r="B178" s="557"/>
      <c r="C178" s="557"/>
      <c r="D178" s="557"/>
      <c r="E178" s="558"/>
      <c r="F178" s="558"/>
      <c r="G178" s="558"/>
      <c r="H178" s="558"/>
      <c r="I178" s="558"/>
      <c r="J178" s="558"/>
      <c r="K178" s="558"/>
      <c r="L178" s="558"/>
      <c r="M178" s="558"/>
      <c r="N178" s="558"/>
      <c r="O178" s="558"/>
      <c r="P178" s="558"/>
      <c r="Q178" s="558"/>
    </row>
    <row r="179" spans="1:17" ht="15.5" x14ac:dyDescent="0.35">
      <c r="A179" s="225" t="s">
        <v>605</v>
      </c>
      <c r="B179" s="569"/>
      <c r="C179" s="565"/>
      <c r="D179" s="572"/>
      <c r="E179" s="571"/>
      <c r="F179" s="571"/>
      <c r="G179" s="571"/>
      <c r="H179" s="571"/>
      <c r="I179" s="571"/>
      <c r="J179" s="571"/>
      <c r="K179" s="571"/>
      <c r="L179" s="571"/>
      <c r="M179" s="571"/>
      <c r="N179" s="571"/>
      <c r="O179" s="571"/>
      <c r="P179" s="571"/>
      <c r="Q179" s="564"/>
    </row>
    <row r="180" spans="1:17" x14ac:dyDescent="0.3">
      <c r="A180" s="557"/>
      <c r="B180" s="569" t="s">
        <v>606</v>
      </c>
      <c r="C180" s="575" t="s">
        <v>607</v>
      </c>
      <c r="D180" s="579">
        <v>283.83155080213902</v>
      </c>
      <c r="E180" s="571">
        <f>($D180*E$143)/$R$1</f>
        <v>670.14689556511848</v>
      </c>
      <c r="F180" s="571">
        <f>($D180*F$143)/$R$1</f>
        <v>686.8428691417148</v>
      </c>
      <c r="G180" s="571"/>
      <c r="H180" s="571"/>
      <c r="I180" s="571"/>
      <c r="J180" s="571"/>
      <c r="K180" s="571"/>
      <c r="L180" s="571"/>
      <c r="M180" s="571"/>
      <c r="N180" s="571"/>
      <c r="O180" s="571"/>
      <c r="P180" s="571"/>
      <c r="Q180" s="564">
        <f t="shared" ref="Q180:Q186" si="113">SUM(E180:P180)</f>
        <v>1356.9897647068333</v>
      </c>
    </row>
    <row r="181" spans="1:17" x14ac:dyDescent="0.3">
      <c r="A181" s="557"/>
      <c r="B181" s="569"/>
      <c r="C181" s="575" t="s">
        <v>608</v>
      </c>
      <c r="D181" s="580">
        <v>33000</v>
      </c>
      <c r="E181" s="571">
        <f t="shared" ref="E181:P181" si="114">($D181/$R$1)</f>
        <v>379.31034482758622</v>
      </c>
      <c r="F181" s="571">
        <f t="shared" si="114"/>
        <v>379.31034482758622</v>
      </c>
      <c r="G181" s="571">
        <f t="shared" si="114"/>
        <v>379.31034482758622</v>
      </c>
      <c r="H181" s="571">
        <f t="shared" si="114"/>
        <v>379.31034482758622</v>
      </c>
      <c r="I181" s="571">
        <f t="shared" si="114"/>
        <v>379.31034482758622</v>
      </c>
      <c r="J181" s="571">
        <f t="shared" si="114"/>
        <v>379.31034482758622</v>
      </c>
      <c r="K181" s="571">
        <f t="shared" si="114"/>
        <v>379.31034482758622</v>
      </c>
      <c r="L181" s="571">
        <f t="shared" si="114"/>
        <v>379.31034482758622</v>
      </c>
      <c r="M181" s="571">
        <f t="shared" si="114"/>
        <v>379.31034482758622</v>
      </c>
      <c r="N181" s="571">
        <f t="shared" si="114"/>
        <v>379.31034482758622</v>
      </c>
      <c r="O181" s="571">
        <f t="shared" si="114"/>
        <v>379.31034482758622</v>
      </c>
      <c r="P181" s="571">
        <f t="shared" si="114"/>
        <v>379.31034482758622</v>
      </c>
      <c r="Q181" s="564">
        <f t="shared" si="113"/>
        <v>4551.7241379310335</v>
      </c>
    </row>
    <row r="182" spans="1:17" x14ac:dyDescent="0.3">
      <c r="A182" s="557"/>
      <c r="B182" s="569" t="s">
        <v>505</v>
      </c>
      <c r="C182" s="565"/>
      <c r="D182" s="579"/>
      <c r="E182" s="571"/>
      <c r="F182" s="571"/>
      <c r="G182" s="571"/>
      <c r="H182" s="571"/>
      <c r="I182" s="571"/>
      <c r="J182" s="571"/>
      <c r="K182" s="571"/>
      <c r="L182" s="571"/>
      <c r="M182" s="571"/>
      <c r="N182" s="571"/>
      <c r="O182" s="571"/>
      <c r="P182" s="571"/>
      <c r="Q182" s="564">
        <f t="shared" si="113"/>
        <v>0</v>
      </c>
    </row>
    <row r="183" spans="1:17" x14ac:dyDescent="0.3">
      <c r="A183" s="557"/>
      <c r="B183" s="569"/>
      <c r="C183" s="565" t="s">
        <v>609</v>
      </c>
      <c r="D183" s="581"/>
      <c r="E183" s="571">
        <f t="shared" ref="E183:P183" si="115">($D183*E$13)/$R$1</f>
        <v>0</v>
      </c>
      <c r="F183" s="571">
        <f t="shared" si="115"/>
        <v>0</v>
      </c>
      <c r="G183" s="571">
        <f t="shared" si="115"/>
        <v>0</v>
      </c>
      <c r="H183" s="571">
        <f t="shared" si="115"/>
        <v>0</v>
      </c>
      <c r="I183" s="571">
        <f t="shared" si="115"/>
        <v>0</v>
      </c>
      <c r="J183" s="571">
        <f t="shared" si="115"/>
        <v>0</v>
      </c>
      <c r="K183" s="571">
        <f t="shared" si="115"/>
        <v>0</v>
      </c>
      <c r="L183" s="571">
        <f t="shared" si="115"/>
        <v>0</v>
      </c>
      <c r="M183" s="571">
        <f t="shared" si="115"/>
        <v>0</v>
      </c>
      <c r="N183" s="571">
        <f t="shared" si="115"/>
        <v>0</v>
      </c>
      <c r="O183" s="571">
        <f t="shared" si="115"/>
        <v>0</v>
      </c>
      <c r="P183" s="571">
        <f t="shared" si="115"/>
        <v>0</v>
      </c>
      <c r="Q183" s="564">
        <f t="shared" si="113"/>
        <v>0</v>
      </c>
    </row>
    <row r="184" spans="1:17" x14ac:dyDescent="0.3">
      <c r="A184" s="557"/>
      <c r="B184" s="569"/>
      <c r="C184" s="565" t="s">
        <v>610</v>
      </c>
      <c r="D184" s="580">
        <v>152000</v>
      </c>
      <c r="E184" s="571">
        <f t="shared" ref="E184:P186" si="116">($D184/$R$1)</f>
        <v>1747.1264367816093</v>
      </c>
      <c r="F184" s="571">
        <f t="shared" si="116"/>
        <v>1747.1264367816093</v>
      </c>
      <c r="G184" s="571">
        <f t="shared" si="116"/>
        <v>1747.1264367816093</v>
      </c>
      <c r="H184" s="571">
        <f t="shared" si="116"/>
        <v>1747.1264367816093</v>
      </c>
      <c r="I184" s="571">
        <f t="shared" si="116"/>
        <v>1747.1264367816093</v>
      </c>
      <c r="J184" s="571">
        <f t="shared" si="116"/>
        <v>1747.1264367816093</v>
      </c>
      <c r="K184" s="571">
        <f t="shared" si="116"/>
        <v>1747.1264367816093</v>
      </c>
      <c r="L184" s="571">
        <f t="shared" si="116"/>
        <v>1747.1264367816093</v>
      </c>
      <c r="M184" s="571">
        <f t="shared" si="116"/>
        <v>1747.1264367816093</v>
      </c>
      <c r="N184" s="571">
        <f t="shared" si="116"/>
        <v>1747.1264367816093</v>
      </c>
      <c r="O184" s="571">
        <f t="shared" si="116"/>
        <v>1747.1264367816093</v>
      </c>
      <c r="P184" s="571">
        <f t="shared" si="116"/>
        <v>1747.1264367816093</v>
      </c>
      <c r="Q184" s="564">
        <f t="shared" si="113"/>
        <v>20965.517241379312</v>
      </c>
    </row>
    <row r="185" spans="1:17" x14ac:dyDescent="0.3">
      <c r="A185" s="557"/>
      <c r="B185" s="569" t="s">
        <v>173</v>
      </c>
      <c r="C185" s="565" t="s">
        <v>611</v>
      </c>
      <c r="D185" s="580">
        <v>20000</v>
      </c>
      <c r="E185" s="571">
        <f t="shared" si="116"/>
        <v>229.88505747126436</v>
      </c>
      <c r="F185" s="571">
        <f t="shared" si="116"/>
        <v>229.88505747126436</v>
      </c>
      <c r="G185" s="571">
        <f t="shared" si="116"/>
        <v>229.88505747126436</v>
      </c>
      <c r="H185" s="571">
        <f t="shared" si="116"/>
        <v>229.88505747126436</v>
      </c>
      <c r="I185" s="571">
        <f t="shared" si="116"/>
        <v>229.88505747126436</v>
      </c>
      <c r="J185" s="571">
        <f t="shared" si="116"/>
        <v>229.88505747126436</v>
      </c>
      <c r="K185" s="571">
        <f t="shared" si="116"/>
        <v>229.88505747126436</v>
      </c>
      <c r="L185" s="571">
        <f t="shared" si="116"/>
        <v>229.88505747126436</v>
      </c>
      <c r="M185" s="571">
        <f t="shared" si="116"/>
        <v>229.88505747126436</v>
      </c>
      <c r="N185" s="571">
        <f t="shared" si="116"/>
        <v>229.88505747126436</v>
      </c>
      <c r="O185" s="571">
        <f t="shared" si="116"/>
        <v>229.88505747126436</v>
      </c>
      <c r="P185" s="571">
        <f t="shared" si="116"/>
        <v>229.88505747126436</v>
      </c>
      <c r="Q185" s="564">
        <f t="shared" si="113"/>
        <v>2758.6206896551721</v>
      </c>
    </row>
    <row r="186" spans="1:17" x14ac:dyDescent="0.3">
      <c r="A186" s="557"/>
      <c r="B186" s="569" t="s">
        <v>170</v>
      </c>
      <c r="C186" s="565" t="s">
        <v>612</v>
      </c>
      <c r="D186" s="580">
        <v>2500</v>
      </c>
      <c r="E186" s="571">
        <f t="shared" si="116"/>
        <v>28.735632183908045</v>
      </c>
      <c r="F186" s="571">
        <f t="shared" si="116"/>
        <v>28.735632183908045</v>
      </c>
      <c r="G186" s="571">
        <f t="shared" si="116"/>
        <v>28.735632183908045</v>
      </c>
      <c r="H186" s="571">
        <f t="shared" si="116"/>
        <v>28.735632183908045</v>
      </c>
      <c r="I186" s="571">
        <f t="shared" si="116"/>
        <v>28.735632183908045</v>
      </c>
      <c r="J186" s="571">
        <f t="shared" si="116"/>
        <v>28.735632183908045</v>
      </c>
      <c r="K186" s="571">
        <f t="shared" si="116"/>
        <v>28.735632183908045</v>
      </c>
      <c r="L186" s="571">
        <f t="shared" si="116"/>
        <v>28.735632183908045</v>
      </c>
      <c r="M186" s="571">
        <f t="shared" si="116"/>
        <v>28.735632183908045</v>
      </c>
      <c r="N186" s="571">
        <f t="shared" si="116"/>
        <v>28.735632183908045</v>
      </c>
      <c r="O186" s="571">
        <f t="shared" si="116"/>
        <v>28.735632183908045</v>
      </c>
      <c r="P186" s="571">
        <f t="shared" si="116"/>
        <v>28.735632183908045</v>
      </c>
      <c r="Q186" s="564">
        <f t="shared" si="113"/>
        <v>344.82758620689651</v>
      </c>
    </row>
    <row r="187" spans="1:17" x14ac:dyDescent="0.3">
      <c r="A187" s="557"/>
      <c r="B187" s="557"/>
      <c r="C187" s="557"/>
      <c r="D187" s="557"/>
      <c r="E187" s="558"/>
      <c r="F187" s="558"/>
      <c r="G187" s="558"/>
      <c r="H187" s="558"/>
      <c r="I187" s="558"/>
      <c r="J187" s="558"/>
      <c r="K187" s="558"/>
      <c r="L187" s="558"/>
      <c r="M187" s="558"/>
      <c r="N187" s="558"/>
      <c r="O187" s="558"/>
      <c r="P187" s="558"/>
      <c r="Q187" s="558"/>
    </row>
    <row r="188" spans="1:17" ht="15.5" x14ac:dyDescent="0.35">
      <c r="A188" s="617" t="s">
        <v>605</v>
      </c>
      <c r="B188" s="617"/>
      <c r="C188" s="617"/>
      <c r="D188" s="617"/>
      <c r="E188" s="618">
        <f t="shared" ref="E188:P188" si="117">SUM(E179:E187)</f>
        <v>3055.2043668294864</v>
      </c>
      <c r="F188" s="618">
        <f t="shared" si="117"/>
        <v>3071.9003404060823</v>
      </c>
      <c r="G188" s="618">
        <f t="shared" si="117"/>
        <v>2385.0574712643675</v>
      </c>
      <c r="H188" s="618">
        <f t="shared" si="117"/>
        <v>2385.0574712643675</v>
      </c>
      <c r="I188" s="618">
        <f t="shared" si="117"/>
        <v>2385.0574712643675</v>
      </c>
      <c r="J188" s="618">
        <f t="shared" si="117"/>
        <v>2385.0574712643675</v>
      </c>
      <c r="K188" s="618">
        <f t="shared" si="117"/>
        <v>2385.0574712643675</v>
      </c>
      <c r="L188" s="618">
        <f t="shared" si="117"/>
        <v>2385.0574712643675</v>
      </c>
      <c r="M188" s="618">
        <f t="shared" si="117"/>
        <v>2385.0574712643675</v>
      </c>
      <c r="N188" s="618">
        <f t="shared" si="117"/>
        <v>2385.0574712643675</v>
      </c>
      <c r="O188" s="618">
        <f t="shared" si="117"/>
        <v>2385.0574712643675</v>
      </c>
      <c r="P188" s="618">
        <f t="shared" si="117"/>
        <v>2385.0574712643675</v>
      </c>
      <c r="Q188" s="618">
        <f t="shared" ref="Q188" si="118">SUM(E188:P188)</f>
        <v>29977.679419879252</v>
      </c>
    </row>
    <row r="189" spans="1:17" x14ac:dyDescent="0.3">
      <c r="A189" s="557"/>
      <c r="B189" s="557"/>
      <c r="C189" s="557"/>
      <c r="D189" s="557"/>
      <c r="E189" s="558"/>
      <c r="F189" s="558"/>
      <c r="G189" s="558"/>
      <c r="H189" s="558"/>
      <c r="I189" s="558"/>
      <c r="J189" s="558"/>
      <c r="K189" s="558"/>
      <c r="L189" s="558"/>
      <c r="M189" s="558"/>
      <c r="N189" s="558"/>
      <c r="O189" s="558"/>
      <c r="P189" s="558"/>
      <c r="Q189" s="558"/>
    </row>
    <row r="190" spans="1:17" ht="15.5" x14ac:dyDescent="0.35">
      <c r="A190" s="225" t="s">
        <v>613</v>
      </c>
      <c r="B190" s="557"/>
      <c r="C190" s="557"/>
      <c r="D190" s="557"/>
      <c r="E190" s="558"/>
      <c r="F190" s="558"/>
      <c r="G190" s="558"/>
      <c r="H190" s="558"/>
      <c r="I190" s="558"/>
      <c r="J190" s="558"/>
      <c r="K190" s="558"/>
      <c r="L190" s="558"/>
      <c r="M190" s="558"/>
      <c r="N190" s="558"/>
      <c r="O190" s="558"/>
      <c r="P190" s="558"/>
      <c r="Q190" s="558"/>
    </row>
    <row r="191" spans="1:17" x14ac:dyDescent="0.3">
      <c r="A191" s="557"/>
      <c r="B191" s="569" t="s">
        <v>154</v>
      </c>
      <c r="C191" s="565" t="s">
        <v>614</v>
      </c>
      <c r="D191" s="580">
        <v>51.383565062388598</v>
      </c>
      <c r="E191" s="571">
        <f t="shared" ref="E191:P191" si="119">($D191*(E$150))/$R$1</f>
        <v>78.795997481319148</v>
      </c>
      <c r="F191" s="571">
        <f t="shared" si="119"/>
        <v>81.227944441675589</v>
      </c>
      <c r="G191" s="571">
        <f t="shared" si="119"/>
        <v>74.300369814603059</v>
      </c>
      <c r="H191" s="571">
        <f t="shared" si="119"/>
        <v>74.300369814603059</v>
      </c>
      <c r="I191" s="571">
        <f t="shared" si="119"/>
        <v>79.164263735315984</v>
      </c>
      <c r="J191" s="571">
        <f t="shared" si="119"/>
        <v>79.164263735315984</v>
      </c>
      <c r="K191" s="571">
        <f t="shared" si="119"/>
        <v>82.638473678682345</v>
      </c>
      <c r="L191" s="571">
        <f t="shared" si="119"/>
        <v>102.09404936153402</v>
      </c>
      <c r="M191" s="571">
        <f t="shared" si="119"/>
        <v>105.56825930490037</v>
      </c>
      <c r="N191" s="571">
        <f t="shared" si="119"/>
        <v>109.04246924826674</v>
      </c>
      <c r="O191" s="571">
        <f t="shared" si="119"/>
        <v>112.51667919163313</v>
      </c>
      <c r="P191" s="571">
        <f t="shared" si="119"/>
        <v>115.99088913499949</v>
      </c>
      <c r="Q191" s="564">
        <f t="shared" ref="Q191:Q193" si="120">SUM(E191:P191)</f>
        <v>1094.8040289428488</v>
      </c>
    </row>
    <row r="192" spans="1:17" x14ac:dyDescent="0.3">
      <c r="A192" s="557"/>
      <c r="B192" s="557"/>
      <c r="C192" s="565" t="s">
        <v>615</v>
      </c>
      <c r="D192" s="580">
        <v>6500</v>
      </c>
      <c r="E192" s="571">
        <f>($D192)/$R$1</f>
        <v>74.712643678160916</v>
      </c>
      <c r="F192" s="571">
        <f t="shared" ref="F192:P192" si="121">($D192)/$R$1</f>
        <v>74.712643678160916</v>
      </c>
      <c r="G192" s="571">
        <f t="shared" si="121"/>
        <v>74.712643678160916</v>
      </c>
      <c r="H192" s="571">
        <f t="shared" si="121"/>
        <v>74.712643678160916</v>
      </c>
      <c r="I192" s="571">
        <f t="shared" si="121"/>
        <v>74.712643678160916</v>
      </c>
      <c r="J192" s="571">
        <f t="shared" si="121"/>
        <v>74.712643678160916</v>
      </c>
      <c r="K192" s="571">
        <f t="shared" si="121"/>
        <v>74.712643678160916</v>
      </c>
      <c r="L192" s="571">
        <f t="shared" si="121"/>
        <v>74.712643678160916</v>
      </c>
      <c r="M192" s="571">
        <f t="shared" si="121"/>
        <v>74.712643678160916</v>
      </c>
      <c r="N192" s="571">
        <f t="shared" si="121"/>
        <v>74.712643678160916</v>
      </c>
      <c r="O192" s="571">
        <f t="shared" si="121"/>
        <v>74.712643678160916</v>
      </c>
      <c r="P192" s="571">
        <f t="shared" si="121"/>
        <v>74.712643678160916</v>
      </c>
      <c r="Q192" s="564">
        <f t="shared" si="120"/>
        <v>896.55172413793105</v>
      </c>
    </row>
    <row r="193" spans="1:17" x14ac:dyDescent="0.3">
      <c r="A193" s="608" t="s">
        <v>672</v>
      </c>
      <c r="B193" s="557"/>
      <c r="C193" s="565" t="s">
        <v>154</v>
      </c>
      <c r="D193" s="579">
        <v>169.72192513368984</v>
      </c>
      <c r="E193" s="571">
        <f t="shared" ref="E193:P193" si="122">($D193*(E$150))/$R$1</f>
        <v>260.26626157840963</v>
      </c>
      <c r="F193" s="571">
        <f t="shared" si="122"/>
        <v>268.2990775076579</v>
      </c>
      <c r="G193" s="571">
        <f t="shared" si="122"/>
        <v>245.41702756062767</v>
      </c>
      <c r="H193" s="571">
        <f t="shared" si="122"/>
        <v>245.41702756062767</v>
      </c>
      <c r="I193" s="571">
        <f t="shared" si="122"/>
        <v>261.48265941912439</v>
      </c>
      <c r="J193" s="571">
        <f t="shared" si="122"/>
        <v>261.48265941912439</v>
      </c>
      <c r="K193" s="571">
        <f t="shared" si="122"/>
        <v>272.95811074662203</v>
      </c>
      <c r="L193" s="571">
        <f t="shared" si="122"/>
        <v>337.22063818060866</v>
      </c>
      <c r="M193" s="571">
        <f t="shared" si="122"/>
        <v>348.6960895081063</v>
      </c>
      <c r="N193" s="571">
        <f t="shared" si="122"/>
        <v>360.17154083560388</v>
      </c>
      <c r="O193" s="571">
        <f t="shared" si="122"/>
        <v>371.64699216310157</v>
      </c>
      <c r="P193" s="571">
        <f t="shared" si="122"/>
        <v>383.1224434905991</v>
      </c>
      <c r="Q193" s="564">
        <f t="shared" si="120"/>
        <v>3616.180527970213</v>
      </c>
    </row>
    <row r="194" spans="1:17" x14ac:dyDescent="0.3">
      <c r="A194" s="557"/>
      <c r="B194" s="569" t="s">
        <v>221</v>
      </c>
      <c r="C194" s="565" t="s">
        <v>257</v>
      </c>
      <c r="D194" s="572"/>
      <c r="E194" s="571">
        <f t="shared" ref="E194:P194" si="123">($D194*(E$13+E$4))/$R$1</f>
        <v>0</v>
      </c>
      <c r="F194" s="571">
        <f t="shared" si="123"/>
        <v>0</v>
      </c>
      <c r="G194" s="571">
        <f t="shared" si="123"/>
        <v>0</v>
      </c>
      <c r="H194" s="571">
        <f t="shared" si="123"/>
        <v>0</v>
      </c>
      <c r="I194" s="571">
        <f t="shared" si="123"/>
        <v>0</v>
      </c>
      <c r="J194" s="571">
        <f t="shared" si="123"/>
        <v>0</v>
      </c>
      <c r="K194" s="571">
        <f t="shared" si="123"/>
        <v>0</v>
      </c>
      <c r="L194" s="571">
        <f t="shared" si="123"/>
        <v>0</v>
      </c>
      <c r="M194" s="571">
        <f t="shared" si="123"/>
        <v>0</v>
      </c>
      <c r="N194" s="571">
        <f t="shared" si="123"/>
        <v>0</v>
      </c>
      <c r="O194" s="571">
        <f t="shared" si="123"/>
        <v>0</v>
      </c>
      <c r="P194" s="571">
        <f t="shared" si="123"/>
        <v>0</v>
      </c>
      <c r="Q194" s="564">
        <f>SUM(E194:P194)</f>
        <v>0</v>
      </c>
    </row>
    <row r="195" spans="1:17" x14ac:dyDescent="0.3">
      <c r="A195" s="557"/>
      <c r="B195" s="557"/>
      <c r="C195" s="565" t="s">
        <v>616</v>
      </c>
      <c r="D195" s="580">
        <v>15000</v>
      </c>
      <c r="E195" s="571">
        <f t="shared" ref="E195:P195" si="124">($D195/$R$1)</f>
        <v>172.41379310344828</v>
      </c>
      <c r="F195" s="571">
        <f t="shared" si="124"/>
        <v>172.41379310344828</v>
      </c>
      <c r="G195" s="571">
        <f t="shared" si="124"/>
        <v>172.41379310344828</v>
      </c>
      <c r="H195" s="571">
        <f t="shared" si="124"/>
        <v>172.41379310344828</v>
      </c>
      <c r="I195" s="571">
        <f t="shared" si="124"/>
        <v>172.41379310344828</v>
      </c>
      <c r="J195" s="571">
        <f t="shared" si="124"/>
        <v>172.41379310344828</v>
      </c>
      <c r="K195" s="571">
        <f t="shared" si="124"/>
        <v>172.41379310344828</v>
      </c>
      <c r="L195" s="571">
        <f t="shared" si="124"/>
        <v>172.41379310344828</v>
      </c>
      <c r="M195" s="571">
        <f t="shared" si="124"/>
        <v>172.41379310344828</v>
      </c>
      <c r="N195" s="571">
        <f t="shared" si="124"/>
        <v>172.41379310344828</v>
      </c>
      <c r="O195" s="571">
        <f t="shared" si="124"/>
        <v>172.41379310344828</v>
      </c>
      <c r="P195" s="571">
        <f t="shared" si="124"/>
        <v>172.41379310344828</v>
      </c>
      <c r="Q195" s="564">
        <f>SUM(E195:P195)</f>
        <v>2068.96551724138</v>
      </c>
    </row>
    <row r="196" spans="1:17" x14ac:dyDescent="0.3">
      <c r="A196" s="557"/>
      <c r="B196" s="557"/>
      <c r="C196" s="565" t="s">
        <v>617</v>
      </c>
      <c r="D196" s="572"/>
      <c r="E196" s="571">
        <f t="shared" ref="E196:P196" si="125">($D196*(E$150))/$R$1</f>
        <v>0</v>
      </c>
      <c r="F196" s="571">
        <f t="shared" si="125"/>
        <v>0</v>
      </c>
      <c r="G196" s="571">
        <f t="shared" si="125"/>
        <v>0</v>
      </c>
      <c r="H196" s="571">
        <f t="shared" si="125"/>
        <v>0</v>
      </c>
      <c r="I196" s="571">
        <f t="shared" si="125"/>
        <v>0</v>
      </c>
      <c r="J196" s="571">
        <f t="shared" si="125"/>
        <v>0</v>
      </c>
      <c r="K196" s="571">
        <f t="shared" si="125"/>
        <v>0</v>
      </c>
      <c r="L196" s="571">
        <f t="shared" si="125"/>
        <v>0</v>
      </c>
      <c r="M196" s="571">
        <f t="shared" si="125"/>
        <v>0</v>
      </c>
      <c r="N196" s="571">
        <f t="shared" si="125"/>
        <v>0</v>
      </c>
      <c r="O196" s="571">
        <f t="shared" si="125"/>
        <v>0</v>
      </c>
      <c r="P196" s="571">
        <f t="shared" si="125"/>
        <v>0</v>
      </c>
      <c r="Q196" s="564">
        <f>SUM(E196:P196)</f>
        <v>0</v>
      </c>
    </row>
    <row r="197" spans="1:17" x14ac:dyDescent="0.3">
      <c r="A197" s="557"/>
      <c r="B197" s="557"/>
      <c r="C197" s="565" t="s">
        <v>221</v>
      </c>
      <c r="D197" s="580">
        <v>1000</v>
      </c>
      <c r="E197" s="571">
        <f t="shared" ref="E197:P197" si="126">($D197/$R$1)</f>
        <v>11.494252873563218</v>
      </c>
      <c r="F197" s="571">
        <f t="shared" si="126"/>
        <v>11.494252873563218</v>
      </c>
      <c r="G197" s="571">
        <f t="shared" si="126"/>
        <v>11.494252873563218</v>
      </c>
      <c r="H197" s="571">
        <f t="shared" si="126"/>
        <v>11.494252873563218</v>
      </c>
      <c r="I197" s="571">
        <f t="shared" si="126"/>
        <v>11.494252873563218</v>
      </c>
      <c r="J197" s="571">
        <f t="shared" si="126"/>
        <v>11.494252873563218</v>
      </c>
      <c r="K197" s="571">
        <f t="shared" si="126"/>
        <v>11.494252873563218</v>
      </c>
      <c r="L197" s="571">
        <f t="shared" si="126"/>
        <v>11.494252873563218</v>
      </c>
      <c r="M197" s="571">
        <f t="shared" si="126"/>
        <v>11.494252873563218</v>
      </c>
      <c r="N197" s="571">
        <f t="shared" si="126"/>
        <v>11.494252873563218</v>
      </c>
      <c r="O197" s="571">
        <f t="shared" si="126"/>
        <v>11.494252873563218</v>
      </c>
      <c r="P197" s="571">
        <f t="shared" si="126"/>
        <v>11.494252873563218</v>
      </c>
      <c r="Q197" s="564">
        <f>SUM(E197:P197)</f>
        <v>137.93103448275858</v>
      </c>
    </row>
    <row r="198" spans="1:17" x14ac:dyDescent="0.3">
      <c r="A198" s="557"/>
      <c r="B198" s="557"/>
      <c r="C198" s="565" t="s">
        <v>618</v>
      </c>
      <c r="D198" s="580">
        <v>22787</v>
      </c>
      <c r="E198" s="571"/>
      <c r="F198" s="571"/>
      <c r="G198" s="571"/>
      <c r="H198" s="571"/>
      <c r="I198" s="571"/>
      <c r="J198" s="571">
        <f>($D198/$R$1)</f>
        <v>261.91954022988506</v>
      </c>
      <c r="K198" s="571"/>
      <c r="L198" s="571"/>
      <c r="M198" s="571"/>
      <c r="N198" s="571"/>
      <c r="O198" s="571"/>
      <c r="P198" s="571"/>
      <c r="Q198" s="564">
        <f t="shared" ref="Q198:Q200" si="127">SUM(E198:P198)</f>
        <v>261.91954022988506</v>
      </c>
    </row>
    <row r="199" spans="1:17" x14ac:dyDescent="0.3">
      <c r="A199" s="557"/>
      <c r="B199" s="557"/>
      <c r="C199" s="565" t="s">
        <v>619</v>
      </c>
      <c r="D199" s="580"/>
      <c r="E199" s="571">
        <v>1150</v>
      </c>
      <c r="F199" s="571">
        <v>1150</v>
      </c>
      <c r="G199" s="571"/>
      <c r="H199" s="571"/>
      <c r="I199" s="571"/>
      <c r="J199" s="571"/>
      <c r="K199" s="571"/>
      <c r="L199" s="571"/>
      <c r="M199" s="571"/>
      <c r="N199" s="571"/>
      <c r="O199" s="571"/>
      <c r="P199" s="571"/>
      <c r="Q199" s="564">
        <f t="shared" si="127"/>
        <v>2300</v>
      </c>
    </row>
    <row r="200" spans="1:17" x14ac:dyDescent="0.3">
      <c r="A200" s="557"/>
      <c r="B200" s="557"/>
      <c r="C200" s="565" t="s">
        <v>620</v>
      </c>
      <c r="D200" s="578">
        <v>0</v>
      </c>
      <c r="E200" s="571"/>
      <c r="F200" s="571">
        <f>D200</f>
        <v>0</v>
      </c>
      <c r="G200" s="571"/>
      <c r="H200" s="571"/>
      <c r="I200" s="571"/>
      <c r="J200" s="571"/>
      <c r="K200" s="571"/>
      <c r="L200" s="571"/>
      <c r="M200" s="571"/>
      <c r="N200" s="571"/>
      <c r="O200" s="571"/>
      <c r="P200" s="571"/>
      <c r="Q200" s="564">
        <f t="shared" si="127"/>
        <v>0</v>
      </c>
    </row>
    <row r="201" spans="1:17" x14ac:dyDescent="0.3">
      <c r="A201" s="557"/>
      <c r="B201" s="557"/>
      <c r="C201" s="565" t="s">
        <v>621</v>
      </c>
      <c r="D201" s="580"/>
      <c r="E201" s="571">
        <f t="shared" ref="E201:P201" si="128">($D201*(E$150))/$R$1</f>
        <v>0</v>
      </c>
      <c r="F201" s="571">
        <f t="shared" si="128"/>
        <v>0</v>
      </c>
      <c r="G201" s="571">
        <f t="shared" si="128"/>
        <v>0</v>
      </c>
      <c r="H201" s="571">
        <f t="shared" si="128"/>
        <v>0</v>
      </c>
      <c r="I201" s="571">
        <f t="shared" si="128"/>
        <v>0</v>
      </c>
      <c r="J201" s="571">
        <f t="shared" si="128"/>
        <v>0</v>
      </c>
      <c r="K201" s="571">
        <f t="shared" si="128"/>
        <v>0</v>
      </c>
      <c r="L201" s="571">
        <f t="shared" si="128"/>
        <v>0</v>
      </c>
      <c r="M201" s="571">
        <f t="shared" si="128"/>
        <v>0</v>
      </c>
      <c r="N201" s="571">
        <f t="shared" si="128"/>
        <v>0</v>
      </c>
      <c r="O201" s="571">
        <f t="shared" si="128"/>
        <v>0</v>
      </c>
      <c r="P201" s="571">
        <f t="shared" si="128"/>
        <v>0</v>
      </c>
      <c r="Q201" s="564">
        <f>SUM(E201:P201)</f>
        <v>0</v>
      </c>
    </row>
    <row r="202" spans="1:17" x14ac:dyDescent="0.3">
      <c r="A202" s="557"/>
      <c r="B202" s="569"/>
      <c r="C202" s="565"/>
      <c r="D202" s="572"/>
      <c r="E202" s="571"/>
      <c r="F202" s="571"/>
      <c r="G202" s="571"/>
      <c r="H202" s="571"/>
      <c r="I202" s="571"/>
      <c r="J202" s="571"/>
      <c r="K202" s="571"/>
      <c r="L202" s="571"/>
      <c r="M202" s="571"/>
      <c r="N202" s="571"/>
      <c r="O202" s="571"/>
      <c r="P202" s="571"/>
      <c r="Q202" s="564"/>
    </row>
    <row r="203" spans="1:17" x14ac:dyDescent="0.3">
      <c r="A203" s="557"/>
      <c r="B203" s="557"/>
      <c r="C203" s="557"/>
      <c r="D203" s="557"/>
      <c r="E203" s="558"/>
      <c r="F203" s="558"/>
      <c r="G203" s="558"/>
      <c r="H203" s="558"/>
      <c r="I203" s="558"/>
      <c r="J203" s="558"/>
      <c r="K203" s="558"/>
      <c r="L203" s="558"/>
      <c r="M203" s="558"/>
      <c r="N203" s="558"/>
      <c r="O203" s="558"/>
      <c r="P203" s="558"/>
      <c r="Q203" s="558"/>
    </row>
    <row r="204" spans="1:17" ht="15.5" x14ac:dyDescent="0.35">
      <c r="A204" s="617" t="s">
        <v>613</v>
      </c>
      <c r="B204" s="617"/>
      <c r="C204" s="617"/>
      <c r="D204" s="617"/>
      <c r="E204" s="618">
        <f t="shared" ref="E204:P204" si="129">SUM(E191:E203)</f>
        <v>1747.6829487149012</v>
      </c>
      <c r="F204" s="618">
        <f t="shared" si="129"/>
        <v>1758.147711604506</v>
      </c>
      <c r="G204" s="618">
        <f t="shared" si="129"/>
        <v>578.33808703040313</v>
      </c>
      <c r="H204" s="618">
        <f t="shared" si="129"/>
        <v>578.33808703040313</v>
      </c>
      <c r="I204" s="618">
        <f t="shared" si="129"/>
        <v>599.26761280961284</v>
      </c>
      <c r="J204" s="618">
        <f t="shared" si="129"/>
        <v>861.18715303949784</v>
      </c>
      <c r="K204" s="618">
        <f t="shared" si="129"/>
        <v>614.21727408047684</v>
      </c>
      <c r="L204" s="618">
        <f t="shared" si="129"/>
        <v>697.93537719731512</v>
      </c>
      <c r="M204" s="618">
        <f t="shared" si="129"/>
        <v>712.88503846817912</v>
      </c>
      <c r="N204" s="618">
        <f t="shared" si="129"/>
        <v>727.834699739043</v>
      </c>
      <c r="O204" s="618">
        <f t="shared" si="129"/>
        <v>742.78436100990712</v>
      </c>
      <c r="P204" s="618">
        <f t="shared" si="129"/>
        <v>757.734022280771</v>
      </c>
      <c r="Q204" s="618">
        <f t="shared" ref="Q204" si="130">SUM(E204:P204)</f>
        <v>10376.352373005016</v>
      </c>
    </row>
    <row r="205" spans="1:17" x14ac:dyDescent="0.3">
      <c r="A205" s="557"/>
      <c r="B205" s="557" t="s">
        <v>622</v>
      </c>
      <c r="C205" s="557"/>
      <c r="D205" s="557"/>
      <c r="E205" s="571">
        <v>120</v>
      </c>
      <c r="F205" s="571">
        <v>120</v>
      </c>
      <c r="G205" s="571">
        <v>120</v>
      </c>
      <c r="H205" s="571">
        <v>120</v>
      </c>
      <c r="I205" s="571">
        <v>120</v>
      </c>
      <c r="J205" s="571">
        <v>120</v>
      </c>
      <c r="K205" s="571">
        <v>120</v>
      </c>
      <c r="L205" s="571">
        <v>120</v>
      </c>
      <c r="M205" s="571">
        <v>120</v>
      </c>
      <c r="N205" s="571">
        <v>120</v>
      </c>
      <c r="O205" s="571">
        <v>120</v>
      </c>
      <c r="P205" s="571">
        <v>120</v>
      </c>
      <c r="Q205" s="558"/>
    </row>
    <row r="206" spans="1:17" x14ac:dyDescent="0.3">
      <c r="A206" s="557"/>
      <c r="B206" s="557" t="s">
        <v>623</v>
      </c>
      <c r="C206" s="557"/>
      <c r="D206" s="557"/>
      <c r="E206" s="571">
        <f>E143-E205</f>
        <v>85.413315571842787</v>
      </c>
      <c r="F206" s="571">
        <f t="shared" ref="F206:P206" si="131">F143-F205</f>
        <v>90.530962630666295</v>
      </c>
      <c r="G206" s="571">
        <f t="shared" si="131"/>
        <v>75.801550865960422</v>
      </c>
      <c r="H206" s="571">
        <f t="shared" si="131"/>
        <v>75.801550865960422</v>
      </c>
      <c r="I206" s="571">
        <f t="shared" si="131"/>
        <v>87.036844983607494</v>
      </c>
      <c r="J206" s="571">
        <f t="shared" si="131"/>
        <v>87.036844983607494</v>
      </c>
      <c r="K206" s="571">
        <f t="shared" si="131"/>
        <v>92.919197924783958</v>
      </c>
      <c r="L206" s="571">
        <f t="shared" si="131"/>
        <v>131.86037439537219</v>
      </c>
      <c r="M206" s="571">
        <f t="shared" si="131"/>
        <v>138.74272733654868</v>
      </c>
      <c r="N206" s="571">
        <f t="shared" si="131"/>
        <v>148.62508027772515</v>
      </c>
      <c r="O206" s="571">
        <f t="shared" si="131"/>
        <v>154.50743321890161</v>
      </c>
      <c r="P206" s="571">
        <f t="shared" si="131"/>
        <v>162.38978616007807</v>
      </c>
      <c r="Q206" s="558"/>
    </row>
    <row r="207" spans="1:17" ht="15.5" x14ac:dyDescent="0.35">
      <c r="A207" s="225" t="s">
        <v>624</v>
      </c>
      <c r="B207" s="557" t="s">
        <v>625</v>
      </c>
      <c r="C207" t="s">
        <v>626</v>
      </c>
      <c r="D207" s="579">
        <v>1000</v>
      </c>
      <c r="E207" s="571">
        <f t="shared" ref="E207:P207" si="132">($D207*E$205)/$R$1</f>
        <v>1379.3103448275863</v>
      </c>
      <c r="F207" s="571">
        <f t="shared" si="132"/>
        <v>1379.3103448275863</v>
      </c>
      <c r="G207" s="571">
        <f t="shared" si="132"/>
        <v>1379.3103448275863</v>
      </c>
      <c r="H207" s="571">
        <f t="shared" si="132"/>
        <v>1379.3103448275863</v>
      </c>
      <c r="I207" s="571">
        <f t="shared" si="132"/>
        <v>1379.3103448275863</v>
      </c>
      <c r="J207" s="571">
        <f t="shared" si="132"/>
        <v>1379.3103448275863</v>
      </c>
      <c r="K207" s="571">
        <f t="shared" si="132"/>
        <v>1379.3103448275863</v>
      </c>
      <c r="L207" s="571">
        <f t="shared" si="132"/>
        <v>1379.3103448275863</v>
      </c>
      <c r="M207" s="571">
        <f t="shared" si="132"/>
        <v>1379.3103448275863</v>
      </c>
      <c r="N207" s="571">
        <f t="shared" si="132"/>
        <v>1379.3103448275863</v>
      </c>
      <c r="O207" s="571">
        <f t="shared" si="132"/>
        <v>1379.3103448275863</v>
      </c>
      <c r="P207" s="571">
        <f t="shared" si="132"/>
        <v>1379.3103448275863</v>
      </c>
      <c r="Q207" s="564">
        <f t="shared" ref="Q207:Q208" si="133">SUM(E207:P207)</f>
        <v>16551.72413793104</v>
      </c>
    </row>
    <row r="208" spans="1:17" ht="14.5" x14ac:dyDescent="0.35">
      <c r="A208" s="557"/>
      <c r="B208" s="557" t="s">
        <v>627</v>
      </c>
      <c r="C208" t="s">
        <v>628</v>
      </c>
      <c r="D208" s="579">
        <v>1000</v>
      </c>
      <c r="E208" s="571">
        <f t="shared" ref="E208:P208" si="134">($D208*E$206)/$R$1</f>
        <v>981.76224795221594</v>
      </c>
      <c r="F208" s="571">
        <f t="shared" si="134"/>
        <v>1040.5857773639805</v>
      </c>
      <c r="G208" s="571">
        <f t="shared" si="134"/>
        <v>871.28219386161402</v>
      </c>
      <c r="H208" s="571">
        <f t="shared" si="134"/>
        <v>871.28219386161402</v>
      </c>
      <c r="I208" s="571">
        <f t="shared" si="134"/>
        <v>1000.4235055587069</v>
      </c>
      <c r="J208" s="571">
        <f t="shared" si="134"/>
        <v>1000.4235055587069</v>
      </c>
      <c r="K208" s="571">
        <f t="shared" si="134"/>
        <v>1068.0367577561376</v>
      </c>
      <c r="L208" s="571">
        <f t="shared" si="134"/>
        <v>1515.6364873031287</v>
      </c>
      <c r="M208" s="571">
        <f t="shared" si="134"/>
        <v>1594.7439923741226</v>
      </c>
      <c r="N208" s="571">
        <f t="shared" si="134"/>
        <v>1708.3342560658064</v>
      </c>
      <c r="O208" s="571">
        <f t="shared" si="134"/>
        <v>1775.9475082632368</v>
      </c>
      <c r="P208" s="571">
        <f t="shared" si="134"/>
        <v>1866.5492662077941</v>
      </c>
      <c r="Q208" s="564">
        <f t="shared" si="133"/>
        <v>15295.007692127063</v>
      </c>
    </row>
    <row r="209" spans="1:17" ht="15.5" x14ac:dyDescent="0.35">
      <c r="A209" s="617" t="s">
        <v>624</v>
      </c>
      <c r="B209" s="617"/>
      <c r="C209" s="617"/>
      <c r="D209" s="617"/>
      <c r="E209" s="618">
        <f>SUM(E207:E208)</f>
        <v>2361.0725927798021</v>
      </c>
      <c r="F209" s="618">
        <f t="shared" ref="F209:P209" si="135">SUM(F207:F208)</f>
        <v>2419.896122191567</v>
      </c>
      <c r="G209" s="618">
        <f t="shared" si="135"/>
        <v>2250.5925386892004</v>
      </c>
      <c r="H209" s="618">
        <f t="shared" si="135"/>
        <v>2250.5925386892004</v>
      </c>
      <c r="I209" s="618">
        <f t="shared" si="135"/>
        <v>2379.7338503862929</v>
      </c>
      <c r="J209" s="618">
        <f t="shared" si="135"/>
        <v>2379.7338503862929</v>
      </c>
      <c r="K209" s="618">
        <f t="shared" si="135"/>
        <v>2447.3471025837239</v>
      </c>
      <c r="L209" s="618">
        <f t="shared" si="135"/>
        <v>2894.9468321307149</v>
      </c>
      <c r="M209" s="618">
        <f t="shared" si="135"/>
        <v>2974.0543372017091</v>
      </c>
      <c r="N209" s="618">
        <f t="shared" si="135"/>
        <v>3087.6446008933926</v>
      </c>
      <c r="O209" s="618">
        <f t="shared" si="135"/>
        <v>3155.2578530908231</v>
      </c>
      <c r="P209" s="618">
        <f t="shared" si="135"/>
        <v>3245.8596110353801</v>
      </c>
      <c r="Q209" s="618">
        <f t="shared" ref="Q209" si="136">SUM(E209:P209)</f>
        <v>31846.731830058099</v>
      </c>
    </row>
    <row r="210" spans="1:17" x14ac:dyDescent="0.3">
      <c r="A210" s="557"/>
      <c r="B210" s="557"/>
      <c r="C210" s="557"/>
      <c r="D210" s="557"/>
      <c r="E210" s="558"/>
      <c r="F210" s="558"/>
      <c r="G210" s="558"/>
      <c r="H210" s="558"/>
      <c r="I210" s="558"/>
      <c r="J210" s="558"/>
      <c r="K210" s="558"/>
      <c r="L210" s="558"/>
      <c r="M210" s="558"/>
      <c r="N210" s="558"/>
      <c r="O210" s="558"/>
      <c r="P210" s="558"/>
      <c r="Q210" s="558"/>
    </row>
    <row r="211" spans="1:17" ht="15.5" x14ac:dyDescent="0.35">
      <c r="A211" s="225" t="s">
        <v>521</v>
      </c>
      <c r="B211" s="100" t="s">
        <v>186</v>
      </c>
      <c r="C211" s="557"/>
      <c r="D211" s="578">
        <f>1200/87</f>
        <v>13.793103448275861</v>
      </c>
      <c r="E211" s="563">
        <f>$D211*E143</f>
        <v>2833.2871113357623</v>
      </c>
      <c r="F211" s="563">
        <f t="shared" ref="F211:P211" si="137">$D211*F143</f>
        <v>2903.8753466298799</v>
      </c>
      <c r="G211" s="563">
        <f t="shared" si="137"/>
        <v>2700.7110464270399</v>
      </c>
      <c r="H211" s="563">
        <f t="shared" si="137"/>
        <v>2700.7110464270399</v>
      </c>
      <c r="I211" s="563">
        <f t="shared" si="137"/>
        <v>2855.6806204635513</v>
      </c>
      <c r="J211" s="563">
        <f t="shared" si="137"/>
        <v>2855.6806204635513</v>
      </c>
      <c r="K211" s="563">
        <f t="shared" si="137"/>
        <v>2936.8165231004682</v>
      </c>
      <c r="L211" s="563">
        <f t="shared" si="137"/>
        <v>3473.9361985568576</v>
      </c>
      <c r="M211" s="563">
        <f t="shared" si="137"/>
        <v>3568.8652046420507</v>
      </c>
      <c r="N211" s="563">
        <f t="shared" si="137"/>
        <v>3705.1735210720708</v>
      </c>
      <c r="O211" s="563">
        <f t="shared" si="137"/>
        <v>3786.3094237089877</v>
      </c>
      <c r="P211" s="563">
        <f t="shared" si="137"/>
        <v>3895.0315332424561</v>
      </c>
      <c r="Q211" s="564">
        <f t="shared" ref="Q211:Q221" si="138">SUM(E211:P211)</f>
        <v>38216.07819606972</v>
      </c>
    </row>
    <row r="212" spans="1:17" ht="14.5" x14ac:dyDescent="0.35">
      <c r="A212" s="557"/>
      <c r="B212" s="100" t="s">
        <v>214</v>
      </c>
      <c r="C212" s="557" t="s">
        <v>629</v>
      </c>
      <c r="D212" s="573">
        <v>0.01</v>
      </c>
      <c r="E212" s="563">
        <f>$D212*(E$152+E$153)</f>
        <v>771.78793605863405</v>
      </c>
      <c r="F212" s="563">
        <f t="shared" ref="F212:P212" si="139">$D212*(F$152+F$153)</f>
        <v>792.11146547039868</v>
      </c>
      <c r="G212" s="563">
        <f t="shared" si="139"/>
        <v>733.3855831174576</v>
      </c>
      <c r="H212" s="563">
        <f t="shared" si="139"/>
        <v>733.3855831174576</v>
      </c>
      <c r="I212" s="563">
        <f t="shared" si="139"/>
        <v>779.53264194098711</v>
      </c>
      <c r="J212" s="563">
        <f t="shared" si="139"/>
        <v>779.53264194098711</v>
      </c>
      <c r="K212" s="563">
        <f t="shared" si="139"/>
        <v>800.70911252922235</v>
      </c>
      <c r="L212" s="563">
        <f t="shared" si="139"/>
        <v>952.29734782333981</v>
      </c>
      <c r="M212" s="563">
        <f t="shared" si="139"/>
        <v>978.97381841157505</v>
      </c>
      <c r="N212" s="563">
        <f t="shared" si="139"/>
        <v>1022.1502889998104</v>
      </c>
      <c r="O212" s="563">
        <f t="shared" si="139"/>
        <v>1043.3267595880459</v>
      </c>
      <c r="P212" s="563">
        <f t="shared" si="139"/>
        <v>1075.503230176281</v>
      </c>
      <c r="Q212" s="564">
        <f t="shared" si="138"/>
        <v>10462.696409174197</v>
      </c>
    </row>
    <row r="213" spans="1:17" ht="14.5" x14ac:dyDescent="0.35">
      <c r="A213" s="557"/>
      <c r="B213" s="100" t="s">
        <v>437</v>
      </c>
      <c r="C213" s="557" t="s">
        <v>630</v>
      </c>
      <c r="D213" s="580">
        <v>836838</v>
      </c>
      <c r="E213" s="558"/>
      <c r="F213" s="558"/>
      <c r="G213" s="558"/>
      <c r="H213" s="558"/>
      <c r="I213" s="558"/>
      <c r="J213" s="558"/>
      <c r="K213" s="558"/>
      <c r="L213" s="558"/>
      <c r="M213" s="558"/>
      <c r="N213" s="576">
        <f>D213/$R$1</f>
        <v>9618.8275862068967</v>
      </c>
      <c r="O213" s="558"/>
      <c r="P213" s="558"/>
      <c r="Q213" s="564">
        <f t="shared" si="138"/>
        <v>9618.8275862068967</v>
      </c>
    </row>
    <row r="214" spans="1:17" ht="14.5" x14ac:dyDescent="0.35">
      <c r="A214" s="557"/>
      <c r="B214" s="100" t="s">
        <v>223</v>
      </c>
      <c r="C214" s="557" t="s">
        <v>631</v>
      </c>
      <c r="D214" s="580">
        <f>750*$E$143</f>
        <v>154059.98667888209</v>
      </c>
      <c r="E214" s="571"/>
      <c r="F214" s="571"/>
      <c r="G214" s="571">
        <f t="shared" ref="G214:P214" si="140">($D214/$R$1)</f>
        <v>1770.8044445848516</v>
      </c>
      <c r="H214" s="571"/>
      <c r="I214" s="571"/>
      <c r="J214" s="571">
        <f t="shared" si="140"/>
        <v>1770.8044445848516</v>
      </c>
      <c r="K214" s="571"/>
      <c r="L214" s="571"/>
      <c r="M214" s="571">
        <f t="shared" si="140"/>
        <v>1770.8044445848516</v>
      </c>
      <c r="N214" s="571"/>
      <c r="O214" s="571"/>
      <c r="P214" s="571">
        <f t="shared" si="140"/>
        <v>1770.8044445848516</v>
      </c>
      <c r="Q214" s="564">
        <f t="shared" si="138"/>
        <v>7083.2177783394063</v>
      </c>
    </row>
    <row r="215" spans="1:17" ht="14.5" x14ac:dyDescent="0.35">
      <c r="A215" s="557"/>
      <c r="B215" s="100" t="s">
        <v>226</v>
      </c>
      <c r="C215" s="557" t="s">
        <v>632</v>
      </c>
      <c r="D215" s="580">
        <f>100*$E$143</f>
        <v>20541.33155718428</v>
      </c>
      <c r="E215" s="571">
        <f t="shared" ref="E215:P215" si="141">($D215/$R$1)</f>
        <v>236.10725927798023</v>
      </c>
      <c r="F215" s="576">
        <f t="shared" si="141"/>
        <v>236.10725927798023</v>
      </c>
      <c r="G215" s="576">
        <f t="shared" si="141"/>
        <v>236.10725927798023</v>
      </c>
      <c r="H215" s="576">
        <f t="shared" si="141"/>
        <v>236.10725927798023</v>
      </c>
      <c r="I215" s="576">
        <f t="shared" si="141"/>
        <v>236.10725927798023</v>
      </c>
      <c r="J215" s="576">
        <f t="shared" si="141"/>
        <v>236.10725927798023</v>
      </c>
      <c r="K215" s="576">
        <f t="shared" si="141"/>
        <v>236.10725927798023</v>
      </c>
      <c r="L215" s="576">
        <f t="shared" si="141"/>
        <v>236.10725927798023</v>
      </c>
      <c r="M215" s="576">
        <f t="shared" si="141"/>
        <v>236.10725927798023</v>
      </c>
      <c r="N215" s="576">
        <f t="shared" si="141"/>
        <v>236.10725927798023</v>
      </c>
      <c r="O215" s="576">
        <f t="shared" si="141"/>
        <v>236.10725927798023</v>
      </c>
      <c r="P215" s="576">
        <f t="shared" si="141"/>
        <v>236.10725927798023</v>
      </c>
      <c r="Q215" s="564">
        <f t="shared" si="138"/>
        <v>2833.2871113357619</v>
      </c>
    </row>
    <row r="216" spans="1:17" ht="14.5" x14ac:dyDescent="0.35">
      <c r="A216" s="557"/>
      <c r="B216" s="100" t="s">
        <v>233</v>
      </c>
      <c r="C216" s="557" t="s">
        <v>633</v>
      </c>
      <c r="D216" s="580">
        <v>10000</v>
      </c>
      <c r="E216" s="558"/>
      <c r="F216" s="558"/>
      <c r="G216" s="558"/>
      <c r="H216" s="558"/>
      <c r="I216" s="558"/>
      <c r="J216" s="558"/>
      <c r="K216" s="558"/>
      <c r="L216" s="576">
        <f>D216/$R$1</f>
        <v>114.94252873563218</v>
      </c>
      <c r="M216" s="558"/>
      <c r="N216" s="558"/>
      <c r="O216" s="558"/>
      <c r="P216" s="558"/>
      <c r="Q216" s="564">
        <f t="shared" si="138"/>
        <v>114.94252873563218</v>
      </c>
    </row>
    <row r="217" spans="1:17" ht="14.5" x14ac:dyDescent="0.35">
      <c r="A217" s="557"/>
      <c r="B217" s="100" t="s">
        <v>224</v>
      </c>
      <c r="C217" s="557" t="s">
        <v>634</v>
      </c>
      <c r="D217" s="580">
        <v>68000</v>
      </c>
      <c r="E217" s="558"/>
      <c r="F217" s="558"/>
      <c r="G217" s="558"/>
      <c r="H217" s="558"/>
      <c r="I217" s="558"/>
      <c r="J217" s="558"/>
      <c r="K217" s="558"/>
      <c r="L217" s="558"/>
      <c r="M217" s="576">
        <f>D217/$R$1</f>
        <v>781.60919540229884</v>
      </c>
      <c r="N217" s="558"/>
      <c r="O217" s="558"/>
      <c r="P217" s="558"/>
      <c r="Q217" s="564">
        <f t="shared" si="138"/>
        <v>781.60919540229884</v>
      </c>
    </row>
    <row r="218" spans="1:17" ht="14.5" x14ac:dyDescent="0.35">
      <c r="A218" s="557"/>
      <c r="B218" s="100" t="s">
        <v>635</v>
      </c>
      <c r="C218" s="557"/>
      <c r="D218" s="557"/>
      <c r="E218" s="558"/>
      <c r="F218" s="558"/>
      <c r="G218" s="558"/>
      <c r="H218" s="558"/>
      <c r="I218" s="558"/>
      <c r="J218" s="558"/>
      <c r="K218" s="558"/>
      <c r="L218" s="558"/>
      <c r="M218" s="558"/>
      <c r="N218" s="558"/>
      <c r="O218" s="558"/>
      <c r="P218" s="558"/>
      <c r="Q218" s="564">
        <f t="shared" si="138"/>
        <v>0</v>
      </c>
    </row>
    <row r="219" spans="1:17" ht="14.5" x14ac:dyDescent="0.35">
      <c r="A219" s="557"/>
      <c r="B219" s="100" t="s">
        <v>217</v>
      </c>
      <c r="C219" s="557"/>
      <c r="D219" s="557"/>
      <c r="E219" s="558"/>
      <c r="F219" s="558"/>
      <c r="G219" s="558"/>
      <c r="H219" s="558"/>
      <c r="I219" s="558"/>
      <c r="J219" s="558"/>
      <c r="K219" s="558"/>
      <c r="L219" s="558"/>
      <c r="M219" s="558"/>
      <c r="N219" s="558"/>
      <c r="O219" s="558"/>
      <c r="P219" s="558"/>
      <c r="Q219" s="564">
        <f t="shared" si="138"/>
        <v>0</v>
      </c>
    </row>
    <row r="220" spans="1:17" x14ac:dyDescent="0.3">
      <c r="A220" s="557"/>
      <c r="B220" s="557"/>
      <c r="C220" s="557"/>
      <c r="D220" s="557"/>
      <c r="E220" s="558"/>
      <c r="F220" s="558"/>
      <c r="G220" s="558"/>
      <c r="H220" s="558"/>
      <c r="I220" s="558"/>
      <c r="J220" s="558"/>
      <c r="K220" s="558"/>
      <c r="L220" s="558"/>
      <c r="M220" s="558"/>
      <c r="N220" s="558"/>
      <c r="O220" s="558"/>
      <c r="P220" s="558"/>
      <c r="Q220" s="564">
        <f t="shared" si="138"/>
        <v>0</v>
      </c>
    </row>
    <row r="221" spans="1:17" ht="15.5" x14ac:dyDescent="0.35">
      <c r="A221" s="617" t="s">
        <v>521</v>
      </c>
      <c r="B221" s="617"/>
      <c r="C221" s="617"/>
      <c r="D221" s="617"/>
      <c r="E221" s="618">
        <f t="shared" ref="E221" si="142">SUM(E211:E220)</f>
        <v>3841.1823066723764</v>
      </c>
      <c r="F221" s="618">
        <f t="shared" ref="F221" si="143">SUM(F211:F220)</f>
        <v>3932.0940713782588</v>
      </c>
      <c r="G221" s="618">
        <f t="shared" ref="G221" si="144">SUM(G211:G220)</f>
        <v>5441.0083334073297</v>
      </c>
      <c r="H221" s="618">
        <f t="shared" ref="H221" si="145">SUM(H211:H220)</f>
        <v>3670.2038888224779</v>
      </c>
      <c r="I221" s="618">
        <f t="shared" ref="I221" si="146">SUM(I211:I220)</f>
        <v>3871.3205216825186</v>
      </c>
      <c r="J221" s="618">
        <f t="shared" ref="J221" si="147">SUM(J211:J220)</f>
        <v>5642.1249662673699</v>
      </c>
      <c r="K221" s="618">
        <f t="shared" ref="K221" si="148">SUM(K211:K220)</f>
        <v>3973.6328949076706</v>
      </c>
      <c r="L221" s="618">
        <f t="shared" ref="L221" si="149">SUM(L211:L220)</f>
        <v>4777.28333439381</v>
      </c>
      <c r="M221" s="618">
        <f t="shared" ref="M221" si="150">SUM(M211:M220)</f>
        <v>7336.3599223187566</v>
      </c>
      <c r="N221" s="618">
        <f t="shared" ref="N221" si="151">SUM(N211:N220)</f>
        <v>14582.258655556758</v>
      </c>
      <c r="O221" s="618">
        <f t="shared" ref="O221" si="152">SUM(O211:O220)</f>
        <v>5065.7434425750134</v>
      </c>
      <c r="P221" s="618">
        <f t="shared" ref="P221" si="153">SUM(P211:P220)</f>
        <v>6977.4464672815693</v>
      </c>
      <c r="Q221" s="618">
        <f t="shared" si="138"/>
        <v>69110.658805263898</v>
      </c>
    </row>
    <row r="222" spans="1:17" x14ac:dyDescent="0.3">
      <c r="A222" s="557"/>
      <c r="B222" s="557"/>
      <c r="C222" s="557"/>
      <c r="D222" s="557"/>
      <c r="E222" s="558"/>
      <c r="F222" s="558"/>
      <c r="G222" s="558"/>
      <c r="H222" s="558"/>
      <c r="I222" s="558"/>
      <c r="J222" s="558"/>
      <c r="K222" s="558"/>
      <c r="L222" s="558"/>
      <c r="M222" s="558"/>
      <c r="N222" s="558"/>
      <c r="O222" s="558"/>
      <c r="P222" s="558"/>
      <c r="Q222" s="558"/>
    </row>
    <row r="223" spans="1:17" ht="15.5" x14ac:dyDescent="0.35">
      <c r="A223" s="225" t="s">
        <v>636</v>
      </c>
      <c r="B223" s="663" t="s">
        <v>413</v>
      </c>
      <c r="C223" s="215">
        <v>1</v>
      </c>
      <c r="D223" s="664">
        <v>9945</v>
      </c>
      <c r="E223" s="665">
        <f>$C223*$D223</f>
        <v>9945</v>
      </c>
      <c r="F223" s="665">
        <f t="shared" ref="F223:P224" si="154">$C223*$D223</f>
        <v>9945</v>
      </c>
      <c r="G223" s="665">
        <f t="shared" si="154"/>
        <v>9945</v>
      </c>
      <c r="H223" s="665">
        <f t="shared" si="154"/>
        <v>9945</v>
      </c>
      <c r="I223" s="665">
        <f t="shared" si="154"/>
        <v>9945</v>
      </c>
      <c r="J223" s="665">
        <f t="shared" si="154"/>
        <v>9945</v>
      </c>
      <c r="K223" s="665">
        <f t="shared" si="154"/>
        <v>9945</v>
      </c>
      <c r="L223" s="665">
        <f t="shared" si="154"/>
        <v>9945</v>
      </c>
      <c r="M223" s="665">
        <f t="shared" si="154"/>
        <v>9945</v>
      </c>
      <c r="N223" s="665">
        <f t="shared" si="154"/>
        <v>9945</v>
      </c>
      <c r="O223" s="665">
        <f t="shared" si="154"/>
        <v>9945</v>
      </c>
      <c r="P223" s="665">
        <f t="shared" si="154"/>
        <v>9945</v>
      </c>
      <c r="Q223" s="666">
        <f t="shared" ref="Q223:Q228" si="155">SUM(E223:P223)</f>
        <v>119340</v>
      </c>
    </row>
    <row r="224" spans="1:17" ht="14.5" x14ac:dyDescent="0.35">
      <c r="A224" s="557"/>
      <c r="B224" s="100" t="s">
        <v>637</v>
      </c>
      <c r="C224">
        <v>2</v>
      </c>
      <c r="D224" s="578">
        <v>250</v>
      </c>
      <c r="E224" s="570">
        <f>$C224*$D224</f>
        <v>500</v>
      </c>
      <c r="F224" s="570">
        <f t="shared" si="154"/>
        <v>500</v>
      </c>
      <c r="G224" s="570">
        <f t="shared" si="154"/>
        <v>500</v>
      </c>
      <c r="H224" s="570">
        <f t="shared" si="154"/>
        <v>500</v>
      </c>
      <c r="I224" s="570">
        <f t="shared" si="154"/>
        <v>500</v>
      </c>
      <c r="J224" s="570">
        <f t="shared" si="154"/>
        <v>500</v>
      </c>
      <c r="K224" s="570">
        <f t="shared" si="154"/>
        <v>500</v>
      </c>
      <c r="L224" s="570">
        <f t="shared" si="154"/>
        <v>500</v>
      </c>
      <c r="M224" s="570">
        <f t="shared" si="154"/>
        <v>500</v>
      </c>
      <c r="N224" s="570">
        <f t="shared" si="154"/>
        <v>500</v>
      </c>
      <c r="O224" s="570">
        <f t="shared" si="154"/>
        <v>500</v>
      </c>
      <c r="P224" s="570">
        <f t="shared" si="154"/>
        <v>500</v>
      </c>
      <c r="Q224" s="564">
        <f t="shared" si="155"/>
        <v>6000</v>
      </c>
    </row>
    <row r="225" spans="1:17" ht="14.5" x14ac:dyDescent="0.35">
      <c r="A225" s="557"/>
      <c r="B225" s="100" t="s">
        <v>638</v>
      </c>
      <c r="C225">
        <v>3</v>
      </c>
      <c r="D225" s="578">
        <v>300</v>
      </c>
      <c r="E225" s="570">
        <f t="shared" ref="E225:P227" si="156">$C225*$D225</f>
        <v>900</v>
      </c>
      <c r="F225" s="570">
        <f t="shared" si="156"/>
        <v>900</v>
      </c>
      <c r="G225" s="570">
        <f t="shared" si="156"/>
        <v>900</v>
      </c>
      <c r="H225" s="570">
        <f t="shared" si="156"/>
        <v>900</v>
      </c>
      <c r="I225" s="570">
        <f t="shared" si="156"/>
        <v>900</v>
      </c>
      <c r="J225" s="570">
        <f t="shared" si="156"/>
        <v>900</v>
      </c>
      <c r="K225" s="570">
        <f t="shared" si="156"/>
        <v>900</v>
      </c>
      <c r="L225" s="570">
        <f t="shared" si="156"/>
        <v>900</v>
      </c>
      <c r="M225" s="570">
        <f t="shared" si="156"/>
        <v>900</v>
      </c>
      <c r="N225" s="570">
        <f t="shared" si="156"/>
        <v>900</v>
      </c>
      <c r="O225" s="570">
        <f t="shared" si="156"/>
        <v>900</v>
      </c>
      <c r="P225" s="570">
        <f t="shared" si="156"/>
        <v>900</v>
      </c>
      <c r="Q225" s="564">
        <f t="shared" si="155"/>
        <v>10800</v>
      </c>
    </row>
    <row r="226" spans="1:17" ht="14.5" x14ac:dyDescent="0.35">
      <c r="A226" s="557"/>
      <c r="B226" s="100" t="s">
        <v>639</v>
      </c>
      <c r="C226">
        <v>3</v>
      </c>
      <c r="D226" s="578">
        <v>220</v>
      </c>
      <c r="E226" s="570">
        <f t="shared" si="156"/>
        <v>660</v>
      </c>
      <c r="F226" s="570">
        <f t="shared" si="156"/>
        <v>660</v>
      </c>
      <c r="G226" s="570">
        <f t="shared" si="156"/>
        <v>660</v>
      </c>
      <c r="H226" s="570">
        <f t="shared" si="156"/>
        <v>660</v>
      </c>
      <c r="I226" s="570">
        <f t="shared" si="156"/>
        <v>660</v>
      </c>
      <c r="J226" s="570">
        <f t="shared" si="156"/>
        <v>660</v>
      </c>
      <c r="K226" s="570">
        <f t="shared" si="156"/>
        <v>660</v>
      </c>
      <c r="L226" s="570">
        <f t="shared" si="156"/>
        <v>660</v>
      </c>
      <c r="M226" s="570">
        <f t="shared" si="156"/>
        <v>660</v>
      </c>
      <c r="N226" s="570">
        <f t="shared" si="156"/>
        <v>660</v>
      </c>
      <c r="O226" s="570">
        <f t="shared" si="156"/>
        <v>660</v>
      </c>
      <c r="P226" s="570">
        <f t="shared" si="156"/>
        <v>660</v>
      </c>
      <c r="Q226" s="564">
        <f t="shared" si="155"/>
        <v>7920</v>
      </c>
    </row>
    <row r="227" spans="1:17" ht="14.5" x14ac:dyDescent="0.35">
      <c r="A227" s="557"/>
      <c r="B227" s="557" t="s">
        <v>354</v>
      </c>
      <c r="C227">
        <v>1</v>
      </c>
      <c r="D227" s="578">
        <v>1450</v>
      </c>
      <c r="E227" s="570">
        <v>1100</v>
      </c>
      <c r="F227" s="570">
        <v>1100</v>
      </c>
      <c r="G227" s="570"/>
      <c r="H227" s="570"/>
      <c r="I227" s="570">
        <f t="shared" si="156"/>
        <v>1450</v>
      </c>
      <c r="J227" s="570">
        <f t="shared" si="156"/>
        <v>1450</v>
      </c>
      <c r="K227" s="570">
        <f t="shared" si="156"/>
        <v>1450</v>
      </c>
      <c r="L227" s="570">
        <f t="shared" si="156"/>
        <v>1450</v>
      </c>
      <c r="M227" s="570">
        <f t="shared" si="156"/>
        <v>1450</v>
      </c>
      <c r="N227" s="570">
        <f t="shared" si="156"/>
        <v>1450</v>
      </c>
      <c r="O227" s="570">
        <f t="shared" si="156"/>
        <v>1450</v>
      </c>
      <c r="P227" s="570">
        <f t="shared" si="156"/>
        <v>1450</v>
      </c>
      <c r="Q227" s="564">
        <f t="shared" si="155"/>
        <v>13800</v>
      </c>
    </row>
    <row r="228" spans="1:17" ht="15.5" x14ac:dyDescent="0.35">
      <c r="A228" s="617" t="s">
        <v>636</v>
      </c>
      <c r="B228" s="617"/>
      <c r="C228" s="617"/>
      <c r="D228" s="617"/>
      <c r="E228" s="618">
        <f>SUM(E223:E227)</f>
        <v>13105</v>
      </c>
      <c r="F228" s="618">
        <f t="shared" ref="F228:P228" si="157">SUM(F223:F227)</f>
        <v>13105</v>
      </c>
      <c r="G228" s="618">
        <f t="shared" si="157"/>
        <v>12005</v>
      </c>
      <c r="H228" s="618">
        <f t="shared" si="157"/>
        <v>12005</v>
      </c>
      <c r="I228" s="618">
        <f t="shared" si="157"/>
        <v>13455</v>
      </c>
      <c r="J228" s="618">
        <f t="shared" si="157"/>
        <v>13455</v>
      </c>
      <c r="K228" s="618">
        <f t="shared" si="157"/>
        <v>13455</v>
      </c>
      <c r="L228" s="618">
        <f t="shared" si="157"/>
        <v>13455</v>
      </c>
      <c r="M228" s="618">
        <f t="shared" si="157"/>
        <v>13455</v>
      </c>
      <c r="N228" s="618">
        <f t="shared" si="157"/>
        <v>13455</v>
      </c>
      <c r="O228" s="618">
        <f t="shared" si="157"/>
        <v>13455</v>
      </c>
      <c r="P228" s="618">
        <f t="shared" si="157"/>
        <v>13455</v>
      </c>
      <c r="Q228" s="618">
        <f t="shared" si="155"/>
        <v>157860</v>
      </c>
    </row>
    <row r="229" spans="1:17" x14ac:dyDescent="0.3">
      <c r="A229" s="557"/>
      <c r="B229" s="557"/>
      <c r="C229" s="557"/>
      <c r="D229" s="557"/>
      <c r="E229" s="558"/>
      <c r="F229" s="558"/>
      <c r="G229" s="558"/>
      <c r="H229" s="558"/>
      <c r="I229" s="558"/>
      <c r="J229" s="558"/>
      <c r="K229" s="558"/>
      <c r="L229" s="558"/>
      <c r="M229" s="558"/>
      <c r="N229" s="558"/>
      <c r="O229" s="558"/>
      <c r="P229" s="558"/>
      <c r="Q229" s="558"/>
    </row>
    <row r="230" spans="1:17" ht="15.5" x14ac:dyDescent="0.35">
      <c r="A230" s="225" t="s">
        <v>640</v>
      </c>
      <c r="B230" s="557"/>
      <c r="C230" s="557"/>
      <c r="D230" s="557"/>
      <c r="E230" s="558"/>
      <c r="F230" s="558"/>
      <c r="G230" s="558"/>
      <c r="H230" s="558"/>
      <c r="I230" s="558"/>
      <c r="J230" s="558"/>
      <c r="K230" s="558"/>
      <c r="L230" s="558"/>
      <c r="M230" s="558"/>
      <c r="N230" s="558"/>
      <c r="O230" s="558"/>
      <c r="P230" s="558"/>
      <c r="Q230" s="558"/>
    </row>
    <row r="231" spans="1:17" ht="14.5" x14ac:dyDescent="0.35">
      <c r="A231" s="557"/>
      <c r="B231" s="100" t="s">
        <v>641</v>
      </c>
      <c r="C231" s="557"/>
      <c r="D231" s="557"/>
      <c r="E231" s="558"/>
      <c r="F231" s="558"/>
      <c r="G231" s="558"/>
      <c r="H231" s="558"/>
      <c r="I231" s="558"/>
      <c r="J231" s="558"/>
      <c r="K231" s="558"/>
      <c r="L231" s="558"/>
      <c r="M231" s="558"/>
      <c r="N231" s="558"/>
      <c r="O231" s="558"/>
      <c r="P231" s="558"/>
      <c r="Q231" s="558"/>
    </row>
    <row r="232" spans="1:17" ht="14.5" x14ac:dyDescent="0.35">
      <c r="A232" s="557"/>
      <c r="B232" s="100" t="s">
        <v>642</v>
      </c>
      <c r="C232" t="s">
        <v>643</v>
      </c>
      <c r="D232" s="580">
        <f>125000</f>
        <v>125000</v>
      </c>
      <c r="E232" s="571">
        <f t="shared" ref="E232:P232" si="158">$D232/$R$1</f>
        <v>1436.7816091954023</v>
      </c>
      <c r="F232" s="571">
        <f t="shared" si="158"/>
        <v>1436.7816091954023</v>
      </c>
      <c r="G232" s="571">
        <f t="shared" si="158"/>
        <v>1436.7816091954023</v>
      </c>
      <c r="H232" s="571">
        <f t="shared" si="158"/>
        <v>1436.7816091954023</v>
      </c>
      <c r="I232" s="571">
        <f t="shared" si="158"/>
        <v>1436.7816091954023</v>
      </c>
      <c r="J232" s="571">
        <f t="shared" si="158"/>
        <v>1436.7816091954023</v>
      </c>
      <c r="K232" s="571">
        <f t="shared" si="158"/>
        <v>1436.7816091954023</v>
      </c>
      <c r="L232" s="571">
        <f t="shared" si="158"/>
        <v>1436.7816091954023</v>
      </c>
      <c r="M232" s="571">
        <f t="shared" si="158"/>
        <v>1436.7816091954023</v>
      </c>
      <c r="N232" s="571">
        <f t="shared" si="158"/>
        <v>1436.7816091954023</v>
      </c>
      <c r="O232" s="571">
        <f t="shared" si="158"/>
        <v>1436.7816091954023</v>
      </c>
      <c r="P232" s="571">
        <f t="shared" si="158"/>
        <v>1436.7816091954023</v>
      </c>
      <c r="Q232" s="564">
        <f>SUM(E232:P232)</f>
        <v>17241.37931034483</v>
      </c>
    </row>
    <row r="233" spans="1:17" ht="14.5" x14ac:dyDescent="0.35">
      <c r="A233" s="557"/>
      <c r="B233" s="100"/>
      <c r="C233" t="s">
        <v>644</v>
      </c>
      <c r="D233" s="557"/>
      <c r="E233" s="576">
        <f>(41000+5500)/$R$1</f>
        <v>534.48275862068965</v>
      </c>
      <c r="F233" s="576">
        <f>5500/$R$1</f>
        <v>63.218390804597703</v>
      </c>
      <c r="G233" s="576">
        <f t="shared" ref="G233:P233" si="159">5500/$R$1</f>
        <v>63.218390804597703</v>
      </c>
      <c r="H233" s="576">
        <f t="shared" si="159"/>
        <v>63.218390804597703</v>
      </c>
      <c r="I233" s="576">
        <f t="shared" si="159"/>
        <v>63.218390804597703</v>
      </c>
      <c r="J233" s="576">
        <f t="shared" si="159"/>
        <v>63.218390804597703</v>
      </c>
      <c r="K233" s="576">
        <f t="shared" si="159"/>
        <v>63.218390804597703</v>
      </c>
      <c r="L233" s="576">
        <f t="shared" si="159"/>
        <v>63.218390804597703</v>
      </c>
      <c r="M233" s="576">
        <f t="shared" si="159"/>
        <v>63.218390804597703</v>
      </c>
      <c r="N233" s="576">
        <f t="shared" si="159"/>
        <v>63.218390804597703</v>
      </c>
      <c r="O233" s="576">
        <f t="shared" si="159"/>
        <v>63.218390804597703</v>
      </c>
      <c r="P233" s="576">
        <f t="shared" si="159"/>
        <v>63.218390804597703</v>
      </c>
      <c r="Q233" s="564">
        <f t="shared" ref="Q233:Q234" si="160">SUM(E233:P233)</f>
        <v>1229.8850574712642</v>
      </c>
    </row>
    <row r="234" spans="1:17" ht="14.5" x14ac:dyDescent="0.35">
      <c r="A234" s="557"/>
      <c r="B234" s="100"/>
      <c r="C234" t="s">
        <v>645</v>
      </c>
      <c r="D234" s="557"/>
      <c r="E234" s="576"/>
      <c r="F234" s="576">
        <f>275000/$R$1</f>
        <v>3160.9195402298851</v>
      </c>
      <c r="G234" s="558"/>
      <c r="H234" s="558"/>
      <c r="I234" s="558"/>
      <c r="J234" s="558"/>
      <c r="K234" s="558"/>
      <c r="L234" s="558"/>
      <c r="M234" s="558"/>
      <c r="N234" s="558"/>
      <c r="O234" s="558"/>
      <c r="P234" s="558"/>
      <c r="Q234" s="564">
        <f t="shared" si="160"/>
        <v>3160.9195402298851</v>
      </c>
    </row>
    <row r="235" spans="1:17" x14ac:dyDescent="0.3">
      <c r="A235" s="557"/>
      <c r="B235" s="557"/>
      <c r="C235" s="557"/>
      <c r="D235" s="557"/>
      <c r="E235" s="558"/>
      <c r="F235" s="558"/>
      <c r="G235" s="558"/>
      <c r="H235" s="558"/>
      <c r="I235" s="558"/>
      <c r="J235" s="558"/>
      <c r="K235" s="558"/>
      <c r="L235" s="558"/>
      <c r="M235" s="558"/>
      <c r="N235" s="558"/>
      <c r="O235" s="558"/>
      <c r="P235" s="558"/>
      <c r="Q235" s="558"/>
    </row>
    <row r="236" spans="1:17" ht="15.5" x14ac:dyDescent="0.35">
      <c r="A236" s="617" t="s">
        <v>640</v>
      </c>
      <c r="B236" s="617"/>
      <c r="C236" s="617"/>
      <c r="D236" s="617"/>
      <c r="E236" s="618">
        <f t="shared" ref="E236:P236" si="161">SUM(E231:E235)</f>
        <v>1971.2643678160921</v>
      </c>
      <c r="F236" s="618">
        <f t="shared" si="161"/>
        <v>4660.9195402298847</v>
      </c>
      <c r="G236" s="618">
        <f t="shared" si="161"/>
        <v>1500</v>
      </c>
      <c r="H236" s="618">
        <f t="shared" si="161"/>
        <v>1500</v>
      </c>
      <c r="I236" s="618">
        <f t="shared" si="161"/>
        <v>1500</v>
      </c>
      <c r="J236" s="618">
        <f t="shared" si="161"/>
        <v>1500</v>
      </c>
      <c r="K236" s="618">
        <f t="shared" si="161"/>
        <v>1500</v>
      </c>
      <c r="L236" s="618">
        <f t="shared" si="161"/>
        <v>1500</v>
      </c>
      <c r="M236" s="618">
        <f t="shared" si="161"/>
        <v>1500</v>
      </c>
      <c r="N236" s="618">
        <f t="shared" si="161"/>
        <v>1500</v>
      </c>
      <c r="O236" s="618">
        <f t="shared" si="161"/>
        <v>1500</v>
      </c>
      <c r="P236" s="618">
        <f t="shared" si="161"/>
        <v>1500</v>
      </c>
      <c r="Q236" s="618">
        <f t="shared" ref="Q236" si="162">SUM(E236:P236)</f>
        <v>21632.183908045976</v>
      </c>
    </row>
    <row r="237" spans="1:17" x14ac:dyDescent="0.3">
      <c r="A237" s="557"/>
      <c r="B237" s="557"/>
      <c r="C237" s="557"/>
      <c r="D237" s="557"/>
      <c r="E237" s="558"/>
      <c r="F237" s="558"/>
      <c r="G237" s="558"/>
      <c r="H237" s="558"/>
      <c r="I237" s="558"/>
      <c r="J237" s="558"/>
      <c r="K237" s="558"/>
      <c r="L237" s="558"/>
      <c r="M237" s="558"/>
      <c r="N237" s="558"/>
      <c r="O237" s="558"/>
      <c r="P237" s="558"/>
      <c r="Q237" s="558"/>
    </row>
    <row r="238" spans="1:17" ht="15.5" x14ac:dyDescent="0.35">
      <c r="A238" s="225" t="s">
        <v>646</v>
      </c>
      <c r="B238" s="100" t="s">
        <v>522</v>
      </c>
      <c r="C238">
        <v>9</v>
      </c>
      <c r="D238" s="578">
        <v>180</v>
      </c>
      <c r="E238" s="570">
        <f>$C238*$D238</f>
        <v>1620</v>
      </c>
      <c r="F238" s="570">
        <f t="shared" ref="F238:P239" si="163">$C238*$D238</f>
        <v>1620</v>
      </c>
      <c r="G238" s="570">
        <f t="shared" si="163"/>
        <v>1620</v>
      </c>
      <c r="H238" s="570">
        <f t="shared" si="163"/>
        <v>1620</v>
      </c>
      <c r="I238" s="570">
        <f t="shared" si="163"/>
        <v>1620</v>
      </c>
      <c r="J238" s="570">
        <f t="shared" si="163"/>
        <v>1620</v>
      </c>
      <c r="K238" s="570">
        <f t="shared" si="163"/>
        <v>1620</v>
      </c>
      <c r="L238" s="570">
        <f t="shared" si="163"/>
        <v>1620</v>
      </c>
      <c r="M238" s="570">
        <f t="shared" si="163"/>
        <v>1620</v>
      </c>
      <c r="N238" s="570">
        <f t="shared" si="163"/>
        <v>1620</v>
      </c>
      <c r="O238" s="570">
        <f t="shared" si="163"/>
        <v>1620</v>
      </c>
      <c r="P238" s="570">
        <f t="shared" si="163"/>
        <v>1620</v>
      </c>
      <c r="Q238" s="564">
        <f t="shared" ref="Q238:Q239" si="164">SUM(E238:P238)</f>
        <v>19440</v>
      </c>
    </row>
    <row r="239" spans="1:17" ht="15.5" x14ac:dyDescent="0.35">
      <c r="A239" s="225"/>
      <c r="B239" s="100" t="s">
        <v>647</v>
      </c>
      <c r="C239">
        <v>1</v>
      </c>
      <c r="D239" s="578"/>
      <c r="E239" s="570">
        <v>2000</v>
      </c>
      <c r="F239" s="570">
        <v>2000</v>
      </c>
      <c r="G239" s="570">
        <f t="shared" si="163"/>
        <v>0</v>
      </c>
      <c r="H239" s="570">
        <f t="shared" si="163"/>
        <v>0</v>
      </c>
      <c r="I239" s="570">
        <f t="shared" si="163"/>
        <v>0</v>
      </c>
      <c r="J239" s="570">
        <f t="shared" si="163"/>
        <v>0</v>
      </c>
      <c r="K239" s="570">
        <f t="shared" si="163"/>
        <v>0</v>
      </c>
      <c r="L239" s="570">
        <f t="shared" si="163"/>
        <v>0</v>
      </c>
      <c r="M239" s="570">
        <f t="shared" si="163"/>
        <v>0</v>
      </c>
      <c r="N239" s="570">
        <f t="shared" si="163"/>
        <v>0</v>
      </c>
      <c r="O239" s="570">
        <f t="shared" si="163"/>
        <v>0</v>
      </c>
      <c r="P239" s="570">
        <f t="shared" si="163"/>
        <v>0</v>
      </c>
      <c r="Q239" s="564">
        <f t="shared" si="164"/>
        <v>4000</v>
      </c>
    </row>
    <row r="240" spans="1:17" ht="15.5" x14ac:dyDescent="0.35">
      <c r="A240" s="225"/>
      <c r="B240" s="100"/>
      <c r="C240"/>
      <c r="D240" s="578"/>
      <c r="E240" s="570"/>
      <c r="F240" s="570"/>
      <c r="G240" s="570"/>
      <c r="H240" s="570"/>
      <c r="I240" s="570"/>
      <c r="J240" s="570"/>
      <c r="K240" s="570"/>
      <c r="L240" s="570"/>
      <c r="M240" s="570"/>
      <c r="N240" s="570"/>
      <c r="O240" s="570"/>
      <c r="P240" s="570"/>
      <c r="Q240" s="564"/>
    </row>
    <row r="241" spans="1:17" ht="15.5" x14ac:dyDescent="0.35">
      <c r="A241" s="225"/>
      <c r="B241" s="100" t="s">
        <v>648</v>
      </c>
      <c r="C241" t="s">
        <v>649</v>
      </c>
      <c r="D241" s="578">
        <v>0</v>
      </c>
      <c r="E241" s="558"/>
      <c r="F241" s="558"/>
      <c r="G241" s="570"/>
      <c r="H241" s="558"/>
      <c r="I241" s="558"/>
      <c r="J241" s="570"/>
      <c r="K241" s="558"/>
      <c r="L241" s="558"/>
      <c r="M241" s="570"/>
      <c r="N241" s="558"/>
      <c r="O241" s="558"/>
      <c r="P241" s="570"/>
      <c r="Q241" s="564">
        <f t="shared" ref="Q241:Q243" si="165">SUM(E241:P241)</f>
        <v>0</v>
      </c>
    </row>
    <row r="242" spans="1:17" ht="15.5" x14ac:dyDescent="0.35">
      <c r="A242" s="612" t="s">
        <v>650</v>
      </c>
      <c r="B242" s="100" t="s">
        <v>651</v>
      </c>
      <c r="C242" t="s">
        <v>651</v>
      </c>
      <c r="D242" s="578"/>
      <c r="E242" s="558"/>
      <c r="F242" s="558"/>
      <c r="G242" s="570">
        <v>2000</v>
      </c>
      <c r="H242" s="558"/>
      <c r="I242" s="558"/>
      <c r="J242" s="558"/>
      <c r="K242" s="558"/>
      <c r="L242" s="558"/>
      <c r="M242" s="558"/>
      <c r="N242" s="558"/>
      <c r="O242" s="558"/>
      <c r="P242" s="558"/>
      <c r="Q242" s="564">
        <f t="shared" si="165"/>
        <v>2000</v>
      </c>
    </row>
    <row r="243" spans="1:17" ht="15.5" x14ac:dyDescent="0.35">
      <c r="A243" s="612" t="s">
        <v>650</v>
      </c>
      <c r="B243" s="100" t="s">
        <v>652</v>
      </c>
      <c r="C243" t="s">
        <v>652</v>
      </c>
      <c r="D243" s="578"/>
      <c r="E243" s="558"/>
      <c r="F243" s="558"/>
      <c r="G243" s="570">
        <v>3000</v>
      </c>
      <c r="H243" s="558"/>
      <c r="I243" s="558"/>
      <c r="J243" s="558"/>
      <c r="K243" s="558"/>
      <c r="L243" s="558"/>
      <c r="M243" s="558"/>
      <c r="N243" s="558"/>
      <c r="O243" s="558"/>
      <c r="P243" s="558"/>
      <c r="Q243" s="564">
        <f t="shared" si="165"/>
        <v>3000</v>
      </c>
    </row>
    <row r="244" spans="1:17" ht="15.5" x14ac:dyDescent="0.35">
      <c r="A244" s="225"/>
      <c r="B244" s="100" t="s">
        <v>653</v>
      </c>
      <c r="C244"/>
      <c r="D244" s="578"/>
      <c r="E244" s="558"/>
      <c r="F244" s="558"/>
      <c r="G244" s="558"/>
      <c r="H244" s="558"/>
      <c r="I244" s="558"/>
      <c r="J244" s="558"/>
      <c r="K244" s="558"/>
      <c r="L244" s="558"/>
      <c r="M244" s="558"/>
      <c r="N244" s="558"/>
      <c r="O244" s="558"/>
      <c r="P244" s="558"/>
      <c r="Q244" s="558"/>
    </row>
    <row r="245" spans="1:17" ht="15.5" x14ac:dyDescent="0.35">
      <c r="A245" s="225"/>
      <c r="B245" s="607"/>
      <c r="C245"/>
      <c r="D245"/>
      <c r="E245" s="558"/>
      <c r="F245" s="558"/>
      <c r="G245" s="558"/>
      <c r="H245" s="558"/>
      <c r="I245" s="558"/>
      <c r="J245" s="558"/>
      <c r="K245" s="558"/>
      <c r="L245" s="558"/>
      <c r="M245" s="558"/>
      <c r="N245" s="558"/>
      <c r="O245" s="558"/>
      <c r="P245" s="558"/>
      <c r="Q245" s="558"/>
    </row>
    <row r="246" spans="1:17" ht="15.5" x14ac:dyDescent="0.35">
      <c r="A246" s="617" t="s">
        <v>646</v>
      </c>
      <c r="B246" s="617"/>
      <c r="C246" s="617"/>
      <c r="D246" s="617"/>
      <c r="E246" s="618">
        <f>SUM(E238:E245)</f>
        <v>3620</v>
      </c>
      <c r="F246" s="618">
        <f t="shared" ref="F246" si="166">SUM(F238:F245)</f>
        <v>3620</v>
      </c>
      <c r="G246" s="618">
        <f t="shared" ref="G246" si="167">SUM(G238:G245)</f>
        <v>6620</v>
      </c>
      <c r="H246" s="618">
        <f t="shared" ref="H246" si="168">SUM(H238:H245)</f>
        <v>1620</v>
      </c>
      <c r="I246" s="618">
        <f t="shared" ref="I246" si="169">SUM(I238:I245)</f>
        <v>1620</v>
      </c>
      <c r="J246" s="618">
        <f t="shared" ref="J246" si="170">SUM(J238:J245)</f>
        <v>1620</v>
      </c>
      <c r="K246" s="618">
        <f t="shared" ref="K246" si="171">SUM(K238:K245)</f>
        <v>1620</v>
      </c>
      <c r="L246" s="618">
        <f t="shared" ref="L246" si="172">SUM(L238:L245)</f>
        <v>1620</v>
      </c>
      <c r="M246" s="618">
        <f t="shared" ref="M246" si="173">SUM(M238:M245)</f>
        <v>1620</v>
      </c>
      <c r="N246" s="618">
        <f t="shared" ref="N246" si="174">SUM(N238:N245)</f>
        <v>1620</v>
      </c>
      <c r="O246" s="618">
        <f t="shared" ref="O246" si="175">SUM(O238:O245)</f>
        <v>1620</v>
      </c>
      <c r="P246" s="618">
        <f t="shared" ref="P246" si="176">SUM(P238:P245)</f>
        <v>1620</v>
      </c>
      <c r="Q246" s="618">
        <f t="shared" ref="Q246" si="177">SUM(E246:P246)</f>
        <v>28440</v>
      </c>
    </row>
    <row r="247" spans="1:17" x14ac:dyDescent="0.3">
      <c r="A247" s="557"/>
      <c r="B247" s="557"/>
      <c r="C247" s="557"/>
      <c r="D247" s="557"/>
      <c r="E247" s="558"/>
      <c r="F247" s="558"/>
      <c r="G247" s="558"/>
      <c r="H247" s="558"/>
      <c r="I247" s="558"/>
      <c r="J247" s="558"/>
      <c r="K247" s="558"/>
      <c r="L247" s="558"/>
      <c r="M247" s="558"/>
      <c r="N247" s="558"/>
      <c r="O247" s="558"/>
      <c r="P247" s="558"/>
      <c r="Q247" s="558"/>
    </row>
    <row r="248" spans="1:17" ht="15.5" x14ac:dyDescent="0.35">
      <c r="A248" s="225" t="s">
        <v>654</v>
      </c>
      <c r="B248" s="100"/>
    </row>
    <row r="249" spans="1:17" ht="14.5" x14ac:dyDescent="0.35">
      <c r="A249" s="557"/>
      <c r="B249" s="100" t="s">
        <v>556</v>
      </c>
      <c r="C249" t="s">
        <v>655</v>
      </c>
      <c r="D249" s="580">
        <v>30000</v>
      </c>
      <c r="E249" s="571">
        <f t="shared" ref="E249:P254" si="178">$D249/$R$1</f>
        <v>344.82758620689657</v>
      </c>
      <c r="F249" s="571">
        <f t="shared" si="178"/>
        <v>344.82758620689657</v>
      </c>
      <c r="G249" s="571">
        <f t="shared" si="178"/>
        <v>344.82758620689657</v>
      </c>
      <c r="H249" s="571">
        <f t="shared" si="178"/>
        <v>344.82758620689657</v>
      </c>
      <c r="I249" s="571">
        <f t="shared" si="178"/>
        <v>344.82758620689657</v>
      </c>
      <c r="J249" s="571">
        <f t="shared" si="178"/>
        <v>344.82758620689657</v>
      </c>
      <c r="K249" s="571">
        <f t="shared" si="178"/>
        <v>344.82758620689657</v>
      </c>
      <c r="L249" s="571">
        <f t="shared" si="178"/>
        <v>344.82758620689657</v>
      </c>
      <c r="M249" s="571">
        <f t="shared" si="178"/>
        <v>344.82758620689657</v>
      </c>
      <c r="N249" s="571">
        <f t="shared" si="178"/>
        <v>344.82758620689657</v>
      </c>
      <c r="O249" s="571">
        <f t="shared" si="178"/>
        <v>344.82758620689657</v>
      </c>
      <c r="P249" s="571">
        <f t="shared" si="178"/>
        <v>344.82758620689657</v>
      </c>
      <c r="Q249" s="564">
        <f t="shared" ref="Q249:Q259" si="179">SUM(E249:P249)</f>
        <v>4137.93103448276</v>
      </c>
    </row>
    <row r="250" spans="1:17" ht="14.5" x14ac:dyDescent="0.35">
      <c r="A250" s="557"/>
      <c r="B250" s="100"/>
      <c r="C250" t="s">
        <v>656</v>
      </c>
      <c r="D250" s="580">
        <v>20000</v>
      </c>
      <c r="E250" s="571">
        <f t="shared" si="178"/>
        <v>229.88505747126436</v>
      </c>
      <c r="F250" s="571">
        <f t="shared" si="178"/>
        <v>229.88505747126436</v>
      </c>
      <c r="G250" s="571">
        <f t="shared" si="178"/>
        <v>229.88505747126436</v>
      </c>
      <c r="H250" s="571">
        <f t="shared" si="178"/>
        <v>229.88505747126436</v>
      </c>
      <c r="I250" s="571">
        <f t="shared" si="178"/>
        <v>229.88505747126436</v>
      </c>
      <c r="J250" s="571">
        <f t="shared" si="178"/>
        <v>229.88505747126436</v>
      </c>
      <c r="K250" s="571">
        <f t="shared" si="178"/>
        <v>229.88505747126436</v>
      </c>
      <c r="L250" s="571">
        <f t="shared" si="178"/>
        <v>229.88505747126436</v>
      </c>
      <c r="M250" s="571">
        <f t="shared" si="178"/>
        <v>229.88505747126436</v>
      </c>
      <c r="N250" s="571">
        <f t="shared" si="178"/>
        <v>229.88505747126436</v>
      </c>
      <c r="O250" s="571">
        <f t="shared" si="178"/>
        <v>229.88505747126436</v>
      </c>
      <c r="P250" s="571">
        <f t="shared" si="178"/>
        <v>229.88505747126436</v>
      </c>
      <c r="Q250" s="564">
        <f t="shared" si="179"/>
        <v>2758.6206896551721</v>
      </c>
    </row>
    <row r="251" spans="1:17" ht="14.5" x14ac:dyDescent="0.35">
      <c r="A251" s="557"/>
      <c r="B251" s="100" t="s">
        <v>657</v>
      </c>
      <c r="C251"/>
      <c r="D251" s="580"/>
      <c r="E251" s="558"/>
      <c r="F251" s="558"/>
      <c r="G251" s="558"/>
      <c r="H251" s="558"/>
      <c r="I251" s="558"/>
      <c r="J251" s="558"/>
      <c r="K251" s="558"/>
      <c r="L251" s="558"/>
      <c r="M251" s="558"/>
      <c r="N251" s="558"/>
      <c r="O251" s="558"/>
      <c r="P251" s="558"/>
      <c r="Q251" s="564">
        <f t="shared" si="179"/>
        <v>0</v>
      </c>
    </row>
    <row r="252" spans="1:17" ht="14.5" x14ac:dyDescent="0.35">
      <c r="A252" s="557"/>
      <c r="B252" s="100" t="s">
        <v>215</v>
      </c>
      <c r="C252" t="s">
        <v>658</v>
      </c>
      <c r="D252" s="580">
        <v>40000</v>
      </c>
      <c r="E252" s="571">
        <f t="shared" si="178"/>
        <v>459.77011494252872</v>
      </c>
      <c r="F252" s="571">
        <f t="shared" si="178"/>
        <v>459.77011494252872</v>
      </c>
      <c r="G252" s="571">
        <f t="shared" si="178"/>
        <v>459.77011494252872</v>
      </c>
      <c r="H252" s="571">
        <f t="shared" si="178"/>
        <v>459.77011494252872</v>
      </c>
      <c r="I252" s="571">
        <f t="shared" si="178"/>
        <v>459.77011494252872</v>
      </c>
      <c r="J252" s="571">
        <f t="shared" si="178"/>
        <v>459.77011494252872</v>
      </c>
      <c r="K252" s="571">
        <f t="shared" si="178"/>
        <v>459.77011494252872</v>
      </c>
      <c r="L252" s="571">
        <f t="shared" si="178"/>
        <v>459.77011494252872</v>
      </c>
      <c r="M252" s="571">
        <f t="shared" si="178"/>
        <v>459.77011494252872</v>
      </c>
      <c r="N252" s="571">
        <f t="shared" si="178"/>
        <v>459.77011494252872</v>
      </c>
      <c r="O252" s="571">
        <f t="shared" si="178"/>
        <v>459.77011494252872</v>
      </c>
      <c r="P252" s="571">
        <f t="shared" si="178"/>
        <v>459.77011494252872</v>
      </c>
      <c r="Q252" s="564">
        <f t="shared" si="179"/>
        <v>5517.2413793103442</v>
      </c>
    </row>
    <row r="253" spans="1:17" ht="14.5" x14ac:dyDescent="0.35">
      <c r="A253" s="557"/>
      <c r="B253" s="100"/>
      <c r="C253" t="s">
        <v>659</v>
      </c>
      <c r="D253" s="580">
        <v>20000</v>
      </c>
      <c r="E253" s="571">
        <f t="shared" si="178"/>
        <v>229.88505747126436</v>
      </c>
      <c r="F253" s="571">
        <f t="shared" si="178"/>
        <v>229.88505747126436</v>
      </c>
      <c r="G253" s="571">
        <f t="shared" si="178"/>
        <v>229.88505747126436</v>
      </c>
      <c r="H253" s="571">
        <f t="shared" si="178"/>
        <v>229.88505747126436</v>
      </c>
      <c r="I253" s="571">
        <f t="shared" si="178"/>
        <v>229.88505747126436</v>
      </c>
      <c r="J253" s="571">
        <f t="shared" si="178"/>
        <v>229.88505747126436</v>
      </c>
      <c r="K253" s="571">
        <f t="shared" si="178"/>
        <v>229.88505747126436</v>
      </c>
      <c r="L253" s="571">
        <f t="shared" si="178"/>
        <v>229.88505747126436</v>
      </c>
      <c r="M253" s="571">
        <f t="shared" si="178"/>
        <v>229.88505747126436</v>
      </c>
      <c r="N253" s="571">
        <f t="shared" si="178"/>
        <v>229.88505747126436</v>
      </c>
      <c r="O253" s="571">
        <f t="shared" si="178"/>
        <v>229.88505747126436</v>
      </c>
      <c r="P253" s="571">
        <f t="shared" si="178"/>
        <v>229.88505747126436</v>
      </c>
      <c r="Q253" s="564">
        <f t="shared" si="179"/>
        <v>2758.6206896551721</v>
      </c>
    </row>
    <row r="254" spans="1:17" ht="14.5" x14ac:dyDescent="0.35">
      <c r="A254" s="557"/>
      <c r="B254" s="100" t="s">
        <v>206</v>
      </c>
      <c r="C254" t="s">
        <v>206</v>
      </c>
      <c r="D254" s="580">
        <v>5000</v>
      </c>
      <c r="E254" s="571">
        <f t="shared" si="178"/>
        <v>57.47126436781609</v>
      </c>
      <c r="F254" s="571">
        <f t="shared" si="178"/>
        <v>57.47126436781609</v>
      </c>
      <c r="G254" s="571">
        <f t="shared" si="178"/>
        <v>57.47126436781609</v>
      </c>
      <c r="H254" s="571">
        <f t="shared" si="178"/>
        <v>57.47126436781609</v>
      </c>
      <c r="I254" s="571">
        <f t="shared" si="178"/>
        <v>57.47126436781609</v>
      </c>
      <c r="J254" s="571">
        <f t="shared" si="178"/>
        <v>57.47126436781609</v>
      </c>
      <c r="K254" s="571">
        <f t="shared" si="178"/>
        <v>57.47126436781609</v>
      </c>
      <c r="L254" s="571">
        <f t="shared" si="178"/>
        <v>57.47126436781609</v>
      </c>
      <c r="M254" s="571">
        <f t="shared" si="178"/>
        <v>57.47126436781609</v>
      </c>
      <c r="N254" s="571">
        <f t="shared" si="178"/>
        <v>57.47126436781609</v>
      </c>
      <c r="O254" s="571">
        <f t="shared" si="178"/>
        <v>57.47126436781609</v>
      </c>
      <c r="P254" s="571">
        <f t="shared" si="178"/>
        <v>57.47126436781609</v>
      </c>
      <c r="Q254" s="564">
        <f t="shared" si="179"/>
        <v>689.65517241379303</v>
      </c>
    </row>
    <row r="255" spans="1:17" ht="14.5" x14ac:dyDescent="0.35">
      <c r="A255" s="557" t="s">
        <v>497</v>
      </c>
      <c r="B255" s="100" t="s">
        <v>660</v>
      </c>
      <c r="C255" t="s">
        <v>661</v>
      </c>
      <c r="D255" s="557"/>
      <c r="E255" s="558"/>
      <c r="F255" s="558"/>
      <c r="G255" s="558"/>
      <c r="H255" s="558"/>
      <c r="I255" s="558"/>
      <c r="J255" s="558"/>
      <c r="K255" s="558"/>
      <c r="L255" s="558"/>
      <c r="M255" s="558"/>
      <c r="N255" s="558"/>
      <c r="O255" s="558"/>
      <c r="P255" s="558"/>
      <c r="Q255" s="564">
        <f t="shared" si="179"/>
        <v>0</v>
      </c>
    </row>
    <row r="256" spans="1:17" ht="14.5" x14ac:dyDescent="0.35">
      <c r="A256" s="557"/>
      <c r="B256" s="100" t="s">
        <v>642</v>
      </c>
      <c r="C256" t="s">
        <v>662</v>
      </c>
      <c r="D256" s="578">
        <v>6000</v>
      </c>
      <c r="E256" s="558"/>
      <c r="F256" s="558"/>
      <c r="G256" s="558"/>
      <c r="H256" s="558"/>
      <c r="I256" s="558"/>
      <c r="J256" s="558"/>
      <c r="K256" s="570">
        <v>6000</v>
      </c>
      <c r="L256" s="558"/>
      <c r="M256" s="558"/>
      <c r="N256" s="558"/>
      <c r="O256" s="558"/>
      <c r="P256" s="558"/>
      <c r="Q256" s="564">
        <f t="shared" si="179"/>
        <v>6000</v>
      </c>
    </row>
    <row r="257" spans="1:19" ht="14.5" x14ac:dyDescent="0.35">
      <c r="A257" s="557" t="s">
        <v>497</v>
      </c>
      <c r="B257" s="100" t="s">
        <v>663</v>
      </c>
      <c r="C257" t="s">
        <v>664</v>
      </c>
      <c r="D257" s="557"/>
      <c r="E257" s="558"/>
      <c r="F257" s="558"/>
      <c r="G257" s="558"/>
      <c r="H257" s="558"/>
      <c r="I257" s="558"/>
      <c r="J257" s="558"/>
      <c r="K257" s="558"/>
      <c r="L257" s="558"/>
      <c r="M257" s="558"/>
      <c r="N257" s="558"/>
      <c r="O257" s="558"/>
      <c r="P257" s="558"/>
      <c r="Q257" s="564">
        <f t="shared" si="179"/>
        <v>0</v>
      </c>
    </row>
    <row r="258" spans="1:19" ht="14.5" x14ac:dyDescent="0.35">
      <c r="A258" s="557" t="s">
        <v>497</v>
      </c>
      <c r="B258" s="100" t="s">
        <v>665</v>
      </c>
      <c r="C258" t="s">
        <v>665</v>
      </c>
      <c r="Q258" s="564">
        <f t="shared" si="179"/>
        <v>0</v>
      </c>
    </row>
    <row r="259" spans="1:19" ht="14.5" x14ac:dyDescent="0.35">
      <c r="A259" s="557"/>
      <c r="B259" s="100" t="s">
        <v>666</v>
      </c>
      <c r="C259" t="s">
        <v>666</v>
      </c>
      <c r="D259" s="580">
        <v>5000</v>
      </c>
      <c r="E259" s="571">
        <f t="shared" ref="E259:P259" si="180">$D259/$R$1</f>
        <v>57.47126436781609</v>
      </c>
      <c r="F259" s="571">
        <f t="shared" si="180"/>
        <v>57.47126436781609</v>
      </c>
      <c r="G259" s="571">
        <f t="shared" si="180"/>
        <v>57.47126436781609</v>
      </c>
      <c r="H259" s="571">
        <f t="shared" si="180"/>
        <v>57.47126436781609</v>
      </c>
      <c r="I259" s="571">
        <f t="shared" si="180"/>
        <v>57.47126436781609</v>
      </c>
      <c r="J259" s="571">
        <f t="shared" si="180"/>
        <v>57.47126436781609</v>
      </c>
      <c r="K259" s="571">
        <f t="shared" si="180"/>
        <v>57.47126436781609</v>
      </c>
      <c r="L259" s="571">
        <f t="shared" si="180"/>
        <v>57.47126436781609</v>
      </c>
      <c r="M259" s="571">
        <f t="shared" si="180"/>
        <v>57.47126436781609</v>
      </c>
      <c r="N259" s="571">
        <f t="shared" si="180"/>
        <v>57.47126436781609</v>
      </c>
      <c r="O259" s="571">
        <f t="shared" si="180"/>
        <v>57.47126436781609</v>
      </c>
      <c r="P259" s="571">
        <f t="shared" si="180"/>
        <v>57.47126436781609</v>
      </c>
      <c r="Q259" s="564">
        <f t="shared" si="179"/>
        <v>689.65517241379303</v>
      </c>
    </row>
    <row r="260" spans="1:19" ht="14.5" x14ac:dyDescent="0.35">
      <c r="A260" s="557" t="s">
        <v>497</v>
      </c>
      <c r="B260" s="100" t="s">
        <v>667</v>
      </c>
      <c r="C260"/>
      <c r="D260" s="580">
        <v>500000</v>
      </c>
      <c r="E260" s="571"/>
      <c r="F260" s="571">
        <f>D260/$R$1</f>
        <v>5747.1264367816093</v>
      </c>
      <c r="G260" s="571"/>
      <c r="H260" s="571"/>
      <c r="I260" s="571"/>
      <c r="J260" s="571"/>
      <c r="K260" s="571"/>
      <c r="L260" s="571"/>
      <c r="M260" s="571"/>
      <c r="N260" s="571"/>
      <c r="O260" s="571"/>
      <c r="P260" s="571"/>
      <c r="Q260" s="564"/>
    </row>
    <row r="261" spans="1:19" ht="14.5" x14ac:dyDescent="0.35">
      <c r="A261" s="557" t="s">
        <v>497</v>
      </c>
      <c r="B261" s="100" t="s">
        <v>668</v>
      </c>
      <c r="C261"/>
      <c r="Q261" s="564">
        <f t="shared" ref="Q261:Q264" si="181">SUM(E261:P261)</f>
        <v>0</v>
      </c>
    </row>
    <row r="262" spans="1:19" ht="14.5" x14ac:dyDescent="0.35">
      <c r="A262" s="557" t="s">
        <v>497</v>
      </c>
      <c r="B262" s="100" t="s">
        <v>669</v>
      </c>
      <c r="C262"/>
      <c r="Q262" s="564">
        <f t="shared" si="181"/>
        <v>0</v>
      </c>
    </row>
    <row r="263" spans="1:19" x14ac:dyDescent="0.3">
      <c r="Q263" s="564">
        <f t="shared" si="181"/>
        <v>0</v>
      </c>
    </row>
    <row r="264" spans="1:19" ht="15.5" x14ac:dyDescent="0.35">
      <c r="A264" s="617" t="s">
        <v>654</v>
      </c>
      <c r="B264" s="617"/>
      <c r="C264" s="617"/>
      <c r="D264" s="617"/>
      <c r="E264" s="618">
        <f>SUM(E249:E263)</f>
        <v>1379.3103448275863</v>
      </c>
      <c r="F264" s="618">
        <f t="shared" ref="F264:P264" si="182">SUM(F249:F263)</f>
        <v>7126.4367816091954</v>
      </c>
      <c r="G264" s="618">
        <f t="shared" si="182"/>
        <v>1379.3103448275863</v>
      </c>
      <c r="H264" s="618">
        <f t="shared" si="182"/>
        <v>1379.3103448275863</v>
      </c>
      <c r="I264" s="618">
        <f t="shared" si="182"/>
        <v>1379.3103448275863</v>
      </c>
      <c r="J264" s="618">
        <f t="shared" si="182"/>
        <v>1379.3103448275863</v>
      </c>
      <c r="K264" s="618">
        <f t="shared" si="182"/>
        <v>7379.3103448275861</v>
      </c>
      <c r="L264" s="618">
        <f t="shared" si="182"/>
        <v>1379.3103448275863</v>
      </c>
      <c r="M264" s="618">
        <f t="shared" si="182"/>
        <v>1379.3103448275863</v>
      </c>
      <c r="N264" s="618">
        <f t="shared" si="182"/>
        <v>1379.3103448275863</v>
      </c>
      <c r="O264" s="618">
        <f t="shared" si="182"/>
        <v>1379.3103448275863</v>
      </c>
      <c r="P264" s="618">
        <f t="shared" si="182"/>
        <v>1379.3103448275863</v>
      </c>
      <c r="Q264" s="618">
        <f t="shared" si="181"/>
        <v>28298.850574712651</v>
      </c>
    </row>
    <row r="267" spans="1:19" ht="15.5" x14ac:dyDescent="0.35">
      <c r="A267" s="559" t="s">
        <v>670</v>
      </c>
      <c r="B267" s="559"/>
      <c r="C267" s="559"/>
      <c r="D267" s="559"/>
      <c r="E267" s="567">
        <f t="shared" ref="E267:P267" si="183">E264+E246+E236+E228+E221+E209+E188+E177+E165+E204</f>
        <v>138560.1070104675</v>
      </c>
      <c r="F267" s="567">
        <f t="shared" si="183"/>
        <v>152608.19732161422</v>
      </c>
      <c r="G267" s="567">
        <f t="shared" si="183"/>
        <v>137037.66811676364</v>
      </c>
      <c r="H267" s="567">
        <f t="shared" si="183"/>
        <v>130266.86367217881</v>
      </c>
      <c r="I267" s="567">
        <f t="shared" si="183"/>
        <v>140469.43640268469</v>
      </c>
      <c r="J267" s="567">
        <f t="shared" si="183"/>
        <v>139252.16038749943</v>
      </c>
      <c r="K267" s="567">
        <f t="shared" si="183"/>
        <v>150428.82229864693</v>
      </c>
      <c r="L267" s="567">
        <f t="shared" si="183"/>
        <v>162685.5494177783</v>
      </c>
      <c r="M267" s="567">
        <f t="shared" si="183"/>
        <v>168316.5712733668</v>
      </c>
      <c r="N267" s="567">
        <f t="shared" si="183"/>
        <v>180510.78912973747</v>
      </c>
      <c r="O267" s="567">
        <f t="shared" si="183"/>
        <v>173440.76123259633</v>
      </c>
      <c r="P267" s="567">
        <f t="shared" si="183"/>
        <v>179049.86747678951</v>
      </c>
      <c r="Q267" s="567">
        <f t="shared" ref="Q267" si="184">SUM(E267:P267)</f>
        <v>1852626.7937401235</v>
      </c>
      <c r="S267" s="567">
        <v>1778216.018498115</v>
      </c>
    </row>
    <row r="335" spans="1:17" x14ac:dyDescent="0.3">
      <c r="A335" s="157"/>
      <c r="B335" s="157"/>
      <c r="C335" s="157"/>
      <c r="D335" s="157"/>
      <c r="E335" s="122"/>
      <c r="F335" s="122"/>
      <c r="G335" s="122"/>
      <c r="H335" s="122"/>
      <c r="I335" s="122"/>
      <c r="J335" s="122"/>
      <c r="K335" s="122"/>
      <c r="L335" s="122"/>
      <c r="M335" s="122"/>
      <c r="N335" s="122"/>
      <c r="O335" s="122"/>
      <c r="P335" s="122"/>
      <c r="Q335" s="122"/>
    </row>
    <row r="336" spans="1:17" x14ac:dyDescent="0.3">
      <c r="A336" s="158" t="s">
        <v>673</v>
      </c>
      <c r="B336" s="158"/>
      <c r="C336" s="158"/>
      <c r="D336" s="158"/>
      <c r="E336" s="107"/>
      <c r="F336" s="107"/>
      <c r="G336" s="107"/>
      <c r="H336" s="107"/>
      <c r="I336" s="107"/>
      <c r="J336" s="107"/>
      <c r="K336" s="107"/>
      <c r="L336" s="107"/>
      <c r="M336" s="107"/>
      <c r="N336" s="107"/>
      <c r="O336" s="107"/>
      <c r="P336" s="107"/>
      <c r="Q336" s="188" t="s">
        <v>674</v>
      </c>
    </row>
    <row r="337" spans="1:19" x14ac:dyDescent="0.3">
      <c r="A337" s="189" t="s">
        <v>675</v>
      </c>
      <c r="B337" s="189"/>
      <c r="C337" s="189" t="s">
        <v>490</v>
      </c>
      <c r="D337" s="189"/>
      <c r="E337" s="190">
        <v>45658</v>
      </c>
      <c r="F337" s="190">
        <v>45689</v>
      </c>
      <c r="G337" s="190">
        <v>45717</v>
      </c>
      <c r="H337" s="190">
        <v>45748</v>
      </c>
      <c r="I337" s="190">
        <v>45778</v>
      </c>
      <c r="J337" s="190">
        <v>45809</v>
      </c>
      <c r="K337" s="190">
        <v>45839</v>
      </c>
      <c r="L337" s="190">
        <v>45870</v>
      </c>
      <c r="M337" s="190">
        <v>45901</v>
      </c>
      <c r="N337" s="190">
        <v>45931</v>
      </c>
      <c r="O337" s="190">
        <v>45962</v>
      </c>
      <c r="P337" s="190">
        <v>45992</v>
      </c>
      <c r="Q337" s="191" t="s">
        <v>577</v>
      </c>
      <c r="R337" s="106" t="s">
        <v>676</v>
      </c>
      <c r="S337" s="135" t="s">
        <v>677</v>
      </c>
    </row>
    <row r="338" spans="1:19" ht="22" customHeight="1" x14ac:dyDescent="0.3">
      <c r="A338" s="192" t="s">
        <v>678</v>
      </c>
      <c r="B338" s="192"/>
      <c r="C338" s="192">
        <v>800</v>
      </c>
      <c r="D338" s="192"/>
      <c r="E338" s="122">
        <f>'2. Headcount Buildup'!F150+'2. Headcount Buildup - MBMS'!E143-SUM('2. Headcount Buildup'!F134:F136)</f>
        <v>267</v>
      </c>
      <c r="F338" s="122">
        <f>'2. Headcount Buildup'!G150+'2. Headcount Buildup - MBMS'!F143-SUM('2. Headcount Buildup'!G134:G136)</f>
        <v>267</v>
      </c>
      <c r="G338" s="122">
        <f>'2. Headcount Buildup'!H150+'2. Headcount Buildup - MBMS'!G143-SUM('2. Headcount Buildup'!H134:H136)</f>
        <v>258</v>
      </c>
      <c r="H338" s="122">
        <f>'2. Headcount Buildup'!I150+'2. Headcount Buildup - MBMS'!H143-SUM('2. Headcount Buildup'!I134:I136)</f>
        <v>258</v>
      </c>
      <c r="I338" s="122">
        <f>'2. Headcount Buildup'!J150+'2. Headcount Buildup - MBMS'!I143-SUM('2. Headcount Buildup'!J134:J136)</f>
        <v>265</v>
      </c>
      <c r="J338" s="122">
        <f>'2. Headcount Buildup'!K150+'2. Headcount Buildup - MBMS'!J143-SUM('2. Headcount Buildup'!K134:K136)</f>
        <v>265</v>
      </c>
      <c r="K338" s="122">
        <f>'2. Headcount Buildup'!L150+'2. Headcount Buildup - MBMS'!K143-SUM('2. Headcount Buildup'!L134:L136)</f>
        <v>270</v>
      </c>
      <c r="L338" s="122">
        <f>'2. Headcount Buildup'!M150+'2. Headcount Buildup - MBMS'!L143-SUM('2. Headcount Buildup'!M134:M136)</f>
        <v>298</v>
      </c>
      <c r="M338" s="122">
        <f>'2. Headcount Buildup'!N150+'2. Headcount Buildup - MBMS'!M143-SUM('2. Headcount Buildup'!N134:N136)</f>
        <v>303</v>
      </c>
      <c r="N338" s="122">
        <f>'2. Headcount Buildup'!O150+'2. Headcount Buildup - MBMS'!N143-SUM('2. Headcount Buildup'!O134:O136)</f>
        <v>308</v>
      </c>
      <c r="O338" s="122">
        <f>'2. Headcount Buildup'!P150+'2. Headcount Buildup - MBMS'!O143-SUM('2. Headcount Buildup'!P134:P136)</f>
        <v>313</v>
      </c>
      <c r="P338" s="122">
        <f>'2. Headcount Buildup'!Q150+'2. Headcount Buildup - MBMS'!P143-SUM('2. Headcount Buildup'!Q134:Q136)</f>
        <v>318</v>
      </c>
      <c r="Q338" s="122"/>
    </row>
    <row r="339" spans="1:19" x14ac:dyDescent="0.3">
      <c r="A339" s="192" t="s">
        <v>360</v>
      </c>
      <c r="B339" s="192"/>
      <c r="C339" s="192">
        <v>800</v>
      </c>
      <c r="D339" s="192"/>
      <c r="E339" s="122" t="e">
        <f>'2. Headcount Buildup'!F151+'2. Headcount Buildup - MBMS'!E144</f>
        <v>#REF!</v>
      </c>
      <c r="F339" s="122" t="e">
        <f>'2. Headcount Buildup'!G151+'2. Headcount Buildup - MBMS'!F144</f>
        <v>#REF!</v>
      </c>
      <c r="G339" s="122" t="e">
        <f>'2. Headcount Buildup'!H151+'2. Headcount Buildup - MBMS'!G144</f>
        <v>#REF!</v>
      </c>
      <c r="H339" s="122" t="e">
        <f>'2. Headcount Buildup'!I151+'2. Headcount Buildup - MBMS'!H144</f>
        <v>#REF!</v>
      </c>
      <c r="I339" s="122" t="e">
        <f>'2. Headcount Buildup'!J151+'2. Headcount Buildup - MBMS'!I144</f>
        <v>#REF!</v>
      </c>
      <c r="J339" s="122" t="e">
        <f>'2. Headcount Buildup'!K151+'2. Headcount Buildup - MBMS'!J144</f>
        <v>#REF!</v>
      </c>
      <c r="K339" s="122" t="e">
        <f>'2. Headcount Buildup'!L151+'2. Headcount Buildup - MBMS'!K144</f>
        <v>#REF!</v>
      </c>
      <c r="L339" s="122" t="e">
        <f>'2. Headcount Buildup'!M151+'2. Headcount Buildup - MBMS'!L144</f>
        <v>#REF!</v>
      </c>
      <c r="M339" s="122" t="e">
        <f>'2. Headcount Buildup'!N151+'2. Headcount Buildup - MBMS'!M144</f>
        <v>#REF!</v>
      </c>
      <c r="N339" s="122" t="e">
        <f>'2. Headcount Buildup'!O151+'2. Headcount Buildup - MBMS'!N144</f>
        <v>#REF!</v>
      </c>
      <c r="O339" s="122" t="e">
        <f>'2. Headcount Buildup'!P151+'2. Headcount Buildup - MBMS'!O144</f>
        <v>#REF!</v>
      </c>
      <c r="P339" s="122" t="e">
        <f>'2. Headcount Buildup'!Q151+'2. Headcount Buildup - MBMS'!P144</f>
        <v>#REF!</v>
      </c>
      <c r="Q339" s="122"/>
    </row>
    <row r="340" spans="1:19" x14ac:dyDescent="0.3">
      <c r="A340" s="157" t="s">
        <v>174</v>
      </c>
      <c r="B340" s="157"/>
      <c r="C340" s="157"/>
      <c r="D340" s="157"/>
      <c r="E340" s="122" t="e">
        <f>SUM(E338:E339)</f>
        <v>#REF!</v>
      </c>
      <c r="F340" s="122" t="e">
        <f t="shared" ref="F340:P340" si="185">SUM(F338:F339)</f>
        <v>#REF!</v>
      </c>
      <c r="G340" s="122" t="e">
        <f t="shared" si="185"/>
        <v>#REF!</v>
      </c>
      <c r="H340" s="122" t="e">
        <f t="shared" si="185"/>
        <v>#REF!</v>
      </c>
      <c r="I340" s="122" t="e">
        <f t="shared" si="185"/>
        <v>#REF!</v>
      </c>
      <c r="J340" s="122" t="e">
        <f t="shared" si="185"/>
        <v>#REF!</v>
      </c>
      <c r="K340" s="122" t="e">
        <f t="shared" si="185"/>
        <v>#REF!</v>
      </c>
      <c r="L340" s="122" t="e">
        <f t="shared" si="185"/>
        <v>#REF!</v>
      </c>
      <c r="M340" s="122" t="e">
        <f t="shared" si="185"/>
        <v>#REF!</v>
      </c>
      <c r="N340" s="122" t="e">
        <f t="shared" si="185"/>
        <v>#REF!</v>
      </c>
      <c r="O340" s="122" t="e">
        <f t="shared" si="185"/>
        <v>#REF!</v>
      </c>
      <c r="P340" s="122" t="e">
        <f t="shared" si="185"/>
        <v>#REF!</v>
      </c>
      <c r="Q340" s="122"/>
    </row>
    <row r="341" spans="1:19" x14ac:dyDescent="0.3">
      <c r="A341" s="157" t="s">
        <v>309</v>
      </c>
      <c r="B341" s="157"/>
      <c r="C341" s="157"/>
      <c r="D341" s="157"/>
      <c r="E341" s="122"/>
      <c r="F341" s="122"/>
      <c r="G341" s="122"/>
      <c r="H341" s="122"/>
      <c r="I341" s="122"/>
      <c r="J341" s="122"/>
      <c r="K341" s="122"/>
      <c r="L341" s="122"/>
      <c r="M341" s="122"/>
      <c r="N341" s="122"/>
      <c r="O341" s="122"/>
      <c r="P341" s="122"/>
      <c r="Q341" s="122"/>
    </row>
    <row r="342" spans="1:19" ht="14.25" customHeight="1" x14ac:dyDescent="0.3">
      <c r="A342" s="192" t="s">
        <v>678</v>
      </c>
      <c r="B342" s="192"/>
      <c r="C342" s="157"/>
      <c r="D342" s="157"/>
      <c r="E342" s="306">
        <f t="shared" ref="E342:P342" si="186">E338*$C$338</f>
        <v>213600</v>
      </c>
      <c r="F342" s="306">
        <f t="shared" si="186"/>
        <v>213600</v>
      </c>
      <c r="G342" s="306">
        <f t="shared" si="186"/>
        <v>206400</v>
      </c>
      <c r="H342" s="306">
        <f t="shared" si="186"/>
        <v>206400</v>
      </c>
      <c r="I342" s="306">
        <f t="shared" si="186"/>
        <v>212000</v>
      </c>
      <c r="J342" s="306">
        <f t="shared" si="186"/>
        <v>212000</v>
      </c>
      <c r="K342" s="306">
        <f t="shared" si="186"/>
        <v>216000</v>
      </c>
      <c r="L342" s="306">
        <f t="shared" si="186"/>
        <v>238400</v>
      </c>
      <c r="M342" s="306">
        <f t="shared" si="186"/>
        <v>242400</v>
      </c>
      <c r="N342" s="306">
        <f t="shared" si="186"/>
        <v>246400</v>
      </c>
      <c r="O342" s="306">
        <f t="shared" si="186"/>
        <v>250400</v>
      </c>
      <c r="P342" s="306">
        <f t="shared" si="186"/>
        <v>254400</v>
      </c>
      <c r="Q342" s="371">
        <f>SUM(E342:P342)</f>
        <v>2712000</v>
      </c>
      <c r="R342" s="532" t="s">
        <v>679</v>
      </c>
    </row>
    <row r="343" spans="1:19" x14ac:dyDescent="0.3">
      <c r="A343" s="192" t="s">
        <v>360</v>
      </c>
      <c r="B343" s="192"/>
      <c r="C343" s="157"/>
      <c r="D343" s="157"/>
      <c r="E343" s="306" t="e">
        <f>E339*C339</f>
        <v>#REF!</v>
      </c>
      <c r="F343" s="306" t="e">
        <f t="shared" ref="F343:P343" si="187">F339*E339</f>
        <v>#REF!</v>
      </c>
      <c r="G343" s="306" t="e">
        <f t="shared" si="187"/>
        <v>#REF!</v>
      </c>
      <c r="H343" s="306" t="e">
        <f t="shared" si="187"/>
        <v>#REF!</v>
      </c>
      <c r="I343" s="306" t="e">
        <f t="shared" si="187"/>
        <v>#REF!</v>
      </c>
      <c r="J343" s="306" t="e">
        <f t="shared" si="187"/>
        <v>#REF!</v>
      </c>
      <c r="K343" s="306" t="e">
        <f t="shared" si="187"/>
        <v>#REF!</v>
      </c>
      <c r="L343" s="306" t="e">
        <f t="shared" si="187"/>
        <v>#REF!</v>
      </c>
      <c r="M343" s="306" t="e">
        <f t="shared" si="187"/>
        <v>#REF!</v>
      </c>
      <c r="N343" s="306" t="e">
        <f t="shared" si="187"/>
        <v>#REF!</v>
      </c>
      <c r="O343" s="306" t="e">
        <f t="shared" si="187"/>
        <v>#REF!</v>
      </c>
      <c r="P343" s="306" t="e">
        <f t="shared" si="187"/>
        <v>#REF!</v>
      </c>
      <c r="Q343" s="371" t="e">
        <f>SUM(E343:P343)</f>
        <v>#REF!</v>
      </c>
    </row>
    <row r="344" spans="1:19" x14ac:dyDescent="0.3">
      <c r="A344" s="157" t="s">
        <v>174</v>
      </c>
      <c r="B344" s="157"/>
      <c r="C344" s="157"/>
      <c r="D344" s="157"/>
      <c r="E344" s="122" t="e">
        <f>SUM(E342:E343)</f>
        <v>#REF!</v>
      </c>
      <c r="F344" s="122" t="e">
        <f t="shared" ref="F344:Q344" si="188">SUM(F342:F343)</f>
        <v>#REF!</v>
      </c>
      <c r="G344" s="122" t="e">
        <f t="shared" si="188"/>
        <v>#REF!</v>
      </c>
      <c r="H344" s="122" t="e">
        <f t="shared" si="188"/>
        <v>#REF!</v>
      </c>
      <c r="I344" s="122" t="e">
        <f t="shared" si="188"/>
        <v>#REF!</v>
      </c>
      <c r="J344" s="122" t="e">
        <f t="shared" si="188"/>
        <v>#REF!</v>
      </c>
      <c r="K344" s="122" t="e">
        <f t="shared" si="188"/>
        <v>#REF!</v>
      </c>
      <c r="L344" s="122" t="e">
        <f t="shared" si="188"/>
        <v>#REF!</v>
      </c>
      <c r="M344" s="122" t="e">
        <f t="shared" si="188"/>
        <v>#REF!</v>
      </c>
      <c r="N344" s="122" t="e">
        <f t="shared" si="188"/>
        <v>#REF!</v>
      </c>
      <c r="O344" s="122" t="e">
        <f t="shared" si="188"/>
        <v>#REF!</v>
      </c>
      <c r="P344" s="122" t="e">
        <f t="shared" si="188"/>
        <v>#REF!</v>
      </c>
      <c r="Q344" s="122" t="e">
        <f t="shared" si="188"/>
        <v>#REF!</v>
      </c>
    </row>
    <row r="345" spans="1:19" x14ac:dyDescent="0.3">
      <c r="A345" s="157"/>
      <c r="B345" s="157"/>
      <c r="C345" s="157"/>
      <c r="D345" s="157"/>
      <c r="E345" s="122"/>
      <c r="F345" s="122"/>
      <c r="G345" s="122"/>
      <c r="H345" s="122"/>
      <c r="I345" s="122"/>
      <c r="J345" s="122"/>
      <c r="K345" s="122"/>
      <c r="L345" s="122"/>
      <c r="M345" s="122"/>
      <c r="N345" s="122"/>
      <c r="O345" s="122"/>
      <c r="P345" s="122"/>
      <c r="Q345" s="122"/>
    </row>
    <row r="346" spans="1:19" x14ac:dyDescent="0.3">
      <c r="A346" s="189" t="s">
        <v>680</v>
      </c>
      <c r="B346" s="189"/>
      <c r="C346" s="189" t="s">
        <v>352</v>
      </c>
      <c r="D346" s="189"/>
      <c r="E346" s="190">
        <v>45658</v>
      </c>
      <c r="F346" s="190">
        <v>45689</v>
      </c>
      <c r="G346" s="190">
        <v>45717</v>
      </c>
      <c r="H346" s="190">
        <v>45748</v>
      </c>
      <c r="I346" s="190">
        <v>45778</v>
      </c>
      <c r="J346" s="190">
        <v>45809</v>
      </c>
      <c r="K346" s="190">
        <v>45839</v>
      </c>
      <c r="L346" s="190">
        <v>45870</v>
      </c>
      <c r="M346" s="190">
        <v>45901</v>
      </c>
      <c r="N346" s="190">
        <v>45931</v>
      </c>
      <c r="O346" s="190">
        <v>45962</v>
      </c>
      <c r="P346" s="190">
        <v>45992</v>
      </c>
      <c r="Q346" s="191" t="s">
        <v>577</v>
      </c>
    </row>
    <row r="347" spans="1:19" x14ac:dyDescent="0.3">
      <c r="A347" s="192" t="s">
        <v>678</v>
      </c>
      <c r="B347" s="192"/>
      <c r="C347" s="192">
        <f>Q417/139/12</f>
        <v>790.83213429256591</v>
      </c>
      <c r="D347" s="192"/>
      <c r="E347" s="122">
        <f>E338</f>
        <v>267</v>
      </c>
      <c r="F347" s="122">
        <f t="shared" ref="F347:P347" si="189">F338</f>
        <v>267</v>
      </c>
      <c r="G347" s="122">
        <f t="shared" si="189"/>
        <v>258</v>
      </c>
      <c r="H347" s="122">
        <f t="shared" si="189"/>
        <v>258</v>
      </c>
      <c r="I347" s="122">
        <f t="shared" si="189"/>
        <v>265</v>
      </c>
      <c r="J347" s="122">
        <f t="shared" si="189"/>
        <v>265</v>
      </c>
      <c r="K347" s="122">
        <f t="shared" si="189"/>
        <v>270</v>
      </c>
      <c r="L347" s="122">
        <f t="shared" si="189"/>
        <v>298</v>
      </c>
      <c r="M347" s="122">
        <f t="shared" si="189"/>
        <v>303</v>
      </c>
      <c r="N347" s="122">
        <f t="shared" si="189"/>
        <v>308</v>
      </c>
      <c r="O347" s="122">
        <f t="shared" si="189"/>
        <v>313</v>
      </c>
      <c r="P347" s="122">
        <f t="shared" si="189"/>
        <v>318</v>
      </c>
      <c r="Q347" s="122"/>
    </row>
    <row r="348" spans="1:19" x14ac:dyDescent="0.3">
      <c r="A348" s="192" t="s">
        <v>360</v>
      </c>
      <c r="B348" s="192"/>
      <c r="C348" s="192">
        <f>C347</f>
        <v>790.83213429256591</v>
      </c>
      <c r="D348" s="192"/>
      <c r="E348" s="122" t="e">
        <f>E339</f>
        <v>#REF!</v>
      </c>
      <c r="F348" s="122" t="e">
        <f t="shared" ref="F348:P348" si="190">F339</f>
        <v>#REF!</v>
      </c>
      <c r="G348" s="122" t="e">
        <f t="shared" si="190"/>
        <v>#REF!</v>
      </c>
      <c r="H348" s="122" t="e">
        <f t="shared" si="190"/>
        <v>#REF!</v>
      </c>
      <c r="I348" s="122" t="e">
        <f t="shared" si="190"/>
        <v>#REF!</v>
      </c>
      <c r="J348" s="122" t="e">
        <f t="shared" si="190"/>
        <v>#REF!</v>
      </c>
      <c r="K348" s="122" t="e">
        <f t="shared" si="190"/>
        <v>#REF!</v>
      </c>
      <c r="L348" s="122" t="e">
        <f t="shared" si="190"/>
        <v>#REF!</v>
      </c>
      <c r="M348" s="122" t="e">
        <f t="shared" si="190"/>
        <v>#REF!</v>
      </c>
      <c r="N348" s="122" t="e">
        <f t="shared" si="190"/>
        <v>#REF!</v>
      </c>
      <c r="O348" s="122" t="e">
        <f t="shared" si="190"/>
        <v>#REF!</v>
      </c>
      <c r="P348" s="122" t="e">
        <f t="shared" si="190"/>
        <v>#REF!</v>
      </c>
      <c r="Q348" s="122"/>
    </row>
    <row r="349" spans="1:19" x14ac:dyDescent="0.3">
      <c r="A349" s="157" t="s">
        <v>174</v>
      </c>
      <c r="B349" s="157"/>
      <c r="C349" s="157"/>
      <c r="D349" s="157"/>
      <c r="E349" s="122" t="e">
        <f t="shared" ref="E349:P349" si="191">SUM(E347:E348)</f>
        <v>#REF!</v>
      </c>
      <c r="F349" s="122" t="e">
        <f t="shared" si="191"/>
        <v>#REF!</v>
      </c>
      <c r="G349" s="122" t="e">
        <f t="shared" si="191"/>
        <v>#REF!</v>
      </c>
      <c r="H349" s="122" t="e">
        <f t="shared" si="191"/>
        <v>#REF!</v>
      </c>
      <c r="I349" s="122" t="e">
        <f t="shared" si="191"/>
        <v>#REF!</v>
      </c>
      <c r="J349" s="122" t="e">
        <f t="shared" si="191"/>
        <v>#REF!</v>
      </c>
      <c r="K349" s="122" t="e">
        <f t="shared" si="191"/>
        <v>#REF!</v>
      </c>
      <c r="L349" s="122" t="e">
        <f t="shared" si="191"/>
        <v>#REF!</v>
      </c>
      <c r="M349" s="122" t="e">
        <f t="shared" si="191"/>
        <v>#REF!</v>
      </c>
      <c r="N349" s="122" t="e">
        <f t="shared" si="191"/>
        <v>#REF!</v>
      </c>
      <c r="O349" s="122" t="e">
        <f t="shared" si="191"/>
        <v>#REF!</v>
      </c>
      <c r="P349" s="122" t="e">
        <f t="shared" si="191"/>
        <v>#REF!</v>
      </c>
      <c r="Q349" s="122"/>
    </row>
    <row r="350" spans="1:19" x14ac:dyDescent="0.3">
      <c r="A350" s="157" t="s">
        <v>309</v>
      </c>
      <c r="B350" s="157"/>
      <c r="C350" s="157"/>
      <c r="D350" s="157"/>
      <c r="E350" s="122"/>
      <c r="F350" s="122"/>
      <c r="G350" s="122"/>
      <c r="H350" s="122"/>
      <c r="I350" s="122"/>
      <c r="J350" s="122"/>
      <c r="K350" s="122"/>
      <c r="L350" s="122"/>
      <c r="M350" s="122"/>
      <c r="N350" s="122"/>
      <c r="O350" s="122"/>
      <c r="P350" s="122"/>
      <c r="Q350" s="122"/>
    </row>
    <row r="351" spans="1:19" x14ac:dyDescent="0.3">
      <c r="A351" s="192" t="s">
        <v>678</v>
      </c>
      <c r="B351" s="192"/>
      <c r="C351" s="157"/>
      <c r="D351" s="157"/>
      <c r="E351" s="306">
        <f>E417</f>
        <v>105459</v>
      </c>
      <c r="F351" s="306">
        <f t="shared" ref="F351:P351" si="192">F417</f>
        <v>105459</v>
      </c>
      <c r="G351" s="306">
        <f t="shared" si="192"/>
        <v>110819</v>
      </c>
      <c r="H351" s="306">
        <f t="shared" si="192"/>
        <v>110819</v>
      </c>
      <c r="I351" s="306">
        <f t="shared" si="192"/>
        <v>110819</v>
      </c>
      <c r="J351" s="306">
        <f t="shared" si="192"/>
        <v>110819</v>
      </c>
      <c r="K351" s="306">
        <f t="shared" si="192"/>
        <v>110819</v>
      </c>
      <c r="L351" s="306">
        <f>L417</f>
        <v>110819</v>
      </c>
      <c r="M351" s="306">
        <f t="shared" si="192"/>
        <v>110819</v>
      </c>
      <c r="N351" s="306">
        <f t="shared" si="192"/>
        <v>110819</v>
      </c>
      <c r="O351" s="306">
        <f t="shared" si="192"/>
        <v>110819</v>
      </c>
      <c r="P351" s="306">
        <f t="shared" si="192"/>
        <v>110819</v>
      </c>
      <c r="Q351" s="371">
        <f>SUM(E351:P351)</f>
        <v>1319108</v>
      </c>
    </row>
    <row r="352" spans="1:19" x14ac:dyDescent="0.3">
      <c r="A352" s="192" t="s">
        <v>360</v>
      </c>
      <c r="B352" s="192"/>
      <c r="C352" s="157"/>
      <c r="D352" s="157"/>
      <c r="E352" s="306" t="e">
        <f>E348*C348</f>
        <v>#REF!</v>
      </c>
      <c r="F352" s="306" t="e">
        <f t="shared" ref="F352" si="193">F348*E348</f>
        <v>#REF!</v>
      </c>
      <c r="G352" s="306" t="e">
        <f t="shared" ref="G352" si="194">G348*F348</f>
        <v>#REF!</v>
      </c>
      <c r="H352" s="306" t="e">
        <f t="shared" ref="H352" si="195">H348*G348</f>
        <v>#REF!</v>
      </c>
      <c r="I352" s="306" t="e">
        <f t="shared" ref="I352" si="196">I348*H348</f>
        <v>#REF!</v>
      </c>
      <c r="J352" s="306" t="e">
        <f t="shared" ref="J352" si="197">J348*I348</f>
        <v>#REF!</v>
      </c>
      <c r="K352" s="306" t="e">
        <f t="shared" ref="K352" si="198">K348*J348</f>
        <v>#REF!</v>
      </c>
      <c r="L352" s="306" t="e">
        <f t="shared" ref="L352" si="199">L348*K348</f>
        <v>#REF!</v>
      </c>
      <c r="M352" s="306" t="e">
        <f t="shared" ref="M352" si="200">M348*L348</f>
        <v>#REF!</v>
      </c>
      <c r="N352" s="306" t="e">
        <f t="shared" ref="N352" si="201">N348*M348</f>
        <v>#REF!</v>
      </c>
      <c r="O352" s="306" t="e">
        <f t="shared" ref="O352" si="202">O348*N348</f>
        <v>#REF!</v>
      </c>
      <c r="P352" s="306" t="e">
        <f t="shared" ref="P352" si="203">P348*O348</f>
        <v>#REF!</v>
      </c>
      <c r="Q352" s="371" t="e">
        <f>SUM(E352:P352)</f>
        <v>#REF!</v>
      </c>
    </row>
    <row r="353" spans="1:20" x14ac:dyDescent="0.3">
      <c r="A353" s="157" t="s">
        <v>174</v>
      </c>
      <c r="B353" s="157"/>
      <c r="C353" s="157"/>
      <c r="D353" s="157"/>
      <c r="E353" s="122" t="e">
        <f t="shared" ref="E353:Q353" si="204">SUM(E351:E352)</f>
        <v>#REF!</v>
      </c>
      <c r="F353" s="122" t="e">
        <f t="shared" si="204"/>
        <v>#REF!</v>
      </c>
      <c r="G353" s="122" t="e">
        <f t="shared" si="204"/>
        <v>#REF!</v>
      </c>
      <c r="H353" s="122" t="e">
        <f t="shared" si="204"/>
        <v>#REF!</v>
      </c>
      <c r="I353" s="122" t="e">
        <f t="shared" si="204"/>
        <v>#REF!</v>
      </c>
      <c r="J353" s="122" t="e">
        <f t="shared" si="204"/>
        <v>#REF!</v>
      </c>
      <c r="K353" s="122" t="e">
        <f t="shared" si="204"/>
        <v>#REF!</v>
      </c>
      <c r="L353" s="122" t="e">
        <f t="shared" si="204"/>
        <v>#REF!</v>
      </c>
      <c r="M353" s="122" t="e">
        <f t="shared" si="204"/>
        <v>#REF!</v>
      </c>
      <c r="N353" s="122" t="e">
        <f t="shared" si="204"/>
        <v>#REF!</v>
      </c>
      <c r="O353" s="122" t="e">
        <f t="shared" si="204"/>
        <v>#REF!</v>
      </c>
      <c r="P353" s="122" t="e">
        <f t="shared" si="204"/>
        <v>#REF!</v>
      </c>
      <c r="Q353" s="122" t="e">
        <f t="shared" si="204"/>
        <v>#REF!</v>
      </c>
    </row>
    <row r="354" spans="1:20" x14ac:dyDescent="0.3">
      <c r="A354" s="157"/>
      <c r="B354" s="157"/>
      <c r="C354" s="157"/>
      <c r="D354" s="157"/>
      <c r="E354" s="122"/>
      <c r="F354" s="122"/>
      <c r="G354" s="122"/>
      <c r="H354" s="122"/>
      <c r="I354" s="122"/>
      <c r="J354" s="122"/>
      <c r="K354" s="122"/>
      <c r="L354" s="122"/>
      <c r="M354" s="122"/>
      <c r="N354" s="122"/>
      <c r="O354" s="122"/>
      <c r="P354" s="122"/>
      <c r="Q354" s="122"/>
    </row>
    <row r="355" spans="1:20" x14ac:dyDescent="0.3">
      <c r="A355" s="189" t="s">
        <v>681</v>
      </c>
      <c r="B355" s="189"/>
      <c r="C355" s="189" t="s">
        <v>490</v>
      </c>
      <c r="D355" s="189"/>
      <c r="E355" s="190">
        <v>45658</v>
      </c>
      <c r="F355" s="190">
        <v>45689</v>
      </c>
      <c r="G355" s="190">
        <v>45717</v>
      </c>
      <c r="H355" s="190">
        <v>45748</v>
      </c>
      <c r="I355" s="190">
        <v>45778</v>
      </c>
      <c r="J355" s="190">
        <v>45809</v>
      </c>
      <c r="K355" s="190">
        <v>45839</v>
      </c>
      <c r="L355" s="190">
        <v>45870</v>
      </c>
      <c r="M355" s="190">
        <v>45901</v>
      </c>
      <c r="N355" s="190">
        <v>45931</v>
      </c>
      <c r="O355" s="190">
        <v>45962</v>
      </c>
      <c r="P355" s="190">
        <v>45992</v>
      </c>
      <c r="Q355" s="191" t="s">
        <v>577</v>
      </c>
    </row>
    <row r="356" spans="1:20" x14ac:dyDescent="0.3">
      <c r="A356" s="279" t="s">
        <v>678</v>
      </c>
      <c r="B356" s="279"/>
      <c r="C356" s="279">
        <v>13000</v>
      </c>
      <c r="D356" s="279"/>
      <c r="E356" s="280" t="e">
        <f>'2. Headcount Buildup'!#REF!+'2. Headcount Buildup - MBMS'!E165</f>
        <v>#REF!</v>
      </c>
      <c r="F356" s="280" t="e">
        <f>'2. Headcount Buildup'!#REF!+'2. Headcount Buildup - MBMS'!F165</f>
        <v>#REF!</v>
      </c>
      <c r="G356" s="280" t="e">
        <f>'2. Headcount Buildup'!#REF!+'2. Headcount Buildup - MBMS'!G165</f>
        <v>#REF!</v>
      </c>
      <c r="H356" s="280" t="e">
        <f>'2. Headcount Buildup'!#REF!+'2. Headcount Buildup - MBMS'!H165</f>
        <v>#REF!</v>
      </c>
      <c r="I356" s="280" t="e">
        <f>'2. Headcount Buildup'!#REF!+'2. Headcount Buildup - MBMS'!I165</f>
        <v>#REF!</v>
      </c>
      <c r="J356" s="280" t="e">
        <f>'2. Headcount Buildup'!#REF!+'2. Headcount Buildup - MBMS'!J165</f>
        <v>#REF!</v>
      </c>
      <c r="K356" s="280" t="e">
        <f>'2. Headcount Buildup'!#REF!+'2. Headcount Buildup - MBMS'!K165</f>
        <v>#REF!</v>
      </c>
      <c r="L356" s="280" t="e">
        <f>'2. Headcount Buildup'!#REF!+'2. Headcount Buildup - MBMS'!L165</f>
        <v>#REF!</v>
      </c>
      <c r="M356" s="280" t="e">
        <f>'2. Headcount Buildup'!#REF!+'2. Headcount Buildup - MBMS'!M165</f>
        <v>#REF!</v>
      </c>
      <c r="N356" s="280" t="e">
        <f>'2. Headcount Buildup'!#REF!+'2. Headcount Buildup - MBMS'!N165</f>
        <v>#REF!</v>
      </c>
      <c r="O356" s="280" t="e">
        <f>'2. Headcount Buildup'!#REF!+'2. Headcount Buildup - MBMS'!O165</f>
        <v>#REF!</v>
      </c>
      <c r="P356" s="280" t="e">
        <f>'2. Headcount Buildup'!#REF!+'2. Headcount Buildup - MBMS'!P165</f>
        <v>#REF!</v>
      </c>
      <c r="Q356" s="280"/>
    </row>
    <row r="357" spans="1:20" x14ac:dyDescent="0.3">
      <c r="A357" s="279" t="s">
        <v>360</v>
      </c>
      <c r="B357" s="279"/>
      <c r="C357" s="279">
        <v>13000</v>
      </c>
      <c r="D357" s="279"/>
      <c r="E357" s="280" t="e">
        <f>'2. Headcount Buildup'!#REF!+'2. Headcount Buildup - MBMS'!E166</f>
        <v>#REF!</v>
      </c>
      <c r="F357" s="280" t="e">
        <f>'2. Headcount Buildup'!#REF!+'2. Headcount Buildup - MBMS'!F166</f>
        <v>#REF!</v>
      </c>
      <c r="G357" s="280" t="e">
        <f>'2. Headcount Buildup'!#REF!+'2. Headcount Buildup - MBMS'!G166</f>
        <v>#REF!</v>
      </c>
      <c r="H357" s="280" t="e">
        <f>'2. Headcount Buildup'!#REF!+'2. Headcount Buildup - MBMS'!H166</f>
        <v>#REF!</v>
      </c>
      <c r="I357" s="280" t="e">
        <f>'2. Headcount Buildup'!#REF!+'2. Headcount Buildup - MBMS'!I166</f>
        <v>#REF!</v>
      </c>
      <c r="J357" s="280" t="e">
        <f>'2. Headcount Buildup'!#REF!+'2. Headcount Buildup - MBMS'!J166</f>
        <v>#REF!</v>
      </c>
      <c r="K357" s="280" t="e">
        <f>'2. Headcount Buildup'!#REF!+'2. Headcount Buildup - MBMS'!K166</f>
        <v>#REF!</v>
      </c>
      <c r="L357" s="280" t="e">
        <f>'2. Headcount Buildup'!#REF!+'2. Headcount Buildup - MBMS'!L166</f>
        <v>#REF!</v>
      </c>
      <c r="M357" s="280" t="e">
        <f>'2. Headcount Buildup'!#REF!+'2. Headcount Buildup - MBMS'!M166</f>
        <v>#REF!</v>
      </c>
      <c r="N357" s="280" t="e">
        <f>'2. Headcount Buildup'!#REF!+'2. Headcount Buildup - MBMS'!N166</f>
        <v>#REF!</v>
      </c>
      <c r="O357" s="280" t="e">
        <f>'2. Headcount Buildup'!#REF!+'2. Headcount Buildup - MBMS'!O166</f>
        <v>#REF!</v>
      </c>
      <c r="P357" s="280" t="e">
        <f>'2. Headcount Buildup'!#REF!+'2. Headcount Buildup - MBMS'!P166</f>
        <v>#REF!</v>
      </c>
      <c r="Q357" s="280"/>
    </row>
    <row r="358" spans="1:20" x14ac:dyDescent="0.3">
      <c r="A358" s="281" t="s">
        <v>174</v>
      </c>
      <c r="B358" s="281"/>
      <c r="C358" s="281"/>
      <c r="D358" s="281"/>
      <c r="E358" s="280" t="e">
        <f t="shared" ref="E358:P358" si="205">SUM(E356:E357)</f>
        <v>#REF!</v>
      </c>
      <c r="F358" s="280" t="e">
        <f t="shared" si="205"/>
        <v>#REF!</v>
      </c>
      <c r="G358" s="280" t="e">
        <f t="shared" si="205"/>
        <v>#REF!</v>
      </c>
      <c r="H358" s="280" t="e">
        <f t="shared" si="205"/>
        <v>#REF!</v>
      </c>
      <c r="I358" s="280" t="e">
        <f t="shared" si="205"/>
        <v>#REF!</v>
      </c>
      <c r="J358" s="280" t="e">
        <f t="shared" si="205"/>
        <v>#REF!</v>
      </c>
      <c r="K358" s="280" t="e">
        <f t="shared" si="205"/>
        <v>#REF!</v>
      </c>
      <c r="L358" s="280" t="e">
        <f t="shared" si="205"/>
        <v>#REF!</v>
      </c>
      <c r="M358" s="280" t="e">
        <f t="shared" si="205"/>
        <v>#REF!</v>
      </c>
      <c r="N358" s="280" t="e">
        <f t="shared" si="205"/>
        <v>#REF!</v>
      </c>
      <c r="O358" s="280" t="e">
        <f t="shared" si="205"/>
        <v>#REF!</v>
      </c>
      <c r="P358" s="280" t="e">
        <f t="shared" si="205"/>
        <v>#REF!</v>
      </c>
      <c r="Q358" s="280"/>
    </row>
    <row r="359" spans="1:20" x14ac:dyDescent="0.3">
      <c r="A359" s="281" t="s">
        <v>309</v>
      </c>
      <c r="B359" s="281"/>
      <c r="C359" s="281"/>
      <c r="D359" s="281"/>
      <c r="E359" s="280"/>
      <c r="F359" s="280"/>
      <c r="G359" s="280"/>
      <c r="H359" s="280"/>
      <c r="I359" s="280"/>
      <c r="J359" s="280"/>
      <c r="K359" s="280"/>
      <c r="L359" s="280"/>
      <c r="M359" s="280"/>
      <c r="N359" s="280"/>
      <c r="O359" s="280"/>
      <c r="P359" s="280"/>
      <c r="Q359" s="280"/>
    </row>
    <row r="360" spans="1:20" x14ac:dyDescent="0.3">
      <c r="A360" s="279" t="s">
        <v>678</v>
      </c>
      <c r="B360" s="279"/>
      <c r="C360" s="281"/>
      <c r="D360" s="281"/>
      <c r="E360" s="282">
        <v>275000</v>
      </c>
      <c r="F360" s="282">
        <v>275000</v>
      </c>
      <c r="G360" s="282">
        <v>275000</v>
      </c>
      <c r="H360" s="282">
        <v>275000</v>
      </c>
      <c r="I360" s="282">
        <v>275000</v>
      </c>
      <c r="J360" s="282">
        <v>275000</v>
      </c>
      <c r="K360" s="282">
        <v>275000</v>
      </c>
      <c r="L360" s="282">
        <v>275000</v>
      </c>
      <c r="M360" s="282">
        <v>275000</v>
      </c>
      <c r="N360" s="282">
        <v>275000</v>
      </c>
      <c r="O360" s="282">
        <v>275000</v>
      </c>
      <c r="P360" s="282">
        <v>275000</v>
      </c>
      <c r="Q360" s="280">
        <f>SUM(E360:P360)</f>
        <v>3300000</v>
      </c>
      <c r="R360" s="239" t="s">
        <v>682</v>
      </c>
    </row>
    <row r="361" spans="1:20" x14ac:dyDescent="0.3">
      <c r="A361" s="279" t="s">
        <v>360</v>
      </c>
      <c r="B361" s="279"/>
      <c r="C361" s="281"/>
      <c r="D361" s="281"/>
      <c r="E361" s="282" t="e">
        <f>$C$357*E357</f>
        <v>#REF!</v>
      </c>
      <c r="F361" s="282" t="e">
        <f t="shared" ref="F361:P361" si="206">$C$357*F357</f>
        <v>#REF!</v>
      </c>
      <c r="G361" s="282" t="e">
        <f t="shared" si="206"/>
        <v>#REF!</v>
      </c>
      <c r="H361" s="282" t="e">
        <f t="shared" si="206"/>
        <v>#REF!</v>
      </c>
      <c r="I361" s="282" t="e">
        <f t="shared" si="206"/>
        <v>#REF!</v>
      </c>
      <c r="J361" s="282" t="e">
        <f t="shared" si="206"/>
        <v>#REF!</v>
      </c>
      <c r="K361" s="282" t="e">
        <f t="shared" si="206"/>
        <v>#REF!</v>
      </c>
      <c r="L361" s="282" t="e">
        <f t="shared" si="206"/>
        <v>#REF!</v>
      </c>
      <c r="M361" s="282" t="e">
        <f t="shared" si="206"/>
        <v>#REF!</v>
      </c>
      <c r="N361" s="282" t="e">
        <f t="shared" si="206"/>
        <v>#REF!</v>
      </c>
      <c r="O361" s="282" t="e">
        <f t="shared" si="206"/>
        <v>#REF!</v>
      </c>
      <c r="P361" s="282" t="e">
        <f t="shared" si="206"/>
        <v>#REF!</v>
      </c>
      <c r="Q361" s="280" t="e">
        <f>SUM(E361:P361)</f>
        <v>#REF!</v>
      </c>
    </row>
    <row r="362" spans="1:20" x14ac:dyDescent="0.3">
      <c r="A362" s="157" t="s">
        <v>174</v>
      </c>
      <c r="B362" s="157"/>
      <c r="C362" s="157"/>
      <c r="D362" s="157"/>
      <c r="E362" s="122" t="e">
        <f t="shared" ref="E362:Q362" si="207">SUM(E360:E361)</f>
        <v>#REF!</v>
      </c>
      <c r="F362" s="122" t="e">
        <f t="shared" si="207"/>
        <v>#REF!</v>
      </c>
      <c r="G362" s="122" t="e">
        <f t="shared" si="207"/>
        <v>#REF!</v>
      </c>
      <c r="H362" s="122" t="e">
        <f t="shared" si="207"/>
        <v>#REF!</v>
      </c>
      <c r="I362" s="122" t="e">
        <f t="shared" si="207"/>
        <v>#REF!</v>
      </c>
      <c r="J362" s="122" t="e">
        <f t="shared" si="207"/>
        <v>#REF!</v>
      </c>
      <c r="K362" s="122" t="e">
        <f t="shared" si="207"/>
        <v>#REF!</v>
      </c>
      <c r="L362" s="122" t="e">
        <f t="shared" si="207"/>
        <v>#REF!</v>
      </c>
      <c r="M362" s="122" t="e">
        <f t="shared" si="207"/>
        <v>#REF!</v>
      </c>
      <c r="N362" s="122" t="e">
        <f t="shared" si="207"/>
        <v>#REF!</v>
      </c>
      <c r="O362" s="122" t="e">
        <f t="shared" si="207"/>
        <v>#REF!</v>
      </c>
      <c r="P362" s="122" t="e">
        <f t="shared" si="207"/>
        <v>#REF!</v>
      </c>
      <c r="Q362" s="122" t="e">
        <f t="shared" si="207"/>
        <v>#REF!</v>
      </c>
      <c r="R362" s="122"/>
      <c r="T362" s="136"/>
    </row>
    <row r="363" spans="1:20" x14ac:dyDescent="0.3">
      <c r="A363" s="157"/>
      <c r="B363" s="157"/>
      <c r="C363" s="157"/>
      <c r="D363" s="157"/>
      <c r="E363" s="122"/>
      <c r="F363" s="122"/>
      <c r="G363" s="122"/>
      <c r="H363" s="122"/>
      <c r="I363" s="122"/>
      <c r="J363" s="122"/>
      <c r="K363" s="122"/>
      <c r="L363" s="122"/>
      <c r="M363" s="122"/>
      <c r="N363" s="122"/>
      <c r="O363" s="122"/>
      <c r="P363" s="122"/>
      <c r="Q363" s="122"/>
      <c r="R363" s="265"/>
    </row>
    <row r="364" spans="1:20" x14ac:dyDescent="0.3">
      <c r="A364" s="189" t="s">
        <v>683</v>
      </c>
      <c r="B364" s="189"/>
      <c r="C364" s="189" t="s">
        <v>490</v>
      </c>
      <c r="D364" s="189"/>
      <c r="E364" s="190">
        <v>45658</v>
      </c>
      <c r="F364" s="190">
        <v>45689</v>
      </c>
      <c r="G364" s="190">
        <v>45717</v>
      </c>
      <c r="H364" s="190">
        <v>45748</v>
      </c>
      <c r="I364" s="190">
        <v>45778</v>
      </c>
      <c r="J364" s="190">
        <v>45809</v>
      </c>
      <c r="K364" s="190">
        <v>45839</v>
      </c>
      <c r="L364" s="190">
        <v>45870</v>
      </c>
      <c r="M364" s="190">
        <v>45901</v>
      </c>
      <c r="N364" s="190">
        <v>45931</v>
      </c>
      <c r="O364" s="190">
        <v>45962</v>
      </c>
      <c r="P364" s="190">
        <v>45992</v>
      </c>
      <c r="Q364" s="191" t="s">
        <v>577</v>
      </c>
    </row>
    <row r="365" spans="1:20" x14ac:dyDescent="0.3">
      <c r="A365" s="192" t="s">
        <v>678</v>
      </c>
      <c r="B365" s="192"/>
      <c r="C365" s="192">
        <f>Q433/139/12</f>
        <v>6.9172661870503598</v>
      </c>
      <c r="D365" s="192"/>
      <c r="E365" s="122">
        <f>E347</f>
        <v>267</v>
      </c>
      <c r="F365" s="122">
        <f t="shared" ref="F365:P365" si="208">F347</f>
        <v>267</v>
      </c>
      <c r="G365" s="122">
        <f t="shared" si="208"/>
        <v>258</v>
      </c>
      <c r="H365" s="122">
        <f t="shared" si="208"/>
        <v>258</v>
      </c>
      <c r="I365" s="122">
        <f t="shared" si="208"/>
        <v>265</v>
      </c>
      <c r="J365" s="122">
        <f t="shared" si="208"/>
        <v>265</v>
      </c>
      <c r="K365" s="122">
        <f t="shared" si="208"/>
        <v>270</v>
      </c>
      <c r="L365" s="122">
        <f t="shared" si="208"/>
        <v>298</v>
      </c>
      <c r="M365" s="122">
        <f t="shared" si="208"/>
        <v>303</v>
      </c>
      <c r="N365" s="122">
        <f t="shared" si="208"/>
        <v>308</v>
      </c>
      <c r="O365" s="122">
        <f t="shared" si="208"/>
        <v>313</v>
      </c>
      <c r="P365" s="122">
        <f t="shared" si="208"/>
        <v>318</v>
      </c>
      <c r="Q365" s="122"/>
    </row>
    <row r="366" spans="1:20" x14ac:dyDescent="0.3">
      <c r="A366" s="192" t="s">
        <v>360</v>
      </c>
      <c r="B366" s="192"/>
      <c r="C366" s="192">
        <f>C365</f>
        <v>6.9172661870503598</v>
      </c>
      <c r="D366" s="192"/>
      <c r="E366" s="122" t="e">
        <f>E348</f>
        <v>#REF!</v>
      </c>
      <c r="F366" s="122" t="e">
        <f t="shared" ref="F366:P366" si="209">F348</f>
        <v>#REF!</v>
      </c>
      <c r="G366" s="122" t="e">
        <f t="shared" si="209"/>
        <v>#REF!</v>
      </c>
      <c r="H366" s="122" t="e">
        <f t="shared" si="209"/>
        <v>#REF!</v>
      </c>
      <c r="I366" s="122" t="e">
        <f t="shared" si="209"/>
        <v>#REF!</v>
      </c>
      <c r="J366" s="122" t="e">
        <f t="shared" si="209"/>
        <v>#REF!</v>
      </c>
      <c r="K366" s="122" t="e">
        <f t="shared" si="209"/>
        <v>#REF!</v>
      </c>
      <c r="L366" s="122" t="e">
        <f t="shared" si="209"/>
        <v>#REF!</v>
      </c>
      <c r="M366" s="122" t="e">
        <f t="shared" si="209"/>
        <v>#REF!</v>
      </c>
      <c r="N366" s="122" t="e">
        <f t="shared" si="209"/>
        <v>#REF!</v>
      </c>
      <c r="O366" s="122" t="e">
        <f t="shared" si="209"/>
        <v>#REF!</v>
      </c>
      <c r="P366" s="122" t="e">
        <f t="shared" si="209"/>
        <v>#REF!</v>
      </c>
      <c r="Q366" s="122"/>
    </row>
    <row r="367" spans="1:20" x14ac:dyDescent="0.3">
      <c r="A367" s="157" t="s">
        <v>174</v>
      </c>
      <c r="B367" s="157"/>
      <c r="C367" s="157"/>
      <c r="D367" s="157"/>
      <c r="E367" s="122" t="e">
        <f t="shared" ref="E367:P367" si="210">SUM(E365:E366)</f>
        <v>#REF!</v>
      </c>
      <c r="F367" s="122" t="e">
        <f t="shared" si="210"/>
        <v>#REF!</v>
      </c>
      <c r="G367" s="122" t="e">
        <f t="shared" si="210"/>
        <v>#REF!</v>
      </c>
      <c r="H367" s="122" t="e">
        <f t="shared" si="210"/>
        <v>#REF!</v>
      </c>
      <c r="I367" s="122" t="e">
        <f t="shared" si="210"/>
        <v>#REF!</v>
      </c>
      <c r="J367" s="122" t="e">
        <f t="shared" si="210"/>
        <v>#REF!</v>
      </c>
      <c r="K367" s="122" t="e">
        <f t="shared" si="210"/>
        <v>#REF!</v>
      </c>
      <c r="L367" s="122" t="e">
        <f t="shared" si="210"/>
        <v>#REF!</v>
      </c>
      <c r="M367" s="122" t="e">
        <f t="shared" si="210"/>
        <v>#REF!</v>
      </c>
      <c r="N367" s="122" t="e">
        <f t="shared" si="210"/>
        <v>#REF!</v>
      </c>
      <c r="O367" s="122" t="e">
        <f t="shared" si="210"/>
        <v>#REF!</v>
      </c>
      <c r="P367" s="122" t="e">
        <f t="shared" si="210"/>
        <v>#REF!</v>
      </c>
      <c r="Q367" s="122"/>
    </row>
    <row r="368" spans="1:20" x14ac:dyDescent="0.3">
      <c r="A368" s="157" t="s">
        <v>309</v>
      </c>
      <c r="B368" s="157"/>
      <c r="C368" s="157"/>
      <c r="D368" s="157"/>
      <c r="E368" s="122"/>
      <c r="F368" s="122"/>
      <c r="G368" s="122"/>
      <c r="H368" s="122"/>
      <c r="I368" s="122"/>
      <c r="J368" s="122"/>
      <c r="K368" s="122"/>
      <c r="L368" s="122"/>
      <c r="M368" s="122"/>
      <c r="N368" s="122"/>
      <c r="O368" s="122"/>
      <c r="P368" s="122"/>
      <c r="Q368" s="122"/>
    </row>
    <row r="369" spans="1:17" x14ac:dyDescent="0.3">
      <c r="A369" s="192" t="s">
        <v>678</v>
      </c>
      <c r="B369" s="192"/>
      <c r="C369" s="157"/>
      <c r="D369" s="157"/>
      <c r="E369" s="306">
        <f>E433</f>
        <v>0</v>
      </c>
      <c r="F369" s="306">
        <f t="shared" ref="F369:P369" si="211">F433</f>
        <v>0</v>
      </c>
      <c r="G369" s="306">
        <f t="shared" si="211"/>
        <v>1030</v>
      </c>
      <c r="H369" s="306">
        <f t="shared" si="211"/>
        <v>0</v>
      </c>
      <c r="I369" s="306">
        <f t="shared" si="211"/>
        <v>0</v>
      </c>
      <c r="J369" s="306">
        <f t="shared" si="211"/>
        <v>7881</v>
      </c>
      <c r="K369" s="306">
        <f t="shared" si="211"/>
        <v>0</v>
      </c>
      <c r="L369" s="306">
        <f t="shared" si="211"/>
        <v>0</v>
      </c>
      <c r="M369" s="306">
        <f t="shared" si="211"/>
        <v>2627</v>
      </c>
      <c r="N369" s="306">
        <f t="shared" si="211"/>
        <v>0</v>
      </c>
      <c r="O369" s="306">
        <f t="shared" si="211"/>
        <v>0</v>
      </c>
      <c r="P369" s="306">
        <f t="shared" si="211"/>
        <v>0</v>
      </c>
      <c r="Q369" s="371">
        <f>SUM(E369:P369)</f>
        <v>11538</v>
      </c>
    </row>
    <row r="370" spans="1:17" x14ac:dyDescent="0.3">
      <c r="A370" s="192" t="s">
        <v>360</v>
      </c>
      <c r="B370" s="192"/>
      <c r="C370" s="157"/>
      <c r="D370" s="157"/>
      <c r="E370" s="306" t="e">
        <f>E366*$C366</f>
        <v>#REF!</v>
      </c>
      <c r="F370" s="306" t="e">
        <f t="shared" ref="F370:P370" si="212">F366*$C366</f>
        <v>#REF!</v>
      </c>
      <c r="G370" s="306" t="e">
        <f t="shared" si="212"/>
        <v>#REF!</v>
      </c>
      <c r="H370" s="306" t="e">
        <f t="shared" si="212"/>
        <v>#REF!</v>
      </c>
      <c r="I370" s="306" t="e">
        <f t="shared" si="212"/>
        <v>#REF!</v>
      </c>
      <c r="J370" s="306" t="e">
        <f t="shared" si="212"/>
        <v>#REF!</v>
      </c>
      <c r="K370" s="306" t="e">
        <f t="shared" si="212"/>
        <v>#REF!</v>
      </c>
      <c r="L370" s="306" t="e">
        <f t="shared" si="212"/>
        <v>#REF!</v>
      </c>
      <c r="M370" s="306" t="e">
        <f t="shared" si="212"/>
        <v>#REF!</v>
      </c>
      <c r="N370" s="306" t="e">
        <f t="shared" si="212"/>
        <v>#REF!</v>
      </c>
      <c r="O370" s="306" t="e">
        <f t="shared" si="212"/>
        <v>#REF!</v>
      </c>
      <c r="P370" s="306" t="e">
        <f t="shared" si="212"/>
        <v>#REF!</v>
      </c>
      <c r="Q370" s="371" t="e">
        <f>SUM(E370:P370)</f>
        <v>#REF!</v>
      </c>
    </row>
    <row r="371" spans="1:17" x14ac:dyDescent="0.3">
      <c r="A371" s="157" t="s">
        <v>174</v>
      </c>
      <c r="B371" s="157"/>
      <c r="C371" s="157"/>
      <c r="D371" s="157"/>
      <c r="E371" s="122" t="e">
        <f t="shared" ref="E371:Q371" si="213">SUM(E369:E370)</f>
        <v>#REF!</v>
      </c>
      <c r="F371" s="122" t="e">
        <f t="shared" si="213"/>
        <v>#REF!</v>
      </c>
      <c r="G371" s="122" t="e">
        <f t="shared" si="213"/>
        <v>#REF!</v>
      </c>
      <c r="H371" s="122" t="e">
        <f t="shared" si="213"/>
        <v>#REF!</v>
      </c>
      <c r="I371" s="122" t="e">
        <f t="shared" si="213"/>
        <v>#REF!</v>
      </c>
      <c r="J371" s="122" t="e">
        <f t="shared" si="213"/>
        <v>#REF!</v>
      </c>
      <c r="K371" s="122" t="e">
        <f t="shared" si="213"/>
        <v>#REF!</v>
      </c>
      <c r="L371" s="122" t="e">
        <f t="shared" si="213"/>
        <v>#REF!</v>
      </c>
      <c r="M371" s="122" t="e">
        <f t="shared" si="213"/>
        <v>#REF!</v>
      </c>
      <c r="N371" s="122" t="e">
        <f t="shared" si="213"/>
        <v>#REF!</v>
      </c>
      <c r="O371" s="122" t="e">
        <f t="shared" si="213"/>
        <v>#REF!</v>
      </c>
      <c r="P371" s="122" t="e">
        <f t="shared" si="213"/>
        <v>#REF!</v>
      </c>
      <c r="Q371" s="122" t="e">
        <f t="shared" si="213"/>
        <v>#REF!</v>
      </c>
    </row>
    <row r="372" spans="1:17" x14ac:dyDescent="0.3">
      <c r="A372" s="157"/>
      <c r="B372" s="157"/>
      <c r="C372" s="157"/>
      <c r="D372" s="157"/>
      <c r="E372" s="122"/>
      <c r="F372" s="122"/>
      <c r="G372" s="122"/>
      <c r="H372" s="122" t="e">
        <f>H369+H353+H405</f>
        <v>#REF!</v>
      </c>
      <c r="I372" s="122"/>
      <c r="J372" s="122"/>
      <c r="K372" s="122"/>
      <c r="L372" s="122"/>
      <c r="M372" s="122"/>
      <c r="N372" s="122"/>
      <c r="O372" s="122"/>
      <c r="P372" s="122"/>
      <c r="Q372" s="122"/>
    </row>
    <row r="373" spans="1:17" x14ac:dyDescent="0.3">
      <c r="A373" s="189" t="s">
        <v>684</v>
      </c>
      <c r="B373" s="189"/>
      <c r="C373" s="189" t="s">
        <v>490</v>
      </c>
      <c r="D373" s="189"/>
      <c r="E373" s="190">
        <v>45658</v>
      </c>
      <c r="F373" s="190">
        <v>45689</v>
      </c>
      <c r="G373" s="190">
        <v>45717</v>
      </c>
      <c r="H373" s="190">
        <v>45748</v>
      </c>
      <c r="I373" s="190">
        <v>45778</v>
      </c>
      <c r="J373" s="190">
        <v>45809</v>
      </c>
      <c r="K373" s="190">
        <v>45839</v>
      </c>
      <c r="L373" s="190">
        <v>45870</v>
      </c>
      <c r="M373" s="190">
        <v>45901</v>
      </c>
      <c r="N373" s="190">
        <v>45931</v>
      </c>
      <c r="O373" s="190">
        <v>45962</v>
      </c>
      <c r="P373" s="190">
        <v>45992</v>
      </c>
      <c r="Q373" s="191" t="s">
        <v>577</v>
      </c>
    </row>
    <row r="374" spans="1:17" x14ac:dyDescent="0.3">
      <c r="A374" s="192" t="s">
        <v>678</v>
      </c>
      <c r="B374" s="192"/>
      <c r="C374" s="315">
        <f>(Q452+Q468+Q475+Q482)/139/12</f>
        <v>979.58033573141483</v>
      </c>
      <c r="D374" s="315"/>
      <c r="E374" s="122">
        <f>E338</f>
        <v>267</v>
      </c>
      <c r="F374" s="122">
        <f t="shared" ref="F374:P374" si="214">F338</f>
        <v>267</v>
      </c>
      <c r="G374" s="122">
        <f t="shared" si="214"/>
        <v>258</v>
      </c>
      <c r="H374" s="122">
        <f t="shared" si="214"/>
        <v>258</v>
      </c>
      <c r="I374" s="122">
        <f t="shared" si="214"/>
        <v>265</v>
      </c>
      <c r="J374" s="122">
        <f t="shared" si="214"/>
        <v>265</v>
      </c>
      <c r="K374" s="122">
        <f t="shared" si="214"/>
        <v>270</v>
      </c>
      <c r="L374" s="122">
        <f t="shared" si="214"/>
        <v>298</v>
      </c>
      <c r="M374" s="122">
        <f t="shared" si="214"/>
        <v>303</v>
      </c>
      <c r="N374" s="122">
        <f t="shared" si="214"/>
        <v>308</v>
      </c>
      <c r="O374" s="122">
        <f t="shared" si="214"/>
        <v>313</v>
      </c>
      <c r="P374" s="122">
        <f t="shared" si="214"/>
        <v>318</v>
      </c>
      <c r="Q374" s="122"/>
    </row>
    <row r="375" spans="1:17" x14ac:dyDescent="0.3">
      <c r="A375" s="192" t="s">
        <v>360</v>
      </c>
      <c r="B375" s="192"/>
      <c r="C375" s="192">
        <f>C374</f>
        <v>979.58033573141483</v>
      </c>
      <c r="D375" s="192"/>
      <c r="E375" s="122" t="e">
        <f>E339</f>
        <v>#REF!</v>
      </c>
      <c r="F375" s="122" t="e">
        <f t="shared" ref="F375:P375" si="215">F339</f>
        <v>#REF!</v>
      </c>
      <c r="G375" s="122" t="e">
        <f t="shared" si="215"/>
        <v>#REF!</v>
      </c>
      <c r="H375" s="122" t="e">
        <f t="shared" si="215"/>
        <v>#REF!</v>
      </c>
      <c r="I375" s="122" t="e">
        <f t="shared" si="215"/>
        <v>#REF!</v>
      </c>
      <c r="J375" s="122" t="e">
        <f t="shared" si="215"/>
        <v>#REF!</v>
      </c>
      <c r="K375" s="122" t="e">
        <f t="shared" si="215"/>
        <v>#REF!</v>
      </c>
      <c r="L375" s="122" t="e">
        <f t="shared" si="215"/>
        <v>#REF!</v>
      </c>
      <c r="M375" s="122" t="e">
        <f t="shared" si="215"/>
        <v>#REF!</v>
      </c>
      <c r="N375" s="122" t="e">
        <f t="shared" si="215"/>
        <v>#REF!</v>
      </c>
      <c r="O375" s="122" t="e">
        <f t="shared" si="215"/>
        <v>#REF!</v>
      </c>
      <c r="P375" s="122" t="e">
        <f t="shared" si="215"/>
        <v>#REF!</v>
      </c>
      <c r="Q375" s="122"/>
    </row>
    <row r="376" spans="1:17" x14ac:dyDescent="0.3">
      <c r="A376" s="157" t="s">
        <v>174</v>
      </c>
      <c r="B376" s="157"/>
      <c r="C376" s="157"/>
      <c r="D376" s="157"/>
      <c r="E376" s="122" t="e">
        <f t="shared" ref="E376:P376" si="216">SUM(E374:E375)</f>
        <v>#REF!</v>
      </c>
      <c r="F376" s="122" t="e">
        <f t="shared" si="216"/>
        <v>#REF!</v>
      </c>
      <c r="G376" s="122" t="e">
        <f t="shared" si="216"/>
        <v>#REF!</v>
      </c>
      <c r="H376" s="122" t="e">
        <f t="shared" si="216"/>
        <v>#REF!</v>
      </c>
      <c r="I376" s="122" t="e">
        <f t="shared" si="216"/>
        <v>#REF!</v>
      </c>
      <c r="J376" s="122" t="e">
        <f t="shared" si="216"/>
        <v>#REF!</v>
      </c>
      <c r="K376" s="122" t="e">
        <f t="shared" si="216"/>
        <v>#REF!</v>
      </c>
      <c r="L376" s="122" t="e">
        <f t="shared" si="216"/>
        <v>#REF!</v>
      </c>
      <c r="M376" s="122" t="e">
        <f t="shared" si="216"/>
        <v>#REF!</v>
      </c>
      <c r="N376" s="122" t="e">
        <f t="shared" si="216"/>
        <v>#REF!</v>
      </c>
      <c r="O376" s="122" t="e">
        <f t="shared" si="216"/>
        <v>#REF!</v>
      </c>
      <c r="P376" s="122" t="e">
        <f t="shared" si="216"/>
        <v>#REF!</v>
      </c>
      <c r="Q376" s="122"/>
    </row>
    <row r="377" spans="1:17" x14ac:dyDescent="0.3">
      <c r="A377" s="157" t="s">
        <v>309</v>
      </c>
      <c r="B377" s="157"/>
      <c r="C377" s="157"/>
      <c r="D377" s="157"/>
      <c r="E377" s="122"/>
      <c r="F377" s="122"/>
      <c r="G377" s="122"/>
      <c r="H377" s="122"/>
      <c r="I377" s="122"/>
      <c r="J377" s="122"/>
      <c r="K377" s="122"/>
      <c r="L377" s="122"/>
      <c r="M377" s="122"/>
      <c r="N377" s="122"/>
      <c r="O377" s="122"/>
      <c r="P377" s="122"/>
      <c r="Q377" s="122"/>
    </row>
    <row r="378" spans="1:17" x14ac:dyDescent="0.3">
      <c r="A378" s="192" t="s">
        <v>678</v>
      </c>
      <c r="B378" s="192"/>
      <c r="C378" s="157"/>
      <c r="D378" s="157"/>
      <c r="E378" s="306">
        <f>E374*$C374</f>
        <v>261547.94964028776</v>
      </c>
      <c r="F378" s="306">
        <f t="shared" ref="F378:P378" si="217">F374*$C374</f>
        <v>261547.94964028776</v>
      </c>
      <c r="G378" s="306">
        <f t="shared" si="217"/>
        <v>252731.72661870503</v>
      </c>
      <c r="H378" s="306">
        <f t="shared" si="217"/>
        <v>252731.72661870503</v>
      </c>
      <c r="I378" s="306">
        <f t="shared" si="217"/>
        <v>259588.78896882493</v>
      </c>
      <c r="J378" s="306">
        <f t="shared" si="217"/>
        <v>259588.78896882493</v>
      </c>
      <c r="K378" s="306">
        <f t="shared" si="217"/>
        <v>264486.690647482</v>
      </c>
      <c r="L378" s="306">
        <f t="shared" si="217"/>
        <v>291914.9400479616</v>
      </c>
      <c r="M378" s="306">
        <f t="shared" si="217"/>
        <v>296812.8417266187</v>
      </c>
      <c r="N378" s="306">
        <f t="shared" si="217"/>
        <v>301710.74340527575</v>
      </c>
      <c r="O378" s="306">
        <f t="shared" si="217"/>
        <v>306608.64508393285</v>
      </c>
      <c r="P378" s="306">
        <f t="shared" si="217"/>
        <v>311506.54676258989</v>
      </c>
      <c r="Q378" s="371">
        <f>SUM(E378:P378)</f>
        <v>3320777.3381294962</v>
      </c>
    </row>
    <row r="379" spans="1:17" x14ac:dyDescent="0.3">
      <c r="A379" s="192" t="s">
        <v>360</v>
      </c>
      <c r="B379" s="192"/>
      <c r="E379" s="306" t="e">
        <f>E375*$C375</f>
        <v>#REF!</v>
      </c>
      <c r="F379" s="306" t="e">
        <f t="shared" ref="F379:P379" si="218">F375*$C375</f>
        <v>#REF!</v>
      </c>
      <c r="G379" s="306" t="e">
        <f t="shared" si="218"/>
        <v>#REF!</v>
      </c>
      <c r="H379" s="306" t="e">
        <f t="shared" si="218"/>
        <v>#REF!</v>
      </c>
      <c r="I379" s="306" t="e">
        <f t="shared" si="218"/>
        <v>#REF!</v>
      </c>
      <c r="J379" s="306" t="e">
        <f t="shared" si="218"/>
        <v>#REF!</v>
      </c>
      <c r="K379" s="306" t="e">
        <f t="shared" si="218"/>
        <v>#REF!</v>
      </c>
      <c r="L379" s="306" t="e">
        <f t="shared" si="218"/>
        <v>#REF!</v>
      </c>
      <c r="M379" s="306" t="e">
        <f t="shared" si="218"/>
        <v>#REF!</v>
      </c>
      <c r="N379" s="306" t="e">
        <f t="shared" si="218"/>
        <v>#REF!</v>
      </c>
      <c r="O379" s="306" t="e">
        <f t="shared" si="218"/>
        <v>#REF!</v>
      </c>
      <c r="P379" s="306" t="e">
        <f t="shared" si="218"/>
        <v>#REF!</v>
      </c>
      <c r="Q379" s="371" t="e">
        <f>SUM(E379:P379)</f>
        <v>#REF!</v>
      </c>
    </row>
    <row r="380" spans="1:17" x14ac:dyDescent="0.3">
      <c r="A380" s="157" t="s">
        <v>174</v>
      </c>
      <c r="B380" s="157"/>
      <c r="E380" s="122" t="e">
        <f t="shared" ref="E380:Q380" si="219">SUM(E378:E379)</f>
        <v>#REF!</v>
      </c>
      <c r="F380" s="122" t="e">
        <f t="shared" si="219"/>
        <v>#REF!</v>
      </c>
      <c r="G380" s="122" t="e">
        <f t="shared" si="219"/>
        <v>#REF!</v>
      </c>
      <c r="H380" s="122" t="e">
        <f t="shared" si="219"/>
        <v>#REF!</v>
      </c>
      <c r="I380" s="122" t="e">
        <f t="shared" si="219"/>
        <v>#REF!</v>
      </c>
      <c r="J380" s="122" t="e">
        <f t="shared" si="219"/>
        <v>#REF!</v>
      </c>
      <c r="K380" s="122" t="e">
        <f t="shared" si="219"/>
        <v>#REF!</v>
      </c>
      <c r="L380" s="122" t="e">
        <f t="shared" si="219"/>
        <v>#REF!</v>
      </c>
      <c r="M380" s="122" t="e">
        <f t="shared" si="219"/>
        <v>#REF!</v>
      </c>
      <c r="N380" s="122" t="e">
        <f t="shared" si="219"/>
        <v>#REF!</v>
      </c>
      <c r="O380" s="122" t="e">
        <f t="shared" si="219"/>
        <v>#REF!</v>
      </c>
      <c r="P380" s="122" t="e">
        <f t="shared" si="219"/>
        <v>#REF!</v>
      </c>
      <c r="Q380" s="122" t="e">
        <f t="shared" si="219"/>
        <v>#REF!</v>
      </c>
    </row>
    <row r="381" spans="1:17" x14ac:dyDescent="0.3">
      <c r="A381" s="157"/>
      <c r="B381" s="157"/>
      <c r="E381" s="122"/>
      <c r="F381" s="122"/>
      <c r="G381" s="122"/>
      <c r="H381" s="122"/>
      <c r="I381" s="122"/>
      <c r="J381" s="122"/>
      <c r="K381" s="122"/>
      <c r="L381" s="122"/>
      <c r="M381" s="122"/>
      <c r="N381" s="122"/>
      <c r="O381" s="122"/>
      <c r="P381" s="122"/>
      <c r="Q381" s="122"/>
    </row>
    <row r="382" spans="1:17" x14ac:dyDescent="0.3">
      <c r="A382" s="157" t="s">
        <v>685</v>
      </c>
      <c r="B382" s="157"/>
      <c r="E382" s="122"/>
      <c r="F382" s="122"/>
      <c r="G382" s="122"/>
      <c r="H382" s="122"/>
      <c r="I382" s="122"/>
      <c r="J382" s="122"/>
      <c r="K382" s="122"/>
      <c r="L382" s="122"/>
      <c r="M382" s="122"/>
      <c r="N382" s="122"/>
      <c r="O382" s="122"/>
      <c r="P382" s="122"/>
      <c r="Q382" s="122"/>
    </row>
    <row r="383" spans="1:17" x14ac:dyDescent="0.3">
      <c r="A383" s="192" t="s">
        <v>686</v>
      </c>
      <c r="B383" s="192"/>
      <c r="E383" s="130">
        <f>'Addl costs'!D33*84</f>
        <v>144375</v>
      </c>
      <c r="F383" s="130">
        <f>'Addl costs'!E33*84</f>
        <v>0</v>
      </c>
      <c r="G383" s="130">
        <f>'Addl costs'!F33*84</f>
        <v>144396</v>
      </c>
      <c r="H383" s="130">
        <f>'Addl costs'!G33*84</f>
        <v>0</v>
      </c>
      <c r="I383" s="130">
        <f>'Addl costs'!H33*84</f>
        <v>0</v>
      </c>
      <c r="J383" s="130">
        <f>'Addl costs'!I33*84</f>
        <v>0</v>
      </c>
      <c r="K383" s="130">
        <f>'Addl costs'!J33*84</f>
        <v>0</v>
      </c>
      <c r="L383" s="130">
        <f>'Addl costs'!K33*84</f>
        <v>0</v>
      </c>
      <c r="M383" s="130">
        <f>'Addl costs'!L33*84</f>
        <v>0</v>
      </c>
      <c r="N383" s="130">
        <f>'Addl costs'!M33*84</f>
        <v>0</v>
      </c>
      <c r="O383" s="130">
        <f>'Addl costs'!N33*84</f>
        <v>0</v>
      </c>
      <c r="P383" s="130">
        <f>'Addl costs'!O33*84</f>
        <v>0</v>
      </c>
      <c r="Q383" s="371">
        <f t="shared" ref="Q383:Q386" si="220">SUM(E383:P383)</f>
        <v>288771</v>
      </c>
    </row>
    <row r="384" spans="1:17" x14ac:dyDescent="0.3">
      <c r="A384" s="192" t="s">
        <v>687</v>
      </c>
      <c r="B384" s="192"/>
      <c r="C384" s="157"/>
      <c r="D384" s="157"/>
      <c r="E384" s="130">
        <f>'Addl costs'!D35*84</f>
        <v>48300</v>
      </c>
      <c r="F384" s="130">
        <f>'Addl costs'!E35*84</f>
        <v>0</v>
      </c>
      <c r="G384" s="130">
        <f>'Addl costs'!F35*84</f>
        <v>0</v>
      </c>
      <c r="H384" s="130">
        <f>'Addl costs'!G35*84</f>
        <v>0</v>
      </c>
      <c r="I384" s="130">
        <f>'Addl costs'!H35*84</f>
        <v>0</v>
      </c>
      <c r="J384" s="130">
        <f>'Addl costs'!I35*84</f>
        <v>0</v>
      </c>
      <c r="K384" s="130">
        <f>'Addl costs'!J35*84</f>
        <v>0</v>
      </c>
      <c r="L384" s="130">
        <f>'Addl costs'!K35*84</f>
        <v>0</v>
      </c>
      <c r="M384" s="130">
        <f>'Addl costs'!L35*84</f>
        <v>0</v>
      </c>
      <c r="N384" s="130">
        <f>'Addl costs'!M35*84</f>
        <v>0</v>
      </c>
      <c r="O384" s="130">
        <f>'Addl costs'!N35*84</f>
        <v>0</v>
      </c>
      <c r="P384" s="130">
        <f>'Addl costs'!O35*84</f>
        <v>0</v>
      </c>
      <c r="Q384" s="371">
        <f t="shared" si="220"/>
        <v>48300</v>
      </c>
    </row>
    <row r="385" spans="1:17" x14ac:dyDescent="0.3">
      <c r="A385" s="192" t="s">
        <v>688</v>
      </c>
      <c r="B385" s="192"/>
      <c r="E385" s="130">
        <f>'Addl costs'!D37*84</f>
        <v>0</v>
      </c>
      <c r="F385" s="130">
        <f>'Addl costs'!E37*84</f>
        <v>0</v>
      </c>
      <c r="G385" s="130">
        <f>'Addl costs'!F37*84</f>
        <v>0</v>
      </c>
      <c r="H385" s="130">
        <f>'Addl costs'!G37*84</f>
        <v>0</v>
      </c>
      <c r="I385" s="130">
        <f>'Addl costs'!H37*84</f>
        <v>0</v>
      </c>
      <c r="J385" s="130">
        <f>'Addl costs'!I37*84</f>
        <v>37800</v>
      </c>
      <c r="K385" s="130">
        <f>'Addl costs'!J37*84</f>
        <v>0</v>
      </c>
      <c r="L385" s="130">
        <f>'Addl costs'!K37*84</f>
        <v>0</v>
      </c>
      <c r="M385" s="130">
        <f>'Addl costs'!L37*84</f>
        <v>0</v>
      </c>
      <c r="N385" s="130">
        <f>'Addl costs'!M37*84</f>
        <v>0</v>
      </c>
      <c r="O385" s="130">
        <f>'Addl costs'!N37*84</f>
        <v>0</v>
      </c>
      <c r="P385" s="130">
        <f>'Addl costs'!O37*84</f>
        <v>0</v>
      </c>
      <c r="Q385" s="371">
        <f t="shared" si="220"/>
        <v>37800</v>
      </c>
    </row>
    <row r="386" spans="1:17" x14ac:dyDescent="0.3">
      <c r="A386" s="192" t="s">
        <v>689</v>
      </c>
      <c r="B386" s="192"/>
      <c r="C386" s="157"/>
      <c r="D386" s="157"/>
      <c r="E386" s="130">
        <f>'Addl costs'!D39*84</f>
        <v>0</v>
      </c>
      <c r="F386" s="130">
        <f>'Addl costs'!E39*84</f>
        <v>0</v>
      </c>
      <c r="G386" s="130">
        <f>'Addl costs'!F39*84</f>
        <v>0</v>
      </c>
      <c r="H386" s="130">
        <f>'Addl costs'!G39*84</f>
        <v>0</v>
      </c>
      <c r="I386" s="130">
        <f>'Addl costs'!H39*84</f>
        <v>0</v>
      </c>
      <c r="J386" s="130">
        <f>'Addl costs'!I39*84</f>
        <v>37800</v>
      </c>
      <c r="K386" s="130">
        <f>'Addl costs'!J39*84</f>
        <v>0</v>
      </c>
      <c r="L386" s="130">
        <f>'Addl costs'!K39*84</f>
        <v>0</v>
      </c>
      <c r="M386" s="130">
        <f>'Addl costs'!L39*84</f>
        <v>0</v>
      </c>
      <c r="N386" s="130">
        <f>'Addl costs'!M39*84</f>
        <v>0</v>
      </c>
      <c r="O386" s="130">
        <f>'Addl costs'!N39*84</f>
        <v>0</v>
      </c>
      <c r="P386" s="130">
        <f>'Addl costs'!O39*84</f>
        <v>0</v>
      </c>
      <c r="Q386" s="371">
        <f t="shared" si="220"/>
        <v>37800</v>
      </c>
    </row>
    <row r="387" spans="1:17" x14ac:dyDescent="0.3">
      <c r="A387" s="157" t="s">
        <v>174</v>
      </c>
      <c r="B387" s="157"/>
      <c r="E387" s="122">
        <f t="shared" ref="E387:Q387" si="221">SUM(E385:E386)</f>
        <v>0</v>
      </c>
      <c r="F387" s="122">
        <f t="shared" si="221"/>
        <v>0</v>
      </c>
      <c r="G387" s="122">
        <f t="shared" si="221"/>
        <v>0</v>
      </c>
      <c r="H387" s="122">
        <f t="shared" si="221"/>
        <v>0</v>
      </c>
      <c r="I387" s="122">
        <f t="shared" si="221"/>
        <v>0</v>
      </c>
      <c r="J387" s="122">
        <f t="shared" si="221"/>
        <v>75600</v>
      </c>
      <c r="K387" s="122">
        <f t="shared" si="221"/>
        <v>0</v>
      </c>
      <c r="L387" s="122">
        <f t="shared" si="221"/>
        <v>0</v>
      </c>
      <c r="M387" s="122">
        <f t="shared" si="221"/>
        <v>0</v>
      </c>
      <c r="N387" s="122">
        <f t="shared" si="221"/>
        <v>0</v>
      </c>
      <c r="O387" s="122">
        <f t="shared" si="221"/>
        <v>0</v>
      </c>
      <c r="P387" s="122">
        <f t="shared" si="221"/>
        <v>0</v>
      </c>
      <c r="Q387" s="122">
        <f t="shared" si="221"/>
        <v>75600</v>
      </c>
    </row>
    <row r="388" spans="1:17" x14ac:dyDescent="0.3">
      <c r="A388" s="157"/>
      <c r="B388" s="157"/>
      <c r="C388" s="157"/>
      <c r="D388" s="157"/>
      <c r="E388" s="122"/>
      <c r="F388" s="122"/>
      <c r="G388" s="122"/>
      <c r="H388" s="122"/>
      <c r="I388" s="122"/>
      <c r="J388" s="122"/>
      <c r="K388" s="122"/>
      <c r="L388" s="122"/>
      <c r="M388" s="122"/>
      <c r="N388" s="122"/>
      <c r="O388" s="122"/>
      <c r="P388" s="122"/>
      <c r="Q388" s="122"/>
    </row>
    <row r="389" spans="1:17" x14ac:dyDescent="0.3">
      <c r="A389" s="157"/>
      <c r="B389" s="157"/>
      <c r="C389" s="157"/>
      <c r="D389" s="157"/>
      <c r="E389" s="122"/>
      <c r="F389" s="122"/>
      <c r="G389" s="122"/>
      <c r="H389" s="122"/>
      <c r="I389" s="122"/>
      <c r="J389" s="122"/>
      <c r="K389" s="122"/>
      <c r="L389" s="122"/>
      <c r="M389" s="122"/>
      <c r="N389" s="122"/>
      <c r="O389" s="122"/>
      <c r="P389" s="122"/>
      <c r="Q389" s="122"/>
    </row>
    <row r="390" spans="1:17" x14ac:dyDescent="0.3">
      <c r="A390" s="189" t="s">
        <v>690</v>
      </c>
      <c r="B390" s="189"/>
      <c r="C390" s="189" t="s">
        <v>490</v>
      </c>
      <c r="D390" s="189"/>
      <c r="E390" s="190">
        <v>45658</v>
      </c>
      <c r="F390" s="190">
        <v>45689</v>
      </c>
      <c r="G390" s="190">
        <v>45717</v>
      </c>
      <c r="H390" s="190">
        <v>45748</v>
      </c>
      <c r="I390" s="190">
        <v>45778</v>
      </c>
      <c r="J390" s="190">
        <v>45809</v>
      </c>
      <c r="K390" s="190">
        <v>45839</v>
      </c>
      <c r="L390" s="190">
        <v>45870</v>
      </c>
      <c r="M390" s="190">
        <v>45901</v>
      </c>
      <c r="N390" s="190">
        <v>45931</v>
      </c>
      <c r="O390" s="190">
        <v>45962</v>
      </c>
      <c r="P390" s="190">
        <v>45992</v>
      </c>
      <c r="Q390" s="191" t="s">
        <v>577</v>
      </c>
    </row>
    <row r="391" spans="1:17" x14ac:dyDescent="0.3">
      <c r="A391" s="192" t="s">
        <v>678</v>
      </c>
      <c r="B391" s="192"/>
      <c r="C391" s="315">
        <v>200</v>
      </c>
      <c r="D391" s="315"/>
      <c r="E391" s="122">
        <f>'2. Headcount Buildup'!F25</f>
        <v>185</v>
      </c>
      <c r="F391" s="122">
        <f>'2. Headcount Buildup'!G25</f>
        <v>185</v>
      </c>
      <c r="G391" s="122">
        <f>'2. Headcount Buildup'!H25</f>
        <v>176</v>
      </c>
      <c r="H391" s="122">
        <f>'2. Headcount Buildup'!I25</f>
        <v>176</v>
      </c>
      <c r="I391" s="122">
        <f>'2. Headcount Buildup'!J25</f>
        <v>183</v>
      </c>
      <c r="J391" s="122">
        <f>'2. Headcount Buildup'!K25</f>
        <v>183</v>
      </c>
      <c r="K391" s="122">
        <f>'2. Headcount Buildup'!L25</f>
        <v>188</v>
      </c>
      <c r="L391" s="122">
        <f>'2. Headcount Buildup'!M25</f>
        <v>216</v>
      </c>
      <c r="M391" s="122">
        <f>'2. Headcount Buildup'!N25</f>
        <v>221</v>
      </c>
      <c r="N391" s="122">
        <f>'2. Headcount Buildup'!O25</f>
        <v>226</v>
      </c>
      <c r="O391" s="122">
        <f>'2. Headcount Buildup'!P25</f>
        <v>231</v>
      </c>
      <c r="P391" s="122">
        <f>'2. Headcount Buildup'!Q25</f>
        <v>236</v>
      </c>
      <c r="Q391" s="122"/>
    </row>
    <row r="392" spans="1:17" x14ac:dyDescent="0.3">
      <c r="A392" s="192" t="s">
        <v>360</v>
      </c>
      <c r="B392" s="192"/>
      <c r="C392" s="192">
        <f>C391</f>
        <v>200</v>
      </c>
      <c r="D392" s="192"/>
      <c r="E392" s="122">
        <f>'2. Headcount Buildup'!F26</f>
        <v>-11.200000000000001</v>
      </c>
      <c r="F392" s="122">
        <f>'2. Headcount Buildup'!G26</f>
        <v>-11.200000000000001</v>
      </c>
      <c r="G392" s="122">
        <f>'2. Headcount Buildup'!H26</f>
        <v>-11.200000000000001</v>
      </c>
      <c r="H392" s="122">
        <f>'2. Headcount Buildup'!I26</f>
        <v>-16.8</v>
      </c>
      <c r="I392" s="122">
        <f>'2. Headcount Buildup'!J26</f>
        <v>-16.8</v>
      </c>
      <c r="J392" s="122">
        <f>'2. Headcount Buildup'!K26</f>
        <v>-16.8</v>
      </c>
      <c r="K392" s="122">
        <f>'2. Headcount Buildup'!L26</f>
        <v>-22.400000000000002</v>
      </c>
      <c r="L392" s="122">
        <f>'2. Headcount Buildup'!M26</f>
        <v>-22.400000000000002</v>
      </c>
      <c r="M392" s="122">
        <f>'2. Headcount Buildup'!N26</f>
        <v>-22.400000000000002</v>
      </c>
      <c r="N392" s="122">
        <f>'2. Headcount Buildup'!O26</f>
        <v>-28</v>
      </c>
      <c r="O392" s="122">
        <f>'2. Headcount Buildup'!P26</f>
        <v>-28</v>
      </c>
      <c r="P392" s="122">
        <f>'2. Headcount Buildup'!Q26</f>
        <v>-28</v>
      </c>
      <c r="Q392" s="122"/>
    </row>
    <row r="393" spans="1:17" x14ac:dyDescent="0.3">
      <c r="A393" s="157" t="s">
        <v>174</v>
      </c>
      <c r="B393" s="157"/>
      <c r="C393" s="157"/>
      <c r="D393" s="157"/>
      <c r="E393" s="122">
        <f t="shared" ref="E393:P393" si="222">SUM(E391:E392)</f>
        <v>173.8</v>
      </c>
      <c r="F393" s="122">
        <f t="shared" si="222"/>
        <v>173.8</v>
      </c>
      <c r="G393" s="122">
        <f t="shared" si="222"/>
        <v>164.8</v>
      </c>
      <c r="H393" s="122">
        <f t="shared" si="222"/>
        <v>159.19999999999999</v>
      </c>
      <c r="I393" s="122">
        <f t="shared" si="222"/>
        <v>166.2</v>
      </c>
      <c r="J393" s="122">
        <f t="shared" si="222"/>
        <v>166.2</v>
      </c>
      <c r="K393" s="122">
        <f t="shared" si="222"/>
        <v>165.6</v>
      </c>
      <c r="L393" s="122">
        <f t="shared" si="222"/>
        <v>193.6</v>
      </c>
      <c r="M393" s="122">
        <f t="shared" si="222"/>
        <v>198.6</v>
      </c>
      <c r="N393" s="122">
        <f t="shared" si="222"/>
        <v>198</v>
      </c>
      <c r="O393" s="122">
        <f t="shared" si="222"/>
        <v>203</v>
      </c>
      <c r="P393" s="122">
        <f t="shared" si="222"/>
        <v>208</v>
      </c>
      <c r="Q393" s="122"/>
    </row>
    <row r="394" spans="1:17" x14ac:dyDescent="0.3">
      <c r="A394" s="157" t="s">
        <v>309</v>
      </c>
      <c r="B394" s="157"/>
      <c r="C394" s="157"/>
      <c r="D394" s="157"/>
      <c r="E394" s="122"/>
      <c r="F394" s="122"/>
      <c r="G394" s="122"/>
      <c r="H394" s="122"/>
      <c r="I394" s="122"/>
      <c r="J394" s="122"/>
      <c r="K394" s="122"/>
      <c r="L394" s="122"/>
      <c r="M394" s="122"/>
      <c r="N394" s="122"/>
      <c r="O394" s="122"/>
      <c r="P394" s="122"/>
      <c r="Q394" s="122"/>
    </row>
    <row r="395" spans="1:17" x14ac:dyDescent="0.3">
      <c r="A395" s="192" t="s">
        <v>678</v>
      </c>
      <c r="B395" s="192"/>
      <c r="C395" s="157"/>
      <c r="D395" s="157"/>
      <c r="E395" s="306">
        <f>E391*$C391</f>
        <v>37000</v>
      </c>
      <c r="F395" s="306">
        <f t="shared" ref="F395:P395" si="223">F391*$C391</f>
        <v>37000</v>
      </c>
      <c r="G395" s="306">
        <f t="shared" si="223"/>
        <v>35200</v>
      </c>
      <c r="H395" s="306">
        <f t="shared" si="223"/>
        <v>35200</v>
      </c>
      <c r="I395" s="306">
        <f t="shared" si="223"/>
        <v>36600</v>
      </c>
      <c r="J395" s="306">
        <f t="shared" si="223"/>
        <v>36600</v>
      </c>
      <c r="K395" s="306">
        <f t="shared" si="223"/>
        <v>37600</v>
      </c>
      <c r="L395" s="306">
        <f t="shared" si="223"/>
        <v>43200</v>
      </c>
      <c r="M395" s="306">
        <f t="shared" si="223"/>
        <v>44200</v>
      </c>
      <c r="N395" s="306">
        <f t="shared" si="223"/>
        <v>45200</v>
      </c>
      <c r="O395" s="306">
        <f t="shared" si="223"/>
        <v>46200</v>
      </c>
      <c r="P395" s="306">
        <f t="shared" si="223"/>
        <v>47200</v>
      </c>
      <c r="Q395" s="371">
        <f>SUM(E395:P395)</f>
        <v>481200</v>
      </c>
    </row>
    <row r="396" spans="1:17" x14ac:dyDescent="0.3">
      <c r="A396" s="192" t="s">
        <v>360</v>
      </c>
      <c r="B396" s="192"/>
      <c r="C396" s="157"/>
      <c r="D396" s="157"/>
      <c r="E396" s="306">
        <f>$C$392*SUM('2. Headcount Buildup'!F16:F17)</f>
        <v>-2240</v>
      </c>
      <c r="F396" s="306">
        <f>$C$392*SUM('2. Headcount Buildup'!G16:G17)</f>
        <v>-2240</v>
      </c>
      <c r="G396" s="306">
        <f>$C$392*SUM('2. Headcount Buildup'!H16:H17)</f>
        <v>-2240</v>
      </c>
      <c r="H396" s="306">
        <f>$C$392*SUM('2. Headcount Buildup'!I16:I17)</f>
        <v>-3360</v>
      </c>
      <c r="I396" s="306">
        <f>$C$392*SUM('2. Headcount Buildup'!J16:J17)</f>
        <v>-3360</v>
      </c>
      <c r="J396" s="306">
        <f>$C$392*SUM('2. Headcount Buildup'!K16:K17)</f>
        <v>-3360</v>
      </c>
      <c r="K396" s="306">
        <f>$C$392*SUM('2. Headcount Buildup'!L16:L17)</f>
        <v>-4480</v>
      </c>
      <c r="L396" s="306">
        <f>$C$392*SUM('2. Headcount Buildup'!M16:M17)</f>
        <v>-4480</v>
      </c>
      <c r="M396" s="306">
        <f>$C$392*SUM('2. Headcount Buildup'!N16:N17)</f>
        <v>-4480</v>
      </c>
      <c r="N396" s="306">
        <f>$C$392*SUM('2. Headcount Buildup'!O16:O17)</f>
        <v>-5600</v>
      </c>
      <c r="O396" s="306">
        <f>$C$392*SUM('2. Headcount Buildup'!P16:P17)</f>
        <v>-5600</v>
      </c>
      <c r="P396" s="306">
        <f>$C$392*SUM('2. Headcount Buildup'!Q16:Q17)</f>
        <v>-5600</v>
      </c>
      <c r="Q396" s="371">
        <f>SUM(E396:P396)</f>
        <v>-47040</v>
      </c>
    </row>
    <row r="397" spans="1:17" x14ac:dyDescent="0.3">
      <c r="A397" s="157" t="s">
        <v>174</v>
      </c>
      <c r="B397" s="157"/>
      <c r="C397" s="157"/>
      <c r="D397" s="157"/>
      <c r="E397" s="122">
        <f t="shared" ref="E397:Q397" si="224">SUM(E395:E396)</f>
        <v>34760</v>
      </c>
      <c r="F397" s="122">
        <f t="shared" si="224"/>
        <v>34760</v>
      </c>
      <c r="G397" s="122">
        <f t="shared" si="224"/>
        <v>32960</v>
      </c>
      <c r="H397" s="122">
        <f t="shared" si="224"/>
        <v>31840</v>
      </c>
      <c r="I397" s="122">
        <f t="shared" si="224"/>
        <v>33240</v>
      </c>
      <c r="J397" s="122">
        <f t="shared" si="224"/>
        <v>33240</v>
      </c>
      <c r="K397" s="122">
        <f t="shared" si="224"/>
        <v>33120</v>
      </c>
      <c r="L397" s="122">
        <f t="shared" si="224"/>
        <v>38720</v>
      </c>
      <c r="M397" s="122">
        <f t="shared" si="224"/>
        <v>39720</v>
      </c>
      <c r="N397" s="122">
        <f t="shared" si="224"/>
        <v>39600</v>
      </c>
      <c r="O397" s="122">
        <f t="shared" si="224"/>
        <v>40600</v>
      </c>
      <c r="P397" s="122">
        <f t="shared" si="224"/>
        <v>41600</v>
      </c>
      <c r="Q397" s="122">
        <f t="shared" si="224"/>
        <v>434160</v>
      </c>
    </row>
    <row r="398" spans="1:17" x14ac:dyDescent="0.3">
      <c r="A398" s="157"/>
      <c r="B398" s="157"/>
      <c r="C398" s="157"/>
      <c r="D398" s="157"/>
      <c r="E398" s="122"/>
      <c r="F398" s="122"/>
      <c r="G398" s="122"/>
      <c r="H398" s="122"/>
      <c r="I398" s="122"/>
      <c r="J398" s="122"/>
      <c r="K398" s="122"/>
      <c r="L398" s="122"/>
      <c r="M398" s="122"/>
      <c r="N398" s="122"/>
      <c r="O398" s="122"/>
      <c r="P398" s="122"/>
      <c r="Q398" s="122"/>
    </row>
    <row r="399" spans="1:17" x14ac:dyDescent="0.3">
      <c r="A399" s="157"/>
      <c r="B399" s="157"/>
      <c r="C399" s="157"/>
      <c r="D399" s="157"/>
      <c r="E399" s="122"/>
      <c r="F399" s="122"/>
      <c r="G399" s="122"/>
      <c r="H399" s="122"/>
      <c r="I399" s="122"/>
      <c r="J399" s="122"/>
      <c r="K399" s="122"/>
      <c r="L399" s="122"/>
      <c r="M399" s="122"/>
      <c r="N399" s="122"/>
      <c r="O399" s="122"/>
      <c r="P399" s="122"/>
      <c r="Q399" s="122"/>
    </row>
    <row r="400" spans="1:17" x14ac:dyDescent="0.3">
      <c r="A400" s="161" t="s">
        <v>147</v>
      </c>
      <c r="B400" s="568"/>
      <c r="C400" s="122"/>
      <c r="D400" s="122"/>
      <c r="E400" s="122"/>
      <c r="F400" s="122"/>
      <c r="G400" s="122"/>
      <c r="H400" s="122"/>
      <c r="I400" s="122"/>
      <c r="J400" s="122"/>
      <c r="K400" s="122"/>
      <c r="L400" s="122"/>
      <c r="M400" s="122"/>
      <c r="N400" s="122"/>
      <c r="O400" s="122"/>
      <c r="P400" s="122"/>
      <c r="Q400" s="122"/>
    </row>
    <row r="401" spans="1:21" x14ac:dyDescent="0.3">
      <c r="A401" s="153" t="s">
        <v>268</v>
      </c>
      <c r="B401" s="153"/>
      <c r="C401" s="153"/>
      <c r="D401" s="153"/>
      <c r="E401" s="109">
        <v>45658</v>
      </c>
      <c r="F401" s="109">
        <v>45689</v>
      </c>
      <c r="G401" s="110">
        <v>45717</v>
      </c>
      <c r="H401" s="109">
        <v>45748</v>
      </c>
      <c r="I401" s="109">
        <v>45778</v>
      </c>
      <c r="J401" s="110">
        <v>45809</v>
      </c>
      <c r="K401" s="109">
        <v>45839</v>
      </c>
      <c r="L401" s="109">
        <v>45870</v>
      </c>
      <c r="M401" s="110">
        <v>45901</v>
      </c>
      <c r="N401" s="109">
        <v>45931</v>
      </c>
      <c r="O401" s="109">
        <v>45962</v>
      </c>
      <c r="P401" s="109">
        <v>45992</v>
      </c>
      <c r="Q401" s="111" t="s">
        <v>577</v>
      </c>
    </row>
    <row r="402" spans="1:21" x14ac:dyDescent="0.3">
      <c r="A402" s="160" t="s">
        <v>170</v>
      </c>
      <c r="B402" s="160"/>
      <c r="C402" s="160" t="s">
        <v>691</v>
      </c>
      <c r="D402" s="160"/>
      <c r="E402" s="123">
        <v>20000</v>
      </c>
      <c r="F402" s="123">
        <v>20000</v>
      </c>
      <c r="G402" s="123">
        <v>20000</v>
      </c>
      <c r="H402" s="123">
        <v>20000</v>
      </c>
      <c r="I402" s="123">
        <v>20000</v>
      </c>
      <c r="J402" s="123">
        <v>20000</v>
      </c>
      <c r="K402" s="123">
        <v>20000</v>
      </c>
      <c r="L402" s="123">
        <v>20000</v>
      </c>
      <c r="M402" s="123">
        <v>20000</v>
      </c>
      <c r="N402" s="123">
        <v>20000</v>
      </c>
      <c r="O402" s="123">
        <v>20000</v>
      </c>
      <c r="P402" s="123">
        <v>20000</v>
      </c>
      <c r="Q402" s="115">
        <f>SUM(E402:P402)</f>
        <v>240000</v>
      </c>
      <c r="R402" s="172"/>
      <c r="S402" s="173"/>
      <c r="T402" s="173"/>
      <c r="U402" s="173"/>
    </row>
    <row r="403" spans="1:21" x14ac:dyDescent="0.3">
      <c r="A403" s="160" t="s">
        <v>692</v>
      </c>
      <c r="B403" s="160"/>
      <c r="C403" s="316" t="s">
        <v>693</v>
      </c>
      <c r="D403" s="316"/>
      <c r="E403" s="317">
        <v>10000</v>
      </c>
      <c r="F403" s="317">
        <v>10000</v>
      </c>
      <c r="G403" s="317">
        <v>10000</v>
      </c>
      <c r="H403" s="317">
        <v>10000</v>
      </c>
      <c r="I403" s="317">
        <v>10000</v>
      </c>
      <c r="J403" s="317">
        <v>10000</v>
      </c>
      <c r="K403" s="317">
        <v>10000</v>
      </c>
      <c r="L403" s="317">
        <v>10000</v>
      </c>
      <c r="M403" s="317">
        <v>10000</v>
      </c>
      <c r="N403" s="317">
        <v>10000</v>
      </c>
      <c r="O403" s="317">
        <v>10000</v>
      </c>
      <c r="P403" s="317">
        <v>10000</v>
      </c>
      <c r="Q403" s="115">
        <f>SUM(E403:P403)</f>
        <v>120000</v>
      </c>
      <c r="R403" s="172"/>
      <c r="S403" s="173"/>
      <c r="T403" s="173"/>
      <c r="U403" s="173"/>
    </row>
    <row r="404" spans="1:21" s="239" customFormat="1" x14ac:dyDescent="0.3">
      <c r="A404" s="247" t="s">
        <v>173</v>
      </c>
      <c r="B404" s="247"/>
      <c r="C404" s="316" t="s">
        <v>694</v>
      </c>
      <c r="D404" s="316"/>
      <c r="E404" s="317">
        <v>20000</v>
      </c>
      <c r="F404" s="317">
        <v>20000</v>
      </c>
      <c r="G404" s="317">
        <v>20000</v>
      </c>
      <c r="H404" s="317">
        <v>20000</v>
      </c>
      <c r="I404" s="317">
        <v>20000</v>
      </c>
      <c r="J404" s="317">
        <v>20000</v>
      </c>
      <c r="K404" s="317">
        <v>20000</v>
      </c>
      <c r="L404" s="317">
        <v>20000</v>
      </c>
      <c r="M404" s="317">
        <v>20000</v>
      </c>
      <c r="N404" s="317">
        <v>20000</v>
      </c>
      <c r="O404" s="317">
        <v>20000</v>
      </c>
      <c r="P404" s="317">
        <v>20000</v>
      </c>
      <c r="Q404" s="235">
        <f>SUM(E404:P404)</f>
        <v>240000</v>
      </c>
      <c r="R404" s="248"/>
      <c r="S404" s="238"/>
      <c r="T404" s="238"/>
      <c r="U404" s="238"/>
    </row>
    <row r="405" spans="1:21" x14ac:dyDescent="0.3">
      <c r="A405" s="162" t="s">
        <v>174</v>
      </c>
      <c r="B405" s="162"/>
      <c r="C405" s="162"/>
      <c r="D405" s="162"/>
      <c r="E405" s="129">
        <f t="shared" ref="E405:P405" si="225">SUM(E402:E404)</f>
        <v>50000</v>
      </c>
      <c r="F405" s="129">
        <f t="shared" si="225"/>
        <v>50000</v>
      </c>
      <c r="G405" s="129">
        <f t="shared" si="225"/>
        <v>50000</v>
      </c>
      <c r="H405" s="129">
        <f t="shared" si="225"/>
        <v>50000</v>
      </c>
      <c r="I405" s="129">
        <f t="shared" si="225"/>
        <v>50000</v>
      </c>
      <c r="J405" s="129">
        <f t="shared" si="225"/>
        <v>50000</v>
      </c>
      <c r="K405" s="129">
        <f t="shared" si="225"/>
        <v>50000</v>
      </c>
      <c r="L405" s="129">
        <f t="shared" si="225"/>
        <v>50000</v>
      </c>
      <c r="M405" s="129">
        <f t="shared" si="225"/>
        <v>50000</v>
      </c>
      <c r="N405" s="129">
        <f t="shared" si="225"/>
        <v>50000</v>
      </c>
      <c r="O405" s="129">
        <f t="shared" si="225"/>
        <v>50000</v>
      </c>
      <c r="P405" s="129">
        <f t="shared" si="225"/>
        <v>50000</v>
      </c>
      <c r="Q405" s="129">
        <f>SUM(E405:P405)</f>
        <v>600000</v>
      </c>
    </row>
    <row r="406" spans="1:21" x14ac:dyDescent="0.3">
      <c r="A406" s="157"/>
      <c r="B406" s="157"/>
      <c r="C406" s="157"/>
      <c r="D406" s="157"/>
      <c r="E406" s="122"/>
      <c r="F406" s="122"/>
      <c r="G406" s="122"/>
      <c r="H406" s="122"/>
      <c r="I406" s="122"/>
      <c r="J406" s="122"/>
      <c r="K406" s="122"/>
      <c r="L406" s="122"/>
      <c r="M406" s="122"/>
      <c r="N406" s="122"/>
      <c r="O406" s="122"/>
      <c r="P406" s="122"/>
      <c r="Q406" s="122"/>
    </row>
    <row r="407" spans="1:21" x14ac:dyDescent="0.3">
      <c r="A407" s="158" t="s">
        <v>680</v>
      </c>
      <c r="B407" s="158"/>
      <c r="C407" s="158" t="s">
        <v>695</v>
      </c>
      <c r="D407" s="158"/>
      <c r="E407" s="107"/>
      <c r="F407" s="107"/>
      <c r="G407" s="107"/>
      <c r="H407" s="107"/>
      <c r="I407" s="107"/>
      <c r="J407" s="107"/>
      <c r="K407" s="107"/>
      <c r="L407" s="107"/>
      <c r="M407" s="107"/>
      <c r="N407" s="107"/>
      <c r="O407" s="107"/>
      <c r="P407" s="107"/>
      <c r="Q407" s="108" t="s">
        <v>674</v>
      </c>
    </row>
    <row r="408" spans="1:21" x14ac:dyDescent="0.3">
      <c r="A408" s="153" t="s">
        <v>268</v>
      </c>
      <c r="B408" s="153"/>
      <c r="C408" s="153"/>
      <c r="D408" s="153"/>
      <c r="E408" s="109">
        <v>45658</v>
      </c>
      <c r="F408" s="109">
        <v>45689</v>
      </c>
      <c r="G408" s="110">
        <v>45717</v>
      </c>
      <c r="H408" s="109">
        <v>45748</v>
      </c>
      <c r="I408" s="109">
        <v>45778</v>
      </c>
      <c r="J408" s="110">
        <v>45809</v>
      </c>
      <c r="K408" s="109">
        <v>45839</v>
      </c>
      <c r="L408" s="109">
        <v>45870</v>
      </c>
      <c r="M408" s="110">
        <v>45901</v>
      </c>
      <c r="N408" s="109">
        <v>45931</v>
      </c>
      <c r="O408" s="109">
        <v>45962</v>
      </c>
      <c r="P408" s="109">
        <v>45992</v>
      </c>
      <c r="Q408" s="111" t="s">
        <v>577</v>
      </c>
    </row>
    <row r="409" spans="1:21" x14ac:dyDescent="0.3">
      <c r="A409" s="310" t="s">
        <v>252</v>
      </c>
      <c r="B409" s="310"/>
      <c r="C409" s="160"/>
      <c r="D409" s="160"/>
      <c r="E409" s="309">
        <v>5160</v>
      </c>
      <c r="F409" s="309">
        <v>5160</v>
      </c>
      <c r="G409" s="309">
        <v>5160</v>
      </c>
      <c r="H409" s="309">
        <v>5160</v>
      </c>
      <c r="I409" s="309">
        <v>5160</v>
      </c>
      <c r="J409" s="309">
        <v>5160</v>
      </c>
      <c r="K409" s="309">
        <v>5160</v>
      </c>
      <c r="L409" s="309">
        <v>5160</v>
      </c>
      <c r="M409" s="309">
        <v>5160</v>
      </c>
      <c r="N409" s="309">
        <v>5160</v>
      </c>
      <c r="O409" s="309">
        <v>5160</v>
      </c>
      <c r="P409" s="309">
        <v>5160</v>
      </c>
      <c r="Q409" s="115">
        <f>SUM(E409:P409)</f>
        <v>61920</v>
      </c>
      <c r="R409" s="236" t="s">
        <v>352</v>
      </c>
      <c r="S409" s="173"/>
      <c r="T409" s="173"/>
      <c r="U409" s="173"/>
    </row>
    <row r="410" spans="1:21" x14ac:dyDescent="0.3">
      <c r="A410" s="310" t="s">
        <v>254</v>
      </c>
      <c r="B410" s="310"/>
      <c r="C410" s="160"/>
      <c r="D410" s="160"/>
      <c r="E410" s="309">
        <v>6299</v>
      </c>
      <c r="F410" s="309">
        <v>6299</v>
      </c>
      <c r="G410" s="309">
        <v>6299</v>
      </c>
      <c r="H410" s="309">
        <v>6299</v>
      </c>
      <c r="I410" s="309">
        <v>6299</v>
      </c>
      <c r="J410" s="309">
        <v>6299</v>
      </c>
      <c r="K410" s="309">
        <v>6299</v>
      </c>
      <c r="L410" s="309">
        <v>6299</v>
      </c>
      <c r="M410" s="309">
        <v>6299</v>
      </c>
      <c r="N410" s="309">
        <v>6299</v>
      </c>
      <c r="O410" s="309">
        <v>6299</v>
      </c>
      <c r="P410" s="309">
        <v>6299</v>
      </c>
      <c r="Q410" s="115">
        <f>SUM(E410:P410)</f>
        <v>75588</v>
      </c>
      <c r="R410" s="236" t="s">
        <v>352</v>
      </c>
      <c r="S410" s="173"/>
      <c r="T410" s="173"/>
      <c r="U410" s="173"/>
    </row>
    <row r="411" spans="1:21" x14ac:dyDescent="0.3">
      <c r="A411" s="311" t="s">
        <v>262</v>
      </c>
      <c r="B411" s="311"/>
      <c r="C411" s="316" t="s">
        <v>696</v>
      </c>
      <c r="D411" s="316"/>
      <c r="E411" s="312"/>
      <c r="F411" s="312"/>
      <c r="G411" s="312"/>
      <c r="H411" s="312"/>
      <c r="I411" s="312"/>
      <c r="J411" s="312"/>
      <c r="K411" s="312"/>
      <c r="L411" s="312"/>
      <c r="M411" s="312"/>
      <c r="N411" s="312"/>
      <c r="O411" s="312"/>
      <c r="P411" s="312"/>
      <c r="Q411" s="115">
        <f>SUM(E411:P411)</f>
        <v>0</v>
      </c>
      <c r="R411" s="313"/>
      <c r="S411" s="314"/>
      <c r="T411" s="314"/>
      <c r="U411" s="314"/>
    </row>
    <row r="412" spans="1:21" x14ac:dyDescent="0.3">
      <c r="A412" s="160" t="s">
        <v>697</v>
      </c>
      <c r="B412" s="160"/>
      <c r="C412" s="316" t="s">
        <v>696</v>
      </c>
      <c r="D412" s="316"/>
      <c r="E412" s="123"/>
      <c r="F412" s="128"/>
      <c r="G412" s="128"/>
      <c r="H412" s="128"/>
      <c r="I412" s="128"/>
      <c r="J412" s="128"/>
      <c r="K412" s="128"/>
      <c r="L412" s="128"/>
      <c r="M412" s="128"/>
      <c r="N412" s="128"/>
      <c r="O412" s="128"/>
      <c r="P412" s="128"/>
      <c r="Q412" s="115">
        <f t="shared" ref="Q412" si="226">SUM(E412:P412)</f>
        <v>0</v>
      </c>
      <c r="R412" s="172"/>
      <c r="S412" s="173"/>
      <c r="T412" s="173"/>
      <c r="U412" s="173"/>
    </row>
    <row r="413" spans="1:21" x14ac:dyDescent="0.3">
      <c r="A413" s="160" t="s">
        <v>255</v>
      </c>
      <c r="B413" s="160"/>
      <c r="C413" s="316" t="s">
        <v>698</v>
      </c>
      <c r="D413" s="316"/>
      <c r="E413" s="123">
        <v>4000</v>
      </c>
      <c r="F413" s="123">
        <v>4000</v>
      </c>
      <c r="G413" s="123">
        <v>4000</v>
      </c>
      <c r="H413" s="123">
        <v>4000</v>
      </c>
      <c r="I413" s="123">
        <v>4000</v>
      </c>
      <c r="J413" s="123">
        <v>4000</v>
      </c>
      <c r="K413" s="123">
        <v>4000</v>
      </c>
      <c r="L413" s="123">
        <v>4000</v>
      </c>
      <c r="M413" s="123">
        <v>4000</v>
      </c>
      <c r="N413" s="123">
        <v>4000</v>
      </c>
      <c r="O413" s="123">
        <v>4000</v>
      </c>
      <c r="P413" s="123">
        <v>4000</v>
      </c>
      <c r="Q413" s="115">
        <f t="shared" ref="Q413:Q416" si="227">SUM(E413:P413)</f>
        <v>48000</v>
      </c>
      <c r="R413" s="236" t="s">
        <v>352</v>
      </c>
      <c r="S413" s="173"/>
      <c r="T413" s="173"/>
      <c r="U413" s="173"/>
    </row>
    <row r="414" spans="1:21" ht="39" customHeight="1" x14ac:dyDescent="0.3">
      <c r="A414" s="308" t="s">
        <v>259</v>
      </c>
      <c r="B414" s="308"/>
      <c r="C414" s="318" t="s">
        <v>699</v>
      </c>
      <c r="D414" s="318"/>
      <c r="E414" s="307">
        <v>20000</v>
      </c>
      <c r="F414" s="307">
        <v>20000</v>
      </c>
      <c r="G414" s="307">
        <v>20000</v>
      </c>
      <c r="H414" s="307">
        <v>20000</v>
      </c>
      <c r="I414" s="307">
        <v>20000</v>
      </c>
      <c r="J414" s="307">
        <v>20000</v>
      </c>
      <c r="K414" s="307">
        <v>20000</v>
      </c>
      <c r="L414" s="307">
        <v>20000</v>
      </c>
      <c r="M414" s="307">
        <v>20000</v>
      </c>
      <c r="N414" s="307">
        <v>20000</v>
      </c>
      <c r="O414" s="307">
        <v>20000</v>
      </c>
      <c r="P414" s="307">
        <v>20000</v>
      </c>
      <c r="Q414" s="115">
        <f t="shared" si="227"/>
        <v>240000</v>
      </c>
      <c r="R414" s="236" t="s">
        <v>700</v>
      </c>
      <c r="S414" s="174"/>
      <c r="T414" s="173"/>
      <c r="U414" s="173"/>
    </row>
    <row r="415" spans="1:21" s="239" customFormat="1" x14ac:dyDescent="0.3">
      <c r="A415" s="308" t="s">
        <v>260</v>
      </c>
      <c r="B415" s="308"/>
      <c r="C415" s="319" t="s">
        <v>701</v>
      </c>
      <c r="D415" s="319"/>
      <c r="E415" s="307">
        <v>70000</v>
      </c>
      <c r="F415" s="307">
        <v>70000</v>
      </c>
      <c r="G415" s="307">
        <v>70000</v>
      </c>
      <c r="H415" s="307">
        <v>70000</v>
      </c>
      <c r="I415" s="307">
        <v>70000</v>
      </c>
      <c r="J415" s="307">
        <v>70000</v>
      </c>
      <c r="K415" s="307">
        <v>70000</v>
      </c>
      <c r="L415" s="307">
        <v>70000</v>
      </c>
      <c r="M415" s="307">
        <v>70000</v>
      </c>
      <c r="N415" s="307">
        <v>70000</v>
      </c>
      <c r="O415" s="307">
        <v>70000</v>
      </c>
      <c r="P415" s="307">
        <v>70000</v>
      </c>
      <c r="Q415" s="235">
        <f t="shared" si="227"/>
        <v>840000</v>
      </c>
      <c r="R415" s="236" t="s">
        <v>700</v>
      </c>
      <c r="S415" s="237"/>
      <c r="T415" s="238"/>
      <c r="U415" s="238"/>
    </row>
    <row r="416" spans="1:21" s="239" customFormat="1" x14ac:dyDescent="0.3">
      <c r="A416" s="234" t="s">
        <v>702</v>
      </c>
      <c r="B416" s="234"/>
      <c r="C416" s="319" t="s">
        <v>703</v>
      </c>
      <c r="D416" s="319"/>
      <c r="E416" s="292">
        <f>E515</f>
        <v>0</v>
      </c>
      <c r="F416" s="292">
        <f t="shared" ref="F416:P416" si="228">F515</f>
        <v>0</v>
      </c>
      <c r="G416" s="292">
        <f t="shared" si="228"/>
        <v>5360</v>
      </c>
      <c r="H416" s="292">
        <f t="shared" si="228"/>
        <v>5360</v>
      </c>
      <c r="I416" s="292">
        <f t="shared" si="228"/>
        <v>5360</v>
      </c>
      <c r="J416" s="292">
        <f t="shared" si="228"/>
        <v>5360</v>
      </c>
      <c r="K416" s="292">
        <f t="shared" si="228"/>
        <v>5360</v>
      </c>
      <c r="L416" s="292">
        <f t="shared" si="228"/>
        <v>5360</v>
      </c>
      <c r="M416" s="292">
        <f t="shared" si="228"/>
        <v>5360</v>
      </c>
      <c r="N416" s="292">
        <f t="shared" si="228"/>
        <v>5360</v>
      </c>
      <c r="O416" s="292">
        <f t="shared" si="228"/>
        <v>5360</v>
      </c>
      <c r="P416" s="292">
        <f t="shared" si="228"/>
        <v>5360</v>
      </c>
      <c r="Q416" s="235">
        <f t="shared" si="227"/>
        <v>53600</v>
      </c>
      <c r="R416" s="236" t="s">
        <v>352</v>
      </c>
      <c r="S416" s="238"/>
      <c r="T416" s="238"/>
      <c r="U416" s="238"/>
    </row>
    <row r="417" spans="1:22" x14ac:dyDescent="0.3">
      <c r="A417" s="162" t="s">
        <v>174</v>
      </c>
      <c r="B417" s="162"/>
      <c r="C417" s="162"/>
      <c r="D417" s="162"/>
      <c r="E417" s="434">
        <f t="shared" ref="E417:Q417" si="229">SUM(E409:E416)</f>
        <v>105459</v>
      </c>
      <c r="F417" s="129">
        <f t="shared" si="229"/>
        <v>105459</v>
      </c>
      <c r="G417" s="129">
        <f t="shared" si="229"/>
        <v>110819</v>
      </c>
      <c r="H417" s="129">
        <f t="shared" si="229"/>
        <v>110819</v>
      </c>
      <c r="I417" s="129">
        <f t="shared" si="229"/>
        <v>110819</v>
      </c>
      <c r="J417" s="129">
        <f t="shared" si="229"/>
        <v>110819</v>
      </c>
      <c r="K417" s="129">
        <f t="shared" si="229"/>
        <v>110819</v>
      </c>
      <c r="L417" s="129">
        <f t="shared" si="229"/>
        <v>110819</v>
      </c>
      <c r="M417" s="129">
        <f t="shared" si="229"/>
        <v>110819</v>
      </c>
      <c r="N417" s="129">
        <f t="shared" si="229"/>
        <v>110819</v>
      </c>
      <c r="O417" s="129">
        <f t="shared" si="229"/>
        <v>110819</v>
      </c>
      <c r="P417" s="129">
        <f t="shared" si="229"/>
        <v>110819</v>
      </c>
      <c r="Q417" s="129">
        <f t="shared" si="229"/>
        <v>1319108</v>
      </c>
    </row>
    <row r="418" spans="1:22" x14ac:dyDescent="0.3">
      <c r="A418" s="157"/>
      <c r="B418" s="157"/>
      <c r="C418" s="157"/>
      <c r="D418" s="157"/>
      <c r="E418" s="122"/>
      <c r="F418" s="122"/>
      <c r="G418" s="122"/>
      <c r="H418" s="122"/>
      <c r="I418" s="122"/>
      <c r="J418" s="122"/>
      <c r="K418" s="122"/>
      <c r="L418" s="122"/>
      <c r="M418" s="122"/>
      <c r="N418" s="122"/>
      <c r="O418" s="122"/>
      <c r="P418" s="122"/>
      <c r="Q418" s="122"/>
    </row>
    <row r="419" spans="1:22" x14ac:dyDescent="0.3">
      <c r="A419" s="158" t="s">
        <v>176</v>
      </c>
      <c r="B419" s="158"/>
      <c r="C419" s="158"/>
      <c r="D419" s="158"/>
      <c r="E419" s="107" t="s">
        <v>676</v>
      </c>
      <c r="F419" s="107" t="s">
        <v>676</v>
      </c>
      <c r="G419" s="107" t="s">
        <v>676</v>
      </c>
      <c r="H419" s="107" t="s">
        <v>676</v>
      </c>
      <c r="I419" s="107" t="s">
        <v>676</v>
      </c>
      <c r="J419" s="107"/>
      <c r="K419" s="107"/>
      <c r="L419" s="107"/>
      <c r="M419" s="107"/>
      <c r="N419" s="107"/>
      <c r="O419" s="107"/>
      <c r="P419" s="107"/>
      <c r="Q419" s="108" t="s">
        <v>674</v>
      </c>
    </row>
    <row r="420" spans="1:22" x14ac:dyDescent="0.3">
      <c r="A420" s="153" t="s">
        <v>268</v>
      </c>
      <c r="B420" s="153"/>
      <c r="C420" s="153"/>
      <c r="D420" s="153"/>
      <c r="E420" s="109">
        <v>45658</v>
      </c>
      <c r="F420" s="109">
        <v>45689</v>
      </c>
      <c r="G420" s="110">
        <v>45717</v>
      </c>
      <c r="H420" s="109">
        <v>45748</v>
      </c>
      <c r="I420" s="109">
        <v>45778</v>
      </c>
      <c r="J420" s="110">
        <v>45809</v>
      </c>
      <c r="K420" s="109">
        <v>45839</v>
      </c>
      <c r="L420" s="109">
        <v>45870</v>
      </c>
      <c r="M420" s="110">
        <v>45901</v>
      </c>
      <c r="N420" s="109">
        <v>45931</v>
      </c>
      <c r="O420" s="109">
        <v>45962</v>
      </c>
      <c r="P420" s="109">
        <v>45992</v>
      </c>
      <c r="Q420" s="111" t="s">
        <v>577</v>
      </c>
      <c r="S420" s="106" t="s">
        <v>704</v>
      </c>
    </row>
    <row r="421" spans="1:22" x14ac:dyDescent="0.3">
      <c r="A421" s="160" t="s">
        <v>705</v>
      </c>
      <c r="B421" s="160"/>
      <c r="C421" s="160"/>
      <c r="D421" s="160"/>
      <c r="E421" s="123"/>
      <c r="F421" s="128"/>
      <c r="G421" s="128"/>
      <c r="H421" s="128"/>
      <c r="I421" s="128"/>
      <c r="J421" s="128"/>
      <c r="K421" s="128"/>
      <c r="L421" s="128"/>
      <c r="M421" s="128"/>
      <c r="N421" s="128"/>
      <c r="O421" s="128"/>
      <c r="P421" s="128"/>
      <c r="Q421" s="115">
        <f>SUM(E421:P421)</f>
        <v>0</v>
      </c>
    </row>
    <row r="422" spans="1:22" x14ac:dyDescent="0.3">
      <c r="A422" s="161" t="s">
        <v>706</v>
      </c>
      <c r="B422" s="161"/>
      <c r="C422" s="161" t="s">
        <v>707</v>
      </c>
      <c r="D422" s="161"/>
      <c r="E422" s="128">
        <v>268000</v>
      </c>
      <c r="F422" s="128">
        <v>268000</v>
      </c>
      <c r="G422" s="128">
        <v>268000</v>
      </c>
      <c r="H422" s="128">
        <v>268000</v>
      </c>
      <c r="I422" s="128">
        <v>268000</v>
      </c>
      <c r="J422" s="128">
        <v>268000</v>
      </c>
      <c r="K422" s="128">
        <v>268000</v>
      </c>
      <c r="L422" s="128">
        <v>268000</v>
      </c>
      <c r="M422" s="128">
        <v>268000</v>
      </c>
      <c r="N422" s="128">
        <v>268000</v>
      </c>
      <c r="O422" s="128">
        <v>268000</v>
      </c>
      <c r="P422" s="128">
        <v>268000</v>
      </c>
      <c r="Q422" s="115">
        <f>SUM(E422:P422)</f>
        <v>3216000</v>
      </c>
      <c r="V422" s="136"/>
    </row>
    <row r="423" spans="1:22" x14ac:dyDescent="0.3">
      <c r="A423" s="161"/>
      <c r="B423" s="161"/>
      <c r="C423" s="161"/>
      <c r="D423" s="161"/>
      <c r="E423" s="128"/>
      <c r="F423" s="128"/>
      <c r="G423" s="128"/>
      <c r="H423" s="128"/>
      <c r="I423" s="128"/>
      <c r="J423" s="128"/>
      <c r="K423" s="128"/>
      <c r="L423" s="128"/>
      <c r="M423" s="128"/>
      <c r="N423" s="128"/>
      <c r="O423" s="128"/>
      <c r="P423" s="128"/>
      <c r="Q423" s="115">
        <f>SUM(E423:P423)</f>
        <v>0</v>
      </c>
    </row>
    <row r="424" spans="1:22" x14ac:dyDescent="0.3">
      <c r="A424" s="162" t="s">
        <v>174</v>
      </c>
      <c r="B424" s="162"/>
      <c r="C424" s="162"/>
      <c r="D424" s="162"/>
      <c r="E424" s="129">
        <f t="shared" ref="E424:Q424" si="230">SUM(E421:E423)</f>
        <v>268000</v>
      </c>
      <c r="F424" s="129">
        <f t="shared" si="230"/>
        <v>268000</v>
      </c>
      <c r="G424" s="129">
        <f t="shared" si="230"/>
        <v>268000</v>
      </c>
      <c r="H424" s="129">
        <f t="shared" si="230"/>
        <v>268000</v>
      </c>
      <c r="I424" s="129">
        <f t="shared" si="230"/>
        <v>268000</v>
      </c>
      <c r="J424" s="129">
        <f t="shared" si="230"/>
        <v>268000</v>
      </c>
      <c r="K424" s="129">
        <f t="shared" si="230"/>
        <v>268000</v>
      </c>
      <c r="L424" s="129">
        <f t="shared" si="230"/>
        <v>268000</v>
      </c>
      <c r="M424" s="129">
        <f t="shared" si="230"/>
        <v>268000</v>
      </c>
      <c r="N424" s="129">
        <f t="shared" si="230"/>
        <v>268000</v>
      </c>
      <c r="O424" s="129">
        <f t="shared" si="230"/>
        <v>268000</v>
      </c>
      <c r="P424" s="129">
        <f t="shared" si="230"/>
        <v>268000</v>
      </c>
      <c r="Q424" s="129">
        <f t="shared" si="230"/>
        <v>3216000</v>
      </c>
    </row>
    <row r="425" spans="1:22" x14ac:dyDescent="0.3">
      <c r="A425" s="157"/>
      <c r="B425" s="157"/>
      <c r="C425" s="157"/>
      <c r="D425" s="157"/>
      <c r="E425" s="122"/>
      <c r="F425" s="122"/>
      <c r="G425" s="122"/>
      <c r="H425" s="122"/>
      <c r="I425" s="122"/>
      <c r="J425" s="122"/>
      <c r="K425" s="122"/>
      <c r="L425" s="122"/>
      <c r="M425" s="122"/>
      <c r="N425" s="122"/>
      <c r="O425" s="122"/>
      <c r="P425" s="122"/>
      <c r="Q425" s="122"/>
    </row>
    <row r="426" spans="1:22" x14ac:dyDescent="0.3">
      <c r="A426" s="158" t="s">
        <v>236</v>
      </c>
      <c r="B426" s="158"/>
      <c r="C426" s="158"/>
      <c r="D426" s="158"/>
      <c r="E426" s="107"/>
      <c r="F426" s="107"/>
      <c r="G426" s="107"/>
      <c r="H426" s="107"/>
      <c r="I426" s="107"/>
      <c r="J426" s="107"/>
      <c r="K426" s="107"/>
      <c r="L426" s="107"/>
      <c r="M426" s="107"/>
      <c r="N426" s="107"/>
      <c r="O426" s="107"/>
      <c r="P426" s="107"/>
      <c r="Q426" s="108" t="s">
        <v>674</v>
      </c>
    </row>
    <row r="427" spans="1:22" x14ac:dyDescent="0.3">
      <c r="A427" s="153" t="s">
        <v>268</v>
      </c>
      <c r="B427" s="153"/>
      <c r="C427" s="153"/>
      <c r="D427" s="153"/>
      <c r="E427" s="109">
        <v>45658</v>
      </c>
      <c r="F427" s="109">
        <v>45689</v>
      </c>
      <c r="G427" s="110">
        <v>45717</v>
      </c>
      <c r="H427" s="109">
        <v>45748</v>
      </c>
      <c r="I427" s="109">
        <v>45778</v>
      </c>
      <c r="J427" s="110">
        <v>45809</v>
      </c>
      <c r="K427" s="109">
        <v>45839</v>
      </c>
      <c r="L427" s="109">
        <v>45870</v>
      </c>
      <c r="M427" s="110">
        <v>45901</v>
      </c>
      <c r="N427" s="109">
        <v>45931</v>
      </c>
      <c r="O427" s="109">
        <v>45962</v>
      </c>
      <c r="P427" s="109">
        <v>45992</v>
      </c>
      <c r="Q427" s="111" t="s">
        <v>577</v>
      </c>
    </row>
    <row r="428" spans="1:22" x14ac:dyDescent="0.3">
      <c r="A428" s="161" t="s">
        <v>253</v>
      </c>
      <c r="B428" s="161"/>
      <c r="C428" s="161"/>
      <c r="D428" s="161"/>
      <c r="E428" s="124"/>
      <c r="F428" s="123"/>
      <c r="G428" s="124"/>
      <c r="H428" s="124"/>
      <c r="I428" s="124"/>
      <c r="J428" s="124">
        <v>7881</v>
      </c>
      <c r="K428" s="124"/>
      <c r="L428" s="124"/>
      <c r="M428" s="124">
        <v>2627</v>
      </c>
      <c r="N428" s="124"/>
      <c r="O428" s="124"/>
      <c r="P428" s="124"/>
      <c r="Q428" s="115">
        <f>SUM(E428:P428)</f>
        <v>10508</v>
      </c>
    </row>
    <row r="429" spans="1:22" x14ac:dyDescent="0.3">
      <c r="A429" s="161" t="s">
        <v>708</v>
      </c>
      <c r="B429" s="161"/>
      <c r="C429" s="161"/>
      <c r="D429" s="161"/>
      <c r="E429" s="124"/>
      <c r="F429" s="123"/>
      <c r="G429" s="124"/>
      <c r="H429" s="124">
        <v>0</v>
      </c>
      <c r="I429" s="124"/>
      <c r="J429" s="124"/>
      <c r="K429" s="124"/>
      <c r="L429" s="124"/>
      <c r="M429" s="124"/>
      <c r="N429" s="124"/>
      <c r="O429" s="124"/>
      <c r="P429" s="124"/>
      <c r="Q429" s="115">
        <f>SUM(E429:P429)</f>
        <v>0</v>
      </c>
    </row>
    <row r="430" spans="1:22" x14ac:dyDescent="0.3">
      <c r="A430" s="161" t="s">
        <v>258</v>
      </c>
      <c r="B430" s="161"/>
      <c r="C430" s="161"/>
      <c r="D430" s="161"/>
      <c r="E430" s="124"/>
      <c r="F430" s="124"/>
      <c r="G430" s="124">
        <v>1030</v>
      </c>
      <c r="H430" s="124"/>
      <c r="I430" s="124"/>
      <c r="J430" s="124"/>
      <c r="K430" s="124"/>
      <c r="L430" s="124"/>
      <c r="M430" s="124"/>
      <c r="N430" s="124"/>
      <c r="O430" s="124"/>
      <c r="P430" s="124"/>
      <c r="Q430" s="115">
        <f>SUM(E430:P430)</f>
        <v>1030</v>
      </c>
    </row>
    <row r="431" spans="1:22" x14ac:dyDescent="0.3">
      <c r="A431" s="161" t="s">
        <v>709</v>
      </c>
      <c r="B431" s="161"/>
      <c r="C431" s="161"/>
      <c r="D431" s="161"/>
      <c r="E431" s="124"/>
      <c r="F431" s="124"/>
      <c r="G431" s="124"/>
      <c r="H431" s="124"/>
      <c r="I431" s="124"/>
      <c r="J431" s="124"/>
      <c r="K431" s="124"/>
      <c r="L431" s="124"/>
      <c r="M431" s="124"/>
      <c r="N431" s="124"/>
      <c r="O431" s="124"/>
      <c r="P431" s="124"/>
      <c r="Q431" s="115">
        <f>SUM(E431:P431)</f>
        <v>0</v>
      </c>
    </row>
    <row r="432" spans="1:22" x14ac:dyDescent="0.3">
      <c r="A432" s="161" t="s">
        <v>710</v>
      </c>
      <c r="B432" s="161"/>
      <c r="C432" s="161"/>
      <c r="D432" s="161"/>
      <c r="E432" s="124"/>
      <c r="F432" s="123"/>
      <c r="G432" s="124"/>
      <c r="H432" s="124"/>
      <c r="I432" s="124"/>
      <c r="J432" s="127"/>
      <c r="K432" s="124"/>
      <c r="L432" s="124"/>
      <c r="M432" s="124"/>
      <c r="N432" s="124"/>
      <c r="O432" s="124"/>
      <c r="P432" s="124"/>
      <c r="Q432" s="115">
        <f>SUM(E432:P432)</f>
        <v>0</v>
      </c>
      <c r="R432" s="106" t="s">
        <v>711</v>
      </c>
    </row>
    <row r="433" spans="1:19" x14ac:dyDescent="0.3">
      <c r="A433" s="162" t="s">
        <v>174</v>
      </c>
      <c r="B433" s="162"/>
      <c r="C433" s="162"/>
      <c r="D433" s="162"/>
      <c r="E433" s="435">
        <f t="shared" ref="E433:Q433" si="231">SUM(E428:E432)</f>
        <v>0</v>
      </c>
      <c r="F433" s="125">
        <f t="shared" si="231"/>
        <v>0</v>
      </c>
      <c r="G433" s="125">
        <f t="shared" si="231"/>
        <v>1030</v>
      </c>
      <c r="H433" s="125">
        <f t="shared" si="231"/>
        <v>0</v>
      </c>
      <c r="I433" s="125">
        <f t="shared" si="231"/>
        <v>0</v>
      </c>
      <c r="J433" s="125">
        <f t="shared" si="231"/>
        <v>7881</v>
      </c>
      <c r="K433" s="125">
        <f t="shared" si="231"/>
        <v>0</v>
      </c>
      <c r="L433" s="125">
        <f t="shared" si="231"/>
        <v>0</v>
      </c>
      <c r="M433" s="125">
        <f t="shared" si="231"/>
        <v>2627</v>
      </c>
      <c r="N433" s="125">
        <f t="shared" si="231"/>
        <v>0</v>
      </c>
      <c r="O433" s="125">
        <f t="shared" si="231"/>
        <v>0</v>
      </c>
      <c r="P433" s="125">
        <f t="shared" si="231"/>
        <v>0</v>
      </c>
      <c r="Q433" s="125">
        <f t="shared" si="231"/>
        <v>11538</v>
      </c>
    </row>
    <row r="434" spans="1:19" x14ac:dyDescent="0.3">
      <c r="A434" s="157"/>
      <c r="B434" s="157"/>
      <c r="C434" s="157"/>
      <c r="D434" s="157"/>
      <c r="E434" s="122">
        <f>E433/80</f>
        <v>0</v>
      </c>
      <c r="F434" s="122">
        <f>F433/80</f>
        <v>0</v>
      </c>
      <c r="G434" s="122">
        <f>G433/80</f>
        <v>12.875</v>
      </c>
      <c r="H434" s="122">
        <f>H433/80</f>
        <v>0</v>
      </c>
      <c r="I434" s="122"/>
      <c r="J434" s="122"/>
      <c r="K434" s="122"/>
      <c r="L434" s="122"/>
      <c r="M434" s="122"/>
      <c r="N434" s="122"/>
      <c r="O434" s="122"/>
      <c r="P434" s="122"/>
      <c r="Q434" s="122"/>
    </row>
    <row r="435" spans="1:19" x14ac:dyDescent="0.3">
      <c r="A435" s="157"/>
      <c r="B435" s="157"/>
      <c r="C435" s="157"/>
      <c r="D435" s="157"/>
      <c r="E435" s="122"/>
      <c r="F435" s="122"/>
      <c r="G435" s="122"/>
      <c r="H435" s="122"/>
      <c r="I435" s="122"/>
      <c r="J435" s="122"/>
      <c r="K435" s="122"/>
      <c r="L435" s="122"/>
      <c r="M435" s="122"/>
      <c r="N435" s="122"/>
      <c r="O435" s="122"/>
      <c r="P435" s="122"/>
      <c r="Q435" s="122"/>
    </row>
    <row r="436" spans="1:19" x14ac:dyDescent="0.3">
      <c r="A436" s="158" t="s">
        <v>155</v>
      </c>
      <c r="B436" s="158"/>
      <c r="C436" s="158"/>
      <c r="D436" s="158"/>
      <c r="E436" s="107"/>
      <c r="F436" s="107"/>
      <c r="G436" s="107"/>
      <c r="H436" s="107"/>
      <c r="I436" s="293"/>
      <c r="J436" s="107"/>
      <c r="K436" s="107"/>
      <c r="L436" s="107"/>
      <c r="M436" s="107"/>
      <c r="N436" s="107"/>
      <c r="O436" s="107"/>
      <c r="P436" s="107"/>
      <c r="Q436" s="108" t="s">
        <v>674</v>
      </c>
    </row>
    <row r="437" spans="1:19" x14ac:dyDescent="0.3">
      <c r="A437" s="153" t="s">
        <v>268</v>
      </c>
      <c r="B437" s="153"/>
      <c r="C437" s="153"/>
      <c r="D437" s="153"/>
      <c r="E437" s="109">
        <v>45658</v>
      </c>
      <c r="F437" s="109">
        <v>45689</v>
      </c>
      <c r="G437" s="110">
        <v>45717</v>
      </c>
      <c r="H437" s="109">
        <v>45748</v>
      </c>
      <c r="I437" s="109">
        <v>45778</v>
      </c>
      <c r="J437" s="110">
        <v>45809</v>
      </c>
      <c r="K437" s="109">
        <v>45839</v>
      </c>
      <c r="L437" s="109">
        <v>45870</v>
      </c>
      <c r="M437" s="110">
        <v>45901</v>
      </c>
      <c r="N437" s="109">
        <v>45931</v>
      </c>
      <c r="O437" s="109">
        <v>45962</v>
      </c>
      <c r="P437" s="109">
        <v>45992</v>
      </c>
      <c r="Q437" s="111" t="s">
        <v>577</v>
      </c>
    </row>
    <row r="438" spans="1:19" s="239" customFormat="1" x14ac:dyDescent="0.3">
      <c r="A438" s="240" t="s">
        <v>712</v>
      </c>
      <c r="B438" s="240"/>
      <c r="C438" s="240"/>
      <c r="D438" s="240"/>
      <c r="E438" s="241">
        <v>10000</v>
      </c>
      <c r="F438" s="241">
        <v>10000</v>
      </c>
      <c r="G438" s="241">
        <v>10000</v>
      </c>
      <c r="H438" s="241">
        <v>10000</v>
      </c>
      <c r="I438" s="241">
        <v>10000</v>
      </c>
      <c r="J438" s="241">
        <v>10000</v>
      </c>
      <c r="K438" s="241">
        <v>10000</v>
      </c>
      <c r="L438" s="241">
        <v>10000</v>
      </c>
      <c r="M438" s="241">
        <v>10000</v>
      </c>
      <c r="N438" s="241">
        <v>10000</v>
      </c>
      <c r="O438" s="241">
        <v>10000</v>
      </c>
      <c r="P438" s="241">
        <v>10000</v>
      </c>
      <c r="Q438" s="235">
        <f>SUM(E438:P438)</f>
        <v>120000</v>
      </c>
    </row>
    <row r="439" spans="1:19" s="239" customFormat="1" x14ac:dyDescent="0.3">
      <c r="A439" s="240" t="s">
        <v>713</v>
      </c>
      <c r="B439" s="240"/>
      <c r="C439" s="240"/>
      <c r="D439" s="240"/>
      <c r="E439" s="241">
        <f>E511</f>
        <v>0</v>
      </c>
      <c r="F439" s="241">
        <f t="shared" ref="F439:P439" si="232">F511</f>
        <v>0</v>
      </c>
      <c r="G439" s="241">
        <f t="shared" si="232"/>
        <v>0</v>
      </c>
      <c r="H439" s="241">
        <f t="shared" si="232"/>
        <v>0</v>
      </c>
      <c r="I439" s="241">
        <f t="shared" si="232"/>
        <v>0</v>
      </c>
      <c r="J439" s="241">
        <f t="shared" si="232"/>
        <v>0</v>
      </c>
      <c r="K439" s="241">
        <f t="shared" si="232"/>
        <v>0</v>
      </c>
      <c r="L439" s="241">
        <f t="shared" si="232"/>
        <v>0</v>
      </c>
      <c r="M439" s="241">
        <f t="shared" si="232"/>
        <v>0</v>
      </c>
      <c r="N439" s="241">
        <f t="shared" si="232"/>
        <v>0</v>
      </c>
      <c r="O439" s="241">
        <f t="shared" si="232"/>
        <v>0</v>
      </c>
      <c r="P439" s="241">
        <f t="shared" si="232"/>
        <v>0</v>
      </c>
      <c r="Q439" s="235">
        <f>SUM(E439:P439)</f>
        <v>0</v>
      </c>
    </row>
    <row r="440" spans="1:19" x14ac:dyDescent="0.3">
      <c r="A440" s="164" t="s">
        <v>714</v>
      </c>
      <c r="B440" s="164"/>
      <c r="C440" s="164"/>
      <c r="D440" s="164"/>
      <c r="E440" s="119">
        <v>25000</v>
      </c>
      <c r="F440" s="119">
        <v>25000</v>
      </c>
      <c r="G440" s="119">
        <v>25000</v>
      </c>
      <c r="H440" s="119">
        <v>25000</v>
      </c>
      <c r="I440" s="119">
        <v>25000</v>
      </c>
      <c r="J440" s="119">
        <v>25000</v>
      </c>
      <c r="K440" s="119">
        <v>25000</v>
      </c>
      <c r="L440" s="119">
        <v>25000</v>
      </c>
      <c r="M440" s="119">
        <v>25000</v>
      </c>
      <c r="N440" s="119">
        <v>25000</v>
      </c>
      <c r="O440" s="119">
        <v>25000</v>
      </c>
      <c r="P440" s="119">
        <v>25000</v>
      </c>
      <c r="Q440" s="115">
        <f>SUM(E440:P440)</f>
        <v>300000</v>
      </c>
    </row>
    <row r="441" spans="1:19" x14ac:dyDescent="0.3">
      <c r="A441" s="156" t="s">
        <v>174</v>
      </c>
      <c r="B441" s="156"/>
      <c r="C441" s="156"/>
      <c r="D441" s="156"/>
      <c r="E441" s="121">
        <f t="shared" ref="E441:Q441" si="233">SUM(E438:E440)</f>
        <v>35000</v>
      </c>
      <c r="F441" s="121">
        <f t="shared" si="233"/>
        <v>35000</v>
      </c>
      <c r="G441" s="121">
        <f t="shared" si="233"/>
        <v>35000</v>
      </c>
      <c r="H441" s="121">
        <f t="shared" si="233"/>
        <v>35000</v>
      </c>
      <c r="I441" s="121">
        <f t="shared" si="233"/>
        <v>35000</v>
      </c>
      <c r="J441" s="121">
        <f t="shared" si="233"/>
        <v>35000</v>
      </c>
      <c r="K441" s="121">
        <f t="shared" si="233"/>
        <v>35000</v>
      </c>
      <c r="L441" s="121">
        <f t="shared" si="233"/>
        <v>35000</v>
      </c>
      <c r="M441" s="121">
        <f t="shared" si="233"/>
        <v>35000</v>
      </c>
      <c r="N441" s="121">
        <f t="shared" si="233"/>
        <v>35000</v>
      </c>
      <c r="O441" s="121">
        <f t="shared" si="233"/>
        <v>35000</v>
      </c>
      <c r="P441" s="121">
        <f t="shared" si="233"/>
        <v>35000</v>
      </c>
      <c r="Q441" s="121">
        <f t="shared" si="233"/>
        <v>420000</v>
      </c>
    </row>
    <row r="442" spans="1:19" x14ac:dyDescent="0.3">
      <c r="A442" s="157"/>
      <c r="B442" s="157"/>
      <c r="C442" s="157"/>
      <c r="D442" s="157"/>
      <c r="E442" s="122"/>
      <c r="F442" s="122"/>
      <c r="G442" s="122"/>
      <c r="H442" s="122"/>
      <c r="I442" s="122"/>
      <c r="J442" s="122"/>
      <c r="K442" s="122"/>
      <c r="L442" s="122"/>
      <c r="M442" s="122"/>
      <c r="N442" s="122"/>
      <c r="O442" s="122"/>
      <c r="P442" s="122"/>
      <c r="Q442" s="122"/>
    </row>
    <row r="445" spans="1:19" x14ac:dyDescent="0.3">
      <c r="A445" s="158" t="s">
        <v>223</v>
      </c>
      <c r="B445" s="158"/>
      <c r="C445" s="158"/>
      <c r="D445" s="158"/>
      <c r="E445" s="107"/>
      <c r="F445" s="107"/>
      <c r="G445" s="107"/>
      <c r="H445" s="107"/>
      <c r="I445" s="107"/>
      <c r="J445" s="107"/>
      <c r="K445" s="107"/>
      <c r="L445" s="107"/>
      <c r="M445" s="107"/>
      <c r="N445" s="107"/>
      <c r="O445" s="107"/>
      <c r="P445" s="107"/>
      <c r="Q445" s="108" t="s">
        <v>674</v>
      </c>
    </row>
    <row r="446" spans="1:19" x14ac:dyDescent="0.3">
      <c r="A446" s="153" t="s">
        <v>268</v>
      </c>
      <c r="B446" s="153"/>
      <c r="C446" s="153"/>
      <c r="D446" s="153"/>
      <c r="E446" s="109">
        <v>45658</v>
      </c>
      <c r="F446" s="109">
        <v>45689</v>
      </c>
      <c r="G446" s="110">
        <v>45717</v>
      </c>
      <c r="H446" s="109">
        <v>45748</v>
      </c>
      <c r="I446" s="109">
        <v>45778</v>
      </c>
      <c r="J446" s="110">
        <v>45809</v>
      </c>
      <c r="K446" s="109">
        <v>45839</v>
      </c>
      <c r="L446" s="109">
        <v>45870</v>
      </c>
      <c r="M446" s="110">
        <v>45901</v>
      </c>
      <c r="N446" s="109">
        <v>45931</v>
      </c>
      <c r="O446" s="109">
        <v>45962</v>
      </c>
      <c r="P446" s="109">
        <v>45992</v>
      </c>
      <c r="Q446" s="111" t="s">
        <v>577</v>
      </c>
      <c r="S446" s="106" t="s">
        <v>715</v>
      </c>
    </row>
    <row r="447" spans="1:19" x14ac:dyDescent="0.3">
      <c r="A447" s="163" t="s">
        <v>667</v>
      </c>
      <c r="B447" s="163"/>
      <c r="C447" s="163"/>
      <c r="D447" s="163"/>
      <c r="E447" s="114">
        <f>E519</f>
        <v>0</v>
      </c>
      <c r="F447" s="114">
        <f t="shared" ref="F447:P447" si="234">F519</f>
        <v>500000</v>
      </c>
      <c r="G447" s="114">
        <f t="shared" si="234"/>
        <v>0</v>
      </c>
      <c r="H447" s="114">
        <f t="shared" si="234"/>
        <v>0</v>
      </c>
      <c r="I447" s="114">
        <f t="shared" si="234"/>
        <v>0</v>
      </c>
      <c r="J447" s="114">
        <f t="shared" si="234"/>
        <v>0</v>
      </c>
      <c r="K447" s="114">
        <f t="shared" si="234"/>
        <v>0</v>
      </c>
      <c r="L447" s="114">
        <f t="shared" si="234"/>
        <v>0</v>
      </c>
      <c r="M447" s="114">
        <f t="shared" si="234"/>
        <v>0</v>
      </c>
      <c r="N447" s="114">
        <f t="shared" si="234"/>
        <v>0</v>
      </c>
      <c r="O447" s="114">
        <f t="shared" si="234"/>
        <v>0</v>
      </c>
      <c r="P447" s="114">
        <f t="shared" si="234"/>
        <v>0</v>
      </c>
      <c r="Q447" s="235">
        <f>SUM(E447:P447)</f>
        <v>500000</v>
      </c>
    </row>
    <row r="448" spans="1:19" s="239" customFormat="1" x14ac:dyDescent="0.3">
      <c r="A448" s="240" t="s">
        <v>716</v>
      </c>
      <c r="B448" s="240"/>
      <c r="C448" s="240" t="s">
        <v>717</v>
      </c>
      <c r="D448" s="240"/>
      <c r="E448" s="241"/>
      <c r="F448" s="241"/>
      <c r="G448" s="241"/>
      <c r="H448" s="241">
        <f>500/3*'2. Headcount Buildup'!I150</f>
        <v>43333.333333333328</v>
      </c>
      <c r="I448" s="241">
        <f>500/3*'2. Headcount Buildup'!J150</f>
        <v>44500</v>
      </c>
      <c r="J448" s="241">
        <f>500/3*'2. Headcount Buildup'!K150</f>
        <v>44500</v>
      </c>
      <c r="K448" s="241">
        <f>500/3*'2. Headcount Buildup'!L150</f>
        <v>45333.333333333328</v>
      </c>
      <c r="L448" s="241">
        <f>500/3*'2. Headcount Buildup'!M150</f>
        <v>50000</v>
      </c>
      <c r="M448" s="241">
        <f>500/3*'2. Headcount Buildup'!N150</f>
        <v>50833.333333333328</v>
      </c>
      <c r="N448" s="241">
        <f>500/3*'2. Headcount Buildup'!O150</f>
        <v>51666.666666666664</v>
      </c>
      <c r="O448" s="241">
        <f>500/3*'2. Headcount Buildup'!P150</f>
        <v>52500</v>
      </c>
      <c r="P448" s="241">
        <f>500/3*'2. Headcount Buildup'!Q150</f>
        <v>53333.333333333328</v>
      </c>
      <c r="Q448" s="235">
        <f>SUM(E448:P448)</f>
        <v>435999.99999999994</v>
      </c>
    </row>
    <row r="449" spans="1:20" x14ac:dyDescent="0.3">
      <c r="A449" s="163"/>
      <c r="B449" s="163"/>
      <c r="C449" s="163"/>
      <c r="D449" s="163"/>
      <c r="E449" s="114"/>
      <c r="F449" s="114"/>
      <c r="G449" s="114"/>
      <c r="H449" s="114"/>
      <c r="I449" s="114"/>
      <c r="J449" s="114"/>
      <c r="K449" s="114"/>
      <c r="L449" s="114"/>
      <c r="M449" s="114"/>
      <c r="N449" s="114"/>
      <c r="O449" s="114"/>
      <c r="P449" s="114"/>
      <c r="Q449" s="115"/>
    </row>
    <row r="450" spans="1:20" x14ac:dyDescent="0.3">
      <c r="A450" s="163"/>
      <c r="B450" s="163"/>
      <c r="C450" s="163"/>
      <c r="D450" s="163"/>
      <c r="E450" s="114"/>
      <c r="F450" s="114"/>
      <c r="G450" s="114"/>
      <c r="H450" s="114"/>
      <c r="I450" s="114"/>
      <c r="J450" s="114"/>
      <c r="K450" s="114"/>
      <c r="L450" s="114"/>
      <c r="M450" s="114"/>
      <c r="N450" s="114"/>
      <c r="O450" s="114"/>
      <c r="P450" s="114"/>
      <c r="Q450" s="115"/>
    </row>
    <row r="451" spans="1:20" x14ac:dyDescent="0.3">
      <c r="A451" s="164"/>
      <c r="B451" s="164"/>
      <c r="C451" s="164"/>
      <c r="D451" s="164"/>
      <c r="E451" s="119"/>
      <c r="F451" s="119"/>
      <c r="G451" s="119"/>
      <c r="H451" s="119"/>
      <c r="I451" s="114"/>
      <c r="J451" s="114"/>
      <c r="K451" s="114"/>
      <c r="L451" s="114"/>
      <c r="M451" s="114"/>
      <c r="N451" s="114"/>
      <c r="O451" s="114"/>
      <c r="P451" s="114"/>
      <c r="Q451" s="115"/>
    </row>
    <row r="452" spans="1:20" x14ac:dyDescent="0.3">
      <c r="A452" s="156" t="s">
        <v>174</v>
      </c>
      <c r="B452" s="156"/>
      <c r="C452" s="156"/>
      <c r="D452" s="156"/>
      <c r="E452" s="368">
        <f t="shared" ref="E452:O452" si="235">SUM(E447:E451)</f>
        <v>0</v>
      </c>
      <c r="F452" s="368">
        <f t="shared" si="235"/>
        <v>500000</v>
      </c>
      <c r="G452" s="368">
        <f t="shared" si="235"/>
        <v>0</v>
      </c>
      <c r="H452" s="368">
        <f t="shared" si="235"/>
        <v>43333.333333333328</v>
      </c>
      <c r="I452" s="368">
        <f t="shared" si="235"/>
        <v>44500</v>
      </c>
      <c r="J452" s="368">
        <f t="shared" si="235"/>
        <v>44500</v>
      </c>
      <c r="K452" s="368">
        <f t="shared" si="235"/>
        <v>45333.333333333328</v>
      </c>
      <c r="L452" s="368">
        <f t="shared" si="235"/>
        <v>50000</v>
      </c>
      <c r="M452" s="368">
        <f t="shared" si="235"/>
        <v>50833.333333333328</v>
      </c>
      <c r="N452" s="368">
        <f t="shared" si="235"/>
        <v>51666.666666666664</v>
      </c>
      <c r="O452" s="368">
        <f t="shared" si="235"/>
        <v>52500</v>
      </c>
      <c r="P452" s="368">
        <f>SUM(P447:P451)</f>
        <v>53333.333333333328</v>
      </c>
      <c r="Q452" s="368">
        <f>SUM(Q447:Q451)</f>
        <v>936000</v>
      </c>
      <c r="R452" s="106">
        <v>130</v>
      </c>
      <c r="S452" s="136">
        <f>Q452/R452</f>
        <v>7200</v>
      </c>
      <c r="T452" s="136">
        <f>S452/12</f>
        <v>600</v>
      </c>
    </row>
    <row r="454" spans="1:20" x14ac:dyDescent="0.3">
      <c r="A454" s="158" t="s">
        <v>718</v>
      </c>
      <c r="B454" s="158"/>
      <c r="C454" s="158"/>
      <c r="D454" s="158"/>
      <c r="E454" s="107"/>
      <c r="F454" s="107"/>
      <c r="G454" s="107"/>
      <c r="H454" s="107"/>
      <c r="I454" s="107"/>
      <c r="J454" s="107"/>
      <c r="K454" s="107"/>
      <c r="L454" s="107"/>
      <c r="M454" s="107"/>
      <c r="N454" s="107"/>
      <c r="O454" s="107"/>
      <c r="P454" s="107"/>
      <c r="Q454" s="108" t="s">
        <v>674</v>
      </c>
    </row>
    <row r="455" spans="1:20" x14ac:dyDescent="0.3">
      <c r="A455" s="153" t="s">
        <v>268</v>
      </c>
      <c r="B455" s="153"/>
      <c r="C455" s="153"/>
      <c r="D455" s="153"/>
      <c r="E455" s="109">
        <v>45658</v>
      </c>
      <c r="F455" s="109">
        <v>45689</v>
      </c>
      <c r="G455" s="110">
        <v>45717</v>
      </c>
      <c r="H455" s="109">
        <v>45748</v>
      </c>
      <c r="I455" s="109">
        <v>45778</v>
      </c>
      <c r="J455" s="110">
        <v>45809</v>
      </c>
      <c r="K455" s="109">
        <v>45839</v>
      </c>
      <c r="L455" s="109">
        <v>45870</v>
      </c>
      <c r="M455" s="110">
        <v>45901</v>
      </c>
      <c r="N455" s="109">
        <v>45931</v>
      </c>
      <c r="O455" s="109">
        <v>45962</v>
      </c>
      <c r="P455" s="109">
        <v>45992</v>
      </c>
      <c r="Q455" s="111" t="s">
        <v>577</v>
      </c>
      <c r="S455" s="106" t="s">
        <v>715</v>
      </c>
    </row>
    <row r="456" spans="1:20" x14ac:dyDescent="0.3">
      <c r="A456" s="163" t="s">
        <v>667</v>
      </c>
      <c r="B456" s="163"/>
      <c r="C456" s="163"/>
      <c r="D456" s="163"/>
      <c r="E456" s="114">
        <f>E528</f>
        <v>0</v>
      </c>
      <c r="F456" s="114">
        <f t="shared" ref="F456:P456" si="236">F528</f>
        <v>0</v>
      </c>
      <c r="G456" s="114">
        <f t="shared" si="236"/>
        <v>0</v>
      </c>
      <c r="H456" s="114">
        <f t="shared" si="236"/>
        <v>0</v>
      </c>
      <c r="I456" s="114">
        <f t="shared" si="236"/>
        <v>0</v>
      </c>
      <c r="J456" s="114">
        <f t="shared" si="236"/>
        <v>0</v>
      </c>
      <c r="K456" s="114">
        <f t="shared" si="236"/>
        <v>0</v>
      </c>
      <c r="L456" s="114">
        <f t="shared" si="236"/>
        <v>0</v>
      </c>
      <c r="M456" s="114">
        <f t="shared" si="236"/>
        <v>0</v>
      </c>
      <c r="N456" s="114">
        <f t="shared" si="236"/>
        <v>0</v>
      </c>
      <c r="O456" s="114">
        <f t="shared" si="236"/>
        <v>0</v>
      </c>
      <c r="P456" s="114">
        <f t="shared" si="236"/>
        <v>0</v>
      </c>
      <c r="Q456" s="235">
        <f>SUM(E456:P456)</f>
        <v>0</v>
      </c>
    </row>
    <row r="457" spans="1:20" s="239" customFormat="1" x14ac:dyDescent="0.3">
      <c r="A457" s="240" t="s">
        <v>716</v>
      </c>
      <c r="B457" s="240"/>
      <c r="C457" s="240" t="s">
        <v>717</v>
      </c>
      <c r="D457" s="240"/>
      <c r="E457" s="241" t="e">
        <f>150/3*'2. Headcount Buildup'!#REF!</f>
        <v>#REF!</v>
      </c>
      <c r="F457" s="241" t="e">
        <f>150/3*'2. Headcount Buildup'!#REF!</f>
        <v>#REF!</v>
      </c>
      <c r="G457" s="241" t="e">
        <f>150/3*'2. Headcount Buildup'!#REF!</f>
        <v>#REF!</v>
      </c>
      <c r="H457" s="241" t="e">
        <f>150/3*'2. Headcount Buildup'!#REF!</f>
        <v>#REF!</v>
      </c>
      <c r="I457" s="241" t="e">
        <f>150/3*'2. Headcount Buildup'!#REF!</f>
        <v>#REF!</v>
      </c>
      <c r="J457" s="241" t="e">
        <f>150/3*'2. Headcount Buildup'!#REF!</f>
        <v>#REF!</v>
      </c>
      <c r="K457" s="241" t="e">
        <f>150/3*'2. Headcount Buildup'!#REF!</f>
        <v>#REF!</v>
      </c>
      <c r="L457" s="241" t="e">
        <f>150/3*'2. Headcount Buildup'!#REF!</f>
        <v>#REF!</v>
      </c>
      <c r="M457" s="241" t="e">
        <f>150/3*'2. Headcount Buildup'!#REF!</f>
        <v>#REF!</v>
      </c>
      <c r="N457" s="241" t="e">
        <f>150/3*'2. Headcount Buildup'!#REF!</f>
        <v>#REF!</v>
      </c>
      <c r="O457" s="241" t="e">
        <f>150/3*'2. Headcount Buildup'!#REF!</f>
        <v>#REF!</v>
      </c>
      <c r="P457" s="241" t="e">
        <f>150/3*'2. Headcount Buildup'!#REF!</f>
        <v>#REF!</v>
      </c>
      <c r="Q457" s="235" t="e">
        <f>SUM(E457:P457)</f>
        <v>#REF!</v>
      </c>
    </row>
    <row r="458" spans="1:20" x14ac:dyDescent="0.3">
      <c r="A458" s="163"/>
      <c r="B458" s="163"/>
      <c r="C458" s="163"/>
      <c r="D458" s="163"/>
      <c r="E458" s="114"/>
      <c r="F458" s="114"/>
      <c r="G458" s="114"/>
      <c r="H458" s="114"/>
      <c r="I458" s="114"/>
      <c r="J458" s="114"/>
      <c r="K458" s="114"/>
      <c r="L458" s="114"/>
      <c r="M458" s="114"/>
      <c r="N458" s="114"/>
      <c r="O458" s="114"/>
      <c r="P458" s="114"/>
      <c r="Q458" s="115"/>
    </row>
    <row r="459" spans="1:20" x14ac:dyDescent="0.3">
      <c r="A459" s="163"/>
      <c r="B459" s="163"/>
      <c r="C459" s="163"/>
      <c r="D459" s="163"/>
      <c r="E459" s="114"/>
      <c r="F459" s="114"/>
      <c r="G459" s="114"/>
      <c r="H459" s="114"/>
      <c r="I459" s="114"/>
      <c r="J459" s="114"/>
      <c r="K459" s="114"/>
      <c r="L459" s="114"/>
      <c r="M459" s="114"/>
      <c r="N459" s="114"/>
      <c r="O459" s="114"/>
      <c r="P459" s="114"/>
      <c r="Q459" s="115"/>
    </row>
    <row r="460" spans="1:20" x14ac:dyDescent="0.3">
      <c r="A460" s="164"/>
      <c r="B460" s="164"/>
      <c r="C460" s="164"/>
      <c r="D460" s="164"/>
      <c r="E460" s="119"/>
      <c r="F460" s="119"/>
      <c r="G460" s="119"/>
      <c r="H460" s="119"/>
      <c r="I460" s="114"/>
      <c r="J460" s="114"/>
      <c r="K460" s="114"/>
      <c r="L460" s="114"/>
      <c r="M460" s="114"/>
      <c r="N460" s="114"/>
      <c r="O460" s="114"/>
      <c r="P460" s="114"/>
      <c r="Q460" s="115"/>
    </row>
    <row r="461" spans="1:20" x14ac:dyDescent="0.3">
      <c r="A461" s="156" t="s">
        <v>174</v>
      </c>
      <c r="B461" s="156"/>
      <c r="C461" s="156"/>
      <c r="D461" s="156"/>
      <c r="E461" s="368" t="e">
        <f t="shared" ref="E461:O461" si="237">SUM(E456:E460)</f>
        <v>#REF!</v>
      </c>
      <c r="F461" s="368" t="e">
        <f t="shared" si="237"/>
        <v>#REF!</v>
      </c>
      <c r="G461" s="368" t="e">
        <f t="shared" si="237"/>
        <v>#REF!</v>
      </c>
      <c r="H461" s="368" t="e">
        <f t="shared" si="237"/>
        <v>#REF!</v>
      </c>
      <c r="I461" s="368" t="e">
        <f t="shared" si="237"/>
        <v>#REF!</v>
      </c>
      <c r="J461" s="368" t="e">
        <f t="shared" si="237"/>
        <v>#REF!</v>
      </c>
      <c r="K461" s="368" t="e">
        <f t="shared" si="237"/>
        <v>#REF!</v>
      </c>
      <c r="L461" s="368" t="e">
        <f t="shared" si="237"/>
        <v>#REF!</v>
      </c>
      <c r="M461" s="368" t="e">
        <f t="shared" si="237"/>
        <v>#REF!</v>
      </c>
      <c r="N461" s="368" t="e">
        <f t="shared" si="237"/>
        <v>#REF!</v>
      </c>
      <c r="O461" s="368" t="e">
        <f t="shared" si="237"/>
        <v>#REF!</v>
      </c>
      <c r="P461" s="368" t="e">
        <f>SUM(P456:P460)</f>
        <v>#REF!</v>
      </c>
      <c r="Q461" s="368" t="e">
        <f>SUM(Q456:Q460)</f>
        <v>#REF!</v>
      </c>
      <c r="R461" s="106">
        <v>130</v>
      </c>
      <c r="S461" s="136" t="e">
        <f>Q461/R461</f>
        <v>#REF!</v>
      </c>
      <c r="T461" s="136" t="e">
        <f>S461/12</f>
        <v>#REF!</v>
      </c>
    </row>
    <row r="462" spans="1:20" x14ac:dyDescent="0.3">
      <c r="A462" s="157"/>
      <c r="B462" s="157"/>
      <c r="C462" s="157"/>
      <c r="D462" s="157"/>
      <c r="E462" s="371"/>
      <c r="F462" s="371"/>
      <c r="G462" s="371"/>
      <c r="H462" s="371"/>
      <c r="I462" s="371"/>
      <c r="J462" s="371"/>
      <c r="K462" s="371"/>
      <c r="L462" s="371"/>
      <c r="M462" s="371"/>
      <c r="N462" s="371"/>
      <c r="O462" s="371"/>
      <c r="P462" s="371"/>
      <c r="Q462" s="371"/>
      <c r="S462" s="136"/>
      <c r="T462" s="136"/>
    </row>
    <row r="463" spans="1:20" x14ac:dyDescent="0.3">
      <c r="A463" s="158" t="s">
        <v>227</v>
      </c>
      <c r="B463" s="158"/>
      <c r="C463" s="158"/>
      <c r="D463" s="158"/>
      <c r="E463" s="107"/>
      <c r="F463" s="107"/>
      <c r="G463" s="107"/>
      <c r="H463" s="107"/>
      <c r="I463" s="107"/>
      <c r="J463" s="107"/>
      <c r="K463" s="107"/>
      <c r="L463" s="107"/>
      <c r="M463" s="107"/>
      <c r="N463" s="107"/>
      <c r="O463" s="107"/>
      <c r="P463" s="107"/>
      <c r="Q463" s="108" t="s">
        <v>674</v>
      </c>
    </row>
    <row r="464" spans="1:20" x14ac:dyDescent="0.3">
      <c r="A464" s="153" t="s">
        <v>268</v>
      </c>
      <c r="B464" s="153"/>
      <c r="C464" s="153"/>
      <c r="D464" s="153"/>
      <c r="E464" s="109">
        <v>45658</v>
      </c>
      <c r="F464" s="109">
        <v>45689</v>
      </c>
      <c r="G464" s="110">
        <v>45717</v>
      </c>
      <c r="H464" s="109">
        <v>45748</v>
      </c>
      <c r="I464" s="109">
        <v>45778</v>
      </c>
      <c r="J464" s="110">
        <v>45809</v>
      </c>
      <c r="K464" s="109">
        <v>45839</v>
      </c>
      <c r="L464" s="109">
        <v>45870</v>
      </c>
      <c r="M464" s="110">
        <v>45901</v>
      </c>
      <c r="N464" s="109">
        <v>45931</v>
      </c>
      <c r="O464" s="109">
        <v>45962</v>
      </c>
      <c r="P464" s="109">
        <v>45992</v>
      </c>
      <c r="Q464" s="111" t="s">
        <v>577</v>
      </c>
      <c r="S464" s="106" t="s">
        <v>715</v>
      </c>
    </row>
    <row r="465" spans="1:23" s="239" customFormat="1" x14ac:dyDescent="0.3">
      <c r="A465" s="240" t="s">
        <v>719</v>
      </c>
      <c r="B465" s="240"/>
      <c r="C465" s="240">
        <v>350</v>
      </c>
      <c r="D465" s="240"/>
      <c r="E465" s="241"/>
      <c r="F465" s="241"/>
      <c r="G465" s="241"/>
      <c r="H465" s="241"/>
      <c r="I465" s="241"/>
      <c r="J465" s="241"/>
      <c r="K465" s="241"/>
      <c r="L465" s="241"/>
      <c r="M465" s="241"/>
      <c r="N465" s="241"/>
      <c r="O465" s="241"/>
      <c r="P465" s="241"/>
      <c r="Q465" s="235">
        <f>SUM(E465:P465)</f>
        <v>0</v>
      </c>
      <c r="R465" s="242"/>
      <c r="S465" s="242"/>
    </row>
    <row r="466" spans="1:23" s="239" customFormat="1" x14ac:dyDescent="0.3">
      <c r="A466" s="240" t="s">
        <v>720</v>
      </c>
      <c r="B466" s="240"/>
      <c r="C466" s="240"/>
      <c r="D466" s="240"/>
      <c r="E466" s="437"/>
      <c r="F466" s="437"/>
      <c r="G466" s="437"/>
      <c r="H466" s="437"/>
      <c r="I466" s="437"/>
      <c r="J466" s="437"/>
      <c r="K466" s="437"/>
      <c r="L466" s="437"/>
      <c r="M466" s="437"/>
      <c r="N466" s="437">
        <v>600000</v>
      </c>
      <c r="O466" s="437"/>
      <c r="P466" s="437"/>
      <c r="Q466" s="441">
        <f>SUM(E466:P466)</f>
        <v>600000</v>
      </c>
      <c r="R466" s="438" t="s">
        <v>721</v>
      </c>
      <c r="S466" s="438"/>
      <c r="T466" s="438"/>
      <c r="U466" s="438"/>
      <c r="V466" s="438"/>
      <c r="W466" s="438"/>
    </row>
    <row r="467" spans="1:23" x14ac:dyDescent="0.3">
      <c r="A467" s="164" t="s">
        <v>722</v>
      </c>
      <c r="B467" s="164"/>
      <c r="C467" s="164"/>
      <c r="D467" s="164"/>
      <c r="E467" s="272">
        <f>E517</f>
        <v>0</v>
      </c>
      <c r="F467" s="272">
        <f t="shared" ref="F467:P467" si="238">F517</f>
        <v>0</v>
      </c>
      <c r="G467" s="272">
        <f t="shared" si="238"/>
        <v>0</v>
      </c>
      <c r="H467" s="272">
        <f t="shared" si="238"/>
        <v>0</v>
      </c>
      <c r="I467" s="272">
        <f t="shared" si="238"/>
        <v>0</v>
      </c>
      <c r="J467" s="272">
        <f t="shared" si="238"/>
        <v>0</v>
      </c>
      <c r="K467" s="272">
        <f t="shared" si="238"/>
        <v>0</v>
      </c>
      <c r="L467" s="272">
        <f t="shared" si="238"/>
        <v>0</v>
      </c>
      <c r="M467" s="272">
        <f t="shared" si="238"/>
        <v>0</v>
      </c>
      <c r="N467" s="272">
        <f t="shared" si="238"/>
        <v>0</v>
      </c>
      <c r="O467" s="272">
        <f t="shared" si="238"/>
        <v>0</v>
      </c>
      <c r="P467" s="272">
        <f t="shared" si="238"/>
        <v>0</v>
      </c>
      <c r="Q467" s="115">
        <f>SUM(E467:P467)</f>
        <v>0</v>
      </c>
    </row>
    <row r="468" spans="1:23" x14ac:dyDescent="0.3">
      <c r="A468" s="156" t="s">
        <v>174</v>
      </c>
      <c r="B468" s="156"/>
      <c r="C468" s="156"/>
      <c r="D468" s="156"/>
      <c r="E468" s="368">
        <f>SUM(E465:E467)</f>
        <v>0</v>
      </c>
      <c r="F468" s="368">
        <f>SUM(F465:F467)</f>
        <v>0</v>
      </c>
      <c r="G468" s="368">
        <f>SUM(G465:G467)</f>
        <v>0</v>
      </c>
      <c r="H468" s="368">
        <f>SUM(H465:H467)</f>
        <v>0</v>
      </c>
      <c r="I468" s="368">
        <f>SUM(I465:I467)</f>
        <v>0</v>
      </c>
      <c r="J468" s="368">
        <f>SUM(J466:J467)</f>
        <v>0</v>
      </c>
      <c r="K468" s="368">
        <f t="shared" ref="K468:Q468" si="239">SUM(K465:K467)</f>
        <v>0</v>
      </c>
      <c r="L468" s="368">
        <f t="shared" si="239"/>
        <v>0</v>
      </c>
      <c r="M468" s="368">
        <f t="shared" si="239"/>
        <v>0</v>
      </c>
      <c r="N468" s="368">
        <f t="shared" si="239"/>
        <v>600000</v>
      </c>
      <c r="O468" s="368">
        <f t="shared" si="239"/>
        <v>0</v>
      </c>
      <c r="P468" s="368">
        <f t="shared" si="239"/>
        <v>0</v>
      </c>
      <c r="Q468" s="368">
        <f t="shared" si="239"/>
        <v>600000</v>
      </c>
      <c r="S468" s="126"/>
    </row>
    <row r="470" spans="1:23" s="239" customFormat="1" x14ac:dyDescent="0.3">
      <c r="A470" s="243" t="s">
        <v>723</v>
      </c>
      <c r="B470" s="243"/>
      <c r="C470" s="243"/>
      <c r="D470" s="243"/>
      <c r="E470" s="244"/>
      <c r="F470" s="244"/>
      <c r="G470" s="244"/>
      <c r="H470" s="244"/>
      <c r="I470" s="244"/>
      <c r="J470" s="244"/>
      <c r="K470" s="244"/>
      <c r="L470" s="244"/>
      <c r="M470" s="244"/>
      <c r="N470" s="244"/>
      <c r="O470" s="244"/>
      <c r="P470" s="244"/>
      <c r="Q470" s="245" t="s">
        <v>674</v>
      </c>
    </row>
    <row r="471" spans="1:23" x14ac:dyDescent="0.3">
      <c r="A471" s="153" t="s">
        <v>268</v>
      </c>
      <c r="B471" s="153"/>
      <c r="C471" s="153"/>
      <c r="D471" s="153"/>
      <c r="E471" s="109">
        <v>45658</v>
      </c>
      <c r="F471" s="109">
        <v>45689</v>
      </c>
      <c r="G471" s="110">
        <v>45717</v>
      </c>
      <c r="H471" s="109">
        <v>45748</v>
      </c>
      <c r="I471" s="109">
        <v>45778</v>
      </c>
      <c r="J471" s="110">
        <v>45809</v>
      </c>
      <c r="K471" s="109">
        <v>45839</v>
      </c>
      <c r="L471" s="109">
        <v>45870</v>
      </c>
      <c r="M471" s="110">
        <v>45901</v>
      </c>
      <c r="N471" s="109">
        <v>45931</v>
      </c>
      <c r="O471" s="109">
        <v>45962</v>
      </c>
      <c r="P471" s="109">
        <v>45992</v>
      </c>
      <c r="Q471" s="111" t="s">
        <v>577</v>
      </c>
      <c r="S471" s="106" t="s">
        <v>724</v>
      </c>
    </row>
    <row r="472" spans="1:23" x14ac:dyDescent="0.3">
      <c r="A472" s="154"/>
      <c r="B472" s="154"/>
      <c r="C472" s="154"/>
      <c r="D472" s="154"/>
      <c r="E472" s="112"/>
      <c r="F472" s="113"/>
      <c r="G472" s="114"/>
      <c r="H472" s="114"/>
      <c r="I472" s="115"/>
      <c r="J472" s="113"/>
      <c r="K472" s="114"/>
      <c r="L472" s="131"/>
      <c r="M472" s="116"/>
      <c r="N472" s="117"/>
      <c r="O472" s="117"/>
      <c r="P472" s="117"/>
      <c r="Q472" s="115"/>
    </row>
    <row r="473" spans="1:23" x14ac:dyDescent="0.3">
      <c r="A473" s="154"/>
      <c r="B473" s="154"/>
      <c r="C473" s="154"/>
      <c r="D473" s="154"/>
      <c r="E473" s="112"/>
      <c r="F473" s="113"/>
      <c r="G473" s="114"/>
      <c r="H473" s="114"/>
      <c r="I473" s="115"/>
      <c r="J473" s="113"/>
      <c r="K473" s="114"/>
      <c r="L473" s="117"/>
      <c r="M473" s="117"/>
      <c r="N473" s="117"/>
      <c r="O473" s="117"/>
      <c r="P473" s="117"/>
      <c r="Q473" s="115"/>
    </row>
    <row r="474" spans="1:23" x14ac:dyDescent="0.3">
      <c r="A474" s="155"/>
      <c r="B474" s="155"/>
      <c r="C474" s="155"/>
      <c r="D474" s="155"/>
      <c r="E474" s="118"/>
      <c r="F474" s="132"/>
      <c r="G474" s="119"/>
      <c r="H474" s="119"/>
      <c r="I474" s="115"/>
      <c r="J474" s="113"/>
      <c r="K474" s="114"/>
      <c r="L474" s="117"/>
      <c r="M474" s="115"/>
      <c r="N474" s="115"/>
      <c r="O474" s="115"/>
      <c r="P474" s="115"/>
      <c r="Q474" s="115"/>
    </row>
    <row r="475" spans="1:23" x14ac:dyDescent="0.3">
      <c r="A475" s="156" t="s">
        <v>174</v>
      </c>
      <c r="B475" s="156"/>
      <c r="C475" s="156"/>
      <c r="D475" s="156"/>
      <c r="E475" s="368">
        <f t="shared" ref="E475:P475" si="240">SUM(E472:E474)</f>
        <v>0</v>
      </c>
      <c r="F475" s="370">
        <f t="shared" si="240"/>
        <v>0</v>
      </c>
      <c r="G475" s="368">
        <f t="shared" si="240"/>
        <v>0</v>
      </c>
      <c r="H475" s="368">
        <f t="shared" si="240"/>
        <v>0</v>
      </c>
      <c r="I475" s="368">
        <f t="shared" si="240"/>
        <v>0</v>
      </c>
      <c r="J475" s="370">
        <f t="shared" si="240"/>
        <v>0</v>
      </c>
      <c r="K475" s="368">
        <f t="shared" si="240"/>
        <v>0</v>
      </c>
      <c r="L475" s="369">
        <f t="shared" si="240"/>
        <v>0</v>
      </c>
      <c r="M475" s="368">
        <f t="shared" si="240"/>
        <v>0</v>
      </c>
      <c r="N475" s="368">
        <f t="shared" si="240"/>
        <v>0</v>
      </c>
      <c r="O475" s="368">
        <f t="shared" si="240"/>
        <v>0</v>
      </c>
      <c r="P475" s="368">
        <f t="shared" si="240"/>
        <v>0</v>
      </c>
      <c r="Q475" s="368">
        <f>SUM(Q472:Q474)</f>
        <v>0</v>
      </c>
    </row>
    <row r="477" spans="1:23" x14ac:dyDescent="0.3">
      <c r="A477" s="159" t="s">
        <v>224</v>
      </c>
    </row>
    <row r="478" spans="1:23" x14ac:dyDescent="0.3">
      <c r="A478" s="153" t="s">
        <v>268</v>
      </c>
      <c r="B478" s="153"/>
      <c r="C478" s="153"/>
      <c r="D478" s="153"/>
      <c r="E478" s="109">
        <v>45658</v>
      </c>
      <c r="F478" s="109">
        <v>45689</v>
      </c>
      <c r="G478" s="110">
        <v>45717</v>
      </c>
      <c r="H478" s="109">
        <v>45748</v>
      </c>
      <c r="I478" s="109">
        <v>45778</v>
      </c>
      <c r="J478" s="110">
        <v>45809</v>
      </c>
      <c r="K478" s="109">
        <v>45839</v>
      </c>
      <c r="L478" s="109">
        <v>45870</v>
      </c>
      <c r="M478" s="110">
        <v>45901</v>
      </c>
      <c r="N478" s="109">
        <v>45931</v>
      </c>
      <c r="O478" s="109">
        <v>45962</v>
      </c>
      <c r="P478" s="109">
        <v>45992</v>
      </c>
      <c r="Q478" s="111" t="s">
        <v>577</v>
      </c>
    </row>
    <row r="479" spans="1:23" x14ac:dyDescent="0.3">
      <c r="A479" s="163" t="s">
        <v>725</v>
      </c>
      <c r="B479" s="163"/>
      <c r="C479" s="163"/>
      <c r="D479" s="163"/>
      <c r="E479" s="114"/>
      <c r="F479" s="114"/>
      <c r="G479" s="130"/>
      <c r="H479" s="114"/>
      <c r="I479" s="115"/>
      <c r="J479" s="113"/>
      <c r="K479" s="114"/>
      <c r="L479" s="117"/>
      <c r="M479" s="116">
        <v>97940</v>
      </c>
      <c r="N479" s="117"/>
      <c r="O479" s="117"/>
      <c r="P479" s="117"/>
      <c r="Q479" s="115">
        <f>SUM(E479:P479)</f>
        <v>97940</v>
      </c>
    </row>
    <row r="480" spans="1:23" x14ac:dyDescent="0.3">
      <c r="A480" s="163"/>
      <c r="B480" s="163"/>
      <c r="C480" s="163"/>
      <c r="D480" s="163"/>
      <c r="E480" s="114"/>
      <c r="F480" s="114"/>
      <c r="G480" s="130"/>
      <c r="H480" s="114"/>
      <c r="I480" s="115"/>
      <c r="J480" s="113"/>
      <c r="K480" s="114"/>
      <c r="L480" s="117"/>
      <c r="M480" s="117"/>
      <c r="N480" s="117"/>
      <c r="O480" s="117"/>
      <c r="P480" s="117"/>
      <c r="Q480" s="115">
        <f>SUM(E480:P480)</f>
        <v>0</v>
      </c>
    </row>
    <row r="481" spans="1:20" x14ac:dyDescent="0.3">
      <c r="A481" s="164"/>
      <c r="B481" s="164"/>
      <c r="C481" s="164"/>
      <c r="D481" s="164"/>
      <c r="E481" s="119"/>
      <c r="F481" s="119"/>
      <c r="G481" s="120"/>
      <c r="H481" s="119"/>
      <c r="I481" s="115"/>
      <c r="J481" s="113"/>
      <c r="K481" s="114"/>
      <c r="L481" s="117"/>
      <c r="M481" s="115"/>
      <c r="N481" s="115"/>
      <c r="O481" s="115"/>
      <c r="P481" s="115"/>
      <c r="Q481" s="115"/>
    </row>
    <row r="482" spans="1:20" x14ac:dyDescent="0.3">
      <c r="A482" s="156" t="s">
        <v>174</v>
      </c>
      <c r="B482" s="156"/>
      <c r="C482" s="156"/>
      <c r="D482" s="156"/>
      <c r="E482" s="368">
        <f t="shared" ref="E482:N482" si="241">SUM(E479:E481)</f>
        <v>0</v>
      </c>
      <c r="F482" s="368">
        <f t="shared" si="241"/>
        <v>0</v>
      </c>
      <c r="G482" s="369">
        <f t="shared" si="241"/>
        <v>0</v>
      </c>
      <c r="H482" s="368">
        <f t="shared" si="241"/>
        <v>0</v>
      </c>
      <c r="I482" s="368">
        <f t="shared" si="241"/>
        <v>0</v>
      </c>
      <c r="J482" s="370">
        <f t="shared" si="241"/>
        <v>0</v>
      </c>
      <c r="K482" s="368">
        <f t="shared" si="241"/>
        <v>0</v>
      </c>
      <c r="L482" s="369">
        <f t="shared" si="241"/>
        <v>0</v>
      </c>
      <c r="M482" s="368">
        <f t="shared" si="241"/>
        <v>97940</v>
      </c>
      <c r="N482" s="368">
        <f t="shared" si="241"/>
        <v>0</v>
      </c>
      <c r="O482" s="368"/>
      <c r="P482" s="368"/>
      <c r="Q482" s="368">
        <f>SUM(Q479:Q481)</f>
        <v>97940</v>
      </c>
    </row>
    <row r="484" spans="1:20" x14ac:dyDescent="0.3">
      <c r="A484" s="159" t="s">
        <v>726</v>
      </c>
    </row>
    <row r="485" spans="1:20" x14ac:dyDescent="0.3">
      <c r="A485" s="153" t="s">
        <v>268</v>
      </c>
      <c r="B485" s="153"/>
      <c r="C485" s="153"/>
      <c r="D485" s="153"/>
      <c r="E485" s="109">
        <v>45658</v>
      </c>
      <c r="F485" s="109">
        <v>45689</v>
      </c>
      <c r="G485" s="110">
        <v>45717</v>
      </c>
      <c r="H485" s="109">
        <v>45748</v>
      </c>
      <c r="I485" s="109">
        <v>45778</v>
      </c>
      <c r="J485" s="110">
        <v>45809</v>
      </c>
      <c r="K485" s="109">
        <v>45839</v>
      </c>
      <c r="L485" s="109">
        <v>45870</v>
      </c>
      <c r="M485" s="110">
        <v>45901</v>
      </c>
      <c r="N485" s="109">
        <v>45931</v>
      </c>
      <c r="O485" s="109">
        <v>45962</v>
      </c>
      <c r="P485" s="109">
        <v>45992</v>
      </c>
      <c r="Q485" s="111" t="s">
        <v>577</v>
      </c>
    </row>
    <row r="486" spans="1:20" x14ac:dyDescent="0.3">
      <c r="A486" s="163" t="s">
        <v>467</v>
      </c>
      <c r="B486" s="163"/>
      <c r="C486" s="163"/>
      <c r="D486" s="163"/>
      <c r="E486" s="437"/>
      <c r="F486" s="437"/>
      <c r="G486" s="437"/>
      <c r="H486" s="437"/>
      <c r="I486" s="437"/>
      <c r="J486" s="437"/>
      <c r="K486" s="437"/>
      <c r="L486" s="437"/>
      <c r="M486" s="437"/>
      <c r="N486" s="437"/>
      <c r="O486" s="437"/>
      <c r="P486" s="437"/>
      <c r="Q486" s="115">
        <f>SUM(E486:P486)</f>
        <v>0</v>
      </c>
      <c r="R486" s="438" t="s">
        <v>727</v>
      </c>
      <c r="S486" s="438"/>
      <c r="T486" s="438"/>
    </row>
    <row r="487" spans="1:20" x14ac:dyDescent="0.3">
      <c r="A487" s="163"/>
      <c r="B487" s="163"/>
      <c r="C487" s="163"/>
      <c r="D487" s="163"/>
      <c r="E487" s="114"/>
      <c r="F487" s="114"/>
      <c r="G487" s="130"/>
      <c r="H487" s="114"/>
      <c r="I487" s="115"/>
      <c r="J487" s="113"/>
      <c r="K487" s="114"/>
      <c r="L487" s="117"/>
      <c r="M487" s="117"/>
      <c r="N487" s="117"/>
      <c r="O487" s="117"/>
      <c r="P487" s="117"/>
      <c r="Q487" s="115">
        <f>SUM(E487:P487)</f>
        <v>0</v>
      </c>
    </row>
    <row r="488" spans="1:20" x14ac:dyDescent="0.3">
      <c r="A488" s="164"/>
      <c r="B488" s="164"/>
      <c r="C488" s="164"/>
      <c r="D488" s="164"/>
      <c r="E488" s="119"/>
      <c r="F488" s="119"/>
      <c r="G488" s="120"/>
      <c r="H488" s="119"/>
      <c r="I488" s="115"/>
      <c r="J488" s="113"/>
      <c r="K488" s="114"/>
      <c r="L488" s="117"/>
      <c r="M488" s="115"/>
      <c r="N488" s="115"/>
      <c r="O488" s="115"/>
      <c r="P488" s="115"/>
      <c r="Q488" s="115"/>
    </row>
    <row r="489" spans="1:20" x14ac:dyDescent="0.3">
      <c r="A489" s="156" t="s">
        <v>174</v>
      </c>
      <c r="B489" s="156"/>
      <c r="C489" s="156"/>
      <c r="D489" s="156"/>
      <c r="E489" s="121">
        <f t="shared" ref="E489:N489" si="242">SUM(E486:E488)</f>
        <v>0</v>
      </c>
      <c r="F489" s="121">
        <f t="shared" si="242"/>
        <v>0</v>
      </c>
      <c r="G489" s="134">
        <f t="shared" si="242"/>
        <v>0</v>
      </c>
      <c r="H489" s="121">
        <f t="shared" si="242"/>
        <v>0</v>
      </c>
      <c r="I489" s="121">
        <f t="shared" si="242"/>
        <v>0</v>
      </c>
      <c r="J489" s="133">
        <f t="shared" si="242"/>
        <v>0</v>
      </c>
      <c r="K489" s="121">
        <f t="shared" si="242"/>
        <v>0</v>
      </c>
      <c r="L489" s="134">
        <f t="shared" si="242"/>
        <v>0</v>
      </c>
      <c r="M489" s="121">
        <f t="shared" si="242"/>
        <v>0</v>
      </c>
      <c r="N489" s="121">
        <f t="shared" si="242"/>
        <v>0</v>
      </c>
      <c r="O489" s="121"/>
      <c r="P489" s="121"/>
      <c r="Q489" s="121">
        <f>SUM(Q486:Q488)</f>
        <v>0</v>
      </c>
    </row>
    <row r="491" spans="1:20" x14ac:dyDescent="0.3">
      <c r="A491" s="159" t="s">
        <v>444</v>
      </c>
    </row>
    <row r="492" spans="1:20" x14ac:dyDescent="0.3">
      <c r="A492" s="153" t="s">
        <v>268</v>
      </c>
      <c r="B492" s="153"/>
      <c r="C492" s="153"/>
      <c r="D492" s="153"/>
      <c r="E492" s="109">
        <v>45658</v>
      </c>
      <c r="F492" s="109">
        <v>45689</v>
      </c>
      <c r="G492" s="110">
        <v>45717</v>
      </c>
      <c r="H492" s="109">
        <v>45748</v>
      </c>
      <c r="I492" s="109">
        <v>45778</v>
      </c>
      <c r="J492" s="110">
        <v>45809</v>
      </c>
      <c r="K492" s="109">
        <v>45839</v>
      </c>
      <c r="L492" s="109">
        <v>45870</v>
      </c>
      <c r="M492" s="110">
        <v>45901</v>
      </c>
      <c r="N492" s="109">
        <v>45931</v>
      </c>
      <c r="O492" s="109">
        <v>45962</v>
      </c>
      <c r="P492" s="109">
        <v>45992</v>
      </c>
      <c r="Q492" s="111" t="s">
        <v>577</v>
      </c>
    </row>
    <row r="493" spans="1:20" x14ac:dyDescent="0.3">
      <c r="A493" s="163" t="s">
        <v>728</v>
      </c>
      <c r="B493" s="163"/>
      <c r="C493" s="163"/>
      <c r="D493" s="163"/>
      <c r="E493" s="488">
        <v>174090</v>
      </c>
      <c r="F493" s="488">
        <v>174090</v>
      </c>
      <c r="G493" s="437">
        <f>174090+(369*84)</f>
        <v>205086</v>
      </c>
      <c r="H493" s="437">
        <f t="shared" ref="H493:P493" si="243">174090+(369*84)</f>
        <v>205086</v>
      </c>
      <c r="I493" s="437">
        <f t="shared" si="243"/>
        <v>205086</v>
      </c>
      <c r="J493" s="437">
        <f t="shared" si="243"/>
        <v>205086</v>
      </c>
      <c r="K493" s="437">
        <f t="shared" si="243"/>
        <v>205086</v>
      </c>
      <c r="L493" s="437">
        <f t="shared" si="243"/>
        <v>205086</v>
      </c>
      <c r="M493" s="437">
        <f t="shared" si="243"/>
        <v>205086</v>
      </c>
      <c r="N493" s="437">
        <f t="shared" si="243"/>
        <v>205086</v>
      </c>
      <c r="O493" s="437">
        <f t="shared" si="243"/>
        <v>205086</v>
      </c>
      <c r="P493" s="437">
        <f t="shared" si="243"/>
        <v>205086</v>
      </c>
      <c r="Q493" s="441">
        <f>SUM(E493:P493)</f>
        <v>2399040</v>
      </c>
      <c r="R493" s="438" t="s">
        <v>729</v>
      </c>
    </row>
    <row r="494" spans="1:20" x14ac:dyDescent="0.3">
      <c r="A494" s="163" t="s">
        <v>730</v>
      </c>
      <c r="B494" s="163"/>
      <c r="C494" s="163"/>
      <c r="D494" s="163"/>
      <c r="E494" s="437">
        <f>1470.59*84</f>
        <v>123529.56</v>
      </c>
      <c r="F494" s="437">
        <f t="shared" ref="F494:P494" si="244">1470.59*84</f>
        <v>123529.56</v>
      </c>
      <c r="G494" s="437">
        <f t="shared" si="244"/>
        <v>123529.56</v>
      </c>
      <c r="H494" s="437">
        <f t="shared" si="244"/>
        <v>123529.56</v>
      </c>
      <c r="I494" s="437">
        <f t="shared" si="244"/>
        <v>123529.56</v>
      </c>
      <c r="J494" s="437">
        <f t="shared" si="244"/>
        <v>123529.56</v>
      </c>
      <c r="K494" s="437">
        <f t="shared" si="244"/>
        <v>123529.56</v>
      </c>
      <c r="L494" s="437">
        <f t="shared" si="244"/>
        <v>123529.56</v>
      </c>
      <c r="M494" s="437">
        <f t="shared" si="244"/>
        <v>123529.56</v>
      </c>
      <c r="N494" s="437">
        <f t="shared" si="244"/>
        <v>123529.56</v>
      </c>
      <c r="O494" s="437">
        <f t="shared" si="244"/>
        <v>123529.56</v>
      </c>
      <c r="P494" s="437">
        <f t="shared" si="244"/>
        <v>123529.56</v>
      </c>
      <c r="Q494" s="441">
        <f>SUM(E494:P494)</f>
        <v>1482354.7200000004</v>
      </c>
      <c r="R494" s="438" t="s">
        <v>731</v>
      </c>
    </row>
    <row r="495" spans="1:20" x14ac:dyDescent="0.3">
      <c r="A495" s="163" t="s">
        <v>483</v>
      </c>
      <c r="B495" s="163"/>
      <c r="C495" s="163"/>
      <c r="D495" s="163"/>
      <c r="E495" s="437">
        <v>154000</v>
      </c>
      <c r="F495" s="437">
        <v>154000</v>
      </c>
      <c r="G495" s="437">
        <v>154000</v>
      </c>
      <c r="H495" s="437">
        <v>154000</v>
      </c>
      <c r="I495" s="437">
        <v>154000</v>
      </c>
      <c r="J495" s="437">
        <v>154000</v>
      </c>
      <c r="K495" s="437">
        <v>154000</v>
      </c>
      <c r="L495" s="437">
        <v>154000</v>
      </c>
      <c r="M495" s="437">
        <v>154000</v>
      </c>
      <c r="N495" s="437">
        <v>154000</v>
      </c>
      <c r="O495" s="437">
        <v>154000</v>
      </c>
      <c r="P495" s="437">
        <v>154000</v>
      </c>
      <c r="Q495" s="437">
        <v>154000</v>
      </c>
      <c r="R495" s="438" t="s">
        <v>731</v>
      </c>
    </row>
    <row r="496" spans="1:20" x14ac:dyDescent="0.3">
      <c r="A496" s="156" t="s">
        <v>174</v>
      </c>
      <c r="B496" s="156"/>
      <c r="C496" s="156"/>
      <c r="D496" s="156"/>
      <c r="E496" s="368">
        <f t="shared" ref="E496:P496" si="245">SUM(E493:E495)</f>
        <v>451619.56</v>
      </c>
      <c r="F496" s="368">
        <f t="shared" si="245"/>
        <v>451619.56</v>
      </c>
      <c r="G496" s="368">
        <f t="shared" si="245"/>
        <v>482615.56</v>
      </c>
      <c r="H496" s="368">
        <f t="shared" si="245"/>
        <v>482615.56</v>
      </c>
      <c r="I496" s="368">
        <f t="shared" si="245"/>
        <v>482615.56</v>
      </c>
      <c r="J496" s="368">
        <f t="shared" si="245"/>
        <v>482615.56</v>
      </c>
      <c r="K496" s="368">
        <f t="shared" si="245"/>
        <v>482615.56</v>
      </c>
      <c r="L496" s="368">
        <f t="shared" si="245"/>
        <v>482615.56</v>
      </c>
      <c r="M496" s="368">
        <f t="shared" si="245"/>
        <v>482615.56</v>
      </c>
      <c r="N496" s="368">
        <f t="shared" si="245"/>
        <v>482615.56</v>
      </c>
      <c r="O496" s="368">
        <f t="shared" si="245"/>
        <v>482615.56</v>
      </c>
      <c r="P496" s="368">
        <f t="shared" si="245"/>
        <v>482615.56</v>
      </c>
      <c r="Q496" s="121">
        <f>SUM(Q493:Q495)</f>
        <v>4035394.7200000007</v>
      </c>
    </row>
    <row r="498" spans="1:33" x14ac:dyDescent="0.3">
      <c r="A498" s="159" t="s">
        <v>732</v>
      </c>
    </row>
    <row r="499" spans="1:33" x14ac:dyDescent="0.3">
      <c r="A499" s="153" t="s">
        <v>268</v>
      </c>
      <c r="B499" s="153"/>
      <c r="C499" s="153"/>
      <c r="D499" s="153"/>
      <c r="E499" s="109">
        <v>45658</v>
      </c>
      <c r="F499" s="109">
        <v>45689</v>
      </c>
      <c r="G499" s="110">
        <v>45717</v>
      </c>
      <c r="H499" s="109">
        <v>45748</v>
      </c>
      <c r="I499" s="109">
        <v>45778</v>
      </c>
      <c r="J499" s="110">
        <v>45809</v>
      </c>
      <c r="K499" s="109">
        <v>45839</v>
      </c>
      <c r="L499" s="109">
        <v>45870</v>
      </c>
      <c r="M499" s="110">
        <v>45901</v>
      </c>
      <c r="N499" s="109">
        <v>45931</v>
      </c>
      <c r="O499" s="109">
        <v>45962</v>
      </c>
      <c r="P499" s="109">
        <v>45992</v>
      </c>
      <c r="Q499" s="111" t="s">
        <v>577</v>
      </c>
    </row>
    <row r="500" spans="1:33" x14ac:dyDescent="0.3">
      <c r="A500" s="273" t="s">
        <v>733</v>
      </c>
      <c r="B500" s="273"/>
      <c r="C500" s="273" t="s">
        <v>734</v>
      </c>
      <c r="D500" s="273"/>
      <c r="E500" s="274"/>
      <c r="F500" s="274"/>
      <c r="G500" s="437">
        <f>50000</f>
        <v>50000</v>
      </c>
      <c r="H500" s="437">
        <f>50000</f>
        <v>50000</v>
      </c>
      <c r="I500" s="437">
        <f>50000</f>
        <v>50000</v>
      </c>
      <c r="J500" s="437">
        <f>50000</f>
        <v>50000</v>
      </c>
      <c r="K500" s="437">
        <f>50000</f>
        <v>50000</v>
      </c>
      <c r="L500" s="437">
        <f>50000</f>
        <v>50000</v>
      </c>
      <c r="M500" s="437">
        <f>50000</f>
        <v>50000</v>
      </c>
      <c r="N500" s="437">
        <f>50000</f>
        <v>50000</v>
      </c>
      <c r="O500" s="437">
        <f>50000</f>
        <v>50000</v>
      </c>
      <c r="P500" s="437">
        <f>50000</f>
        <v>50000</v>
      </c>
      <c r="Q500" s="441">
        <f t="shared" ref="Q500:Q507" si="246">SUM(E500:P500)</f>
        <v>500000</v>
      </c>
      <c r="R500" s="438" t="s">
        <v>735</v>
      </c>
    </row>
    <row r="501" spans="1:33" x14ac:dyDescent="0.3">
      <c r="A501" s="273"/>
      <c r="B501" s="273"/>
      <c r="C501" s="273" t="s">
        <v>734</v>
      </c>
      <c r="D501" s="273"/>
      <c r="E501" s="274"/>
      <c r="F501" s="274"/>
      <c r="G501" s="274"/>
      <c r="H501" s="274"/>
      <c r="I501" s="274"/>
      <c r="J501" s="274"/>
      <c r="K501" s="274"/>
      <c r="L501" s="274"/>
      <c r="M501" s="274"/>
      <c r="N501" s="274"/>
      <c r="O501" s="274"/>
      <c r="P501" s="274"/>
      <c r="Q501" s="275">
        <f t="shared" si="246"/>
        <v>0</v>
      </c>
    </row>
    <row r="502" spans="1:33" x14ac:dyDescent="0.3">
      <c r="A502" s="273"/>
      <c r="B502" s="273"/>
      <c r="C502" s="273" t="s">
        <v>734</v>
      </c>
      <c r="D502" s="273"/>
      <c r="E502" s="274"/>
      <c r="F502" s="274"/>
      <c r="G502" s="274"/>
      <c r="H502" s="274"/>
      <c r="I502" s="274"/>
      <c r="J502" s="274"/>
      <c r="K502" s="274"/>
      <c r="L502" s="274"/>
      <c r="M502" s="274"/>
      <c r="N502" s="274"/>
      <c r="O502" s="274"/>
      <c r="P502" s="274"/>
      <c r="Q502" s="275">
        <f t="shared" si="246"/>
        <v>0</v>
      </c>
    </row>
    <row r="503" spans="1:33" x14ac:dyDescent="0.3">
      <c r="A503" s="273" t="s">
        <v>736</v>
      </c>
      <c r="B503" s="273"/>
      <c r="C503" s="273" t="s">
        <v>734</v>
      </c>
      <c r="D503" s="273"/>
      <c r="E503" s="274">
        <f>'Addl costs'!D25*80</f>
        <v>0</v>
      </c>
      <c r="F503" s="274">
        <f>'Addl costs'!E25*80</f>
        <v>0</v>
      </c>
      <c r="G503" s="274"/>
      <c r="H503" s="274"/>
      <c r="I503" s="274">
        <f>'Addl costs'!H25*80</f>
        <v>300000</v>
      </c>
      <c r="J503" s="274">
        <f>'Addl costs'!I25*80</f>
        <v>300000</v>
      </c>
      <c r="K503" s="274">
        <f>'Addl costs'!J25*80</f>
        <v>300000</v>
      </c>
      <c r="L503" s="274">
        <f>'Addl costs'!K25*80</f>
        <v>300000</v>
      </c>
      <c r="M503" s="274">
        <f>'Addl costs'!L25*80</f>
        <v>300000</v>
      </c>
      <c r="N503" s="274">
        <f>'Addl costs'!M25*80</f>
        <v>300000</v>
      </c>
      <c r="O503" s="274">
        <f>'Addl costs'!N25*80</f>
        <v>300000</v>
      </c>
      <c r="P503" s="274">
        <f>'Addl costs'!O25*80</f>
        <v>300000</v>
      </c>
      <c r="Q503" s="275">
        <f>SUM(E503:P503)</f>
        <v>2400000</v>
      </c>
      <c r="R503" s="438" t="s">
        <v>737</v>
      </c>
      <c r="S503" s="438"/>
      <c r="T503" s="438"/>
      <c r="U503" s="438"/>
      <c r="V503" s="438"/>
      <c r="W503" s="438"/>
      <c r="X503" s="438"/>
      <c r="Y503" s="438"/>
      <c r="Z503" s="438"/>
      <c r="AA503" s="438"/>
      <c r="AB503" s="438"/>
      <c r="AC503" s="438"/>
      <c r="AD503" s="438"/>
      <c r="AE503" s="438"/>
      <c r="AF503" s="438"/>
      <c r="AG503" s="438"/>
    </row>
    <row r="504" spans="1:33" x14ac:dyDescent="0.3">
      <c r="A504" s="276" t="s">
        <v>174</v>
      </c>
      <c r="B504" s="276"/>
      <c r="C504" s="276"/>
      <c r="D504" s="276"/>
      <c r="E504" s="368">
        <f t="shared" ref="E504:Q504" si="247">SUM(E500:E503)</f>
        <v>0</v>
      </c>
      <c r="F504" s="368">
        <f t="shared" si="247"/>
        <v>0</v>
      </c>
      <c r="G504" s="368">
        <f t="shared" si="247"/>
        <v>50000</v>
      </c>
      <c r="H504" s="368">
        <f t="shared" si="247"/>
        <v>50000</v>
      </c>
      <c r="I504" s="368">
        <f t="shared" si="247"/>
        <v>350000</v>
      </c>
      <c r="J504" s="368">
        <f t="shared" si="247"/>
        <v>350000</v>
      </c>
      <c r="K504" s="368">
        <f t="shared" si="247"/>
        <v>350000</v>
      </c>
      <c r="L504" s="368">
        <f t="shared" si="247"/>
        <v>350000</v>
      </c>
      <c r="M504" s="368">
        <f t="shared" si="247"/>
        <v>350000</v>
      </c>
      <c r="N504" s="368">
        <f t="shared" si="247"/>
        <v>350000</v>
      </c>
      <c r="O504" s="368">
        <f t="shared" si="247"/>
        <v>350000</v>
      </c>
      <c r="P504" s="368">
        <f t="shared" si="247"/>
        <v>350000</v>
      </c>
      <c r="Q504" s="277">
        <f t="shared" si="247"/>
        <v>2900000</v>
      </c>
    </row>
    <row r="505" spans="1:33" x14ac:dyDescent="0.3">
      <c r="A505" s="409"/>
      <c r="B505" s="409"/>
      <c r="C505" s="409"/>
      <c r="D505" s="409"/>
      <c r="E505" s="410"/>
      <c r="F505" s="410"/>
      <c r="G505" s="410"/>
      <c r="H505" s="410"/>
      <c r="I505" s="410"/>
      <c r="J505" s="410"/>
      <c r="K505" s="410"/>
      <c r="L505" s="410"/>
      <c r="M505" s="410"/>
      <c r="N505" s="410"/>
      <c r="O505" s="410"/>
      <c r="P505" s="410"/>
      <c r="Q505" s="280"/>
    </row>
    <row r="506" spans="1:33" x14ac:dyDescent="0.3">
      <c r="A506" s="273" t="s">
        <v>738</v>
      </c>
      <c r="B506" s="273"/>
      <c r="C506" s="273" t="s">
        <v>739</v>
      </c>
      <c r="D506" s="273"/>
      <c r="E506" s="274"/>
      <c r="F506" s="274"/>
      <c r="G506" s="274"/>
      <c r="H506" s="274"/>
      <c r="I506" s="274"/>
      <c r="J506" s="274"/>
      <c r="K506" s="274"/>
      <c r="L506" s="274"/>
      <c r="M506" s="274"/>
      <c r="N506" s="274"/>
      <c r="O506" s="274"/>
      <c r="P506" s="274"/>
      <c r="Q506" s="275">
        <f t="shared" si="246"/>
        <v>0</v>
      </c>
    </row>
    <row r="507" spans="1:33" x14ac:dyDescent="0.3">
      <c r="A507" s="273" t="s">
        <v>740</v>
      </c>
      <c r="B507" s="273"/>
      <c r="C507" s="273" t="s">
        <v>739</v>
      </c>
      <c r="D507" s="273"/>
      <c r="E507" s="274"/>
      <c r="F507" s="274"/>
      <c r="G507" s="274"/>
      <c r="H507" s="274"/>
      <c r="I507" s="274"/>
      <c r="J507" s="274"/>
      <c r="K507" s="274"/>
      <c r="L507" s="274"/>
      <c r="M507" s="274"/>
      <c r="N507" s="274"/>
      <c r="O507" s="274"/>
      <c r="P507" s="274"/>
      <c r="Q507" s="275">
        <f t="shared" si="246"/>
        <v>0</v>
      </c>
    </row>
    <row r="508" spans="1:33" x14ac:dyDescent="0.3">
      <c r="A508" s="273" t="s">
        <v>741</v>
      </c>
      <c r="B508" s="273"/>
      <c r="C508" s="273" t="s">
        <v>739</v>
      </c>
      <c r="D508" s="273"/>
      <c r="E508" s="274">
        <v>450000</v>
      </c>
      <c r="F508" s="274"/>
      <c r="G508" s="274">
        <v>300000</v>
      </c>
      <c r="H508" s="274"/>
      <c r="I508" s="274"/>
      <c r="J508" s="274"/>
      <c r="K508" s="274"/>
      <c r="L508" s="274"/>
      <c r="M508" s="274"/>
      <c r="N508" s="274"/>
      <c r="O508" s="274"/>
      <c r="P508" s="274"/>
      <c r="Q508" s="275">
        <f t="shared" ref="Q508:Q521" si="248">SUM(E508:P508)</f>
        <v>750000</v>
      </c>
    </row>
    <row r="509" spans="1:33" x14ac:dyDescent="0.3">
      <c r="A509" s="276" t="s">
        <v>174</v>
      </c>
      <c r="B509" s="276"/>
      <c r="C509" s="276"/>
      <c r="D509" s="276"/>
      <c r="E509" s="277">
        <f t="shared" ref="E509:Q509" si="249">SUM(E506:E508)</f>
        <v>450000</v>
      </c>
      <c r="F509" s="277">
        <f t="shared" si="249"/>
        <v>0</v>
      </c>
      <c r="G509" s="277">
        <f t="shared" si="249"/>
        <v>300000</v>
      </c>
      <c r="H509" s="277">
        <f t="shared" si="249"/>
        <v>0</v>
      </c>
      <c r="I509" s="277">
        <f t="shared" si="249"/>
        <v>0</v>
      </c>
      <c r="J509" s="277">
        <f t="shared" si="249"/>
        <v>0</v>
      </c>
      <c r="K509" s="277">
        <f t="shared" si="249"/>
        <v>0</v>
      </c>
      <c r="L509" s="277">
        <f t="shared" si="249"/>
        <v>0</v>
      </c>
      <c r="M509" s="277">
        <f t="shared" si="249"/>
        <v>0</v>
      </c>
      <c r="N509" s="277">
        <f t="shared" si="249"/>
        <v>0</v>
      </c>
      <c r="O509" s="277">
        <f t="shared" si="249"/>
        <v>0</v>
      </c>
      <c r="P509" s="277">
        <f t="shared" si="249"/>
        <v>0</v>
      </c>
      <c r="Q509" s="277">
        <f t="shared" si="249"/>
        <v>750000</v>
      </c>
    </row>
    <row r="510" spans="1:33" x14ac:dyDescent="0.3">
      <c r="A510" s="273" t="s">
        <v>474</v>
      </c>
      <c r="B510" s="273"/>
      <c r="C510" s="273" t="s">
        <v>742</v>
      </c>
      <c r="D510" s="273"/>
      <c r="E510" s="274"/>
      <c r="F510" s="274"/>
      <c r="G510" s="274"/>
      <c r="H510" s="274"/>
      <c r="I510" s="274"/>
      <c r="J510" s="274"/>
      <c r="K510" s="274"/>
      <c r="L510" s="274"/>
      <c r="M510" s="274"/>
      <c r="N510" s="274"/>
      <c r="O510" s="274"/>
      <c r="P510" s="274"/>
      <c r="Q510" s="275">
        <f t="shared" si="248"/>
        <v>0</v>
      </c>
    </row>
    <row r="511" spans="1:33" x14ac:dyDescent="0.3">
      <c r="A511" s="273" t="s">
        <v>713</v>
      </c>
      <c r="B511" s="273"/>
      <c r="C511" s="273" t="s">
        <v>743</v>
      </c>
      <c r="D511" s="273"/>
      <c r="E511" s="274"/>
      <c r="F511" s="274"/>
      <c r="G511" s="274"/>
      <c r="H511" s="274"/>
      <c r="I511" s="274"/>
      <c r="J511" s="274"/>
      <c r="K511" s="274"/>
      <c r="L511" s="274"/>
      <c r="M511" s="274"/>
      <c r="N511" s="274"/>
      <c r="O511" s="274"/>
      <c r="P511" s="274"/>
      <c r="Q511" s="275">
        <f t="shared" si="248"/>
        <v>0</v>
      </c>
    </row>
    <row r="512" spans="1:33" x14ac:dyDescent="0.3">
      <c r="A512" s="273"/>
      <c r="B512" s="273"/>
      <c r="C512" s="273"/>
      <c r="D512" s="273"/>
      <c r="E512" s="274"/>
      <c r="F512" s="274"/>
      <c r="G512" s="274"/>
      <c r="H512" s="274"/>
      <c r="I512" s="274"/>
      <c r="J512" s="274"/>
      <c r="K512" s="274"/>
      <c r="L512" s="274"/>
      <c r="M512" s="274"/>
      <c r="N512" s="274"/>
      <c r="O512" s="274"/>
      <c r="P512" s="274"/>
      <c r="Q512" s="275"/>
    </row>
    <row r="513" spans="1:18" x14ac:dyDescent="0.3">
      <c r="A513" s="273" t="s">
        <v>744</v>
      </c>
      <c r="B513" s="273"/>
      <c r="C513" s="273" t="s">
        <v>745</v>
      </c>
      <c r="D513" s="273"/>
      <c r="E513" s="274">
        <f>'Addl costs'!D21*80</f>
        <v>0</v>
      </c>
      <c r="F513" s="274">
        <f>'Addl costs'!E21*80</f>
        <v>0</v>
      </c>
      <c r="G513" s="274"/>
      <c r="H513" s="274"/>
      <c r="I513" s="274"/>
      <c r="J513" s="274"/>
      <c r="K513" s="274"/>
      <c r="L513" s="274"/>
      <c r="M513" s="274"/>
      <c r="N513" s="274"/>
      <c r="O513" s="274"/>
      <c r="P513" s="274"/>
      <c r="Q513" s="275">
        <f t="shared" si="248"/>
        <v>0</v>
      </c>
      <c r="R513" s="438" t="s">
        <v>746</v>
      </c>
    </row>
    <row r="514" spans="1:18" x14ac:dyDescent="0.3">
      <c r="A514" s="273" t="s">
        <v>747</v>
      </c>
      <c r="B514" s="273"/>
      <c r="C514" s="273" t="s">
        <v>745</v>
      </c>
      <c r="D514" s="273"/>
      <c r="E514" s="274">
        <f>'Addl costs'!D22*80</f>
        <v>0</v>
      </c>
      <c r="F514" s="274">
        <f>'Addl costs'!E22*80</f>
        <v>0</v>
      </c>
      <c r="G514" s="274">
        <f>'Addl costs'!F22*80</f>
        <v>5360</v>
      </c>
      <c r="H514" s="274">
        <f>'Addl costs'!G22*80</f>
        <v>5360</v>
      </c>
      <c r="I514" s="274">
        <f>'Addl costs'!H22*80</f>
        <v>5360</v>
      </c>
      <c r="J514" s="274">
        <f>'Addl costs'!I22*80</f>
        <v>5360</v>
      </c>
      <c r="K514" s="274">
        <f>'Addl costs'!J22*80</f>
        <v>5360</v>
      </c>
      <c r="L514" s="274">
        <f>'Addl costs'!K22*80</f>
        <v>5360</v>
      </c>
      <c r="M514" s="274">
        <f>'Addl costs'!L22*80</f>
        <v>5360</v>
      </c>
      <c r="N514" s="274">
        <f>'Addl costs'!M22*80</f>
        <v>5360</v>
      </c>
      <c r="O514" s="274">
        <f>'Addl costs'!N22*80</f>
        <v>5360</v>
      </c>
      <c r="P514" s="274">
        <f>'Addl costs'!O22*80</f>
        <v>5360</v>
      </c>
      <c r="Q514" s="275">
        <f t="shared" si="248"/>
        <v>53600</v>
      </c>
    </row>
    <row r="515" spans="1:18" x14ac:dyDescent="0.3">
      <c r="A515" s="276" t="s">
        <v>174</v>
      </c>
      <c r="B515" s="276"/>
      <c r="C515" s="276"/>
      <c r="D515" s="276"/>
      <c r="E515" s="277">
        <f>SUM(E513:E514)</f>
        <v>0</v>
      </c>
      <c r="F515" s="277">
        <f t="shared" ref="F515:Q515" si="250">SUM(F513:F514)</f>
        <v>0</v>
      </c>
      <c r="G515" s="277">
        <f t="shared" si="250"/>
        <v>5360</v>
      </c>
      <c r="H515" s="277">
        <f t="shared" si="250"/>
        <v>5360</v>
      </c>
      <c r="I515" s="277">
        <f t="shared" si="250"/>
        <v>5360</v>
      </c>
      <c r="J515" s="277">
        <f t="shared" si="250"/>
        <v>5360</v>
      </c>
      <c r="K515" s="277">
        <f t="shared" si="250"/>
        <v>5360</v>
      </c>
      <c r="L515" s="277">
        <f t="shared" si="250"/>
        <v>5360</v>
      </c>
      <c r="M515" s="277">
        <f t="shared" si="250"/>
        <v>5360</v>
      </c>
      <c r="N515" s="277">
        <f t="shared" si="250"/>
        <v>5360</v>
      </c>
      <c r="O515" s="277">
        <f t="shared" si="250"/>
        <v>5360</v>
      </c>
      <c r="P515" s="277">
        <f t="shared" si="250"/>
        <v>5360</v>
      </c>
      <c r="Q515" s="277">
        <f t="shared" si="250"/>
        <v>53600</v>
      </c>
    </row>
    <row r="516" spans="1:18" x14ac:dyDescent="0.3">
      <c r="A516" s="273" t="s">
        <v>709</v>
      </c>
      <c r="B516" s="273"/>
      <c r="C516" s="273" t="s">
        <v>236</v>
      </c>
      <c r="D516" s="273"/>
      <c r="E516" s="274">
        <f>'Addl costs'!D26*80</f>
        <v>152000</v>
      </c>
      <c r="F516" s="274">
        <f>'Addl costs'!E26*80</f>
        <v>24000</v>
      </c>
      <c r="G516" s="274">
        <f>'Addl costs'!F26*80</f>
        <v>24000</v>
      </c>
      <c r="H516" s="274">
        <f>'Addl costs'!G26*80</f>
        <v>24000</v>
      </c>
      <c r="I516" s="274">
        <f>'Addl costs'!H26*80</f>
        <v>24000</v>
      </c>
      <c r="J516" s="274">
        <f>'Addl costs'!I26*80</f>
        <v>24000</v>
      </c>
      <c r="K516" s="274">
        <f>'Addl costs'!J26*80</f>
        <v>24000</v>
      </c>
      <c r="L516" s="274">
        <f>'Addl costs'!K26*80</f>
        <v>24000</v>
      </c>
      <c r="M516" s="274">
        <f>'Addl costs'!L26*80</f>
        <v>24000</v>
      </c>
      <c r="N516" s="274">
        <f>'Addl costs'!M26*80</f>
        <v>24000</v>
      </c>
      <c r="O516" s="274">
        <f>'Addl costs'!N26*80</f>
        <v>24000</v>
      </c>
      <c r="P516" s="274">
        <f>'Addl costs'!O26*80</f>
        <v>24000</v>
      </c>
      <c r="Q516" s="275">
        <f t="shared" si="248"/>
        <v>416000</v>
      </c>
    </row>
    <row r="517" spans="1:18" x14ac:dyDescent="0.3">
      <c r="A517" s="273" t="s">
        <v>722</v>
      </c>
      <c r="B517" s="273"/>
      <c r="C517" s="273" t="s">
        <v>227</v>
      </c>
      <c r="D517" s="273"/>
      <c r="E517" s="274">
        <f>'Addl costs'!D27*80</f>
        <v>0</v>
      </c>
      <c r="F517" s="274">
        <f>'Addl costs'!E27*80</f>
        <v>0</v>
      </c>
      <c r="G517" s="274">
        <f>'Addl costs'!F27*80</f>
        <v>0</v>
      </c>
      <c r="H517" s="274">
        <f>'Addl costs'!G27*80</f>
        <v>0</v>
      </c>
      <c r="I517" s="274">
        <f>'Addl costs'!H27*80</f>
        <v>0</v>
      </c>
      <c r="J517" s="274">
        <f>'Addl costs'!I27*80</f>
        <v>0</v>
      </c>
      <c r="K517" s="274">
        <f>'Addl costs'!J27*80</f>
        <v>0</v>
      </c>
      <c r="L517" s="274">
        <f>'Addl costs'!K27*80</f>
        <v>0</v>
      </c>
      <c r="M517" s="274">
        <f>'Addl costs'!L27*80</f>
        <v>0</v>
      </c>
      <c r="N517" s="274">
        <f>'Addl costs'!M27*80</f>
        <v>0</v>
      </c>
      <c r="O517" s="274">
        <f>'Addl costs'!N27*80</f>
        <v>0</v>
      </c>
      <c r="P517" s="274">
        <f>'Addl costs'!O27*80</f>
        <v>0</v>
      </c>
      <c r="Q517" s="275">
        <f t="shared" si="248"/>
        <v>0</v>
      </c>
    </row>
    <row r="518" spans="1:18" x14ac:dyDescent="0.3">
      <c r="A518" s="273"/>
      <c r="B518" s="273"/>
      <c r="C518" s="273"/>
      <c r="D518" s="273"/>
      <c r="E518" s="274"/>
      <c r="F518" s="274"/>
      <c r="G518" s="274"/>
      <c r="H518" s="274"/>
      <c r="I518" s="274"/>
      <c r="J518" s="274"/>
      <c r="K518" s="274"/>
      <c r="L518" s="274"/>
      <c r="M518" s="274"/>
      <c r="N518" s="274"/>
      <c r="O518" s="274"/>
      <c r="P518" s="274"/>
      <c r="Q518" s="275"/>
    </row>
    <row r="519" spans="1:18" x14ac:dyDescent="0.3">
      <c r="A519" s="273" t="s">
        <v>667</v>
      </c>
      <c r="B519" s="273"/>
      <c r="C519" s="273" t="s">
        <v>223</v>
      </c>
      <c r="D519" s="273"/>
      <c r="E519" s="274">
        <f>'Addl costs'!D43*80</f>
        <v>0</v>
      </c>
      <c r="F519" s="274">
        <f>'Addl costs'!E43*80</f>
        <v>500000</v>
      </c>
      <c r="G519" s="274">
        <f>'Addl costs'!F43*80</f>
        <v>0</v>
      </c>
      <c r="H519" s="274">
        <f>'Addl costs'!G43*80</f>
        <v>0</v>
      </c>
      <c r="I519" s="274">
        <f>'Addl costs'!H43*80</f>
        <v>0</v>
      </c>
      <c r="J519" s="274">
        <f>'Addl costs'!I43*80</f>
        <v>0</v>
      </c>
      <c r="K519" s="274">
        <f>'Addl costs'!J43*80</f>
        <v>0</v>
      </c>
      <c r="L519" s="274">
        <f>'Addl costs'!K43*80</f>
        <v>0</v>
      </c>
      <c r="M519" s="274">
        <f>'Addl costs'!L43*80</f>
        <v>0</v>
      </c>
      <c r="N519" s="274">
        <f>'Addl costs'!M43*80</f>
        <v>0</v>
      </c>
      <c r="O519" s="274">
        <f>'Addl costs'!N43*80</f>
        <v>0</v>
      </c>
      <c r="P519" s="274">
        <f>'Addl costs'!O43*80</f>
        <v>0</v>
      </c>
      <c r="Q519" s="275">
        <f t="shared" si="248"/>
        <v>500000</v>
      </c>
    </row>
    <row r="520" spans="1:18" x14ac:dyDescent="0.3">
      <c r="A520" s="268" t="s">
        <v>748</v>
      </c>
      <c r="B520" s="268"/>
      <c r="C520" s="268" t="s">
        <v>749</v>
      </c>
      <c r="D520" s="268"/>
      <c r="E520" s="269">
        <f>SUM('Addl costs'!D29:D31)*80</f>
        <v>0</v>
      </c>
      <c r="F520" s="269">
        <f>SUM('Addl costs'!E29:E31)*80</f>
        <v>0</v>
      </c>
      <c r="G520" s="269">
        <f>SUM('Addl costs'!F29:F31)*80</f>
        <v>0</v>
      </c>
      <c r="H520" s="269">
        <f>SUM('Addl costs'!G29:G31)*80</f>
        <v>0</v>
      </c>
      <c r="I520" s="269">
        <f>SUM('Addl costs'!H29:H31)*80</f>
        <v>0</v>
      </c>
      <c r="J520" s="269">
        <f>SUM('Addl costs'!I29:I31)*80</f>
        <v>0</v>
      </c>
      <c r="K520" s="269">
        <f>SUM('Addl costs'!J29:J31)*80</f>
        <v>0</v>
      </c>
      <c r="L520" s="269">
        <f>SUM('Addl costs'!K29:K31)*80</f>
        <v>0</v>
      </c>
      <c r="M520" s="269">
        <f>SUM('Addl costs'!L29:L31)*80</f>
        <v>0</v>
      </c>
      <c r="N520" s="269">
        <f>SUM('Addl costs'!M29:M31)*80</f>
        <v>0</v>
      </c>
      <c r="O520" s="269">
        <f>SUM('Addl costs'!N29:N31)*80</f>
        <v>0</v>
      </c>
      <c r="P520" s="269">
        <f>SUM('Addl costs'!O29:O31)*80</f>
        <v>0</v>
      </c>
      <c r="Q520" s="270">
        <f>SUM(E520:P520)</f>
        <v>0</v>
      </c>
    </row>
    <row r="521" spans="1:18" x14ac:dyDescent="0.3">
      <c r="A521" s="273" t="s">
        <v>750</v>
      </c>
      <c r="B521" s="273"/>
      <c r="C521" s="273" t="s">
        <v>751</v>
      </c>
      <c r="D521" s="273"/>
      <c r="E521" s="274" cm="1">
        <f t="array" ref="E521">SUM(('Addl costs'!D33:D39)*80)</f>
        <v>183500</v>
      </c>
      <c r="F521" s="274" cm="1">
        <f t="array" ref="F521">SUM(('Addl costs'!E33:E39)*80)</f>
        <v>0</v>
      </c>
      <c r="G521" s="274" cm="1">
        <f t="array" ref="G521">SUM(('Addl costs'!F33:F39)*80)</f>
        <v>137520</v>
      </c>
      <c r="H521" s="274" cm="1">
        <f t="array" ref="H521">SUM(('Addl costs'!G33:G39)*80)</f>
        <v>0</v>
      </c>
      <c r="I521" s="274" cm="1">
        <f t="array" ref="I521">SUM(('Addl costs'!H33:H39)*80)</f>
        <v>0</v>
      </c>
      <c r="J521" s="274" cm="1">
        <f t="array" ref="J521">SUM(('Addl costs'!I33:I39)*80)</f>
        <v>72000</v>
      </c>
      <c r="K521" s="274" cm="1">
        <f t="array" ref="K521">SUM(('Addl costs'!J33:J39)*80)</f>
        <v>0</v>
      </c>
      <c r="L521" s="274" cm="1">
        <f t="array" ref="L521">SUM(('Addl costs'!K33:K39)*80)</f>
        <v>0</v>
      </c>
      <c r="M521" s="274" cm="1">
        <f t="array" ref="M521">SUM(('Addl costs'!L33:L39)*80)</f>
        <v>0</v>
      </c>
      <c r="N521" s="274" cm="1">
        <f t="array" ref="N521">SUM(('Addl costs'!M33:M39)*80)</f>
        <v>0</v>
      </c>
      <c r="O521" s="274" cm="1">
        <f t="array" ref="O521">SUM(('Addl costs'!N33:N39)*80)</f>
        <v>0</v>
      </c>
      <c r="P521" s="274" cm="1">
        <f t="array" ref="P521">SUM(('Addl costs'!O33:O39)*80)</f>
        <v>0</v>
      </c>
      <c r="Q521" s="275">
        <f t="shared" si="248"/>
        <v>393020</v>
      </c>
    </row>
    <row r="522" spans="1:18" x14ac:dyDescent="0.3">
      <c r="A522" s="156" t="s">
        <v>174</v>
      </c>
      <c r="B522" s="156"/>
      <c r="C522" s="156"/>
      <c r="D522" s="156"/>
      <c r="E522" s="121">
        <f t="shared" ref="E522:Q522" si="251">SUM(E500:E521)</f>
        <v>1235500</v>
      </c>
      <c r="F522" s="121">
        <f t="shared" si="251"/>
        <v>524000</v>
      </c>
      <c r="G522" s="121">
        <f t="shared" si="251"/>
        <v>872240</v>
      </c>
      <c r="H522" s="121">
        <f t="shared" si="251"/>
        <v>134720</v>
      </c>
      <c r="I522" s="121">
        <f t="shared" si="251"/>
        <v>734720</v>
      </c>
      <c r="J522" s="121">
        <f t="shared" si="251"/>
        <v>806720</v>
      </c>
      <c r="K522" s="121">
        <f t="shared" si="251"/>
        <v>734720</v>
      </c>
      <c r="L522" s="121">
        <f t="shared" si="251"/>
        <v>734720</v>
      </c>
      <c r="M522" s="121">
        <f t="shared" si="251"/>
        <v>734720</v>
      </c>
      <c r="N522" s="121">
        <f t="shared" si="251"/>
        <v>734720</v>
      </c>
      <c r="O522" s="121">
        <f t="shared" si="251"/>
        <v>734720</v>
      </c>
      <c r="P522" s="121">
        <f t="shared" si="251"/>
        <v>734720</v>
      </c>
      <c r="Q522" s="121">
        <f t="shared" si="251"/>
        <v>8716220</v>
      </c>
    </row>
    <row r="523" spans="1:18" x14ac:dyDescent="0.3">
      <c r="E523" s="126">
        <f t="shared" ref="E523:P523" si="252">(E522-E504-E509-E515)/80</f>
        <v>9818.75</v>
      </c>
      <c r="F523" s="126">
        <f t="shared" si="252"/>
        <v>6550</v>
      </c>
      <c r="G523" s="126">
        <f t="shared" si="252"/>
        <v>6461</v>
      </c>
      <c r="H523" s="126">
        <f t="shared" si="252"/>
        <v>992</v>
      </c>
      <c r="I523" s="126">
        <f t="shared" si="252"/>
        <v>4742</v>
      </c>
      <c r="J523" s="126">
        <f t="shared" si="252"/>
        <v>5642</v>
      </c>
      <c r="K523" s="126">
        <f t="shared" si="252"/>
        <v>4742</v>
      </c>
      <c r="L523" s="126">
        <f t="shared" si="252"/>
        <v>4742</v>
      </c>
      <c r="M523" s="126">
        <f t="shared" si="252"/>
        <v>4742</v>
      </c>
      <c r="N523" s="126">
        <f t="shared" si="252"/>
        <v>4742</v>
      </c>
      <c r="O523" s="126">
        <f t="shared" si="252"/>
        <v>4742</v>
      </c>
      <c r="P523" s="126">
        <f t="shared" si="252"/>
        <v>4742</v>
      </c>
    </row>
    <row r="524" spans="1:18" x14ac:dyDescent="0.3">
      <c r="E524" s="106">
        <f>'Addl costs'!D63</f>
        <v>0</v>
      </c>
      <c r="F524" s="106">
        <f>'Addl costs'!E63</f>
        <v>0</v>
      </c>
      <c r="G524" s="106">
        <f>'Addl costs'!F63</f>
        <v>0</v>
      </c>
      <c r="H524" s="106">
        <f>'Addl costs'!G63</f>
        <v>0</v>
      </c>
      <c r="I524" s="106">
        <f>'Addl costs'!H63</f>
        <v>0</v>
      </c>
      <c r="J524" s="106">
        <f>'Addl costs'!I63</f>
        <v>0</v>
      </c>
      <c r="K524" s="106">
        <f>'Addl costs'!J63</f>
        <v>0</v>
      </c>
      <c r="L524" s="106">
        <f>'Addl costs'!K63</f>
        <v>0</v>
      </c>
      <c r="M524" s="106">
        <f>'Addl costs'!L63</f>
        <v>0</v>
      </c>
      <c r="N524" s="106">
        <f>'Addl costs'!M63</f>
        <v>0</v>
      </c>
      <c r="O524" s="106">
        <f>'Addl costs'!N63</f>
        <v>0</v>
      </c>
      <c r="P524" s="106">
        <f>'Addl costs'!O63</f>
        <v>0</v>
      </c>
    </row>
    <row r="525" spans="1:18" x14ac:dyDescent="0.3">
      <c r="E525" s="126">
        <f>E524-E523</f>
        <v>-9818.75</v>
      </c>
      <c r="F525" s="126">
        <f t="shared" ref="F525:P525" si="253">F524-F523</f>
        <v>-6550</v>
      </c>
      <c r="G525" s="126">
        <f t="shared" si="253"/>
        <v>-6461</v>
      </c>
      <c r="H525" s="126">
        <f t="shared" si="253"/>
        <v>-992</v>
      </c>
      <c r="I525" s="126">
        <f t="shared" si="253"/>
        <v>-4742</v>
      </c>
      <c r="J525" s="126">
        <f t="shared" si="253"/>
        <v>-5642</v>
      </c>
      <c r="K525" s="126">
        <f t="shared" si="253"/>
        <v>-4742</v>
      </c>
      <c r="L525" s="126">
        <f t="shared" si="253"/>
        <v>-4742</v>
      </c>
      <c r="M525" s="126">
        <f t="shared" si="253"/>
        <v>-4742</v>
      </c>
      <c r="N525" s="126">
        <f t="shared" si="253"/>
        <v>-4742</v>
      </c>
      <c r="O525" s="126">
        <f t="shared" si="253"/>
        <v>-4742</v>
      </c>
      <c r="P525" s="126">
        <f t="shared" si="253"/>
        <v>-4742</v>
      </c>
    </row>
    <row r="526" spans="1:18" x14ac:dyDescent="0.3">
      <c r="C526" s="271"/>
      <c r="D526" s="271"/>
      <c r="E526" s="106" t="s">
        <v>749</v>
      </c>
    </row>
    <row r="529" spans="1:17" s="239" customFormat="1" x14ac:dyDescent="0.3">
      <c r="A529" s="240" t="s">
        <v>752</v>
      </c>
      <c r="B529" s="240"/>
      <c r="C529" s="240" t="s">
        <v>753</v>
      </c>
      <c r="D529" s="240"/>
      <c r="E529" s="241">
        <f>6700*84</f>
        <v>562800</v>
      </c>
      <c r="F529" s="241">
        <f>2300*84</f>
        <v>193200</v>
      </c>
      <c r="G529" s="241">
        <f t="shared" ref="G529:P529" si="254">2300*84</f>
        <v>193200</v>
      </c>
      <c r="H529" s="241">
        <f t="shared" si="254"/>
        <v>193200</v>
      </c>
      <c r="I529" s="241">
        <f t="shared" si="254"/>
        <v>193200</v>
      </c>
      <c r="J529" s="241">
        <f t="shared" si="254"/>
        <v>193200</v>
      </c>
      <c r="K529" s="241">
        <f t="shared" si="254"/>
        <v>193200</v>
      </c>
      <c r="L529" s="241">
        <f t="shared" si="254"/>
        <v>193200</v>
      </c>
      <c r="M529" s="241">
        <f t="shared" si="254"/>
        <v>193200</v>
      </c>
      <c r="N529" s="241">
        <f t="shared" si="254"/>
        <v>193200</v>
      </c>
      <c r="O529" s="241">
        <f t="shared" si="254"/>
        <v>193200</v>
      </c>
      <c r="P529" s="241">
        <f t="shared" si="254"/>
        <v>193200</v>
      </c>
      <c r="Q529" s="235">
        <f>SUM(E529:P529)</f>
        <v>2688000</v>
      </c>
    </row>
  </sheetData>
  <dataValidations disablePrompts="1" count="1">
    <dataValidation type="list" allowBlank="1" showInputMessage="1" showErrorMessage="1" sqref="S1" xr:uid="{DAB2F715-FC50-45E4-8693-2C68C24BFE69}">
      <formula1>$XEW$1:$XEW$2</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29892-D3D2-4C34-84D1-12CA7097E5CA}">
  <dimension ref="A1:Q13244"/>
  <sheetViews>
    <sheetView zoomScaleNormal="100" workbookViewId="0">
      <pane xSplit="5" ySplit="1" topLeftCell="I38" activePane="bottomRight" state="frozen"/>
      <selection pane="topRight" activeCell="F126" sqref="F126"/>
      <selection pane="bottomLeft" activeCell="F126" sqref="F126"/>
      <selection pane="bottomRight" activeCell="J38" sqref="J38"/>
    </sheetView>
  </sheetViews>
  <sheetFormatPr defaultColWidth="9.1796875" defaultRowHeight="14.5" x14ac:dyDescent="0.35"/>
  <cols>
    <col min="1" max="1" width="29.26953125" style="209" customWidth="1"/>
    <col min="2" max="2" width="23.26953125" style="209" customWidth="1"/>
    <col min="3" max="3" width="19.54296875" style="209" bestFit="1" customWidth="1"/>
    <col min="4" max="4" width="10.1796875" style="209" bestFit="1" customWidth="1"/>
    <col min="5" max="5" width="16.81640625" style="209" bestFit="1" customWidth="1"/>
    <col min="6" max="6" width="13.453125" style="209" bestFit="1" customWidth="1"/>
    <col min="7" max="7" width="12.54296875" style="209" bestFit="1" customWidth="1"/>
    <col min="8" max="8" width="10.453125" style="209" bestFit="1" customWidth="1"/>
    <col min="9" max="9" width="17.453125" style="209" bestFit="1" customWidth="1"/>
    <col min="10" max="10" width="17.453125" style="209" customWidth="1"/>
    <col min="11" max="11" width="9.26953125" style="209" customWidth="1"/>
    <col min="12" max="12" width="9.81640625" style="209" customWidth="1"/>
    <col min="13" max="13" width="12.453125" style="209" bestFit="1" customWidth="1"/>
    <col min="14" max="14" width="16.54296875" style="209" customWidth="1"/>
    <col min="15" max="15" width="19.54296875" style="209" customWidth="1"/>
    <col min="16" max="16" width="15.453125" style="209" bestFit="1" customWidth="1"/>
    <col min="17" max="17" width="9.1796875" style="209"/>
    <col min="18" max="18" width="35.453125" style="209" bestFit="1" customWidth="1"/>
    <col min="19" max="19" width="9.453125" style="209" bestFit="1" customWidth="1"/>
    <col min="20" max="20" width="10.54296875" style="209" bestFit="1" customWidth="1"/>
    <col min="21" max="21" width="6.1796875" style="209" bestFit="1" customWidth="1"/>
    <col min="22" max="22" width="9.81640625" style="209" bestFit="1" customWidth="1"/>
    <col min="23" max="16384" width="9.1796875" style="209"/>
  </cols>
  <sheetData>
    <row r="1" spans="1:16" x14ac:dyDescent="0.35">
      <c r="A1" s="513" t="s">
        <v>126</v>
      </c>
      <c r="B1" s="513" t="s">
        <v>5</v>
      </c>
      <c r="C1" s="513" t="s">
        <v>754</v>
      </c>
      <c r="D1" s="513" t="s">
        <v>490</v>
      </c>
      <c r="E1" s="513" t="s">
        <v>8</v>
      </c>
      <c r="F1" s="513" t="s">
        <v>755</v>
      </c>
      <c r="G1" s="600">
        <v>45931</v>
      </c>
      <c r="H1" s="513" t="s">
        <v>756</v>
      </c>
      <c r="I1" s="514" t="s">
        <v>757</v>
      </c>
      <c r="J1" s="514" t="s">
        <v>758</v>
      </c>
      <c r="K1" s="514" t="s">
        <v>759</v>
      </c>
      <c r="L1" s="514" t="s">
        <v>366</v>
      </c>
      <c r="M1" s="514" t="s">
        <v>760</v>
      </c>
      <c r="N1" s="514" t="s">
        <v>761</v>
      </c>
      <c r="O1" s="514" t="s">
        <v>762</v>
      </c>
      <c r="P1" s="513" t="s">
        <v>763</v>
      </c>
    </row>
    <row r="2" spans="1:16" x14ac:dyDescent="0.35">
      <c r="A2" s="603" t="s">
        <v>764</v>
      </c>
      <c r="B2" s="603" t="s">
        <v>101</v>
      </c>
      <c r="C2" s="515"/>
      <c r="D2" s="516"/>
      <c r="E2" s="517" t="s">
        <v>43</v>
      </c>
      <c r="F2" s="517"/>
      <c r="G2" s="517">
        <v>1470</v>
      </c>
      <c r="H2" s="604">
        <v>35</v>
      </c>
      <c r="I2" s="518">
        <f t="shared" ref="I2" si="0">(G2/H2)/21</f>
        <v>2</v>
      </c>
      <c r="J2" s="518">
        <f>I2/85%</f>
        <v>2.3529411764705883</v>
      </c>
      <c r="K2" s="518"/>
      <c r="L2" s="518"/>
      <c r="M2" s="518">
        <f>SUM(K2:L2)</f>
        <v>0</v>
      </c>
      <c r="N2" s="518">
        <f>M2-SUM(I2:I2)</f>
        <v>-2</v>
      </c>
      <c r="O2" s="518">
        <f>M2-SUM(J2:J2)</f>
        <v>-2.3529411764705883</v>
      </c>
      <c r="P2" s="81"/>
    </row>
    <row r="3" spans="1:16" x14ac:dyDescent="0.35">
      <c r="A3" s="519" t="s">
        <v>764</v>
      </c>
      <c r="B3" s="519" t="s">
        <v>174</v>
      </c>
      <c r="C3" s="519" t="s">
        <v>765</v>
      </c>
      <c r="D3" s="519" t="s">
        <v>765</v>
      </c>
      <c r="E3" s="520" t="s">
        <v>43</v>
      </c>
      <c r="F3" s="520"/>
      <c r="G3" s="520"/>
      <c r="H3" s="520"/>
      <c r="I3" s="521">
        <f>SUM(I2:I2)</f>
        <v>2</v>
      </c>
      <c r="J3" s="521">
        <f>SUM(J2:J2)</f>
        <v>2.3529411764705883</v>
      </c>
      <c r="K3" s="521">
        <f>SUM(K2)</f>
        <v>0</v>
      </c>
      <c r="L3" s="521">
        <f>SUM(L2)</f>
        <v>0</v>
      </c>
      <c r="M3" s="521">
        <f>SUM(M2)</f>
        <v>0</v>
      </c>
      <c r="N3" s="521">
        <f>SUM(N2)</f>
        <v>-2</v>
      </c>
      <c r="O3" s="521">
        <f>SUM(O2)</f>
        <v>-2.3529411764705883</v>
      </c>
      <c r="P3" s="81"/>
    </row>
    <row r="4" spans="1:16" x14ac:dyDescent="0.35">
      <c r="A4" s="594" t="s">
        <v>91</v>
      </c>
      <c r="B4" s="515" t="s">
        <v>766</v>
      </c>
      <c r="C4" s="515"/>
      <c r="D4" s="516"/>
      <c r="E4" s="517" t="s">
        <v>43</v>
      </c>
      <c r="F4" s="517"/>
      <c r="G4" s="517">
        <v>6300</v>
      </c>
      <c r="H4" s="517">
        <v>60</v>
      </c>
      <c r="I4" s="518">
        <f t="shared" ref="I4:I18" si="1">(G4/H4)/21</f>
        <v>5</v>
      </c>
      <c r="J4" s="518">
        <f>I4/85%</f>
        <v>5.882352941176471</v>
      </c>
      <c r="K4" s="518"/>
      <c r="L4" s="518"/>
      <c r="M4" s="518">
        <f>SUM(K4:L4)</f>
        <v>0</v>
      </c>
      <c r="N4" s="518">
        <f>M4-SUM(I4:I4)</f>
        <v>-5</v>
      </c>
      <c r="O4" s="518">
        <f>M4-SUM(J4:J4)</f>
        <v>-5.882352941176471</v>
      </c>
      <c r="P4" s="81"/>
    </row>
    <row r="5" spans="1:16" x14ac:dyDescent="0.35">
      <c r="A5" s="594" t="s">
        <v>91</v>
      </c>
      <c r="B5" s="515" t="s">
        <v>767</v>
      </c>
      <c r="C5" s="515"/>
      <c r="D5" s="516"/>
      <c r="E5" s="517" t="s">
        <v>43</v>
      </c>
      <c r="F5" s="517"/>
      <c r="G5" s="517">
        <v>840</v>
      </c>
      <c r="H5" s="517">
        <v>40</v>
      </c>
      <c r="I5" s="518">
        <f t="shared" si="1"/>
        <v>1</v>
      </c>
      <c r="J5" s="518">
        <f>I5/85%</f>
        <v>1.1764705882352942</v>
      </c>
      <c r="K5" s="518"/>
      <c r="L5" s="609"/>
      <c r="M5" s="518">
        <f t="shared" ref="M5:M18" si="2">SUM(K5:L5)</f>
        <v>0</v>
      </c>
      <c r="N5" s="518">
        <f t="shared" ref="N5:N18" si="3">M5-SUM(I5:I5)</f>
        <v>-1</v>
      </c>
      <c r="O5" s="518">
        <f t="shared" ref="O5:O18" si="4">M5-SUM(J5:J5)</f>
        <v>-1.1764705882352942</v>
      </c>
      <c r="P5" s="81"/>
    </row>
    <row r="6" spans="1:16" x14ac:dyDescent="0.35">
      <c r="A6" s="594" t="s">
        <v>91</v>
      </c>
      <c r="B6" s="515" t="s">
        <v>768</v>
      </c>
      <c r="C6" s="515"/>
      <c r="D6" s="516"/>
      <c r="E6" s="517" t="s">
        <v>43</v>
      </c>
      <c r="F6" s="517"/>
      <c r="G6" s="517">
        <v>1680</v>
      </c>
      <c r="H6" s="517">
        <v>40</v>
      </c>
      <c r="I6" s="518">
        <f t="shared" si="1"/>
        <v>2</v>
      </c>
      <c r="J6" s="518">
        <f>I6/85%</f>
        <v>2.3529411764705883</v>
      </c>
      <c r="K6" s="518"/>
      <c r="L6" s="518"/>
      <c r="M6" s="518">
        <f t="shared" si="2"/>
        <v>0</v>
      </c>
      <c r="N6" s="518">
        <f t="shared" si="3"/>
        <v>-2</v>
      </c>
      <c r="O6" s="518">
        <f t="shared" si="4"/>
        <v>-2.3529411764705883</v>
      </c>
      <c r="P6" s="81"/>
    </row>
    <row r="7" spans="1:16" x14ac:dyDescent="0.35">
      <c r="A7" s="594" t="s">
        <v>91</v>
      </c>
      <c r="B7" s="515" t="s">
        <v>769</v>
      </c>
      <c r="C7" s="515"/>
      <c r="D7" s="516"/>
      <c r="E7" s="517" t="s">
        <v>43</v>
      </c>
      <c r="F7" s="517"/>
      <c r="G7" s="517">
        <v>840</v>
      </c>
      <c r="H7" s="517">
        <v>40</v>
      </c>
      <c r="I7" s="518">
        <f t="shared" si="1"/>
        <v>1</v>
      </c>
      <c r="J7" s="518">
        <f t="shared" ref="J7:J20" si="5">I7/85%</f>
        <v>1.1764705882352942</v>
      </c>
      <c r="K7" s="518"/>
      <c r="L7" s="518"/>
      <c r="M7" s="518">
        <f t="shared" si="2"/>
        <v>0</v>
      </c>
      <c r="N7" s="518">
        <f t="shared" si="3"/>
        <v>-1</v>
      </c>
      <c r="O7" s="518">
        <f t="shared" si="4"/>
        <v>-1.1764705882352942</v>
      </c>
      <c r="P7" s="81"/>
    </row>
    <row r="8" spans="1:16" x14ac:dyDescent="0.35">
      <c r="A8" s="594" t="s">
        <v>91</v>
      </c>
      <c r="B8" s="515" t="s">
        <v>770</v>
      </c>
      <c r="C8" s="515"/>
      <c r="D8" s="516"/>
      <c r="E8" s="517" t="s">
        <v>43</v>
      </c>
      <c r="F8" s="517"/>
      <c r="G8" s="517">
        <v>1050</v>
      </c>
      <c r="H8" s="517">
        <v>50</v>
      </c>
      <c r="I8" s="518">
        <f t="shared" si="1"/>
        <v>1</v>
      </c>
      <c r="J8" s="518">
        <f t="shared" si="5"/>
        <v>1.1764705882352942</v>
      </c>
      <c r="K8" s="518"/>
      <c r="L8" s="518"/>
      <c r="M8" s="518">
        <f t="shared" si="2"/>
        <v>0</v>
      </c>
      <c r="N8" s="518">
        <f t="shared" si="3"/>
        <v>-1</v>
      </c>
      <c r="O8" s="518">
        <f t="shared" si="4"/>
        <v>-1.1764705882352942</v>
      </c>
      <c r="P8" s="81"/>
    </row>
    <row r="9" spans="1:16" x14ac:dyDescent="0.35">
      <c r="A9" s="594" t="s">
        <v>91</v>
      </c>
      <c r="B9" s="614" t="s">
        <v>771</v>
      </c>
      <c r="C9" s="515"/>
      <c r="D9" s="516"/>
      <c r="E9" s="517" t="s">
        <v>43</v>
      </c>
      <c r="F9" s="517"/>
      <c r="G9" s="517">
        <v>1260</v>
      </c>
      <c r="H9" s="517">
        <v>60</v>
      </c>
      <c r="I9" s="518">
        <f>(G9/H9)/21</f>
        <v>1</v>
      </c>
      <c r="J9" s="518">
        <f>I9/85%</f>
        <v>1.1764705882352942</v>
      </c>
      <c r="K9" s="518"/>
      <c r="L9" s="609"/>
      <c r="M9" s="518">
        <f>SUM(K9:L9)</f>
        <v>0</v>
      </c>
      <c r="N9" s="518">
        <f>M9-SUM(I9:I9)</f>
        <v>-1</v>
      </c>
      <c r="O9" s="518">
        <f>M9-SUM(J9:J9)</f>
        <v>-1.1764705882352942</v>
      </c>
      <c r="P9" s="81"/>
    </row>
    <row r="10" spans="1:16" x14ac:dyDescent="0.35">
      <c r="A10" s="594" t="s">
        <v>91</v>
      </c>
      <c r="B10" s="614" t="s">
        <v>772</v>
      </c>
      <c r="C10" s="515"/>
      <c r="D10" s="516"/>
      <c r="E10" s="517" t="s">
        <v>43</v>
      </c>
      <c r="F10" s="517"/>
      <c r="G10" s="517">
        <v>840</v>
      </c>
      <c r="H10" s="517">
        <v>40</v>
      </c>
      <c r="I10" s="518">
        <f t="shared" si="1"/>
        <v>1</v>
      </c>
      <c r="J10" s="518">
        <f t="shared" si="5"/>
        <v>1.1764705882352942</v>
      </c>
      <c r="K10" s="518"/>
      <c r="L10" s="518"/>
      <c r="M10" s="518">
        <f t="shared" si="2"/>
        <v>0</v>
      </c>
      <c r="N10" s="518">
        <f t="shared" si="3"/>
        <v>-1</v>
      </c>
      <c r="O10" s="518">
        <f t="shared" si="4"/>
        <v>-1.1764705882352942</v>
      </c>
      <c r="P10" s="81"/>
    </row>
    <row r="11" spans="1:16" x14ac:dyDescent="0.35">
      <c r="A11" s="594" t="s">
        <v>91</v>
      </c>
      <c r="B11" s="614" t="s">
        <v>773</v>
      </c>
      <c r="C11" s="515"/>
      <c r="D11" s="516"/>
      <c r="E11" s="517" t="s">
        <v>43</v>
      </c>
      <c r="F11" s="517"/>
      <c r="G11" s="517">
        <v>1680</v>
      </c>
      <c r="H11" s="517">
        <v>40</v>
      </c>
      <c r="I11" s="518">
        <f t="shared" si="1"/>
        <v>2</v>
      </c>
      <c r="J11" s="518">
        <f t="shared" si="5"/>
        <v>2.3529411764705883</v>
      </c>
      <c r="K11" s="518"/>
      <c r="L11" s="518"/>
      <c r="M11" s="518">
        <f t="shared" si="2"/>
        <v>0</v>
      </c>
      <c r="N11" s="518">
        <f t="shared" si="3"/>
        <v>-2</v>
      </c>
      <c r="O11" s="518">
        <f t="shared" si="4"/>
        <v>-2.3529411764705883</v>
      </c>
      <c r="P11" s="81"/>
    </row>
    <row r="12" spans="1:16" x14ac:dyDescent="0.35">
      <c r="A12" s="594" t="s">
        <v>91</v>
      </c>
      <c r="B12" s="614" t="s">
        <v>774</v>
      </c>
      <c r="C12" s="515"/>
      <c r="D12" s="516"/>
      <c r="E12" s="517" t="s">
        <v>43</v>
      </c>
      <c r="F12" s="517"/>
      <c r="G12" s="517">
        <v>840</v>
      </c>
      <c r="H12" s="517">
        <v>40</v>
      </c>
      <c r="I12" s="518">
        <f t="shared" si="1"/>
        <v>1</v>
      </c>
      <c r="J12" s="518">
        <f t="shared" si="5"/>
        <v>1.1764705882352942</v>
      </c>
      <c r="K12" s="518"/>
      <c r="L12" s="518"/>
      <c r="M12" s="518">
        <f t="shared" si="2"/>
        <v>0</v>
      </c>
      <c r="N12" s="518">
        <f t="shared" si="3"/>
        <v>-1</v>
      </c>
      <c r="O12" s="518">
        <f t="shared" si="4"/>
        <v>-1.1764705882352942</v>
      </c>
      <c r="P12" s="81"/>
    </row>
    <row r="13" spans="1:16" x14ac:dyDescent="0.35">
      <c r="A13" s="594" t="s">
        <v>91</v>
      </c>
      <c r="B13" s="614" t="s">
        <v>775</v>
      </c>
      <c r="C13" s="515"/>
      <c r="D13" s="516"/>
      <c r="E13" s="517" t="s">
        <v>43</v>
      </c>
      <c r="F13" s="517"/>
      <c r="G13" s="517">
        <v>7560</v>
      </c>
      <c r="H13" s="517">
        <v>40</v>
      </c>
      <c r="I13" s="518">
        <f t="shared" si="1"/>
        <v>9</v>
      </c>
      <c r="J13" s="518">
        <f t="shared" si="5"/>
        <v>10.588235294117647</v>
      </c>
      <c r="K13" s="518"/>
      <c r="L13" s="518"/>
      <c r="M13" s="518">
        <f t="shared" si="2"/>
        <v>0</v>
      </c>
      <c r="N13" s="518">
        <f t="shared" si="3"/>
        <v>-9</v>
      </c>
      <c r="O13" s="518">
        <f t="shared" si="4"/>
        <v>-10.588235294117647</v>
      </c>
      <c r="P13" s="81"/>
    </row>
    <row r="14" spans="1:16" x14ac:dyDescent="0.35">
      <c r="A14" s="594" t="s">
        <v>91</v>
      </c>
      <c r="B14" s="614" t="s">
        <v>776</v>
      </c>
      <c r="C14" s="515"/>
      <c r="D14" s="516"/>
      <c r="E14" s="517" t="s">
        <v>43</v>
      </c>
      <c r="F14" s="517"/>
      <c r="G14" s="517">
        <v>8820</v>
      </c>
      <c r="H14" s="517">
        <v>70</v>
      </c>
      <c r="I14" s="518">
        <f t="shared" si="1"/>
        <v>6</v>
      </c>
      <c r="J14" s="518">
        <f t="shared" si="5"/>
        <v>7.0588235294117645</v>
      </c>
      <c r="K14" s="518"/>
      <c r="L14" s="518"/>
      <c r="M14" s="518">
        <f t="shared" si="2"/>
        <v>0</v>
      </c>
      <c r="N14" s="518">
        <f t="shared" si="3"/>
        <v>-6</v>
      </c>
      <c r="O14" s="518">
        <f t="shared" si="4"/>
        <v>-7.0588235294117645</v>
      </c>
      <c r="P14" s="81"/>
    </row>
    <row r="15" spans="1:16" x14ac:dyDescent="0.35">
      <c r="A15" s="594" t="s">
        <v>91</v>
      </c>
      <c r="B15" s="614" t="s">
        <v>777</v>
      </c>
      <c r="C15" s="515"/>
      <c r="D15" s="516"/>
      <c r="E15" s="517" t="s">
        <v>43</v>
      </c>
      <c r="F15" s="517"/>
      <c r="G15" s="517">
        <v>8820</v>
      </c>
      <c r="H15" s="517">
        <v>70</v>
      </c>
      <c r="I15" s="518">
        <f t="shared" si="1"/>
        <v>6</v>
      </c>
      <c r="J15" s="518">
        <f t="shared" si="5"/>
        <v>7.0588235294117645</v>
      </c>
      <c r="K15" s="518"/>
      <c r="L15" s="518"/>
      <c r="M15" s="518">
        <f t="shared" si="2"/>
        <v>0</v>
      </c>
      <c r="N15" s="518">
        <f t="shared" si="3"/>
        <v>-6</v>
      </c>
      <c r="O15" s="518">
        <f t="shared" si="4"/>
        <v>-7.0588235294117645</v>
      </c>
      <c r="P15" s="81"/>
    </row>
    <row r="16" spans="1:16" x14ac:dyDescent="0.35">
      <c r="A16" s="594" t="s">
        <v>91</v>
      </c>
      <c r="B16" s="614" t="s">
        <v>778</v>
      </c>
      <c r="C16" s="515"/>
      <c r="D16" s="516"/>
      <c r="E16" s="517" t="s">
        <v>43</v>
      </c>
      <c r="F16" s="517"/>
      <c r="G16" s="517">
        <v>1155</v>
      </c>
      <c r="H16" s="517">
        <v>55</v>
      </c>
      <c r="I16" s="518">
        <f t="shared" si="1"/>
        <v>1</v>
      </c>
      <c r="J16" s="518">
        <f t="shared" si="5"/>
        <v>1.1764705882352942</v>
      </c>
      <c r="K16" s="518"/>
      <c r="L16" s="518"/>
      <c r="M16" s="518">
        <f t="shared" si="2"/>
        <v>0</v>
      </c>
      <c r="N16" s="518">
        <f t="shared" si="3"/>
        <v>-1</v>
      </c>
      <c r="O16" s="518">
        <f t="shared" si="4"/>
        <v>-1.1764705882352942</v>
      </c>
      <c r="P16" s="81"/>
    </row>
    <row r="17" spans="1:16" x14ac:dyDescent="0.35">
      <c r="A17" s="594" t="s">
        <v>91</v>
      </c>
      <c r="B17" s="614" t="s">
        <v>779</v>
      </c>
      <c r="C17" s="515"/>
      <c r="D17" s="516"/>
      <c r="E17" s="517" t="s">
        <v>43</v>
      </c>
      <c r="F17" s="517"/>
      <c r="G17" s="517">
        <v>2100</v>
      </c>
      <c r="H17" s="517">
        <v>50</v>
      </c>
      <c r="I17" s="518">
        <f t="shared" si="1"/>
        <v>2</v>
      </c>
      <c r="J17" s="518">
        <f t="shared" si="5"/>
        <v>2.3529411764705883</v>
      </c>
      <c r="K17" s="518"/>
      <c r="L17" s="518"/>
      <c r="M17" s="518">
        <f t="shared" si="2"/>
        <v>0</v>
      </c>
      <c r="N17" s="518">
        <f t="shared" si="3"/>
        <v>-2</v>
      </c>
      <c r="O17" s="518">
        <f t="shared" si="4"/>
        <v>-2.3529411764705883</v>
      </c>
      <c r="P17" s="81"/>
    </row>
    <row r="18" spans="1:16" x14ac:dyDescent="0.35">
      <c r="A18" s="594" t="s">
        <v>91</v>
      </c>
      <c r="B18" s="614" t="s">
        <v>780</v>
      </c>
      <c r="C18" s="515"/>
      <c r="D18" s="516"/>
      <c r="E18" s="517" t="s">
        <v>43</v>
      </c>
      <c r="F18" s="517"/>
      <c r="G18" s="517">
        <v>840</v>
      </c>
      <c r="H18" s="517">
        <v>40</v>
      </c>
      <c r="I18" s="518">
        <f t="shared" si="1"/>
        <v>1</v>
      </c>
      <c r="J18" s="518">
        <f t="shared" si="5"/>
        <v>1.1764705882352942</v>
      </c>
      <c r="K18" s="518"/>
      <c r="L18" s="518"/>
      <c r="M18" s="518">
        <f t="shared" si="2"/>
        <v>0</v>
      </c>
      <c r="N18" s="518">
        <f t="shared" si="3"/>
        <v>-1</v>
      </c>
      <c r="O18" s="518">
        <f t="shared" si="4"/>
        <v>-1.1764705882352942</v>
      </c>
      <c r="P18" s="81"/>
    </row>
    <row r="19" spans="1:16" x14ac:dyDescent="0.35">
      <c r="A19" s="519" t="s">
        <v>91</v>
      </c>
      <c r="B19" s="519" t="s">
        <v>174</v>
      </c>
      <c r="C19" s="520" t="s">
        <v>765</v>
      </c>
      <c r="D19" s="520" t="s">
        <v>765</v>
      </c>
      <c r="E19" s="520" t="s">
        <v>43</v>
      </c>
      <c r="F19" s="520"/>
      <c r="G19" s="520"/>
      <c r="H19" s="520"/>
      <c r="I19" s="521">
        <f t="shared" ref="I19:O19" si="6">SUM(I4:I18)</f>
        <v>40</v>
      </c>
      <c r="J19" s="521">
        <f t="shared" si="6"/>
        <v>47.058823529411775</v>
      </c>
      <c r="K19" s="521">
        <f t="shared" si="6"/>
        <v>0</v>
      </c>
      <c r="L19" s="521">
        <f t="shared" si="6"/>
        <v>0</v>
      </c>
      <c r="M19" s="521">
        <f t="shared" si="6"/>
        <v>0</v>
      </c>
      <c r="N19" s="521">
        <f t="shared" si="6"/>
        <v>-40</v>
      </c>
      <c r="O19" s="521">
        <f t="shared" si="6"/>
        <v>-47.058823529411775</v>
      </c>
      <c r="P19" s="81"/>
    </row>
    <row r="20" spans="1:16" x14ac:dyDescent="0.35">
      <c r="A20" s="603" t="s">
        <v>781</v>
      </c>
      <c r="B20" s="603" t="s">
        <v>101</v>
      </c>
      <c r="C20" s="515"/>
      <c r="D20" s="516"/>
      <c r="E20" s="517" t="s">
        <v>43</v>
      </c>
      <c r="F20" s="517"/>
      <c r="G20" s="517">
        <v>2625</v>
      </c>
      <c r="H20" s="604">
        <v>25</v>
      </c>
      <c r="I20" s="518">
        <f t="shared" ref="I20" si="7">(G20/H20)/21</f>
        <v>5</v>
      </c>
      <c r="J20" s="518">
        <f t="shared" si="5"/>
        <v>5.882352941176471</v>
      </c>
      <c r="K20" s="518"/>
      <c r="L20" s="518"/>
      <c r="M20" s="518">
        <f t="shared" ref="M20" si="8">SUM(K20:L20)</f>
        <v>0</v>
      </c>
      <c r="N20" s="518">
        <f t="shared" ref="N20" si="9">M20-SUM(I20:I20)</f>
        <v>-5</v>
      </c>
      <c r="O20" s="518">
        <f t="shared" ref="O20" si="10">M20-SUM(J20:J20)</f>
        <v>-5.882352941176471</v>
      </c>
      <c r="P20" s="81"/>
    </row>
    <row r="21" spans="1:16" x14ac:dyDescent="0.35">
      <c r="A21" s="519" t="s">
        <v>781</v>
      </c>
      <c r="B21" s="519" t="s">
        <v>174</v>
      </c>
      <c r="C21" s="520" t="s">
        <v>765</v>
      </c>
      <c r="D21" s="520" t="s">
        <v>765</v>
      </c>
      <c r="E21" s="520" t="s">
        <v>62</v>
      </c>
      <c r="F21" s="520" t="s">
        <v>765</v>
      </c>
      <c r="G21" s="520" t="s">
        <v>765</v>
      </c>
      <c r="H21" s="520" t="s">
        <v>765</v>
      </c>
      <c r="I21" s="521">
        <f t="shared" ref="I21:O21" si="11">SUM(I20:I20)</f>
        <v>5</v>
      </c>
      <c r="J21" s="521">
        <f t="shared" si="11"/>
        <v>5.882352941176471</v>
      </c>
      <c r="K21" s="521">
        <f t="shared" si="11"/>
        <v>0</v>
      </c>
      <c r="L21" s="521">
        <f t="shared" si="11"/>
        <v>0</v>
      </c>
      <c r="M21" s="521">
        <f t="shared" si="11"/>
        <v>0</v>
      </c>
      <c r="N21" s="521">
        <f t="shared" si="11"/>
        <v>-5</v>
      </c>
      <c r="O21" s="521">
        <f t="shared" si="11"/>
        <v>-5.882352941176471</v>
      </c>
      <c r="P21" s="81"/>
    </row>
    <row r="22" spans="1:16" x14ac:dyDescent="0.35">
      <c r="A22" s="594" t="s">
        <v>782</v>
      </c>
      <c r="B22" s="515" t="s">
        <v>87</v>
      </c>
      <c r="C22" s="522"/>
      <c r="D22" s="516"/>
      <c r="E22" s="517" t="s">
        <v>62</v>
      </c>
      <c r="F22" s="517"/>
      <c r="G22" s="517">
        <v>1147</v>
      </c>
      <c r="H22" s="517">
        <v>300</v>
      </c>
      <c r="I22" s="518">
        <f>(G22/H22)/21</f>
        <v>0.18206349206349207</v>
      </c>
      <c r="J22" s="518">
        <f t="shared" ref="J22:J30" si="12">I22/85%</f>
        <v>0.21419234360410833</v>
      </c>
      <c r="K22" s="609"/>
      <c r="L22" s="609"/>
      <c r="M22" s="518">
        <f t="shared" ref="M22" si="13">SUM(K22:L22)</f>
        <v>0</v>
      </c>
      <c r="N22" s="518">
        <f t="shared" ref="N22" si="14">M22-SUM(I22:I22)</f>
        <v>-0.18206349206349207</v>
      </c>
      <c r="O22" s="518">
        <f t="shared" ref="O22" si="15">M22-SUM(J22:J22)</f>
        <v>-0.21419234360410833</v>
      </c>
      <c r="P22" s="81"/>
    </row>
    <row r="23" spans="1:16" x14ac:dyDescent="0.35">
      <c r="A23" s="594" t="s">
        <v>782</v>
      </c>
      <c r="B23" s="515" t="s">
        <v>86</v>
      </c>
      <c r="C23" s="522"/>
      <c r="D23" s="516"/>
      <c r="E23" s="517" t="s">
        <v>62</v>
      </c>
      <c r="F23" s="517"/>
      <c r="G23" s="517">
        <v>6030</v>
      </c>
      <c r="H23" s="517">
        <v>300</v>
      </c>
      <c r="I23" s="518">
        <f t="shared" ref="I23:I30" si="16">(G23/H23)/21</f>
        <v>0.95714285714285718</v>
      </c>
      <c r="J23" s="518">
        <f t="shared" si="12"/>
        <v>1.1260504201680672</v>
      </c>
      <c r="K23" s="609"/>
      <c r="L23" s="609"/>
      <c r="M23" s="518">
        <f t="shared" ref="M23:M31" si="17">SUM(K23:L23)</f>
        <v>0</v>
      </c>
      <c r="N23" s="518">
        <f t="shared" ref="N23:N31" si="18">M23-SUM(I23:I23)</f>
        <v>-0.95714285714285718</v>
      </c>
      <c r="O23" s="518">
        <f t="shared" ref="O23:O31" si="19">M23-SUM(J23:J23)</f>
        <v>-1.1260504201680672</v>
      </c>
      <c r="P23" s="81"/>
    </row>
    <row r="24" spans="1:16" x14ac:dyDescent="0.35">
      <c r="A24" s="594" t="s">
        <v>782</v>
      </c>
      <c r="B24" s="515" t="s">
        <v>783</v>
      </c>
      <c r="C24" s="522"/>
      <c r="D24" s="516"/>
      <c r="E24" s="517" t="s">
        <v>62</v>
      </c>
      <c r="F24" s="517"/>
      <c r="G24" s="517">
        <v>1113</v>
      </c>
      <c r="H24" s="517">
        <v>150</v>
      </c>
      <c r="I24" s="518">
        <f t="shared" si="16"/>
        <v>0.35333333333333333</v>
      </c>
      <c r="J24" s="518">
        <f t="shared" si="12"/>
        <v>0.41568627450980394</v>
      </c>
      <c r="K24" s="609"/>
      <c r="L24" s="609"/>
      <c r="M24" s="518">
        <f t="shared" si="17"/>
        <v>0</v>
      </c>
      <c r="N24" s="518">
        <f t="shared" si="18"/>
        <v>-0.35333333333333333</v>
      </c>
      <c r="O24" s="518">
        <f t="shared" si="19"/>
        <v>-0.41568627450980394</v>
      </c>
      <c r="P24" s="81"/>
    </row>
    <row r="25" spans="1:16" x14ac:dyDescent="0.35">
      <c r="A25" s="594" t="s">
        <v>782</v>
      </c>
      <c r="B25" s="515" t="s">
        <v>784</v>
      </c>
      <c r="C25" s="522"/>
      <c r="D25" s="516"/>
      <c r="E25" s="517" t="s">
        <v>62</v>
      </c>
      <c r="F25" s="517"/>
      <c r="G25" s="517">
        <v>5944</v>
      </c>
      <c r="H25" s="517">
        <v>150</v>
      </c>
      <c r="I25" s="518">
        <f t="shared" si="16"/>
        <v>1.886984126984127</v>
      </c>
      <c r="J25" s="518">
        <f t="shared" si="12"/>
        <v>2.2199813258636789</v>
      </c>
      <c r="K25" s="518"/>
      <c r="L25" s="518"/>
      <c r="M25" s="518">
        <f t="shared" si="17"/>
        <v>0</v>
      </c>
      <c r="N25" s="518">
        <f t="shared" si="18"/>
        <v>-1.886984126984127</v>
      </c>
      <c r="O25" s="518">
        <f t="shared" si="19"/>
        <v>-2.2199813258636789</v>
      </c>
      <c r="P25" s="81"/>
    </row>
    <row r="26" spans="1:16" x14ac:dyDescent="0.35">
      <c r="A26" s="594" t="s">
        <v>782</v>
      </c>
      <c r="B26" s="515" t="s">
        <v>785</v>
      </c>
      <c r="C26" s="522"/>
      <c r="D26" s="516"/>
      <c r="E26" s="517" t="s">
        <v>62</v>
      </c>
      <c r="F26" s="517"/>
      <c r="G26" s="517">
        <v>10000</v>
      </c>
      <c r="H26" s="517">
        <v>40</v>
      </c>
      <c r="I26" s="518">
        <f t="shared" si="16"/>
        <v>11.904761904761905</v>
      </c>
      <c r="J26" s="518">
        <f t="shared" si="12"/>
        <v>14.005602240896359</v>
      </c>
      <c r="K26" s="518"/>
      <c r="L26" s="518"/>
      <c r="M26" s="518">
        <f t="shared" si="17"/>
        <v>0</v>
      </c>
      <c r="N26" s="518">
        <f t="shared" si="18"/>
        <v>-11.904761904761905</v>
      </c>
      <c r="O26" s="518">
        <f t="shared" si="19"/>
        <v>-14.005602240896359</v>
      </c>
      <c r="P26" s="81"/>
    </row>
    <row r="27" spans="1:16" x14ac:dyDescent="0.35">
      <c r="A27" s="594" t="s">
        <v>782</v>
      </c>
      <c r="B27" s="515" t="s">
        <v>786</v>
      </c>
      <c r="C27" s="602"/>
      <c r="D27" s="516"/>
      <c r="E27" s="517" t="s">
        <v>62</v>
      </c>
      <c r="F27" s="517"/>
      <c r="G27" s="517">
        <v>43000</v>
      </c>
      <c r="H27" s="517">
        <v>380</v>
      </c>
      <c r="I27" s="518">
        <f t="shared" si="16"/>
        <v>5.3884711779448624</v>
      </c>
      <c r="J27" s="518">
        <f t="shared" si="12"/>
        <v>6.3393778564057204</v>
      </c>
      <c r="K27" s="518"/>
      <c r="L27" s="518"/>
      <c r="M27" s="518">
        <f t="shared" si="17"/>
        <v>0</v>
      </c>
      <c r="N27" s="518">
        <f t="shared" si="18"/>
        <v>-5.3884711779448624</v>
      </c>
      <c r="O27" s="518">
        <f t="shared" si="19"/>
        <v>-6.3393778564057204</v>
      </c>
      <c r="P27" s="81"/>
    </row>
    <row r="28" spans="1:16" x14ac:dyDescent="0.35">
      <c r="A28" s="594" t="s">
        <v>782</v>
      </c>
      <c r="B28" s="515" t="s">
        <v>33</v>
      </c>
      <c r="C28" s="602"/>
      <c r="D28" s="516"/>
      <c r="E28" s="517" t="s">
        <v>62</v>
      </c>
      <c r="F28" s="517"/>
      <c r="G28" s="517">
        <v>40000</v>
      </c>
      <c r="H28" s="517">
        <v>2000</v>
      </c>
      <c r="I28" s="518">
        <f t="shared" si="16"/>
        <v>0.95238095238095233</v>
      </c>
      <c r="J28" s="518">
        <f t="shared" si="12"/>
        <v>1.1204481792717087</v>
      </c>
      <c r="K28" s="518"/>
      <c r="L28" s="518"/>
      <c r="M28" s="518">
        <f t="shared" si="17"/>
        <v>0</v>
      </c>
      <c r="N28" s="518">
        <f t="shared" si="18"/>
        <v>-0.95238095238095233</v>
      </c>
      <c r="O28" s="518">
        <f t="shared" si="19"/>
        <v>-1.1204481792717087</v>
      </c>
      <c r="P28" s="81"/>
    </row>
    <row r="29" spans="1:16" x14ac:dyDescent="0.35">
      <c r="A29" s="594" t="s">
        <v>782</v>
      </c>
      <c r="B29" s="515" t="s">
        <v>787</v>
      </c>
      <c r="C29" s="522"/>
      <c r="D29" s="516"/>
      <c r="E29" s="517" t="s">
        <v>62</v>
      </c>
      <c r="F29" s="517"/>
      <c r="G29" s="517">
        <v>19000</v>
      </c>
      <c r="H29" s="517">
        <v>350</v>
      </c>
      <c r="I29" s="518">
        <f t="shared" si="16"/>
        <v>2.5850340136054419</v>
      </c>
      <c r="J29" s="518">
        <f t="shared" si="12"/>
        <v>3.0412164865946378</v>
      </c>
      <c r="K29" s="518"/>
      <c r="L29" s="518"/>
      <c r="M29" s="518">
        <f t="shared" si="17"/>
        <v>0</v>
      </c>
      <c r="N29" s="518">
        <f t="shared" si="18"/>
        <v>-2.5850340136054419</v>
      </c>
      <c r="O29" s="518">
        <f t="shared" si="19"/>
        <v>-3.0412164865946378</v>
      </c>
      <c r="P29" s="81"/>
    </row>
    <row r="30" spans="1:16" x14ac:dyDescent="0.35">
      <c r="A30" s="594" t="s">
        <v>782</v>
      </c>
      <c r="B30" s="515" t="s">
        <v>34</v>
      </c>
      <c r="C30" s="522"/>
      <c r="D30" s="516"/>
      <c r="E30" s="517" t="s">
        <v>62</v>
      </c>
      <c r="F30" s="517"/>
      <c r="G30" s="517">
        <v>350</v>
      </c>
      <c r="H30" s="517">
        <v>200</v>
      </c>
      <c r="I30" s="518">
        <f t="shared" si="16"/>
        <v>8.3333333333333329E-2</v>
      </c>
      <c r="J30" s="518">
        <f t="shared" si="12"/>
        <v>9.8039215686274508E-2</v>
      </c>
      <c r="K30" s="609"/>
      <c r="L30" s="609"/>
      <c r="M30" s="518">
        <f t="shared" si="17"/>
        <v>0</v>
      </c>
      <c r="N30" s="518">
        <f t="shared" si="18"/>
        <v>-8.3333333333333329E-2</v>
      </c>
      <c r="O30" s="518">
        <f t="shared" si="19"/>
        <v>-9.8039215686274508E-2</v>
      </c>
      <c r="P30" s="81"/>
    </row>
    <row r="31" spans="1:16" x14ac:dyDescent="0.35">
      <c r="A31" s="594" t="s">
        <v>782</v>
      </c>
      <c r="B31" s="515" t="s">
        <v>788</v>
      </c>
      <c r="C31" s="522"/>
      <c r="D31" s="516"/>
      <c r="E31" s="517" t="s">
        <v>43</v>
      </c>
      <c r="F31" s="517"/>
      <c r="G31" s="517">
        <v>840</v>
      </c>
      <c r="H31" s="517">
        <v>40</v>
      </c>
      <c r="I31" s="518">
        <f t="shared" ref="I31" si="20">(G31/H31)/21</f>
        <v>1</v>
      </c>
      <c r="J31" s="518">
        <f t="shared" ref="J31" si="21">I31/85%</f>
        <v>1.1764705882352942</v>
      </c>
      <c r="K31" s="609"/>
      <c r="L31" s="609"/>
      <c r="M31" s="518">
        <f t="shared" si="17"/>
        <v>0</v>
      </c>
      <c r="N31" s="518">
        <f t="shared" si="18"/>
        <v>-1</v>
      </c>
      <c r="O31" s="518">
        <f t="shared" si="19"/>
        <v>-1.1764705882352942</v>
      </c>
      <c r="P31" s="81"/>
    </row>
    <row r="32" spans="1:16" x14ac:dyDescent="0.35">
      <c r="A32" s="519" t="s">
        <v>782</v>
      </c>
      <c r="B32" s="519" t="s">
        <v>174</v>
      </c>
      <c r="C32" s="520" t="s">
        <v>765</v>
      </c>
      <c r="D32" s="520" t="s">
        <v>765</v>
      </c>
      <c r="E32" s="520" t="s">
        <v>789</v>
      </c>
      <c r="F32" s="520"/>
      <c r="G32" s="520" t="s">
        <v>765</v>
      </c>
      <c r="H32" s="520" t="s">
        <v>765</v>
      </c>
      <c r="I32" s="521">
        <f t="shared" ref="I32:O32" si="22">SUM(I22:I31)</f>
        <v>25.293505191550302</v>
      </c>
      <c r="J32" s="521">
        <f t="shared" si="22"/>
        <v>29.757064931235654</v>
      </c>
      <c r="K32" s="521">
        <f t="shared" si="22"/>
        <v>0</v>
      </c>
      <c r="L32" s="521">
        <f t="shared" si="22"/>
        <v>0</v>
      </c>
      <c r="M32" s="521">
        <f t="shared" si="22"/>
        <v>0</v>
      </c>
      <c r="N32" s="521">
        <f t="shared" si="22"/>
        <v>-25.293505191550302</v>
      </c>
      <c r="O32" s="521">
        <f t="shared" si="22"/>
        <v>-29.757064931235654</v>
      </c>
      <c r="P32" s="81"/>
    </row>
    <row r="33" spans="1:16" x14ac:dyDescent="0.35">
      <c r="A33" s="593" t="s">
        <v>790</v>
      </c>
      <c r="B33" s="81" t="s">
        <v>791</v>
      </c>
      <c r="C33" s="601"/>
      <c r="D33" s="598"/>
      <c r="E33" s="517" t="s">
        <v>41</v>
      </c>
      <c r="F33" s="491"/>
      <c r="G33" s="750">
        <v>7200</v>
      </c>
      <c r="H33" s="753">
        <v>150</v>
      </c>
      <c r="I33" s="747">
        <f>(G33/H33)/21</f>
        <v>2.2857142857142856</v>
      </c>
      <c r="J33" s="747">
        <f t="shared" ref="J33" si="23">I33/85%</f>
        <v>2.6890756302521006</v>
      </c>
      <c r="K33" s="747"/>
      <c r="L33" s="747"/>
      <c r="M33" s="747">
        <f t="shared" ref="M33" si="24">SUM(K33:L33)</f>
        <v>0</v>
      </c>
      <c r="N33" s="747">
        <f t="shared" ref="N33" si="25">M33-SUM(I33:I33)</f>
        <v>-2.2857142857142856</v>
      </c>
      <c r="O33" s="747">
        <f t="shared" ref="O33" si="26">M33-SUM(J33:J33)</f>
        <v>-2.6890756302521006</v>
      </c>
      <c r="P33" s="81"/>
    </row>
    <row r="34" spans="1:16" x14ac:dyDescent="0.35">
      <c r="A34" s="593" t="s">
        <v>790</v>
      </c>
      <c r="B34" s="81" t="s">
        <v>792</v>
      </c>
      <c r="C34" s="598"/>
      <c r="D34" s="598"/>
      <c r="E34" s="517" t="s">
        <v>41</v>
      </c>
      <c r="F34" s="491"/>
      <c r="G34" s="751"/>
      <c r="H34" s="754"/>
      <c r="I34" s="748"/>
      <c r="J34" s="748"/>
      <c r="K34" s="748"/>
      <c r="L34" s="748"/>
      <c r="M34" s="748"/>
      <c r="N34" s="748"/>
      <c r="O34" s="748"/>
      <c r="P34" s="81"/>
    </row>
    <row r="35" spans="1:16" x14ac:dyDescent="0.35">
      <c r="A35" s="593" t="s">
        <v>790</v>
      </c>
      <c r="B35" s="81" t="s">
        <v>59</v>
      </c>
      <c r="C35" s="598"/>
      <c r="D35" s="598"/>
      <c r="E35" s="517" t="s">
        <v>41</v>
      </c>
      <c r="F35" s="491"/>
      <c r="G35" s="752"/>
      <c r="H35" s="755"/>
      <c r="I35" s="749"/>
      <c r="J35" s="749"/>
      <c r="K35" s="749"/>
      <c r="L35" s="749"/>
      <c r="M35" s="749"/>
      <c r="N35" s="749"/>
      <c r="O35" s="749"/>
      <c r="P35" s="81"/>
    </row>
    <row r="36" spans="1:16" x14ac:dyDescent="0.35">
      <c r="A36" s="519" t="s">
        <v>790</v>
      </c>
      <c r="B36" s="519" t="s">
        <v>174</v>
      </c>
      <c r="C36" s="520" t="s">
        <v>765</v>
      </c>
      <c r="D36" s="520" t="s">
        <v>765</v>
      </c>
      <c r="E36" s="520" t="s">
        <v>41</v>
      </c>
      <c r="F36" s="520" t="s">
        <v>765</v>
      </c>
      <c r="G36" s="520" t="s">
        <v>765</v>
      </c>
      <c r="H36" s="520" t="s">
        <v>765</v>
      </c>
      <c r="I36" s="521">
        <f t="shared" ref="I36:O36" si="27">SUM(I33:I35)</f>
        <v>2.2857142857142856</v>
      </c>
      <c r="J36" s="521">
        <f t="shared" si="27"/>
        <v>2.6890756302521006</v>
      </c>
      <c r="K36" s="521">
        <f t="shared" si="27"/>
        <v>0</v>
      </c>
      <c r="L36" s="521">
        <f t="shared" si="27"/>
        <v>0</v>
      </c>
      <c r="M36" s="521">
        <f t="shared" si="27"/>
        <v>0</v>
      </c>
      <c r="N36" s="521">
        <f t="shared" si="27"/>
        <v>-2.2857142857142856</v>
      </c>
      <c r="O36" s="521">
        <f t="shared" si="27"/>
        <v>-2.6890756302521006</v>
      </c>
      <c r="P36" s="81"/>
    </row>
    <row r="37" spans="1:16" x14ac:dyDescent="0.35">
      <c r="A37" s="593" t="s">
        <v>793</v>
      </c>
      <c r="B37" s="523" t="s">
        <v>101</v>
      </c>
      <c r="C37" s="523"/>
      <c r="D37" s="524"/>
      <c r="E37" s="81" t="s">
        <v>43</v>
      </c>
      <c r="F37" s="81"/>
      <c r="G37" s="81">
        <v>840</v>
      </c>
      <c r="H37" s="81">
        <v>40</v>
      </c>
      <c r="I37" s="518">
        <f t="shared" ref="I37" si="28">(G37/H37)/21</f>
        <v>1</v>
      </c>
      <c r="J37" s="518">
        <f t="shared" ref="J37" si="29">I37/85%</f>
        <v>1.1764705882352942</v>
      </c>
      <c r="K37" s="518"/>
      <c r="L37" s="518"/>
      <c r="M37" s="518">
        <f t="shared" ref="M37" si="30">SUM(K37:L37)</f>
        <v>0</v>
      </c>
      <c r="N37" s="518">
        <f t="shared" ref="N37" si="31">M37-SUM(I37:I37)</f>
        <v>-1</v>
      </c>
      <c r="O37" s="518">
        <f t="shared" ref="O37" si="32">M37-SUM(J37:J37)</f>
        <v>-1.1764705882352942</v>
      </c>
      <c r="P37" s="81"/>
    </row>
    <row r="38" spans="1:16" x14ac:dyDescent="0.35">
      <c r="A38" s="519" t="s">
        <v>793</v>
      </c>
      <c r="B38" s="519" t="s">
        <v>174</v>
      </c>
      <c r="C38" s="520" t="s">
        <v>765</v>
      </c>
      <c r="D38" s="520" t="s">
        <v>765</v>
      </c>
      <c r="E38" s="520" t="s">
        <v>43</v>
      </c>
      <c r="F38" s="520" t="s">
        <v>765</v>
      </c>
      <c r="G38" s="520" t="s">
        <v>765</v>
      </c>
      <c r="H38" s="520" t="s">
        <v>765</v>
      </c>
      <c r="I38" s="521">
        <f>I37</f>
        <v>1</v>
      </c>
      <c r="J38" s="521">
        <f>J37</f>
        <v>1.1764705882352942</v>
      </c>
      <c r="K38" s="521">
        <f>K37</f>
        <v>0</v>
      </c>
      <c r="L38" s="521">
        <v>0</v>
      </c>
      <c r="M38" s="521">
        <f>M37</f>
        <v>0</v>
      </c>
      <c r="N38" s="521">
        <f>SUM(N37)</f>
        <v>-1</v>
      </c>
      <c r="O38" s="521">
        <f>SUM(O37)</f>
        <v>-1.1764705882352942</v>
      </c>
      <c r="P38" s="81"/>
    </row>
    <row r="39" spans="1:16" x14ac:dyDescent="0.35">
      <c r="A39" s="593" t="s">
        <v>794</v>
      </c>
      <c r="B39" s="81" t="s">
        <v>795</v>
      </c>
      <c r="C39" s="596">
        <v>104000</v>
      </c>
      <c r="D39" s="597">
        <v>0.06</v>
      </c>
      <c r="E39" s="81" t="s">
        <v>41</v>
      </c>
      <c r="F39" s="81"/>
      <c r="G39" s="517">
        <v>666</v>
      </c>
      <c r="H39" s="81">
        <v>50</v>
      </c>
      <c r="I39" s="518">
        <f t="shared" ref="I39" si="33">(G39/H39)/21</f>
        <v>0.63428571428571434</v>
      </c>
      <c r="J39" s="518">
        <f t="shared" ref="J39" si="34">I39/85%</f>
        <v>0.74621848739495811</v>
      </c>
      <c r="K39" s="518"/>
      <c r="L39" s="518"/>
      <c r="M39" s="518">
        <f t="shared" ref="M39:M44" si="35">SUM(K39:L39)</f>
        <v>0</v>
      </c>
      <c r="N39" s="518">
        <f t="shared" ref="N39:N44" si="36">M39-I39</f>
        <v>-0.63428571428571434</v>
      </c>
      <c r="O39" s="518">
        <f t="shared" ref="O39:O44" si="37">M39-SUM(J39:J39)</f>
        <v>-0.74621848739495811</v>
      </c>
      <c r="P39" s="81"/>
    </row>
    <row r="40" spans="1:16" x14ac:dyDescent="0.35">
      <c r="A40" s="593" t="s">
        <v>794</v>
      </c>
      <c r="B40" s="81" t="s">
        <v>36</v>
      </c>
      <c r="C40" s="596"/>
      <c r="D40" s="597"/>
      <c r="E40" s="81" t="s">
        <v>41</v>
      </c>
      <c r="F40" s="81"/>
      <c r="G40" s="517">
        <v>166</v>
      </c>
      <c r="H40" s="81">
        <v>40</v>
      </c>
      <c r="I40" s="518">
        <f t="shared" ref="I40:I44" si="38">(G40/H40)/21</f>
        <v>0.19761904761904764</v>
      </c>
      <c r="J40" s="518">
        <f t="shared" ref="J40:J44" si="39">I40/85%</f>
        <v>0.23249299719887959</v>
      </c>
      <c r="K40" s="518"/>
      <c r="L40" s="518"/>
      <c r="M40" s="518">
        <f t="shared" si="35"/>
        <v>0</v>
      </c>
      <c r="N40" s="518">
        <f t="shared" si="36"/>
        <v>-0.19761904761904764</v>
      </c>
      <c r="O40" s="518">
        <f t="shared" si="37"/>
        <v>-0.23249299719887959</v>
      </c>
      <c r="P40" s="81"/>
    </row>
    <row r="41" spans="1:16" x14ac:dyDescent="0.35">
      <c r="A41" s="593" t="s">
        <v>794</v>
      </c>
      <c r="B41" s="81" t="s">
        <v>796</v>
      </c>
      <c r="C41" s="596"/>
      <c r="D41" s="597"/>
      <c r="E41" s="81" t="s">
        <v>41</v>
      </c>
      <c r="F41" s="81"/>
      <c r="G41" s="517">
        <v>1255</v>
      </c>
      <c r="H41" s="81">
        <v>200</v>
      </c>
      <c r="I41" s="518">
        <f t="shared" si="38"/>
        <v>0.2988095238095238</v>
      </c>
      <c r="J41" s="518">
        <f t="shared" si="39"/>
        <v>0.35154061624649863</v>
      </c>
      <c r="K41" s="518"/>
      <c r="L41" s="518"/>
      <c r="M41" s="518">
        <f t="shared" si="35"/>
        <v>0</v>
      </c>
      <c r="N41" s="518">
        <f t="shared" si="36"/>
        <v>-0.2988095238095238</v>
      </c>
      <c r="O41" s="518">
        <f t="shared" si="37"/>
        <v>-0.35154061624649863</v>
      </c>
      <c r="P41" s="81"/>
    </row>
    <row r="42" spans="1:16" x14ac:dyDescent="0.35">
      <c r="A42" s="593" t="s">
        <v>794</v>
      </c>
      <c r="B42" s="81" t="s">
        <v>42</v>
      </c>
      <c r="C42" s="596"/>
      <c r="D42" s="597"/>
      <c r="E42" s="81" t="s">
        <v>41</v>
      </c>
      <c r="F42" s="81"/>
      <c r="G42" s="517">
        <v>2004</v>
      </c>
      <c r="H42" s="81">
        <v>150</v>
      </c>
      <c r="I42" s="518">
        <f t="shared" si="38"/>
        <v>0.6361904761904762</v>
      </c>
      <c r="J42" s="518">
        <f t="shared" si="39"/>
        <v>0.74845938375350141</v>
      </c>
      <c r="K42" s="518"/>
      <c r="L42" s="518"/>
      <c r="M42" s="518">
        <f t="shared" si="35"/>
        <v>0</v>
      </c>
      <c r="N42" s="518">
        <f t="shared" si="36"/>
        <v>-0.6361904761904762</v>
      </c>
      <c r="O42" s="518">
        <f t="shared" si="37"/>
        <v>-0.74845938375350141</v>
      </c>
      <c r="P42" s="81"/>
    </row>
    <row r="43" spans="1:16" x14ac:dyDescent="0.35">
      <c r="A43" s="593" t="s">
        <v>794</v>
      </c>
      <c r="B43" s="81" t="s">
        <v>787</v>
      </c>
      <c r="C43" s="596"/>
      <c r="D43" s="597"/>
      <c r="E43" s="81" t="s">
        <v>41</v>
      </c>
      <c r="F43" s="81"/>
      <c r="G43" s="517">
        <v>200</v>
      </c>
      <c r="H43" s="81">
        <v>400</v>
      </c>
      <c r="I43" s="518">
        <f t="shared" si="38"/>
        <v>2.3809523809523808E-2</v>
      </c>
      <c r="J43" s="518">
        <f t="shared" si="39"/>
        <v>2.8011204481792715E-2</v>
      </c>
      <c r="K43" s="518"/>
      <c r="L43" s="518"/>
      <c r="M43" s="518">
        <f t="shared" si="35"/>
        <v>0</v>
      </c>
      <c r="N43" s="518">
        <f t="shared" si="36"/>
        <v>-2.3809523809523808E-2</v>
      </c>
      <c r="O43" s="518">
        <f t="shared" si="37"/>
        <v>-2.8011204481792715E-2</v>
      </c>
      <c r="P43" s="81"/>
    </row>
    <row r="44" spans="1:16" x14ac:dyDescent="0.35">
      <c r="A44" s="593" t="s">
        <v>794</v>
      </c>
      <c r="B44" s="81" t="s">
        <v>797</v>
      </c>
      <c r="C44" s="596"/>
      <c r="D44" s="597"/>
      <c r="E44" s="81" t="s">
        <v>41</v>
      </c>
      <c r="F44" s="81"/>
      <c r="G44" s="517">
        <v>286</v>
      </c>
      <c r="H44" s="81">
        <v>60</v>
      </c>
      <c r="I44" s="518">
        <f t="shared" si="38"/>
        <v>0.22698412698412698</v>
      </c>
      <c r="J44" s="518">
        <f t="shared" si="39"/>
        <v>0.26704014939309056</v>
      </c>
      <c r="K44" s="518"/>
      <c r="L44" s="518"/>
      <c r="M44" s="518">
        <f t="shared" si="35"/>
        <v>0</v>
      </c>
      <c r="N44" s="518">
        <f t="shared" si="36"/>
        <v>-0.22698412698412698</v>
      </c>
      <c r="O44" s="518">
        <f t="shared" si="37"/>
        <v>-0.26704014939309056</v>
      </c>
      <c r="P44" s="81"/>
    </row>
    <row r="45" spans="1:16" x14ac:dyDescent="0.35">
      <c r="A45" s="519" t="s">
        <v>794</v>
      </c>
      <c r="B45" s="519" t="s">
        <v>174</v>
      </c>
      <c r="C45" s="520" t="s">
        <v>765</v>
      </c>
      <c r="D45" s="520" t="s">
        <v>765</v>
      </c>
      <c r="E45" s="520" t="s">
        <v>41</v>
      </c>
      <c r="F45" s="520" t="s">
        <v>765</v>
      </c>
      <c r="G45" s="520" t="s">
        <v>765</v>
      </c>
      <c r="H45" s="520" t="s">
        <v>765</v>
      </c>
      <c r="I45" s="521">
        <f t="shared" ref="I45:O45" si="40">SUM(I39:I44)</f>
        <v>2.0176984126984125</v>
      </c>
      <c r="J45" s="521">
        <f t="shared" si="40"/>
        <v>2.3737628384687208</v>
      </c>
      <c r="K45" s="521">
        <f t="shared" si="40"/>
        <v>0</v>
      </c>
      <c r="L45" s="521">
        <f t="shared" si="40"/>
        <v>0</v>
      </c>
      <c r="M45" s="521">
        <f t="shared" si="40"/>
        <v>0</v>
      </c>
      <c r="N45" s="521">
        <f t="shared" si="40"/>
        <v>-2.0176984126984125</v>
      </c>
      <c r="O45" s="521">
        <f t="shared" si="40"/>
        <v>-2.3737628384687208</v>
      </c>
      <c r="P45" s="81"/>
    </row>
    <row r="46" spans="1:16" x14ac:dyDescent="0.35">
      <c r="A46" s="593" t="s">
        <v>798</v>
      </c>
      <c r="B46" s="523" t="s">
        <v>44</v>
      </c>
      <c r="C46" s="523">
        <v>2</v>
      </c>
      <c r="D46" s="524">
        <v>1280</v>
      </c>
      <c r="E46" s="81" t="s">
        <v>43</v>
      </c>
      <c r="F46" s="81"/>
      <c r="G46" s="81">
        <v>3360</v>
      </c>
      <c r="H46" s="81">
        <v>80</v>
      </c>
      <c r="I46" s="518">
        <f t="shared" ref="I46" si="41">(G46/H46)/21</f>
        <v>2</v>
      </c>
      <c r="J46" s="518">
        <f t="shared" ref="J46" si="42">I46/85%</f>
        <v>2.3529411764705883</v>
      </c>
      <c r="K46" s="518"/>
      <c r="L46" s="518"/>
      <c r="M46" s="518">
        <f t="shared" ref="M46" si="43">SUM(K46:L46)</f>
        <v>0</v>
      </c>
      <c r="N46" s="518">
        <f t="shared" ref="N46" si="44">M46-I46</f>
        <v>-2</v>
      </c>
      <c r="O46" s="518">
        <f>M46-SUM(J46:J46)</f>
        <v>-2.3529411764705883</v>
      </c>
      <c r="P46" s="81"/>
    </row>
    <row r="47" spans="1:16" x14ac:dyDescent="0.35">
      <c r="A47" s="519" t="s">
        <v>798</v>
      </c>
      <c r="B47" s="519" t="s">
        <v>174</v>
      </c>
      <c r="C47" s="520" t="s">
        <v>765</v>
      </c>
      <c r="D47" s="520" t="s">
        <v>765</v>
      </c>
      <c r="E47" s="520" t="s">
        <v>43</v>
      </c>
      <c r="F47" s="520" t="s">
        <v>765</v>
      </c>
      <c r="G47" s="520" t="s">
        <v>765</v>
      </c>
      <c r="H47" s="520" t="s">
        <v>765</v>
      </c>
      <c r="I47" s="521">
        <f>I46</f>
        <v>2</v>
      </c>
      <c r="J47" s="521">
        <f>J46</f>
        <v>2.3529411764705883</v>
      </c>
      <c r="K47" s="521">
        <v>0</v>
      </c>
      <c r="L47" s="521">
        <f>L46</f>
        <v>0</v>
      </c>
      <c r="M47" s="521">
        <f>M46</f>
        <v>0</v>
      </c>
      <c r="N47" s="521">
        <f>SUM(N46)</f>
        <v>-2</v>
      </c>
      <c r="O47" s="521">
        <f>SUM(O46)</f>
        <v>-2.3529411764705883</v>
      </c>
      <c r="P47" s="81"/>
    </row>
    <row r="48" spans="1:16" x14ac:dyDescent="0.35">
      <c r="A48" s="593" t="s">
        <v>799</v>
      </c>
      <c r="B48" s="523" t="s">
        <v>800</v>
      </c>
      <c r="C48" s="523"/>
      <c r="D48" s="527"/>
      <c r="E48" s="81" t="s">
        <v>62</v>
      </c>
      <c r="F48" s="81"/>
      <c r="G48" s="518">
        <v>550</v>
      </c>
      <c r="H48" s="81">
        <v>40</v>
      </c>
      <c r="I48" s="518">
        <f>(G48/H48)/21</f>
        <v>0.65476190476190477</v>
      </c>
      <c r="J48" s="518">
        <f>I48/85%</f>
        <v>0.77030812324929976</v>
      </c>
      <c r="K48" s="518"/>
      <c r="L48" s="518"/>
      <c r="M48" s="518">
        <f t="shared" ref="M48" si="45">SUM(K48:L48)</f>
        <v>0</v>
      </c>
      <c r="N48" s="518">
        <f t="shared" ref="N48" si="46">M48-I48</f>
        <v>-0.65476190476190477</v>
      </c>
      <c r="O48" s="518">
        <f>M48-SUM(J48:J48)</f>
        <v>-0.77030812324929976</v>
      </c>
      <c r="P48" s="81"/>
    </row>
    <row r="49" spans="1:16" x14ac:dyDescent="0.35">
      <c r="A49" s="593" t="s">
        <v>799</v>
      </c>
      <c r="B49" s="523" t="s">
        <v>801</v>
      </c>
      <c r="C49" s="523"/>
      <c r="D49" s="527">
        <v>4.5</v>
      </c>
      <c r="E49" s="81" t="s">
        <v>62</v>
      </c>
      <c r="F49" s="81"/>
      <c r="G49" s="518">
        <v>1008</v>
      </c>
      <c r="H49" s="81">
        <v>24</v>
      </c>
      <c r="I49" s="518">
        <f>(G49/H49)/21</f>
        <v>2</v>
      </c>
      <c r="J49" s="518">
        <f>I49/85%</f>
        <v>2.3529411764705883</v>
      </c>
      <c r="K49" s="518"/>
      <c r="L49" s="518"/>
      <c r="M49" s="518">
        <f t="shared" ref="M49" si="47">SUM(K49:L49)</f>
        <v>0</v>
      </c>
      <c r="N49" s="518">
        <f t="shared" ref="N49" si="48">M49-I49</f>
        <v>-2</v>
      </c>
      <c r="O49" s="518">
        <f>M49-SUM(J49:J49)</f>
        <v>-2.3529411764705883</v>
      </c>
      <c r="P49" s="81"/>
    </row>
    <row r="50" spans="1:16" x14ac:dyDescent="0.35">
      <c r="A50" s="519" t="s">
        <v>799</v>
      </c>
      <c r="B50" s="519" t="s">
        <v>174</v>
      </c>
      <c r="C50" s="520" t="s">
        <v>765</v>
      </c>
      <c r="D50" s="520" t="s">
        <v>765</v>
      </c>
      <c r="E50" s="520" t="s">
        <v>62</v>
      </c>
      <c r="F50" s="520" t="s">
        <v>765</v>
      </c>
      <c r="G50" s="520" t="s">
        <v>765</v>
      </c>
      <c r="H50" s="520" t="s">
        <v>765</v>
      </c>
      <c r="I50" s="521">
        <f t="shared" ref="I50:O50" si="49">SUM(I48:I49)</f>
        <v>2.6547619047619047</v>
      </c>
      <c r="J50" s="521">
        <f t="shared" si="49"/>
        <v>3.123249299719888</v>
      </c>
      <c r="K50" s="521">
        <f t="shared" si="49"/>
        <v>0</v>
      </c>
      <c r="L50" s="521">
        <f t="shared" si="49"/>
        <v>0</v>
      </c>
      <c r="M50" s="521">
        <f t="shared" si="49"/>
        <v>0</v>
      </c>
      <c r="N50" s="521">
        <f t="shared" si="49"/>
        <v>-2.6547619047619047</v>
      </c>
      <c r="O50" s="521">
        <f t="shared" si="49"/>
        <v>-3.123249299719888</v>
      </c>
      <c r="P50" s="81"/>
    </row>
    <row r="51" spans="1:16" x14ac:dyDescent="0.35">
      <c r="A51" s="593" t="s">
        <v>802</v>
      </c>
      <c r="B51" s="81" t="s">
        <v>803</v>
      </c>
      <c r="C51" s="596">
        <v>235000</v>
      </c>
      <c r="D51" s="597">
        <v>0.03</v>
      </c>
      <c r="E51" s="81" t="s">
        <v>41</v>
      </c>
      <c r="F51" s="81"/>
      <c r="G51" s="517">
        <v>6339</v>
      </c>
      <c r="H51" s="81">
        <v>50</v>
      </c>
      <c r="I51" s="518">
        <f t="shared" ref="I51:I54" si="50">(G51/H51)/21</f>
        <v>6.0371428571428574</v>
      </c>
      <c r="J51" s="518">
        <f t="shared" ref="J51:J54" si="51">I51/85%</f>
        <v>7.1025210084033619</v>
      </c>
      <c r="K51" s="518"/>
      <c r="L51" s="518"/>
      <c r="M51" s="518">
        <f t="shared" ref="M51:M54" si="52">SUM(K51:L51)</f>
        <v>0</v>
      </c>
      <c r="N51" s="518">
        <f t="shared" ref="N51:N54" si="53">M51-I51</f>
        <v>-6.0371428571428574</v>
      </c>
      <c r="O51" s="518">
        <f t="shared" ref="O51:O54" si="54">M51-SUM(J51:J51)</f>
        <v>-7.1025210084033619</v>
      </c>
      <c r="P51" s="81"/>
    </row>
    <row r="52" spans="1:16" x14ac:dyDescent="0.35">
      <c r="A52" s="593" t="s">
        <v>802</v>
      </c>
      <c r="B52" s="81" t="s">
        <v>796</v>
      </c>
      <c r="C52" s="596"/>
      <c r="D52" s="597"/>
      <c r="E52" s="81" t="s">
        <v>41</v>
      </c>
      <c r="F52" s="81"/>
      <c r="G52" s="517">
        <v>1550</v>
      </c>
      <c r="H52" s="81">
        <v>140</v>
      </c>
      <c r="I52" s="518">
        <f t="shared" si="50"/>
        <v>0.52721088435374153</v>
      </c>
      <c r="J52" s="518">
        <f t="shared" si="51"/>
        <v>0.62024809923969593</v>
      </c>
      <c r="K52" s="518"/>
      <c r="L52" s="518"/>
      <c r="M52" s="518">
        <f t="shared" si="52"/>
        <v>0</v>
      </c>
      <c r="N52" s="518">
        <f t="shared" si="53"/>
        <v>-0.52721088435374153</v>
      </c>
      <c r="O52" s="518">
        <f t="shared" si="54"/>
        <v>-0.62024809923969593</v>
      </c>
      <c r="P52" s="81"/>
    </row>
    <row r="53" spans="1:16" x14ac:dyDescent="0.35">
      <c r="A53" s="593" t="s">
        <v>802</v>
      </c>
      <c r="B53" s="81" t="s">
        <v>33</v>
      </c>
      <c r="C53" s="596"/>
      <c r="D53" s="597"/>
      <c r="E53" s="81" t="s">
        <v>41</v>
      </c>
      <c r="F53" s="81"/>
      <c r="G53" s="517">
        <v>4101</v>
      </c>
      <c r="H53" s="81">
        <v>350</v>
      </c>
      <c r="I53" s="518">
        <f t="shared" si="50"/>
        <v>0.55795918367346942</v>
      </c>
      <c r="J53" s="518">
        <f t="shared" si="51"/>
        <v>0.65642256902761109</v>
      </c>
      <c r="K53" s="518"/>
      <c r="L53" s="518"/>
      <c r="M53" s="518">
        <f t="shared" si="52"/>
        <v>0</v>
      </c>
      <c r="N53" s="518">
        <f t="shared" si="53"/>
        <v>-0.55795918367346942</v>
      </c>
      <c r="O53" s="518">
        <f t="shared" si="54"/>
        <v>-0.65642256902761109</v>
      </c>
      <c r="P53" s="81"/>
    </row>
    <row r="54" spans="1:16" x14ac:dyDescent="0.35">
      <c r="A54" s="593" t="s">
        <v>802</v>
      </c>
      <c r="B54" s="81" t="s">
        <v>787</v>
      </c>
      <c r="C54" s="596"/>
      <c r="D54" s="597"/>
      <c r="E54" s="81" t="s">
        <v>41</v>
      </c>
      <c r="F54" s="81"/>
      <c r="G54" s="517">
        <v>8059</v>
      </c>
      <c r="H54" s="81">
        <v>2000</v>
      </c>
      <c r="I54" s="518">
        <f t="shared" si="50"/>
        <v>0.19188095238095237</v>
      </c>
      <c r="J54" s="518">
        <f t="shared" si="51"/>
        <v>0.22574229691876752</v>
      </c>
      <c r="K54" s="518"/>
      <c r="L54" s="518"/>
      <c r="M54" s="518">
        <f t="shared" si="52"/>
        <v>0</v>
      </c>
      <c r="N54" s="518">
        <f t="shared" si="53"/>
        <v>-0.19188095238095237</v>
      </c>
      <c r="O54" s="518">
        <f t="shared" si="54"/>
        <v>-0.22574229691876752</v>
      </c>
      <c r="P54" s="81"/>
    </row>
    <row r="55" spans="1:16" x14ac:dyDescent="0.35">
      <c r="A55" s="519" t="s">
        <v>802</v>
      </c>
      <c r="B55" s="519" t="s">
        <v>174</v>
      </c>
      <c r="C55" s="520" t="s">
        <v>765</v>
      </c>
      <c r="D55" s="520" t="s">
        <v>765</v>
      </c>
      <c r="E55" s="520" t="s">
        <v>41</v>
      </c>
      <c r="F55" s="520" t="s">
        <v>765</v>
      </c>
      <c r="G55" s="520" t="s">
        <v>765</v>
      </c>
      <c r="H55" s="520" t="s">
        <v>765</v>
      </c>
      <c r="I55" s="521">
        <f t="shared" ref="I55:O55" si="55">SUM(I51:I54)</f>
        <v>7.3141938775510207</v>
      </c>
      <c r="J55" s="521">
        <f t="shared" si="55"/>
        <v>8.6049339735894357</v>
      </c>
      <c r="K55" s="521">
        <f t="shared" si="55"/>
        <v>0</v>
      </c>
      <c r="L55" s="521">
        <f t="shared" si="55"/>
        <v>0</v>
      </c>
      <c r="M55" s="521">
        <f t="shared" si="55"/>
        <v>0</v>
      </c>
      <c r="N55" s="521">
        <f t="shared" si="55"/>
        <v>-7.3141938775510207</v>
      </c>
      <c r="O55" s="521">
        <f t="shared" si="55"/>
        <v>-8.6049339735894357</v>
      </c>
      <c r="P55" s="81"/>
    </row>
    <row r="56" spans="1:16" x14ac:dyDescent="0.35">
      <c r="A56" s="593" t="s">
        <v>804</v>
      </c>
      <c r="B56" s="523" t="s">
        <v>87</v>
      </c>
      <c r="C56" s="523"/>
      <c r="D56" s="524"/>
      <c r="E56" s="81" t="s">
        <v>41</v>
      </c>
      <c r="F56" s="81"/>
      <c r="G56" s="81">
        <v>5437</v>
      </c>
      <c r="H56" s="81">
        <v>120</v>
      </c>
      <c r="I56" s="518">
        <f t="shared" ref="I56:I67" si="56">G56/H56/21</f>
        <v>2.1575396825396824</v>
      </c>
      <c r="J56" s="518">
        <f t="shared" ref="J56:J68" si="57">I56/85%</f>
        <v>2.5382819794584499</v>
      </c>
      <c r="K56" s="518"/>
      <c r="L56" s="518"/>
      <c r="M56" s="518">
        <f t="shared" ref="M56:M57" si="58">SUM(K56:L56)</f>
        <v>0</v>
      </c>
      <c r="N56" s="518">
        <f t="shared" ref="N56:N68" si="59">M56-I56</f>
        <v>-2.1575396825396824</v>
      </c>
      <c r="O56" s="518">
        <f t="shared" ref="O56:O68" si="60">M56-SUM(J56:J56)</f>
        <v>-2.5382819794584499</v>
      </c>
      <c r="P56" s="81"/>
    </row>
    <row r="57" spans="1:16" x14ac:dyDescent="0.35">
      <c r="A57" s="593" t="s">
        <v>804</v>
      </c>
      <c r="B57" s="523" t="s">
        <v>783</v>
      </c>
      <c r="C57" s="523"/>
      <c r="D57" s="524"/>
      <c r="E57" s="81" t="s">
        <v>41</v>
      </c>
      <c r="F57" s="81"/>
      <c r="G57" s="81">
        <v>4873</v>
      </c>
      <c r="H57" s="81">
        <v>150</v>
      </c>
      <c r="I57" s="518">
        <f t="shared" si="56"/>
        <v>1.5469841269841269</v>
      </c>
      <c r="J57" s="518">
        <f t="shared" si="57"/>
        <v>1.8199813258636788</v>
      </c>
      <c r="K57" s="518"/>
      <c r="L57" s="518"/>
      <c r="M57" s="518">
        <f t="shared" si="58"/>
        <v>0</v>
      </c>
      <c r="N57" s="518">
        <f t="shared" si="59"/>
        <v>-1.5469841269841269</v>
      </c>
      <c r="O57" s="518">
        <f t="shared" si="60"/>
        <v>-1.8199813258636788</v>
      </c>
      <c r="P57" s="81"/>
    </row>
    <row r="58" spans="1:16" ht="15" customHeight="1" x14ac:dyDescent="0.35">
      <c r="A58" s="593" t="s">
        <v>804</v>
      </c>
      <c r="B58" s="81" t="s">
        <v>805</v>
      </c>
      <c r="C58" s="601"/>
      <c r="D58" s="601"/>
      <c r="E58" s="81" t="s">
        <v>41</v>
      </c>
      <c r="F58" s="81"/>
      <c r="G58" s="517">
        <v>5596</v>
      </c>
      <c r="H58" s="81">
        <v>150</v>
      </c>
      <c r="I58" s="518">
        <f t="shared" si="56"/>
        <v>1.7765079365079364</v>
      </c>
      <c r="J58" s="518">
        <f t="shared" si="57"/>
        <v>2.0900093370681603</v>
      </c>
      <c r="K58" s="518"/>
      <c r="L58" s="518"/>
      <c r="M58" s="518">
        <f t="shared" ref="M58:M68" si="61">SUM(K58:L58)</f>
        <v>0</v>
      </c>
      <c r="N58" s="518">
        <f t="shared" si="59"/>
        <v>-1.7765079365079364</v>
      </c>
      <c r="O58" s="518">
        <f t="shared" si="60"/>
        <v>-2.0900093370681603</v>
      </c>
      <c r="P58" s="81"/>
    </row>
    <row r="59" spans="1:16" x14ac:dyDescent="0.35">
      <c r="A59" s="593" t="s">
        <v>804</v>
      </c>
      <c r="B59" s="81" t="s">
        <v>787</v>
      </c>
      <c r="C59" s="601"/>
      <c r="D59" s="601"/>
      <c r="E59" s="81" t="s">
        <v>41</v>
      </c>
      <c r="F59" s="81"/>
      <c r="G59" s="517">
        <v>4923</v>
      </c>
      <c r="H59" s="81">
        <v>350</v>
      </c>
      <c r="I59" s="518">
        <f t="shared" si="56"/>
        <v>0.66979591836734698</v>
      </c>
      <c r="J59" s="518">
        <f t="shared" si="57"/>
        <v>0.7879951980792318</v>
      </c>
      <c r="K59" s="518"/>
      <c r="L59" s="518"/>
      <c r="M59" s="518">
        <f t="shared" si="61"/>
        <v>0</v>
      </c>
      <c r="N59" s="518">
        <f t="shared" si="59"/>
        <v>-0.66979591836734698</v>
      </c>
      <c r="O59" s="518">
        <f t="shared" si="60"/>
        <v>-0.7879951980792318</v>
      </c>
      <c r="P59" s="81"/>
    </row>
    <row r="60" spans="1:16" x14ac:dyDescent="0.35">
      <c r="A60" s="593" t="s">
        <v>804</v>
      </c>
      <c r="B60" s="81" t="s">
        <v>33</v>
      </c>
      <c r="C60" s="601"/>
      <c r="D60" s="601"/>
      <c r="E60" s="81" t="s">
        <v>41</v>
      </c>
      <c r="F60" s="81"/>
      <c r="G60" s="517">
        <v>6441</v>
      </c>
      <c r="H60" s="81">
        <v>800</v>
      </c>
      <c r="I60" s="518">
        <f t="shared" si="56"/>
        <v>0.38339285714285715</v>
      </c>
      <c r="J60" s="518">
        <f t="shared" si="57"/>
        <v>0.45105042016806723</v>
      </c>
      <c r="K60" s="518"/>
      <c r="L60" s="518"/>
      <c r="M60" s="518">
        <f t="shared" si="61"/>
        <v>0</v>
      </c>
      <c r="N60" s="518">
        <f t="shared" si="59"/>
        <v>-0.38339285714285715</v>
      </c>
      <c r="O60" s="518">
        <f t="shared" si="60"/>
        <v>-0.45105042016806723</v>
      </c>
      <c r="P60" s="81"/>
    </row>
    <row r="61" spans="1:16" x14ac:dyDescent="0.35">
      <c r="A61" s="593" t="s">
        <v>804</v>
      </c>
      <c r="B61" s="81" t="s">
        <v>121</v>
      </c>
      <c r="C61" s="601"/>
      <c r="D61" s="601"/>
      <c r="E61" s="81" t="s">
        <v>41</v>
      </c>
      <c r="F61" s="81"/>
      <c r="G61" s="517">
        <v>5608</v>
      </c>
      <c r="H61" s="81">
        <v>135</v>
      </c>
      <c r="I61" s="518">
        <f t="shared" si="56"/>
        <v>1.9781305114638446</v>
      </c>
      <c r="J61" s="518">
        <f t="shared" si="57"/>
        <v>2.3272123664280526</v>
      </c>
      <c r="K61" s="518"/>
      <c r="L61" s="518"/>
      <c r="M61" s="518">
        <f t="shared" si="61"/>
        <v>0</v>
      </c>
      <c r="N61" s="518">
        <f t="shared" si="59"/>
        <v>-1.9781305114638446</v>
      </c>
      <c r="O61" s="518">
        <f t="shared" si="60"/>
        <v>-2.3272123664280526</v>
      </c>
      <c r="P61" s="81"/>
    </row>
    <row r="62" spans="1:16" x14ac:dyDescent="0.35">
      <c r="A62" s="593" t="s">
        <v>804</v>
      </c>
      <c r="B62" s="81" t="s">
        <v>795</v>
      </c>
      <c r="C62" s="601"/>
      <c r="D62" s="601"/>
      <c r="E62" s="81" t="s">
        <v>41</v>
      </c>
      <c r="F62" s="81"/>
      <c r="G62" s="517">
        <v>2768</v>
      </c>
      <c r="H62" s="81">
        <v>50</v>
      </c>
      <c r="I62" s="518">
        <f t="shared" si="56"/>
        <v>2.636190476190476</v>
      </c>
      <c r="J62" s="518">
        <f t="shared" si="57"/>
        <v>3.1014005602240893</v>
      </c>
      <c r="K62" s="518"/>
      <c r="L62" s="518"/>
      <c r="M62" s="518">
        <f t="shared" si="61"/>
        <v>0</v>
      </c>
      <c r="N62" s="518">
        <f t="shared" si="59"/>
        <v>-2.636190476190476</v>
      </c>
      <c r="O62" s="518">
        <f t="shared" si="60"/>
        <v>-3.1014005602240893</v>
      </c>
      <c r="P62" s="81"/>
    </row>
    <row r="63" spans="1:16" x14ac:dyDescent="0.35">
      <c r="A63" s="593" t="s">
        <v>804</v>
      </c>
      <c r="B63" s="81" t="s">
        <v>36</v>
      </c>
      <c r="C63" s="601"/>
      <c r="D63" s="601"/>
      <c r="E63" s="81" t="s">
        <v>41</v>
      </c>
      <c r="F63" s="81"/>
      <c r="G63" s="517">
        <v>692</v>
      </c>
      <c r="H63" s="81">
        <v>40</v>
      </c>
      <c r="I63" s="518">
        <f t="shared" si="56"/>
        <v>0.82380952380952388</v>
      </c>
      <c r="J63" s="518">
        <f t="shared" si="57"/>
        <v>0.96918767507002812</v>
      </c>
      <c r="K63" s="518"/>
      <c r="L63" s="518"/>
      <c r="M63" s="518">
        <f t="shared" si="61"/>
        <v>0</v>
      </c>
      <c r="N63" s="518">
        <f t="shared" si="59"/>
        <v>-0.82380952380952388</v>
      </c>
      <c r="O63" s="518">
        <f t="shared" si="60"/>
        <v>-0.96918767507002812</v>
      </c>
      <c r="P63" s="81"/>
    </row>
    <row r="64" spans="1:16" x14ac:dyDescent="0.35">
      <c r="A64" s="593" t="s">
        <v>804</v>
      </c>
      <c r="B64" s="81" t="s">
        <v>83</v>
      </c>
      <c r="C64" s="601"/>
      <c r="D64" s="601"/>
      <c r="E64" s="81" t="s">
        <v>41</v>
      </c>
      <c r="F64" s="81"/>
      <c r="G64" s="517">
        <v>3846</v>
      </c>
      <c r="H64" s="81">
        <v>200</v>
      </c>
      <c r="I64" s="518">
        <f t="shared" si="56"/>
        <v>0.9157142857142857</v>
      </c>
      <c r="J64" s="518">
        <f t="shared" si="57"/>
        <v>1.0773109243697478</v>
      </c>
      <c r="K64" s="518"/>
      <c r="L64" s="518"/>
      <c r="M64" s="518">
        <f t="shared" ref="M64:M65" si="62">SUM(K64:L64)</f>
        <v>0</v>
      </c>
      <c r="N64" s="518">
        <f t="shared" si="59"/>
        <v>-0.9157142857142857</v>
      </c>
      <c r="O64" s="518">
        <f t="shared" si="60"/>
        <v>-1.0773109243697478</v>
      </c>
      <c r="P64" s="81"/>
    </row>
    <row r="65" spans="1:16" x14ac:dyDescent="0.35">
      <c r="A65" s="593" t="s">
        <v>804</v>
      </c>
      <c r="B65" s="81" t="s">
        <v>111</v>
      </c>
      <c r="C65" s="601"/>
      <c r="D65" s="601"/>
      <c r="E65" s="81" t="s">
        <v>41</v>
      </c>
      <c r="F65" s="81"/>
      <c r="G65" s="517">
        <v>3495</v>
      </c>
      <c r="H65" s="81">
        <v>150</v>
      </c>
      <c r="I65" s="518">
        <f t="shared" si="56"/>
        <v>1.1095238095238096</v>
      </c>
      <c r="J65" s="518">
        <f t="shared" si="57"/>
        <v>1.3053221288515406</v>
      </c>
      <c r="K65" s="518"/>
      <c r="L65" s="518"/>
      <c r="M65" s="518">
        <f t="shared" si="62"/>
        <v>0</v>
      </c>
      <c r="N65" s="518">
        <f t="shared" si="59"/>
        <v>-1.1095238095238096</v>
      </c>
      <c r="O65" s="518">
        <f t="shared" si="60"/>
        <v>-1.3053221288515406</v>
      </c>
      <c r="P65" s="81"/>
    </row>
    <row r="66" spans="1:16" x14ac:dyDescent="0.35">
      <c r="A66" s="593" t="s">
        <v>804</v>
      </c>
      <c r="B66" s="81" t="s">
        <v>806</v>
      </c>
      <c r="C66" s="601"/>
      <c r="D66" s="601"/>
      <c r="E66" s="81" t="s">
        <v>41</v>
      </c>
      <c r="F66" s="81"/>
      <c r="G66" s="517">
        <v>579</v>
      </c>
      <c r="H66" s="81">
        <v>68</v>
      </c>
      <c r="I66" s="518">
        <f t="shared" si="56"/>
        <v>0.40546218487394964</v>
      </c>
      <c r="J66" s="518">
        <f t="shared" si="57"/>
        <v>0.47701433514582314</v>
      </c>
      <c r="K66" s="518"/>
      <c r="L66" s="518"/>
      <c r="M66" s="518">
        <f t="shared" si="61"/>
        <v>0</v>
      </c>
      <c r="N66" s="518">
        <f t="shared" si="59"/>
        <v>-0.40546218487394964</v>
      </c>
      <c r="O66" s="518">
        <f t="shared" si="60"/>
        <v>-0.47701433514582314</v>
      </c>
      <c r="P66" s="81"/>
    </row>
    <row r="67" spans="1:16" x14ac:dyDescent="0.35">
      <c r="A67" s="593" t="s">
        <v>804</v>
      </c>
      <c r="B67" s="81" t="s">
        <v>807</v>
      </c>
      <c r="C67" s="601"/>
      <c r="D67" s="601"/>
      <c r="E67" s="81" t="s">
        <v>41</v>
      </c>
      <c r="F67" s="81"/>
      <c r="G67" s="517">
        <v>226</v>
      </c>
      <c r="H67" s="81">
        <v>150</v>
      </c>
      <c r="I67" s="518">
        <f t="shared" si="56"/>
        <v>7.1746031746031738E-2</v>
      </c>
      <c r="J67" s="518">
        <f t="shared" si="57"/>
        <v>8.4407096171802046E-2</v>
      </c>
      <c r="K67" s="518"/>
      <c r="L67" s="518"/>
      <c r="M67" s="518">
        <f t="shared" si="61"/>
        <v>0</v>
      </c>
      <c r="N67" s="518">
        <f t="shared" si="59"/>
        <v>-7.1746031746031738E-2</v>
      </c>
      <c r="O67" s="518">
        <f t="shared" si="60"/>
        <v>-8.4407096171802046E-2</v>
      </c>
      <c r="P67" s="81"/>
    </row>
    <row r="68" spans="1:16" x14ac:dyDescent="0.35">
      <c r="A68" s="593" t="s">
        <v>804</v>
      </c>
      <c r="B68" s="81" t="s">
        <v>797</v>
      </c>
      <c r="C68" s="601"/>
      <c r="D68" s="601"/>
      <c r="E68" s="81" t="s">
        <v>43</v>
      </c>
      <c r="F68" s="81"/>
      <c r="G68" s="517">
        <v>4</v>
      </c>
      <c r="H68" s="81">
        <v>80</v>
      </c>
      <c r="I68" s="518">
        <v>4</v>
      </c>
      <c r="J68" s="518">
        <f t="shared" si="57"/>
        <v>4.7058823529411766</v>
      </c>
      <c r="K68" s="518"/>
      <c r="L68" s="518"/>
      <c r="M68" s="518">
        <f t="shared" si="61"/>
        <v>0</v>
      </c>
      <c r="N68" s="518">
        <f t="shared" si="59"/>
        <v>-4</v>
      </c>
      <c r="O68" s="518">
        <f t="shared" si="60"/>
        <v>-4.7058823529411766</v>
      </c>
      <c r="P68" s="81"/>
    </row>
    <row r="69" spans="1:16" x14ac:dyDescent="0.35">
      <c r="A69" s="519" t="s">
        <v>804</v>
      </c>
      <c r="B69" s="519" t="s">
        <v>174</v>
      </c>
      <c r="C69" s="520" t="s">
        <v>765</v>
      </c>
      <c r="D69" s="520" t="s">
        <v>765</v>
      </c>
      <c r="E69" s="520" t="s">
        <v>808</v>
      </c>
      <c r="F69" s="520" t="s">
        <v>765</v>
      </c>
      <c r="G69" s="520" t="s">
        <v>765</v>
      </c>
      <c r="H69" s="520" t="s">
        <v>765</v>
      </c>
      <c r="I69" s="521">
        <f t="shared" ref="I69:O69" si="63">SUM(I56:I68)</f>
        <v>18.474797344863873</v>
      </c>
      <c r="J69" s="521">
        <f t="shared" si="63"/>
        <v>21.735055699839847</v>
      </c>
      <c r="K69" s="521">
        <f t="shared" si="63"/>
        <v>0</v>
      </c>
      <c r="L69" s="521">
        <f t="shared" si="63"/>
        <v>0</v>
      </c>
      <c r="M69" s="521">
        <f t="shared" si="63"/>
        <v>0</v>
      </c>
      <c r="N69" s="521">
        <f t="shared" si="63"/>
        <v>-18.474797344863873</v>
      </c>
      <c r="O69" s="521">
        <f t="shared" si="63"/>
        <v>-21.735055699839847</v>
      </c>
      <c r="P69" s="81"/>
    </row>
    <row r="70" spans="1:16" x14ac:dyDescent="0.35">
      <c r="A70" s="605" t="s">
        <v>809</v>
      </c>
      <c r="B70" s="606" t="s">
        <v>101</v>
      </c>
      <c r="C70" s="596"/>
      <c r="D70" s="597"/>
      <c r="E70" s="81" t="s">
        <v>43</v>
      </c>
      <c r="F70" s="81"/>
      <c r="G70" s="517">
        <v>840</v>
      </c>
      <c r="H70" s="605">
        <v>40</v>
      </c>
      <c r="I70" s="518">
        <f t="shared" ref="I70:I74" si="64">(G70/H70)/21</f>
        <v>1</v>
      </c>
      <c r="J70" s="518">
        <f>I70/85%</f>
        <v>1.1764705882352942</v>
      </c>
      <c r="K70" s="518"/>
      <c r="L70" s="518"/>
      <c r="M70" s="518">
        <f t="shared" ref="M70" si="65">SUM(K70:L70)</f>
        <v>0</v>
      </c>
      <c r="N70" s="518">
        <f t="shared" ref="N70" si="66">M70-I70</f>
        <v>-1</v>
      </c>
      <c r="O70" s="518">
        <f t="shared" ref="O70" si="67">M70-SUM(J70:J70)</f>
        <v>-1.1764705882352942</v>
      </c>
      <c r="P70" s="81"/>
    </row>
    <row r="71" spans="1:16" x14ac:dyDescent="0.35">
      <c r="A71" s="605" t="s">
        <v>809</v>
      </c>
      <c r="B71" s="606" t="s">
        <v>93</v>
      </c>
      <c r="C71" s="596"/>
      <c r="D71" s="597"/>
      <c r="E71" s="81" t="s">
        <v>41</v>
      </c>
      <c r="F71" s="81"/>
      <c r="G71" s="517">
        <v>391</v>
      </c>
      <c r="H71" s="605">
        <v>50</v>
      </c>
      <c r="I71" s="518">
        <f t="shared" si="64"/>
        <v>0.37238095238095237</v>
      </c>
      <c r="J71" s="518">
        <f t="shared" ref="J71" si="68">I71/85%</f>
        <v>0.43809523809523809</v>
      </c>
      <c r="K71" s="518"/>
      <c r="L71" s="518"/>
      <c r="M71" s="518">
        <f t="shared" ref="M71" si="69">SUM(K71:L71)</f>
        <v>0</v>
      </c>
      <c r="N71" s="518">
        <f t="shared" ref="N71" si="70">M71-I71</f>
        <v>-0.37238095238095237</v>
      </c>
      <c r="O71" s="518">
        <f t="shared" ref="O71" si="71">M71-SUM(J71:J71)</f>
        <v>-0.43809523809523809</v>
      </c>
      <c r="P71" s="81"/>
    </row>
    <row r="72" spans="1:16" x14ac:dyDescent="0.35">
      <c r="A72" s="519" t="s">
        <v>809</v>
      </c>
      <c r="B72" s="519" t="s">
        <v>174</v>
      </c>
      <c r="C72" s="520" t="s">
        <v>765</v>
      </c>
      <c r="D72" s="520" t="s">
        <v>765</v>
      </c>
      <c r="E72" s="520" t="s">
        <v>41</v>
      </c>
      <c r="F72" s="520" t="s">
        <v>765</v>
      </c>
      <c r="G72" s="520" t="s">
        <v>765</v>
      </c>
      <c r="H72" s="520" t="s">
        <v>765</v>
      </c>
      <c r="I72" s="521">
        <f>SUM(I70:I71)</f>
        <v>1.3723809523809525</v>
      </c>
      <c r="J72" s="521">
        <f>SUM(J70:J71)</f>
        <v>1.6145658263305322</v>
      </c>
      <c r="K72" s="521">
        <f>SUM(K70:K70)</f>
        <v>0</v>
      </c>
      <c r="L72" s="521">
        <f>SUM(L70:L70)</f>
        <v>0</v>
      </c>
      <c r="M72" s="521">
        <f>SUM(M70:M70)</f>
        <v>0</v>
      </c>
      <c r="N72" s="521">
        <f>SUM(N70:N71)</f>
        <v>-1.3723809523809525</v>
      </c>
      <c r="O72" s="521">
        <f>SUM(O70:O71)</f>
        <v>-1.6145658263305322</v>
      </c>
      <c r="P72" s="81"/>
    </row>
    <row r="73" spans="1:16" x14ac:dyDescent="0.35">
      <c r="A73" s="595" t="s">
        <v>810</v>
      </c>
      <c r="B73" s="81" t="s">
        <v>88</v>
      </c>
      <c r="C73" s="525"/>
      <c r="D73" s="528"/>
      <c r="E73" s="81" t="s">
        <v>41</v>
      </c>
      <c r="F73" s="81"/>
      <c r="G73" s="81">
        <v>675</v>
      </c>
      <c r="H73" s="81">
        <v>120</v>
      </c>
      <c r="I73" s="518">
        <f t="shared" si="64"/>
        <v>0.26785714285714285</v>
      </c>
      <c r="J73" s="518">
        <f>I73/85%</f>
        <v>0.31512605042016806</v>
      </c>
      <c r="K73" s="518"/>
      <c r="L73" s="518"/>
      <c r="M73" s="518">
        <f t="shared" ref="M73" si="72">SUM(K73:L73)</f>
        <v>0</v>
      </c>
      <c r="N73" s="518">
        <f t="shared" ref="N73" si="73">M73-I73</f>
        <v>-0.26785714285714285</v>
      </c>
      <c r="O73" s="518">
        <f t="shared" ref="O73" si="74">M73-SUM(J73:J73)</f>
        <v>-0.31512605042016806</v>
      </c>
      <c r="P73" s="81"/>
    </row>
    <row r="74" spans="1:16" x14ac:dyDescent="0.35">
      <c r="A74" s="595" t="s">
        <v>810</v>
      </c>
      <c r="B74" s="81" t="s">
        <v>42</v>
      </c>
      <c r="C74" s="525"/>
      <c r="D74" s="528"/>
      <c r="E74" s="81" t="s">
        <v>41</v>
      </c>
      <c r="F74" s="81"/>
      <c r="G74" s="81">
        <v>2520</v>
      </c>
      <c r="H74" s="81">
        <v>120</v>
      </c>
      <c r="I74" s="518">
        <f t="shared" si="64"/>
        <v>1</v>
      </c>
      <c r="J74" s="518">
        <f>I74/85%</f>
        <v>1.1764705882352942</v>
      </c>
      <c r="K74" s="518"/>
      <c r="L74" s="518"/>
      <c r="M74" s="518">
        <f t="shared" ref="M74" si="75">SUM(K74:L74)</f>
        <v>0</v>
      </c>
      <c r="N74" s="518">
        <f t="shared" ref="N74" si="76">M74-I74</f>
        <v>-1</v>
      </c>
      <c r="O74" s="518">
        <f t="shared" ref="O74" si="77">M74-SUM(J74:J74)</f>
        <v>-1.1764705882352942</v>
      </c>
      <c r="P74" s="81"/>
    </row>
    <row r="75" spans="1:16" x14ac:dyDescent="0.35">
      <c r="A75" s="519" t="s">
        <v>810</v>
      </c>
      <c r="B75" s="519" t="s">
        <v>174</v>
      </c>
      <c r="C75" s="520" t="s">
        <v>765</v>
      </c>
      <c r="D75" s="520" t="s">
        <v>765</v>
      </c>
      <c r="E75" s="520" t="s">
        <v>41</v>
      </c>
      <c r="F75" s="520" t="s">
        <v>765</v>
      </c>
      <c r="G75" s="520" t="s">
        <v>765</v>
      </c>
      <c r="H75" s="520" t="s">
        <v>765</v>
      </c>
      <c r="I75" s="521">
        <f t="shared" ref="I75:O75" si="78">SUM(I73:I74)</f>
        <v>1.2678571428571428</v>
      </c>
      <c r="J75" s="521">
        <f t="shared" si="78"/>
        <v>1.4915966386554622</v>
      </c>
      <c r="K75" s="521">
        <f t="shared" si="78"/>
        <v>0</v>
      </c>
      <c r="L75" s="521">
        <f t="shared" si="78"/>
        <v>0</v>
      </c>
      <c r="M75" s="521">
        <f t="shared" si="78"/>
        <v>0</v>
      </c>
      <c r="N75" s="521">
        <f t="shared" si="78"/>
        <v>-1.2678571428571428</v>
      </c>
      <c r="O75" s="521">
        <f t="shared" si="78"/>
        <v>-1.4915966386554622</v>
      </c>
      <c r="P75" s="81"/>
    </row>
    <row r="76" spans="1:16" x14ac:dyDescent="0.35">
      <c r="A76" s="81" t="s">
        <v>811</v>
      </c>
      <c r="B76" s="81" t="s">
        <v>101</v>
      </c>
      <c r="C76" s="81"/>
      <c r="D76" s="525"/>
      <c r="E76" s="81" t="s">
        <v>43</v>
      </c>
      <c r="F76" s="81"/>
      <c r="G76" s="81">
        <v>2520</v>
      </c>
      <c r="H76" s="81">
        <v>40</v>
      </c>
      <c r="I76" s="518">
        <f t="shared" ref="I76:I77" si="79">(G76/H76)/21</f>
        <v>3</v>
      </c>
      <c r="J76" s="518">
        <f>I76/85%</f>
        <v>3.5294117647058822</v>
      </c>
      <c r="K76" s="518"/>
      <c r="L76" s="518"/>
      <c r="M76" s="518">
        <f>SUM(K76:L76)</f>
        <v>0</v>
      </c>
      <c r="N76" s="518">
        <f t="shared" ref="N76:N77" si="80">M76-I76</f>
        <v>-3</v>
      </c>
      <c r="O76" s="518">
        <f>M76-SUM(J76:J76)</f>
        <v>-3.5294117647058822</v>
      </c>
      <c r="P76" s="81"/>
    </row>
    <row r="77" spans="1:16" x14ac:dyDescent="0.35">
      <c r="A77" s="81" t="s">
        <v>811</v>
      </c>
      <c r="B77" s="81" t="s">
        <v>47</v>
      </c>
      <c r="C77" s="81"/>
      <c r="D77" s="525"/>
      <c r="E77" s="81" t="s">
        <v>62</v>
      </c>
      <c r="F77" s="81"/>
      <c r="G77" s="81">
        <v>100</v>
      </c>
      <c r="H77" s="81">
        <v>40</v>
      </c>
      <c r="I77" s="518">
        <f t="shared" si="79"/>
        <v>0.11904761904761904</v>
      </c>
      <c r="J77" s="518">
        <f>I77/85%</f>
        <v>0.14005602240896359</v>
      </c>
      <c r="K77" s="518"/>
      <c r="L77" s="518"/>
      <c r="M77" s="518">
        <f>SUM(K77:L77)</f>
        <v>0</v>
      </c>
      <c r="N77" s="518">
        <f t="shared" si="80"/>
        <v>-0.11904761904761904</v>
      </c>
      <c r="O77" s="518">
        <f>M77-SUM(J77:J77)</f>
        <v>-0.14005602240896359</v>
      </c>
      <c r="P77" s="81"/>
    </row>
    <row r="78" spans="1:16" x14ac:dyDescent="0.35">
      <c r="A78" s="519" t="s">
        <v>811</v>
      </c>
      <c r="B78" s="519" t="s">
        <v>174</v>
      </c>
      <c r="C78" s="520" t="s">
        <v>765</v>
      </c>
      <c r="D78" s="520" t="s">
        <v>765</v>
      </c>
      <c r="E78" s="520" t="s">
        <v>789</v>
      </c>
      <c r="F78" s="520" t="s">
        <v>765</v>
      </c>
      <c r="G78" s="520" t="s">
        <v>765</v>
      </c>
      <c r="H78" s="520" t="s">
        <v>765</v>
      </c>
      <c r="I78" s="521">
        <f t="shared" ref="I78:O78" si="81">SUM(I76:I77)</f>
        <v>3.1190476190476191</v>
      </c>
      <c r="J78" s="521">
        <f t="shared" si="81"/>
        <v>3.6694677871148458</v>
      </c>
      <c r="K78" s="521">
        <f t="shared" si="81"/>
        <v>0</v>
      </c>
      <c r="L78" s="521">
        <f t="shared" si="81"/>
        <v>0</v>
      </c>
      <c r="M78" s="521">
        <f t="shared" si="81"/>
        <v>0</v>
      </c>
      <c r="N78" s="521">
        <f t="shared" si="81"/>
        <v>-3.1190476190476191</v>
      </c>
      <c r="O78" s="521">
        <f t="shared" si="81"/>
        <v>-3.6694677871148458</v>
      </c>
      <c r="P78" s="81"/>
    </row>
    <row r="79" spans="1:16" x14ac:dyDescent="0.35">
      <c r="A79" s="595" t="s">
        <v>812</v>
      </c>
      <c r="B79" s="81" t="s">
        <v>36</v>
      </c>
      <c r="C79" s="81"/>
      <c r="D79" s="526"/>
      <c r="E79" s="81" t="s">
        <v>43</v>
      </c>
      <c r="F79" s="81"/>
      <c r="G79" s="81">
        <v>6300</v>
      </c>
      <c r="H79" s="81">
        <v>30</v>
      </c>
      <c r="I79" s="518">
        <f t="shared" ref="I79" si="82">(G79/H79)/21</f>
        <v>10</v>
      </c>
      <c r="J79" s="518">
        <f>I79/85%</f>
        <v>11.764705882352942</v>
      </c>
      <c r="K79" s="518"/>
      <c r="L79" s="518"/>
      <c r="M79" s="518">
        <f>SUM(K79:L79)</f>
        <v>0</v>
      </c>
      <c r="N79" s="518">
        <f t="shared" ref="N79" si="83">M79-I79</f>
        <v>-10</v>
      </c>
      <c r="O79" s="518">
        <f>M79-SUM(J79:J79)</f>
        <v>-11.764705882352942</v>
      </c>
      <c r="P79" s="81"/>
    </row>
    <row r="80" spans="1:16" x14ac:dyDescent="0.35">
      <c r="A80" s="519" t="s">
        <v>812</v>
      </c>
      <c r="B80" s="519" t="s">
        <v>174</v>
      </c>
      <c r="C80" s="520" t="s">
        <v>765</v>
      </c>
      <c r="D80" s="520" t="s">
        <v>765</v>
      </c>
      <c r="E80" s="520" t="s">
        <v>41</v>
      </c>
      <c r="F80" s="520" t="s">
        <v>765</v>
      </c>
      <c r="G80" s="520" t="s">
        <v>765</v>
      </c>
      <c r="H80" s="520" t="s">
        <v>765</v>
      </c>
      <c r="I80" s="521">
        <f>I79</f>
        <v>10</v>
      </c>
      <c r="J80" s="521">
        <f>J79</f>
        <v>11.764705882352942</v>
      </c>
      <c r="K80" s="521">
        <f>K79</f>
        <v>0</v>
      </c>
      <c r="L80" s="521">
        <v>0</v>
      </c>
      <c r="M80" s="521">
        <f>M79</f>
        <v>0</v>
      </c>
      <c r="N80" s="521">
        <f>SUM(N79)</f>
        <v>-10</v>
      </c>
      <c r="O80" s="521">
        <f>SUM(O79)</f>
        <v>-11.764705882352942</v>
      </c>
      <c r="P80" s="81"/>
    </row>
    <row r="81" spans="1:16" x14ac:dyDescent="0.35">
      <c r="A81" s="595" t="s">
        <v>813</v>
      </c>
      <c r="B81" s="81" t="s">
        <v>814</v>
      </c>
      <c r="C81" s="81"/>
      <c r="D81" s="525"/>
      <c r="E81" s="81" t="s">
        <v>62</v>
      </c>
      <c r="F81" s="81"/>
      <c r="G81" s="81">
        <v>288</v>
      </c>
      <c r="H81" s="81">
        <v>400</v>
      </c>
      <c r="I81" s="518">
        <f>(G81/H81)/21</f>
        <v>3.4285714285714287E-2</v>
      </c>
      <c r="J81" s="518">
        <f>I81/85%</f>
        <v>4.0336134453781515E-2</v>
      </c>
      <c r="K81" s="518"/>
      <c r="L81" s="518"/>
      <c r="M81" s="518">
        <f t="shared" ref="M81:M82" si="84">SUM(K81:L81)</f>
        <v>0</v>
      </c>
      <c r="N81" s="518">
        <f t="shared" ref="N81" si="85">M81-I81</f>
        <v>-3.4285714285714287E-2</v>
      </c>
      <c r="O81" s="518">
        <f t="shared" ref="O81" si="86">M81-SUM(J81:J81)</f>
        <v>-4.0336134453781515E-2</v>
      </c>
      <c r="P81" s="81"/>
    </row>
    <row r="82" spans="1:16" x14ac:dyDescent="0.35">
      <c r="A82" s="595" t="s">
        <v>815</v>
      </c>
      <c r="B82" s="81" t="s">
        <v>121</v>
      </c>
      <c r="C82" s="81"/>
      <c r="D82" s="525"/>
      <c r="E82" s="81" t="s">
        <v>62</v>
      </c>
      <c r="F82" s="81"/>
      <c r="G82" s="81">
        <v>3500</v>
      </c>
      <c r="H82" s="81">
        <v>70</v>
      </c>
      <c r="I82" s="518">
        <f>(G82/H82)/21</f>
        <v>2.3809523809523809</v>
      </c>
      <c r="J82" s="518">
        <f>I82/85%</f>
        <v>2.801120448179272</v>
      </c>
      <c r="K82" s="518"/>
      <c r="L82" s="518"/>
      <c r="M82" s="518">
        <f t="shared" si="84"/>
        <v>0</v>
      </c>
      <c r="N82" s="518">
        <f t="shared" ref="N82" si="87">M82-I82</f>
        <v>-2.3809523809523809</v>
      </c>
      <c r="O82" s="518">
        <f>M82-SUM(J82:J82)</f>
        <v>-2.801120448179272</v>
      </c>
      <c r="P82" s="81"/>
    </row>
    <row r="83" spans="1:16" x14ac:dyDescent="0.35">
      <c r="A83" s="519" t="s">
        <v>816</v>
      </c>
      <c r="B83" s="519" t="s">
        <v>174</v>
      </c>
      <c r="C83" s="520" t="s">
        <v>765</v>
      </c>
      <c r="D83" s="520" t="s">
        <v>765</v>
      </c>
      <c r="E83" s="520" t="s">
        <v>41</v>
      </c>
      <c r="F83" s="520" t="s">
        <v>765</v>
      </c>
      <c r="G83" s="520" t="s">
        <v>765</v>
      </c>
      <c r="H83" s="520" t="s">
        <v>765</v>
      </c>
      <c r="I83" s="521">
        <f>SUM(I81:I82)</f>
        <v>2.4152380952380952</v>
      </c>
      <c r="J83" s="521">
        <f>SUM(J81:J82)</f>
        <v>2.8414565826330533</v>
      </c>
      <c r="K83" s="521">
        <f>K82</f>
        <v>0</v>
      </c>
      <c r="L83" s="521">
        <v>0</v>
      </c>
      <c r="M83" s="521">
        <f>M82</f>
        <v>0</v>
      </c>
      <c r="N83" s="521">
        <f>SUM(N81:N82)</f>
        <v>-2.4152380952380952</v>
      </c>
      <c r="O83" s="521">
        <f>SUM(O81:O82)</f>
        <v>-2.8414565826330533</v>
      </c>
      <c r="P83" s="81"/>
    </row>
    <row r="84" spans="1:16" x14ac:dyDescent="0.35">
      <c r="A84" s="605" t="s">
        <v>817</v>
      </c>
      <c r="B84" s="605" t="s">
        <v>101</v>
      </c>
      <c r="C84" s="81"/>
      <c r="D84" s="525"/>
      <c r="E84" s="81" t="s">
        <v>43</v>
      </c>
      <c r="F84" s="81"/>
      <c r="G84" s="81">
        <v>630</v>
      </c>
      <c r="H84" s="605">
        <v>40</v>
      </c>
      <c r="I84" s="518">
        <f>(G84/H84)/21</f>
        <v>0.75</v>
      </c>
      <c r="J84" s="518">
        <f>I84/85%</f>
        <v>0.88235294117647056</v>
      </c>
      <c r="K84" s="518"/>
      <c r="L84" s="518"/>
      <c r="M84" s="518">
        <f>SUM(K84:L84)</f>
        <v>0</v>
      </c>
      <c r="N84" s="518">
        <f t="shared" ref="N84:N85" si="88">M84-I84</f>
        <v>-0.75</v>
      </c>
      <c r="O84" s="518">
        <f>M84-SUM(J84:J84)</f>
        <v>-0.88235294117647056</v>
      </c>
      <c r="P84" s="81"/>
    </row>
    <row r="85" spans="1:16" x14ac:dyDescent="0.35">
      <c r="A85" s="605" t="s">
        <v>817</v>
      </c>
      <c r="B85" s="605" t="s">
        <v>818</v>
      </c>
      <c r="C85" s="525"/>
      <c r="D85" s="526"/>
      <c r="E85" s="81" t="s">
        <v>62</v>
      </c>
      <c r="F85" s="81"/>
      <c r="G85" s="81">
        <v>1680</v>
      </c>
      <c r="H85" s="605">
        <v>40</v>
      </c>
      <c r="I85" s="518">
        <f>(G85/H85)/21</f>
        <v>2</v>
      </c>
      <c r="J85" s="518">
        <f>I85/85%</f>
        <v>2.3529411764705883</v>
      </c>
      <c r="K85" s="518"/>
      <c r="L85" s="518"/>
      <c r="M85" s="518">
        <f>SUM(K85:L85)</f>
        <v>0</v>
      </c>
      <c r="N85" s="518">
        <f t="shared" si="88"/>
        <v>-2</v>
      </c>
      <c r="O85" s="518">
        <f>M85-SUM(J85:J85)</f>
        <v>-2.3529411764705883</v>
      </c>
      <c r="P85" s="81"/>
    </row>
    <row r="86" spans="1:16" x14ac:dyDescent="0.35">
      <c r="A86" s="519" t="s">
        <v>817</v>
      </c>
      <c r="B86" s="519" t="s">
        <v>174</v>
      </c>
      <c r="C86" s="520" t="s">
        <v>765</v>
      </c>
      <c r="D86" s="520" t="s">
        <v>765</v>
      </c>
      <c r="E86" s="520" t="s">
        <v>808</v>
      </c>
      <c r="F86" s="520" t="s">
        <v>765</v>
      </c>
      <c r="G86" s="520" t="s">
        <v>765</v>
      </c>
      <c r="H86" s="520" t="s">
        <v>765</v>
      </c>
      <c r="I86" s="521">
        <f>SUM(I84:I85)</f>
        <v>2.75</v>
      </c>
      <c r="J86" s="521">
        <f>SUM(J84:J85)</f>
        <v>3.2352941176470589</v>
      </c>
      <c r="K86" s="521">
        <v>112</v>
      </c>
      <c r="L86" s="521">
        <f t="shared" ref="L86:O86" si="89">SUM(L84:L85)</f>
        <v>0</v>
      </c>
      <c r="M86" s="521">
        <f t="shared" si="89"/>
        <v>0</v>
      </c>
      <c r="N86" s="521">
        <f t="shared" si="89"/>
        <v>-2.75</v>
      </c>
      <c r="O86" s="521">
        <f t="shared" si="89"/>
        <v>-3.2352941176470589</v>
      </c>
      <c r="P86" s="81"/>
    </row>
    <row r="87" spans="1:16" x14ac:dyDescent="0.35">
      <c r="I87" s="529"/>
      <c r="J87" s="529"/>
      <c r="K87" s="529"/>
      <c r="L87" s="529"/>
      <c r="M87" s="529"/>
      <c r="N87" s="529"/>
      <c r="O87" s="529"/>
    </row>
    <row r="88" spans="1:16" x14ac:dyDescent="0.35">
      <c r="I88" s="529"/>
      <c r="J88" s="529"/>
      <c r="K88" s="529"/>
      <c r="L88" s="529"/>
      <c r="M88" s="529"/>
      <c r="N88" s="529"/>
      <c r="O88" s="529"/>
    </row>
    <row r="89" spans="1:16" x14ac:dyDescent="0.35">
      <c r="I89" s="529"/>
      <c r="J89" s="529"/>
      <c r="K89" s="529"/>
      <c r="L89" s="529"/>
      <c r="M89" s="529"/>
      <c r="N89" s="529"/>
      <c r="O89" s="529"/>
    </row>
    <row r="90" spans="1:16" x14ac:dyDescent="0.35">
      <c r="A90" s="78" t="s">
        <v>174</v>
      </c>
      <c r="B90" s="78"/>
      <c r="C90" s="78"/>
      <c r="D90" s="78"/>
      <c r="E90" s="78"/>
      <c r="F90" s="78"/>
      <c r="G90" s="78"/>
      <c r="H90" s="78"/>
      <c r="I90" s="514">
        <f t="shared" ref="I90:O90" si="90">SUMIF($B1:$B86,"Total",I1:I86)</f>
        <v>128.96519482666361</v>
      </c>
      <c r="J90" s="514">
        <f t="shared" si="90"/>
        <v>151.72375861960427</v>
      </c>
      <c r="K90" s="514">
        <f t="shared" si="90"/>
        <v>112</v>
      </c>
      <c r="L90" s="514">
        <f t="shared" si="90"/>
        <v>0</v>
      </c>
      <c r="M90" s="514">
        <f t="shared" si="90"/>
        <v>0</v>
      </c>
      <c r="N90" s="514">
        <f t="shared" si="90"/>
        <v>-128.96519482666361</v>
      </c>
      <c r="O90" s="514">
        <f t="shared" si="90"/>
        <v>-151.72375861960427</v>
      </c>
    </row>
    <row r="91" spans="1:16" x14ac:dyDescent="0.35">
      <c r="I91" s="209">
        <v>170</v>
      </c>
      <c r="K91" s="209">
        <f>ROUNDDOWN(K90*10%,0)</f>
        <v>11</v>
      </c>
    </row>
    <row r="92" spans="1:16" x14ac:dyDescent="0.35">
      <c r="I92" s="599">
        <f>I90/I91</f>
        <v>0.75861879309802116</v>
      </c>
      <c r="K92" s="529">
        <f>K90-K91</f>
        <v>101</v>
      </c>
    </row>
    <row r="94" spans="1:16" x14ac:dyDescent="0.35">
      <c r="A94" s="78" t="s">
        <v>819</v>
      </c>
      <c r="B94" s="78" t="s">
        <v>820</v>
      </c>
      <c r="C94" s="78" t="s">
        <v>821</v>
      </c>
      <c r="D94" s="78" t="s">
        <v>822</v>
      </c>
      <c r="E94" s="78" t="s">
        <v>174</v>
      </c>
      <c r="K94" s="535" t="s">
        <v>823</v>
      </c>
      <c r="M94" s="529"/>
    </row>
    <row r="95" spans="1:16" x14ac:dyDescent="0.35">
      <c r="A95" s="81" t="s">
        <v>824</v>
      </c>
      <c r="B95" s="81">
        <v>2</v>
      </c>
      <c r="C95" s="81">
        <v>9</v>
      </c>
      <c r="D95" s="81" t="s">
        <v>765</v>
      </c>
      <c r="E95" s="81">
        <f>SUM(B95:D95)</f>
        <v>11</v>
      </c>
    </row>
    <row r="96" spans="1:16" x14ac:dyDescent="0.35">
      <c r="A96" s="81" t="s">
        <v>700</v>
      </c>
      <c r="B96" s="81">
        <v>14</v>
      </c>
      <c r="C96" s="81">
        <v>145</v>
      </c>
      <c r="D96" s="81" t="s">
        <v>765</v>
      </c>
      <c r="E96" s="81">
        <f>SUM(B96:D96)</f>
        <v>159</v>
      </c>
      <c r="K96" s="533" t="s">
        <v>825</v>
      </c>
      <c r="L96" s="534">
        <v>0.1</v>
      </c>
    </row>
    <row r="97" spans="1:17" x14ac:dyDescent="0.35">
      <c r="A97" s="81" t="s">
        <v>826</v>
      </c>
      <c r="B97" s="81">
        <v>5</v>
      </c>
      <c r="C97" s="81">
        <v>30</v>
      </c>
      <c r="D97" s="81" t="s">
        <v>765</v>
      </c>
      <c r="E97" s="81">
        <f>SUM(B97:D97)</f>
        <v>35</v>
      </c>
      <c r="K97" s="533" t="s">
        <v>827</v>
      </c>
      <c r="L97" s="534">
        <v>0.15</v>
      </c>
    </row>
    <row r="98" spans="1:17" x14ac:dyDescent="0.35">
      <c r="A98" s="81" t="s">
        <v>174</v>
      </c>
      <c r="B98" s="81">
        <f>SUM(B95:B97)</f>
        <v>21</v>
      </c>
      <c r="C98" s="81">
        <f>SUM(C95:C97)</f>
        <v>184</v>
      </c>
      <c r="D98" s="81">
        <f>SUM(D95:D97)</f>
        <v>0</v>
      </c>
      <c r="E98" s="81">
        <f>SUM(E95:E97)</f>
        <v>205</v>
      </c>
      <c r="K98" s="533" t="s">
        <v>828</v>
      </c>
      <c r="L98" s="534">
        <v>0.2</v>
      </c>
    </row>
    <row r="99" spans="1:17" x14ac:dyDescent="0.35">
      <c r="A99"/>
      <c r="B99"/>
      <c r="K99" s="533" t="s">
        <v>829</v>
      </c>
      <c r="L99" s="534">
        <v>0.25</v>
      </c>
    </row>
    <row r="100" spans="1:17" x14ac:dyDescent="0.35">
      <c r="B100"/>
      <c r="K100" s="533"/>
      <c r="L100" s="534"/>
    </row>
    <row r="101" spans="1:17" x14ac:dyDescent="0.35">
      <c r="A101"/>
    </row>
    <row r="102" spans="1:17" x14ac:dyDescent="0.35">
      <c r="F102" s="533" t="s">
        <v>825</v>
      </c>
      <c r="G102" s="533" t="s">
        <v>825</v>
      </c>
      <c r="H102" s="533" t="s">
        <v>825</v>
      </c>
      <c r="I102" s="533" t="s">
        <v>827</v>
      </c>
      <c r="J102" s="533" t="s">
        <v>827</v>
      </c>
      <c r="K102" s="533" t="s">
        <v>827</v>
      </c>
      <c r="L102" s="533" t="s">
        <v>828</v>
      </c>
      <c r="M102" s="533" t="s">
        <v>828</v>
      </c>
      <c r="N102" s="533" t="s">
        <v>828</v>
      </c>
      <c r="O102" s="533" t="s">
        <v>829</v>
      </c>
      <c r="P102" s="533" t="s">
        <v>829</v>
      </c>
      <c r="Q102" s="533" t="s">
        <v>829</v>
      </c>
    </row>
    <row r="103" spans="1:17" x14ac:dyDescent="0.35">
      <c r="F103" s="180">
        <v>46023</v>
      </c>
      <c r="G103" s="180">
        <v>46054</v>
      </c>
      <c r="H103" s="180">
        <v>46082</v>
      </c>
      <c r="I103" s="180">
        <v>46113</v>
      </c>
      <c r="J103" s="180">
        <v>46143</v>
      </c>
      <c r="K103" s="180">
        <v>46174</v>
      </c>
      <c r="L103" s="180">
        <v>46204</v>
      </c>
      <c r="M103" s="180">
        <v>46235</v>
      </c>
      <c r="N103" s="180">
        <v>46266</v>
      </c>
      <c r="O103" s="180">
        <v>46296</v>
      </c>
      <c r="P103" s="180">
        <v>46327</v>
      </c>
      <c r="Q103" s="180">
        <v>46357</v>
      </c>
    </row>
    <row r="104" spans="1:17" x14ac:dyDescent="0.35">
      <c r="E104" s="209" t="s">
        <v>830</v>
      </c>
      <c r="F104" s="70">
        <f t="shared" ref="F104:Q104" si="91">VLOOKUP(F$102,$K$96:$L$99,2,FALSE)</f>
        <v>0.1</v>
      </c>
      <c r="G104" s="70">
        <f t="shared" si="91"/>
        <v>0.1</v>
      </c>
      <c r="H104" s="70">
        <f t="shared" si="91"/>
        <v>0.1</v>
      </c>
      <c r="I104" s="70">
        <f t="shared" si="91"/>
        <v>0.15</v>
      </c>
      <c r="J104" s="70">
        <f t="shared" si="91"/>
        <v>0.15</v>
      </c>
      <c r="K104" s="70">
        <f t="shared" si="91"/>
        <v>0.15</v>
      </c>
      <c r="L104" s="70">
        <f t="shared" si="91"/>
        <v>0.2</v>
      </c>
      <c r="M104" s="70">
        <f t="shared" si="91"/>
        <v>0.2</v>
      </c>
      <c r="N104" s="70">
        <f t="shared" si="91"/>
        <v>0.2</v>
      </c>
      <c r="O104" s="70">
        <f t="shared" si="91"/>
        <v>0.25</v>
      </c>
      <c r="P104" s="70">
        <f t="shared" si="91"/>
        <v>0.25</v>
      </c>
      <c r="Q104" s="70">
        <f t="shared" si="91"/>
        <v>0.25</v>
      </c>
    </row>
    <row r="105" spans="1:17" x14ac:dyDescent="0.35">
      <c r="A105"/>
      <c r="E105" s="209" t="s">
        <v>831</v>
      </c>
      <c r="F105" s="537">
        <f>$K$90*F$104</f>
        <v>11.200000000000001</v>
      </c>
      <c r="G105" s="537">
        <f t="shared" ref="G105:Q105" si="92">$K$90*G$104</f>
        <v>11.200000000000001</v>
      </c>
      <c r="H105" s="537">
        <f t="shared" si="92"/>
        <v>11.200000000000001</v>
      </c>
      <c r="I105" s="537">
        <f t="shared" si="92"/>
        <v>16.8</v>
      </c>
      <c r="J105" s="537">
        <f t="shared" si="92"/>
        <v>16.8</v>
      </c>
      <c r="K105" s="537">
        <f t="shared" si="92"/>
        <v>16.8</v>
      </c>
      <c r="L105" s="537">
        <f t="shared" si="92"/>
        <v>22.400000000000002</v>
      </c>
      <c r="M105" s="537">
        <f t="shared" si="92"/>
        <v>22.400000000000002</v>
      </c>
      <c r="N105" s="537">
        <f t="shared" si="92"/>
        <v>22.400000000000002</v>
      </c>
      <c r="O105" s="537">
        <f t="shared" si="92"/>
        <v>28</v>
      </c>
      <c r="P105" s="537">
        <f t="shared" si="92"/>
        <v>28</v>
      </c>
      <c r="Q105" s="537">
        <f t="shared" si="92"/>
        <v>28</v>
      </c>
    </row>
    <row r="106" spans="1:17" x14ac:dyDescent="0.35">
      <c r="A106"/>
      <c r="F106" s="538">
        <f>SUM(F105:O105)</f>
        <v>179.20000000000002</v>
      </c>
    </row>
    <row r="107" spans="1:17" x14ac:dyDescent="0.35">
      <c r="A107"/>
      <c r="F107" s="537">
        <f>F106*'2. Headcount Buildup'!$E$17</f>
        <v>3225600.0000000005</v>
      </c>
    </row>
    <row r="108" spans="1:17" x14ac:dyDescent="0.35">
      <c r="A108"/>
    </row>
    <row r="109" spans="1:17" x14ac:dyDescent="0.35">
      <c r="A109"/>
    </row>
    <row r="110" spans="1:17" x14ac:dyDescent="0.35">
      <c r="A110"/>
    </row>
    <row r="111" spans="1:17" x14ac:dyDescent="0.35">
      <c r="A111"/>
    </row>
    <row r="112" spans="1:17" x14ac:dyDescent="0.35">
      <c r="A112"/>
    </row>
    <row r="113" spans="1:1" x14ac:dyDescent="0.35">
      <c r="A113"/>
    </row>
    <row r="114" spans="1:1" x14ac:dyDescent="0.35">
      <c r="A114"/>
    </row>
    <row r="115" spans="1:1" x14ac:dyDescent="0.35">
      <c r="A115"/>
    </row>
    <row r="116" spans="1:1" x14ac:dyDescent="0.35">
      <c r="A116"/>
    </row>
    <row r="117" spans="1:1" x14ac:dyDescent="0.35">
      <c r="A117"/>
    </row>
    <row r="118" spans="1:1" x14ac:dyDescent="0.35">
      <c r="A118"/>
    </row>
    <row r="119" spans="1:1" x14ac:dyDescent="0.35">
      <c r="A119"/>
    </row>
    <row r="120" spans="1:1" x14ac:dyDescent="0.35">
      <c r="A120"/>
    </row>
    <row r="121" spans="1:1" x14ac:dyDescent="0.35">
      <c r="A121"/>
    </row>
    <row r="122" spans="1:1" x14ac:dyDescent="0.35">
      <c r="A122"/>
    </row>
    <row r="123" spans="1:1" x14ac:dyDescent="0.35">
      <c r="A123"/>
    </row>
    <row r="124" spans="1:1" x14ac:dyDescent="0.35">
      <c r="A124"/>
    </row>
    <row r="125" spans="1:1" x14ac:dyDescent="0.35">
      <c r="A125"/>
    </row>
    <row r="126" spans="1:1" x14ac:dyDescent="0.35">
      <c r="A126"/>
    </row>
    <row r="127" spans="1:1" x14ac:dyDescent="0.35">
      <c r="A127"/>
    </row>
    <row r="128" spans="1:1" x14ac:dyDescent="0.35">
      <c r="A128"/>
    </row>
    <row r="129" spans="1:1" x14ac:dyDescent="0.35">
      <c r="A129"/>
    </row>
    <row r="130" spans="1:1" x14ac:dyDescent="0.35">
      <c r="A130"/>
    </row>
    <row r="131" spans="1:1" x14ac:dyDescent="0.35">
      <c r="A131"/>
    </row>
    <row r="132" spans="1:1" x14ac:dyDescent="0.35">
      <c r="A132"/>
    </row>
    <row r="133" spans="1:1" x14ac:dyDescent="0.35">
      <c r="A133"/>
    </row>
    <row r="134" spans="1:1" x14ac:dyDescent="0.35">
      <c r="A134"/>
    </row>
    <row r="135" spans="1:1" x14ac:dyDescent="0.35">
      <c r="A135"/>
    </row>
    <row r="136" spans="1:1" x14ac:dyDescent="0.35">
      <c r="A136"/>
    </row>
    <row r="137" spans="1:1" x14ac:dyDescent="0.35">
      <c r="A137"/>
    </row>
    <row r="138" spans="1:1" x14ac:dyDescent="0.35">
      <c r="A138"/>
    </row>
    <row r="139" spans="1:1" x14ac:dyDescent="0.35">
      <c r="A139"/>
    </row>
    <row r="140" spans="1:1" x14ac:dyDescent="0.35">
      <c r="A140"/>
    </row>
    <row r="141" spans="1:1" x14ac:dyDescent="0.35">
      <c r="A141"/>
    </row>
    <row r="142" spans="1:1" x14ac:dyDescent="0.35">
      <c r="A142"/>
    </row>
    <row r="143" spans="1:1" x14ac:dyDescent="0.35">
      <c r="A143"/>
    </row>
    <row r="144" spans="1:1" x14ac:dyDescent="0.35">
      <c r="A144"/>
    </row>
    <row r="145" spans="1:1" x14ac:dyDescent="0.35">
      <c r="A145"/>
    </row>
    <row r="146" spans="1:1" x14ac:dyDescent="0.35">
      <c r="A146"/>
    </row>
    <row r="147" spans="1:1" x14ac:dyDescent="0.35">
      <c r="A147"/>
    </row>
    <row r="148" spans="1:1" x14ac:dyDescent="0.35">
      <c r="A148"/>
    </row>
    <row r="149" spans="1:1" x14ac:dyDescent="0.35">
      <c r="A149"/>
    </row>
    <row r="150" spans="1:1" x14ac:dyDescent="0.35">
      <c r="A150"/>
    </row>
    <row r="151" spans="1:1" x14ac:dyDescent="0.35">
      <c r="A151"/>
    </row>
    <row r="152" spans="1:1" x14ac:dyDescent="0.35">
      <c r="A152"/>
    </row>
    <row r="153" spans="1:1" x14ac:dyDescent="0.35">
      <c r="A153"/>
    </row>
    <row r="154" spans="1:1" x14ac:dyDescent="0.35">
      <c r="A154"/>
    </row>
    <row r="155" spans="1:1" x14ac:dyDescent="0.35">
      <c r="A155"/>
    </row>
    <row r="156" spans="1:1" x14ac:dyDescent="0.35">
      <c r="A156"/>
    </row>
    <row r="157" spans="1:1" x14ac:dyDescent="0.35">
      <c r="A157"/>
    </row>
    <row r="158" spans="1:1" x14ac:dyDescent="0.35">
      <c r="A158"/>
    </row>
    <row r="159" spans="1:1" x14ac:dyDescent="0.35">
      <c r="A159"/>
    </row>
    <row r="160" spans="1:1"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row r="188" spans="1:1" x14ac:dyDescent="0.35">
      <c r="A188"/>
    </row>
    <row r="189" spans="1:1" x14ac:dyDescent="0.35">
      <c r="A189"/>
    </row>
    <row r="190" spans="1:1" x14ac:dyDescent="0.35">
      <c r="A190"/>
    </row>
    <row r="191" spans="1:1" x14ac:dyDescent="0.35">
      <c r="A191"/>
    </row>
    <row r="192" spans="1:1" x14ac:dyDescent="0.35">
      <c r="A192"/>
    </row>
    <row r="193" spans="1:1" x14ac:dyDescent="0.35">
      <c r="A193"/>
    </row>
    <row r="194" spans="1:1" x14ac:dyDescent="0.35">
      <c r="A194"/>
    </row>
    <row r="195" spans="1:1" x14ac:dyDescent="0.35">
      <c r="A195"/>
    </row>
    <row r="196" spans="1:1" x14ac:dyDescent="0.35">
      <c r="A196"/>
    </row>
    <row r="197" spans="1:1" x14ac:dyDescent="0.35">
      <c r="A197"/>
    </row>
    <row r="198" spans="1:1" x14ac:dyDescent="0.35">
      <c r="A198"/>
    </row>
    <row r="199" spans="1:1" x14ac:dyDescent="0.35">
      <c r="A199"/>
    </row>
    <row r="200" spans="1:1" x14ac:dyDescent="0.35">
      <c r="A200"/>
    </row>
    <row r="201" spans="1:1" x14ac:dyDescent="0.35">
      <c r="A201"/>
    </row>
    <row r="202" spans="1:1" x14ac:dyDescent="0.35">
      <c r="A202"/>
    </row>
    <row r="203" spans="1:1" x14ac:dyDescent="0.35">
      <c r="A203"/>
    </row>
    <row r="204" spans="1:1" x14ac:dyDescent="0.35">
      <c r="A204"/>
    </row>
    <row r="205" spans="1:1" x14ac:dyDescent="0.35">
      <c r="A205"/>
    </row>
    <row r="206" spans="1:1" x14ac:dyDescent="0.35">
      <c r="A206"/>
    </row>
    <row r="207" spans="1:1" x14ac:dyDescent="0.35">
      <c r="A207"/>
    </row>
    <row r="208" spans="1:1" x14ac:dyDescent="0.35">
      <c r="A208"/>
    </row>
    <row r="209" spans="1:1" x14ac:dyDescent="0.35">
      <c r="A209"/>
    </row>
    <row r="210" spans="1:1" x14ac:dyDescent="0.35">
      <c r="A210"/>
    </row>
    <row r="211" spans="1:1" x14ac:dyDescent="0.35">
      <c r="A211"/>
    </row>
    <row r="212" spans="1:1" x14ac:dyDescent="0.35">
      <c r="A212"/>
    </row>
    <row r="213" spans="1:1" x14ac:dyDescent="0.35">
      <c r="A213"/>
    </row>
    <row r="214" spans="1:1" x14ac:dyDescent="0.35">
      <c r="A214"/>
    </row>
    <row r="215" spans="1:1" x14ac:dyDescent="0.35">
      <c r="A215"/>
    </row>
    <row r="216" spans="1:1" x14ac:dyDescent="0.35">
      <c r="A216"/>
    </row>
    <row r="217" spans="1:1" x14ac:dyDescent="0.35">
      <c r="A217"/>
    </row>
    <row r="218" spans="1:1" x14ac:dyDescent="0.35">
      <c r="A218"/>
    </row>
    <row r="219" spans="1:1" x14ac:dyDescent="0.35">
      <c r="A219"/>
    </row>
    <row r="220" spans="1:1" x14ac:dyDescent="0.35">
      <c r="A220"/>
    </row>
    <row r="221" spans="1:1" x14ac:dyDescent="0.35">
      <c r="A221"/>
    </row>
    <row r="222" spans="1:1" x14ac:dyDescent="0.35">
      <c r="A222"/>
    </row>
    <row r="223" spans="1:1" x14ac:dyDescent="0.35">
      <c r="A223"/>
    </row>
    <row r="224" spans="1:1" x14ac:dyDescent="0.35">
      <c r="A224"/>
    </row>
    <row r="225" spans="1:1" x14ac:dyDescent="0.35">
      <c r="A225"/>
    </row>
    <row r="226" spans="1:1" x14ac:dyDescent="0.35">
      <c r="A226"/>
    </row>
    <row r="227" spans="1:1" x14ac:dyDescent="0.35">
      <c r="A227"/>
    </row>
    <row r="228" spans="1:1" x14ac:dyDescent="0.35">
      <c r="A228"/>
    </row>
    <row r="229" spans="1:1" x14ac:dyDescent="0.35">
      <c r="A229"/>
    </row>
    <row r="230" spans="1:1" x14ac:dyDescent="0.35">
      <c r="A230"/>
    </row>
    <row r="231" spans="1:1" x14ac:dyDescent="0.35">
      <c r="A231"/>
    </row>
    <row r="232" spans="1:1" x14ac:dyDescent="0.35">
      <c r="A232"/>
    </row>
    <row r="233" spans="1:1" x14ac:dyDescent="0.35">
      <c r="A233"/>
    </row>
    <row r="234" spans="1:1" x14ac:dyDescent="0.35">
      <c r="A234"/>
    </row>
    <row r="235" spans="1:1" x14ac:dyDescent="0.35">
      <c r="A235"/>
    </row>
    <row r="236" spans="1:1" x14ac:dyDescent="0.35">
      <c r="A236"/>
    </row>
    <row r="237" spans="1:1" x14ac:dyDescent="0.35">
      <c r="A237"/>
    </row>
    <row r="238" spans="1:1" x14ac:dyDescent="0.35">
      <c r="A238"/>
    </row>
    <row r="239" spans="1:1" x14ac:dyDescent="0.35">
      <c r="A239"/>
    </row>
    <row r="240" spans="1:1" x14ac:dyDescent="0.35">
      <c r="A240"/>
    </row>
    <row r="241" spans="1:1" x14ac:dyDescent="0.35">
      <c r="A241"/>
    </row>
    <row r="242" spans="1:1" x14ac:dyDescent="0.35">
      <c r="A242"/>
    </row>
    <row r="243" spans="1:1" x14ac:dyDescent="0.35">
      <c r="A243"/>
    </row>
    <row r="244" spans="1:1" x14ac:dyDescent="0.35">
      <c r="A244"/>
    </row>
    <row r="245" spans="1:1" x14ac:dyDescent="0.35">
      <c r="A245"/>
    </row>
    <row r="246" spans="1:1" x14ac:dyDescent="0.35">
      <c r="A246"/>
    </row>
    <row r="247" spans="1:1" x14ac:dyDescent="0.35">
      <c r="A247"/>
    </row>
    <row r="248" spans="1:1" x14ac:dyDescent="0.35">
      <c r="A248"/>
    </row>
    <row r="249" spans="1:1" x14ac:dyDescent="0.35">
      <c r="A249"/>
    </row>
    <row r="250" spans="1:1" x14ac:dyDescent="0.35">
      <c r="A250"/>
    </row>
    <row r="251" spans="1:1" x14ac:dyDescent="0.35">
      <c r="A251"/>
    </row>
    <row r="252" spans="1:1" x14ac:dyDescent="0.35">
      <c r="A252"/>
    </row>
    <row r="253" spans="1:1" x14ac:dyDescent="0.35">
      <c r="A253"/>
    </row>
    <row r="254" spans="1:1" x14ac:dyDescent="0.35">
      <c r="A254"/>
    </row>
    <row r="255" spans="1:1" x14ac:dyDescent="0.35">
      <c r="A255"/>
    </row>
    <row r="256" spans="1:1" x14ac:dyDescent="0.35">
      <c r="A256"/>
    </row>
    <row r="257" spans="1:1" x14ac:dyDescent="0.35">
      <c r="A257"/>
    </row>
    <row r="258" spans="1:1" x14ac:dyDescent="0.35">
      <c r="A258"/>
    </row>
    <row r="259" spans="1:1" x14ac:dyDescent="0.35">
      <c r="A259"/>
    </row>
    <row r="260" spans="1:1" x14ac:dyDescent="0.35">
      <c r="A260"/>
    </row>
    <row r="261" spans="1:1" x14ac:dyDescent="0.35">
      <c r="A261"/>
    </row>
    <row r="262" spans="1:1" x14ac:dyDescent="0.35">
      <c r="A262"/>
    </row>
    <row r="263" spans="1:1" x14ac:dyDescent="0.35">
      <c r="A263"/>
    </row>
    <row r="264" spans="1:1" x14ac:dyDescent="0.35">
      <c r="A264"/>
    </row>
    <row r="265" spans="1:1" x14ac:dyDescent="0.35">
      <c r="A265"/>
    </row>
    <row r="266" spans="1:1" x14ac:dyDescent="0.35">
      <c r="A266"/>
    </row>
    <row r="267" spans="1:1" x14ac:dyDescent="0.35">
      <c r="A267"/>
    </row>
    <row r="268" spans="1:1" x14ac:dyDescent="0.35">
      <c r="A268"/>
    </row>
    <row r="269" spans="1:1" x14ac:dyDescent="0.35">
      <c r="A269"/>
    </row>
    <row r="270" spans="1:1" x14ac:dyDescent="0.35">
      <c r="A270"/>
    </row>
    <row r="271" spans="1:1" x14ac:dyDescent="0.35">
      <c r="A271"/>
    </row>
    <row r="272" spans="1:1" x14ac:dyDescent="0.35">
      <c r="A272"/>
    </row>
    <row r="273" spans="1:1" x14ac:dyDescent="0.35">
      <c r="A273"/>
    </row>
    <row r="274" spans="1:1" x14ac:dyDescent="0.35">
      <c r="A274"/>
    </row>
    <row r="275" spans="1:1" x14ac:dyDescent="0.35">
      <c r="A275"/>
    </row>
    <row r="276" spans="1:1" x14ac:dyDescent="0.35">
      <c r="A276"/>
    </row>
    <row r="277" spans="1:1" x14ac:dyDescent="0.35">
      <c r="A277"/>
    </row>
    <row r="278" spans="1:1" x14ac:dyDescent="0.35">
      <c r="A278"/>
    </row>
    <row r="279" spans="1:1" x14ac:dyDescent="0.35">
      <c r="A279"/>
    </row>
    <row r="280" spans="1:1" x14ac:dyDescent="0.35">
      <c r="A280"/>
    </row>
    <row r="281" spans="1:1" x14ac:dyDescent="0.35">
      <c r="A281"/>
    </row>
    <row r="282" spans="1:1" x14ac:dyDescent="0.35">
      <c r="A282"/>
    </row>
    <row r="283" spans="1:1" x14ac:dyDescent="0.35">
      <c r="A283"/>
    </row>
    <row r="284" spans="1:1" x14ac:dyDescent="0.35">
      <c r="A284"/>
    </row>
    <row r="285" spans="1:1" x14ac:dyDescent="0.35">
      <c r="A285"/>
    </row>
    <row r="286" spans="1:1" x14ac:dyDescent="0.35">
      <c r="A286"/>
    </row>
    <row r="287" spans="1:1" x14ac:dyDescent="0.35">
      <c r="A287"/>
    </row>
    <row r="288" spans="1:1" x14ac:dyDescent="0.35">
      <c r="A288"/>
    </row>
    <row r="289" spans="1:1" x14ac:dyDescent="0.35">
      <c r="A289"/>
    </row>
    <row r="290" spans="1:1" x14ac:dyDescent="0.35">
      <c r="A290"/>
    </row>
    <row r="291" spans="1:1" x14ac:dyDescent="0.35">
      <c r="A291"/>
    </row>
    <row r="292" spans="1:1" x14ac:dyDescent="0.35">
      <c r="A292"/>
    </row>
    <row r="293" spans="1:1" x14ac:dyDescent="0.35">
      <c r="A293"/>
    </row>
    <row r="294" spans="1:1" x14ac:dyDescent="0.35">
      <c r="A294"/>
    </row>
    <row r="295" spans="1:1" x14ac:dyDescent="0.35">
      <c r="A295"/>
    </row>
    <row r="296" spans="1:1" x14ac:dyDescent="0.35">
      <c r="A296"/>
    </row>
    <row r="297" spans="1:1" x14ac:dyDescent="0.35">
      <c r="A297"/>
    </row>
    <row r="298" spans="1:1" x14ac:dyDescent="0.35">
      <c r="A298"/>
    </row>
    <row r="299" spans="1:1" x14ac:dyDescent="0.35">
      <c r="A299"/>
    </row>
    <row r="300" spans="1:1" x14ac:dyDescent="0.35">
      <c r="A300"/>
    </row>
    <row r="301" spans="1:1" x14ac:dyDescent="0.35">
      <c r="A301"/>
    </row>
    <row r="302" spans="1:1" x14ac:dyDescent="0.35">
      <c r="A302"/>
    </row>
    <row r="303" spans="1:1" x14ac:dyDescent="0.35">
      <c r="A303"/>
    </row>
    <row r="304" spans="1:1" x14ac:dyDescent="0.35">
      <c r="A304"/>
    </row>
    <row r="305" spans="1:1" x14ac:dyDescent="0.35">
      <c r="A305"/>
    </row>
    <row r="306" spans="1:1" x14ac:dyDescent="0.35">
      <c r="A306"/>
    </row>
    <row r="307" spans="1:1" x14ac:dyDescent="0.35">
      <c r="A307"/>
    </row>
    <row r="308" spans="1:1" x14ac:dyDescent="0.35">
      <c r="A308"/>
    </row>
    <row r="309" spans="1:1" x14ac:dyDescent="0.35">
      <c r="A309"/>
    </row>
    <row r="310" spans="1:1" x14ac:dyDescent="0.35">
      <c r="A310"/>
    </row>
    <row r="311" spans="1:1" x14ac:dyDescent="0.35">
      <c r="A311"/>
    </row>
    <row r="312" spans="1:1" x14ac:dyDescent="0.35">
      <c r="A312"/>
    </row>
    <row r="313" spans="1:1" x14ac:dyDescent="0.35">
      <c r="A313"/>
    </row>
    <row r="314" spans="1:1" x14ac:dyDescent="0.35">
      <c r="A314"/>
    </row>
    <row r="315" spans="1:1" x14ac:dyDescent="0.35">
      <c r="A315"/>
    </row>
    <row r="316" spans="1:1" x14ac:dyDescent="0.35">
      <c r="A316"/>
    </row>
    <row r="317" spans="1:1" x14ac:dyDescent="0.35">
      <c r="A317"/>
    </row>
    <row r="318" spans="1:1" x14ac:dyDescent="0.35">
      <c r="A318"/>
    </row>
    <row r="319" spans="1:1" x14ac:dyDescent="0.35">
      <c r="A319"/>
    </row>
    <row r="320" spans="1:1" x14ac:dyDescent="0.35">
      <c r="A320"/>
    </row>
    <row r="321" spans="1:1" x14ac:dyDescent="0.35">
      <c r="A321"/>
    </row>
    <row r="322" spans="1:1" x14ac:dyDescent="0.35">
      <c r="A322"/>
    </row>
    <row r="323" spans="1:1" x14ac:dyDescent="0.35">
      <c r="A323"/>
    </row>
    <row r="324" spans="1:1" x14ac:dyDescent="0.35">
      <c r="A324"/>
    </row>
    <row r="325" spans="1:1" x14ac:dyDescent="0.35">
      <c r="A325"/>
    </row>
    <row r="326" spans="1:1" x14ac:dyDescent="0.35">
      <c r="A326"/>
    </row>
    <row r="327" spans="1:1" x14ac:dyDescent="0.35">
      <c r="A327"/>
    </row>
    <row r="328" spans="1:1" x14ac:dyDescent="0.35">
      <c r="A328"/>
    </row>
    <row r="329" spans="1:1" x14ac:dyDescent="0.35">
      <c r="A329"/>
    </row>
    <row r="330" spans="1:1" x14ac:dyDescent="0.35">
      <c r="A330"/>
    </row>
    <row r="331" spans="1:1" x14ac:dyDescent="0.35">
      <c r="A331"/>
    </row>
    <row r="332" spans="1:1" x14ac:dyDescent="0.35">
      <c r="A332"/>
    </row>
    <row r="333" spans="1:1" x14ac:dyDescent="0.35">
      <c r="A333"/>
    </row>
    <row r="334" spans="1:1" x14ac:dyDescent="0.35">
      <c r="A334"/>
    </row>
    <row r="335" spans="1:1" x14ac:dyDescent="0.35">
      <c r="A335"/>
    </row>
    <row r="336" spans="1:1" x14ac:dyDescent="0.35">
      <c r="A336"/>
    </row>
    <row r="337" spans="1:1" x14ac:dyDescent="0.35">
      <c r="A337"/>
    </row>
    <row r="338" spans="1:1" x14ac:dyDescent="0.35">
      <c r="A338"/>
    </row>
    <row r="339" spans="1:1" x14ac:dyDescent="0.35">
      <c r="A339"/>
    </row>
    <row r="340" spans="1:1" x14ac:dyDescent="0.35">
      <c r="A340"/>
    </row>
    <row r="341" spans="1:1" x14ac:dyDescent="0.35">
      <c r="A341"/>
    </row>
    <row r="342" spans="1:1" x14ac:dyDescent="0.35">
      <c r="A342"/>
    </row>
    <row r="343" spans="1:1" x14ac:dyDescent="0.35">
      <c r="A343"/>
    </row>
    <row r="344" spans="1:1" x14ac:dyDescent="0.35">
      <c r="A344"/>
    </row>
    <row r="345" spans="1:1" x14ac:dyDescent="0.35">
      <c r="A345"/>
    </row>
    <row r="346" spans="1:1" x14ac:dyDescent="0.35">
      <c r="A346"/>
    </row>
    <row r="347" spans="1:1" x14ac:dyDescent="0.35">
      <c r="A347"/>
    </row>
    <row r="348" spans="1:1" x14ac:dyDescent="0.35">
      <c r="A348"/>
    </row>
    <row r="349" spans="1:1" x14ac:dyDescent="0.35">
      <c r="A349"/>
    </row>
    <row r="350" spans="1:1" x14ac:dyDescent="0.35">
      <c r="A350"/>
    </row>
    <row r="351" spans="1:1" x14ac:dyDescent="0.35">
      <c r="A351"/>
    </row>
    <row r="352" spans="1:1" x14ac:dyDescent="0.35">
      <c r="A352"/>
    </row>
    <row r="353" spans="1:1" x14ac:dyDescent="0.35">
      <c r="A353"/>
    </row>
    <row r="354" spans="1:1" x14ac:dyDescent="0.35">
      <c r="A354"/>
    </row>
    <row r="355" spans="1:1" x14ac:dyDescent="0.35">
      <c r="A355"/>
    </row>
    <row r="356" spans="1:1" x14ac:dyDescent="0.35">
      <c r="A356"/>
    </row>
    <row r="357" spans="1:1" x14ac:dyDescent="0.35">
      <c r="A357"/>
    </row>
    <row r="358" spans="1:1" x14ac:dyDescent="0.35">
      <c r="A358"/>
    </row>
    <row r="359" spans="1:1" x14ac:dyDescent="0.35">
      <c r="A359"/>
    </row>
    <row r="360" spans="1:1" x14ac:dyDescent="0.35">
      <c r="A360"/>
    </row>
    <row r="361" spans="1:1" x14ac:dyDescent="0.35">
      <c r="A361"/>
    </row>
    <row r="362" spans="1:1" x14ac:dyDescent="0.35">
      <c r="A362"/>
    </row>
    <row r="363" spans="1:1" x14ac:dyDescent="0.35">
      <c r="A363"/>
    </row>
    <row r="364" spans="1:1" x14ac:dyDescent="0.35">
      <c r="A364"/>
    </row>
    <row r="365" spans="1:1" x14ac:dyDescent="0.35">
      <c r="A365"/>
    </row>
    <row r="366" spans="1:1" x14ac:dyDescent="0.35">
      <c r="A366"/>
    </row>
    <row r="367" spans="1:1" x14ac:dyDescent="0.35">
      <c r="A367"/>
    </row>
    <row r="368" spans="1:1" x14ac:dyDescent="0.35">
      <c r="A368"/>
    </row>
    <row r="369" spans="1:1" x14ac:dyDescent="0.35">
      <c r="A369"/>
    </row>
    <row r="370" spans="1:1" x14ac:dyDescent="0.35">
      <c r="A370"/>
    </row>
    <row r="371" spans="1:1" x14ac:dyDescent="0.35">
      <c r="A371"/>
    </row>
    <row r="372" spans="1:1" x14ac:dyDescent="0.35">
      <c r="A372"/>
    </row>
    <row r="373" spans="1:1" x14ac:dyDescent="0.35">
      <c r="A373"/>
    </row>
    <row r="374" spans="1:1" x14ac:dyDescent="0.35">
      <c r="A374"/>
    </row>
    <row r="375" spans="1:1" x14ac:dyDescent="0.35">
      <c r="A375"/>
    </row>
    <row r="376" spans="1:1" x14ac:dyDescent="0.35">
      <c r="A376"/>
    </row>
    <row r="377" spans="1:1" x14ac:dyDescent="0.35">
      <c r="A377"/>
    </row>
    <row r="378" spans="1:1" x14ac:dyDescent="0.35">
      <c r="A378"/>
    </row>
    <row r="379" spans="1:1" x14ac:dyDescent="0.35">
      <c r="A379"/>
    </row>
    <row r="380" spans="1:1" x14ac:dyDescent="0.35">
      <c r="A380"/>
    </row>
    <row r="381" spans="1:1" x14ac:dyDescent="0.35">
      <c r="A381"/>
    </row>
    <row r="382" spans="1:1" x14ac:dyDescent="0.35">
      <c r="A382"/>
    </row>
    <row r="383" spans="1:1" x14ac:dyDescent="0.35">
      <c r="A383"/>
    </row>
    <row r="384" spans="1:1" x14ac:dyDescent="0.35">
      <c r="A384"/>
    </row>
    <row r="385" spans="1:1" x14ac:dyDescent="0.35">
      <c r="A385"/>
    </row>
    <row r="386" spans="1:1" x14ac:dyDescent="0.35">
      <c r="A386"/>
    </row>
    <row r="387" spans="1:1" x14ac:dyDescent="0.35">
      <c r="A387"/>
    </row>
    <row r="388" spans="1:1" x14ac:dyDescent="0.35">
      <c r="A388"/>
    </row>
    <row r="389" spans="1:1" x14ac:dyDescent="0.35">
      <c r="A389"/>
    </row>
    <row r="390" spans="1:1" x14ac:dyDescent="0.35">
      <c r="A390"/>
    </row>
    <row r="391" spans="1:1" x14ac:dyDescent="0.35">
      <c r="A391"/>
    </row>
    <row r="392" spans="1:1" x14ac:dyDescent="0.35">
      <c r="A392"/>
    </row>
    <row r="393" spans="1:1" x14ac:dyDescent="0.35">
      <c r="A393"/>
    </row>
    <row r="394" spans="1:1" x14ac:dyDescent="0.35">
      <c r="A394"/>
    </row>
    <row r="395" spans="1:1" x14ac:dyDescent="0.35">
      <c r="A395"/>
    </row>
    <row r="396" spans="1:1" x14ac:dyDescent="0.35">
      <c r="A396"/>
    </row>
    <row r="397" spans="1:1" x14ac:dyDescent="0.35">
      <c r="A397"/>
    </row>
    <row r="398" spans="1:1" x14ac:dyDescent="0.35">
      <c r="A398"/>
    </row>
    <row r="399" spans="1:1" x14ac:dyDescent="0.35">
      <c r="A399"/>
    </row>
    <row r="400" spans="1:1" x14ac:dyDescent="0.35">
      <c r="A400"/>
    </row>
    <row r="401" spans="1:1" x14ac:dyDescent="0.35">
      <c r="A401"/>
    </row>
    <row r="402" spans="1:1" x14ac:dyDescent="0.35">
      <c r="A402"/>
    </row>
    <row r="403" spans="1:1" x14ac:dyDescent="0.35">
      <c r="A403"/>
    </row>
    <row r="404" spans="1:1" x14ac:dyDescent="0.35">
      <c r="A404"/>
    </row>
    <row r="405" spans="1:1" x14ac:dyDescent="0.35">
      <c r="A405"/>
    </row>
    <row r="406" spans="1:1" x14ac:dyDescent="0.35">
      <c r="A406"/>
    </row>
    <row r="407" spans="1:1" x14ac:dyDescent="0.35">
      <c r="A407"/>
    </row>
    <row r="408" spans="1:1" x14ac:dyDescent="0.35">
      <c r="A408"/>
    </row>
    <row r="409" spans="1:1" x14ac:dyDescent="0.35">
      <c r="A409"/>
    </row>
    <row r="410" spans="1:1" x14ac:dyDescent="0.35">
      <c r="A410"/>
    </row>
    <row r="411" spans="1:1" x14ac:dyDescent="0.35">
      <c r="A411"/>
    </row>
    <row r="412" spans="1:1" x14ac:dyDescent="0.35">
      <c r="A412"/>
    </row>
    <row r="413" spans="1:1" x14ac:dyDescent="0.35">
      <c r="A413"/>
    </row>
    <row r="414" spans="1:1" x14ac:dyDescent="0.35">
      <c r="A414"/>
    </row>
    <row r="415" spans="1:1" x14ac:dyDescent="0.35">
      <c r="A415"/>
    </row>
    <row r="416" spans="1:1" x14ac:dyDescent="0.35">
      <c r="A416"/>
    </row>
    <row r="417" spans="1:1" x14ac:dyDescent="0.35">
      <c r="A417"/>
    </row>
    <row r="418" spans="1:1" x14ac:dyDescent="0.35">
      <c r="A418"/>
    </row>
    <row r="419" spans="1:1" x14ac:dyDescent="0.35">
      <c r="A419"/>
    </row>
    <row r="420" spans="1:1" x14ac:dyDescent="0.35">
      <c r="A420"/>
    </row>
    <row r="421" spans="1:1" x14ac:dyDescent="0.35">
      <c r="A421"/>
    </row>
    <row r="422" spans="1:1" x14ac:dyDescent="0.35">
      <c r="A422"/>
    </row>
    <row r="423" spans="1:1" x14ac:dyDescent="0.35">
      <c r="A423"/>
    </row>
    <row r="424" spans="1:1" x14ac:dyDescent="0.35">
      <c r="A424"/>
    </row>
    <row r="425" spans="1:1" x14ac:dyDescent="0.35">
      <c r="A425"/>
    </row>
    <row r="426" spans="1:1" x14ac:dyDescent="0.35">
      <c r="A426"/>
    </row>
    <row r="427" spans="1:1" x14ac:dyDescent="0.35">
      <c r="A427"/>
    </row>
    <row r="428" spans="1:1" x14ac:dyDescent="0.35">
      <c r="A428"/>
    </row>
    <row r="429" spans="1:1" x14ac:dyDescent="0.35">
      <c r="A429"/>
    </row>
    <row r="430" spans="1:1" x14ac:dyDescent="0.35">
      <c r="A430"/>
    </row>
    <row r="431" spans="1:1" x14ac:dyDescent="0.35">
      <c r="A431"/>
    </row>
    <row r="432" spans="1:1" x14ac:dyDescent="0.35">
      <c r="A432"/>
    </row>
    <row r="433" spans="1:1" x14ac:dyDescent="0.35">
      <c r="A433"/>
    </row>
    <row r="434" spans="1:1" x14ac:dyDescent="0.35">
      <c r="A434"/>
    </row>
    <row r="435" spans="1:1" x14ac:dyDescent="0.35">
      <c r="A435"/>
    </row>
    <row r="436" spans="1:1" x14ac:dyDescent="0.35">
      <c r="A436"/>
    </row>
    <row r="437" spans="1:1" x14ac:dyDescent="0.35">
      <c r="A437"/>
    </row>
    <row r="438" spans="1:1" x14ac:dyDescent="0.35">
      <c r="A438"/>
    </row>
    <row r="439" spans="1:1" x14ac:dyDescent="0.35">
      <c r="A439"/>
    </row>
    <row r="440" spans="1:1" x14ac:dyDescent="0.35">
      <c r="A440"/>
    </row>
    <row r="441" spans="1:1" x14ac:dyDescent="0.35">
      <c r="A441"/>
    </row>
    <row r="442" spans="1:1" x14ac:dyDescent="0.35">
      <c r="A442"/>
    </row>
    <row r="443" spans="1:1" x14ac:dyDescent="0.35">
      <c r="A443"/>
    </row>
    <row r="444" spans="1:1" x14ac:dyDescent="0.35">
      <c r="A444"/>
    </row>
    <row r="445" spans="1:1" x14ac:dyDescent="0.35">
      <c r="A445"/>
    </row>
    <row r="446" spans="1:1" x14ac:dyDescent="0.35">
      <c r="A446"/>
    </row>
    <row r="447" spans="1:1" x14ac:dyDescent="0.35">
      <c r="A447"/>
    </row>
    <row r="448" spans="1:1" x14ac:dyDescent="0.35">
      <c r="A448"/>
    </row>
    <row r="449" spans="1:1" x14ac:dyDescent="0.35">
      <c r="A449"/>
    </row>
    <row r="450" spans="1:1" x14ac:dyDescent="0.35">
      <c r="A450"/>
    </row>
    <row r="451" spans="1:1" x14ac:dyDescent="0.35">
      <c r="A451"/>
    </row>
    <row r="452" spans="1:1" x14ac:dyDescent="0.35">
      <c r="A452"/>
    </row>
    <row r="453" spans="1:1" x14ac:dyDescent="0.35">
      <c r="A453"/>
    </row>
    <row r="454" spans="1:1" x14ac:dyDescent="0.35">
      <c r="A454"/>
    </row>
    <row r="455" spans="1:1" x14ac:dyDescent="0.35">
      <c r="A455"/>
    </row>
    <row r="456" spans="1:1" x14ac:dyDescent="0.35">
      <c r="A456"/>
    </row>
    <row r="457" spans="1:1" x14ac:dyDescent="0.35">
      <c r="A457"/>
    </row>
    <row r="458" spans="1:1" x14ac:dyDescent="0.35">
      <c r="A458"/>
    </row>
    <row r="459" spans="1:1" x14ac:dyDescent="0.35">
      <c r="A459"/>
    </row>
    <row r="460" spans="1:1" x14ac:dyDescent="0.35">
      <c r="A460"/>
    </row>
    <row r="461" spans="1:1" x14ac:dyDescent="0.35">
      <c r="A461"/>
    </row>
    <row r="462" spans="1:1" x14ac:dyDescent="0.35">
      <c r="A462"/>
    </row>
    <row r="463" spans="1:1" x14ac:dyDescent="0.35">
      <c r="A463"/>
    </row>
    <row r="464" spans="1:1" x14ac:dyDescent="0.35">
      <c r="A464"/>
    </row>
    <row r="465" spans="1:1" x14ac:dyDescent="0.35">
      <c r="A465"/>
    </row>
    <row r="466" spans="1:1" x14ac:dyDescent="0.35">
      <c r="A466"/>
    </row>
    <row r="467" spans="1:1" x14ac:dyDescent="0.35">
      <c r="A467"/>
    </row>
    <row r="468" spans="1:1" x14ac:dyDescent="0.35">
      <c r="A468"/>
    </row>
    <row r="469" spans="1:1" x14ac:dyDescent="0.35">
      <c r="A469"/>
    </row>
    <row r="470" spans="1:1" x14ac:dyDescent="0.35">
      <c r="A470"/>
    </row>
    <row r="471" spans="1:1" x14ac:dyDescent="0.35">
      <c r="A471"/>
    </row>
    <row r="472" spans="1:1" x14ac:dyDescent="0.35">
      <c r="A472"/>
    </row>
    <row r="473" spans="1:1" x14ac:dyDescent="0.35">
      <c r="A473"/>
    </row>
    <row r="474" spans="1:1" x14ac:dyDescent="0.35">
      <c r="A474"/>
    </row>
    <row r="475" spans="1:1" x14ac:dyDescent="0.35">
      <c r="A475"/>
    </row>
    <row r="476" spans="1:1" x14ac:dyDescent="0.35">
      <c r="A476"/>
    </row>
    <row r="477" spans="1:1" x14ac:dyDescent="0.35">
      <c r="A477"/>
    </row>
    <row r="478" spans="1:1" x14ac:dyDescent="0.35">
      <c r="A478"/>
    </row>
    <row r="479" spans="1:1" x14ac:dyDescent="0.35">
      <c r="A479"/>
    </row>
    <row r="480" spans="1:1" x14ac:dyDescent="0.35">
      <c r="A480"/>
    </row>
    <row r="481" spans="1:1" x14ac:dyDescent="0.35">
      <c r="A481"/>
    </row>
    <row r="482" spans="1:1" x14ac:dyDescent="0.35">
      <c r="A482"/>
    </row>
    <row r="483" spans="1:1" x14ac:dyDescent="0.35">
      <c r="A483"/>
    </row>
    <row r="484" spans="1:1" x14ac:dyDescent="0.35">
      <c r="A484"/>
    </row>
    <row r="485" spans="1:1" x14ac:dyDescent="0.35">
      <c r="A485"/>
    </row>
    <row r="486" spans="1:1" x14ac:dyDescent="0.35">
      <c r="A486"/>
    </row>
    <row r="487" spans="1:1" x14ac:dyDescent="0.35">
      <c r="A487"/>
    </row>
    <row r="488" spans="1:1" x14ac:dyDescent="0.35">
      <c r="A488"/>
    </row>
    <row r="489" spans="1:1" x14ac:dyDescent="0.35">
      <c r="A489"/>
    </row>
    <row r="490" spans="1:1" x14ac:dyDescent="0.35">
      <c r="A490"/>
    </row>
    <row r="491" spans="1:1" x14ac:dyDescent="0.35">
      <c r="A491"/>
    </row>
    <row r="492" spans="1:1" x14ac:dyDescent="0.35">
      <c r="A492"/>
    </row>
    <row r="493" spans="1:1" x14ac:dyDescent="0.35">
      <c r="A493"/>
    </row>
    <row r="494" spans="1:1" x14ac:dyDescent="0.35">
      <c r="A494"/>
    </row>
    <row r="495" spans="1:1" x14ac:dyDescent="0.35">
      <c r="A495"/>
    </row>
    <row r="496" spans="1:1" x14ac:dyDescent="0.35">
      <c r="A496"/>
    </row>
    <row r="497" spans="1:1" x14ac:dyDescent="0.35">
      <c r="A497"/>
    </row>
    <row r="498" spans="1:1" x14ac:dyDescent="0.35">
      <c r="A498"/>
    </row>
    <row r="499" spans="1:1" x14ac:dyDescent="0.35">
      <c r="A499"/>
    </row>
    <row r="500" spans="1:1" x14ac:dyDescent="0.35">
      <c r="A500"/>
    </row>
    <row r="501" spans="1:1" x14ac:dyDescent="0.35">
      <c r="A501"/>
    </row>
    <row r="502" spans="1:1" x14ac:dyDescent="0.35">
      <c r="A502"/>
    </row>
    <row r="503" spans="1:1" x14ac:dyDescent="0.35">
      <c r="A503"/>
    </row>
    <row r="504" spans="1:1" x14ac:dyDescent="0.35">
      <c r="A504"/>
    </row>
    <row r="505" spans="1:1" x14ac:dyDescent="0.35">
      <c r="A505"/>
    </row>
    <row r="506" spans="1:1" x14ac:dyDescent="0.35">
      <c r="A506"/>
    </row>
    <row r="507" spans="1:1" x14ac:dyDescent="0.35">
      <c r="A507"/>
    </row>
    <row r="508" spans="1:1" x14ac:dyDescent="0.35">
      <c r="A508"/>
    </row>
    <row r="509" spans="1:1" x14ac:dyDescent="0.35">
      <c r="A509"/>
    </row>
    <row r="510" spans="1:1" x14ac:dyDescent="0.35">
      <c r="A510"/>
    </row>
    <row r="511" spans="1:1" x14ac:dyDescent="0.35">
      <c r="A511"/>
    </row>
    <row r="512" spans="1:1" x14ac:dyDescent="0.35">
      <c r="A512"/>
    </row>
    <row r="513" spans="1:1" x14ac:dyDescent="0.35">
      <c r="A513"/>
    </row>
    <row r="514" spans="1:1" x14ac:dyDescent="0.35">
      <c r="A514"/>
    </row>
    <row r="515" spans="1:1" x14ac:dyDescent="0.35">
      <c r="A515"/>
    </row>
    <row r="516" spans="1:1" x14ac:dyDescent="0.35">
      <c r="A516"/>
    </row>
    <row r="517" spans="1:1" x14ac:dyDescent="0.35">
      <c r="A517"/>
    </row>
    <row r="518" spans="1:1" x14ac:dyDescent="0.35">
      <c r="A518"/>
    </row>
    <row r="519" spans="1:1" x14ac:dyDescent="0.35">
      <c r="A519"/>
    </row>
    <row r="520" spans="1:1" x14ac:dyDescent="0.35">
      <c r="A520"/>
    </row>
    <row r="521" spans="1:1" x14ac:dyDescent="0.35">
      <c r="A521"/>
    </row>
    <row r="522" spans="1:1" x14ac:dyDescent="0.35">
      <c r="A522"/>
    </row>
    <row r="523" spans="1:1" x14ac:dyDescent="0.35">
      <c r="A523"/>
    </row>
    <row r="524" spans="1:1" x14ac:dyDescent="0.35">
      <c r="A524"/>
    </row>
    <row r="525" spans="1:1" x14ac:dyDescent="0.35">
      <c r="A525"/>
    </row>
    <row r="526" spans="1:1" x14ac:dyDescent="0.35">
      <c r="A526"/>
    </row>
    <row r="527" spans="1:1" x14ac:dyDescent="0.35">
      <c r="A527"/>
    </row>
    <row r="528" spans="1:1" x14ac:dyDescent="0.35">
      <c r="A528"/>
    </row>
    <row r="529" spans="1:1" x14ac:dyDescent="0.35">
      <c r="A529"/>
    </row>
    <row r="530" spans="1:1" x14ac:dyDescent="0.35">
      <c r="A530"/>
    </row>
    <row r="531" spans="1:1" x14ac:dyDescent="0.35">
      <c r="A531"/>
    </row>
    <row r="532" spans="1:1" x14ac:dyDescent="0.35">
      <c r="A532"/>
    </row>
    <row r="533" spans="1:1" x14ac:dyDescent="0.35">
      <c r="A533"/>
    </row>
    <row r="534" spans="1:1" x14ac:dyDescent="0.35">
      <c r="A534"/>
    </row>
    <row r="535" spans="1:1" x14ac:dyDescent="0.35">
      <c r="A535"/>
    </row>
    <row r="536" spans="1:1" x14ac:dyDescent="0.35">
      <c r="A536"/>
    </row>
    <row r="537" spans="1:1" x14ac:dyDescent="0.35">
      <c r="A537"/>
    </row>
    <row r="538" spans="1:1" x14ac:dyDescent="0.35">
      <c r="A538"/>
    </row>
    <row r="539" spans="1:1" x14ac:dyDescent="0.35">
      <c r="A539"/>
    </row>
    <row r="540" spans="1:1" x14ac:dyDescent="0.35">
      <c r="A540"/>
    </row>
    <row r="541" spans="1:1" x14ac:dyDescent="0.35">
      <c r="A541"/>
    </row>
    <row r="542" spans="1:1" x14ac:dyDescent="0.35">
      <c r="A542"/>
    </row>
    <row r="543" spans="1:1" x14ac:dyDescent="0.35">
      <c r="A543"/>
    </row>
    <row r="544" spans="1:1" x14ac:dyDescent="0.35">
      <c r="A544"/>
    </row>
    <row r="545" spans="1:1" x14ac:dyDescent="0.35">
      <c r="A545"/>
    </row>
    <row r="546" spans="1:1" x14ac:dyDescent="0.35">
      <c r="A546"/>
    </row>
    <row r="547" spans="1:1" x14ac:dyDescent="0.35">
      <c r="A547"/>
    </row>
    <row r="548" spans="1:1" x14ac:dyDescent="0.35">
      <c r="A548"/>
    </row>
    <row r="549" spans="1:1" x14ac:dyDescent="0.35">
      <c r="A549"/>
    </row>
    <row r="550" spans="1:1" x14ac:dyDescent="0.35">
      <c r="A550"/>
    </row>
    <row r="551" spans="1:1" x14ac:dyDescent="0.35">
      <c r="A551"/>
    </row>
    <row r="552" spans="1:1" x14ac:dyDescent="0.35">
      <c r="A552"/>
    </row>
    <row r="553" spans="1:1" x14ac:dyDescent="0.35">
      <c r="A553"/>
    </row>
    <row r="554" spans="1:1" x14ac:dyDescent="0.35">
      <c r="A554"/>
    </row>
    <row r="555" spans="1:1" x14ac:dyDescent="0.35">
      <c r="A555"/>
    </row>
    <row r="556" spans="1:1" x14ac:dyDescent="0.35">
      <c r="A556"/>
    </row>
    <row r="557" spans="1:1" x14ac:dyDescent="0.35">
      <c r="A557"/>
    </row>
    <row r="558" spans="1:1" x14ac:dyDescent="0.35">
      <c r="A558"/>
    </row>
    <row r="559" spans="1:1" x14ac:dyDescent="0.35">
      <c r="A559"/>
    </row>
    <row r="560" spans="1:1" x14ac:dyDescent="0.35">
      <c r="A560"/>
    </row>
    <row r="561" spans="1:1" x14ac:dyDescent="0.35">
      <c r="A561"/>
    </row>
    <row r="562" spans="1:1" x14ac:dyDescent="0.35">
      <c r="A562"/>
    </row>
    <row r="563" spans="1:1" x14ac:dyDescent="0.35">
      <c r="A563"/>
    </row>
    <row r="564" spans="1:1" x14ac:dyDescent="0.35">
      <c r="A564"/>
    </row>
    <row r="565" spans="1:1" x14ac:dyDescent="0.35">
      <c r="A565"/>
    </row>
    <row r="566" spans="1:1" x14ac:dyDescent="0.35">
      <c r="A566"/>
    </row>
    <row r="567" spans="1:1" x14ac:dyDescent="0.35">
      <c r="A567"/>
    </row>
    <row r="568" spans="1:1" x14ac:dyDescent="0.35">
      <c r="A568"/>
    </row>
    <row r="569" spans="1:1" x14ac:dyDescent="0.35">
      <c r="A569"/>
    </row>
    <row r="570" spans="1:1" x14ac:dyDescent="0.35">
      <c r="A570"/>
    </row>
    <row r="571" spans="1:1" x14ac:dyDescent="0.35">
      <c r="A571"/>
    </row>
    <row r="572" spans="1:1" x14ac:dyDescent="0.35">
      <c r="A572"/>
    </row>
    <row r="573" spans="1:1" x14ac:dyDescent="0.35">
      <c r="A573"/>
    </row>
    <row r="574" spans="1:1" x14ac:dyDescent="0.35">
      <c r="A574"/>
    </row>
    <row r="575" spans="1:1" x14ac:dyDescent="0.35">
      <c r="A575"/>
    </row>
    <row r="576" spans="1:1" x14ac:dyDescent="0.35">
      <c r="A576"/>
    </row>
    <row r="577" spans="1:1" x14ac:dyDescent="0.35">
      <c r="A577"/>
    </row>
    <row r="578" spans="1:1" x14ac:dyDescent="0.35">
      <c r="A578"/>
    </row>
    <row r="579" spans="1:1" x14ac:dyDescent="0.35">
      <c r="A579"/>
    </row>
    <row r="580" spans="1:1" x14ac:dyDescent="0.35">
      <c r="A580"/>
    </row>
    <row r="581" spans="1:1" x14ac:dyDescent="0.35">
      <c r="A581"/>
    </row>
    <row r="582" spans="1:1" x14ac:dyDescent="0.35">
      <c r="A582"/>
    </row>
    <row r="583" spans="1:1" x14ac:dyDescent="0.35">
      <c r="A583"/>
    </row>
    <row r="584" spans="1:1" x14ac:dyDescent="0.35">
      <c r="A584"/>
    </row>
    <row r="585" spans="1:1" x14ac:dyDescent="0.35">
      <c r="A585"/>
    </row>
    <row r="586" spans="1:1" x14ac:dyDescent="0.35">
      <c r="A586"/>
    </row>
    <row r="587" spans="1:1" x14ac:dyDescent="0.35">
      <c r="A587"/>
    </row>
    <row r="588" spans="1:1" x14ac:dyDescent="0.35">
      <c r="A588"/>
    </row>
    <row r="589" spans="1:1" x14ac:dyDescent="0.35">
      <c r="A589"/>
    </row>
    <row r="590" spans="1:1" x14ac:dyDescent="0.35">
      <c r="A590"/>
    </row>
    <row r="591" spans="1:1" x14ac:dyDescent="0.35">
      <c r="A591"/>
    </row>
    <row r="592" spans="1:1" x14ac:dyDescent="0.35">
      <c r="A592"/>
    </row>
    <row r="593" spans="1:1" x14ac:dyDescent="0.35">
      <c r="A593"/>
    </row>
    <row r="594" spans="1:1" x14ac:dyDescent="0.35">
      <c r="A594"/>
    </row>
    <row r="595" spans="1:1" x14ac:dyDescent="0.35">
      <c r="A595"/>
    </row>
    <row r="596" spans="1:1" x14ac:dyDescent="0.35">
      <c r="A596"/>
    </row>
    <row r="597" spans="1:1" x14ac:dyDescent="0.35">
      <c r="A597"/>
    </row>
    <row r="598" spans="1:1" x14ac:dyDescent="0.35">
      <c r="A598"/>
    </row>
    <row r="599" spans="1:1" x14ac:dyDescent="0.35">
      <c r="A599"/>
    </row>
    <row r="600" spans="1:1" x14ac:dyDescent="0.35">
      <c r="A600"/>
    </row>
    <row r="601" spans="1:1" x14ac:dyDescent="0.35">
      <c r="A601"/>
    </row>
    <row r="602" spans="1:1" x14ac:dyDescent="0.35">
      <c r="A602"/>
    </row>
    <row r="603" spans="1:1" x14ac:dyDescent="0.35">
      <c r="A603"/>
    </row>
    <row r="604" spans="1:1" x14ac:dyDescent="0.35">
      <c r="A604"/>
    </row>
    <row r="605" spans="1:1" x14ac:dyDescent="0.35">
      <c r="A605"/>
    </row>
    <row r="606" spans="1:1" x14ac:dyDescent="0.35">
      <c r="A606"/>
    </row>
    <row r="607" spans="1:1" x14ac:dyDescent="0.35">
      <c r="A607"/>
    </row>
    <row r="608" spans="1:1" x14ac:dyDescent="0.35">
      <c r="A608"/>
    </row>
    <row r="609" spans="1:1" x14ac:dyDescent="0.35">
      <c r="A609"/>
    </row>
    <row r="610" spans="1:1" x14ac:dyDescent="0.35">
      <c r="A610"/>
    </row>
    <row r="611" spans="1:1" x14ac:dyDescent="0.35">
      <c r="A611"/>
    </row>
    <row r="612" spans="1:1" x14ac:dyDescent="0.35">
      <c r="A612"/>
    </row>
    <row r="613" spans="1:1" x14ac:dyDescent="0.35">
      <c r="A613"/>
    </row>
    <row r="614" spans="1:1" x14ac:dyDescent="0.35">
      <c r="A614"/>
    </row>
    <row r="615" spans="1:1" x14ac:dyDescent="0.35">
      <c r="A615"/>
    </row>
    <row r="616" spans="1:1" x14ac:dyDescent="0.35">
      <c r="A616"/>
    </row>
    <row r="617" spans="1:1" x14ac:dyDescent="0.35">
      <c r="A617"/>
    </row>
    <row r="618" spans="1:1" x14ac:dyDescent="0.35">
      <c r="A618"/>
    </row>
    <row r="619" spans="1:1" x14ac:dyDescent="0.35">
      <c r="A619"/>
    </row>
    <row r="620" spans="1:1" x14ac:dyDescent="0.35">
      <c r="A620"/>
    </row>
    <row r="621" spans="1:1" x14ac:dyDescent="0.35">
      <c r="A621"/>
    </row>
    <row r="622" spans="1:1" x14ac:dyDescent="0.35">
      <c r="A622"/>
    </row>
    <row r="623" spans="1:1" x14ac:dyDescent="0.35">
      <c r="A623"/>
    </row>
    <row r="624" spans="1:1" x14ac:dyDescent="0.35">
      <c r="A624"/>
    </row>
    <row r="625" spans="1:1" x14ac:dyDescent="0.35">
      <c r="A625"/>
    </row>
    <row r="626" spans="1:1" x14ac:dyDescent="0.35">
      <c r="A626"/>
    </row>
    <row r="627" spans="1:1" x14ac:dyDescent="0.35">
      <c r="A627"/>
    </row>
    <row r="628" spans="1:1" x14ac:dyDescent="0.35">
      <c r="A628"/>
    </row>
    <row r="629" spans="1:1" x14ac:dyDescent="0.35">
      <c r="A629"/>
    </row>
    <row r="630" spans="1:1" x14ac:dyDescent="0.35">
      <c r="A630"/>
    </row>
    <row r="631" spans="1:1" x14ac:dyDescent="0.35">
      <c r="A631"/>
    </row>
    <row r="632" spans="1:1" x14ac:dyDescent="0.35">
      <c r="A632"/>
    </row>
    <row r="633" spans="1:1" x14ac:dyDescent="0.35">
      <c r="A633"/>
    </row>
    <row r="634" spans="1:1" x14ac:dyDescent="0.35">
      <c r="A634"/>
    </row>
    <row r="635" spans="1:1" x14ac:dyDescent="0.35">
      <c r="A635"/>
    </row>
    <row r="636" spans="1:1" x14ac:dyDescent="0.35">
      <c r="A636"/>
    </row>
    <row r="637" spans="1:1" x14ac:dyDescent="0.35">
      <c r="A637"/>
    </row>
    <row r="638" spans="1:1" x14ac:dyDescent="0.35">
      <c r="A638"/>
    </row>
    <row r="639" spans="1:1" x14ac:dyDescent="0.35">
      <c r="A639"/>
    </row>
    <row r="640" spans="1:1" x14ac:dyDescent="0.35">
      <c r="A640"/>
    </row>
    <row r="641" spans="1:1" x14ac:dyDescent="0.35">
      <c r="A641"/>
    </row>
    <row r="642" spans="1:1" x14ac:dyDescent="0.35">
      <c r="A642"/>
    </row>
    <row r="643" spans="1:1" x14ac:dyDescent="0.35">
      <c r="A643"/>
    </row>
    <row r="644" spans="1:1" x14ac:dyDescent="0.35">
      <c r="A644"/>
    </row>
    <row r="645" spans="1:1" x14ac:dyDescent="0.35">
      <c r="A645"/>
    </row>
    <row r="646" spans="1:1" x14ac:dyDescent="0.35">
      <c r="A646"/>
    </row>
    <row r="647" spans="1:1" x14ac:dyDescent="0.35">
      <c r="A647"/>
    </row>
    <row r="648" spans="1:1" x14ac:dyDescent="0.35">
      <c r="A648"/>
    </row>
    <row r="649" spans="1:1" x14ac:dyDescent="0.35">
      <c r="A649"/>
    </row>
    <row r="650" spans="1:1" x14ac:dyDescent="0.35">
      <c r="A650"/>
    </row>
    <row r="651" spans="1:1" x14ac:dyDescent="0.35">
      <c r="A651"/>
    </row>
    <row r="652" spans="1:1" x14ac:dyDescent="0.35">
      <c r="A652"/>
    </row>
    <row r="653" spans="1:1" x14ac:dyDescent="0.35">
      <c r="A653"/>
    </row>
    <row r="654" spans="1:1" x14ac:dyDescent="0.35">
      <c r="A654"/>
    </row>
    <row r="655" spans="1:1" x14ac:dyDescent="0.35">
      <c r="A655"/>
    </row>
    <row r="656" spans="1:1" x14ac:dyDescent="0.35">
      <c r="A656"/>
    </row>
    <row r="657" spans="1:1" x14ac:dyDescent="0.35">
      <c r="A657"/>
    </row>
    <row r="658" spans="1:1" x14ac:dyDescent="0.35">
      <c r="A658"/>
    </row>
    <row r="659" spans="1:1" x14ac:dyDescent="0.35">
      <c r="A659"/>
    </row>
    <row r="660" spans="1:1" x14ac:dyDescent="0.35">
      <c r="A660"/>
    </row>
    <row r="661" spans="1:1" x14ac:dyDescent="0.35">
      <c r="A661"/>
    </row>
    <row r="662" spans="1:1" x14ac:dyDescent="0.35">
      <c r="A662"/>
    </row>
    <row r="663" spans="1:1" x14ac:dyDescent="0.35">
      <c r="A663"/>
    </row>
    <row r="664" spans="1:1" x14ac:dyDescent="0.35">
      <c r="A664"/>
    </row>
    <row r="665" spans="1:1" x14ac:dyDescent="0.35">
      <c r="A665"/>
    </row>
    <row r="666" spans="1:1" x14ac:dyDescent="0.35">
      <c r="A666"/>
    </row>
    <row r="667" spans="1:1" x14ac:dyDescent="0.35">
      <c r="A667"/>
    </row>
    <row r="668" spans="1:1" x14ac:dyDescent="0.35">
      <c r="A668"/>
    </row>
    <row r="669" spans="1:1" x14ac:dyDescent="0.35">
      <c r="A669"/>
    </row>
    <row r="670" spans="1:1" x14ac:dyDescent="0.35">
      <c r="A670"/>
    </row>
    <row r="671" spans="1:1" x14ac:dyDescent="0.35">
      <c r="A671"/>
    </row>
    <row r="672" spans="1:1" x14ac:dyDescent="0.35">
      <c r="A672"/>
    </row>
    <row r="673" spans="1:1" x14ac:dyDescent="0.35">
      <c r="A673"/>
    </row>
    <row r="674" spans="1:1" x14ac:dyDescent="0.35">
      <c r="A674"/>
    </row>
    <row r="675" spans="1:1" x14ac:dyDescent="0.35">
      <c r="A675"/>
    </row>
    <row r="676" spans="1:1" x14ac:dyDescent="0.35">
      <c r="A676"/>
    </row>
    <row r="677" spans="1:1" x14ac:dyDescent="0.35">
      <c r="A677"/>
    </row>
    <row r="678" spans="1:1" x14ac:dyDescent="0.35">
      <c r="A678"/>
    </row>
    <row r="679" spans="1:1" x14ac:dyDescent="0.35">
      <c r="A679"/>
    </row>
    <row r="680" spans="1:1" x14ac:dyDescent="0.35">
      <c r="A680"/>
    </row>
    <row r="681" spans="1:1" x14ac:dyDescent="0.35">
      <c r="A681"/>
    </row>
    <row r="682" spans="1:1" x14ac:dyDescent="0.35">
      <c r="A682"/>
    </row>
    <row r="683" spans="1:1" x14ac:dyDescent="0.35">
      <c r="A683"/>
    </row>
    <row r="684" spans="1:1" x14ac:dyDescent="0.35">
      <c r="A684"/>
    </row>
    <row r="685" spans="1:1" x14ac:dyDescent="0.35">
      <c r="A685"/>
    </row>
    <row r="686" spans="1:1" x14ac:dyDescent="0.35">
      <c r="A686"/>
    </row>
    <row r="687" spans="1:1" x14ac:dyDescent="0.35">
      <c r="A687"/>
    </row>
    <row r="688" spans="1:1" x14ac:dyDescent="0.35">
      <c r="A688"/>
    </row>
    <row r="689" spans="1:1" x14ac:dyDescent="0.35">
      <c r="A689"/>
    </row>
    <row r="690" spans="1:1" x14ac:dyDescent="0.35">
      <c r="A690"/>
    </row>
    <row r="691" spans="1:1" x14ac:dyDescent="0.35">
      <c r="A691"/>
    </row>
    <row r="692" spans="1:1" x14ac:dyDescent="0.35">
      <c r="A692"/>
    </row>
    <row r="693" spans="1:1" x14ac:dyDescent="0.35">
      <c r="A693"/>
    </row>
    <row r="694" spans="1:1" x14ac:dyDescent="0.35">
      <c r="A694"/>
    </row>
    <row r="695" spans="1:1" x14ac:dyDescent="0.35">
      <c r="A695"/>
    </row>
    <row r="696" spans="1:1" x14ac:dyDescent="0.35">
      <c r="A696"/>
    </row>
    <row r="697" spans="1:1" x14ac:dyDescent="0.35">
      <c r="A697"/>
    </row>
    <row r="698" spans="1:1" x14ac:dyDescent="0.35">
      <c r="A698"/>
    </row>
    <row r="699" spans="1:1" x14ac:dyDescent="0.35">
      <c r="A699"/>
    </row>
    <row r="700" spans="1:1" x14ac:dyDescent="0.35">
      <c r="A700"/>
    </row>
    <row r="701" spans="1:1" x14ac:dyDescent="0.35">
      <c r="A701"/>
    </row>
    <row r="702" spans="1:1" x14ac:dyDescent="0.35">
      <c r="A702"/>
    </row>
    <row r="703" spans="1:1" x14ac:dyDescent="0.35">
      <c r="A703"/>
    </row>
    <row r="704" spans="1:1" x14ac:dyDescent="0.35">
      <c r="A704"/>
    </row>
    <row r="705" spans="1:1" x14ac:dyDescent="0.35">
      <c r="A705"/>
    </row>
    <row r="706" spans="1:1" x14ac:dyDescent="0.35">
      <c r="A706"/>
    </row>
    <row r="707" spans="1:1" x14ac:dyDescent="0.35">
      <c r="A707"/>
    </row>
    <row r="708" spans="1:1" x14ac:dyDescent="0.35">
      <c r="A708"/>
    </row>
    <row r="709" spans="1:1" x14ac:dyDescent="0.35">
      <c r="A709"/>
    </row>
    <row r="710" spans="1:1" x14ac:dyDescent="0.35">
      <c r="A710"/>
    </row>
    <row r="711" spans="1:1" x14ac:dyDescent="0.35">
      <c r="A711"/>
    </row>
    <row r="712" spans="1:1" x14ac:dyDescent="0.35">
      <c r="A712"/>
    </row>
    <row r="713" spans="1:1" x14ac:dyDescent="0.35">
      <c r="A713"/>
    </row>
    <row r="714" spans="1:1" x14ac:dyDescent="0.35">
      <c r="A714"/>
    </row>
    <row r="715" spans="1:1" x14ac:dyDescent="0.35">
      <c r="A715"/>
    </row>
    <row r="716" spans="1:1" x14ac:dyDescent="0.35">
      <c r="A716"/>
    </row>
    <row r="717" spans="1:1" x14ac:dyDescent="0.35">
      <c r="A717"/>
    </row>
    <row r="718" spans="1:1" x14ac:dyDescent="0.35">
      <c r="A718"/>
    </row>
    <row r="719" spans="1:1" x14ac:dyDescent="0.35">
      <c r="A719"/>
    </row>
    <row r="720" spans="1:1" x14ac:dyDescent="0.35">
      <c r="A720"/>
    </row>
    <row r="721" spans="1:1" x14ac:dyDescent="0.35">
      <c r="A721"/>
    </row>
    <row r="722" spans="1:1" x14ac:dyDescent="0.35">
      <c r="A722"/>
    </row>
    <row r="723" spans="1:1" x14ac:dyDescent="0.35">
      <c r="A723"/>
    </row>
    <row r="724" spans="1:1" x14ac:dyDescent="0.35">
      <c r="A724"/>
    </row>
    <row r="725" spans="1:1" x14ac:dyDescent="0.35">
      <c r="A725"/>
    </row>
    <row r="726" spans="1:1" x14ac:dyDescent="0.35">
      <c r="A726"/>
    </row>
    <row r="727" spans="1:1" x14ac:dyDescent="0.35">
      <c r="A727"/>
    </row>
    <row r="728" spans="1:1" x14ac:dyDescent="0.35">
      <c r="A728"/>
    </row>
    <row r="729" spans="1:1" x14ac:dyDescent="0.35">
      <c r="A729"/>
    </row>
    <row r="730" spans="1:1" x14ac:dyDescent="0.35">
      <c r="A730"/>
    </row>
    <row r="731" spans="1:1" x14ac:dyDescent="0.35">
      <c r="A731"/>
    </row>
    <row r="732" spans="1:1" x14ac:dyDescent="0.35">
      <c r="A732"/>
    </row>
    <row r="733" spans="1:1" x14ac:dyDescent="0.35">
      <c r="A733"/>
    </row>
    <row r="734" spans="1:1" x14ac:dyDescent="0.35">
      <c r="A734"/>
    </row>
    <row r="735" spans="1:1" x14ac:dyDescent="0.35">
      <c r="A735"/>
    </row>
    <row r="736" spans="1:1" x14ac:dyDescent="0.35">
      <c r="A736"/>
    </row>
    <row r="737" spans="1:1" x14ac:dyDescent="0.35">
      <c r="A737"/>
    </row>
    <row r="738" spans="1:1" x14ac:dyDescent="0.35">
      <c r="A738"/>
    </row>
    <row r="739" spans="1:1" x14ac:dyDescent="0.35">
      <c r="A739"/>
    </row>
    <row r="740" spans="1:1" x14ac:dyDescent="0.35">
      <c r="A740"/>
    </row>
    <row r="741" spans="1:1" x14ac:dyDescent="0.35">
      <c r="A741"/>
    </row>
    <row r="742" spans="1:1" x14ac:dyDescent="0.35">
      <c r="A742"/>
    </row>
    <row r="743" spans="1:1" x14ac:dyDescent="0.35">
      <c r="A743"/>
    </row>
    <row r="744" spans="1:1" x14ac:dyDescent="0.35">
      <c r="A744"/>
    </row>
    <row r="745" spans="1:1" x14ac:dyDescent="0.35">
      <c r="A745"/>
    </row>
    <row r="746" spans="1:1" x14ac:dyDescent="0.35">
      <c r="A746"/>
    </row>
    <row r="747" spans="1:1" x14ac:dyDescent="0.35">
      <c r="A747"/>
    </row>
    <row r="748" spans="1:1" x14ac:dyDescent="0.35">
      <c r="A748"/>
    </row>
    <row r="749" spans="1:1" x14ac:dyDescent="0.35">
      <c r="A749"/>
    </row>
    <row r="750" spans="1:1" x14ac:dyDescent="0.35">
      <c r="A750"/>
    </row>
    <row r="751" spans="1:1" x14ac:dyDescent="0.35">
      <c r="A751"/>
    </row>
    <row r="752" spans="1:1" x14ac:dyDescent="0.35">
      <c r="A752"/>
    </row>
    <row r="753" spans="1:1" x14ac:dyDescent="0.35">
      <c r="A753"/>
    </row>
    <row r="754" spans="1:1" x14ac:dyDescent="0.35">
      <c r="A754"/>
    </row>
    <row r="755" spans="1:1" x14ac:dyDescent="0.35">
      <c r="A755"/>
    </row>
    <row r="756" spans="1:1" x14ac:dyDescent="0.35">
      <c r="A756"/>
    </row>
    <row r="757" spans="1:1" x14ac:dyDescent="0.35">
      <c r="A757"/>
    </row>
    <row r="758" spans="1:1" x14ac:dyDescent="0.35">
      <c r="A758"/>
    </row>
    <row r="759" spans="1:1" x14ac:dyDescent="0.35">
      <c r="A759"/>
    </row>
    <row r="760" spans="1:1" x14ac:dyDescent="0.35">
      <c r="A760"/>
    </row>
    <row r="761" spans="1:1" x14ac:dyDescent="0.35">
      <c r="A761"/>
    </row>
    <row r="762" spans="1:1" x14ac:dyDescent="0.35">
      <c r="A762"/>
    </row>
    <row r="763" spans="1:1" x14ac:dyDescent="0.35">
      <c r="A763"/>
    </row>
    <row r="764" spans="1:1" x14ac:dyDescent="0.35">
      <c r="A764"/>
    </row>
    <row r="765" spans="1:1" x14ac:dyDescent="0.35">
      <c r="A765"/>
    </row>
    <row r="766" spans="1:1" x14ac:dyDescent="0.35">
      <c r="A766"/>
    </row>
    <row r="767" spans="1:1" x14ac:dyDescent="0.35">
      <c r="A767"/>
    </row>
    <row r="768" spans="1:1" x14ac:dyDescent="0.35">
      <c r="A768"/>
    </row>
    <row r="769" spans="1:1" x14ac:dyDescent="0.35">
      <c r="A769"/>
    </row>
    <row r="770" spans="1:1" x14ac:dyDescent="0.35">
      <c r="A770"/>
    </row>
    <row r="771" spans="1:1" x14ac:dyDescent="0.35">
      <c r="A771"/>
    </row>
    <row r="772" spans="1:1" x14ac:dyDescent="0.35">
      <c r="A772"/>
    </row>
    <row r="773" spans="1:1" x14ac:dyDescent="0.35">
      <c r="A773"/>
    </row>
    <row r="774" spans="1:1" x14ac:dyDescent="0.35">
      <c r="A774"/>
    </row>
    <row r="775" spans="1:1" x14ac:dyDescent="0.35">
      <c r="A775"/>
    </row>
    <row r="776" spans="1:1" x14ac:dyDescent="0.35">
      <c r="A776"/>
    </row>
    <row r="777" spans="1:1" x14ac:dyDescent="0.35">
      <c r="A777"/>
    </row>
    <row r="778" spans="1:1" x14ac:dyDescent="0.35">
      <c r="A778"/>
    </row>
    <row r="779" spans="1:1" x14ac:dyDescent="0.35">
      <c r="A779"/>
    </row>
    <row r="780" spans="1:1" x14ac:dyDescent="0.35">
      <c r="A780"/>
    </row>
    <row r="781" spans="1:1" x14ac:dyDescent="0.35">
      <c r="A781"/>
    </row>
    <row r="782" spans="1:1" x14ac:dyDescent="0.35">
      <c r="A782"/>
    </row>
    <row r="783" spans="1:1" x14ac:dyDescent="0.35">
      <c r="A783"/>
    </row>
    <row r="784" spans="1:1" x14ac:dyDescent="0.35">
      <c r="A784"/>
    </row>
    <row r="785" spans="1:1" x14ac:dyDescent="0.35">
      <c r="A785"/>
    </row>
    <row r="786" spans="1:1" x14ac:dyDescent="0.35">
      <c r="A786"/>
    </row>
    <row r="787" spans="1:1" x14ac:dyDescent="0.35">
      <c r="A787"/>
    </row>
    <row r="788" spans="1:1" x14ac:dyDescent="0.35">
      <c r="A788"/>
    </row>
    <row r="789" spans="1:1" x14ac:dyDescent="0.35">
      <c r="A789"/>
    </row>
    <row r="790" spans="1:1" x14ac:dyDescent="0.35">
      <c r="A790"/>
    </row>
    <row r="791" spans="1:1" x14ac:dyDescent="0.35">
      <c r="A791"/>
    </row>
    <row r="792" spans="1:1" x14ac:dyDescent="0.35">
      <c r="A792"/>
    </row>
    <row r="793" spans="1:1" x14ac:dyDescent="0.35">
      <c r="A793"/>
    </row>
    <row r="794" spans="1:1" x14ac:dyDescent="0.35">
      <c r="A794"/>
    </row>
    <row r="795" spans="1:1" x14ac:dyDescent="0.35">
      <c r="A795"/>
    </row>
    <row r="796" spans="1:1" x14ac:dyDescent="0.35">
      <c r="A796"/>
    </row>
    <row r="797" spans="1:1" x14ac:dyDescent="0.35">
      <c r="A797"/>
    </row>
    <row r="798" spans="1:1" x14ac:dyDescent="0.35">
      <c r="A798"/>
    </row>
    <row r="799" spans="1:1" x14ac:dyDescent="0.35">
      <c r="A799"/>
    </row>
    <row r="800" spans="1:1" x14ac:dyDescent="0.35">
      <c r="A800"/>
    </row>
    <row r="801" spans="1:1" x14ac:dyDescent="0.35">
      <c r="A801"/>
    </row>
    <row r="802" spans="1:1" x14ac:dyDescent="0.35">
      <c r="A802"/>
    </row>
    <row r="803" spans="1:1" x14ac:dyDescent="0.35">
      <c r="A803"/>
    </row>
    <row r="804" spans="1:1" x14ac:dyDescent="0.35">
      <c r="A804"/>
    </row>
    <row r="805" spans="1:1" x14ac:dyDescent="0.35">
      <c r="A805"/>
    </row>
    <row r="806" spans="1:1" x14ac:dyDescent="0.35">
      <c r="A806"/>
    </row>
    <row r="807" spans="1:1" x14ac:dyDescent="0.35">
      <c r="A807"/>
    </row>
    <row r="808" spans="1:1" x14ac:dyDescent="0.35">
      <c r="A808"/>
    </row>
    <row r="809" spans="1:1" x14ac:dyDescent="0.35">
      <c r="A809"/>
    </row>
    <row r="810" spans="1:1" x14ac:dyDescent="0.35">
      <c r="A810"/>
    </row>
    <row r="811" spans="1:1" x14ac:dyDescent="0.35">
      <c r="A811"/>
    </row>
    <row r="812" spans="1:1" x14ac:dyDescent="0.35">
      <c r="A812"/>
    </row>
    <row r="813" spans="1:1" x14ac:dyDescent="0.35">
      <c r="A813"/>
    </row>
    <row r="814" spans="1:1" x14ac:dyDescent="0.35">
      <c r="A814"/>
    </row>
    <row r="815" spans="1:1" x14ac:dyDescent="0.35">
      <c r="A815"/>
    </row>
    <row r="816" spans="1:1" x14ac:dyDescent="0.35">
      <c r="A816"/>
    </row>
    <row r="817" spans="1:1" x14ac:dyDescent="0.35">
      <c r="A817"/>
    </row>
    <row r="818" spans="1:1" x14ac:dyDescent="0.35">
      <c r="A818"/>
    </row>
    <row r="819" spans="1:1" x14ac:dyDescent="0.35">
      <c r="A819"/>
    </row>
    <row r="820" spans="1:1" x14ac:dyDescent="0.35">
      <c r="A820"/>
    </row>
    <row r="821" spans="1:1" x14ac:dyDescent="0.35">
      <c r="A821"/>
    </row>
    <row r="822" spans="1:1" x14ac:dyDescent="0.35">
      <c r="A822"/>
    </row>
    <row r="823" spans="1:1" x14ac:dyDescent="0.35">
      <c r="A823"/>
    </row>
    <row r="824" spans="1:1" x14ac:dyDescent="0.35">
      <c r="A824"/>
    </row>
    <row r="825" spans="1:1" x14ac:dyDescent="0.35">
      <c r="A825"/>
    </row>
    <row r="826" spans="1:1" x14ac:dyDescent="0.35">
      <c r="A826"/>
    </row>
    <row r="827" spans="1:1" x14ac:dyDescent="0.35">
      <c r="A827"/>
    </row>
    <row r="828" spans="1:1" x14ac:dyDescent="0.35">
      <c r="A828"/>
    </row>
    <row r="829" spans="1:1" x14ac:dyDescent="0.35">
      <c r="A829"/>
    </row>
    <row r="830" spans="1:1" x14ac:dyDescent="0.35">
      <c r="A830"/>
    </row>
    <row r="831" spans="1:1" x14ac:dyDescent="0.35">
      <c r="A831"/>
    </row>
    <row r="832" spans="1:1" x14ac:dyDescent="0.35">
      <c r="A832"/>
    </row>
    <row r="833" spans="1:1" x14ac:dyDescent="0.35">
      <c r="A833"/>
    </row>
    <row r="834" spans="1:1" x14ac:dyDescent="0.35">
      <c r="A834"/>
    </row>
    <row r="835" spans="1:1" x14ac:dyDescent="0.35">
      <c r="A835"/>
    </row>
    <row r="836" spans="1:1" x14ac:dyDescent="0.35">
      <c r="A836"/>
    </row>
    <row r="837" spans="1:1" x14ac:dyDescent="0.35">
      <c r="A837"/>
    </row>
    <row r="838" spans="1:1" x14ac:dyDescent="0.35">
      <c r="A838"/>
    </row>
    <row r="839" spans="1:1" x14ac:dyDescent="0.35">
      <c r="A839"/>
    </row>
    <row r="840" spans="1:1" x14ac:dyDescent="0.35">
      <c r="A840"/>
    </row>
    <row r="841" spans="1:1" x14ac:dyDescent="0.35">
      <c r="A841"/>
    </row>
    <row r="842" spans="1:1" x14ac:dyDescent="0.35">
      <c r="A842"/>
    </row>
    <row r="843" spans="1:1" x14ac:dyDescent="0.35">
      <c r="A843"/>
    </row>
    <row r="844" spans="1:1" x14ac:dyDescent="0.35">
      <c r="A844"/>
    </row>
    <row r="845" spans="1:1" x14ac:dyDescent="0.35">
      <c r="A845"/>
    </row>
    <row r="846" spans="1:1" x14ac:dyDescent="0.35">
      <c r="A846"/>
    </row>
    <row r="847" spans="1:1" x14ac:dyDescent="0.35">
      <c r="A847"/>
    </row>
    <row r="848" spans="1:1" x14ac:dyDescent="0.35">
      <c r="A848"/>
    </row>
    <row r="849" spans="1:1" x14ac:dyDescent="0.35">
      <c r="A849"/>
    </row>
    <row r="850" spans="1:1" x14ac:dyDescent="0.35">
      <c r="A850"/>
    </row>
    <row r="851" spans="1:1" x14ac:dyDescent="0.35">
      <c r="A851"/>
    </row>
    <row r="852" spans="1:1" x14ac:dyDescent="0.35">
      <c r="A852"/>
    </row>
    <row r="853" spans="1:1" x14ac:dyDescent="0.35">
      <c r="A853"/>
    </row>
    <row r="854" spans="1:1" x14ac:dyDescent="0.35">
      <c r="A854"/>
    </row>
    <row r="855" spans="1:1" x14ac:dyDescent="0.35">
      <c r="A855"/>
    </row>
    <row r="856" spans="1:1" x14ac:dyDescent="0.35">
      <c r="A856"/>
    </row>
    <row r="857" spans="1:1" x14ac:dyDescent="0.35">
      <c r="A857"/>
    </row>
    <row r="858" spans="1:1" x14ac:dyDescent="0.35">
      <c r="A858"/>
    </row>
    <row r="859" spans="1:1" x14ac:dyDescent="0.35">
      <c r="A859"/>
    </row>
    <row r="860" spans="1:1" x14ac:dyDescent="0.35">
      <c r="A860"/>
    </row>
    <row r="861" spans="1:1" x14ac:dyDescent="0.35">
      <c r="A861"/>
    </row>
    <row r="862" spans="1:1" x14ac:dyDescent="0.35">
      <c r="A862"/>
    </row>
    <row r="863" spans="1:1" x14ac:dyDescent="0.35">
      <c r="A863"/>
    </row>
    <row r="864" spans="1:1" x14ac:dyDescent="0.35">
      <c r="A864"/>
    </row>
    <row r="865" spans="1:1" x14ac:dyDescent="0.35">
      <c r="A865"/>
    </row>
    <row r="866" spans="1:1" x14ac:dyDescent="0.35">
      <c r="A866"/>
    </row>
    <row r="867" spans="1:1" x14ac:dyDescent="0.35">
      <c r="A867"/>
    </row>
    <row r="868" spans="1:1" x14ac:dyDescent="0.35">
      <c r="A868"/>
    </row>
    <row r="869" spans="1:1" x14ac:dyDescent="0.35">
      <c r="A869"/>
    </row>
    <row r="870" spans="1:1" x14ac:dyDescent="0.35">
      <c r="A870"/>
    </row>
    <row r="871" spans="1:1" x14ac:dyDescent="0.35">
      <c r="A871"/>
    </row>
    <row r="872" spans="1:1" x14ac:dyDescent="0.35">
      <c r="A872"/>
    </row>
    <row r="873" spans="1:1" x14ac:dyDescent="0.35">
      <c r="A873"/>
    </row>
    <row r="874" spans="1:1" x14ac:dyDescent="0.35">
      <c r="A874"/>
    </row>
    <row r="875" spans="1:1" x14ac:dyDescent="0.35">
      <c r="A875"/>
    </row>
    <row r="876" spans="1:1" x14ac:dyDescent="0.35">
      <c r="A876"/>
    </row>
    <row r="877" spans="1:1" x14ac:dyDescent="0.35">
      <c r="A877"/>
    </row>
    <row r="878" spans="1:1" x14ac:dyDescent="0.35">
      <c r="A878"/>
    </row>
    <row r="879" spans="1:1" x14ac:dyDescent="0.35">
      <c r="A879"/>
    </row>
    <row r="880" spans="1:1" x14ac:dyDescent="0.35">
      <c r="A880"/>
    </row>
    <row r="881" spans="1:1" x14ac:dyDescent="0.35">
      <c r="A881"/>
    </row>
    <row r="882" spans="1:1" x14ac:dyDescent="0.35">
      <c r="A882"/>
    </row>
    <row r="883" spans="1:1" x14ac:dyDescent="0.35">
      <c r="A883"/>
    </row>
    <row r="884" spans="1:1" x14ac:dyDescent="0.35">
      <c r="A884"/>
    </row>
    <row r="885" spans="1:1" x14ac:dyDescent="0.35">
      <c r="A885"/>
    </row>
    <row r="886" spans="1:1" x14ac:dyDescent="0.35">
      <c r="A886"/>
    </row>
    <row r="887" spans="1:1" x14ac:dyDescent="0.35">
      <c r="A887"/>
    </row>
    <row r="888" spans="1:1" x14ac:dyDescent="0.35">
      <c r="A888"/>
    </row>
    <row r="889" spans="1:1" x14ac:dyDescent="0.35">
      <c r="A889"/>
    </row>
    <row r="890" spans="1:1" x14ac:dyDescent="0.35">
      <c r="A890"/>
    </row>
    <row r="891" spans="1:1" x14ac:dyDescent="0.35">
      <c r="A891"/>
    </row>
    <row r="892" spans="1:1" x14ac:dyDescent="0.35">
      <c r="A892"/>
    </row>
    <row r="893" spans="1:1" x14ac:dyDescent="0.35">
      <c r="A893"/>
    </row>
    <row r="894" spans="1:1" x14ac:dyDescent="0.35">
      <c r="A894"/>
    </row>
    <row r="895" spans="1:1" x14ac:dyDescent="0.35">
      <c r="A895"/>
    </row>
    <row r="896" spans="1:1" x14ac:dyDescent="0.35">
      <c r="A896"/>
    </row>
    <row r="897" spans="1:1" x14ac:dyDescent="0.35">
      <c r="A897"/>
    </row>
    <row r="898" spans="1:1" x14ac:dyDescent="0.35">
      <c r="A898"/>
    </row>
    <row r="899" spans="1:1" x14ac:dyDescent="0.35">
      <c r="A899"/>
    </row>
    <row r="900" spans="1:1" x14ac:dyDescent="0.35">
      <c r="A900"/>
    </row>
    <row r="901" spans="1:1" x14ac:dyDescent="0.35">
      <c r="A901"/>
    </row>
    <row r="902" spans="1:1" x14ac:dyDescent="0.35">
      <c r="A902"/>
    </row>
    <row r="903" spans="1:1" x14ac:dyDescent="0.35">
      <c r="A903"/>
    </row>
    <row r="904" spans="1:1" x14ac:dyDescent="0.35">
      <c r="A904"/>
    </row>
    <row r="905" spans="1:1" x14ac:dyDescent="0.35">
      <c r="A905"/>
    </row>
    <row r="906" spans="1:1" x14ac:dyDescent="0.35">
      <c r="A906"/>
    </row>
    <row r="907" spans="1:1" x14ac:dyDescent="0.35">
      <c r="A907"/>
    </row>
    <row r="908" spans="1:1" x14ac:dyDescent="0.35">
      <c r="A908"/>
    </row>
    <row r="909" spans="1:1" x14ac:dyDescent="0.35">
      <c r="A909"/>
    </row>
    <row r="910" spans="1:1" x14ac:dyDescent="0.35">
      <c r="A910"/>
    </row>
    <row r="911" spans="1:1" x14ac:dyDescent="0.35">
      <c r="A911"/>
    </row>
    <row r="912" spans="1:1" x14ac:dyDescent="0.35">
      <c r="A912"/>
    </row>
    <row r="913" spans="1:1" x14ac:dyDescent="0.35">
      <c r="A913"/>
    </row>
    <row r="914" spans="1:1" x14ac:dyDescent="0.35">
      <c r="A914"/>
    </row>
    <row r="915" spans="1:1" x14ac:dyDescent="0.35">
      <c r="A915"/>
    </row>
    <row r="916" spans="1:1" x14ac:dyDescent="0.35">
      <c r="A916"/>
    </row>
    <row r="917" spans="1:1" x14ac:dyDescent="0.35">
      <c r="A917"/>
    </row>
    <row r="918" spans="1:1" x14ac:dyDescent="0.35">
      <c r="A918"/>
    </row>
    <row r="919" spans="1:1" x14ac:dyDescent="0.35">
      <c r="A919"/>
    </row>
    <row r="920" spans="1:1" x14ac:dyDescent="0.35">
      <c r="A920"/>
    </row>
    <row r="921" spans="1:1" x14ac:dyDescent="0.35">
      <c r="A921"/>
    </row>
    <row r="922" spans="1:1" x14ac:dyDescent="0.35">
      <c r="A922"/>
    </row>
    <row r="923" spans="1:1" x14ac:dyDescent="0.35">
      <c r="A923"/>
    </row>
    <row r="924" spans="1:1" x14ac:dyDescent="0.35">
      <c r="A924"/>
    </row>
    <row r="925" spans="1:1" x14ac:dyDescent="0.35">
      <c r="A925"/>
    </row>
    <row r="926" spans="1:1" x14ac:dyDescent="0.35">
      <c r="A926"/>
    </row>
    <row r="927" spans="1:1" x14ac:dyDescent="0.35">
      <c r="A927"/>
    </row>
    <row r="928" spans="1:1" x14ac:dyDescent="0.35">
      <c r="A928"/>
    </row>
    <row r="929" spans="1:1" x14ac:dyDescent="0.35">
      <c r="A929"/>
    </row>
    <row r="930" spans="1:1" x14ac:dyDescent="0.35">
      <c r="A930"/>
    </row>
    <row r="931" spans="1:1" x14ac:dyDescent="0.35">
      <c r="A931"/>
    </row>
    <row r="932" spans="1:1" x14ac:dyDescent="0.35">
      <c r="A932"/>
    </row>
    <row r="933" spans="1:1" x14ac:dyDescent="0.35">
      <c r="A933"/>
    </row>
    <row r="934" spans="1:1" x14ac:dyDescent="0.35">
      <c r="A934"/>
    </row>
    <row r="935" spans="1:1" x14ac:dyDescent="0.35">
      <c r="A935"/>
    </row>
    <row r="936" spans="1:1" x14ac:dyDescent="0.35">
      <c r="A936"/>
    </row>
    <row r="937" spans="1:1" x14ac:dyDescent="0.35">
      <c r="A937"/>
    </row>
    <row r="938" spans="1:1" x14ac:dyDescent="0.35">
      <c r="A938"/>
    </row>
    <row r="939" spans="1:1" x14ac:dyDescent="0.35">
      <c r="A939"/>
    </row>
    <row r="940" spans="1:1" x14ac:dyDescent="0.35">
      <c r="A940"/>
    </row>
    <row r="941" spans="1:1" x14ac:dyDescent="0.35">
      <c r="A941"/>
    </row>
    <row r="942" spans="1:1" x14ac:dyDescent="0.35">
      <c r="A942"/>
    </row>
    <row r="943" spans="1:1" x14ac:dyDescent="0.35">
      <c r="A943"/>
    </row>
    <row r="944" spans="1:1" x14ac:dyDescent="0.35">
      <c r="A944"/>
    </row>
    <row r="945" spans="1:1" x14ac:dyDescent="0.35">
      <c r="A945"/>
    </row>
    <row r="946" spans="1:1" x14ac:dyDescent="0.35">
      <c r="A946"/>
    </row>
    <row r="947" spans="1:1" x14ac:dyDescent="0.35">
      <c r="A947"/>
    </row>
    <row r="948" spans="1:1" x14ac:dyDescent="0.35">
      <c r="A948"/>
    </row>
    <row r="949" spans="1:1" x14ac:dyDescent="0.35">
      <c r="A949"/>
    </row>
    <row r="950" spans="1:1" x14ac:dyDescent="0.35">
      <c r="A950"/>
    </row>
    <row r="951" spans="1:1" x14ac:dyDescent="0.35">
      <c r="A951"/>
    </row>
    <row r="952" spans="1:1" x14ac:dyDescent="0.35">
      <c r="A952"/>
    </row>
    <row r="953" spans="1:1" x14ac:dyDescent="0.35">
      <c r="A953"/>
    </row>
    <row r="954" spans="1:1" x14ac:dyDescent="0.35">
      <c r="A954"/>
    </row>
    <row r="955" spans="1:1" x14ac:dyDescent="0.35">
      <c r="A955"/>
    </row>
    <row r="956" spans="1:1" x14ac:dyDescent="0.35">
      <c r="A956"/>
    </row>
    <row r="957" spans="1:1" x14ac:dyDescent="0.35">
      <c r="A957"/>
    </row>
    <row r="958" spans="1:1" x14ac:dyDescent="0.35">
      <c r="A958"/>
    </row>
    <row r="959" spans="1:1" x14ac:dyDescent="0.35">
      <c r="A959"/>
    </row>
    <row r="960" spans="1:1" x14ac:dyDescent="0.35">
      <c r="A960"/>
    </row>
    <row r="961" spans="1:1" x14ac:dyDescent="0.35">
      <c r="A961"/>
    </row>
    <row r="962" spans="1:1" x14ac:dyDescent="0.35">
      <c r="A962"/>
    </row>
    <row r="963" spans="1:1" x14ac:dyDescent="0.35">
      <c r="A963"/>
    </row>
    <row r="964" spans="1:1" x14ac:dyDescent="0.35">
      <c r="A964"/>
    </row>
    <row r="965" spans="1:1" x14ac:dyDescent="0.35">
      <c r="A965"/>
    </row>
    <row r="966" spans="1:1" x14ac:dyDescent="0.35">
      <c r="A966"/>
    </row>
    <row r="967" spans="1:1" x14ac:dyDescent="0.35">
      <c r="A967"/>
    </row>
    <row r="968" spans="1:1" x14ac:dyDescent="0.35">
      <c r="A968"/>
    </row>
    <row r="969" spans="1:1" x14ac:dyDescent="0.35">
      <c r="A969"/>
    </row>
    <row r="970" spans="1:1" x14ac:dyDescent="0.35">
      <c r="A970"/>
    </row>
    <row r="971" spans="1:1" x14ac:dyDescent="0.35">
      <c r="A971"/>
    </row>
    <row r="972" spans="1:1" x14ac:dyDescent="0.35">
      <c r="A972"/>
    </row>
    <row r="973" spans="1:1" x14ac:dyDescent="0.35">
      <c r="A973"/>
    </row>
    <row r="974" spans="1:1" x14ac:dyDescent="0.35">
      <c r="A974"/>
    </row>
    <row r="975" spans="1:1" x14ac:dyDescent="0.35">
      <c r="A975"/>
    </row>
    <row r="976" spans="1:1" x14ac:dyDescent="0.35">
      <c r="A976"/>
    </row>
    <row r="977" spans="1:1" x14ac:dyDescent="0.35">
      <c r="A977"/>
    </row>
    <row r="978" spans="1:1" x14ac:dyDescent="0.35">
      <c r="A978"/>
    </row>
    <row r="979" spans="1:1" x14ac:dyDescent="0.35">
      <c r="A979"/>
    </row>
    <row r="980" spans="1:1" x14ac:dyDescent="0.35">
      <c r="A980"/>
    </row>
    <row r="981" spans="1:1" x14ac:dyDescent="0.35">
      <c r="A981"/>
    </row>
    <row r="982" spans="1:1" x14ac:dyDescent="0.35">
      <c r="A982"/>
    </row>
    <row r="983" spans="1:1" x14ac:dyDescent="0.35">
      <c r="A983"/>
    </row>
    <row r="984" spans="1:1" x14ac:dyDescent="0.35">
      <c r="A984"/>
    </row>
    <row r="985" spans="1:1" x14ac:dyDescent="0.35">
      <c r="A985"/>
    </row>
    <row r="986" spans="1:1" x14ac:dyDescent="0.35">
      <c r="A986"/>
    </row>
    <row r="987" spans="1:1" x14ac:dyDescent="0.35">
      <c r="A987"/>
    </row>
    <row r="988" spans="1:1" x14ac:dyDescent="0.35">
      <c r="A988"/>
    </row>
    <row r="989" spans="1:1" x14ac:dyDescent="0.35">
      <c r="A989"/>
    </row>
    <row r="990" spans="1:1" x14ac:dyDescent="0.35">
      <c r="A990"/>
    </row>
    <row r="991" spans="1:1" x14ac:dyDescent="0.35">
      <c r="A991"/>
    </row>
    <row r="992" spans="1:1" x14ac:dyDescent="0.35">
      <c r="A992"/>
    </row>
    <row r="993" spans="1:1" x14ac:dyDescent="0.35">
      <c r="A993"/>
    </row>
    <row r="994" spans="1:1" x14ac:dyDescent="0.35">
      <c r="A994"/>
    </row>
    <row r="995" spans="1:1" x14ac:dyDescent="0.35">
      <c r="A995"/>
    </row>
    <row r="996" spans="1:1" x14ac:dyDescent="0.35">
      <c r="A996"/>
    </row>
    <row r="997" spans="1:1" x14ac:dyDescent="0.35">
      <c r="A997"/>
    </row>
    <row r="998" spans="1:1" x14ac:dyDescent="0.35">
      <c r="A998"/>
    </row>
    <row r="999" spans="1:1" x14ac:dyDescent="0.35">
      <c r="A999"/>
    </row>
    <row r="1000" spans="1:1" x14ac:dyDescent="0.35">
      <c r="A1000"/>
    </row>
    <row r="1001" spans="1:1" x14ac:dyDescent="0.35">
      <c r="A1001"/>
    </row>
    <row r="1002" spans="1:1" x14ac:dyDescent="0.35">
      <c r="A1002"/>
    </row>
    <row r="1003" spans="1:1" x14ac:dyDescent="0.35">
      <c r="A1003"/>
    </row>
    <row r="1004" spans="1:1" x14ac:dyDescent="0.35">
      <c r="A1004"/>
    </row>
    <row r="1005" spans="1:1" x14ac:dyDescent="0.35">
      <c r="A1005"/>
    </row>
    <row r="1006" spans="1:1" x14ac:dyDescent="0.35">
      <c r="A1006"/>
    </row>
    <row r="1007" spans="1:1" x14ac:dyDescent="0.35">
      <c r="A1007"/>
    </row>
    <row r="1008" spans="1:1" x14ac:dyDescent="0.35">
      <c r="A1008"/>
    </row>
    <row r="1009" spans="1:1" x14ac:dyDescent="0.35">
      <c r="A1009"/>
    </row>
    <row r="1010" spans="1:1" x14ac:dyDescent="0.35">
      <c r="A1010"/>
    </row>
    <row r="1011" spans="1:1" x14ac:dyDescent="0.35">
      <c r="A1011"/>
    </row>
    <row r="1012" spans="1:1" x14ac:dyDescent="0.35">
      <c r="A1012"/>
    </row>
    <row r="1013" spans="1:1" x14ac:dyDescent="0.35">
      <c r="A1013"/>
    </row>
    <row r="1014" spans="1:1" x14ac:dyDescent="0.35">
      <c r="A1014"/>
    </row>
    <row r="1015" spans="1:1" x14ac:dyDescent="0.35">
      <c r="A1015"/>
    </row>
    <row r="1016" spans="1:1" x14ac:dyDescent="0.35">
      <c r="A1016"/>
    </row>
    <row r="1017" spans="1:1" x14ac:dyDescent="0.35">
      <c r="A1017"/>
    </row>
    <row r="1018" spans="1:1" x14ac:dyDescent="0.35">
      <c r="A1018"/>
    </row>
    <row r="1019" spans="1:1" x14ac:dyDescent="0.35">
      <c r="A1019"/>
    </row>
    <row r="1020" spans="1:1" x14ac:dyDescent="0.35">
      <c r="A1020"/>
    </row>
    <row r="1021" spans="1:1" x14ac:dyDescent="0.35">
      <c r="A1021"/>
    </row>
    <row r="1022" spans="1:1" x14ac:dyDescent="0.35">
      <c r="A1022"/>
    </row>
    <row r="1023" spans="1:1" x14ac:dyDescent="0.35">
      <c r="A1023"/>
    </row>
    <row r="1024" spans="1:1" x14ac:dyDescent="0.35">
      <c r="A1024"/>
    </row>
    <row r="1025" spans="1:1" x14ac:dyDescent="0.35">
      <c r="A1025"/>
    </row>
    <row r="1026" spans="1:1" x14ac:dyDescent="0.35">
      <c r="A1026"/>
    </row>
    <row r="1027" spans="1:1" x14ac:dyDescent="0.35">
      <c r="A1027"/>
    </row>
    <row r="1028" spans="1:1" x14ac:dyDescent="0.35">
      <c r="A1028"/>
    </row>
    <row r="1029" spans="1:1" x14ac:dyDescent="0.35">
      <c r="A1029"/>
    </row>
    <row r="1030" spans="1:1" x14ac:dyDescent="0.35">
      <c r="A1030"/>
    </row>
    <row r="1031" spans="1:1" x14ac:dyDescent="0.35">
      <c r="A1031"/>
    </row>
    <row r="1032" spans="1:1" x14ac:dyDescent="0.35">
      <c r="A1032"/>
    </row>
    <row r="1033" spans="1:1" x14ac:dyDescent="0.35">
      <c r="A1033"/>
    </row>
    <row r="1034" spans="1:1" x14ac:dyDescent="0.35">
      <c r="A1034"/>
    </row>
    <row r="1035" spans="1:1" x14ac:dyDescent="0.35">
      <c r="A1035"/>
    </row>
    <row r="1036" spans="1:1" x14ac:dyDescent="0.35">
      <c r="A1036"/>
    </row>
    <row r="1037" spans="1:1" x14ac:dyDescent="0.35">
      <c r="A1037"/>
    </row>
    <row r="1038" spans="1:1" x14ac:dyDescent="0.35">
      <c r="A1038"/>
    </row>
    <row r="1039" spans="1:1" x14ac:dyDescent="0.35">
      <c r="A1039"/>
    </row>
    <row r="1040" spans="1:1" x14ac:dyDescent="0.35">
      <c r="A1040"/>
    </row>
    <row r="1041" spans="1:1" x14ac:dyDescent="0.35">
      <c r="A1041"/>
    </row>
    <row r="1042" spans="1:1" x14ac:dyDescent="0.35">
      <c r="A1042"/>
    </row>
    <row r="1043" spans="1:1" x14ac:dyDescent="0.35">
      <c r="A1043"/>
    </row>
    <row r="1044" spans="1:1" x14ac:dyDescent="0.35">
      <c r="A1044"/>
    </row>
    <row r="1045" spans="1:1" x14ac:dyDescent="0.35">
      <c r="A1045"/>
    </row>
    <row r="1046" spans="1:1" x14ac:dyDescent="0.35">
      <c r="A1046"/>
    </row>
    <row r="1047" spans="1:1" x14ac:dyDescent="0.35">
      <c r="A1047"/>
    </row>
    <row r="1048" spans="1:1" x14ac:dyDescent="0.35">
      <c r="A1048"/>
    </row>
    <row r="1049" spans="1:1" x14ac:dyDescent="0.35">
      <c r="A1049"/>
    </row>
    <row r="1050" spans="1:1" x14ac:dyDescent="0.35">
      <c r="A1050"/>
    </row>
    <row r="1051" spans="1:1" x14ac:dyDescent="0.35">
      <c r="A1051"/>
    </row>
    <row r="1052" spans="1:1" x14ac:dyDescent="0.35">
      <c r="A1052"/>
    </row>
    <row r="1053" spans="1:1" x14ac:dyDescent="0.35">
      <c r="A1053"/>
    </row>
    <row r="1054" spans="1:1" x14ac:dyDescent="0.35">
      <c r="A1054"/>
    </row>
    <row r="1055" spans="1:1" x14ac:dyDescent="0.35">
      <c r="A1055"/>
    </row>
    <row r="1056" spans="1:1" x14ac:dyDescent="0.35">
      <c r="A1056"/>
    </row>
    <row r="1057" spans="1:1" x14ac:dyDescent="0.35">
      <c r="A1057"/>
    </row>
    <row r="1058" spans="1:1" x14ac:dyDescent="0.35">
      <c r="A1058"/>
    </row>
    <row r="1059" spans="1:1" x14ac:dyDescent="0.35">
      <c r="A1059"/>
    </row>
    <row r="1060" spans="1:1" x14ac:dyDescent="0.35">
      <c r="A1060"/>
    </row>
    <row r="1061" spans="1:1" x14ac:dyDescent="0.35">
      <c r="A1061"/>
    </row>
    <row r="1062" spans="1:1" x14ac:dyDescent="0.35">
      <c r="A1062"/>
    </row>
    <row r="1063" spans="1:1" x14ac:dyDescent="0.35">
      <c r="A1063"/>
    </row>
    <row r="1064" spans="1:1" x14ac:dyDescent="0.35">
      <c r="A1064"/>
    </row>
    <row r="1065" spans="1:1" x14ac:dyDescent="0.35">
      <c r="A1065"/>
    </row>
    <row r="1066" spans="1:1" x14ac:dyDescent="0.35">
      <c r="A1066"/>
    </row>
    <row r="1067" spans="1:1" x14ac:dyDescent="0.35">
      <c r="A1067"/>
    </row>
    <row r="1068" spans="1:1" x14ac:dyDescent="0.35">
      <c r="A1068"/>
    </row>
    <row r="1069" spans="1:1" x14ac:dyDescent="0.35">
      <c r="A1069"/>
    </row>
    <row r="1070" spans="1:1" x14ac:dyDescent="0.35">
      <c r="A1070"/>
    </row>
    <row r="1071" spans="1:1" x14ac:dyDescent="0.35">
      <c r="A1071"/>
    </row>
    <row r="1072" spans="1:1" x14ac:dyDescent="0.35">
      <c r="A1072"/>
    </row>
    <row r="1073" spans="1:1" x14ac:dyDescent="0.35">
      <c r="A1073"/>
    </row>
    <row r="1074" spans="1:1" x14ac:dyDescent="0.35">
      <c r="A1074"/>
    </row>
    <row r="1075" spans="1:1" x14ac:dyDescent="0.35">
      <c r="A1075"/>
    </row>
    <row r="1076" spans="1:1" x14ac:dyDescent="0.35">
      <c r="A1076"/>
    </row>
    <row r="1077" spans="1:1" x14ac:dyDescent="0.35">
      <c r="A1077"/>
    </row>
    <row r="1078" spans="1:1" x14ac:dyDescent="0.35">
      <c r="A1078"/>
    </row>
    <row r="1079" spans="1:1" x14ac:dyDescent="0.35">
      <c r="A1079"/>
    </row>
    <row r="1080" spans="1:1" x14ac:dyDescent="0.35">
      <c r="A1080"/>
    </row>
    <row r="1081" spans="1:1" x14ac:dyDescent="0.35">
      <c r="A1081"/>
    </row>
    <row r="1082" spans="1:1" x14ac:dyDescent="0.35">
      <c r="A1082"/>
    </row>
    <row r="1083" spans="1:1" x14ac:dyDescent="0.35">
      <c r="A1083"/>
    </row>
    <row r="1084" spans="1:1" x14ac:dyDescent="0.35">
      <c r="A1084"/>
    </row>
    <row r="1085" spans="1:1" x14ac:dyDescent="0.35">
      <c r="A1085"/>
    </row>
    <row r="1086" spans="1:1" x14ac:dyDescent="0.35">
      <c r="A1086"/>
    </row>
    <row r="1087" spans="1:1" x14ac:dyDescent="0.35">
      <c r="A1087"/>
    </row>
    <row r="1088" spans="1:1" x14ac:dyDescent="0.35">
      <c r="A1088"/>
    </row>
    <row r="1089" spans="1:1" x14ac:dyDescent="0.35">
      <c r="A1089"/>
    </row>
    <row r="1090" spans="1:1" x14ac:dyDescent="0.35">
      <c r="A1090"/>
    </row>
    <row r="1091" spans="1:1" x14ac:dyDescent="0.35">
      <c r="A1091"/>
    </row>
    <row r="1092" spans="1:1" x14ac:dyDescent="0.35">
      <c r="A1092"/>
    </row>
    <row r="1093" spans="1:1" x14ac:dyDescent="0.35">
      <c r="A1093"/>
    </row>
    <row r="1094" spans="1:1" x14ac:dyDescent="0.35">
      <c r="A1094"/>
    </row>
    <row r="1095" spans="1:1" x14ac:dyDescent="0.35">
      <c r="A1095"/>
    </row>
    <row r="1096" spans="1:1" x14ac:dyDescent="0.35">
      <c r="A1096"/>
    </row>
    <row r="1097" spans="1:1" x14ac:dyDescent="0.35">
      <c r="A1097"/>
    </row>
    <row r="1098" spans="1:1" x14ac:dyDescent="0.35">
      <c r="A1098"/>
    </row>
    <row r="1099" spans="1:1" x14ac:dyDescent="0.35">
      <c r="A1099"/>
    </row>
    <row r="1100" spans="1:1" x14ac:dyDescent="0.35">
      <c r="A1100"/>
    </row>
    <row r="1101" spans="1:1" x14ac:dyDescent="0.35">
      <c r="A1101"/>
    </row>
    <row r="1102" spans="1:1" x14ac:dyDescent="0.35">
      <c r="A1102"/>
    </row>
    <row r="1103" spans="1:1" x14ac:dyDescent="0.35">
      <c r="A1103"/>
    </row>
    <row r="1104" spans="1:1" x14ac:dyDescent="0.35">
      <c r="A1104"/>
    </row>
    <row r="1105" spans="1:1" x14ac:dyDescent="0.35">
      <c r="A1105"/>
    </row>
    <row r="1106" spans="1:1" x14ac:dyDescent="0.35">
      <c r="A1106"/>
    </row>
    <row r="1107" spans="1:1" x14ac:dyDescent="0.35">
      <c r="A1107"/>
    </row>
    <row r="1108" spans="1:1" x14ac:dyDescent="0.35">
      <c r="A1108"/>
    </row>
    <row r="1109" spans="1:1" x14ac:dyDescent="0.35">
      <c r="A1109"/>
    </row>
    <row r="1110" spans="1:1" x14ac:dyDescent="0.35">
      <c r="A1110"/>
    </row>
    <row r="1111" spans="1:1" x14ac:dyDescent="0.35">
      <c r="A1111"/>
    </row>
    <row r="1112" spans="1:1" x14ac:dyDescent="0.35">
      <c r="A1112"/>
    </row>
    <row r="1113" spans="1:1" x14ac:dyDescent="0.35">
      <c r="A1113"/>
    </row>
    <row r="1114" spans="1:1" x14ac:dyDescent="0.35">
      <c r="A1114"/>
    </row>
    <row r="1115" spans="1:1" x14ac:dyDescent="0.35">
      <c r="A1115"/>
    </row>
    <row r="1116" spans="1:1" x14ac:dyDescent="0.35">
      <c r="A1116"/>
    </row>
    <row r="1117" spans="1:1" x14ac:dyDescent="0.35">
      <c r="A1117"/>
    </row>
    <row r="1118" spans="1:1" x14ac:dyDescent="0.35">
      <c r="A1118"/>
    </row>
    <row r="1119" spans="1:1" x14ac:dyDescent="0.35">
      <c r="A1119"/>
    </row>
    <row r="1120" spans="1:1" x14ac:dyDescent="0.35">
      <c r="A1120"/>
    </row>
    <row r="1121" spans="1:1" x14ac:dyDescent="0.35">
      <c r="A1121"/>
    </row>
    <row r="1122" spans="1:1" x14ac:dyDescent="0.35">
      <c r="A1122"/>
    </row>
    <row r="1123" spans="1:1" x14ac:dyDescent="0.35">
      <c r="A1123"/>
    </row>
    <row r="1124" spans="1:1" x14ac:dyDescent="0.35">
      <c r="A1124"/>
    </row>
    <row r="1125" spans="1:1" x14ac:dyDescent="0.35">
      <c r="A1125"/>
    </row>
    <row r="1126" spans="1:1" x14ac:dyDescent="0.35">
      <c r="A1126"/>
    </row>
    <row r="1127" spans="1:1" x14ac:dyDescent="0.35">
      <c r="A1127"/>
    </row>
    <row r="1128" spans="1:1" x14ac:dyDescent="0.35">
      <c r="A1128"/>
    </row>
    <row r="1129" spans="1:1" x14ac:dyDescent="0.35">
      <c r="A1129"/>
    </row>
    <row r="1130" spans="1:1" x14ac:dyDescent="0.35">
      <c r="A1130"/>
    </row>
    <row r="1131" spans="1:1" x14ac:dyDescent="0.35">
      <c r="A1131"/>
    </row>
    <row r="1132" spans="1:1" x14ac:dyDescent="0.35">
      <c r="A1132"/>
    </row>
    <row r="1133" spans="1:1" x14ac:dyDescent="0.35">
      <c r="A1133"/>
    </row>
    <row r="1134" spans="1:1" x14ac:dyDescent="0.35">
      <c r="A1134"/>
    </row>
    <row r="1135" spans="1:1" x14ac:dyDescent="0.35">
      <c r="A1135"/>
    </row>
    <row r="1136" spans="1:1" x14ac:dyDescent="0.35">
      <c r="A1136"/>
    </row>
    <row r="1137" spans="1:1" x14ac:dyDescent="0.35">
      <c r="A1137"/>
    </row>
    <row r="1138" spans="1:1" x14ac:dyDescent="0.35">
      <c r="A1138"/>
    </row>
    <row r="1139" spans="1:1" x14ac:dyDescent="0.35">
      <c r="A1139"/>
    </row>
    <row r="1140" spans="1:1" x14ac:dyDescent="0.35">
      <c r="A1140"/>
    </row>
    <row r="1141" spans="1:1" x14ac:dyDescent="0.35">
      <c r="A1141"/>
    </row>
    <row r="1142" spans="1:1" x14ac:dyDescent="0.35">
      <c r="A1142"/>
    </row>
    <row r="1143" spans="1:1" x14ac:dyDescent="0.35">
      <c r="A1143"/>
    </row>
    <row r="1144" spans="1:1" x14ac:dyDescent="0.35">
      <c r="A1144"/>
    </row>
    <row r="1145" spans="1:1" x14ac:dyDescent="0.35">
      <c r="A1145"/>
    </row>
    <row r="1146" spans="1:1" x14ac:dyDescent="0.35">
      <c r="A1146"/>
    </row>
    <row r="1147" spans="1:1" x14ac:dyDescent="0.35">
      <c r="A1147"/>
    </row>
    <row r="1148" spans="1:1" x14ac:dyDescent="0.35">
      <c r="A1148"/>
    </row>
    <row r="1149" spans="1:1" x14ac:dyDescent="0.35">
      <c r="A1149"/>
    </row>
    <row r="1150" spans="1:1" x14ac:dyDescent="0.35">
      <c r="A1150"/>
    </row>
    <row r="1151" spans="1:1" x14ac:dyDescent="0.35">
      <c r="A1151"/>
    </row>
    <row r="1152" spans="1:1" x14ac:dyDescent="0.35">
      <c r="A1152"/>
    </row>
    <row r="1153" spans="1:1" x14ac:dyDescent="0.35">
      <c r="A1153"/>
    </row>
    <row r="1154" spans="1:1" x14ac:dyDescent="0.35">
      <c r="A1154"/>
    </row>
    <row r="1155" spans="1:1" x14ac:dyDescent="0.35">
      <c r="A1155"/>
    </row>
    <row r="1156" spans="1:1" x14ac:dyDescent="0.35">
      <c r="A1156"/>
    </row>
    <row r="1157" spans="1:1" x14ac:dyDescent="0.35">
      <c r="A1157"/>
    </row>
    <row r="1158" spans="1:1" x14ac:dyDescent="0.35">
      <c r="A1158"/>
    </row>
    <row r="1159" spans="1:1" x14ac:dyDescent="0.35">
      <c r="A1159"/>
    </row>
    <row r="1160" spans="1:1" x14ac:dyDescent="0.35">
      <c r="A1160"/>
    </row>
    <row r="1161" spans="1:1" x14ac:dyDescent="0.35">
      <c r="A1161"/>
    </row>
    <row r="1162" spans="1:1" x14ac:dyDescent="0.35">
      <c r="A1162"/>
    </row>
    <row r="1163" spans="1:1" x14ac:dyDescent="0.35">
      <c r="A1163"/>
    </row>
    <row r="1164" spans="1:1" x14ac:dyDescent="0.35">
      <c r="A1164"/>
    </row>
    <row r="1165" spans="1:1" x14ac:dyDescent="0.35">
      <c r="A1165"/>
    </row>
    <row r="1166" spans="1:1" x14ac:dyDescent="0.35">
      <c r="A1166"/>
    </row>
    <row r="1167" spans="1:1" x14ac:dyDescent="0.35">
      <c r="A1167"/>
    </row>
    <row r="1168" spans="1:1" x14ac:dyDescent="0.35">
      <c r="A1168"/>
    </row>
    <row r="1169" spans="1:1" x14ac:dyDescent="0.35">
      <c r="A1169"/>
    </row>
    <row r="1170" spans="1:1" x14ac:dyDescent="0.35">
      <c r="A1170"/>
    </row>
    <row r="1171" spans="1:1" x14ac:dyDescent="0.35">
      <c r="A1171"/>
    </row>
    <row r="1172" spans="1:1" x14ac:dyDescent="0.35">
      <c r="A1172"/>
    </row>
    <row r="1173" spans="1:1" x14ac:dyDescent="0.35">
      <c r="A1173"/>
    </row>
    <row r="1174" spans="1:1" x14ac:dyDescent="0.35">
      <c r="A1174"/>
    </row>
    <row r="1175" spans="1:1" x14ac:dyDescent="0.35">
      <c r="A1175"/>
    </row>
    <row r="1176" spans="1:1" x14ac:dyDescent="0.35">
      <c r="A1176"/>
    </row>
    <row r="1177" spans="1:1" x14ac:dyDescent="0.35">
      <c r="A1177"/>
    </row>
    <row r="1178" spans="1:1" x14ac:dyDescent="0.35">
      <c r="A1178"/>
    </row>
    <row r="1179" spans="1:1" x14ac:dyDescent="0.35">
      <c r="A1179"/>
    </row>
    <row r="1180" spans="1:1" x14ac:dyDescent="0.35">
      <c r="A1180"/>
    </row>
    <row r="1181" spans="1:1" x14ac:dyDescent="0.35">
      <c r="A1181"/>
    </row>
    <row r="1182" spans="1:1" x14ac:dyDescent="0.35">
      <c r="A1182"/>
    </row>
    <row r="1183" spans="1:1" x14ac:dyDescent="0.35">
      <c r="A1183"/>
    </row>
    <row r="1184" spans="1:1" x14ac:dyDescent="0.35">
      <c r="A1184"/>
    </row>
    <row r="1185" spans="1:1" x14ac:dyDescent="0.35">
      <c r="A1185"/>
    </row>
    <row r="1186" spans="1:1" x14ac:dyDescent="0.35">
      <c r="A1186"/>
    </row>
    <row r="1187" spans="1:1" x14ac:dyDescent="0.35">
      <c r="A1187"/>
    </row>
    <row r="1188" spans="1:1" x14ac:dyDescent="0.35">
      <c r="A1188"/>
    </row>
    <row r="1189" spans="1:1" x14ac:dyDescent="0.35">
      <c r="A1189"/>
    </row>
    <row r="1190" spans="1:1" x14ac:dyDescent="0.35">
      <c r="A1190"/>
    </row>
    <row r="1191" spans="1:1" x14ac:dyDescent="0.35">
      <c r="A1191"/>
    </row>
    <row r="1192" spans="1:1" x14ac:dyDescent="0.35">
      <c r="A1192"/>
    </row>
    <row r="1193" spans="1:1" x14ac:dyDescent="0.35">
      <c r="A1193"/>
    </row>
    <row r="1194" spans="1:1" x14ac:dyDescent="0.35">
      <c r="A1194"/>
    </row>
    <row r="1195" spans="1:1" x14ac:dyDescent="0.35">
      <c r="A1195"/>
    </row>
    <row r="1196" spans="1:1" x14ac:dyDescent="0.35">
      <c r="A1196"/>
    </row>
    <row r="1197" spans="1:1" x14ac:dyDescent="0.35">
      <c r="A1197"/>
    </row>
    <row r="1198" spans="1:1" x14ac:dyDescent="0.35">
      <c r="A1198"/>
    </row>
    <row r="1199" spans="1:1" x14ac:dyDescent="0.35">
      <c r="A1199"/>
    </row>
    <row r="1200" spans="1:1" x14ac:dyDescent="0.35">
      <c r="A1200"/>
    </row>
    <row r="1201" spans="1:1" x14ac:dyDescent="0.35">
      <c r="A1201"/>
    </row>
    <row r="1202" spans="1:1" x14ac:dyDescent="0.35">
      <c r="A1202"/>
    </row>
    <row r="1203" spans="1:1" x14ac:dyDescent="0.35">
      <c r="A1203"/>
    </row>
    <row r="1204" spans="1:1" x14ac:dyDescent="0.35">
      <c r="A1204"/>
    </row>
    <row r="1205" spans="1:1" x14ac:dyDescent="0.35">
      <c r="A1205"/>
    </row>
    <row r="1206" spans="1:1" x14ac:dyDescent="0.35">
      <c r="A1206"/>
    </row>
    <row r="1207" spans="1:1" x14ac:dyDescent="0.35">
      <c r="A1207"/>
    </row>
    <row r="1208" spans="1:1" x14ac:dyDescent="0.35">
      <c r="A1208"/>
    </row>
    <row r="1209" spans="1:1" x14ac:dyDescent="0.35">
      <c r="A1209"/>
    </row>
    <row r="1210" spans="1:1" x14ac:dyDescent="0.35">
      <c r="A1210"/>
    </row>
    <row r="1211" spans="1:1" x14ac:dyDescent="0.35">
      <c r="A1211"/>
    </row>
    <row r="1212" spans="1:1" x14ac:dyDescent="0.35">
      <c r="A1212"/>
    </row>
    <row r="1213" spans="1:1" x14ac:dyDescent="0.35">
      <c r="A1213"/>
    </row>
    <row r="1214" spans="1:1" x14ac:dyDescent="0.35">
      <c r="A1214"/>
    </row>
    <row r="1215" spans="1:1" x14ac:dyDescent="0.35">
      <c r="A1215"/>
    </row>
    <row r="1216" spans="1:1" x14ac:dyDescent="0.35">
      <c r="A1216"/>
    </row>
    <row r="1217" spans="1:1" x14ac:dyDescent="0.35">
      <c r="A1217"/>
    </row>
    <row r="1218" spans="1:1" x14ac:dyDescent="0.35">
      <c r="A1218"/>
    </row>
    <row r="1219" spans="1:1" x14ac:dyDescent="0.35">
      <c r="A1219"/>
    </row>
    <row r="1220" spans="1:1" x14ac:dyDescent="0.35">
      <c r="A1220"/>
    </row>
    <row r="1221" spans="1:1" x14ac:dyDescent="0.35">
      <c r="A1221"/>
    </row>
    <row r="1222" spans="1:1" x14ac:dyDescent="0.35">
      <c r="A1222"/>
    </row>
    <row r="1223" spans="1:1" x14ac:dyDescent="0.35">
      <c r="A1223"/>
    </row>
    <row r="1224" spans="1:1" x14ac:dyDescent="0.35">
      <c r="A1224"/>
    </row>
    <row r="1225" spans="1:1" x14ac:dyDescent="0.35">
      <c r="A1225"/>
    </row>
    <row r="1226" spans="1:1" x14ac:dyDescent="0.35">
      <c r="A1226"/>
    </row>
    <row r="1227" spans="1:1" x14ac:dyDescent="0.35">
      <c r="A1227"/>
    </row>
    <row r="1228" spans="1:1" x14ac:dyDescent="0.35">
      <c r="A1228"/>
    </row>
    <row r="1229" spans="1:1" x14ac:dyDescent="0.35">
      <c r="A1229"/>
    </row>
    <row r="1230" spans="1:1" x14ac:dyDescent="0.35">
      <c r="A1230"/>
    </row>
    <row r="1231" spans="1:1" x14ac:dyDescent="0.35">
      <c r="A1231"/>
    </row>
    <row r="1232" spans="1:1" x14ac:dyDescent="0.35">
      <c r="A1232"/>
    </row>
    <row r="1233" spans="1:1" x14ac:dyDescent="0.35">
      <c r="A1233"/>
    </row>
    <row r="1234" spans="1:1" x14ac:dyDescent="0.35">
      <c r="A1234"/>
    </row>
    <row r="1235" spans="1:1" x14ac:dyDescent="0.35">
      <c r="A1235"/>
    </row>
    <row r="1236" spans="1:1" x14ac:dyDescent="0.35">
      <c r="A1236"/>
    </row>
    <row r="1237" spans="1:1" x14ac:dyDescent="0.35">
      <c r="A1237"/>
    </row>
    <row r="1238" spans="1:1" x14ac:dyDescent="0.35">
      <c r="A1238"/>
    </row>
    <row r="1239" spans="1:1" x14ac:dyDescent="0.35">
      <c r="A1239"/>
    </row>
    <row r="1240" spans="1:1" x14ac:dyDescent="0.35">
      <c r="A1240"/>
    </row>
    <row r="1241" spans="1:1" x14ac:dyDescent="0.35">
      <c r="A1241"/>
    </row>
    <row r="1242" spans="1:1" x14ac:dyDescent="0.35">
      <c r="A1242"/>
    </row>
    <row r="1243" spans="1:1" x14ac:dyDescent="0.35">
      <c r="A1243"/>
    </row>
    <row r="1244" spans="1:1" x14ac:dyDescent="0.35">
      <c r="A1244"/>
    </row>
    <row r="1245" spans="1:1" x14ac:dyDescent="0.35">
      <c r="A1245"/>
    </row>
    <row r="1246" spans="1:1" x14ac:dyDescent="0.35">
      <c r="A1246"/>
    </row>
    <row r="1247" spans="1:1" x14ac:dyDescent="0.35">
      <c r="A1247"/>
    </row>
    <row r="1248" spans="1:1" x14ac:dyDescent="0.35">
      <c r="A1248"/>
    </row>
    <row r="1249" spans="1:1" x14ac:dyDescent="0.35">
      <c r="A1249"/>
    </row>
    <row r="1250" spans="1:1" x14ac:dyDescent="0.35">
      <c r="A1250"/>
    </row>
    <row r="1251" spans="1:1" x14ac:dyDescent="0.35">
      <c r="A1251"/>
    </row>
    <row r="1252" spans="1:1" x14ac:dyDescent="0.35">
      <c r="A1252"/>
    </row>
    <row r="1253" spans="1:1" x14ac:dyDescent="0.35">
      <c r="A1253"/>
    </row>
    <row r="1254" spans="1:1" x14ac:dyDescent="0.35">
      <c r="A1254"/>
    </row>
    <row r="1255" spans="1:1" x14ac:dyDescent="0.35">
      <c r="A1255"/>
    </row>
    <row r="1256" spans="1:1" x14ac:dyDescent="0.35">
      <c r="A1256"/>
    </row>
    <row r="1257" spans="1:1" x14ac:dyDescent="0.35">
      <c r="A1257"/>
    </row>
    <row r="1258" spans="1:1" x14ac:dyDescent="0.35">
      <c r="A1258"/>
    </row>
    <row r="1259" spans="1:1" x14ac:dyDescent="0.35">
      <c r="A1259"/>
    </row>
    <row r="1260" spans="1:1" x14ac:dyDescent="0.35">
      <c r="A1260"/>
    </row>
    <row r="1261" spans="1:1" x14ac:dyDescent="0.35">
      <c r="A1261"/>
    </row>
    <row r="1262" spans="1:1" x14ac:dyDescent="0.35">
      <c r="A1262"/>
    </row>
    <row r="1263" spans="1:1" x14ac:dyDescent="0.35">
      <c r="A1263"/>
    </row>
    <row r="1264" spans="1:1" x14ac:dyDescent="0.35">
      <c r="A1264"/>
    </row>
    <row r="1265" spans="1:1" x14ac:dyDescent="0.35">
      <c r="A1265"/>
    </row>
    <row r="1266" spans="1:1" x14ac:dyDescent="0.35">
      <c r="A1266"/>
    </row>
    <row r="1267" spans="1:1" x14ac:dyDescent="0.35">
      <c r="A1267"/>
    </row>
    <row r="1268" spans="1:1" x14ac:dyDescent="0.35">
      <c r="A1268"/>
    </row>
    <row r="1269" spans="1:1" x14ac:dyDescent="0.35">
      <c r="A1269"/>
    </row>
    <row r="1270" spans="1:1" x14ac:dyDescent="0.35">
      <c r="A1270"/>
    </row>
    <row r="1271" spans="1:1" x14ac:dyDescent="0.35">
      <c r="A1271"/>
    </row>
    <row r="1272" spans="1:1" x14ac:dyDescent="0.35">
      <c r="A1272"/>
    </row>
    <row r="1273" spans="1:1" x14ac:dyDescent="0.35">
      <c r="A1273"/>
    </row>
    <row r="1274" spans="1:1" x14ac:dyDescent="0.35">
      <c r="A1274"/>
    </row>
    <row r="1275" spans="1:1" x14ac:dyDescent="0.35">
      <c r="A1275"/>
    </row>
    <row r="1276" spans="1:1" x14ac:dyDescent="0.35">
      <c r="A1276"/>
    </row>
    <row r="1277" spans="1:1" x14ac:dyDescent="0.35">
      <c r="A1277"/>
    </row>
    <row r="1278" spans="1:1" x14ac:dyDescent="0.35">
      <c r="A1278"/>
    </row>
    <row r="1279" spans="1:1" x14ac:dyDescent="0.35">
      <c r="A1279"/>
    </row>
    <row r="1280" spans="1:1" x14ac:dyDescent="0.35">
      <c r="A1280"/>
    </row>
    <row r="1281" spans="1:1" x14ac:dyDescent="0.35">
      <c r="A1281"/>
    </row>
    <row r="1282" spans="1:1" x14ac:dyDescent="0.35">
      <c r="A1282"/>
    </row>
    <row r="1283" spans="1:1" x14ac:dyDescent="0.35">
      <c r="A1283"/>
    </row>
    <row r="1284" spans="1:1" x14ac:dyDescent="0.35">
      <c r="A1284"/>
    </row>
    <row r="1285" spans="1:1" x14ac:dyDescent="0.35">
      <c r="A1285"/>
    </row>
    <row r="1286" spans="1:1" x14ac:dyDescent="0.35">
      <c r="A1286"/>
    </row>
    <row r="1287" spans="1:1" x14ac:dyDescent="0.35">
      <c r="A1287"/>
    </row>
    <row r="1288" spans="1:1" x14ac:dyDescent="0.35">
      <c r="A1288"/>
    </row>
    <row r="1289" spans="1:1" x14ac:dyDescent="0.35">
      <c r="A1289"/>
    </row>
    <row r="1290" spans="1:1" x14ac:dyDescent="0.35">
      <c r="A1290"/>
    </row>
    <row r="1291" spans="1:1" x14ac:dyDescent="0.35">
      <c r="A1291"/>
    </row>
    <row r="1292" spans="1:1" x14ac:dyDescent="0.35">
      <c r="A1292"/>
    </row>
    <row r="1293" spans="1:1" x14ac:dyDescent="0.35">
      <c r="A1293"/>
    </row>
    <row r="1294" spans="1:1" x14ac:dyDescent="0.35">
      <c r="A1294"/>
    </row>
    <row r="1295" spans="1:1" x14ac:dyDescent="0.35">
      <c r="A1295"/>
    </row>
    <row r="1296" spans="1:1" x14ac:dyDescent="0.35">
      <c r="A1296"/>
    </row>
    <row r="1297" spans="1:1" x14ac:dyDescent="0.35">
      <c r="A1297"/>
    </row>
    <row r="1298" spans="1:1" x14ac:dyDescent="0.35">
      <c r="A1298"/>
    </row>
    <row r="1299" spans="1:1" x14ac:dyDescent="0.35">
      <c r="A1299"/>
    </row>
    <row r="1300" spans="1:1" x14ac:dyDescent="0.35">
      <c r="A1300"/>
    </row>
    <row r="1301" spans="1:1" x14ac:dyDescent="0.35">
      <c r="A1301"/>
    </row>
    <row r="1302" spans="1:1" x14ac:dyDescent="0.35">
      <c r="A1302"/>
    </row>
    <row r="1303" spans="1:1" x14ac:dyDescent="0.35">
      <c r="A1303"/>
    </row>
    <row r="1304" spans="1:1" x14ac:dyDescent="0.35">
      <c r="A1304"/>
    </row>
    <row r="1305" spans="1:1" x14ac:dyDescent="0.35">
      <c r="A1305"/>
    </row>
    <row r="1306" spans="1:1" x14ac:dyDescent="0.35">
      <c r="A1306"/>
    </row>
    <row r="1307" spans="1:1" x14ac:dyDescent="0.35">
      <c r="A1307"/>
    </row>
    <row r="1308" spans="1:1" x14ac:dyDescent="0.35">
      <c r="A1308"/>
    </row>
    <row r="1309" spans="1:1" x14ac:dyDescent="0.35">
      <c r="A1309"/>
    </row>
    <row r="1310" spans="1:1" x14ac:dyDescent="0.35">
      <c r="A1310"/>
    </row>
    <row r="1311" spans="1:1" x14ac:dyDescent="0.35">
      <c r="A1311"/>
    </row>
    <row r="1312" spans="1:1" x14ac:dyDescent="0.35">
      <c r="A1312"/>
    </row>
    <row r="1313" spans="1:1" x14ac:dyDescent="0.35">
      <c r="A1313"/>
    </row>
    <row r="1314" spans="1:1" x14ac:dyDescent="0.35">
      <c r="A1314"/>
    </row>
    <row r="1315" spans="1:1" x14ac:dyDescent="0.35">
      <c r="A1315"/>
    </row>
    <row r="1316" spans="1:1" x14ac:dyDescent="0.35">
      <c r="A1316"/>
    </row>
    <row r="1317" spans="1:1" x14ac:dyDescent="0.35">
      <c r="A1317"/>
    </row>
    <row r="1318" spans="1:1" x14ac:dyDescent="0.35">
      <c r="A1318"/>
    </row>
    <row r="1319" spans="1:1" x14ac:dyDescent="0.35">
      <c r="A1319"/>
    </row>
    <row r="1320" spans="1:1" x14ac:dyDescent="0.35">
      <c r="A1320"/>
    </row>
    <row r="1321" spans="1:1" x14ac:dyDescent="0.35">
      <c r="A1321"/>
    </row>
    <row r="1322" spans="1:1" x14ac:dyDescent="0.35">
      <c r="A1322"/>
    </row>
    <row r="1323" spans="1:1" x14ac:dyDescent="0.35">
      <c r="A1323"/>
    </row>
    <row r="1324" spans="1:1" x14ac:dyDescent="0.35">
      <c r="A1324"/>
    </row>
    <row r="1325" spans="1:1" x14ac:dyDescent="0.35">
      <c r="A1325"/>
    </row>
    <row r="1326" spans="1:1" x14ac:dyDescent="0.35">
      <c r="A1326"/>
    </row>
    <row r="1327" spans="1:1" x14ac:dyDescent="0.35">
      <c r="A1327"/>
    </row>
    <row r="1328" spans="1:1" x14ac:dyDescent="0.35">
      <c r="A1328"/>
    </row>
    <row r="1329" spans="1:1" x14ac:dyDescent="0.35">
      <c r="A1329"/>
    </row>
    <row r="1330" spans="1:1" x14ac:dyDescent="0.35">
      <c r="A1330"/>
    </row>
    <row r="1331" spans="1:1" x14ac:dyDescent="0.35">
      <c r="A1331"/>
    </row>
    <row r="1332" spans="1:1" x14ac:dyDescent="0.35">
      <c r="A1332"/>
    </row>
    <row r="1333" spans="1:1" x14ac:dyDescent="0.35">
      <c r="A1333"/>
    </row>
    <row r="1334" spans="1:1" x14ac:dyDescent="0.35">
      <c r="A1334"/>
    </row>
    <row r="1335" spans="1:1" x14ac:dyDescent="0.35">
      <c r="A1335"/>
    </row>
    <row r="1336" spans="1:1" x14ac:dyDescent="0.35">
      <c r="A1336"/>
    </row>
    <row r="1337" spans="1:1" x14ac:dyDescent="0.35">
      <c r="A1337"/>
    </row>
    <row r="1338" spans="1:1" x14ac:dyDescent="0.35">
      <c r="A1338"/>
    </row>
    <row r="1339" spans="1:1" x14ac:dyDescent="0.35">
      <c r="A1339"/>
    </row>
    <row r="1340" spans="1:1" x14ac:dyDescent="0.35">
      <c r="A1340"/>
    </row>
    <row r="1341" spans="1:1" x14ac:dyDescent="0.35">
      <c r="A1341"/>
    </row>
    <row r="1342" spans="1:1" x14ac:dyDescent="0.35">
      <c r="A1342"/>
    </row>
    <row r="1343" spans="1:1" x14ac:dyDescent="0.35">
      <c r="A1343"/>
    </row>
    <row r="1344" spans="1:1" x14ac:dyDescent="0.35">
      <c r="A1344"/>
    </row>
    <row r="1345" spans="1:1" x14ac:dyDescent="0.35">
      <c r="A1345"/>
    </row>
    <row r="1346" spans="1:1" x14ac:dyDescent="0.35">
      <c r="A1346"/>
    </row>
    <row r="1347" spans="1:1" x14ac:dyDescent="0.35">
      <c r="A1347"/>
    </row>
    <row r="1348" spans="1:1" x14ac:dyDescent="0.35">
      <c r="A1348"/>
    </row>
    <row r="1349" spans="1:1" x14ac:dyDescent="0.35">
      <c r="A1349"/>
    </row>
    <row r="1350" spans="1:1" x14ac:dyDescent="0.35">
      <c r="A1350"/>
    </row>
    <row r="1351" spans="1:1" x14ac:dyDescent="0.35">
      <c r="A1351"/>
    </row>
    <row r="1352" spans="1:1" x14ac:dyDescent="0.35">
      <c r="A1352"/>
    </row>
    <row r="1353" spans="1:1" x14ac:dyDescent="0.35">
      <c r="A1353"/>
    </row>
    <row r="1354" spans="1:1" x14ac:dyDescent="0.35">
      <c r="A1354"/>
    </row>
    <row r="1355" spans="1:1" x14ac:dyDescent="0.35">
      <c r="A1355"/>
    </row>
    <row r="1356" spans="1:1" x14ac:dyDescent="0.35">
      <c r="A1356"/>
    </row>
    <row r="1357" spans="1:1" x14ac:dyDescent="0.35">
      <c r="A1357"/>
    </row>
    <row r="1358" spans="1:1" x14ac:dyDescent="0.35">
      <c r="A1358"/>
    </row>
    <row r="1359" spans="1:1" x14ac:dyDescent="0.35">
      <c r="A1359"/>
    </row>
    <row r="1360" spans="1:1" x14ac:dyDescent="0.35">
      <c r="A1360"/>
    </row>
    <row r="1361" spans="1:1" x14ac:dyDescent="0.35">
      <c r="A1361"/>
    </row>
    <row r="1362" spans="1:1" x14ac:dyDescent="0.35">
      <c r="A1362"/>
    </row>
    <row r="1363" spans="1:1" x14ac:dyDescent="0.35">
      <c r="A1363"/>
    </row>
    <row r="1364" spans="1:1" x14ac:dyDescent="0.35">
      <c r="A1364"/>
    </row>
    <row r="1365" spans="1:1" x14ac:dyDescent="0.35">
      <c r="A1365"/>
    </row>
    <row r="1366" spans="1:1" x14ac:dyDescent="0.35">
      <c r="A1366"/>
    </row>
    <row r="1367" spans="1:1" x14ac:dyDescent="0.35">
      <c r="A1367"/>
    </row>
    <row r="1368" spans="1:1" x14ac:dyDescent="0.35">
      <c r="A1368"/>
    </row>
    <row r="1369" spans="1:1" x14ac:dyDescent="0.35">
      <c r="A1369"/>
    </row>
    <row r="1370" spans="1:1" x14ac:dyDescent="0.35">
      <c r="A1370"/>
    </row>
    <row r="1371" spans="1:1" x14ac:dyDescent="0.35">
      <c r="A1371"/>
    </row>
    <row r="1372" spans="1:1" x14ac:dyDescent="0.35">
      <c r="A1372"/>
    </row>
    <row r="1373" spans="1:1" x14ac:dyDescent="0.35">
      <c r="A1373"/>
    </row>
    <row r="1374" spans="1:1" x14ac:dyDescent="0.35">
      <c r="A1374"/>
    </row>
    <row r="1375" spans="1:1" x14ac:dyDescent="0.35">
      <c r="A1375"/>
    </row>
    <row r="1376" spans="1:1" x14ac:dyDescent="0.35">
      <c r="A1376"/>
    </row>
    <row r="1377" spans="1:1" x14ac:dyDescent="0.35">
      <c r="A1377"/>
    </row>
    <row r="1378" spans="1:1" x14ac:dyDescent="0.35">
      <c r="A1378"/>
    </row>
    <row r="1379" spans="1:1" x14ac:dyDescent="0.35">
      <c r="A1379"/>
    </row>
    <row r="1380" spans="1:1" x14ac:dyDescent="0.35">
      <c r="A1380"/>
    </row>
    <row r="1381" spans="1:1" x14ac:dyDescent="0.35">
      <c r="A1381"/>
    </row>
    <row r="1382" spans="1:1" x14ac:dyDescent="0.35">
      <c r="A1382"/>
    </row>
    <row r="1383" spans="1:1" x14ac:dyDescent="0.35">
      <c r="A1383"/>
    </row>
    <row r="1384" spans="1:1" x14ac:dyDescent="0.35">
      <c r="A1384"/>
    </row>
    <row r="1385" spans="1:1" x14ac:dyDescent="0.35">
      <c r="A1385"/>
    </row>
    <row r="1386" spans="1:1" x14ac:dyDescent="0.35">
      <c r="A1386"/>
    </row>
    <row r="1387" spans="1:1" x14ac:dyDescent="0.35">
      <c r="A1387"/>
    </row>
    <row r="1388" spans="1:1" x14ac:dyDescent="0.35">
      <c r="A1388"/>
    </row>
    <row r="1389" spans="1:1" x14ac:dyDescent="0.35">
      <c r="A1389"/>
    </row>
    <row r="1390" spans="1:1" x14ac:dyDescent="0.35">
      <c r="A1390"/>
    </row>
    <row r="1391" spans="1:1" x14ac:dyDescent="0.35">
      <c r="A1391"/>
    </row>
    <row r="1392" spans="1:1" x14ac:dyDescent="0.35">
      <c r="A1392"/>
    </row>
    <row r="1393" spans="1:1" x14ac:dyDescent="0.35">
      <c r="A1393"/>
    </row>
    <row r="1394" spans="1:1" x14ac:dyDescent="0.35">
      <c r="A1394"/>
    </row>
    <row r="1395" spans="1:1" x14ac:dyDescent="0.35">
      <c r="A1395"/>
    </row>
    <row r="1396" spans="1:1" x14ac:dyDescent="0.35">
      <c r="A1396"/>
    </row>
    <row r="1397" spans="1:1" x14ac:dyDescent="0.35">
      <c r="A1397"/>
    </row>
    <row r="1398" spans="1:1" x14ac:dyDescent="0.35">
      <c r="A1398"/>
    </row>
    <row r="1399" spans="1:1" x14ac:dyDescent="0.35">
      <c r="A1399"/>
    </row>
    <row r="1400" spans="1:1" x14ac:dyDescent="0.35">
      <c r="A1400"/>
    </row>
    <row r="1401" spans="1:1" x14ac:dyDescent="0.35">
      <c r="A1401"/>
    </row>
    <row r="1402" spans="1:1" x14ac:dyDescent="0.35">
      <c r="A1402"/>
    </row>
    <row r="1403" spans="1:1" x14ac:dyDescent="0.35">
      <c r="A1403"/>
    </row>
    <row r="1404" spans="1:1" x14ac:dyDescent="0.35">
      <c r="A1404"/>
    </row>
    <row r="1405" spans="1:1" x14ac:dyDescent="0.35">
      <c r="A1405"/>
    </row>
    <row r="1406" spans="1:1" x14ac:dyDescent="0.35">
      <c r="A1406"/>
    </row>
    <row r="1407" spans="1:1" x14ac:dyDescent="0.35">
      <c r="A1407"/>
    </row>
    <row r="1408" spans="1:1" x14ac:dyDescent="0.35">
      <c r="A1408"/>
    </row>
    <row r="1409" spans="1:1" x14ac:dyDescent="0.35">
      <c r="A1409"/>
    </row>
    <row r="1410" spans="1:1" x14ac:dyDescent="0.35">
      <c r="A1410"/>
    </row>
    <row r="1411" spans="1:1" x14ac:dyDescent="0.35">
      <c r="A1411"/>
    </row>
    <row r="1412" spans="1:1" x14ac:dyDescent="0.35">
      <c r="A1412"/>
    </row>
    <row r="1413" spans="1:1" x14ac:dyDescent="0.35">
      <c r="A1413"/>
    </row>
    <row r="1414" spans="1:1" x14ac:dyDescent="0.35">
      <c r="A1414"/>
    </row>
    <row r="1415" spans="1:1" x14ac:dyDescent="0.35">
      <c r="A1415"/>
    </row>
    <row r="1416" spans="1:1" x14ac:dyDescent="0.35">
      <c r="A1416"/>
    </row>
    <row r="1417" spans="1:1" x14ac:dyDescent="0.35">
      <c r="A1417"/>
    </row>
    <row r="1418" spans="1:1" x14ac:dyDescent="0.35">
      <c r="A1418"/>
    </row>
    <row r="1419" spans="1:1" x14ac:dyDescent="0.35">
      <c r="A1419"/>
    </row>
    <row r="1420" spans="1:1" x14ac:dyDescent="0.35">
      <c r="A1420"/>
    </row>
    <row r="1421" spans="1:1" x14ac:dyDescent="0.35">
      <c r="A1421"/>
    </row>
    <row r="1422" spans="1:1" x14ac:dyDescent="0.35">
      <c r="A1422"/>
    </row>
    <row r="1423" spans="1:1" x14ac:dyDescent="0.35">
      <c r="A1423"/>
    </row>
    <row r="1424" spans="1:1" x14ac:dyDescent="0.35">
      <c r="A1424"/>
    </row>
    <row r="1425" spans="1:1" x14ac:dyDescent="0.35">
      <c r="A1425"/>
    </row>
    <row r="1426" spans="1:1" x14ac:dyDescent="0.35">
      <c r="A1426"/>
    </row>
    <row r="1427" spans="1:1" x14ac:dyDescent="0.35">
      <c r="A1427"/>
    </row>
    <row r="1428" spans="1:1" x14ac:dyDescent="0.35">
      <c r="A1428"/>
    </row>
    <row r="1429" spans="1:1" x14ac:dyDescent="0.35">
      <c r="A1429"/>
    </row>
    <row r="1430" spans="1:1" x14ac:dyDescent="0.35">
      <c r="A1430"/>
    </row>
    <row r="1431" spans="1:1" x14ac:dyDescent="0.35">
      <c r="A1431"/>
    </row>
    <row r="1432" spans="1:1" x14ac:dyDescent="0.35">
      <c r="A1432"/>
    </row>
    <row r="1433" spans="1:1" x14ac:dyDescent="0.35">
      <c r="A1433"/>
    </row>
    <row r="1434" spans="1:1" x14ac:dyDescent="0.35">
      <c r="A1434"/>
    </row>
    <row r="1435" spans="1:1" x14ac:dyDescent="0.35">
      <c r="A1435"/>
    </row>
    <row r="1436" spans="1:1" x14ac:dyDescent="0.35">
      <c r="A1436"/>
    </row>
    <row r="1437" spans="1:1" x14ac:dyDescent="0.35">
      <c r="A1437"/>
    </row>
    <row r="1438" spans="1:1" x14ac:dyDescent="0.35">
      <c r="A1438"/>
    </row>
    <row r="1439" spans="1:1" x14ac:dyDescent="0.35">
      <c r="A1439"/>
    </row>
    <row r="1440" spans="1:1" x14ac:dyDescent="0.35">
      <c r="A1440"/>
    </row>
    <row r="1441" spans="1:1" x14ac:dyDescent="0.35">
      <c r="A1441"/>
    </row>
    <row r="1442" spans="1:1" x14ac:dyDescent="0.35">
      <c r="A1442"/>
    </row>
    <row r="1443" spans="1:1" x14ac:dyDescent="0.35">
      <c r="A1443"/>
    </row>
    <row r="1444" spans="1:1" x14ac:dyDescent="0.35">
      <c r="A1444"/>
    </row>
    <row r="1445" spans="1:1" x14ac:dyDescent="0.35">
      <c r="A1445"/>
    </row>
    <row r="1446" spans="1:1" x14ac:dyDescent="0.35">
      <c r="A1446"/>
    </row>
    <row r="1447" spans="1:1" x14ac:dyDescent="0.35">
      <c r="A1447"/>
    </row>
    <row r="1448" spans="1:1" x14ac:dyDescent="0.35">
      <c r="A1448"/>
    </row>
    <row r="1449" spans="1:1" x14ac:dyDescent="0.35">
      <c r="A1449"/>
    </row>
    <row r="1450" spans="1:1" x14ac:dyDescent="0.35">
      <c r="A1450"/>
    </row>
    <row r="1451" spans="1:1" x14ac:dyDescent="0.35">
      <c r="A1451"/>
    </row>
    <row r="1452" spans="1:1" x14ac:dyDescent="0.35">
      <c r="A1452"/>
    </row>
    <row r="1453" spans="1:1" x14ac:dyDescent="0.35">
      <c r="A1453"/>
    </row>
    <row r="1454" spans="1:1" x14ac:dyDescent="0.35">
      <c r="A1454"/>
    </row>
    <row r="1455" spans="1:1" x14ac:dyDescent="0.35">
      <c r="A1455"/>
    </row>
    <row r="1456" spans="1:1" x14ac:dyDescent="0.35">
      <c r="A1456"/>
    </row>
    <row r="1457" spans="1:1" x14ac:dyDescent="0.35">
      <c r="A1457"/>
    </row>
    <row r="1458" spans="1:1" x14ac:dyDescent="0.35">
      <c r="A1458"/>
    </row>
    <row r="1459" spans="1:1" x14ac:dyDescent="0.35">
      <c r="A1459"/>
    </row>
    <row r="1460" spans="1:1" x14ac:dyDescent="0.35">
      <c r="A1460"/>
    </row>
    <row r="1461" spans="1:1" x14ac:dyDescent="0.35">
      <c r="A1461"/>
    </row>
    <row r="1462" spans="1:1" x14ac:dyDescent="0.35">
      <c r="A1462"/>
    </row>
    <row r="1463" spans="1:1" x14ac:dyDescent="0.35">
      <c r="A1463"/>
    </row>
    <row r="1464" spans="1:1" x14ac:dyDescent="0.35">
      <c r="A1464"/>
    </row>
    <row r="1465" spans="1:1" x14ac:dyDescent="0.35">
      <c r="A1465"/>
    </row>
    <row r="1466" spans="1:1" x14ac:dyDescent="0.35">
      <c r="A1466"/>
    </row>
    <row r="1467" spans="1:1" x14ac:dyDescent="0.35">
      <c r="A1467"/>
    </row>
    <row r="1468" spans="1:1" x14ac:dyDescent="0.35">
      <c r="A1468"/>
    </row>
    <row r="1469" spans="1:1" x14ac:dyDescent="0.35">
      <c r="A1469"/>
    </row>
    <row r="1470" spans="1:1" x14ac:dyDescent="0.35">
      <c r="A1470"/>
    </row>
    <row r="1471" spans="1:1" x14ac:dyDescent="0.35">
      <c r="A1471"/>
    </row>
    <row r="1472" spans="1:1" x14ac:dyDescent="0.35">
      <c r="A1472"/>
    </row>
    <row r="1473" spans="1:1" x14ac:dyDescent="0.35">
      <c r="A1473"/>
    </row>
    <row r="1474" spans="1:1" x14ac:dyDescent="0.35">
      <c r="A1474"/>
    </row>
    <row r="1475" spans="1:1" x14ac:dyDescent="0.35">
      <c r="A1475"/>
    </row>
    <row r="1476" spans="1:1" x14ac:dyDescent="0.35">
      <c r="A1476"/>
    </row>
    <row r="1477" spans="1:1" x14ac:dyDescent="0.35">
      <c r="A1477"/>
    </row>
    <row r="1478" spans="1:1" x14ac:dyDescent="0.35">
      <c r="A1478"/>
    </row>
    <row r="1479" spans="1:1" x14ac:dyDescent="0.35">
      <c r="A1479"/>
    </row>
    <row r="1480" spans="1:1" x14ac:dyDescent="0.35">
      <c r="A1480"/>
    </row>
    <row r="1481" spans="1:1" x14ac:dyDescent="0.35">
      <c r="A1481"/>
    </row>
    <row r="1482" spans="1:1" x14ac:dyDescent="0.35">
      <c r="A1482"/>
    </row>
    <row r="1483" spans="1:1" x14ac:dyDescent="0.35">
      <c r="A1483"/>
    </row>
    <row r="1484" spans="1:1" x14ac:dyDescent="0.35">
      <c r="A1484"/>
    </row>
    <row r="1485" spans="1:1" x14ac:dyDescent="0.35">
      <c r="A1485"/>
    </row>
    <row r="1486" spans="1:1" x14ac:dyDescent="0.35">
      <c r="A1486"/>
    </row>
    <row r="1487" spans="1:1" x14ac:dyDescent="0.35">
      <c r="A1487"/>
    </row>
    <row r="1488" spans="1:1" x14ac:dyDescent="0.35">
      <c r="A1488"/>
    </row>
    <row r="1489" spans="1:1" x14ac:dyDescent="0.35">
      <c r="A1489"/>
    </row>
    <row r="1490" spans="1:1" x14ac:dyDescent="0.35">
      <c r="A1490"/>
    </row>
    <row r="1491" spans="1:1" x14ac:dyDescent="0.35">
      <c r="A1491"/>
    </row>
    <row r="1492" spans="1:1" x14ac:dyDescent="0.35">
      <c r="A1492"/>
    </row>
    <row r="1493" spans="1:1" x14ac:dyDescent="0.35">
      <c r="A1493"/>
    </row>
    <row r="1494" spans="1:1" x14ac:dyDescent="0.35">
      <c r="A1494"/>
    </row>
    <row r="1495" spans="1:1" x14ac:dyDescent="0.35">
      <c r="A1495"/>
    </row>
    <row r="1496" spans="1:1" x14ac:dyDescent="0.35">
      <c r="A1496"/>
    </row>
    <row r="1497" spans="1:1" x14ac:dyDescent="0.35">
      <c r="A1497"/>
    </row>
    <row r="1498" spans="1:1" x14ac:dyDescent="0.35">
      <c r="A1498"/>
    </row>
    <row r="1499" spans="1:1" x14ac:dyDescent="0.35">
      <c r="A1499"/>
    </row>
    <row r="1500" spans="1:1" x14ac:dyDescent="0.35">
      <c r="A1500"/>
    </row>
    <row r="1501" spans="1:1" x14ac:dyDescent="0.35">
      <c r="A1501"/>
    </row>
    <row r="1502" spans="1:1" x14ac:dyDescent="0.35">
      <c r="A1502"/>
    </row>
    <row r="1503" spans="1:1" x14ac:dyDescent="0.35">
      <c r="A1503"/>
    </row>
    <row r="1504" spans="1:1" x14ac:dyDescent="0.35">
      <c r="A1504"/>
    </row>
    <row r="1505" spans="1:1" x14ac:dyDescent="0.35">
      <c r="A1505"/>
    </row>
    <row r="1506" spans="1:1" x14ac:dyDescent="0.35">
      <c r="A1506"/>
    </row>
    <row r="1507" spans="1:1" x14ac:dyDescent="0.35">
      <c r="A1507"/>
    </row>
    <row r="1508" spans="1:1" x14ac:dyDescent="0.35">
      <c r="A1508"/>
    </row>
    <row r="1509" spans="1:1" x14ac:dyDescent="0.35">
      <c r="A1509"/>
    </row>
    <row r="1510" spans="1:1" x14ac:dyDescent="0.35">
      <c r="A1510"/>
    </row>
    <row r="1511" spans="1:1" x14ac:dyDescent="0.35">
      <c r="A1511"/>
    </row>
    <row r="1512" spans="1:1" x14ac:dyDescent="0.35">
      <c r="A1512"/>
    </row>
    <row r="1513" spans="1:1" x14ac:dyDescent="0.35">
      <c r="A1513"/>
    </row>
    <row r="1514" spans="1:1" x14ac:dyDescent="0.35">
      <c r="A1514"/>
    </row>
    <row r="1515" spans="1:1" x14ac:dyDescent="0.35">
      <c r="A1515"/>
    </row>
    <row r="1516" spans="1:1" x14ac:dyDescent="0.35">
      <c r="A1516"/>
    </row>
    <row r="1517" spans="1:1" x14ac:dyDescent="0.35">
      <c r="A1517"/>
    </row>
    <row r="1518" spans="1:1" x14ac:dyDescent="0.35">
      <c r="A1518"/>
    </row>
    <row r="1519" spans="1:1" x14ac:dyDescent="0.35">
      <c r="A1519"/>
    </row>
    <row r="1520" spans="1:1" x14ac:dyDescent="0.35">
      <c r="A1520"/>
    </row>
    <row r="1521" spans="1:1" x14ac:dyDescent="0.35">
      <c r="A1521"/>
    </row>
    <row r="1522" spans="1:1" x14ac:dyDescent="0.35">
      <c r="A1522"/>
    </row>
    <row r="1523" spans="1:1" x14ac:dyDescent="0.35">
      <c r="A1523"/>
    </row>
    <row r="1524" spans="1:1" x14ac:dyDescent="0.35">
      <c r="A1524"/>
    </row>
    <row r="1525" spans="1:1" x14ac:dyDescent="0.35">
      <c r="A1525"/>
    </row>
    <row r="1526" spans="1:1" x14ac:dyDescent="0.35">
      <c r="A1526"/>
    </row>
    <row r="1527" spans="1:1" x14ac:dyDescent="0.35">
      <c r="A1527"/>
    </row>
    <row r="1528" spans="1:1" x14ac:dyDescent="0.35">
      <c r="A1528"/>
    </row>
    <row r="1529" spans="1:1" x14ac:dyDescent="0.35">
      <c r="A1529"/>
    </row>
    <row r="1530" spans="1:1" x14ac:dyDescent="0.35">
      <c r="A1530"/>
    </row>
    <row r="1531" spans="1:1" x14ac:dyDescent="0.35">
      <c r="A1531"/>
    </row>
    <row r="1532" spans="1:1" x14ac:dyDescent="0.35">
      <c r="A1532"/>
    </row>
    <row r="1533" spans="1:1" x14ac:dyDescent="0.35">
      <c r="A1533"/>
    </row>
    <row r="1534" spans="1:1" x14ac:dyDescent="0.35">
      <c r="A1534"/>
    </row>
    <row r="1535" spans="1:1" x14ac:dyDescent="0.35">
      <c r="A1535"/>
    </row>
    <row r="1536" spans="1:1" x14ac:dyDescent="0.35">
      <c r="A1536"/>
    </row>
    <row r="1537" spans="1:1" x14ac:dyDescent="0.35">
      <c r="A1537"/>
    </row>
    <row r="1538" spans="1:1" x14ac:dyDescent="0.35">
      <c r="A1538"/>
    </row>
    <row r="1539" spans="1:1" x14ac:dyDescent="0.35">
      <c r="A1539"/>
    </row>
    <row r="1540" spans="1:1" x14ac:dyDescent="0.35">
      <c r="A1540"/>
    </row>
    <row r="1541" spans="1:1" x14ac:dyDescent="0.35">
      <c r="A1541"/>
    </row>
    <row r="1542" spans="1:1" x14ac:dyDescent="0.35">
      <c r="A1542"/>
    </row>
    <row r="1543" spans="1:1" x14ac:dyDescent="0.35">
      <c r="A1543"/>
    </row>
    <row r="1544" spans="1:1" x14ac:dyDescent="0.35">
      <c r="A1544"/>
    </row>
    <row r="1545" spans="1:1" x14ac:dyDescent="0.35">
      <c r="A1545"/>
    </row>
    <row r="1546" spans="1:1" x14ac:dyDescent="0.35">
      <c r="A1546"/>
    </row>
    <row r="1547" spans="1:1" x14ac:dyDescent="0.35">
      <c r="A1547"/>
    </row>
    <row r="1548" spans="1:1" x14ac:dyDescent="0.35">
      <c r="A1548"/>
    </row>
    <row r="1549" spans="1:1" x14ac:dyDescent="0.35">
      <c r="A1549"/>
    </row>
    <row r="1550" spans="1:1" x14ac:dyDescent="0.35">
      <c r="A1550"/>
    </row>
    <row r="1551" spans="1:1" x14ac:dyDescent="0.35">
      <c r="A1551"/>
    </row>
    <row r="1552" spans="1:1" x14ac:dyDescent="0.35">
      <c r="A1552"/>
    </row>
    <row r="1553" spans="1:1" x14ac:dyDescent="0.35">
      <c r="A1553"/>
    </row>
    <row r="1554" spans="1:1" x14ac:dyDescent="0.35">
      <c r="A1554"/>
    </row>
    <row r="1555" spans="1:1" x14ac:dyDescent="0.35">
      <c r="A1555"/>
    </row>
    <row r="1556" spans="1:1" x14ac:dyDescent="0.35">
      <c r="A1556"/>
    </row>
    <row r="1557" spans="1:1" x14ac:dyDescent="0.35">
      <c r="A1557"/>
    </row>
    <row r="1558" spans="1:1" x14ac:dyDescent="0.35">
      <c r="A1558"/>
    </row>
    <row r="1559" spans="1:1" x14ac:dyDescent="0.35">
      <c r="A1559"/>
    </row>
    <row r="1560" spans="1:1" x14ac:dyDescent="0.35">
      <c r="A1560"/>
    </row>
    <row r="1561" spans="1:1" x14ac:dyDescent="0.35">
      <c r="A1561"/>
    </row>
    <row r="1562" spans="1:1" x14ac:dyDescent="0.35">
      <c r="A1562"/>
    </row>
    <row r="1563" spans="1:1" x14ac:dyDescent="0.35">
      <c r="A1563"/>
    </row>
    <row r="1564" spans="1:1" x14ac:dyDescent="0.35">
      <c r="A1564"/>
    </row>
    <row r="1565" spans="1:1" x14ac:dyDescent="0.35">
      <c r="A1565"/>
    </row>
    <row r="1566" spans="1:1" x14ac:dyDescent="0.35">
      <c r="A1566"/>
    </row>
    <row r="1567" spans="1:1" x14ac:dyDescent="0.35">
      <c r="A1567"/>
    </row>
    <row r="1568" spans="1:1" x14ac:dyDescent="0.35">
      <c r="A1568"/>
    </row>
    <row r="1569" spans="1:1" x14ac:dyDescent="0.35">
      <c r="A1569"/>
    </row>
    <row r="1570" spans="1:1" x14ac:dyDescent="0.35">
      <c r="A1570"/>
    </row>
    <row r="1571" spans="1:1" x14ac:dyDescent="0.35">
      <c r="A1571"/>
    </row>
    <row r="1572" spans="1:1" x14ac:dyDescent="0.35">
      <c r="A1572"/>
    </row>
    <row r="1573" spans="1:1" x14ac:dyDescent="0.35">
      <c r="A1573"/>
    </row>
    <row r="1574" spans="1:1" x14ac:dyDescent="0.35">
      <c r="A1574"/>
    </row>
    <row r="1575" spans="1:1" x14ac:dyDescent="0.35">
      <c r="A1575"/>
    </row>
    <row r="1576" spans="1:1" x14ac:dyDescent="0.35">
      <c r="A1576"/>
    </row>
    <row r="1577" spans="1:1" x14ac:dyDescent="0.35">
      <c r="A1577"/>
    </row>
    <row r="1578" spans="1:1" x14ac:dyDescent="0.35">
      <c r="A1578"/>
    </row>
    <row r="1579" spans="1:1" x14ac:dyDescent="0.35">
      <c r="A1579"/>
    </row>
    <row r="1580" spans="1:1" x14ac:dyDescent="0.35">
      <c r="A1580"/>
    </row>
    <row r="1581" spans="1:1" x14ac:dyDescent="0.35">
      <c r="A1581"/>
    </row>
    <row r="1582" spans="1:1" x14ac:dyDescent="0.35">
      <c r="A1582"/>
    </row>
    <row r="1583" spans="1:1" x14ac:dyDescent="0.35">
      <c r="A1583"/>
    </row>
    <row r="1584" spans="1:1" x14ac:dyDescent="0.35">
      <c r="A1584"/>
    </row>
    <row r="1585" spans="1:1" x14ac:dyDescent="0.35">
      <c r="A1585"/>
    </row>
    <row r="1586" spans="1:1" x14ac:dyDescent="0.35">
      <c r="A1586"/>
    </row>
    <row r="1587" spans="1:1" x14ac:dyDescent="0.35">
      <c r="A1587"/>
    </row>
    <row r="1588" spans="1:1" x14ac:dyDescent="0.35">
      <c r="A1588"/>
    </row>
    <row r="1589" spans="1:1" x14ac:dyDescent="0.35">
      <c r="A1589"/>
    </row>
    <row r="1590" spans="1:1" x14ac:dyDescent="0.35">
      <c r="A1590"/>
    </row>
    <row r="1591" spans="1:1" x14ac:dyDescent="0.35">
      <c r="A1591"/>
    </row>
    <row r="1592" spans="1:1" x14ac:dyDescent="0.35">
      <c r="A1592"/>
    </row>
    <row r="1593" spans="1:1" x14ac:dyDescent="0.35">
      <c r="A1593"/>
    </row>
    <row r="1594" spans="1:1" x14ac:dyDescent="0.35">
      <c r="A1594"/>
    </row>
    <row r="1595" spans="1:1" x14ac:dyDescent="0.35">
      <c r="A1595"/>
    </row>
    <row r="1596" spans="1:1" x14ac:dyDescent="0.35">
      <c r="A1596"/>
    </row>
    <row r="1597" spans="1:1" x14ac:dyDescent="0.35">
      <c r="A1597"/>
    </row>
    <row r="1598" spans="1:1" x14ac:dyDescent="0.35">
      <c r="A1598"/>
    </row>
    <row r="1599" spans="1:1" x14ac:dyDescent="0.35">
      <c r="A1599"/>
    </row>
    <row r="1600" spans="1:1" x14ac:dyDescent="0.35">
      <c r="A1600"/>
    </row>
    <row r="1601" spans="1:1" x14ac:dyDescent="0.35">
      <c r="A1601"/>
    </row>
    <row r="1602" spans="1:1" x14ac:dyDescent="0.35">
      <c r="A1602"/>
    </row>
    <row r="1603" spans="1:1" x14ac:dyDescent="0.35">
      <c r="A1603"/>
    </row>
    <row r="1604" spans="1:1" x14ac:dyDescent="0.35">
      <c r="A1604"/>
    </row>
    <row r="1605" spans="1:1" x14ac:dyDescent="0.35">
      <c r="A1605"/>
    </row>
    <row r="1606" spans="1:1" x14ac:dyDescent="0.35">
      <c r="A1606"/>
    </row>
    <row r="1607" spans="1:1" x14ac:dyDescent="0.35">
      <c r="A1607"/>
    </row>
    <row r="1608" spans="1:1" x14ac:dyDescent="0.35">
      <c r="A1608"/>
    </row>
    <row r="1609" spans="1:1" x14ac:dyDescent="0.35">
      <c r="A1609"/>
    </row>
    <row r="1610" spans="1:1" x14ac:dyDescent="0.35">
      <c r="A1610"/>
    </row>
    <row r="1611" spans="1:1" x14ac:dyDescent="0.35">
      <c r="A1611"/>
    </row>
    <row r="1612" spans="1:1" x14ac:dyDescent="0.35">
      <c r="A1612"/>
    </row>
    <row r="1613" spans="1:1" x14ac:dyDescent="0.35">
      <c r="A1613"/>
    </row>
    <row r="1614" spans="1:1" x14ac:dyDescent="0.35">
      <c r="A1614"/>
    </row>
    <row r="1615" spans="1:1" x14ac:dyDescent="0.35">
      <c r="A1615"/>
    </row>
    <row r="1616" spans="1:1" x14ac:dyDescent="0.35">
      <c r="A1616"/>
    </row>
    <row r="1617" spans="1:1" x14ac:dyDescent="0.35">
      <c r="A1617"/>
    </row>
    <row r="1618" spans="1:1" x14ac:dyDescent="0.35">
      <c r="A1618"/>
    </row>
    <row r="1619" spans="1:1" x14ac:dyDescent="0.35">
      <c r="A1619"/>
    </row>
    <row r="1620" spans="1:1" x14ac:dyDescent="0.35">
      <c r="A1620"/>
    </row>
    <row r="1621" spans="1:1" x14ac:dyDescent="0.35">
      <c r="A1621"/>
    </row>
    <row r="1622" spans="1:1" x14ac:dyDescent="0.35">
      <c r="A1622"/>
    </row>
    <row r="1623" spans="1:1" x14ac:dyDescent="0.35">
      <c r="A1623"/>
    </row>
    <row r="1624" spans="1:1" x14ac:dyDescent="0.35">
      <c r="A1624"/>
    </row>
    <row r="1625" spans="1:1" x14ac:dyDescent="0.35">
      <c r="A1625"/>
    </row>
    <row r="1626" spans="1:1" x14ac:dyDescent="0.35">
      <c r="A1626"/>
    </row>
    <row r="1627" spans="1:1" x14ac:dyDescent="0.35">
      <c r="A1627"/>
    </row>
    <row r="1628" spans="1:1" x14ac:dyDescent="0.35">
      <c r="A1628"/>
    </row>
    <row r="1629" spans="1:1" x14ac:dyDescent="0.35">
      <c r="A1629"/>
    </row>
    <row r="1630" spans="1:1" x14ac:dyDescent="0.35">
      <c r="A1630"/>
    </row>
    <row r="1631" spans="1:1" x14ac:dyDescent="0.35">
      <c r="A1631"/>
    </row>
    <row r="1632" spans="1:1" x14ac:dyDescent="0.35">
      <c r="A1632"/>
    </row>
    <row r="1633" spans="1:1" x14ac:dyDescent="0.35">
      <c r="A1633"/>
    </row>
    <row r="1634" spans="1:1" x14ac:dyDescent="0.35">
      <c r="A1634"/>
    </row>
    <row r="1635" spans="1:1" x14ac:dyDescent="0.35">
      <c r="A1635"/>
    </row>
    <row r="1636" spans="1:1" x14ac:dyDescent="0.35">
      <c r="A1636"/>
    </row>
    <row r="1637" spans="1:1" x14ac:dyDescent="0.35">
      <c r="A1637"/>
    </row>
    <row r="1638" spans="1:1" x14ac:dyDescent="0.35">
      <c r="A1638"/>
    </row>
    <row r="1639" spans="1:1" x14ac:dyDescent="0.35">
      <c r="A1639"/>
    </row>
    <row r="1640" spans="1:1" x14ac:dyDescent="0.35">
      <c r="A1640"/>
    </row>
    <row r="1641" spans="1:1" x14ac:dyDescent="0.35">
      <c r="A1641"/>
    </row>
    <row r="1642" spans="1:1" x14ac:dyDescent="0.35">
      <c r="A1642"/>
    </row>
    <row r="1643" spans="1:1" x14ac:dyDescent="0.35">
      <c r="A1643"/>
    </row>
    <row r="1644" spans="1:1" x14ac:dyDescent="0.35">
      <c r="A1644"/>
    </row>
    <row r="1645" spans="1:1" x14ac:dyDescent="0.35">
      <c r="A1645"/>
    </row>
    <row r="1646" spans="1:1" x14ac:dyDescent="0.35">
      <c r="A1646"/>
    </row>
    <row r="1647" spans="1:1" x14ac:dyDescent="0.35">
      <c r="A1647"/>
    </row>
    <row r="1648" spans="1:1" x14ac:dyDescent="0.35">
      <c r="A1648"/>
    </row>
    <row r="1649" spans="1:1" x14ac:dyDescent="0.35">
      <c r="A1649"/>
    </row>
    <row r="1650" spans="1:1" x14ac:dyDescent="0.35">
      <c r="A1650"/>
    </row>
    <row r="1651" spans="1:1" x14ac:dyDescent="0.35">
      <c r="A1651"/>
    </row>
    <row r="1652" spans="1:1" x14ac:dyDescent="0.35">
      <c r="A1652"/>
    </row>
    <row r="1653" spans="1:1" x14ac:dyDescent="0.35">
      <c r="A1653"/>
    </row>
    <row r="1654" spans="1:1" x14ac:dyDescent="0.35">
      <c r="A1654"/>
    </row>
    <row r="1655" spans="1:1" x14ac:dyDescent="0.35">
      <c r="A1655"/>
    </row>
    <row r="1656" spans="1:1" x14ac:dyDescent="0.35">
      <c r="A1656"/>
    </row>
    <row r="1657" spans="1:1" x14ac:dyDescent="0.35">
      <c r="A1657"/>
    </row>
    <row r="1658" spans="1:1" x14ac:dyDescent="0.35">
      <c r="A1658"/>
    </row>
    <row r="1659" spans="1:1" x14ac:dyDescent="0.35">
      <c r="A1659"/>
    </row>
    <row r="1660" spans="1:1" x14ac:dyDescent="0.35">
      <c r="A1660"/>
    </row>
    <row r="1661" spans="1:1" x14ac:dyDescent="0.35">
      <c r="A1661"/>
    </row>
    <row r="1662" spans="1:1" x14ac:dyDescent="0.35">
      <c r="A1662"/>
    </row>
    <row r="1663" spans="1:1" x14ac:dyDescent="0.35">
      <c r="A1663"/>
    </row>
    <row r="1664" spans="1:1" x14ac:dyDescent="0.35">
      <c r="A1664"/>
    </row>
    <row r="1665" spans="1:1" x14ac:dyDescent="0.35">
      <c r="A1665"/>
    </row>
    <row r="1666" spans="1:1" x14ac:dyDescent="0.35">
      <c r="A1666"/>
    </row>
    <row r="1667" spans="1:1" x14ac:dyDescent="0.35">
      <c r="A1667"/>
    </row>
    <row r="1668" spans="1:1" x14ac:dyDescent="0.35">
      <c r="A1668"/>
    </row>
    <row r="1669" spans="1:1" x14ac:dyDescent="0.35">
      <c r="A1669"/>
    </row>
    <row r="1670" spans="1:1" x14ac:dyDescent="0.35">
      <c r="A1670"/>
    </row>
    <row r="1671" spans="1:1" x14ac:dyDescent="0.35">
      <c r="A1671"/>
    </row>
    <row r="1672" spans="1:1" x14ac:dyDescent="0.35">
      <c r="A1672"/>
    </row>
    <row r="1673" spans="1:1" x14ac:dyDescent="0.35">
      <c r="A1673"/>
    </row>
    <row r="1674" spans="1:1" x14ac:dyDescent="0.35">
      <c r="A1674"/>
    </row>
    <row r="1675" spans="1:1" x14ac:dyDescent="0.35">
      <c r="A1675"/>
    </row>
    <row r="1676" spans="1:1" x14ac:dyDescent="0.35">
      <c r="A1676"/>
    </row>
    <row r="1677" spans="1:1" x14ac:dyDescent="0.35">
      <c r="A1677"/>
    </row>
    <row r="1678" spans="1:1" x14ac:dyDescent="0.35">
      <c r="A1678"/>
    </row>
    <row r="1679" spans="1:1" x14ac:dyDescent="0.35">
      <c r="A1679"/>
    </row>
    <row r="1680" spans="1:1" x14ac:dyDescent="0.35">
      <c r="A1680"/>
    </row>
    <row r="1681" spans="1:1" x14ac:dyDescent="0.35">
      <c r="A1681"/>
    </row>
    <row r="1682" spans="1:1" x14ac:dyDescent="0.35">
      <c r="A1682"/>
    </row>
    <row r="1683" spans="1:1" x14ac:dyDescent="0.35">
      <c r="A1683"/>
    </row>
    <row r="1684" spans="1:1" x14ac:dyDescent="0.35">
      <c r="A1684"/>
    </row>
    <row r="1685" spans="1:1" x14ac:dyDescent="0.35">
      <c r="A1685"/>
    </row>
    <row r="1686" spans="1:1" x14ac:dyDescent="0.35">
      <c r="A1686"/>
    </row>
    <row r="1687" spans="1:1" x14ac:dyDescent="0.35">
      <c r="A1687"/>
    </row>
    <row r="1688" spans="1:1" x14ac:dyDescent="0.35">
      <c r="A1688"/>
    </row>
    <row r="1689" spans="1:1" x14ac:dyDescent="0.35">
      <c r="A1689"/>
    </row>
    <row r="1690" spans="1:1" x14ac:dyDescent="0.35">
      <c r="A1690"/>
    </row>
    <row r="1691" spans="1:1" x14ac:dyDescent="0.35">
      <c r="A1691"/>
    </row>
    <row r="1692" spans="1:1" x14ac:dyDescent="0.35">
      <c r="A1692"/>
    </row>
    <row r="1693" spans="1:1" x14ac:dyDescent="0.35">
      <c r="A1693"/>
    </row>
    <row r="1694" spans="1:1" x14ac:dyDescent="0.35">
      <c r="A1694"/>
    </row>
    <row r="1695" spans="1:1" x14ac:dyDescent="0.35">
      <c r="A1695"/>
    </row>
    <row r="1696" spans="1:1" x14ac:dyDescent="0.35">
      <c r="A1696"/>
    </row>
    <row r="1697" spans="1:1" x14ac:dyDescent="0.35">
      <c r="A1697"/>
    </row>
    <row r="1698" spans="1:1" x14ac:dyDescent="0.35">
      <c r="A1698"/>
    </row>
    <row r="1699" spans="1:1" x14ac:dyDescent="0.35">
      <c r="A1699"/>
    </row>
    <row r="1700" spans="1:1" x14ac:dyDescent="0.35">
      <c r="A1700"/>
    </row>
    <row r="1701" spans="1:1" x14ac:dyDescent="0.35">
      <c r="A1701"/>
    </row>
    <row r="1702" spans="1:1" x14ac:dyDescent="0.35">
      <c r="A1702"/>
    </row>
    <row r="1703" spans="1:1" x14ac:dyDescent="0.35">
      <c r="A1703"/>
    </row>
    <row r="1704" spans="1:1" x14ac:dyDescent="0.35">
      <c r="A1704"/>
    </row>
    <row r="1705" spans="1:1" x14ac:dyDescent="0.35">
      <c r="A1705"/>
    </row>
    <row r="1706" spans="1:1" x14ac:dyDescent="0.35">
      <c r="A1706"/>
    </row>
    <row r="1707" spans="1:1" x14ac:dyDescent="0.35">
      <c r="A1707"/>
    </row>
    <row r="1708" spans="1:1" x14ac:dyDescent="0.35">
      <c r="A1708"/>
    </row>
    <row r="1709" spans="1:1" x14ac:dyDescent="0.35">
      <c r="A1709"/>
    </row>
    <row r="1710" spans="1:1" x14ac:dyDescent="0.35">
      <c r="A1710"/>
    </row>
    <row r="1711" spans="1:1" x14ac:dyDescent="0.35">
      <c r="A1711"/>
    </row>
    <row r="1712" spans="1:1" x14ac:dyDescent="0.35">
      <c r="A1712"/>
    </row>
    <row r="1713" spans="1:1" x14ac:dyDescent="0.35">
      <c r="A1713"/>
    </row>
    <row r="1714" spans="1:1" x14ac:dyDescent="0.35">
      <c r="A1714"/>
    </row>
    <row r="1715" spans="1:1" x14ac:dyDescent="0.35">
      <c r="A1715"/>
    </row>
    <row r="1716" spans="1:1" x14ac:dyDescent="0.35">
      <c r="A1716"/>
    </row>
    <row r="1717" spans="1:1" x14ac:dyDescent="0.35">
      <c r="A1717"/>
    </row>
    <row r="1718" spans="1:1" x14ac:dyDescent="0.35">
      <c r="A1718"/>
    </row>
    <row r="1719" spans="1:1" x14ac:dyDescent="0.35">
      <c r="A1719"/>
    </row>
    <row r="1720" spans="1:1" x14ac:dyDescent="0.35">
      <c r="A1720"/>
    </row>
    <row r="1721" spans="1:1" x14ac:dyDescent="0.35">
      <c r="A1721"/>
    </row>
    <row r="1722" spans="1:1" x14ac:dyDescent="0.35">
      <c r="A1722"/>
    </row>
    <row r="1723" spans="1:1" x14ac:dyDescent="0.35">
      <c r="A1723"/>
    </row>
    <row r="1724" spans="1:1" x14ac:dyDescent="0.35">
      <c r="A1724"/>
    </row>
    <row r="1725" spans="1:1" x14ac:dyDescent="0.35">
      <c r="A1725"/>
    </row>
    <row r="1726" spans="1:1" x14ac:dyDescent="0.35">
      <c r="A1726"/>
    </row>
    <row r="1727" spans="1:1" x14ac:dyDescent="0.35">
      <c r="A1727"/>
    </row>
    <row r="1728" spans="1:1" x14ac:dyDescent="0.35">
      <c r="A1728"/>
    </row>
    <row r="1729" spans="1:1" x14ac:dyDescent="0.35">
      <c r="A1729"/>
    </row>
    <row r="1730" spans="1:1" x14ac:dyDescent="0.35">
      <c r="A1730"/>
    </row>
    <row r="1731" spans="1:1" x14ac:dyDescent="0.35">
      <c r="A1731"/>
    </row>
    <row r="1732" spans="1:1" x14ac:dyDescent="0.35">
      <c r="A1732"/>
    </row>
    <row r="1733" spans="1:1" x14ac:dyDescent="0.35">
      <c r="A1733"/>
    </row>
    <row r="1734" spans="1:1" x14ac:dyDescent="0.35">
      <c r="A1734"/>
    </row>
    <row r="1735" spans="1:1" x14ac:dyDescent="0.35">
      <c r="A1735"/>
    </row>
    <row r="1736" spans="1:1" x14ac:dyDescent="0.35">
      <c r="A1736"/>
    </row>
    <row r="1737" spans="1:1" x14ac:dyDescent="0.35">
      <c r="A1737"/>
    </row>
    <row r="1738" spans="1:1" x14ac:dyDescent="0.35">
      <c r="A1738"/>
    </row>
    <row r="1739" spans="1:1" x14ac:dyDescent="0.35">
      <c r="A1739"/>
    </row>
    <row r="1740" spans="1:1" x14ac:dyDescent="0.35">
      <c r="A1740"/>
    </row>
    <row r="1741" spans="1:1" x14ac:dyDescent="0.35">
      <c r="A1741"/>
    </row>
    <row r="1742" spans="1:1" x14ac:dyDescent="0.35">
      <c r="A1742"/>
    </row>
    <row r="1743" spans="1:1" x14ac:dyDescent="0.35">
      <c r="A1743"/>
    </row>
    <row r="1744" spans="1:1" x14ac:dyDescent="0.35">
      <c r="A1744"/>
    </row>
    <row r="1745" spans="1:1" x14ac:dyDescent="0.35">
      <c r="A1745"/>
    </row>
    <row r="1746" spans="1:1" x14ac:dyDescent="0.35">
      <c r="A1746"/>
    </row>
    <row r="1747" spans="1:1" x14ac:dyDescent="0.35">
      <c r="A1747"/>
    </row>
    <row r="1748" spans="1:1" x14ac:dyDescent="0.35">
      <c r="A1748"/>
    </row>
    <row r="1749" spans="1:1" x14ac:dyDescent="0.35">
      <c r="A1749"/>
    </row>
    <row r="1750" spans="1:1" x14ac:dyDescent="0.35">
      <c r="A1750"/>
    </row>
    <row r="1751" spans="1:1" x14ac:dyDescent="0.35">
      <c r="A1751"/>
    </row>
    <row r="1752" spans="1:1" x14ac:dyDescent="0.35">
      <c r="A1752"/>
    </row>
    <row r="1753" spans="1:1" x14ac:dyDescent="0.35">
      <c r="A1753"/>
    </row>
    <row r="1754" spans="1:1" x14ac:dyDescent="0.35">
      <c r="A1754"/>
    </row>
    <row r="1755" spans="1:1" x14ac:dyDescent="0.35">
      <c r="A1755"/>
    </row>
    <row r="1756" spans="1:1" x14ac:dyDescent="0.35">
      <c r="A1756"/>
    </row>
    <row r="1757" spans="1:1" x14ac:dyDescent="0.35">
      <c r="A1757"/>
    </row>
    <row r="1758" spans="1:1" x14ac:dyDescent="0.35">
      <c r="A1758"/>
    </row>
    <row r="1759" spans="1:1" x14ac:dyDescent="0.35">
      <c r="A1759"/>
    </row>
    <row r="1760" spans="1:1" x14ac:dyDescent="0.35">
      <c r="A1760"/>
    </row>
    <row r="1761" spans="1:1" x14ac:dyDescent="0.35">
      <c r="A1761"/>
    </row>
    <row r="1762" spans="1:1" x14ac:dyDescent="0.35">
      <c r="A1762"/>
    </row>
    <row r="1763" spans="1:1" x14ac:dyDescent="0.35">
      <c r="A1763"/>
    </row>
    <row r="1764" spans="1:1" x14ac:dyDescent="0.35">
      <c r="A1764"/>
    </row>
    <row r="1765" spans="1:1" x14ac:dyDescent="0.35">
      <c r="A1765"/>
    </row>
    <row r="1766" spans="1:1" x14ac:dyDescent="0.35">
      <c r="A1766"/>
    </row>
    <row r="1767" spans="1:1" x14ac:dyDescent="0.35">
      <c r="A1767"/>
    </row>
    <row r="1768" spans="1:1" x14ac:dyDescent="0.35">
      <c r="A1768"/>
    </row>
    <row r="1769" spans="1:1" x14ac:dyDescent="0.35">
      <c r="A1769"/>
    </row>
    <row r="1770" spans="1:1" x14ac:dyDescent="0.35">
      <c r="A1770"/>
    </row>
    <row r="1771" spans="1:1" x14ac:dyDescent="0.35">
      <c r="A1771"/>
    </row>
    <row r="1772" spans="1:1" x14ac:dyDescent="0.35">
      <c r="A1772"/>
    </row>
    <row r="1773" spans="1:1" x14ac:dyDescent="0.35">
      <c r="A1773"/>
    </row>
    <row r="1774" spans="1:1" x14ac:dyDescent="0.35">
      <c r="A1774"/>
    </row>
    <row r="1775" spans="1:1" x14ac:dyDescent="0.35">
      <c r="A1775"/>
    </row>
    <row r="1776" spans="1:1" x14ac:dyDescent="0.35">
      <c r="A1776"/>
    </row>
    <row r="1777" spans="1:1" x14ac:dyDescent="0.35">
      <c r="A1777"/>
    </row>
    <row r="1778" spans="1:1" x14ac:dyDescent="0.35">
      <c r="A1778"/>
    </row>
    <row r="1779" spans="1:1" x14ac:dyDescent="0.35">
      <c r="A1779"/>
    </row>
    <row r="1780" spans="1:1" x14ac:dyDescent="0.35">
      <c r="A1780"/>
    </row>
    <row r="1781" spans="1:1" x14ac:dyDescent="0.35">
      <c r="A1781"/>
    </row>
    <row r="1782" spans="1:1" x14ac:dyDescent="0.35">
      <c r="A1782"/>
    </row>
    <row r="1783" spans="1:1" x14ac:dyDescent="0.35">
      <c r="A1783"/>
    </row>
    <row r="1784" spans="1:1" x14ac:dyDescent="0.35">
      <c r="A1784"/>
    </row>
    <row r="1785" spans="1:1" x14ac:dyDescent="0.35">
      <c r="A1785"/>
    </row>
    <row r="1786" spans="1:1" x14ac:dyDescent="0.35">
      <c r="A1786"/>
    </row>
    <row r="1787" spans="1:1" x14ac:dyDescent="0.35">
      <c r="A1787"/>
    </row>
    <row r="1788" spans="1:1" x14ac:dyDescent="0.35">
      <c r="A1788"/>
    </row>
    <row r="1789" spans="1:1" x14ac:dyDescent="0.35">
      <c r="A1789"/>
    </row>
    <row r="1790" spans="1:1" x14ac:dyDescent="0.35">
      <c r="A1790"/>
    </row>
    <row r="1791" spans="1:1" x14ac:dyDescent="0.35">
      <c r="A1791"/>
    </row>
    <row r="1792" spans="1:1" x14ac:dyDescent="0.35">
      <c r="A1792"/>
    </row>
    <row r="1793" spans="1:1" x14ac:dyDescent="0.35">
      <c r="A1793"/>
    </row>
    <row r="1794" spans="1:1" x14ac:dyDescent="0.35">
      <c r="A1794"/>
    </row>
    <row r="1795" spans="1:1" x14ac:dyDescent="0.35">
      <c r="A1795"/>
    </row>
    <row r="1796" spans="1:1" x14ac:dyDescent="0.35">
      <c r="A1796"/>
    </row>
    <row r="1797" spans="1:1" x14ac:dyDescent="0.35">
      <c r="A1797"/>
    </row>
    <row r="1798" spans="1:1" x14ac:dyDescent="0.35">
      <c r="A1798"/>
    </row>
    <row r="1799" spans="1:1" x14ac:dyDescent="0.35">
      <c r="A1799"/>
    </row>
    <row r="1800" spans="1:1" x14ac:dyDescent="0.35">
      <c r="A1800"/>
    </row>
    <row r="1801" spans="1:1" x14ac:dyDescent="0.35">
      <c r="A1801"/>
    </row>
    <row r="1802" spans="1:1" x14ac:dyDescent="0.35">
      <c r="A1802"/>
    </row>
    <row r="1803" spans="1:1" x14ac:dyDescent="0.35">
      <c r="A1803"/>
    </row>
    <row r="1804" spans="1:1" x14ac:dyDescent="0.35">
      <c r="A1804"/>
    </row>
    <row r="1805" spans="1:1" x14ac:dyDescent="0.35">
      <c r="A1805"/>
    </row>
    <row r="1806" spans="1:1" x14ac:dyDescent="0.35">
      <c r="A1806"/>
    </row>
    <row r="1807" spans="1:1" x14ac:dyDescent="0.35">
      <c r="A1807"/>
    </row>
    <row r="1808" spans="1:1" x14ac:dyDescent="0.35">
      <c r="A1808"/>
    </row>
    <row r="1809" spans="1:1" x14ac:dyDescent="0.35">
      <c r="A1809"/>
    </row>
    <row r="1810" spans="1:1" x14ac:dyDescent="0.35">
      <c r="A1810"/>
    </row>
    <row r="1811" spans="1:1" x14ac:dyDescent="0.35">
      <c r="A1811"/>
    </row>
    <row r="1812" spans="1:1" x14ac:dyDescent="0.35">
      <c r="A1812"/>
    </row>
    <row r="1813" spans="1:1" x14ac:dyDescent="0.35">
      <c r="A1813"/>
    </row>
    <row r="1814" spans="1:1" x14ac:dyDescent="0.35">
      <c r="A1814"/>
    </row>
    <row r="1815" spans="1:1" x14ac:dyDescent="0.35">
      <c r="A1815"/>
    </row>
    <row r="1816" spans="1:1" x14ac:dyDescent="0.35">
      <c r="A1816"/>
    </row>
    <row r="1817" spans="1:1" x14ac:dyDescent="0.35">
      <c r="A1817"/>
    </row>
    <row r="1818" spans="1:1" x14ac:dyDescent="0.35">
      <c r="A1818"/>
    </row>
    <row r="1819" spans="1:1" x14ac:dyDescent="0.35">
      <c r="A1819"/>
    </row>
    <row r="1820" spans="1:1" x14ac:dyDescent="0.35">
      <c r="A1820"/>
    </row>
    <row r="1821" spans="1:1" x14ac:dyDescent="0.35">
      <c r="A1821"/>
    </row>
    <row r="1822" spans="1:1" x14ac:dyDescent="0.35">
      <c r="A1822"/>
    </row>
    <row r="1823" spans="1:1" x14ac:dyDescent="0.35">
      <c r="A1823"/>
    </row>
    <row r="1824" spans="1:1" x14ac:dyDescent="0.35">
      <c r="A1824"/>
    </row>
    <row r="1825" spans="1:1" x14ac:dyDescent="0.35">
      <c r="A1825"/>
    </row>
    <row r="1826" spans="1:1" x14ac:dyDescent="0.35">
      <c r="A1826"/>
    </row>
    <row r="1827" spans="1:1" x14ac:dyDescent="0.35">
      <c r="A1827"/>
    </row>
    <row r="1828" spans="1:1" x14ac:dyDescent="0.35">
      <c r="A1828"/>
    </row>
    <row r="1829" spans="1:1" x14ac:dyDescent="0.35">
      <c r="A1829"/>
    </row>
    <row r="1830" spans="1:1" x14ac:dyDescent="0.35">
      <c r="A1830"/>
    </row>
    <row r="1831" spans="1:1" x14ac:dyDescent="0.35">
      <c r="A1831"/>
    </row>
    <row r="1832" spans="1:1" x14ac:dyDescent="0.35">
      <c r="A1832"/>
    </row>
    <row r="1833" spans="1:1" x14ac:dyDescent="0.35">
      <c r="A1833"/>
    </row>
    <row r="1834" spans="1:1" x14ac:dyDescent="0.35">
      <c r="A1834"/>
    </row>
    <row r="1835" spans="1:1" x14ac:dyDescent="0.35">
      <c r="A1835"/>
    </row>
    <row r="1836" spans="1:1" x14ac:dyDescent="0.35">
      <c r="A1836"/>
    </row>
    <row r="1837" spans="1:1" x14ac:dyDescent="0.35">
      <c r="A1837"/>
    </row>
    <row r="1838" spans="1:1" x14ac:dyDescent="0.35">
      <c r="A1838"/>
    </row>
    <row r="1839" spans="1:1" x14ac:dyDescent="0.35">
      <c r="A1839"/>
    </row>
    <row r="1840" spans="1:1" x14ac:dyDescent="0.35">
      <c r="A1840"/>
    </row>
    <row r="1841" spans="1:1" x14ac:dyDescent="0.35">
      <c r="A1841"/>
    </row>
    <row r="1842" spans="1:1" x14ac:dyDescent="0.35">
      <c r="A1842"/>
    </row>
    <row r="1843" spans="1:1" x14ac:dyDescent="0.35">
      <c r="A1843"/>
    </row>
    <row r="1844" spans="1:1" x14ac:dyDescent="0.35">
      <c r="A1844"/>
    </row>
    <row r="1845" spans="1:1" x14ac:dyDescent="0.35">
      <c r="A1845"/>
    </row>
    <row r="1846" spans="1:1" x14ac:dyDescent="0.35">
      <c r="A1846"/>
    </row>
    <row r="1847" spans="1:1" x14ac:dyDescent="0.35">
      <c r="A1847"/>
    </row>
    <row r="1848" spans="1:1" x14ac:dyDescent="0.35">
      <c r="A1848"/>
    </row>
    <row r="1849" spans="1:1" x14ac:dyDescent="0.35">
      <c r="A1849"/>
    </row>
    <row r="1850" spans="1:1" x14ac:dyDescent="0.35">
      <c r="A1850"/>
    </row>
    <row r="1851" spans="1:1" x14ac:dyDescent="0.35">
      <c r="A1851"/>
    </row>
    <row r="1852" spans="1:1" x14ac:dyDescent="0.35">
      <c r="A1852"/>
    </row>
    <row r="1853" spans="1:1" x14ac:dyDescent="0.35">
      <c r="A1853"/>
    </row>
    <row r="1854" spans="1:1" x14ac:dyDescent="0.35">
      <c r="A1854"/>
    </row>
    <row r="1855" spans="1:1" x14ac:dyDescent="0.35">
      <c r="A1855"/>
    </row>
    <row r="1856" spans="1:1" x14ac:dyDescent="0.35">
      <c r="A1856"/>
    </row>
    <row r="1857" spans="1:1" x14ac:dyDescent="0.35">
      <c r="A1857"/>
    </row>
    <row r="1858" spans="1:1" x14ac:dyDescent="0.35">
      <c r="A1858"/>
    </row>
    <row r="1859" spans="1:1" x14ac:dyDescent="0.35">
      <c r="A1859"/>
    </row>
    <row r="1860" spans="1:1" x14ac:dyDescent="0.35">
      <c r="A1860"/>
    </row>
    <row r="1861" spans="1:1" x14ac:dyDescent="0.35">
      <c r="A1861"/>
    </row>
    <row r="1862" spans="1:1" x14ac:dyDescent="0.35">
      <c r="A1862"/>
    </row>
    <row r="1863" spans="1:1" x14ac:dyDescent="0.35">
      <c r="A1863"/>
    </row>
    <row r="1864" spans="1:1" x14ac:dyDescent="0.35">
      <c r="A1864"/>
    </row>
    <row r="1865" spans="1:1" x14ac:dyDescent="0.35">
      <c r="A1865"/>
    </row>
    <row r="1866" spans="1:1" x14ac:dyDescent="0.35">
      <c r="A1866"/>
    </row>
    <row r="1867" spans="1:1" x14ac:dyDescent="0.35">
      <c r="A1867"/>
    </row>
    <row r="1868" spans="1:1" x14ac:dyDescent="0.35">
      <c r="A1868"/>
    </row>
    <row r="1869" spans="1:1" x14ac:dyDescent="0.35">
      <c r="A1869"/>
    </row>
    <row r="1870" spans="1:1" x14ac:dyDescent="0.35">
      <c r="A1870"/>
    </row>
    <row r="1871" spans="1:1" x14ac:dyDescent="0.35">
      <c r="A1871"/>
    </row>
    <row r="1872" spans="1:1" x14ac:dyDescent="0.35">
      <c r="A1872"/>
    </row>
    <row r="1873" spans="1:1" x14ac:dyDescent="0.35">
      <c r="A1873"/>
    </row>
    <row r="1874" spans="1:1" x14ac:dyDescent="0.35">
      <c r="A1874"/>
    </row>
    <row r="1875" spans="1:1" x14ac:dyDescent="0.35">
      <c r="A1875"/>
    </row>
    <row r="1876" spans="1:1" x14ac:dyDescent="0.35">
      <c r="A1876"/>
    </row>
    <row r="1877" spans="1:1" x14ac:dyDescent="0.35">
      <c r="A1877"/>
    </row>
    <row r="1878" spans="1:1" x14ac:dyDescent="0.35">
      <c r="A1878"/>
    </row>
    <row r="1879" spans="1:1" x14ac:dyDescent="0.35">
      <c r="A1879"/>
    </row>
    <row r="1880" spans="1:1" x14ac:dyDescent="0.35">
      <c r="A1880"/>
    </row>
    <row r="1881" spans="1:1" x14ac:dyDescent="0.35">
      <c r="A1881"/>
    </row>
    <row r="1882" spans="1:1" x14ac:dyDescent="0.35">
      <c r="A1882"/>
    </row>
    <row r="1883" spans="1:1" x14ac:dyDescent="0.35">
      <c r="A1883"/>
    </row>
    <row r="1884" spans="1:1" x14ac:dyDescent="0.35">
      <c r="A1884"/>
    </row>
    <row r="1885" spans="1:1" x14ac:dyDescent="0.35">
      <c r="A1885"/>
    </row>
    <row r="1886" spans="1:1" x14ac:dyDescent="0.35">
      <c r="A1886"/>
    </row>
    <row r="1887" spans="1:1" x14ac:dyDescent="0.35">
      <c r="A1887"/>
    </row>
    <row r="1888" spans="1:1" x14ac:dyDescent="0.35">
      <c r="A1888"/>
    </row>
    <row r="1889" spans="1:1" x14ac:dyDescent="0.35">
      <c r="A1889"/>
    </row>
    <row r="1890" spans="1:1" x14ac:dyDescent="0.35">
      <c r="A1890"/>
    </row>
    <row r="1891" spans="1:1" x14ac:dyDescent="0.35">
      <c r="A1891"/>
    </row>
    <row r="1892" spans="1:1" x14ac:dyDescent="0.35">
      <c r="A1892"/>
    </row>
    <row r="1893" spans="1:1" x14ac:dyDescent="0.35">
      <c r="A1893"/>
    </row>
    <row r="1894" spans="1:1" x14ac:dyDescent="0.35">
      <c r="A1894"/>
    </row>
    <row r="1895" spans="1:1" x14ac:dyDescent="0.35">
      <c r="A1895"/>
    </row>
    <row r="1896" spans="1:1" x14ac:dyDescent="0.35">
      <c r="A1896"/>
    </row>
    <row r="1897" spans="1:1" x14ac:dyDescent="0.35">
      <c r="A1897"/>
    </row>
    <row r="1898" spans="1:1" x14ac:dyDescent="0.35">
      <c r="A1898"/>
    </row>
    <row r="1899" spans="1:1" x14ac:dyDescent="0.35">
      <c r="A1899"/>
    </row>
    <row r="1900" spans="1:1" x14ac:dyDescent="0.35">
      <c r="A1900"/>
    </row>
    <row r="1901" spans="1:1" x14ac:dyDescent="0.35">
      <c r="A1901"/>
    </row>
    <row r="1902" spans="1:1" x14ac:dyDescent="0.35">
      <c r="A1902"/>
    </row>
    <row r="1903" spans="1:1" x14ac:dyDescent="0.35">
      <c r="A1903"/>
    </row>
    <row r="1904" spans="1:1" x14ac:dyDescent="0.35">
      <c r="A1904"/>
    </row>
    <row r="1905" spans="1:1" x14ac:dyDescent="0.35">
      <c r="A1905"/>
    </row>
    <row r="1906" spans="1:1" x14ac:dyDescent="0.35">
      <c r="A1906"/>
    </row>
    <row r="1907" spans="1:1" x14ac:dyDescent="0.35">
      <c r="A1907"/>
    </row>
    <row r="1908" spans="1:1" x14ac:dyDescent="0.35">
      <c r="A1908"/>
    </row>
    <row r="1909" spans="1:1" x14ac:dyDescent="0.35">
      <c r="A1909"/>
    </row>
    <row r="1910" spans="1:1" x14ac:dyDescent="0.35">
      <c r="A1910"/>
    </row>
    <row r="1911" spans="1:1" x14ac:dyDescent="0.35">
      <c r="A1911"/>
    </row>
    <row r="1912" spans="1:1" x14ac:dyDescent="0.35">
      <c r="A1912"/>
    </row>
    <row r="1913" spans="1:1" x14ac:dyDescent="0.35">
      <c r="A1913"/>
    </row>
    <row r="1914" spans="1:1" x14ac:dyDescent="0.35">
      <c r="A1914"/>
    </row>
    <row r="1915" spans="1:1" x14ac:dyDescent="0.35">
      <c r="A1915"/>
    </row>
    <row r="1916" spans="1:1" x14ac:dyDescent="0.35">
      <c r="A1916"/>
    </row>
    <row r="1917" spans="1:1" x14ac:dyDescent="0.35">
      <c r="A1917"/>
    </row>
    <row r="1918" spans="1:1" x14ac:dyDescent="0.35">
      <c r="A1918"/>
    </row>
    <row r="1919" spans="1:1" x14ac:dyDescent="0.35">
      <c r="A1919"/>
    </row>
    <row r="1920" spans="1:1" x14ac:dyDescent="0.35">
      <c r="A1920"/>
    </row>
    <row r="1921" spans="1:1" x14ac:dyDescent="0.35">
      <c r="A1921"/>
    </row>
    <row r="1922" spans="1:1" x14ac:dyDescent="0.35">
      <c r="A1922"/>
    </row>
    <row r="1923" spans="1:1" x14ac:dyDescent="0.35">
      <c r="A1923"/>
    </row>
    <row r="1924" spans="1:1" x14ac:dyDescent="0.35">
      <c r="A1924"/>
    </row>
    <row r="1925" spans="1:1" x14ac:dyDescent="0.35">
      <c r="A1925"/>
    </row>
    <row r="1926" spans="1:1" x14ac:dyDescent="0.35">
      <c r="A1926"/>
    </row>
    <row r="1927" spans="1:1" x14ac:dyDescent="0.35">
      <c r="A1927"/>
    </row>
    <row r="1928" spans="1:1" x14ac:dyDescent="0.35">
      <c r="A1928"/>
    </row>
    <row r="1929" spans="1:1" x14ac:dyDescent="0.35">
      <c r="A1929"/>
    </row>
    <row r="1930" spans="1:1" x14ac:dyDescent="0.35">
      <c r="A1930"/>
    </row>
    <row r="1931" spans="1:1" x14ac:dyDescent="0.35">
      <c r="A1931"/>
    </row>
    <row r="1932" spans="1:1" x14ac:dyDescent="0.35">
      <c r="A1932"/>
    </row>
    <row r="1933" spans="1:1" x14ac:dyDescent="0.35">
      <c r="A1933"/>
    </row>
    <row r="1934" spans="1:1" x14ac:dyDescent="0.35">
      <c r="A1934"/>
    </row>
    <row r="1935" spans="1:1" x14ac:dyDescent="0.35">
      <c r="A1935"/>
    </row>
    <row r="1936" spans="1:1" x14ac:dyDescent="0.35">
      <c r="A1936"/>
    </row>
    <row r="1937" spans="1:1" x14ac:dyDescent="0.35">
      <c r="A1937"/>
    </row>
    <row r="1938" spans="1:1" x14ac:dyDescent="0.35">
      <c r="A1938"/>
    </row>
    <row r="1939" spans="1:1" x14ac:dyDescent="0.35">
      <c r="A1939"/>
    </row>
    <row r="1940" spans="1:1" x14ac:dyDescent="0.35">
      <c r="A1940"/>
    </row>
    <row r="1941" spans="1:1" x14ac:dyDescent="0.35">
      <c r="A1941"/>
    </row>
    <row r="1942" spans="1:1" x14ac:dyDescent="0.35">
      <c r="A1942"/>
    </row>
    <row r="1943" spans="1:1" x14ac:dyDescent="0.35">
      <c r="A1943"/>
    </row>
    <row r="1944" spans="1:1" x14ac:dyDescent="0.35">
      <c r="A1944"/>
    </row>
    <row r="1945" spans="1:1" x14ac:dyDescent="0.35">
      <c r="A1945"/>
    </row>
    <row r="1946" spans="1:1" x14ac:dyDescent="0.35">
      <c r="A1946"/>
    </row>
    <row r="1947" spans="1:1" x14ac:dyDescent="0.35">
      <c r="A1947"/>
    </row>
    <row r="1948" spans="1:1" x14ac:dyDescent="0.35">
      <c r="A1948"/>
    </row>
    <row r="1949" spans="1:1" x14ac:dyDescent="0.35">
      <c r="A1949"/>
    </row>
    <row r="1950" spans="1:1" x14ac:dyDescent="0.35">
      <c r="A1950"/>
    </row>
    <row r="1951" spans="1:1" x14ac:dyDescent="0.35">
      <c r="A1951"/>
    </row>
    <row r="1952" spans="1:1" x14ac:dyDescent="0.35">
      <c r="A1952"/>
    </row>
    <row r="1953" spans="1:1" x14ac:dyDescent="0.35">
      <c r="A1953"/>
    </row>
    <row r="1954" spans="1:1" x14ac:dyDescent="0.35">
      <c r="A1954"/>
    </row>
    <row r="1955" spans="1:1" x14ac:dyDescent="0.35">
      <c r="A1955"/>
    </row>
    <row r="1956" spans="1:1" x14ac:dyDescent="0.35">
      <c r="A1956"/>
    </row>
    <row r="1957" spans="1:1" x14ac:dyDescent="0.35">
      <c r="A1957"/>
    </row>
    <row r="1958" spans="1:1" x14ac:dyDescent="0.35">
      <c r="A1958"/>
    </row>
    <row r="1959" spans="1:1" x14ac:dyDescent="0.35">
      <c r="A1959"/>
    </row>
    <row r="1960" spans="1:1" x14ac:dyDescent="0.35">
      <c r="A1960"/>
    </row>
    <row r="1961" spans="1:1" x14ac:dyDescent="0.35">
      <c r="A1961"/>
    </row>
    <row r="1962" spans="1:1" x14ac:dyDescent="0.35">
      <c r="A1962"/>
    </row>
    <row r="1963" spans="1:1" x14ac:dyDescent="0.35">
      <c r="A1963"/>
    </row>
    <row r="1964" spans="1:1" x14ac:dyDescent="0.35">
      <c r="A1964"/>
    </row>
    <row r="1965" spans="1:1" x14ac:dyDescent="0.35">
      <c r="A1965"/>
    </row>
    <row r="1966" spans="1:1" x14ac:dyDescent="0.35">
      <c r="A1966"/>
    </row>
    <row r="1967" spans="1:1" x14ac:dyDescent="0.35">
      <c r="A1967"/>
    </row>
    <row r="1968" spans="1:1" x14ac:dyDescent="0.35">
      <c r="A1968"/>
    </row>
    <row r="1969" spans="1:1" x14ac:dyDescent="0.35">
      <c r="A1969"/>
    </row>
    <row r="1970" spans="1:1" x14ac:dyDescent="0.35">
      <c r="A1970"/>
    </row>
    <row r="1971" spans="1:1" x14ac:dyDescent="0.35">
      <c r="A1971"/>
    </row>
    <row r="1972" spans="1:1" x14ac:dyDescent="0.35">
      <c r="A1972"/>
    </row>
    <row r="1973" spans="1:1" x14ac:dyDescent="0.35">
      <c r="A1973"/>
    </row>
    <row r="1974" spans="1:1" x14ac:dyDescent="0.35">
      <c r="A1974"/>
    </row>
    <row r="1975" spans="1:1" x14ac:dyDescent="0.35">
      <c r="A1975"/>
    </row>
    <row r="1976" spans="1:1" x14ac:dyDescent="0.35">
      <c r="A1976"/>
    </row>
    <row r="1977" spans="1:1" x14ac:dyDescent="0.35">
      <c r="A1977"/>
    </row>
    <row r="1978" spans="1:1" x14ac:dyDescent="0.35">
      <c r="A1978"/>
    </row>
    <row r="1979" spans="1:1" x14ac:dyDescent="0.35">
      <c r="A1979"/>
    </row>
    <row r="1980" spans="1:1" x14ac:dyDescent="0.35">
      <c r="A1980"/>
    </row>
    <row r="1981" spans="1:1" x14ac:dyDescent="0.35">
      <c r="A1981"/>
    </row>
    <row r="1982" spans="1:1" x14ac:dyDescent="0.35">
      <c r="A1982"/>
    </row>
    <row r="1983" spans="1:1" x14ac:dyDescent="0.35">
      <c r="A1983"/>
    </row>
    <row r="1984" spans="1:1" x14ac:dyDescent="0.35">
      <c r="A1984"/>
    </row>
    <row r="1985" spans="1:1" x14ac:dyDescent="0.35">
      <c r="A1985"/>
    </row>
    <row r="1986" spans="1:1" x14ac:dyDescent="0.35">
      <c r="A1986"/>
    </row>
    <row r="1987" spans="1:1" x14ac:dyDescent="0.35">
      <c r="A1987"/>
    </row>
    <row r="1988" spans="1:1" x14ac:dyDescent="0.35">
      <c r="A1988"/>
    </row>
    <row r="1989" spans="1:1" x14ac:dyDescent="0.35">
      <c r="A1989"/>
    </row>
    <row r="1990" spans="1:1" x14ac:dyDescent="0.35">
      <c r="A1990"/>
    </row>
    <row r="1991" spans="1:1" x14ac:dyDescent="0.35">
      <c r="A1991"/>
    </row>
    <row r="1992" spans="1:1" x14ac:dyDescent="0.35">
      <c r="A1992"/>
    </row>
    <row r="1993" spans="1:1" x14ac:dyDescent="0.35">
      <c r="A1993"/>
    </row>
    <row r="1994" spans="1:1" x14ac:dyDescent="0.35">
      <c r="A1994"/>
    </row>
    <row r="1995" spans="1:1" x14ac:dyDescent="0.35">
      <c r="A1995"/>
    </row>
    <row r="1996" spans="1:1" x14ac:dyDescent="0.35">
      <c r="A1996"/>
    </row>
    <row r="1997" spans="1:1" x14ac:dyDescent="0.35">
      <c r="A1997"/>
    </row>
    <row r="1998" spans="1:1" x14ac:dyDescent="0.35">
      <c r="A1998"/>
    </row>
    <row r="1999" spans="1:1" x14ac:dyDescent="0.35">
      <c r="A1999"/>
    </row>
    <row r="2000" spans="1:1" x14ac:dyDescent="0.35">
      <c r="A2000"/>
    </row>
    <row r="2001" spans="1:1" x14ac:dyDescent="0.35">
      <c r="A2001"/>
    </row>
    <row r="2002" spans="1:1" x14ac:dyDescent="0.35">
      <c r="A2002"/>
    </row>
    <row r="2003" spans="1:1" x14ac:dyDescent="0.35">
      <c r="A2003"/>
    </row>
    <row r="2004" spans="1:1" x14ac:dyDescent="0.35">
      <c r="A2004"/>
    </row>
    <row r="2005" spans="1:1" x14ac:dyDescent="0.35">
      <c r="A2005"/>
    </row>
    <row r="2006" spans="1:1" x14ac:dyDescent="0.35">
      <c r="A2006"/>
    </row>
    <row r="2007" spans="1:1" x14ac:dyDescent="0.35">
      <c r="A2007"/>
    </row>
    <row r="2008" spans="1:1" x14ac:dyDescent="0.35">
      <c r="A2008"/>
    </row>
    <row r="2009" spans="1:1" x14ac:dyDescent="0.35">
      <c r="A2009"/>
    </row>
    <row r="2010" spans="1:1" x14ac:dyDescent="0.35">
      <c r="A2010"/>
    </row>
    <row r="2011" spans="1:1" x14ac:dyDescent="0.35">
      <c r="A2011"/>
    </row>
    <row r="2012" spans="1:1" x14ac:dyDescent="0.35">
      <c r="A2012"/>
    </row>
    <row r="2013" spans="1:1" x14ac:dyDescent="0.35">
      <c r="A2013"/>
    </row>
    <row r="2014" spans="1:1" x14ac:dyDescent="0.35">
      <c r="A2014"/>
    </row>
    <row r="2015" spans="1:1" x14ac:dyDescent="0.35">
      <c r="A2015"/>
    </row>
    <row r="2016" spans="1:1" x14ac:dyDescent="0.35">
      <c r="A2016"/>
    </row>
    <row r="2017" spans="1:1" x14ac:dyDescent="0.35">
      <c r="A2017"/>
    </row>
    <row r="2018" spans="1:1" x14ac:dyDescent="0.35">
      <c r="A2018"/>
    </row>
    <row r="2019" spans="1:1" x14ac:dyDescent="0.35">
      <c r="A2019"/>
    </row>
    <row r="2020" spans="1:1" x14ac:dyDescent="0.35">
      <c r="A2020"/>
    </row>
    <row r="2021" spans="1:1" x14ac:dyDescent="0.35">
      <c r="A2021"/>
    </row>
    <row r="2022" spans="1:1" x14ac:dyDescent="0.35">
      <c r="A2022"/>
    </row>
    <row r="2023" spans="1:1" x14ac:dyDescent="0.35">
      <c r="A2023"/>
    </row>
    <row r="2024" spans="1:1" x14ac:dyDescent="0.35">
      <c r="A2024"/>
    </row>
    <row r="2025" spans="1:1" x14ac:dyDescent="0.35">
      <c r="A2025"/>
    </row>
    <row r="2026" spans="1:1" x14ac:dyDescent="0.35">
      <c r="A2026"/>
    </row>
    <row r="2027" spans="1:1" x14ac:dyDescent="0.35">
      <c r="A2027"/>
    </row>
    <row r="2028" spans="1:1" x14ac:dyDescent="0.35">
      <c r="A2028"/>
    </row>
    <row r="2029" spans="1:1" x14ac:dyDescent="0.35">
      <c r="A2029"/>
    </row>
    <row r="2030" spans="1:1" x14ac:dyDescent="0.35">
      <c r="A2030"/>
    </row>
    <row r="2031" spans="1:1" x14ac:dyDescent="0.35">
      <c r="A2031"/>
    </row>
    <row r="2032" spans="1:1" x14ac:dyDescent="0.35">
      <c r="A2032"/>
    </row>
    <row r="2033" spans="1:1" x14ac:dyDescent="0.35">
      <c r="A2033"/>
    </row>
    <row r="2034" spans="1:1" x14ac:dyDescent="0.35">
      <c r="A2034"/>
    </row>
    <row r="2035" spans="1:1" x14ac:dyDescent="0.35">
      <c r="A2035"/>
    </row>
    <row r="2036" spans="1:1" x14ac:dyDescent="0.35">
      <c r="A2036"/>
    </row>
    <row r="2037" spans="1:1" x14ac:dyDescent="0.35">
      <c r="A2037"/>
    </row>
    <row r="2038" spans="1:1" x14ac:dyDescent="0.35">
      <c r="A2038"/>
    </row>
    <row r="2039" spans="1:1" x14ac:dyDescent="0.35">
      <c r="A2039"/>
    </row>
    <row r="2040" spans="1:1" x14ac:dyDescent="0.35">
      <c r="A2040"/>
    </row>
    <row r="2041" spans="1:1" x14ac:dyDescent="0.35">
      <c r="A2041"/>
    </row>
    <row r="2042" spans="1:1" x14ac:dyDescent="0.35">
      <c r="A2042"/>
    </row>
    <row r="2043" spans="1:1" x14ac:dyDescent="0.35">
      <c r="A2043"/>
    </row>
    <row r="2044" spans="1:1" x14ac:dyDescent="0.35">
      <c r="A2044"/>
    </row>
    <row r="2045" spans="1:1" x14ac:dyDescent="0.35">
      <c r="A2045"/>
    </row>
    <row r="2046" spans="1:1" x14ac:dyDescent="0.35">
      <c r="A2046"/>
    </row>
    <row r="2047" spans="1:1" x14ac:dyDescent="0.35">
      <c r="A2047"/>
    </row>
    <row r="2048" spans="1:1" x14ac:dyDescent="0.35">
      <c r="A2048"/>
    </row>
    <row r="2049" spans="1:1" x14ac:dyDescent="0.35">
      <c r="A2049"/>
    </row>
    <row r="2050" spans="1:1" x14ac:dyDescent="0.35">
      <c r="A2050"/>
    </row>
    <row r="2051" spans="1:1" x14ac:dyDescent="0.35">
      <c r="A2051"/>
    </row>
    <row r="2052" spans="1:1" x14ac:dyDescent="0.35">
      <c r="A2052"/>
    </row>
    <row r="2053" spans="1:1" x14ac:dyDescent="0.35">
      <c r="A2053"/>
    </row>
    <row r="2054" spans="1:1" x14ac:dyDescent="0.35">
      <c r="A2054"/>
    </row>
    <row r="2055" spans="1:1" x14ac:dyDescent="0.35">
      <c r="A2055"/>
    </row>
    <row r="2056" spans="1:1" x14ac:dyDescent="0.35">
      <c r="A2056"/>
    </row>
    <row r="2057" spans="1:1" x14ac:dyDescent="0.35">
      <c r="A2057"/>
    </row>
    <row r="2058" spans="1:1" x14ac:dyDescent="0.35">
      <c r="A2058"/>
    </row>
    <row r="2059" spans="1:1" x14ac:dyDescent="0.35">
      <c r="A2059"/>
    </row>
    <row r="2060" spans="1:1" x14ac:dyDescent="0.35">
      <c r="A2060"/>
    </row>
    <row r="2061" spans="1:1" x14ac:dyDescent="0.35">
      <c r="A2061"/>
    </row>
    <row r="2062" spans="1:1" x14ac:dyDescent="0.35">
      <c r="A2062"/>
    </row>
    <row r="2063" spans="1:1" x14ac:dyDescent="0.35">
      <c r="A2063"/>
    </row>
    <row r="2064" spans="1:1" x14ac:dyDescent="0.35">
      <c r="A2064"/>
    </row>
    <row r="2065" spans="1:1" x14ac:dyDescent="0.35">
      <c r="A2065"/>
    </row>
    <row r="2066" spans="1:1" x14ac:dyDescent="0.35">
      <c r="A2066"/>
    </row>
    <row r="2067" spans="1:1" x14ac:dyDescent="0.35">
      <c r="A2067"/>
    </row>
    <row r="2068" spans="1:1" x14ac:dyDescent="0.35">
      <c r="A2068"/>
    </row>
    <row r="2069" spans="1:1" x14ac:dyDescent="0.35">
      <c r="A2069"/>
    </row>
    <row r="2070" spans="1:1" x14ac:dyDescent="0.35">
      <c r="A2070"/>
    </row>
    <row r="2071" spans="1:1" x14ac:dyDescent="0.35">
      <c r="A2071"/>
    </row>
    <row r="2072" spans="1:1" x14ac:dyDescent="0.35">
      <c r="A2072"/>
    </row>
    <row r="2073" spans="1:1" x14ac:dyDescent="0.35">
      <c r="A2073"/>
    </row>
    <row r="2074" spans="1:1" x14ac:dyDescent="0.35">
      <c r="A2074"/>
    </row>
    <row r="2075" spans="1:1" x14ac:dyDescent="0.35">
      <c r="A2075"/>
    </row>
    <row r="2076" spans="1:1" x14ac:dyDescent="0.35">
      <c r="A2076"/>
    </row>
    <row r="2077" spans="1:1" x14ac:dyDescent="0.35">
      <c r="A2077"/>
    </row>
    <row r="2078" spans="1:1" x14ac:dyDescent="0.35">
      <c r="A2078"/>
    </row>
    <row r="2079" spans="1:1" x14ac:dyDescent="0.35">
      <c r="A2079"/>
    </row>
    <row r="2080" spans="1:1" x14ac:dyDescent="0.35">
      <c r="A2080"/>
    </row>
    <row r="2081" spans="1:1" x14ac:dyDescent="0.35">
      <c r="A2081"/>
    </row>
    <row r="2082" spans="1:1" x14ac:dyDescent="0.35">
      <c r="A2082"/>
    </row>
    <row r="2083" spans="1:1" x14ac:dyDescent="0.35">
      <c r="A2083"/>
    </row>
    <row r="2084" spans="1:1" x14ac:dyDescent="0.35">
      <c r="A2084"/>
    </row>
    <row r="2085" spans="1:1" x14ac:dyDescent="0.35">
      <c r="A2085"/>
    </row>
    <row r="2086" spans="1:1" x14ac:dyDescent="0.35">
      <c r="A2086"/>
    </row>
    <row r="2087" spans="1:1" x14ac:dyDescent="0.35">
      <c r="A2087"/>
    </row>
    <row r="2088" spans="1:1" x14ac:dyDescent="0.35">
      <c r="A2088"/>
    </row>
    <row r="2089" spans="1:1" x14ac:dyDescent="0.35">
      <c r="A2089"/>
    </row>
    <row r="2090" spans="1:1" x14ac:dyDescent="0.35">
      <c r="A2090"/>
    </row>
    <row r="2091" spans="1:1" x14ac:dyDescent="0.35">
      <c r="A2091"/>
    </row>
    <row r="2092" spans="1:1" x14ac:dyDescent="0.35">
      <c r="A2092"/>
    </row>
    <row r="2093" spans="1:1" x14ac:dyDescent="0.35">
      <c r="A2093"/>
    </row>
    <row r="2094" spans="1:1" x14ac:dyDescent="0.35">
      <c r="A2094"/>
    </row>
    <row r="2095" spans="1:1" x14ac:dyDescent="0.35">
      <c r="A2095"/>
    </row>
    <row r="2096" spans="1:1" x14ac:dyDescent="0.35">
      <c r="A2096"/>
    </row>
    <row r="2097" spans="1:1" x14ac:dyDescent="0.35">
      <c r="A2097"/>
    </row>
    <row r="2098" spans="1:1" x14ac:dyDescent="0.35">
      <c r="A2098"/>
    </row>
    <row r="2099" spans="1:1" x14ac:dyDescent="0.35">
      <c r="A2099"/>
    </row>
    <row r="2100" spans="1:1" x14ac:dyDescent="0.35">
      <c r="A2100"/>
    </row>
    <row r="2101" spans="1:1" x14ac:dyDescent="0.35">
      <c r="A2101"/>
    </row>
    <row r="2102" spans="1:1" x14ac:dyDescent="0.35">
      <c r="A2102"/>
    </row>
    <row r="2103" spans="1:1" x14ac:dyDescent="0.35">
      <c r="A2103"/>
    </row>
    <row r="2104" spans="1:1" x14ac:dyDescent="0.35">
      <c r="A2104"/>
    </row>
    <row r="2105" spans="1:1" x14ac:dyDescent="0.35">
      <c r="A2105"/>
    </row>
    <row r="2106" spans="1:1" x14ac:dyDescent="0.35">
      <c r="A2106"/>
    </row>
    <row r="2107" spans="1:1" x14ac:dyDescent="0.35">
      <c r="A2107"/>
    </row>
    <row r="2108" spans="1:1" x14ac:dyDescent="0.35">
      <c r="A2108"/>
    </row>
    <row r="2109" spans="1:1" x14ac:dyDescent="0.35">
      <c r="A2109"/>
    </row>
    <row r="2110" spans="1:1" x14ac:dyDescent="0.35">
      <c r="A2110"/>
    </row>
    <row r="2111" spans="1:1" x14ac:dyDescent="0.35">
      <c r="A2111"/>
    </row>
    <row r="2112" spans="1:1" x14ac:dyDescent="0.35">
      <c r="A2112"/>
    </row>
    <row r="2113" spans="1:1" x14ac:dyDescent="0.35">
      <c r="A2113"/>
    </row>
    <row r="2114" spans="1:1" x14ac:dyDescent="0.35">
      <c r="A2114"/>
    </row>
    <row r="2115" spans="1:1" x14ac:dyDescent="0.35">
      <c r="A2115"/>
    </row>
    <row r="2116" spans="1:1" x14ac:dyDescent="0.35">
      <c r="A2116"/>
    </row>
    <row r="2117" spans="1:1" x14ac:dyDescent="0.35">
      <c r="A2117"/>
    </row>
    <row r="2118" spans="1:1" x14ac:dyDescent="0.35">
      <c r="A2118"/>
    </row>
    <row r="2119" spans="1:1" x14ac:dyDescent="0.35">
      <c r="A2119"/>
    </row>
    <row r="2120" spans="1:1" x14ac:dyDescent="0.35">
      <c r="A2120"/>
    </row>
    <row r="2121" spans="1:1" x14ac:dyDescent="0.35">
      <c r="A2121"/>
    </row>
    <row r="2122" spans="1:1" x14ac:dyDescent="0.35">
      <c r="A2122"/>
    </row>
    <row r="2123" spans="1:1" x14ac:dyDescent="0.35">
      <c r="A2123"/>
    </row>
    <row r="2124" spans="1:1" x14ac:dyDescent="0.35">
      <c r="A2124"/>
    </row>
    <row r="2125" spans="1:1" x14ac:dyDescent="0.35">
      <c r="A2125"/>
    </row>
    <row r="2126" spans="1:1" x14ac:dyDescent="0.35">
      <c r="A2126"/>
    </row>
    <row r="2127" spans="1:1" x14ac:dyDescent="0.35">
      <c r="A2127"/>
    </row>
    <row r="2128" spans="1:1" x14ac:dyDescent="0.35">
      <c r="A2128"/>
    </row>
    <row r="2129" spans="1:1" x14ac:dyDescent="0.35">
      <c r="A2129"/>
    </row>
    <row r="2130" spans="1:1" x14ac:dyDescent="0.35">
      <c r="A2130"/>
    </row>
    <row r="2131" spans="1:1" x14ac:dyDescent="0.35">
      <c r="A2131"/>
    </row>
    <row r="2132" spans="1:1" x14ac:dyDescent="0.35">
      <c r="A2132"/>
    </row>
    <row r="2133" spans="1:1" x14ac:dyDescent="0.35">
      <c r="A2133"/>
    </row>
    <row r="2134" spans="1:1" x14ac:dyDescent="0.35">
      <c r="A2134"/>
    </row>
    <row r="2135" spans="1:1" x14ac:dyDescent="0.35">
      <c r="A2135"/>
    </row>
    <row r="2136" spans="1:1" x14ac:dyDescent="0.35">
      <c r="A2136"/>
    </row>
    <row r="2137" spans="1:1" x14ac:dyDescent="0.35">
      <c r="A2137"/>
    </row>
    <row r="2138" spans="1:1" x14ac:dyDescent="0.35">
      <c r="A2138"/>
    </row>
    <row r="2139" spans="1:1" x14ac:dyDescent="0.35">
      <c r="A2139"/>
    </row>
    <row r="2140" spans="1:1" x14ac:dyDescent="0.35">
      <c r="A2140"/>
    </row>
    <row r="2141" spans="1:1" x14ac:dyDescent="0.35">
      <c r="A2141"/>
    </row>
    <row r="2142" spans="1:1" x14ac:dyDescent="0.35">
      <c r="A2142"/>
    </row>
    <row r="2143" spans="1:1" x14ac:dyDescent="0.35">
      <c r="A2143"/>
    </row>
    <row r="2144" spans="1:1" x14ac:dyDescent="0.35">
      <c r="A2144"/>
    </row>
    <row r="2145" spans="1:1" x14ac:dyDescent="0.35">
      <c r="A2145"/>
    </row>
    <row r="2146" spans="1:1" x14ac:dyDescent="0.35">
      <c r="A2146"/>
    </row>
    <row r="2147" spans="1:1" x14ac:dyDescent="0.35">
      <c r="A2147"/>
    </row>
    <row r="2148" spans="1:1" x14ac:dyDescent="0.35">
      <c r="A2148"/>
    </row>
    <row r="2149" spans="1:1" x14ac:dyDescent="0.35">
      <c r="A2149"/>
    </row>
    <row r="2150" spans="1:1" x14ac:dyDescent="0.35">
      <c r="A2150"/>
    </row>
    <row r="2151" spans="1:1" x14ac:dyDescent="0.35">
      <c r="A2151"/>
    </row>
    <row r="2152" spans="1:1" x14ac:dyDescent="0.35">
      <c r="A2152"/>
    </row>
    <row r="2153" spans="1:1" x14ac:dyDescent="0.35">
      <c r="A2153"/>
    </row>
    <row r="2154" spans="1:1" x14ac:dyDescent="0.35">
      <c r="A2154"/>
    </row>
    <row r="2155" spans="1:1" x14ac:dyDescent="0.35">
      <c r="A2155"/>
    </row>
    <row r="2156" spans="1:1" x14ac:dyDescent="0.35">
      <c r="A2156"/>
    </row>
    <row r="2157" spans="1:1" x14ac:dyDescent="0.35">
      <c r="A2157"/>
    </row>
    <row r="2158" spans="1:1" x14ac:dyDescent="0.35">
      <c r="A2158"/>
    </row>
    <row r="2159" spans="1:1" x14ac:dyDescent="0.35">
      <c r="A2159"/>
    </row>
    <row r="2160" spans="1:1" x14ac:dyDescent="0.35">
      <c r="A2160"/>
    </row>
    <row r="2161" spans="1:1" x14ac:dyDescent="0.35">
      <c r="A2161"/>
    </row>
    <row r="2162" spans="1:1" x14ac:dyDescent="0.35">
      <c r="A2162"/>
    </row>
    <row r="2163" spans="1:1" x14ac:dyDescent="0.35">
      <c r="A2163"/>
    </row>
    <row r="2164" spans="1:1" x14ac:dyDescent="0.35">
      <c r="A2164"/>
    </row>
    <row r="2165" spans="1:1" x14ac:dyDescent="0.35">
      <c r="A2165"/>
    </row>
    <row r="2166" spans="1:1" x14ac:dyDescent="0.35">
      <c r="A2166"/>
    </row>
    <row r="2167" spans="1:1" x14ac:dyDescent="0.35">
      <c r="A2167"/>
    </row>
    <row r="2168" spans="1:1" x14ac:dyDescent="0.35">
      <c r="A2168"/>
    </row>
    <row r="2169" spans="1:1" x14ac:dyDescent="0.35">
      <c r="A2169"/>
    </row>
    <row r="2170" spans="1:1" x14ac:dyDescent="0.35">
      <c r="A2170"/>
    </row>
    <row r="2171" spans="1:1" x14ac:dyDescent="0.35">
      <c r="A2171"/>
    </row>
    <row r="2172" spans="1:1" x14ac:dyDescent="0.35">
      <c r="A2172"/>
    </row>
    <row r="2173" spans="1:1" x14ac:dyDescent="0.35">
      <c r="A2173"/>
    </row>
    <row r="2174" spans="1:1" x14ac:dyDescent="0.35">
      <c r="A2174"/>
    </row>
    <row r="2175" spans="1:1" x14ac:dyDescent="0.35">
      <c r="A2175"/>
    </row>
    <row r="2176" spans="1:1" x14ac:dyDescent="0.35">
      <c r="A2176"/>
    </row>
    <row r="2177" spans="1:1" x14ac:dyDescent="0.35">
      <c r="A2177"/>
    </row>
    <row r="2178" spans="1:1" x14ac:dyDescent="0.35">
      <c r="A2178"/>
    </row>
    <row r="2179" spans="1:1" x14ac:dyDescent="0.35">
      <c r="A2179"/>
    </row>
    <row r="2180" spans="1:1" x14ac:dyDescent="0.35">
      <c r="A2180"/>
    </row>
    <row r="2181" spans="1:1" x14ac:dyDescent="0.35">
      <c r="A2181"/>
    </row>
    <row r="2182" spans="1:1" x14ac:dyDescent="0.35">
      <c r="A2182"/>
    </row>
    <row r="2183" spans="1:1" x14ac:dyDescent="0.35">
      <c r="A2183"/>
    </row>
    <row r="2184" spans="1:1" x14ac:dyDescent="0.35">
      <c r="A2184"/>
    </row>
    <row r="2185" spans="1:1" x14ac:dyDescent="0.35">
      <c r="A2185"/>
    </row>
    <row r="2186" spans="1:1" x14ac:dyDescent="0.35">
      <c r="A2186"/>
    </row>
    <row r="2187" spans="1:1" x14ac:dyDescent="0.35">
      <c r="A2187"/>
    </row>
    <row r="2188" spans="1:1" x14ac:dyDescent="0.35">
      <c r="A2188"/>
    </row>
    <row r="2189" spans="1:1" x14ac:dyDescent="0.35">
      <c r="A2189"/>
    </row>
    <row r="2190" spans="1:1" x14ac:dyDescent="0.35">
      <c r="A2190"/>
    </row>
    <row r="2191" spans="1:1" x14ac:dyDescent="0.35">
      <c r="A2191"/>
    </row>
    <row r="2192" spans="1:1" x14ac:dyDescent="0.35">
      <c r="A2192"/>
    </row>
    <row r="2193" spans="1:1" x14ac:dyDescent="0.35">
      <c r="A2193"/>
    </row>
    <row r="2194" spans="1:1" x14ac:dyDescent="0.35">
      <c r="A2194"/>
    </row>
    <row r="2195" spans="1:1" x14ac:dyDescent="0.35">
      <c r="A2195"/>
    </row>
    <row r="2196" spans="1:1" x14ac:dyDescent="0.35">
      <c r="A2196"/>
    </row>
    <row r="2197" spans="1:1" x14ac:dyDescent="0.35">
      <c r="A2197"/>
    </row>
    <row r="2198" spans="1:1" x14ac:dyDescent="0.35">
      <c r="A2198"/>
    </row>
    <row r="2199" spans="1:1" x14ac:dyDescent="0.35">
      <c r="A2199"/>
    </row>
    <row r="2200" spans="1:1" x14ac:dyDescent="0.35">
      <c r="A2200"/>
    </row>
    <row r="2201" spans="1:1" x14ac:dyDescent="0.35">
      <c r="A2201"/>
    </row>
    <row r="2202" spans="1:1" x14ac:dyDescent="0.35">
      <c r="A2202"/>
    </row>
    <row r="2203" spans="1:1" x14ac:dyDescent="0.35">
      <c r="A2203"/>
    </row>
    <row r="2204" spans="1:1" x14ac:dyDescent="0.35">
      <c r="A2204"/>
    </row>
    <row r="2205" spans="1:1" x14ac:dyDescent="0.35">
      <c r="A2205"/>
    </row>
    <row r="2206" spans="1:1" x14ac:dyDescent="0.35">
      <c r="A2206"/>
    </row>
    <row r="2207" spans="1:1" x14ac:dyDescent="0.35">
      <c r="A2207"/>
    </row>
    <row r="2208" spans="1:1" x14ac:dyDescent="0.35">
      <c r="A2208"/>
    </row>
    <row r="2209" spans="1:1" x14ac:dyDescent="0.35">
      <c r="A2209"/>
    </row>
    <row r="2210" spans="1:1" x14ac:dyDescent="0.35">
      <c r="A2210"/>
    </row>
    <row r="2211" spans="1:1" x14ac:dyDescent="0.35">
      <c r="A2211"/>
    </row>
    <row r="2212" spans="1:1" x14ac:dyDescent="0.35">
      <c r="A2212"/>
    </row>
    <row r="2213" spans="1:1" x14ac:dyDescent="0.35">
      <c r="A2213"/>
    </row>
    <row r="2214" spans="1:1" x14ac:dyDescent="0.35">
      <c r="A2214"/>
    </row>
    <row r="2215" spans="1:1" x14ac:dyDescent="0.35">
      <c r="A2215"/>
    </row>
    <row r="2216" spans="1:1" x14ac:dyDescent="0.35">
      <c r="A2216"/>
    </row>
    <row r="2217" spans="1:1" x14ac:dyDescent="0.35">
      <c r="A2217"/>
    </row>
    <row r="2218" spans="1:1" x14ac:dyDescent="0.35">
      <c r="A2218"/>
    </row>
    <row r="2219" spans="1:1" x14ac:dyDescent="0.35">
      <c r="A2219"/>
    </row>
    <row r="2220" spans="1:1" x14ac:dyDescent="0.35">
      <c r="A2220"/>
    </row>
    <row r="2221" spans="1:1" x14ac:dyDescent="0.35">
      <c r="A2221"/>
    </row>
    <row r="2222" spans="1:1" x14ac:dyDescent="0.35">
      <c r="A2222"/>
    </row>
    <row r="2223" spans="1:1" x14ac:dyDescent="0.35">
      <c r="A2223"/>
    </row>
    <row r="2224" spans="1:1" x14ac:dyDescent="0.35">
      <c r="A2224"/>
    </row>
    <row r="2225" spans="1:1" x14ac:dyDescent="0.35">
      <c r="A2225"/>
    </row>
    <row r="2226" spans="1:1" x14ac:dyDescent="0.35">
      <c r="A2226"/>
    </row>
    <row r="2227" spans="1:1" x14ac:dyDescent="0.35">
      <c r="A2227"/>
    </row>
    <row r="2228" spans="1:1" x14ac:dyDescent="0.35">
      <c r="A2228"/>
    </row>
    <row r="2229" spans="1:1" x14ac:dyDescent="0.35">
      <c r="A2229"/>
    </row>
    <row r="2230" spans="1:1" x14ac:dyDescent="0.35">
      <c r="A2230"/>
    </row>
    <row r="2231" spans="1:1" x14ac:dyDescent="0.35">
      <c r="A2231"/>
    </row>
    <row r="2232" spans="1:1" x14ac:dyDescent="0.35">
      <c r="A2232"/>
    </row>
    <row r="2233" spans="1:1" x14ac:dyDescent="0.35">
      <c r="A2233"/>
    </row>
    <row r="2234" spans="1:1" x14ac:dyDescent="0.35">
      <c r="A2234"/>
    </row>
    <row r="2235" spans="1:1" x14ac:dyDescent="0.35">
      <c r="A2235"/>
    </row>
    <row r="2236" spans="1:1" x14ac:dyDescent="0.35">
      <c r="A2236"/>
    </row>
    <row r="2237" spans="1:1" x14ac:dyDescent="0.35">
      <c r="A2237"/>
    </row>
    <row r="2238" spans="1:1" x14ac:dyDescent="0.35">
      <c r="A2238"/>
    </row>
    <row r="2239" spans="1:1" x14ac:dyDescent="0.35">
      <c r="A2239"/>
    </row>
    <row r="2240" spans="1:1" x14ac:dyDescent="0.35">
      <c r="A2240"/>
    </row>
    <row r="2241" spans="1:1" x14ac:dyDescent="0.35">
      <c r="A2241"/>
    </row>
    <row r="2242" spans="1:1" x14ac:dyDescent="0.35">
      <c r="A2242"/>
    </row>
    <row r="2243" spans="1:1" x14ac:dyDescent="0.35">
      <c r="A2243"/>
    </row>
    <row r="2244" spans="1:1" x14ac:dyDescent="0.35">
      <c r="A2244"/>
    </row>
    <row r="2245" spans="1:1" x14ac:dyDescent="0.35">
      <c r="A2245"/>
    </row>
    <row r="2246" spans="1:1" x14ac:dyDescent="0.35">
      <c r="A2246"/>
    </row>
    <row r="2247" spans="1:1" x14ac:dyDescent="0.35">
      <c r="A2247"/>
    </row>
    <row r="2248" spans="1:1" x14ac:dyDescent="0.35">
      <c r="A2248"/>
    </row>
    <row r="2249" spans="1:1" x14ac:dyDescent="0.35">
      <c r="A2249"/>
    </row>
    <row r="2250" spans="1:1" x14ac:dyDescent="0.35">
      <c r="A2250"/>
    </row>
    <row r="2251" spans="1:1" x14ac:dyDescent="0.35">
      <c r="A2251"/>
    </row>
    <row r="2252" spans="1:1" x14ac:dyDescent="0.35">
      <c r="A2252"/>
    </row>
    <row r="2253" spans="1:1" x14ac:dyDescent="0.35">
      <c r="A2253"/>
    </row>
    <row r="2254" spans="1:1" x14ac:dyDescent="0.35">
      <c r="A2254"/>
    </row>
    <row r="2255" spans="1:1" x14ac:dyDescent="0.35">
      <c r="A2255"/>
    </row>
    <row r="2256" spans="1:1" x14ac:dyDescent="0.35">
      <c r="A2256"/>
    </row>
    <row r="2257" spans="1:1" x14ac:dyDescent="0.35">
      <c r="A2257"/>
    </row>
    <row r="2258" spans="1:1" x14ac:dyDescent="0.35">
      <c r="A2258"/>
    </row>
    <row r="2259" spans="1:1" x14ac:dyDescent="0.35">
      <c r="A2259"/>
    </row>
    <row r="2260" spans="1:1" x14ac:dyDescent="0.35">
      <c r="A2260"/>
    </row>
    <row r="2261" spans="1:1" x14ac:dyDescent="0.35">
      <c r="A2261"/>
    </row>
    <row r="2262" spans="1:1" x14ac:dyDescent="0.35">
      <c r="A2262"/>
    </row>
    <row r="2263" spans="1:1" x14ac:dyDescent="0.35">
      <c r="A2263"/>
    </row>
    <row r="2264" spans="1:1" x14ac:dyDescent="0.35">
      <c r="A2264"/>
    </row>
    <row r="2265" spans="1:1" x14ac:dyDescent="0.35">
      <c r="A2265"/>
    </row>
    <row r="2266" spans="1:1" x14ac:dyDescent="0.35">
      <c r="A2266"/>
    </row>
    <row r="2267" spans="1:1" x14ac:dyDescent="0.35">
      <c r="A2267"/>
    </row>
    <row r="2268" spans="1:1" x14ac:dyDescent="0.35">
      <c r="A2268"/>
    </row>
    <row r="2269" spans="1:1" x14ac:dyDescent="0.35">
      <c r="A2269"/>
    </row>
    <row r="2270" spans="1:1" x14ac:dyDescent="0.35">
      <c r="A2270"/>
    </row>
    <row r="2271" spans="1:1" x14ac:dyDescent="0.35">
      <c r="A2271"/>
    </row>
    <row r="2272" spans="1:1" x14ac:dyDescent="0.35">
      <c r="A2272"/>
    </row>
    <row r="2273" spans="1:1" x14ac:dyDescent="0.35">
      <c r="A2273"/>
    </row>
    <row r="2274" spans="1:1" x14ac:dyDescent="0.35">
      <c r="A2274"/>
    </row>
    <row r="2275" spans="1:1" x14ac:dyDescent="0.35">
      <c r="A2275"/>
    </row>
    <row r="2276" spans="1:1" x14ac:dyDescent="0.35">
      <c r="A2276"/>
    </row>
    <row r="2277" spans="1:1" x14ac:dyDescent="0.35">
      <c r="A2277"/>
    </row>
    <row r="2278" spans="1:1" x14ac:dyDescent="0.35">
      <c r="A2278"/>
    </row>
    <row r="2279" spans="1:1" x14ac:dyDescent="0.35">
      <c r="A2279"/>
    </row>
    <row r="2280" spans="1:1" x14ac:dyDescent="0.35">
      <c r="A2280"/>
    </row>
    <row r="2281" spans="1:1" x14ac:dyDescent="0.35">
      <c r="A2281"/>
    </row>
    <row r="2282" spans="1:1" x14ac:dyDescent="0.35">
      <c r="A2282"/>
    </row>
    <row r="2283" spans="1:1" x14ac:dyDescent="0.35">
      <c r="A2283"/>
    </row>
    <row r="2284" spans="1:1" x14ac:dyDescent="0.35">
      <c r="A2284"/>
    </row>
    <row r="2285" spans="1:1" x14ac:dyDescent="0.35">
      <c r="A2285"/>
    </row>
    <row r="2286" spans="1:1" x14ac:dyDescent="0.35">
      <c r="A2286"/>
    </row>
    <row r="2287" spans="1:1" x14ac:dyDescent="0.35">
      <c r="A2287"/>
    </row>
    <row r="2288" spans="1:1" x14ac:dyDescent="0.35">
      <c r="A2288"/>
    </row>
    <row r="2289" spans="1:1" x14ac:dyDescent="0.35">
      <c r="A2289"/>
    </row>
    <row r="2290" spans="1:1" x14ac:dyDescent="0.35">
      <c r="A2290"/>
    </row>
    <row r="2291" spans="1:1" x14ac:dyDescent="0.35">
      <c r="A2291"/>
    </row>
    <row r="2292" spans="1:1" x14ac:dyDescent="0.35">
      <c r="A2292"/>
    </row>
    <row r="2293" spans="1:1" x14ac:dyDescent="0.35">
      <c r="A2293"/>
    </row>
    <row r="2294" spans="1:1" x14ac:dyDescent="0.35">
      <c r="A2294"/>
    </row>
    <row r="2295" spans="1:1" x14ac:dyDescent="0.35">
      <c r="A2295"/>
    </row>
    <row r="2296" spans="1:1" x14ac:dyDescent="0.35">
      <c r="A2296"/>
    </row>
    <row r="2297" spans="1:1" x14ac:dyDescent="0.35">
      <c r="A2297"/>
    </row>
    <row r="2298" spans="1:1" x14ac:dyDescent="0.35">
      <c r="A2298"/>
    </row>
    <row r="2299" spans="1:1" x14ac:dyDescent="0.35">
      <c r="A2299"/>
    </row>
    <row r="2300" spans="1:1" x14ac:dyDescent="0.35">
      <c r="A2300"/>
    </row>
    <row r="2301" spans="1:1" x14ac:dyDescent="0.35">
      <c r="A2301"/>
    </row>
    <row r="2302" spans="1:1" x14ac:dyDescent="0.35">
      <c r="A2302"/>
    </row>
    <row r="2303" spans="1:1" x14ac:dyDescent="0.35">
      <c r="A2303"/>
    </row>
    <row r="2304" spans="1:1" x14ac:dyDescent="0.35">
      <c r="A2304"/>
    </row>
    <row r="2305" spans="1:1" x14ac:dyDescent="0.35">
      <c r="A2305"/>
    </row>
    <row r="2306" spans="1:1" x14ac:dyDescent="0.35">
      <c r="A2306"/>
    </row>
    <row r="2307" spans="1:1" x14ac:dyDescent="0.35">
      <c r="A2307"/>
    </row>
    <row r="2308" spans="1:1" x14ac:dyDescent="0.35">
      <c r="A2308"/>
    </row>
    <row r="2309" spans="1:1" x14ac:dyDescent="0.35">
      <c r="A2309"/>
    </row>
    <row r="2310" spans="1:1" x14ac:dyDescent="0.35">
      <c r="A2310"/>
    </row>
    <row r="2311" spans="1:1" x14ac:dyDescent="0.35">
      <c r="A2311"/>
    </row>
    <row r="2312" spans="1:1" x14ac:dyDescent="0.35">
      <c r="A2312"/>
    </row>
    <row r="2313" spans="1:1" x14ac:dyDescent="0.35">
      <c r="A2313"/>
    </row>
    <row r="2314" spans="1:1" x14ac:dyDescent="0.35">
      <c r="A2314"/>
    </row>
    <row r="2315" spans="1:1" x14ac:dyDescent="0.35">
      <c r="A2315"/>
    </row>
    <row r="2316" spans="1:1" x14ac:dyDescent="0.35">
      <c r="A2316"/>
    </row>
    <row r="2317" spans="1:1" x14ac:dyDescent="0.35">
      <c r="A2317"/>
    </row>
    <row r="2318" spans="1:1" x14ac:dyDescent="0.35">
      <c r="A2318"/>
    </row>
    <row r="2319" spans="1:1" x14ac:dyDescent="0.35">
      <c r="A2319"/>
    </row>
    <row r="2320" spans="1:1" x14ac:dyDescent="0.35">
      <c r="A2320"/>
    </row>
    <row r="2321" spans="1:1" x14ac:dyDescent="0.35">
      <c r="A2321"/>
    </row>
    <row r="2322" spans="1:1" x14ac:dyDescent="0.35">
      <c r="A2322"/>
    </row>
    <row r="2323" spans="1:1" x14ac:dyDescent="0.35">
      <c r="A2323"/>
    </row>
    <row r="2324" spans="1:1" x14ac:dyDescent="0.35">
      <c r="A2324"/>
    </row>
    <row r="2325" spans="1:1" x14ac:dyDescent="0.35">
      <c r="A2325"/>
    </row>
    <row r="2326" spans="1:1" x14ac:dyDescent="0.35">
      <c r="A2326"/>
    </row>
    <row r="2327" spans="1:1" x14ac:dyDescent="0.35">
      <c r="A2327"/>
    </row>
    <row r="2328" spans="1:1" x14ac:dyDescent="0.35">
      <c r="A2328"/>
    </row>
    <row r="2329" spans="1:1" x14ac:dyDescent="0.35">
      <c r="A2329"/>
    </row>
    <row r="2330" spans="1:1" x14ac:dyDescent="0.35">
      <c r="A2330"/>
    </row>
    <row r="2331" spans="1:1" x14ac:dyDescent="0.35">
      <c r="A2331"/>
    </row>
    <row r="2332" spans="1:1" x14ac:dyDescent="0.35">
      <c r="A2332"/>
    </row>
    <row r="2333" spans="1:1" x14ac:dyDescent="0.35">
      <c r="A2333"/>
    </row>
    <row r="2334" spans="1:1" x14ac:dyDescent="0.35">
      <c r="A2334"/>
    </row>
    <row r="2335" spans="1:1" x14ac:dyDescent="0.35">
      <c r="A2335"/>
    </row>
    <row r="2336" spans="1:1" x14ac:dyDescent="0.35">
      <c r="A2336"/>
    </row>
    <row r="2337" spans="1:1" x14ac:dyDescent="0.35">
      <c r="A2337"/>
    </row>
    <row r="2338" spans="1:1" x14ac:dyDescent="0.35">
      <c r="A2338"/>
    </row>
    <row r="2339" spans="1:1" x14ac:dyDescent="0.35">
      <c r="A2339"/>
    </row>
    <row r="2340" spans="1:1" x14ac:dyDescent="0.35">
      <c r="A2340"/>
    </row>
    <row r="2341" spans="1:1" x14ac:dyDescent="0.35">
      <c r="A2341"/>
    </row>
    <row r="2342" spans="1:1" x14ac:dyDescent="0.35">
      <c r="A2342"/>
    </row>
    <row r="2343" spans="1:1" x14ac:dyDescent="0.35">
      <c r="A2343"/>
    </row>
    <row r="2344" spans="1:1" x14ac:dyDescent="0.35">
      <c r="A2344"/>
    </row>
    <row r="2345" spans="1:1" x14ac:dyDescent="0.35">
      <c r="A2345"/>
    </row>
    <row r="2346" spans="1:1" x14ac:dyDescent="0.35">
      <c r="A2346"/>
    </row>
    <row r="2347" spans="1:1" x14ac:dyDescent="0.35">
      <c r="A2347"/>
    </row>
    <row r="2348" spans="1:1" x14ac:dyDescent="0.35">
      <c r="A2348"/>
    </row>
    <row r="2349" spans="1:1" x14ac:dyDescent="0.35">
      <c r="A2349"/>
    </row>
    <row r="2350" spans="1:1" x14ac:dyDescent="0.35">
      <c r="A2350"/>
    </row>
    <row r="2351" spans="1:1" x14ac:dyDescent="0.35">
      <c r="A2351"/>
    </row>
    <row r="2352" spans="1:1" x14ac:dyDescent="0.35">
      <c r="A2352"/>
    </row>
    <row r="2353" spans="1:1" x14ac:dyDescent="0.35">
      <c r="A2353"/>
    </row>
    <row r="2354" spans="1:1" x14ac:dyDescent="0.35">
      <c r="A2354"/>
    </row>
    <row r="2355" spans="1:1" x14ac:dyDescent="0.35">
      <c r="A2355"/>
    </row>
    <row r="2356" spans="1:1" x14ac:dyDescent="0.35">
      <c r="A2356"/>
    </row>
    <row r="2357" spans="1:1" x14ac:dyDescent="0.35">
      <c r="A2357"/>
    </row>
    <row r="2358" spans="1:1" x14ac:dyDescent="0.35">
      <c r="A2358"/>
    </row>
    <row r="2359" spans="1:1" x14ac:dyDescent="0.35">
      <c r="A2359"/>
    </row>
    <row r="2360" spans="1:1" x14ac:dyDescent="0.35">
      <c r="A2360"/>
    </row>
    <row r="2361" spans="1:1" x14ac:dyDescent="0.35">
      <c r="A2361"/>
    </row>
    <row r="2362" spans="1:1" x14ac:dyDescent="0.35">
      <c r="A2362"/>
    </row>
    <row r="2363" spans="1:1" x14ac:dyDescent="0.35">
      <c r="A2363"/>
    </row>
    <row r="2364" spans="1:1" x14ac:dyDescent="0.35">
      <c r="A2364"/>
    </row>
    <row r="2365" spans="1:1" x14ac:dyDescent="0.35">
      <c r="A2365"/>
    </row>
    <row r="2366" spans="1:1" x14ac:dyDescent="0.35">
      <c r="A2366"/>
    </row>
    <row r="2367" spans="1:1" x14ac:dyDescent="0.35">
      <c r="A2367"/>
    </row>
    <row r="2368" spans="1:1" x14ac:dyDescent="0.35">
      <c r="A2368"/>
    </row>
    <row r="2369" spans="1:1" x14ac:dyDescent="0.35">
      <c r="A2369"/>
    </row>
    <row r="2370" spans="1:1" x14ac:dyDescent="0.35">
      <c r="A2370"/>
    </row>
    <row r="2371" spans="1:1" x14ac:dyDescent="0.35">
      <c r="A2371"/>
    </row>
    <row r="2372" spans="1:1" x14ac:dyDescent="0.35">
      <c r="A2372"/>
    </row>
    <row r="2373" spans="1:1" x14ac:dyDescent="0.35">
      <c r="A2373"/>
    </row>
    <row r="2374" spans="1:1" x14ac:dyDescent="0.35">
      <c r="A2374"/>
    </row>
    <row r="2375" spans="1:1" x14ac:dyDescent="0.35">
      <c r="A2375"/>
    </row>
    <row r="2376" spans="1:1" x14ac:dyDescent="0.35">
      <c r="A2376"/>
    </row>
    <row r="2377" spans="1:1" x14ac:dyDescent="0.35">
      <c r="A2377"/>
    </row>
    <row r="2378" spans="1:1" x14ac:dyDescent="0.35">
      <c r="A2378"/>
    </row>
    <row r="2379" spans="1:1" x14ac:dyDescent="0.35">
      <c r="A2379"/>
    </row>
    <row r="2380" spans="1:1" x14ac:dyDescent="0.35">
      <c r="A2380"/>
    </row>
    <row r="2381" spans="1:1" x14ac:dyDescent="0.35">
      <c r="A2381"/>
    </row>
    <row r="2382" spans="1:1" x14ac:dyDescent="0.35">
      <c r="A2382"/>
    </row>
    <row r="2383" spans="1:1" x14ac:dyDescent="0.35">
      <c r="A2383"/>
    </row>
    <row r="2384" spans="1:1" x14ac:dyDescent="0.35">
      <c r="A2384"/>
    </row>
    <row r="2385" spans="1:1" x14ac:dyDescent="0.35">
      <c r="A2385"/>
    </row>
    <row r="2386" spans="1:1" x14ac:dyDescent="0.35">
      <c r="A2386"/>
    </row>
    <row r="2387" spans="1:1" x14ac:dyDescent="0.35">
      <c r="A2387"/>
    </row>
    <row r="2388" spans="1:1" x14ac:dyDescent="0.35">
      <c r="A2388"/>
    </row>
    <row r="2389" spans="1:1" x14ac:dyDescent="0.35">
      <c r="A2389"/>
    </row>
    <row r="2390" spans="1:1" x14ac:dyDescent="0.35">
      <c r="A2390"/>
    </row>
    <row r="2391" spans="1:1" x14ac:dyDescent="0.35">
      <c r="A2391"/>
    </row>
    <row r="2392" spans="1:1" x14ac:dyDescent="0.35">
      <c r="A2392"/>
    </row>
    <row r="2393" spans="1:1" x14ac:dyDescent="0.35">
      <c r="A2393"/>
    </row>
    <row r="2394" spans="1:1" x14ac:dyDescent="0.35">
      <c r="A2394"/>
    </row>
    <row r="2395" spans="1:1" x14ac:dyDescent="0.35">
      <c r="A2395"/>
    </row>
    <row r="2396" spans="1:1" x14ac:dyDescent="0.35">
      <c r="A2396"/>
    </row>
    <row r="2397" spans="1:1" x14ac:dyDescent="0.35">
      <c r="A2397"/>
    </row>
    <row r="2398" spans="1:1" x14ac:dyDescent="0.35">
      <c r="A2398"/>
    </row>
    <row r="2399" spans="1:1" x14ac:dyDescent="0.35">
      <c r="A2399"/>
    </row>
    <row r="2400" spans="1:1" x14ac:dyDescent="0.35">
      <c r="A2400"/>
    </row>
    <row r="2401" spans="1:1" x14ac:dyDescent="0.35">
      <c r="A2401"/>
    </row>
    <row r="2402" spans="1:1" x14ac:dyDescent="0.35">
      <c r="A2402"/>
    </row>
    <row r="2403" spans="1:1" x14ac:dyDescent="0.35">
      <c r="A2403"/>
    </row>
    <row r="2404" spans="1:1" x14ac:dyDescent="0.35">
      <c r="A2404"/>
    </row>
    <row r="2405" spans="1:1" x14ac:dyDescent="0.35">
      <c r="A2405"/>
    </row>
    <row r="2406" spans="1:1" x14ac:dyDescent="0.35">
      <c r="A2406"/>
    </row>
    <row r="2407" spans="1:1" x14ac:dyDescent="0.35">
      <c r="A2407"/>
    </row>
    <row r="2408" spans="1:1" x14ac:dyDescent="0.35">
      <c r="A2408"/>
    </row>
    <row r="2409" spans="1:1" x14ac:dyDescent="0.35">
      <c r="A2409"/>
    </row>
    <row r="2410" spans="1:1" x14ac:dyDescent="0.35">
      <c r="A2410"/>
    </row>
    <row r="2411" spans="1:1" x14ac:dyDescent="0.35">
      <c r="A2411"/>
    </row>
    <row r="2412" spans="1:1" x14ac:dyDescent="0.35">
      <c r="A2412"/>
    </row>
    <row r="2413" spans="1:1" x14ac:dyDescent="0.35">
      <c r="A2413"/>
    </row>
    <row r="2414" spans="1:1" x14ac:dyDescent="0.35">
      <c r="A2414"/>
    </row>
    <row r="2415" spans="1:1" x14ac:dyDescent="0.35">
      <c r="A2415"/>
    </row>
    <row r="2416" spans="1:1" x14ac:dyDescent="0.35">
      <c r="A2416"/>
    </row>
    <row r="2417" spans="1:1" x14ac:dyDescent="0.35">
      <c r="A2417"/>
    </row>
    <row r="2418" spans="1:1" x14ac:dyDescent="0.35">
      <c r="A2418"/>
    </row>
    <row r="2419" spans="1:1" x14ac:dyDescent="0.35">
      <c r="A2419"/>
    </row>
    <row r="2420" spans="1:1" x14ac:dyDescent="0.35">
      <c r="A2420"/>
    </row>
    <row r="2421" spans="1:1" x14ac:dyDescent="0.35">
      <c r="A2421"/>
    </row>
    <row r="2422" spans="1:1" x14ac:dyDescent="0.35">
      <c r="A2422"/>
    </row>
    <row r="2423" spans="1:1" x14ac:dyDescent="0.35">
      <c r="A2423"/>
    </row>
    <row r="2424" spans="1:1" x14ac:dyDescent="0.35">
      <c r="A2424"/>
    </row>
    <row r="2425" spans="1:1" x14ac:dyDescent="0.35">
      <c r="A2425"/>
    </row>
    <row r="2426" spans="1:1" x14ac:dyDescent="0.35">
      <c r="A2426"/>
    </row>
    <row r="2427" spans="1:1" x14ac:dyDescent="0.35">
      <c r="A2427"/>
    </row>
    <row r="2428" spans="1:1" x14ac:dyDescent="0.35">
      <c r="A2428"/>
    </row>
    <row r="2429" spans="1:1" x14ac:dyDescent="0.35">
      <c r="A2429"/>
    </row>
    <row r="2430" spans="1:1" x14ac:dyDescent="0.35">
      <c r="A2430"/>
    </row>
    <row r="2431" spans="1:1" x14ac:dyDescent="0.35">
      <c r="A2431"/>
    </row>
    <row r="2432" spans="1:1" x14ac:dyDescent="0.35">
      <c r="A2432"/>
    </row>
    <row r="2433" spans="1:1" x14ac:dyDescent="0.35">
      <c r="A2433"/>
    </row>
    <row r="2434" spans="1:1" x14ac:dyDescent="0.35">
      <c r="A2434"/>
    </row>
    <row r="2435" spans="1:1" x14ac:dyDescent="0.35">
      <c r="A2435"/>
    </row>
    <row r="2436" spans="1:1" x14ac:dyDescent="0.35">
      <c r="A2436"/>
    </row>
    <row r="2437" spans="1:1" x14ac:dyDescent="0.35">
      <c r="A2437"/>
    </row>
    <row r="2438" spans="1:1" x14ac:dyDescent="0.35">
      <c r="A2438"/>
    </row>
    <row r="2439" spans="1:1" x14ac:dyDescent="0.35">
      <c r="A2439"/>
    </row>
    <row r="2440" spans="1:1" x14ac:dyDescent="0.35">
      <c r="A2440"/>
    </row>
    <row r="2441" spans="1:1" x14ac:dyDescent="0.35">
      <c r="A2441"/>
    </row>
    <row r="2442" spans="1:1" x14ac:dyDescent="0.35">
      <c r="A2442"/>
    </row>
    <row r="2443" spans="1:1" x14ac:dyDescent="0.35">
      <c r="A2443"/>
    </row>
    <row r="2444" spans="1:1" x14ac:dyDescent="0.35">
      <c r="A2444"/>
    </row>
    <row r="2445" spans="1:1" x14ac:dyDescent="0.35">
      <c r="A2445"/>
    </row>
    <row r="2446" spans="1:1" x14ac:dyDescent="0.35">
      <c r="A2446"/>
    </row>
    <row r="2447" spans="1:1" x14ac:dyDescent="0.35">
      <c r="A2447"/>
    </row>
    <row r="2448" spans="1:1" x14ac:dyDescent="0.35">
      <c r="A2448"/>
    </row>
    <row r="2449" spans="1:1" x14ac:dyDescent="0.35">
      <c r="A2449"/>
    </row>
    <row r="2450" spans="1:1" x14ac:dyDescent="0.35">
      <c r="A2450"/>
    </row>
    <row r="2451" spans="1:1" x14ac:dyDescent="0.35">
      <c r="A2451"/>
    </row>
    <row r="2452" spans="1:1" x14ac:dyDescent="0.35">
      <c r="A2452"/>
    </row>
    <row r="2453" spans="1:1" x14ac:dyDescent="0.35">
      <c r="A2453"/>
    </row>
    <row r="2454" spans="1:1" x14ac:dyDescent="0.35">
      <c r="A2454"/>
    </row>
    <row r="2455" spans="1:1" x14ac:dyDescent="0.35">
      <c r="A2455"/>
    </row>
    <row r="2456" spans="1:1" x14ac:dyDescent="0.35">
      <c r="A2456"/>
    </row>
    <row r="2457" spans="1:1" x14ac:dyDescent="0.35">
      <c r="A2457"/>
    </row>
    <row r="2458" spans="1:1" x14ac:dyDescent="0.35">
      <c r="A2458"/>
    </row>
    <row r="2459" spans="1:1" x14ac:dyDescent="0.35">
      <c r="A2459"/>
    </row>
    <row r="2460" spans="1:1" x14ac:dyDescent="0.35">
      <c r="A2460"/>
    </row>
    <row r="2461" spans="1:1" x14ac:dyDescent="0.35">
      <c r="A2461"/>
    </row>
    <row r="2462" spans="1:1" x14ac:dyDescent="0.35">
      <c r="A2462"/>
    </row>
    <row r="2463" spans="1:1" x14ac:dyDescent="0.35">
      <c r="A2463"/>
    </row>
    <row r="2464" spans="1:1" x14ac:dyDescent="0.35">
      <c r="A2464"/>
    </row>
    <row r="2465" spans="1:1" x14ac:dyDescent="0.35">
      <c r="A2465"/>
    </row>
    <row r="2466" spans="1:1" x14ac:dyDescent="0.35">
      <c r="A2466"/>
    </row>
    <row r="2467" spans="1:1" x14ac:dyDescent="0.35">
      <c r="A2467"/>
    </row>
    <row r="2468" spans="1:1" x14ac:dyDescent="0.35">
      <c r="A2468"/>
    </row>
    <row r="2469" spans="1:1" x14ac:dyDescent="0.35">
      <c r="A2469"/>
    </row>
    <row r="2470" spans="1:1" x14ac:dyDescent="0.35">
      <c r="A2470"/>
    </row>
    <row r="2471" spans="1:1" x14ac:dyDescent="0.35">
      <c r="A2471"/>
    </row>
    <row r="2472" spans="1:1" x14ac:dyDescent="0.35">
      <c r="A2472"/>
    </row>
    <row r="2473" spans="1:1" x14ac:dyDescent="0.35">
      <c r="A2473"/>
    </row>
    <row r="2474" spans="1:1" x14ac:dyDescent="0.35">
      <c r="A2474"/>
    </row>
    <row r="2475" spans="1:1" x14ac:dyDescent="0.35">
      <c r="A2475"/>
    </row>
    <row r="2476" spans="1:1" x14ac:dyDescent="0.35">
      <c r="A2476"/>
    </row>
    <row r="2477" spans="1:1" x14ac:dyDescent="0.35">
      <c r="A2477"/>
    </row>
    <row r="2478" spans="1:1" x14ac:dyDescent="0.35">
      <c r="A2478"/>
    </row>
    <row r="2479" spans="1:1" x14ac:dyDescent="0.35">
      <c r="A2479"/>
    </row>
    <row r="2480" spans="1:1" x14ac:dyDescent="0.35">
      <c r="A2480"/>
    </row>
    <row r="2481" spans="1:1" x14ac:dyDescent="0.35">
      <c r="A2481"/>
    </row>
    <row r="2482" spans="1:1" x14ac:dyDescent="0.35">
      <c r="A2482"/>
    </row>
    <row r="2483" spans="1:1" x14ac:dyDescent="0.35">
      <c r="A2483"/>
    </row>
    <row r="2484" spans="1:1" x14ac:dyDescent="0.35">
      <c r="A2484"/>
    </row>
    <row r="2485" spans="1:1" x14ac:dyDescent="0.35">
      <c r="A2485"/>
    </row>
    <row r="2486" spans="1:1" x14ac:dyDescent="0.35">
      <c r="A2486"/>
    </row>
    <row r="2487" spans="1:1" x14ac:dyDescent="0.35">
      <c r="A2487"/>
    </row>
    <row r="2488" spans="1:1" x14ac:dyDescent="0.35">
      <c r="A2488"/>
    </row>
    <row r="2489" spans="1:1" x14ac:dyDescent="0.35">
      <c r="A2489"/>
    </row>
    <row r="2490" spans="1:1" x14ac:dyDescent="0.35">
      <c r="A2490"/>
    </row>
    <row r="2491" spans="1:1" x14ac:dyDescent="0.35">
      <c r="A2491"/>
    </row>
    <row r="2492" spans="1:1" x14ac:dyDescent="0.35">
      <c r="A2492"/>
    </row>
    <row r="2493" spans="1:1" x14ac:dyDescent="0.35">
      <c r="A2493"/>
    </row>
    <row r="2494" spans="1:1" x14ac:dyDescent="0.35">
      <c r="A2494"/>
    </row>
    <row r="2495" spans="1:1" x14ac:dyDescent="0.35">
      <c r="A2495"/>
    </row>
    <row r="2496" spans="1:1" x14ac:dyDescent="0.35">
      <c r="A2496"/>
    </row>
    <row r="2497" spans="1:1" x14ac:dyDescent="0.35">
      <c r="A2497"/>
    </row>
    <row r="2498" spans="1:1" x14ac:dyDescent="0.35">
      <c r="A2498"/>
    </row>
    <row r="2499" spans="1:1" x14ac:dyDescent="0.35">
      <c r="A2499"/>
    </row>
    <row r="2500" spans="1:1" x14ac:dyDescent="0.35">
      <c r="A2500"/>
    </row>
    <row r="2501" spans="1:1" x14ac:dyDescent="0.35">
      <c r="A2501"/>
    </row>
    <row r="2502" spans="1:1" x14ac:dyDescent="0.35">
      <c r="A2502"/>
    </row>
    <row r="2503" spans="1:1" x14ac:dyDescent="0.35">
      <c r="A2503"/>
    </row>
    <row r="2504" spans="1:1" x14ac:dyDescent="0.35">
      <c r="A2504"/>
    </row>
    <row r="2505" spans="1:1" x14ac:dyDescent="0.35">
      <c r="A2505"/>
    </row>
    <row r="2506" spans="1:1" x14ac:dyDescent="0.35">
      <c r="A2506"/>
    </row>
    <row r="2507" spans="1:1" x14ac:dyDescent="0.35">
      <c r="A2507"/>
    </row>
    <row r="2508" spans="1:1" x14ac:dyDescent="0.35">
      <c r="A2508"/>
    </row>
    <row r="2509" spans="1:1" x14ac:dyDescent="0.35">
      <c r="A2509"/>
    </row>
    <row r="2510" spans="1:1" x14ac:dyDescent="0.35">
      <c r="A2510"/>
    </row>
    <row r="2511" spans="1:1" x14ac:dyDescent="0.35">
      <c r="A2511"/>
    </row>
    <row r="2512" spans="1:1" x14ac:dyDescent="0.35">
      <c r="A2512"/>
    </row>
    <row r="2513" spans="1:1" x14ac:dyDescent="0.35">
      <c r="A2513"/>
    </row>
    <row r="2514" spans="1:1" x14ac:dyDescent="0.35">
      <c r="A2514"/>
    </row>
    <row r="2515" spans="1:1" x14ac:dyDescent="0.35">
      <c r="A2515"/>
    </row>
    <row r="2516" spans="1:1" x14ac:dyDescent="0.35">
      <c r="A2516"/>
    </row>
    <row r="2517" spans="1:1" x14ac:dyDescent="0.35">
      <c r="A2517"/>
    </row>
    <row r="2518" spans="1:1" x14ac:dyDescent="0.35">
      <c r="A2518"/>
    </row>
    <row r="2519" spans="1:1" x14ac:dyDescent="0.35">
      <c r="A2519"/>
    </row>
    <row r="2520" spans="1:1" x14ac:dyDescent="0.35">
      <c r="A2520"/>
    </row>
    <row r="2521" spans="1:1" x14ac:dyDescent="0.35">
      <c r="A2521"/>
    </row>
    <row r="2522" spans="1:1" x14ac:dyDescent="0.35">
      <c r="A2522"/>
    </row>
    <row r="2523" spans="1:1" x14ac:dyDescent="0.35">
      <c r="A2523"/>
    </row>
    <row r="2524" spans="1:1" x14ac:dyDescent="0.35">
      <c r="A2524"/>
    </row>
    <row r="2525" spans="1:1" x14ac:dyDescent="0.35">
      <c r="A2525"/>
    </row>
    <row r="2526" spans="1:1" x14ac:dyDescent="0.35">
      <c r="A2526"/>
    </row>
    <row r="2527" spans="1:1" x14ac:dyDescent="0.35">
      <c r="A2527"/>
    </row>
    <row r="2528" spans="1:1" x14ac:dyDescent="0.35">
      <c r="A2528"/>
    </row>
    <row r="2529" spans="1:1" x14ac:dyDescent="0.35">
      <c r="A2529"/>
    </row>
    <row r="2530" spans="1:1" x14ac:dyDescent="0.35">
      <c r="A2530"/>
    </row>
    <row r="2531" spans="1:1" x14ac:dyDescent="0.35">
      <c r="A2531"/>
    </row>
    <row r="2532" spans="1:1" x14ac:dyDescent="0.35">
      <c r="A2532"/>
    </row>
    <row r="2533" spans="1:1" x14ac:dyDescent="0.35">
      <c r="A2533"/>
    </row>
    <row r="2534" spans="1:1" x14ac:dyDescent="0.35">
      <c r="A2534"/>
    </row>
    <row r="2535" spans="1:1" x14ac:dyDescent="0.35">
      <c r="A2535"/>
    </row>
    <row r="2536" spans="1:1" x14ac:dyDescent="0.35">
      <c r="A2536"/>
    </row>
    <row r="2537" spans="1:1" x14ac:dyDescent="0.35">
      <c r="A2537"/>
    </row>
    <row r="2538" spans="1:1" x14ac:dyDescent="0.35">
      <c r="A2538"/>
    </row>
    <row r="2539" spans="1:1" x14ac:dyDescent="0.35">
      <c r="A2539"/>
    </row>
    <row r="2540" spans="1:1" x14ac:dyDescent="0.35">
      <c r="A2540"/>
    </row>
    <row r="2541" spans="1:1" x14ac:dyDescent="0.35">
      <c r="A2541"/>
    </row>
    <row r="2542" spans="1:1" x14ac:dyDescent="0.35">
      <c r="A2542"/>
    </row>
    <row r="2543" spans="1:1" x14ac:dyDescent="0.35">
      <c r="A2543"/>
    </row>
    <row r="2544" spans="1:1" x14ac:dyDescent="0.35">
      <c r="A2544"/>
    </row>
    <row r="2545" spans="1:1" x14ac:dyDescent="0.35">
      <c r="A2545"/>
    </row>
    <row r="2546" spans="1:1" x14ac:dyDescent="0.35">
      <c r="A2546"/>
    </row>
    <row r="2547" spans="1:1" x14ac:dyDescent="0.35">
      <c r="A2547"/>
    </row>
    <row r="2548" spans="1:1" x14ac:dyDescent="0.35">
      <c r="A2548"/>
    </row>
    <row r="2549" spans="1:1" x14ac:dyDescent="0.35">
      <c r="A2549"/>
    </row>
    <row r="2550" spans="1:1" x14ac:dyDescent="0.35">
      <c r="A2550"/>
    </row>
    <row r="2551" spans="1:1" x14ac:dyDescent="0.35">
      <c r="A2551"/>
    </row>
    <row r="2552" spans="1:1" x14ac:dyDescent="0.35">
      <c r="A2552"/>
    </row>
    <row r="2553" spans="1:1" x14ac:dyDescent="0.35">
      <c r="A2553"/>
    </row>
    <row r="2554" spans="1:1" x14ac:dyDescent="0.35">
      <c r="A2554"/>
    </row>
    <row r="2555" spans="1:1" x14ac:dyDescent="0.35">
      <c r="A2555"/>
    </row>
    <row r="2556" spans="1:1" x14ac:dyDescent="0.35">
      <c r="A2556"/>
    </row>
    <row r="2557" spans="1:1" x14ac:dyDescent="0.35">
      <c r="A2557"/>
    </row>
    <row r="2558" spans="1:1" x14ac:dyDescent="0.35">
      <c r="A2558"/>
    </row>
    <row r="2559" spans="1:1" x14ac:dyDescent="0.35">
      <c r="A2559"/>
    </row>
    <row r="2560" spans="1:1" x14ac:dyDescent="0.35">
      <c r="A2560"/>
    </row>
    <row r="2561" spans="1:1" x14ac:dyDescent="0.35">
      <c r="A2561"/>
    </row>
    <row r="2562" spans="1:1" x14ac:dyDescent="0.35">
      <c r="A2562"/>
    </row>
    <row r="2563" spans="1:1" x14ac:dyDescent="0.35">
      <c r="A2563"/>
    </row>
    <row r="2564" spans="1:1" x14ac:dyDescent="0.35">
      <c r="A2564"/>
    </row>
    <row r="2565" spans="1:1" x14ac:dyDescent="0.35">
      <c r="A2565"/>
    </row>
    <row r="2566" spans="1:1" x14ac:dyDescent="0.35">
      <c r="A2566"/>
    </row>
    <row r="2567" spans="1:1" x14ac:dyDescent="0.35">
      <c r="A2567"/>
    </row>
    <row r="2568" spans="1:1" x14ac:dyDescent="0.35">
      <c r="A2568"/>
    </row>
    <row r="2569" spans="1:1" x14ac:dyDescent="0.35">
      <c r="A2569"/>
    </row>
    <row r="2570" spans="1:1" x14ac:dyDescent="0.35">
      <c r="A2570"/>
    </row>
    <row r="2571" spans="1:1" x14ac:dyDescent="0.35">
      <c r="A2571"/>
    </row>
    <row r="2572" spans="1:1" x14ac:dyDescent="0.35">
      <c r="A2572"/>
    </row>
    <row r="2573" spans="1:1" x14ac:dyDescent="0.35">
      <c r="A2573"/>
    </row>
    <row r="2574" spans="1:1" x14ac:dyDescent="0.35">
      <c r="A2574"/>
    </row>
    <row r="2575" spans="1:1" x14ac:dyDescent="0.35">
      <c r="A2575"/>
    </row>
    <row r="2576" spans="1:1" x14ac:dyDescent="0.35">
      <c r="A2576"/>
    </row>
    <row r="2577" spans="1:1" x14ac:dyDescent="0.35">
      <c r="A2577"/>
    </row>
    <row r="2578" spans="1:1" x14ac:dyDescent="0.35">
      <c r="A2578"/>
    </row>
    <row r="2579" spans="1:1" x14ac:dyDescent="0.35">
      <c r="A2579"/>
    </row>
    <row r="2580" spans="1:1" x14ac:dyDescent="0.35">
      <c r="A2580"/>
    </row>
    <row r="2581" spans="1:1" x14ac:dyDescent="0.35">
      <c r="A2581"/>
    </row>
    <row r="2582" spans="1:1" x14ac:dyDescent="0.35">
      <c r="A2582"/>
    </row>
    <row r="2583" spans="1:1" x14ac:dyDescent="0.35">
      <c r="A2583"/>
    </row>
    <row r="2584" spans="1:1" x14ac:dyDescent="0.35">
      <c r="A2584"/>
    </row>
    <row r="2585" spans="1:1" x14ac:dyDescent="0.35">
      <c r="A2585"/>
    </row>
    <row r="2586" spans="1:1" x14ac:dyDescent="0.35">
      <c r="A2586"/>
    </row>
    <row r="2587" spans="1:1" x14ac:dyDescent="0.35">
      <c r="A2587"/>
    </row>
    <row r="2588" spans="1:1" x14ac:dyDescent="0.35">
      <c r="A2588"/>
    </row>
    <row r="2589" spans="1:1" x14ac:dyDescent="0.35">
      <c r="A2589"/>
    </row>
    <row r="2590" spans="1:1" x14ac:dyDescent="0.35">
      <c r="A2590"/>
    </row>
    <row r="2591" spans="1:1" x14ac:dyDescent="0.35">
      <c r="A2591"/>
    </row>
    <row r="2592" spans="1:1" x14ac:dyDescent="0.35">
      <c r="A2592"/>
    </row>
    <row r="2593" spans="1:1" x14ac:dyDescent="0.35">
      <c r="A2593"/>
    </row>
    <row r="2594" spans="1:1" x14ac:dyDescent="0.35">
      <c r="A2594"/>
    </row>
    <row r="2595" spans="1:1" x14ac:dyDescent="0.35">
      <c r="A2595"/>
    </row>
    <row r="2596" spans="1:1" x14ac:dyDescent="0.35">
      <c r="A2596"/>
    </row>
    <row r="2597" spans="1:1" x14ac:dyDescent="0.35">
      <c r="A2597"/>
    </row>
    <row r="2598" spans="1:1" x14ac:dyDescent="0.35">
      <c r="A2598"/>
    </row>
    <row r="2599" spans="1:1" x14ac:dyDescent="0.35">
      <c r="A2599"/>
    </row>
    <row r="2600" spans="1:1" x14ac:dyDescent="0.35">
      <c r="A2600"/>
    </row>
    <row r="2601" spans="1:1" x14ac:dyDescent="0.35">
      <c r="A2601"/>
    </row>
    <row r="2602" spans="1:1" x14ac:dyDescent="0.35">
      <c r="A2602"/>
    </row>
    <row r="2603" spans="1:1" x14ac:dyDescent="0.35">
      <c r="A2603"/>
    </row>
    <row r="2604" spans="1:1" x14ac:dyDescent="0.35">
      <c r="A2604"/>
    </row>
    <row r="2605" spans="1:1" x14ac:dyDescent="0.35">
      <c r="A2605"/>
    </row>
    <row r="2606" spans="1:1" x14ac:dyDescent="0.35">
      <c r="A2606"/>
    </row>
    <row r="2607" spans="1:1" x14ac:dyDescent="0.35">
      <c r="A2607"/>
    </row>
    <row r="2608" spans="1:1" x14ac:dyDescent="0.35">
      <c r="A2608"/>
    </row>
    <row r="2609" spans="1:1" x14ac:dyDescent="0.35">
      <c r="A2609"/>
    </row>
    <row r="2610" spans="1:1" x14ac:dyDescent="0.35">
      <c r="A2610"/>
    </row>
    <row r="2611" spans="1:1" x14ac:dyDescent="0.35">
      <c r="A2611"/>
    </row>
    <row r="2612" spans="1:1" x14ac:dyDescent="0.35">
      <c r="A2612"/>
    </row>
    <row r="2613" spans="1:1" x14ac:dyDescent="0.35">
      <c r="A2613"/>
    </row>
    <row r="2614" spans="1:1" x14ac:dyDescent="0.35">
      <c r="A2614"/>
    </row>
    <row r="2615" spans="1:1" x14ac:dyDescent="0.35">
      <c r="A2615"/>
    </row>
    <row r="2616" spans="1:1" x14ac:dyDescent="0.35">
      <c r="A2616"/>
    </row>
    <row r="2617" spans="1:1" x14ac:dyDescent="0.35">
      <c r="A2617"/>
    </row>
    <row r="2618" spans="1:1" x14ac:dyDescent="0.35">
      <c r="A2618"/>
    </row>
    <row r="2619" spans="1:1" x14ac:dyDescent="0.35">
      <c r="A2619"/>
    </row>
    <row r="2620" spans="1:1" x14ac:dyDescent="0.35">
      <c r="A2620"/>
    </row>
    <row r="2621" spans="1:1" x14ac:dyDescent="0.35">
      <c r="A2621"/>
    </row>
    <row r="2622" spans="1:1" x14ac:dyDescent="0.35">
      <c r="A2622"/>
    </row>
    <row r="2623" spans="1:1" x14ac:dyDescent="0.35">
      <c r="A2623"/>
    </row>
    <row r="2624" spans="1:1" x14ac:dyDescent="0.35">
      <c r="A2624"/>
    </row>
    <row r="2625" spans="1:1" x14ac:dyDescent="0.35">
      <c r="A2625"/>
    </row>
    <row r="2626" spans="1:1" x14ac:dyDescent="0.35">
      <c r="A2626"/>
    </row>
    <row r="2627" spans="1:1" x14ac:dyDescent="0.35">
      <c r="A2627"/>
    </row>
    <row r="2628" spans="1:1" x14ac:dyDescent="0.35">
      <c r="A2628"/>
    </row>
    <row r="2629" spans="1:1" x14ac:dyDescent="0.35">
      <c r="A2629"/>
    </row>
    <row r="2630" spans="1:1" x14ac:dyDescent="0.35">
      <c r="A2630"/>
    </row>
    <row r="2631" spans="1:1" x14ac:dyDescent="0.35">
      <c r="A2631"/>
    </row>
    <row r="2632" spans="1:1" x14ac:dyDescent="0.35">
      <c r="A2632"/>
    </row>
    <row r="2633" spans="1:1" x14ac:dyDescent="0.35">
      <c r="A2633"/>
    </row>
    <row r="2634" spans="1:1" x14ac:dyDescent="0.35">
      <c r="A2634"/>
    </row>
    <row r="2635" spans="1:1" x14ac:dyDescent="0.35">
      <c r="A2635"/>
    </row>
    <row r="2636" spans="1:1" x14ac:dyDescent="0.35">
      <c r="A2636"/>
    </row>
    <row r="2637" spans="1:1" x14ac:dyDescent="0.35">
      <c r="A2637"/>
    </row>
    <row r="2638" spans="1:1" x14ac:dyDescent="0.35">
      <c r="A2638"/>
    </row>
    <row r="2639" spans="1:1" x14ac:dyDescent="0.35">
      <c r="A2639"/>
    </row>
    <row r="2640" spans="1:1" x14ac:dyDescent="0.35">
      <c r="A2640"/>
    </row>
    <row r="2641" spans="1:1" x14ac:dyDescent="0.35">
      <c r="A2641"/>
    </row>
    <row r="2642" spans="1:1" x14ac:dyDescent="0.35">
      <c r="A2642"/>
    </row>
    <row r="2643" spans="1:1" x14ac:dyDescent="0.35">
      <c r="A2643"/>
    </row>
    <row r="2644" spans="1:1" x14ac:dyDescent="0.35">
      <c r="A2644"/>
    </row>
    <row r="2645" spans="1:1" x14ac:dyDescent="0.35">
      <c r="A2645"/>
    </row>
    <row r="2646" spans="1:1" x14ac:dyDescent="0.35">
      <c r="A2646"/>
    </row>
    <row r="2647" spans="1:1" x14ac:dyDescent="0.35">
      <c r="A2647"/>
    </row>
    <row r="2648" spans="1:1" x14ac:dyDescent="0.35">
      <c r="A2648"/>
    </row>
    <row r="2649" spans="1:1" x14ac:dyDescent="0.35">
      <c r="A2649"/>
    </row>
    <row r="2650" spans="1:1" x14ac:dyDescent="0.35">
      <c r="A2650"/>
    </row>
    <row r="2651" spans="1:1" x14ac:dyDescent="0.35">
      <c r="A2651"/>
    </row>
    <row r="2652" spans="1:1" x14ac:dyDescent="0.35">
      <c r="A2652"/>
    </row>
    <row r="2653" spans="1:1" x14ac:dyDescent="0.35">
      <c r="A2653"/>
    </row>
    <row r="2654" spans="1:1" x14ac:dyDescent="0.35">
      <c r="A2654"/>
    </row>
    <row r="2655" spans="1:1" x14ac:dyDescent="0.35">
      <c r="A2655"/>
    </row>
    <row r="2656" spans="1:1" x14ac:dyDescent="0.35">
      <c r="A2656"/>
    </row>
    <row r="2657" spans="1:1" x14ac:dyDescent="0.35">
      <c r="A2657"/>
    </row>
    <row r="2658" spans="1:1" x14ac:dyDescent="0.35">
      <c r="A2658"/>
    </row>
    <row r="2659" spans="1:1" x14ac:dyDescent="0.35">
      <c r="A2659"/>
    </row>
    <row r="2660" spans="1:1" x14ac:dyDescent="0.35">
      <c r="A2660"/>
    </row>
    <row r="2661" spans="1:1" x14ac:dyDescent="0.35">
      <c r="A2661"/>
    </row>
    <row r="2662" spans="1:1" x14ac:dyDescent="0.35">
      <c r="A2662"/>
    </row>
    <row r="2663" spans="1:1" x14ac:dyDescent="0.35">
      <c r="A2663"/>
    </row>
    <row r="2664" spans="1:1" x14ac:dyDescent="0.35">
      <c r="A2664"/>
    </row>
    <row r="2665" spans="1:1" x14ac:dyDescent="0.35">
      <c r="A2665"/>
    </row>
    <row r="2666" spans="1:1" x14ac:dyDescent="0.35">
      <c r="A2666"/>
    </row>
    <row r="2667" spans="1:1" x14ac:dyDescent="0.35">
      <c r="A2667"/>
    </row>
    <row r="2668" spans="1:1" x14ac:dyDescent="0.35">
      <c r="A2668"/>
    </row>
    <row r="2669" spans="1:1" x14ac:dyDescent="0.35">
      <c r="A2669"/>
    </row>
    <row r="2670" spans="1:1" x14ac:dyDescent="0.35">
      <c r="A2670"/>
    </row>
    <row r="2671" spans="1:1" x14ac:dyDescent="0.35">
      <c r="A2671"/>
    </row>
    <row r="2672" spans="1:1" x14ac:dyDescent="0.35">
      <c r="A2672"/>
    </row>
    <row r="2673" spans="1:1" x14ac:dyDescent="0.35">
      <c r="A2673"/>
    </row>
    <row r="2674" spans="1:1" x14ac:dyDescent="0.35">
      <c r="A2674"/>
    </row>
    <row r="2675" spans="1:1" x14ac:dyDescent="0.35">
      <c r="A2675"/>
    </row>
    <row r="2676" spans="1:1" x14ac:dyDescent="0.35">
      <c r="A2676"/>
    </row>
    <row r="2677" spans="1:1" x14ac:dyDescent="0.35">
      <c r="A2677"/>
    </row>
    <row r="2678" spans="1:1" x14ac:dyDescent="0.35">
      <c r="A2678"/>
    </row>
    <row r="2679" spans="1:1" x14ac:dyDescent="0.35">
      <c r="A2679"/>
    </row>
    <row r="2680" spans="1:1" x14ac:dyDescent="0.35">
      <c r="A2680"/>
    </row>
    <row r="2681" spans="1:1" x14ac:dyDescent="0.35">
      <c r="A2681"/>
    </row>
    <row r="2682" spans="1:1" x14ac:dyDescent="0.35">
      <c r="A2682"/>
    </row>
    <row r="2683" spans="1:1" x14ac:dyDescent="0.35">
      <c r="A2683"/>
    </row>
    <row r="2684" spans="1:1" x14ac:dyDescent="0.35">
      <c r="A2684"/>
    </row>
    <row r="2685" spans="1:1" x14ac:dyDescent="0.35">
      <c r="A2685"/>
    </row>
    <row r="2686" spans="1:1" x14ac:dyDescent="0.35">
      <c r="A2686"/>
    </row>
    <row r="2687" spans="1:1" x14ac:dyDescent="0.35">
      <c r="A2687"/>
    </row>
    <row r="2688" spans="1:1" x14ac:dyDescent="0.35">
      <c r="A2688"/>
    </row>
    <row r="2689" spans="1:1" x14ac:dyDescent="0.35">
      <c r="A2689"/>
    </row>
    <row r="2690" spans="1:1" x14ac:dyDescent="0.35">
      <c r="A2690"/>
    </row>
    <row r="2691" spans="1:1" x14ac:dyDescent="0.35">
      <c r="A2691"/>
    </row>
    <row r="2692" spans="1:1" x14ac:dyDescent="0.35">
      <c r="A2692"/>
    </row>
    <row r="2693" spans="1:1" x14ac:dyDescent="0.35">
      <c r="A2693"/>
    </row>
    <row r="2694" spans="1:1" x14ac:dyDescent="0.35">
      <c r="A2694"/>
    </row>
    <row r="2695" spans="1:1" x14ac:dyDescent="0.35">
      <c r="A2695"/>
    </row>
    <row r="2696" spans="1:1" x14ac:dyDescent="0.35">
      <c r="A2696"/>
    </row>
    <row r="2697" spans="1:1" x14ac:dyDescent="0.35">
      <c r="A2697"/>
    </row>
    <row r="2698" spans="1:1" x14ac:dyDescent="0.35">
      <c r="A2698"/>
    </row>
    <row r="2699" spans="1:1" x14ac:dyDescent="0.35">
      <c r="A2699"/>
    </row>
    <row r="2700" spans="1:1" x14ac:dyDescent="0.35">
      <c r="A2700"/>
    </row>
    <row r="2701" spans="1:1" x14ac:dyDescent="0.35">
      <c r="A2701"/>
    </row>
    <row r="2702" spans="1:1" x14ac:dyDescent="0.35">
      <c r="A2702"/>
    </row>
    <row r="2703" spans="1:1" x14ac:dyDescent="0.35">
      <c r="A2703"/>
    </row>
    <row r="2704" spans="1:1" x14ac:dyDescent="0.35">
      <c r="A2704"/>
    </row>
    <row r="2705" spans="1:1" x14ac:dyDescent="0.35">
      <c r="A2705"/>
    </row>
    <row r="2706" spans="1:1" x14ac:dyDescent="0.35">
      <c r="A2706"/>
    </row>
    <row r="2707" spans="1:1" x14ac:dyDescent="0.35">
      <c r="A2707"/>
    </row>
    <row r="2708" spans="1:1" x14ac:dyDescent="0.35">
      <c r="A2708"/>
    </row>
    <row r="2709" spans="1:1" x14ac:dyDescent="0.35">
      <c r="A2709"/>
    </row>
    <row r="2710" spans="1:1" x14ac:dyDescent="0.35">
      <c r="A2710"/>
    </row>
    <row r="2711" spans="1:1" x14ac:dyDescent="0.35">
      <c r="A2711"/>
    </row>
    <row r="2712" spans="1:1" x14ac:dyDescent="0.35">
      <c r="A2712"/>
    </row>
    <row r="2713" spans="1:1" x14ac:dyDescent="0.35">
      <c r="A2713"/>
    </row>
    <row r="2714" spans="1:1" x14ac:dyDescent="0.35">
      <c r="A2714"/>
    </row>
    <row r="2715" spans="1:1" x14ac:dyDescent="0.35">
      <c r="A2715"/>
    </row>
    <row r="2716" spans="1:1" x14ac:dyDescent="0.35">
      <c r="A2716"/>
    </row>
    <row r="2717" spans="1:1" x14ac:dyDescent="0.35">
      <c r="A2717"/>
    </row>
    <row r="2718" spans="1:1" x14ac:dyDescent="0.35">
      <c r="A2718"/>
    </row>
    <row r="2719" spans="1:1" x14ac:dyDescent="0.35">
      <c r="A2719"/>
    </row>
    <row r="2720" spans="1:1" x14ac:dyDescent="0.35">
      <c r="A2720"/>
    </row>
    <row r="2721" spans="1:1" x14ac:dyDescent="0.35">
      <c r="A2721"/>
    </row>
    <row r="2722" spans="1:1" x14ac:dyDescent="0.35">
      <c r="A2722"/>
    </row>
    <row r="2723" spans="1:1" x14ac:dyDescent="0.35">
      <c r="A2723"/>
    </row>
    <row r="2724" spans="1:1" x14ac:dyDescent="0.35">
      <c r="A2724"/>
    </row>
    <row r="2725" spans="1:1" x14ac:dyDescent="0.35">
      <c r="A2725"/>
    </row>
    <row r="2726" spans="1:1" x14ac:dyDescent="0.35">
      <c r="A2726"/>
    </row>
    <row r="2727" spans="1:1" x14ac:dyDescent="0.35">
      <c r="A2727"/>
    </row>
    <row r="2728" spans="1:1" x14ac:dyDescent="0.35">
      <c r="A2728"/>
    </row>
    <row r="2729" spans="1:1" x14ac:dyDescent="0.35">
      <c r="A2729"/>
    </row>
    <row r="2730" spans="1:1" x14ac:dyDescent="0.35">
      <c r="A2730"/>
    </row>
    <row r="2731" spans="1:1" x14ac:dyDescent="0.35">
      <c r="A2731"/>
    </row>
    <row r="2732" spans="1:1" x14ac:dyDescent="0.35">
      <c r="A2732"/>
    </row>
    <row r="2733" spans="1:1" x14ac:dyDescent="0.35">
      <c r="A2733"/>
    </row>
    <row r="2734" spans="1:1" x14ac:dyDescent="0.35">
      <c r="A2734"/>
    </row>
    <row r="2735" spans="1:1" x14ac:dyDescent="0.35">
      <c r="A2735"/>
    </row>
    <row r="2736" spans="1:1" x14ac:dyDescent="0.35">
      <c r="A2736"/>
    </row>
    <row r="2737" spans="1:1" x14ac:dyDescent="0.35">
      <c r="A2737"/>
    </row>
    <row r="2738" spans="1:1" x14ac:dyDescent="0.35">
      <c r="A2738"/>
    </row>
    <row r="2739" spans="1:1" x14ac:dyDescent="0.35">
      <c r="A2739"/>
    </row>
    <row r="2740" spans="1:1" x14ac:dyDescent="0.35">
      <c r="A2740"/>
    </row>
    <row r="2741" spans="1:1" x14ac:dyDescent="0.35">
      <c r="A2741"/>
    </row>
    <row r="2742" spans="1:1" x14ac:dyDescent="0.35">
      <c r="A2742"/>
    </row>
    <row r="2743" spans="1:1" x14ac:dyDescent="0.35">
      <c r="A2743"/>
    </row>
    <row r="2744" spans="1:1" x14ac:dyDescent="0.35">
      <c r="A2744"/>
    </row>
    <row r="2745" spans="1:1" x14ac:dyDescent="0.35">
      <c r="A2745"/>
    </row>
    <row r="2746" spans="1:1" x14ac:dyDescent="0.35">
      <c r="A2746"/>
    </row>
    <row r="2747" spans="1:1" x14ac:dyDescent="0.35">
      <c r="A2747"/>
    </row>
    <row r="2748" spans="1:1" x14ac:dyDescent="0.35">
      <c r="A2748"/>
    </row>
    <row r="2749" spans="1:1" x14ac:dyDescent="0.35">
      <c r="A2749"/>
    </row>
    <row r="2750" spans="1:1" x14ac:dyDescent="0.35">
      <c r="A2750"/>
    </row>
    <row r="2751" spans="1:1" x14ac:dyDescent="0.35">
      <c r="A2751"/>
    </row>
    <row r="2752" spans="1:1" x14ac:dyDescent="0.35">
      <c r="A2752"/>
    </row>
    <row r="2753" spans="1:1" x14ac:dyDescent="0.35">
      <c r="A2753"/>
    </row>
    <row r="2754" spans="1:1" x14ac:dyDescent="0.35">
      <c r="A2754"/>
    </row>
    <row r="2755" spans="1:1" x14ac:dyDescent="0.35">
      <c r="A2755"/>
    </row>
    <row r="2756" spans="1:1" x14ac:dyDescent="0.35">
      <c r="A2756"/>
    </row>
    <row r="2757" spans="1:1" x14ac:dyDescent="0.35">
      <c r="A2757"/>
    </row>
    <row r="2758" spans="1:1" x14ac:dyDescent="0.35">
      <c r="A2758"/>
    </row>
    <row r="2759" spans="1:1" x14ac:dyDescent="0.35">
      <c r="A2759"/>
    </row>
    <row r="2760" spans="1:1" x14ac:dyDescent="0.35">
      <c r="A2760"/>
    </row>
    <row r="2761" spans="1:1" x14ac:dyDescent="0.35">
      <c r="A2761"/>
    </row>
    <row r="2762" spans="1:1" x14ac:dyDescent="0.35">
      <c r="A2762"/>
    </row>
    <row r="2763" spans="1:1" x14ac:dyDescent="0.35">
      <c r="A2763"/>
    </row>
    <row r="2764" spans="1:1" x14ac:dyDescent="0.35">
      <c r="A2764"/>
    </row>
    <row r="2765" spans="1:1" x14ac:dyDescent="0.35">
      <c r="A2765"/>
    </row>
    <row r="2766" spans="1:1" x14ac:dyDescent="0.35">
      <c r="A2766"/>
    </row>
    <row r="2767" spans="1:1" x14ac:dyDescent="0.35">
      <c r="A2767"/>
    </row>
    <row r="2768" spans="1:1" x14ac:dyDescent="0.35">
      <c r="A2768"/>
    </row>
    <row r="2769" spans="1:1" x14ac:dyDescent="0.35">
      <c r="A2769"/>
    </row>
    <row r="2770" spans="1:1" x14ac:dyDescent="0.35">
      <c r="A2770"/>
    </row>
    <row r="2771" spans="1:1" x14ac:dyDescent="0.35">
      <c r="A2771"/>
    </row>
    <row r="2772" spans="1:1" x14ac:dyDescent="0.35">
      <c r="A2772"/>
    </row>
    <row r="2773" spans="1:1" x14ac:dyDescent="0.35">
      <c r="A2773"/>
    </row>
    <row r="2774" spans="1:1" x14ac:dyDescent="0.35">
      <c r="A2774"/>
    </row>
    <row r="2775" spans="1:1" x14ac:dyDescent="0.35">
      <c r="A2775"/>
    </row>
    <row r="2776" spans="1:1" x14ac:dyDescent="0.35">
      <c r="A2776"/>
    </row>
    <row r="2777" spans="1:1" x14ac:dyDescent="0.35">
      <c r="A2777"/>
    </row>
    <row r="2778" spans="1:1" x14ac:dyDescent="0.35">
      <c r="A2778"/>
    </row>
    <row r="2779" spans="1:1" x14ac:dyDescent="0.35">
      <c r="A2779"/>
    </row>
    <row r="2780" spans="1:1" x14ac:dyDescent="0.35">
      <c r="A2780"/>
    </row>
    <row r="2781" spans="1:1" x14ac:dyDescent="0.35">
      <c r="A2781"/>
    </row>
    <row r="2782" spans="1:1" x14ac:dyDescent="0.35">
      <c r="A2782"/>
    </row>
    <row r="2783" spans="1:1" x14ac:dyDescent="0.35">
      <c r="A2783"/>
    </row>
    <row r="2784" spans="1:1" x14ac:dyDescent="0.35">
      <c r="A2784"/>
    </row>
    <row r="2785" spans="1:1" x14ac:dyDescent="0.35">
      <c r="A2785"/>
    </row>
    <row r="2786" spans="1:1" x14ac:dyDescent="0.35">
      <c r="A2786"/>
    </row>
    <row r="2787" spans="1:1" x14ac:dyDescent="0.35">
      <c r="A2787"/>
    </row>
    <row r="2788" spans="1:1" x14ac:dyDescent="0.35">
      <c r="A2788"/>
    </row>
    <row r="2789" spans="1:1" x14ac:dyDescent="0.35">
      <c r="A2789"/>
    </row>
    <row r="2790" spans="1:1" x14ac:dyDescent="0.35">
      <c r="A2790"/>
    </row>
    <row r="2791" spans="1:1" x14ac:dyDescent="0.35">
      <c r="A2791"/>
    </row>
    <row r="2792" spans="1:1" x14ac:dyDescent="0.35">
      <c r="A2792"/>
    </row>
    <row r="2793" spans="1:1" x14ac:dyDescent="0.35">
      <c r="A2793"/>
    </row>
    <row r="2794" spans="1:1" x14ac:dyDescent="0.35">
      <c r="A2794"/>
    </row>
    <row r="2795" spans="1:1" x14ac:dyDescent="0.35">
      <c r="A2795"/>
    </row>
    <row r="2796" spans="1:1" x14ac:dyDescent="0.35">
      <c r="A2796"/>
    </row>
    <row r="2797" spans="1:1" x14ac:dyDescent="0.35">
      <c r="A2797"/>
    </row>
    <row r="2798" spans="1:1" x14ac:dyDescent="0.35">
      <c r="A2798"/>
    </row>
    <row r="2799" spans="1:1" x14ac:dyDescent="0.35">
      <c r="A2799"/>
    </row>
    <row r="2800" spans="1:1" x14ac:dyDescent="0.35">
      <c r="A2800"/>
    </row>
    <row r="2801" spans="1:1" x14ac:dyDescent="0.35">
      <c r="A2801"/>
    </row>
    <row r="2802" spans="1:1" x14ac:dyDescent="0.35">
      <c r="A2802"/>
    </row>
    <row r="2803" spans="1:1" x14ac:dyDescent="0.35">
      <c r="A2803"/>
    </row>
    <row r="2804" spans="1:1" x14ac:dyDescent="0.35">
      <c r="A2804"/>
    </row>
    <row r="2805" spans="1:1" x14ac:dyDescent="0.35">
      <c r="A2805"/>
    </row>
    <row r="2806" spans="1:1" x14ac:dyDescent="0.35">
      <c r="A2806"/>
    </row>
    <row r="2807" spans="1:1" x14ac:dyDescent="0.35">
      <c r="A2807"/>
    </row>
    <row r="2808" spans="1:1" x14ac:dyDescent="0.35">
      <c r="A2808"/>
    </row>
    <row r="2809" spans="1:1" x14ac:dyDescent="0.35">
      <c r="A2809"/>
    </row>
    <row r="2810" spans="1:1" x14ac:dyDescent="0.35">
      <c r="A2810"/>
    </row>
    <row r="2811" spans="1:1" x14ac:dyDescent="0.35">
      <c r="A2811"/>
    </row>
    <row r="2812" spans="1:1" x14ac:dyDescent="0.35">
      <c r="A2812"/>
    </row>
    <row r="2813" spans="1:1" x14ac:dyDescent="0.35">
      <c r="A2813"/>
    </row>
    <row r="2814" spans="1:1" x14ac:dyDescent="0.35">
      <c r="A2814"/>
    </row>
    <row r="2815" spans="1:1" x14ac:dyDescent="0.35">
      <c r="A2815"/>
    </row>
    <row r="2816" spans="1:1" x14ac:dyDescent="0.35">
      <c r="A2816"/>
    </row>
    <row r="2817" spans="1:1" x14ac:dyDescent="0.35">
      <c r="A2817"/>
    </row>
    <row r="2818" spans="1:1" x14ac:dyDescent="0.35">
      <c r="A2818"/>
    </row>
    <row r="2819" spans="1:1" x14ac:dyDescent="0.35">
      <c r="A2819"/>
    </row>
    <row r="2820" spans="1:1" x14ac:dyDescent="0.35">
      <c r="A2820"/>
    </row>
    <row r="2821" spans="1:1" x14ac:dyDescent="0.35">
      <c r="A2821"/>
    </row>
    <row r="2822" spans="1:1" x14ac:dyDescent="0.35">
      <c r="A2822"/>
    </row>
    <row r="2823" spans="1:1" x14ac:dyDescent="0.35">
      <c r="A2823"/>
    </row>
    <row r="2824" spans="1:1" x14ac:dyDescent="0.35">
      <c r="A2824"/>
    </row>
    <row r="2825" spans="1:1" x14ac:dyDescent="0.35">
      <c r="A2825"/>
    </row>
    <row r="2826" spans="1:1" x14ac:dyDescent="0.35">
      <c r="A2826"/>
    </row>
    <row r="2827" spans="1:1" x14ac:dyDescent="0.35">
      <c r="A2827"/>
    </row>
    <row r="2828" spans="1:1" x14ac:dyDescent="0.35">
      <c r="A2828"/>
    </row>
    <row r="2829" spans="1:1" x14ac:dyDescent="0.35">
      <c r="A2829"/>
    </row>
    <row r="2830" spans="1:1" x14ac:dyDescent="0.35">
      <c r="A2830"/>
    </row>
    <row r="2831" spans="1:1" x14ac:dyDescent="0.35">
      <c r="A2831"/>
    </row>
    <row r="2832" spans="1:1" x14ac:dyDescent="0.35">
      <c r="A2832"/>
    </row>
    <row r="2833" spans="1:1" x14ac:dyDescent="0.35">
      <c r="A2833"/>
    </row>
    <row r="2834" spans="1:1" x14ac:dyDescent="0.35">
      <c r="A2834"/>
    </row>
    <row r="2835" spans="1:1" x14ac:dyDescent="0.35">
      <c r="A2835"/>
    </row>
    <row r="2836" spans="1:1" x14ac:dyDescent="0.35">
      <c r="A2836"/>
    </row>
    <row r="2837" spans="1:1" x14ac:dyDescent="0.35">
      <c r="A2837"/>
    </row>
    <row r="2838" spans="1:1" x14ac:dyDescent="0.35">
      <c r="A2838"/>
    </row>
    <row r="2839" spans="1:1" x14ac:dyDescent="0.35">
      <c r="A2839"/>
    </row>
    <row r="2840" spans="1:1" x14ac:dyDescent="0.35">
      <c r="A2840"/>
    </row>
    <row r="2841" spans="1:1" x14ac:dyDescent="0.35">
      <c r="A2841"/>
    </row>
    <row r="2842" spans="1:1" x14ac:dyDescent="0.35">
      <c r="A2842"/>
    </row>
    <row r="2843" spans="1:1" x14ac:dyDescent="0.35">
      <c r="A2843"/>
    </row>
    <row r="2844" spans="1:1" x14ac:dyDescent="0.35">
      <c r="A2844"/>
    </row>
    <row r="2845" spans="1:1" x14ac:dyDescent="0.35">
      <c r="A2845"/>
    </row>
    <row r="2846" spans="1:1" x14ac:dyDescent="0.35">
      <c r="A2846"/>
    </row>
    <row r="2847" spans="1:1" x14ac:dyDescent="0.35">
      <c r="A2847"/>
    </row>
    <row r="2848" spans="1:1" x14ac:dyDescent="0.35">
      <c r="A2848"/>
    </row>
    <row r="2849" spans="1:1" x14ac:dyDescent="0.35">
      <c r="A2849"/>
    </row>
    <row r="2850" spans="1:1" x14ac:dyDescent="0.35">
      <c r="A2850"/>
    </row>
    <row r="2851" spans="1:1" x14ac:dyDescent="0.35">
      <c r="A2851"/>
    </row>
    <row r="2852" spans="1:1" x14ac:dyDescent="0.35">
      <c r="A2852"/>
    </row>
    <row r="2853" spans="1:1" x14ac:dyDescent="0.35">
      <c r="A2853"/>
    </row>
    <row r="2854" spans="1:1" x14ac:dyDescent="0.35">
      <c r="A2854"/>
    </row>
    <row r="2855" spans="1:1" x14ac:dyDescent="0.35">
      <c r="A2855"/>
    </row>
    <row r="2856" spans="1:1" x14ac:dyDescent="0.35">
      <c r="A2856"/>
    </row>
    <row r="2857" spans="1:1" x14ac:dyDescent="0.35">
      <c r="A2857"/>
    </row>
    <row r="2858" spans="1:1" x14ac:dyDescent="0.35">
      <c r="A2858"/>
    </row>
    <row r="2859" spans="1:1" x14ac:dyDescent="0.35">
      <c r="A2859"/>
    </row>
    <row r="2860" spans="1:1" x14ac:dyDescent="0.35">
      <c r="A2860"/>
    </row>
    <row r="2861" spans="1:1" x14ac:dyDescent="0.35">
      <c r="A2861"/>
    </row>
    <row r="2862" spans="1:1" x14ac:dyDescent="0.35">
      <c r="A2862"/>
    </row>
    <row r="2863" spans="1:1" x14ac:dyDescent="0.35">
      <c r="A2863"/>
    </row>
    <row r="2864" spans="1:1" x14ac:dyDescent="0.35">
      <c r="A2864"/>
    </row>
    <row r="2865" spans="1:1" x14ac:dyDescent="0.35">
      <c r="A2865"/>
    </row>
    <row r="2866" spans="1:1" x14ac:dyDescent="0.35">
      <c r="A2866"/>
    </row>
    <row r="2867" spans="1:1" x14ac:dyDescent="0.35">
      <c r="A2867"/>
    </row>
    <row r="2868" spans="1:1" x14ac:dyDescent="0.35">
      <c r="A2868"/>
    </row>
    <row r="2869" spans="1:1" x14ac:dyDescent="0.35">
      <c r="A2869"/>
    </row>
    <row r="2870" spans="1:1" x14ac:dyDescent="0.35">
      <c r="A2870"/>
    </row>
    <row r="2871" spans="1:1" x14ac:dyDescent="0.35">
      <c r="A2871"/>
    </row>
    <row r="2872" spans="1:1" x14ac:dyDescent="0.35">
      <c r="A2872"/>
    </row>
    <row r="2873" spans="1:1" x14ac:dyDescent="0.35">
      <c r="A2873"/>
    </row>
    <row r="2874" spans="1:1" x14ac:dyDescent="0.35">
      <c r="A2874"/>
    </row>
    <row r="2875" spans="1:1" x14ac:dyDescent="0.35">
      <c r="A2875"/>
    </row>
    <row r="2876" spans="1:1" x14ac:dyDescent="0.35">
      <c r="A2876"/>
    </row>
    <row r="2877" spans="1:1" x14ac:dyDescent="0.35">
      <c r="A2877"/>
    </row>
    <row r="2878" spans="1:1" x14ac:dyDescent="0.35">
      <c r="A2878"/>
    </row>
    <row r="2879" spans="1:1" x14ac:dyDescent="0.35">
      <c r="A2879"/>
    </row>
    <row r="2880" spans="1:1" x14ac:dyDescent="0.35">
      <c r="A2880"/>
    </row>
    <row r="2881" spans="1:1" x14ac:dyDescent="0.35">
      <c r="A2881"/>
    </row>
    <row r="2882" spans="1:1" x14ac:dyDescent="0.35">
      <c r="A2882"/>
    </row>
    <row r="2883" spans="1:1" x14ac:dyDescent="0.35">
      <c r="A2883"/>
    </row>
    <row r="2884" spans="1:1" x14ac:dyDescent="0.35">
      <c r="A2884"/>
    </row>
    <row r="2885" spans="1:1" x14ac:dyDescent="0.35">
      <c r="A2885"/>
    </row>
    <row r="2886" spans="1:1" x14ac:dyDescent="0.35">
      <c r="A2886"/>
    </row>
    <row r="2887" spans="1:1" x14ac:dyDescent="0.35">
      <c r="A2887"/>
    </row>
    <row r="2888" spans="1:1" x14ac:dyDescent="0.35">
      <c r="A2888"/>
    </row>
    <row r="2889" spans="1:1" x14ac:dyDescent="0.35">
      <c r="A2889"/>
    </row>
    <row r="2890" spans="1:1" x14ac:dyDescent="0.35">
      <c r="A2890"/>
    </row>
    <row r="2891" spans="1:1" x14ac:dyDescent="0.35">
      <c r="A2891"/>
    </row>
    <row r="2892" spans="1:1" x14ac:dyDescent="0.35">
      <c r="A2892"/>
    </row>
    <row r="2893" spans="1:1" x14ac:dyDescent="0.35">
      <c r="A2893"/>
    </row>
    <row r="2894" spans="1:1" x14ac:dyDescent="0.35">
      <c r="A2894"/>
    </row>
    <row r="2895" spans="1:1" x14ac:dyDescent="0.35">
      <c r="A2895"/>
    </row>
    <row r="2896" spans="1:1" x14ac:dyDescent="0.35">
      <c r="A2896"/>
    </row>
    <row r="2897" spans="1:1" x14ac:dyDescent="0.35">
      <c r="A2897"/>
    </row>
    <row r="2898" spans="1:1" x14ac:dyDescent="0.35">
      <c r="A2898"/>
    </row>
    <row r="2899" spans="1:1" x14ac:dyDescent="0.35">
      <c r="A2899"/>
    </row>
    <row r="2900" spans="1:1" x14ac:dyDescent="0.35">
      <c r="A2900"/>
    </row>
    <row r="2901" spans="1:1" x14ac:dyDescent="0.35">
      <c r="A2901"/>
    </row>
    <row r="2902" spans="1:1" x14ac:dyDescent="0.35">
      <c r="A2902"/>
    </row>
    <row r="2903" spans="1:1" x14ac:dyDescent="0.35">
      <c r="A2903"/>
    </row>
    <row r="2904" spans="1:1" x14ac:dyDescent="0.35">
      <c r="A2904"/>
    </row>
    <row r="2905" spans="1:1" x14ac:dyDescent="0.35">
      <c r="A2905"/>
    </row>
    <row r="2906" spans="1:1" x14ac:dyDescent="0.35">
      <c r="A2906"/>
    </row>
    <row r="2907" spans="1:1" x14ac:dyDescent="0.35">
      <c r="A2907"/>
    </row>
    <row r="2908" spans="1:1" x14ac:dyDescent="0.35">
      <c r="A2908"/>
    </row>
    <row r="2909" spans="1:1" x14ac:dyDescent="0.35">
      <c r="A2909"/>
    </row>
    <row r="2910" spans="1:1" x14ac:dyDescent="0.35">
      <c r="A2910"/>
    </row>
    <row r="2911" spans="1:1" x14ac:dyDescent="0.35">
      <c r="A2911"/>
    </row>
    <row r="2912" spans="1:1" x14ac:dyDescent="0.35">
      <c r="A2912"/>
    </row>
    <row r="2913" spans="1:1" x14ac:dyDescent="0.35">
      <c r="A2913"/>
    </row>
    <row r="2914" spans="1:1" x14ac:dyDescent="0.35">
      <c r="A2914"/>
    </row>
    <row r="2915" spans="1:1" x14ac:dyDescent="0.35">
      <c r="A2915"/>
    </row>
    <row r="2916" spans="1:1" x14ac:dyDescent="0.35">
      <c r="A2916"/>
    </row>
    <row r="2917" spans="1:1" x14ac:dyDescent="0.35">
      <c r="A2917"/>
    </row>
    <row r="2918" spans="1:1" x14ac:dyDescent="0.35">
      <c r="A2918"/>
    </row>
    <row r="2919" spans="1:1" x14ac:dyDescent="0.35">
      <c r="A2919"/>
    </row>
    <row r="2920" spans="1:1" x14ac:dyDescent="0.35">
      <c r="A2920"/>
    </row>
    <row r="2921" spans="1:1" x14ac:dyDescent="0.35">
      <c r="A2921"/>
    </row>
    <row r="2922" spans="1:1" x14ac:dyDescent="0.35">
      <c r="A2922"/>
    </row>
    <row r="2923" spans="1:1" x14ac:dyDescent="0.35">
      <c r="A2923"/>
    </row>
    <row r="2924" spans="1:1" x14ac:dyDescent="0.35">
      <c r="A2924"/>
    </row>
    <row r="2925" spans="1:1" x14ac:dyDescent="0.35">
      <c r="A2925"/>
    </row>
    <row r="2926" spans="1:1" x14ac:dyDescent="0.35">
      <c r="A2926"/>
    </row>
    <row r="2927" spans="1:1" x14ac:dyDescent="0.35">
      <c r="A2927"/>
    </row>
    <row r="2928" spans="1:1" x14ac:dyDescent="0.35">
      <c r="A2928"/>
    </row>
    <row r="2929" spans="1:1" x14ac:dyDescent="0.35">
      <c r="A2929"/>
    </row>
    <row r="2930" spans="1:1" x14ac:dyDescent="0.35">
      <c r="A2930"/>
    </row>
    <row r="2931" spans="1:1" x14ac:dyDescent="0.35">
      <c r="A2931"/>
    </row>
    <row r="2932" spans="1:1" x14ac:dyDescent="0.35">
      <c r="A2932"/>
    </row>
    <row r="2933" spans="1:1" x14ac:dyDescent="0.35">
      <c r="A2933"/>
    </row>
    <row r="2934" spans="1:1" x14ac:dyDescent="0.35">
      <c r="A2934"/>
    </row>
    <row r="2935" spans="1:1" x14ac:dyDescent="0.35">
      <c r="A2935"/>
    </row>
    <row r="2936" spans="1:1" x14ac:dyDescent="0.35">
      <c r="A2936"/>
    </row>
    <row r="2937" spans="1:1" x14ac:dyDescent="0.35">
      <c r="A2937"/>
    </row>
    <row r="2938" spans="1:1" x14ac:dyDescent="0.35">
      <c r="A2938"/>
    </row>
    <row r="2939" spans="1:1" x14ac:dyDescent="0.35">
      <c r="A2939"/>
    </row>
    <row r="2940" spans="1:1" x14ac:dyDescent="0.35">
      <c r="A2940"/>
    </row>
    <row r="2941" spans="1:1" x14ac:dyDescent="0.35">
      <c r="A2941"/>
    </row>
    <row r="2942" spans="1:1" x14ac:dyDescent="0.35">
      <c r="A2942"/>
    </row>
    <row r="2943" spans="1:1" x14ac:dyDescent="0.35">
      <c r="A2943"/>
    </row>
    <row r="2944" spans="1:1" x14ac:dyDescent="0.35">
      <c r="A2944"/>
    </row>
    <row r="2945" spans="1:1" x14ac:dyDescent="0.35">
      <c r="A2945"/>
    </row>
    <row r="2946" spans="1:1" x14ac:dyDescent="0.35">
      <c r="A2946"/>
    </row>
    <row r="2947" spans="1:1" x14ac:dyDescent="0.35">
      <c r="A2947"/>
    </row>
    <row r="2948" spans="1:1" x14ac:dyDescent="0.35">
      <c r="A2948"/>
    </row>
    <row r="2949" spans="1:1" x14ac:dyDescent="0.35">
      <c r="A2949"/>
    </row>
    <row r="2950" spans="1:1" x14ac:dyDescent="0.35">
      <c r="A2950"/>
    </row>
    <row r="2951" spans="1:1" x14ac:dyDescent="0.35">
      <c r="A2951"/>
    </row>
    <row r="2952" spans="1:1" x14ac:dyDescent="0.35">
      <c r="A2952"/>
    </row>
    <row r="2953" spans="1:1" x14ac:dyDescent="0.35">
      <c r="A2953"/>
    </row>
    <row r="2954" spans="1:1" x14ac:dyDescent="0.35">
      <c r="A2954"/>
    </row>
    <row r="2955" spans="1:1" x14ac:dyDescent="0.35">
      <c r="A2955"/>
    </row>
    <row r="2956" spans="1:1" x14ac:dyDescent="0.35">
      <c r="A2956"/>
    </row>
    <row r="2957" spans="1:1" x14ac:dyDescent="0.35">
      <c r="A2957"/>
    </row>
    <row r="2958" spans="1:1" x14ac:dyDescent="0.35">
      <c r="A2958"/>
    </row>
    <row r="2959" spans="1:1" x14ac:dyDescent="0.35">
      <c r="A2959"/>
    </row>
    <row r="2960" spans="1:1" x14ac:dyDescent="0.35">
      <c r="A2960"/>
    </row>
    <row r="2961" spans="1:1" x14ac:dyDescent="0.35">
      <c r="A2961"/>
    </row>
    <row r="2962" spans="1:1" x14ac:dyDescent="0.35">
      <c r="A2962"/>
    </row>
    <row r="2963" spans="1:1" x14ac:dyDescent="0.35">
      <c r="A2963"/>
    </row>
    <row r="2964" spans="1:1" x14ac:dyDescent="0.35">
      <c r="A2964"/>
    </row>
    <row r="2965" spans="1:1" x14ac:dyDescent="0.35">
      <c r="A2965"/>
    </row>
    <row r="2966" spans="1:1" x14ac:dyDescent="0.35">
      <c r="A2966"/>
    </row>
    <row r="2967" spans="1:1" x14ac:dyDescent="0.35">
      <c r="A2967"/>
    </row>
    <row r="2968" spans="1:1" x14ac:dyDescent="0.35">
      <c r="A2968"/>
    </row>
    <row r="2969" spans="1:1" x14ac:dyDescent="0.35">
      <c r="A2969"/>
    </row>
    <row r="2970" spans="1:1" x14ac:dyDescent="0.35">
      <c r="A2970"/>
    </row>
    <row r="2971" spans="1:1" x14ac:dyDescent="0.35">
      <c r="A2971"/>
    </row>
    <row r="2972" spans="1:1" x14ac:dyDescent="0.35">
      <c r="A2972"/>
    </row>
    <row r="2973" spans="1:1" x14ac:dyDescent="0.35">
      <c r="A2973"/>
    </row>
    <row r="2974" spans="1:1" x14ac:dyDescent="0.35">
      <c r="A2974"/>
    </row>
    <row r="2975" spans="1:1" x14ac:dyDescent="0.35">
      <c r="A2975"/>
    </row>
    <row r="2976" spans="1:1" x14ac:dyDescent="0.35">
      <c r="A2976"/>
    </row>
    <row r="2977" spans="1:1" x14ac:dyDescent="0.35">
      <c r="A2977"/>
    </row>
    <row r="2978" spans="1:1" x14ac:dyDescent="0.35">
      <c r="A2978"/>
    </row>
    <row r="2979" spans="1:1" x14ac:dyDescent="0.35">
      <c r="A2979"/>
    </row>
    <row r="2980" spans="1:1" x14ac:dyDescent="0.35">
      <c r="A2980"/>
    </row>
    <row r="2981" spans="1:1" x14ac:dyDescent="0.35">
      <c r="A2981"/>
    </row>
    <row r="2982" spans="1:1" x14ac:dyDescent="0.35">
      <c r="A2982"/>
    </row>
    <row r="2983" spans="1:1" x14ac:dyDescent="0.35">
      <c r="A2983"/>
    </row>
    <row r="2984" spans="1:1" x14ac:dyDescent="0.35">
      <c r="A2984"/>
    </row>
    <row r="2985" spans="1:1" x14ac:dyDescent="0.35">
      <c r="A2985"/>
    </row>
    <row r="2986" spans="1:1" x14ac:dyDescent="0.35">
      <c r="A2986"/>
    </row>
    <row r="2987" spans="1:1" x14ac:dyDescent="0.35">
      <c r="A2987"/>
    </row>
    <row r="2988" spans="1:1" x14ac:dyDescent="0.35">
      <c r="A2988"/>
    </row>
    <row r="2989" spans="1:1" x14ac:dyDescent="0.35">
      <c r="A2989"/>
    </row>
    <row r="2990" spans="1:1" x14ac:dyDescent="0.35">
      <c r="A2990"/>
    </row>
    <row r="2991" spans="1:1" x14ac:dyDescent="0.35">
      <c r="A2991"/>
    </row>
    <row r="2992" spans="1:1" x14ac:dyDescent="0.35">
      <c r="A2992"/>
    </row>
    <row r="2993" spans="1:1" x14ac:dyDescent="0.35">
      <c r="A2993"/>
    </row>
    <row r="2994" spans="1:1" x14ac:dyDescent="0.35">
      <c r="A2994"/>
    </row>
    <row r="2995" spans="1:1" x14ac:dyDescent="0.35">
      <c r="A2995"/>
    </row>
    <row r="2996" spans="1:1" x14ac:dyDescent="0.35">
      <c r="A2996"/>
    </row>
    <row r="2997" spans="1:1" x14ac:dyDescent="0.35">
      <c r="A2997"/>
    </row>
    <row r="2998" spans="1:1" x14ac:dyDescent="0.35">
      <c r="A2998"/>
    </row>
    <row r="2999" spans="1:1" x14ac:dyDescent="0.35">
      <c r="A2999"/>
    </row>
    <row r="3000" spans="1:1" x14ac:dyDescent="0.35">
      <c r="A3000"/>
    </row>
    <row r="3001" spans="1:1" x14ac:dyDescent="0.35">
      <c r="A3001"/>
    </row>
    <row r="3002" spans="1:1" x14ac:dyDescent="0.35">
      <c r="A3002"/>
    </row>
    <row r="3003" spans="1:1" x14ac:dyDescent="0.35">
      <c r="A3003"/>
    </row>
    <row r="3004" spans="1:1" x14ac:dyDescent="0.35">
      <c r="A3004"/>
    </row>
    <row r="3005" spans="1:1" x14ac:dyDescent="0.35">
      <c r="A3005"/>
    </row>
    <row r="3006" spans="1:1" x14ac:dyDescent="0.35">
      <c r="A3006"/>
    </row>
    <row r="3007" spans="1:1" x14ac:dyDescent="0.35">
      <c r="A3007"/>
    </row>
    <row r="3008" spans="1:1" x14ac:dyDescent="0.35">
      <c r="A3008"/>
    </row>
    <row r="3009" spans="1:1" x14ac:dyDescent="0.35">
      <c r="A3009"/>
    </row>
    <row r="3010" spans="1:1" x14ac:dyDescent="0.35">
      <c r="A3010"/>
    </row>
    <row r="3011" spans="1:1" x14ac:dyDescent="0.35">
      <c r="A3011"/>
    </row>
    <row r="3012" spans="1:1" x14ac:dyDescent="0.35">
      <c r="A3012"/>
    </row>
    <row r="3013" spans="1:1" x14ac:dyDescent="0.35">
      <c r="A3013"/>
    </row>
    <row r="3014" spans="1:1" x14ac:dyDescent="0.35">
      <c r="A3014"/>
    </row>
    <row r="3015" spans="1:1" x14ac:dyDescent="0.35">
      <c r="A3015"/>
    </row>
    <row r="3016" spans="1:1" x14ac:dyDescent="0.35">
      <c r="A3016"/>
    </row>
    <row r="3017" spans="1:1" x14ac:dyDescent="0.35">
      <c r="A3017"/>
    </row>
    <row r="3018" spans="1:1" x14ac:dyDescent="0.35">
      <c r="A3018"/>
    </row>
    <row r="3019" spans="1:1" x14ac:dyDescent="0.35">
      <c r="A3019"/>
    </row>
    <row r="3020" spans="1:1" x14ac:dyDescent="0.35">
      <c r="A3020"/>
    </row>
    <row r="3021" spans="1:1" x14ac:dyDescent="0.35">
      <c r="A3021"/>
    </row>
    <row r="3022" spans="1:1" x14ac:dyDescent="0.35">
      <c r="A3022"/>
    </row>
    <row r="3023" spans="1:1" x14ac:dyDescent="0.35">
      <c r="A3023"/>
    </row>
    <row r="3024" spans="1:1" x14ac:dyDescent="0.35">
      <c r="A3024"/>
    </row>
    <row r="3025" spans="1:1" x14ac:dyDescent="0.35">
      <c r="A3025"/>
    </row>
    <row r="3026" spans="1:1" x14ac:dyDescent="0.35">
      <c r="A3026"/>
    </row>
    <row r="3027" spans="1:1" x14ac:dyDescent="0.35">
      <c r="A3027"/>
    </row>
    <row r="3028" spans="1:1" x14ac:dyDescent="0.35">
      <c r="A3028"/>
    </row>
    <row r="3029" spans="1:1" x14ac:dyDescent="0.35">
      <c r="A3029"/>
    </row>
    <row r="3030" spans="1:1" x14ac:dyDescent="0.35">
      <c r="A3030"/>
    </row>
    <row r="3031" spans="1:1" x14ac:dyDescent="0.35">
      <c r="A3031"/>
    </row>
    <row r="3032" spans="1:1" x14ac:dyDescent="0.35">
      <c r="A3032"/>
    </row>
    <row r="3033" spans="1:1" x14ac:dyDescent="0.35">
      <c r="A3033"/>
    </row>
    <row r="3034" spans="1:1" x14ac:dyDescent="0.35">
      <c r="A3034"/>
    </row>
    <row r="3035" spans="1:1" x14ac:dyDescent="0.35">
      <c r="A3035"/>
    </row>
    <row r="3036" spans="1:1" x14ac:dyDescent="0.35">
      <c r="A3036"/>
    </row>
    <row r="3037" spans="1:1" x14ac:dyDescent="0.35">
      <c r="A3037"/>
    </row>
    <row r="3038" spans="1:1" x14ac:dyDescent="0.35">
      <c r="A3038"/>
    </row>
    <row r="3039" spans="1:1" x14ac:dyDescent="0.35">
      <c r="A3039"/>
    </row>
    <row r="3040" spans="1:1" x14ac:dyDescent="0.35">
      <c r="A3040"/>
    </row>
    <row r="3041" spans="1:1" x14ac:dyDescent="0.35">
      <c r="A3041"/>
    </row>
    <row r="3042" spans="1:1" x14ac:dyDescent="0.35">
      <c r="A3042"/>
    </row>
    <row r="3043" spans="1:1" x14ac:dyDescent="0.35">
      <c r="A3043"/>
    </row>
    <row r="3044" spans="1:1" x14ac:dyDescent="0.35">
      <c r="A3044"/>
    </row>
    <row r="3045" spans="1:1" x14ac:dyDescent="0.35">
      <c r="A3045"/>
    </row>
    <row r="3046" spans="1:1" x14ac:dyDescent="0.35">
      <c r="A3046"/>
    </row>
    <row r="3047" spans="1:1" x14ac:dyDescent="0.35">
      <c r="A3047"/>
    </row>
    <row r="3048" spans="1:1" x14ac:dyDescent="0.35">
      <c r="A3048"/>
    </row>
    <row r="3049" spans="1:1" x14ac:dyDescent="0.35">
      <c r="A3049"/>
    </row>
    <row r="3050" spans="1:1" x14ac:dyDescent="0.35">
      <c r="A3050"/>
    </row>
    <row r="3051" spans="1:1" x14ac:dyDescent="0.35">
      <c r="A3051"/>
    </row>
    <row r="3052" spans="1:1" x14ac:dyDescent="0.35">
      <c r="A3052"/>
    </row>
    <row r="3053" spans="1:1" x14ac:dyDescent="0.35">
      <c r="A3053"/>
    </row>
    <row r="3054" spans="1:1" x14ac:dyDescent="0.35">
      <c r="A3054"/>
    </row>
    <row r="3055" spans="1:1" x14ac:dyDescent="0.35">
      <c r="A3055"/>
    </row>
    <row r="3056" spans="1:1" x14ac:dyDescent="0.35">
      <c r="A3056"/>
    </row>
    <row r="3057" spans="1:1" x14ac:dyDescent="0.35">
      <c r="A3057"/>
    </row>
    <row r="3058" spans="1:1" x14ac:dyDescent="0.35">
      <c r="A3058"/>
    </row>
    <row r="3059" spans="1:1" x14ac:dyDescent="0.35">
      <c r="A3059"/>
    </row>
    <row r="3060" spans="1:1" x14ac:dyDescent="0.35">
      <c r="A3060"/>
    </row>
    <row r="3061" spans="1:1" x14ac:dyDescent="0.35">
      <c r="A3061"/>
    </row>
    <row r="3062" spans="1:1" x14ac:dyDescent="0.35">
      <c r="A3062"/>
    </row>
    <row r="3063" spans="1:1" x14ac:dyDescent="0.35">
      <c r="A3063"/>
    </row>
    <row r="3064" spans="1:1" x14ac:dyDescent="0.35">
      <c r="A3064"/>
    </row>
    <row r="3065" spans="1:1" x14ac:dyDescent="0.35">
      <c r="A3065"/>
    </row>
    <row r="3066" spans="1:1" x14ac:dyDescent="0.35">
      <c r="A3066"/>
    </row>
    <row r="3067" spans="1:1" x14ac:dyDescent="0.35">
      <c r="A3067"/>
    </row>
    <row r="3068" spans="1:1" x14ac:dyDescent="0.35">
      <c r="A3068"/>
    </row>
    <row r="3069" spans="1:1" x14ac:dyDescent="0.35">
      <c r="A3069"/>
    </row>
    <row r="3070" spans="1:1" x14ac:dyDescent="0.35">
      <c r="A3070"/>
    </row>
    <row r="3071" spans="1:1" x14ac:dyDescent="0.35">
      <c r="A3071"/>
    </row>
    <row r="3072" spans="1:1" x14ac:dyDescent="0.35">
      <c r="A3072"/>
    </row>
    <row r="3073" spans="1:1" x14ac:dyDescent="0.35">
      <c r="A3073"/>
    </row>
    <row r="3074" spans="1:1" x14ac:dyDescent="0.35">
      <c r="A3074"/>
    </row>
    <row r="3075" spans="1:1" x14ac:dyDescent="0.35">
      <c r="A3075"/>
    </row>
    <row r="3076" spans="1:1" x14ac:dyDescent="0.35">
      <c r="A3076"/>
    </row>
    <row r="3077" spans="1:1" x14ac:dyDescent="0.35">
      <c r="A3077"/>
    </row>
    <row r="3078" spans="1:1" x14ac:dyDescent="0.35">
      <c r="A3078"/>
    </row>
    <row r="3079" spans="1:1" x14ac:dyDescent="0.35">
      <c r="A3079"/>
    </row>
    <row r="3080" spans="1:1" x14ac:dyDescent="0.35">
      <c r="A3080"/>
    </row>
    <row r="3081" spans="1:1" x14ac:dyDescent="0.35">
      <c r="A3081"/>
    </row>
    <row r="3082" spans="1:1" x14ac:dyDescent="0.35">
      <c r="A3082"/>
    </row>
    <row r="3083" spans="1:1" x14ac:dyDescent="0.35">
      <c r="A3083"/>
    </row>
    <row r="3084" spans="1:1" x14ac:dyDescent="0.35">
      <c r="A3084"/>
    </row>
    <row r="3085" spans="1:1" x14ac:dyDescent="0.35">
      <c r="A3085"/>
    </row>
    <row r="3086" spans="1:1" x14ac:dyDescent="0.35">
      <c r="A3086"/>
    </row>
    <row r="3087" spans="1:1" x14ac:dyDescent="0.35">
      <c r="A3087"/>
    </row>
    <row r="3088" spans="1:1" x14ac:dyDescent="0.35">
      <c r="A3088"/>
    </row>
    <row r="3089" spans="1:1" x14ac:dyDescent="0.35">
      <c r="A3089"/>
    </row>
    <row r="3090" spans="1:1" x14ac:dyDescent="0.35">
      <c r="A3090"/>
    </row>
    <row r="3091" spans="1:1" x14ac:dyDescent="0.35">
      <c r="A3091"/>
    </row>
    <row r="3092" spans="1:1" x14ac:dyDescent="0.35">
      <c r="A3092"/>
    </row>
    <row r="3093" spans="1:1" x14ac:dyDescent="0.35">
      <c r="A3093"/>
    </row>
    <row r="3094" spans="1:1" x14ac:dyDescent="0.35">
      <c r="A3094"/>
    </row>
    <row r="3095" spans="1:1" x14ac:dyDescent="0.35">
      <c r="A3095"/>
    </row>
    <row r="3096" spans="1:1" x14ac:dyDescent="0.35">
      <c r="A3096"/>
    </row>
    <row r="3097" spans="1:1" x14ac:dyDescent="0.35">
      <c r="A3097"/>
    </row>
    <row r="3098" spans="1:1" x14ac:dyDescent="0.35">
      <c r="A3098"/>
    </row>
    <row r="3099" spans="1:1" x14ac:dyDescent="0.35">
      <c r="A3099"/>
    </row>
    <row r="3100" spans="1:1" x14ac:dyDescent="0.35">
      <c r="A3100"/>
    </row>
    <row r="3101" spans="1:1" x14ac:dyDescent="0.35">
      <c r="A3101"/>
    </row>
    <row r="3102" spans="1:1" x14ac:dyDescent="0.35">
      <c r="A3102"/>
    </row>
    <row r="3103" spans="1:1" x14ac:dyDescent="0.35">
      <c r="A3103"/>
    </row>
    <row r="3104" spans="1:1" x14ac:dyDescent="0.35">
      <c r="A3104"/>
    </row>
    <row r="3105" spans="1:1" x14ac:dyDescent="0.35">
      <c r="A3105"/>
    </row>
    <row r="3106" spans="1:1" x14ac:dyDescent="0.35">
      <c r="A3106"/>
    </row>
    <row r="3107" spans="1:1" x14ac:dyDescent="0.35">
      <c r="A3107"/>
    </row>
    <row r="3108" spans="1:1" x14ac:dyDescent="0.35">
      <c r="A3108"/>
    </row>
    <row r="3109" spans="1:1" x14ac:dyDescent="0.35">
      <c r="A3109"/>
    </row>
    <row r="3110" spans="1:1" x14ac:dyDescent="0.35">
      <c r="A3110"/>
    </row>
    <row r="3111" spans="1:1" x14ac:dyDescent="0.35">
      <c r="A3111"/>
    </row>
    <row r="3112" spans="1:1" x14ac:dyDescent="0.35">
      <c r="A3112"/>
    </row>
    <row r="3113" spans="1:1" x14ac:dyDescent="0.35">
      <c r="A3113"/>
    </row>
    <row r="3114" spans="1:1" x14ac:dyDescent="0.35">
      <c r="A3114"/>
    </row>
    <row r="3115" spans="1:1" x14ac:dyDescent="0.35">
      <c r="A3115"/>
    </row>
    <row r="3116" spans="1:1" x14ac:dyDescent="0.35">
      <c r="A3116"/>
    </row>
    <row r="3117" spans="1:1" x14ac:dyDescent="0.35">
      <c r="A3117"/>
    </row>
    <row r="3118" spans="1:1" x14ac:dyDescent="0.35">
      <c r="A3118"/>
    </row>
    <row r="3119" spans="1:1" x14ac:dyDescent="0.35">
      <c r="A3119"/>
    </row>
    <row r="3120" spans="1:1" x14ac:dyDescent="0.35">
      <c r="A3120"/>
    </row>
    <row r="3121" spans="1:1" x14ac:dyDescent="0.35">
      <c r="A3121"/>
    </row>
    <row r="3122" spans="1:1" x14ac:dyDescent="0.35">
      <c r="A3122"/>
    </row>
    <row r="3123" spans="1:1" x14ac:dyDescent="0.35">
      <c r="A3123"/>
    </row>
    <row r="3124" spans="1:1" x14ac:dyDescent="0.35">
      <c r="A3124"/>
    </row>
    <row r="3125" spans="1:1" x14ac:dyDescent="0.35">
      <c r="A3125"/>
    </row>
    <row r="3126" spans="1:1" x14ac:dyDescent="0.35">
      <c r="A3126"/>
    </row>
    <row r="3127" spans="1:1" x14ac:dyDescent="0.35">
      <c r="A3127"/>
    </row>
    <row r="3128" spans="1:1" x14ac:dyDescent="0.35">
      <c r="A3128"/>
    </row>
    <row r="3129" spans="1:1" x14ac:dyDescent="0.35">
      <c r="A3129"/>
    </row>
    <row r="3130" spans="1:1" x14ac:dyDescent="0.35">
      <c r="A3130"/>
    </row>
    <row r="3131" spans="1:1" x14ac:dyDescent="0.35">
      <c r="A3131"/>
    </row>
    <row r="3132" spans="1:1" x14ac:dyDescent="0.35">
      <c r="A3132"/>
    </row>
    <row r="3133" spans="1:1" x14ac:dyDescent="0.35">
      <c r="A3133"/>
    </row>
    <row r="3134" spans="1:1" x14ac:dyDescent="0.35">
      <c r="A3134"/>
    </row>
    <row r="3135" spans="1:1" x14ac:dyDescent="0.35">
      <c r="A3135"/>
    </row>
    <row r="3136" spans="1:1" x14ac:dyDescent="0.35">
      <c r="A3136"/>
    </row>
    <row r="3137" spans="1:1" x14ac:dyDescent="0.35">
      <c r="A3137"/>
    </row>
    <row r="3138" spans="1:1" x14ac:dyDescent="0.35">
      <c r="A3138"/>
    </row>
    <row r="3139" spans="1:1" x14ac:dyDescent="0.35">
      <c r="A3139"/>
    </row>
    <row r="3140" spans="1:1" x14ac:dyDescent="0.35">
      <c r="A3140"/>
    </row>
    <row r="3141" spans="1:1" x14ac:dyDescent="0.35">
      <c r="A3141"/>
    </row>
    <row r="3142" spans="1:1" x14ac:dyDescent="0.35">
      <c r="A3142"/>
    </row>
    <row r="3143" spans="1:1" x14ac:dyDescent="0.35">
      <c r="A3143"/>
    </row>
    <row r="3144" spans="1:1" x14ac:dyDescent="0.35">
      <c r="A3144"/>
    </row>
    <row r="3145" spans="1:1" x14ac:dyDescent="0.35">
      <c r="A3145"/>
    </row>
    <row r="3146" spans="1:1" x14ac:dyDescent="0.35">
      <c r="A3146"/>
    </row>
    <row r="3147" spans="1:1" x14ac:dyDescent="0.35">
      <c r="A3147"/>
    </row>
    <row r="3148" spans="1:1" x14ac:dyDescent="0.35">
      <c r="A3148"/>
    </row>
    <row r="3149" spans="1:1" x14ac:dyDescent="0.35">
      <c r="A3149"/>
    </row>
    <row r="3150" spans="1:1" x14ac:dyDescent="0.35">
      <c r="A3150"/>
    </row>
    <row r="3151" spans="1:1" x14ac:dyDescent="0.35">
      <c r="A3151"/>
    </row>
    <row r="3152" spans="1:1" x14ac:dyDescent="0.35">
      <c r="A3152"/>
    </row>
    <row r="3153" spans="1:1" x14ac:dyDescent="0.35">
      <c r="A3153"/>
    </row>
    <row r="3154" spans="1:1" x14ac:dyDescent="0.35">
      <c r="A3154"/>
    </row>
    <row r="3155" spans="1:1" x14ac:dyDescent="0.35">
      <c r="A3155"/>
    </row>
    <row r="3156" spans="1:1" x14ac:dyDescent="0.35">
      <c r="A3156"/>
    </row>
    <row r="3157" spans="1:1" x14ac:dyDescent="0.35">
      <c r="A3157"/>
    </row>
    <row r="3158" spans="1:1" x14ac:dyDescent="0.35">
      <c r="A3158"/>
    </row>
    <row r="3159" spans="1:1" x14ac:dyDescent="0.35">
      <c r="A3159"/>
    </row>
    <row r="3160" spans="1:1" x14ac:dyDescent="0.35">
      <c r="A3160"/>
    </row>
    <row r="3161" spans="1:1" x14ac:dyDescent="0.35">
      <c r="A3161"/>
    </row>
    <row r="3162" spans="1:1" x14ac:dyDescent="0.35">
      <c r="A3162"/>
    </row>
    <row r="3163" spans="1:1" x14ac:dyDescent="0.35">
      <c r="A3163"/>
    </row>
    <row r="3164" spans="1:1" x14ac:dyDescent="0.35">
      <c r="A3164"/>
    </row>
    <row r="3165" spans="1:1" x14ac:dyDescent="0.35">
      <c r="A3165"/>
    </row>
    <row r="3166" spans="1:1" x14ac:dyDescent="0.35">
      <c r="A3166"/>
    </row>
    <row r="3167" spans="1:1" x14ac:dyDescent="0.35">
      <c r="A3167"/>
    </row>
    <row r="3168" spans="1:1" x14ac:dyDescent="0.35">
      <c r="A3168"/>
    </row>
    <row r="3169" spans="1:1" x14ac:dyDescent="0.35">
      <c r="A3169"/>
    </row>
    <row r="3170" spans="1:1" x14ac:dyDescent="0.35">
      <c r="A3170"/>
    </row>
    <row r="3171" spans="1:1" x14ac:dyDescent="0.35">
      <c r="A3171"/>
    </row>
    <row r="3172" spans="1:1" x14ac:dyDescent="0.35">
      <c r="A3172"/>
    </row>
    <row r="3173" spans="1:1" x14ac:dyDescent="0.35">
      <c r="A3173"/>
    </row>
    <row r="3174" spans="1:1" x14ac:dyDescent="0.35">
      <c r="A3174"/>
    </row>
    <row r="3175" spans="1:1" x14ac:dyDescent="0.35">
      <c r="A3175"/>
    </row>
    <row r="3176" spans="1:1" x14ac:dyDescent="0.35">
      <c r="A3176"/>
    </row>
    <row r="3177" spans="1:1" x14ac:dyDescent="0.35">
      <c r="A3177"/>
    </row>
    <row r="3178" spans="1:1" x14ac:dyDescent="0.35">
      <c r="A3178"/>
    </row>
    <row r="3179" spans="1:1" x14ac:dyDescent="0.35">
      <c r="A3179"/>
    </row>
    <row r="3180" spans="1:1" x14ac:dyDescent="0.35">
      <c r="A3180"/>
    </row>
    <row r="3181" spans="1:1" x14ac:dyDescent="0.35">
      <c r="A3181"/>
    </row>
    <row r="3182" spans="1:1" x14ac:dyDescent="0.35">
      <c r="A3182"/>
    </row>
    <row r="3183" spans="1:1" x14ac:dyDescent="0.35">
      <c r="A3183"/>
    </row>
    <row r="3184" spans="1:1" x14ac:dyDescent="0.35">
      <c r="A3184"/>
    </row>
    <row r="3185" spans="1:1" x14ac:dyDescent="0.35">
      <c r="A3185"/>
    </row>
    <row r="3186" spans="1:1" x14ac:dyDescent="0.35">
      <c r="A3186"/>
    </row>
    <row r="3187" spans="1:1" x14ac:dyDescent="0.35">
      <c r="A3187"/>
    </row>
    <row r="3188" spans="1:1" x14ac:dyDescent="0.35">
      <c r="A3188"/>
    </row>
    <row r="3189" spans="1:1" x14ac:dyDescent="0.35">
      <c r="A3189"/>
    </row>
    <row r="3190" spans="1:1" x14ac:dyDescent="0.35">
      <c r="A3190"/>
    </row>
    <row r="3191" spans="1:1" x14ac:dyDescent="0.35">
      <c r="A3191"/>
    </row>
    <row r="3192" spans="1:1" x14ac:dyDescent="0.35">
      <c r="A3192"/>
    </row>
    <row r="3193" spans="1:1" x14ac:dyDescent="0.35">
      <c r="A3193"/>
    </row>
    <row r="3194" spans="1:1" x14ac:dyDescent="0.35">
      <c r="A3194"/>
    </row>
    <row r="3195" spans="1:1" x14ac:dyDescent="0.35">
      <c r="A3195"/>
    </row>
    <row r="3196" spans="1:1" x14ac:dyDescent="0.35">
      <c r="A3196"/>
    </row>
    <row r="3197" spans="1:1" x14ac:dyDescent="0.35">
      <c r="A3197"/>
    </row>
    <row r="3198" spans="1:1" x14ac:dyDescent="0.35">
      <c r="A3198"/>
    </row>
    <row r="3199" spans="1:1" x14ac:dyDescent="0.35">
      <c r="A3199"/>
    </row>
    <row r="3200" spans="1:1" x14ac:dyDescent="0.35">
      <c r="A3200"/>
    </row>
    <row r="3201" spans="1:1" x14ac:dyDescent="0.35">
      <c r="A3201"/>
    </row>
    <row r="3202" spans="1:1" x14ac:dyDescent="0.35">
      <c r="A3202"/>
    </row>
    <row r="3203" spans="1:1" x14ac:dyDescent="0.35">
      <c r="A3203"/>
    </row>
    <row r="3204" spans="1:1" x14ac:dyDescent="0.35">
      <c r="A3204"/>
    </row>
    <row r="3205" spans="1:1" x14ac:dyDescent="0.35">
      <c r="A3205"/>
    </row>
    <row r="3206" spans="1:1" x14ac:dyDescent="0.35">
      <c r="A3206"/>
    </row>
    <row r="3207" spans="1:1" x14ac:dyDescent="0.35">
      <c r="A3207"/>
    </row>
    <row r="3208" spans="1:1" x14ac:dyDescent="0.35">
      <c r="A3208"/>
    </row>
    <row r="3209" spans="1:1" x14ac:dyDescent="0.35">
      <c r="A3209"/>
    </row>
    <row r="3210" spans="1:1" x14ac:dyDescent="0.35">
      <c r="A3210"/>
    </row>
    <row r="3211" spans="1:1" x14ac:dyDescent="0.35">
      <c r="A3211"/>
    </row>
    <row r="3212" spans="1:1" x14ac:dyDescent="0.35">
      <c r="A3212"/>
    </row>
    <row r="3213" spans="1:1" x14ac:dyDescent="0.35">
      <c r="A3213"/>
    </row>
    <row r="3214" spans="1:1" x14ac:dyDescent="0.35">
      <c r="A3214"/>
    </row>
    <row r="3215" spans="1:1" x14ac:dyDescent="0.35">
      <c r="A3215"/>
    </row>
    <row r="3216" spans="1:1" x14ac:dyDescent="0.35">
      <c r="A3216"/>
    </row>
    <row r="3217" spans="1:1" x14ac:dyDescent="0.35">
      <c r="A3217"/>
    </row>
    <row r="3218" spans="1:1" x14ac:dyDescent="0.35">
      <c r="A3218"/>
    </row>
    <row r="3219" spans="1:1" x14ac:dyDescent="0.35">
      <c r="A3219"/>
    </row>
    <row r="3220" spans="1:1" x14ac:dyDescent="0.35">
      <c r="A3220"/>
    </row>
    <row r="3221" spans="1:1" x14ac:dyDescent="0.35">
      <c r="A3221"/>
    </row>
    <row r="3222" spans="1:1" x14ac:dyDescent="0.35">
      <c r="A3222"/>
    </row>
    <row r="3223" spans="1:1" x14ac:dyDescent="0.35">
      <c r="A3223"/>
    </row>
    <row r="3224" spans="1:1" x14ac:dyDescent="0.35">
      <c r="A3224"/>
    </row>
    <row r="3225" spans="1:1" x14ac:dyDescent="0.35">
      <c r="A3225"/>
    </row>
    <row r="3226" spans="1:1" x14ac:dyDescent="0.35">
      <c r="A3226"/>
    </row>
    <row r="3227" spans="1:1" x14ac:dyDescent="0.35">
      <c r="A3227"/>
    </row>
    <row r="3228" spans="1:1" x14ac:dyDescent="0.35">
      <c r="A3228"/>
    </row>
    <row r="3229" spans="1:1" x14ac:dyDescent="0.35">
      <c r="A3229"/>
    </row>
    <row r="3230" spans="1:1" x14ac:dyDescent="0.35">
      <c r="A3230"/>
    </row>
    <row r="3231" spans="1:1" x14ac:dyDescent="0.35">
      <c r="A3231"/>
    </row>
    <row r="3232" spans="1:1" x14ac:dyDescent="0.35">
      <c r="A3232"/>
    </row>
    <row r="3233" spans="1:1" x14ac:dyDescent="0.35">
      <c r="A3233"/>
    </row>
    <row r="3234" spans="1:1" x14ac:dyDescent="0.35">
      <c r="A3234"/>
    </row>
    <row r="3235" spans="1:1" x14ac:dyDescent="0.35">
      <c r="A3235"/>
    </row>
    <row r="3236" spans="1:1" x14ac:dyDescent="0.35">
      <c r="A3236"/>
    </row>
    <row r="3237" spans="1:1" x14ac:dyDescent="0.35">
      <c r="A3237"/>
    </row>
    <row r="3238" spans="1:1" x14ac:dyDescent="0.35">
      <c r="A3238"/>
    </row>
    <row r="3239" spans="1:1" x14ac:dyDescent="0.35">
      <c r="A3239"/>
    </row>
    <row r="3240" spans="1:1" x14ac:dyDescent="0.35">
      <c r="A3240"/>
    </row>
    <row r="3241" spans="1:1" x14ac:dyDescent="0.35">
      <c r="A3241"/>
    </row>
    <row r="3242" spans="1:1" x14ac:dyDescent="0.35">
      <c r="A3242"/>
    </row>
    <row r="3243" spans="1:1" x14ac:dyDescent="0.35">
      <c r="A3243"/>
    </row>
    <row r="3244" spans="1:1" x14ac:dyDescent="0.35">
      <c r="A3244"/>
    </row>
    <row r="3245" spans="1:1" x14ac:dyDescent="0.35">
      <c r="A3245"/>
    </row>
    <row r="3246" spans="1:1" x14ac:dyDescent="0.35">
      <c r="A3246"/>
    </row>
    <row r="3247" spans="1:1" x14ac:dyDescent="0.35">
      <c r="A3247"/>
    </row>
    <row r="3248" spans="1:1" x14ac:dyDescent="0.35">
      <c r="A3248"/>
    </row>
    <row r="3249" spans="1:1" x14ac:dyDescent="0.35">
      <c r="A3249"/>
    </row>
    <row r="3250" spans="1:1" x14ac:dyDescent="0.35">
      <c r="A3250"/>
    </row>
    <row r="3251" spans="1:1" x14ac:dyDescent="0.35">
      <c r="A3251"/>
    </row>
    <row r="3252" spans="1:1" x14ac:dyDescent="0.35">
      <c r="A3252"/>
    </row>
    <row r="3253" spans="1:1" x14ac:dyDescent="0.35">
      <c r="A3253"/>
    </row>
    <row r="3254" spans="1:1" x14ac:dyDescent="0.35">
      <c r="A3254"/>
    </row>
    <row r="3255" spans="1:1" x14ac:dyDescent="0.35">
      <c r="A3255"/>
    </row>
    <row r="3256" spans="1:1" x14ac:dyDescent="0.35">
      <c r="A3256"/>
    </row>
    <row r="3257" spans="1:1" x14ac:dyDescent="0.35">
      <c r="A3257"/>
    </row>
    <row r="3258" spans="1:1" x14ac:dyDescent="0.35">
      <c r="A3258"/>
    </row>
    <row r="3259" spans="1:1" x14ac:dyDescent="0.35">
      <c r="A3259"/>
    </row>
    <row r="3260" spans="1:1" x14ac:dyDescent="0.35">
      <c r="A3260"/>
    </row>
    <row r="3261" spans="1:1" x14ac:dyDescent="0.35">
      <c r="A3261"/>
    </row>
    <row r="3262" spans="1:1" x14ac:dyDescent="0.35">
      <c r="A3262"/>
    </row>
    <row r="3263" spans="1:1" x14ac:dyDescent="0.35">
      <c r="A3263"/>
    </row>
    <row r="3264" spans="1:1" x14ac:dyDescent="0.35">
      <c r="A3264"/>
    </row>
    <row r="3265" spans="1:1" x14ac:dyDescent="0.35">
      <c r="A3265"/>
    </row>
    <row r="3266" spans="1:1" x14ac:dyDescent="0.35">
      <c r="A3266"/>
    </row>
    <row r="3267" spans="1:1" x14ac:dyDescent="0.35">
      <c r="A3267"/>
    </row>
    <row r="3268" spans="1:1" x14ac:dyDescent="0.35">
      <c r="A3268"/>
    </row>
    <row r="3269" spans="1:1" x14ac:dyDescent="0.35">
      <c r="A3269"/>
    </row>
    <row r="3270" spans="1:1" x14ac:dyDescent="0.35">
      <c r="A3270"/>
    </row>
    <row r="3271" spans="1:1" x14ac:dyDescent="0.35">
      <c r="A3271"/>
    </row>
    <row r="3272" spans="1:1" x14ac:dyDescent="0.35">
      <c r="A3272"/>
    </row>
    <row r="3273" spans="1:1" x14ac:dyDescent="0.35">
      <c r="A3273"/>
    </row>
    <row r="3274" spans="1:1" x14ac:dyDescent="0.35">
      <c r="A3274"/>
    </row>
    <row r="3275" spans="1:1" x14ac:dyDescent="0.35">
      <c r="A3275"/>
    </row>
    <row r="3276" spans="1:1" x14ac:dyDescent="0.35">
      <c r="A3276"/>
    </row>
    <row r="3277" spans="1:1" x14ac:dyDescent="0.35">
      <c r="A3277"/>
    </row>
    <row r="3278" spans="1:1" x14ac:dyDescent="0.35">
      <c r="A3278"/>
    </row>
    <row r="3279" spans="1:1" x14ac:dyDescent="0.35">
      <c r="A3279"/>
    </row>
    <row r="3280" spans="1:1" x14ac:dyDescent="0.35">
      <c r="A3280"/>
    </row>
    <row r="3281" spans="1:1" x14ac:dyDescent="0.35">
      <c r="A3281"/>
    </row>
    <row r="3282" spans="1:1" x14ac:dyDescent="0.35">
      <c r="A3282"/>
    </row>
    <row r="3283" spans="1:1" x14ac:dyDescent="0.35">
      <c r="A3283"/>
    </row>
    <row r="3284" spans="1:1" x14ac:dyDescent="0.35">
      <c r="A3284"/>
    </row>
    <row r="3285" spans="1:1" x14ac:dyDescent="0.35">
      <c r="A3285"/>
    </row>
    <row r="3286" spans="1:1" x14ac:dyDescent="0.35">
      <c r="A3286"/>
    </row>
    <row r="3287" spans="1:1" x14ac:dyDescent="0.35">
      <c r="A3287"/>
    </row>
    <row r="3288" spans="1:1" x14ac:dyDescent="0.35">
      <c r="A3288"/>
    </row>
    <row r="3289" spans="1:1" x14ac:dyDescent="0.35">
      <c r="A3289"/>
    </row>
    <row r="3290" spans="1:1" x14ac:dyDescent="0.35">
      <c r="A3290"/>
    </row>
    <row r="3291" spans="1:1" x14ac:dyDescent="0.35">
      <c r="A3291"/>
    </row>
    <row r="3292" spans="1:1" x14ac:dyDescent="0.35">
      <c r="A3292"/>
    </row>
    <row r="3293" spans="1:1" x14ac:dyDescent="0.35">
      <c r="A3293"/>
    </row>
    <row r="3294" spans="1:1" x14ac:dyDescent="0.35">
      <c r="A3294"/>
    </row>
    <row r="3295" spans="1:1" x14ac:dyDescent="0.35">
      <c r="A3295"/>
    </row>
    <row r="3296" spans="1:1" x14ac:dyDescent="0.35">
      <c r="A3296"/>
    </row>
    <row r="3297" spans="1:1" x14ac:dyDescent="0.35">
      <c r="A3297"/>
    </row>
    <row r="3298" spans="1:1" x14ac:dyDescent="0.35">
      <c r="A3298"/>
    </row>
    <row r="3299" spans="1:1" x14ac:dyDescent="0.35">
      <c r="A3299"/>
    </row>
    <row r="3300" spans="1:1" x14ac:dyDescent="0.35">
      <c r="A3300"/>
    </row>
    <row r="3301" spans="1:1" x14ac:dyDescent="0.35">
      <c r="A3301"/>
    </row>
    <row r="3302" spans="1:1" x14ac:dyDescent="0.35">
      <c r="A3302"/>
    </row>
    <row r="3303" spans="1:1" x14ac:dyDescent="0.35">
      <c r="A3303"/>
    </row>
    <row r="3304" spans="1:1" x14ac:dyDescent="0.35">
      <c r="A3304"/>
    </row>
    <row r="3305" spans="1:1" x14ac:dyDescent="0.35">
      <c r="A3305"/>
    </row>
    <row r="3306" spans="1:1" x14ac:dyDescent="0.35">
      <c r="A3306"/>
    </row>
    <row r="3307" spans="1:1" x14ac:dyDescent="0.35">
      <c r="A3307"/>
    </row>
    <row r="3308" spans="1:1" x14ac:dyDescent="0.35">
      <c r="A3308"/>
    </row>
    <row r="3309" spans="1:1" x14ac:dyDescent="0.35">
      <c r="A3309"/>
    </row>
    <row r="3310" spans="1:1" x14ac:dyDescent="0.35">
      <c r="A3310"/>
    </row>
    <row r="3311" spans="1:1" x14ac:dyDescent="0.35">
      <c r="A3311"/>
    </row>
    <row r="3312" spans="1:1" x14ac:dyDescent="0.35">
      <c r="A3312"/>
    </row>
    <row r="3313" spans="1:1" x14ac:dyDescent="0.35">
      <c r="A3313"/>
    </row>
    <row r="3314" spans="1:1" x14ac:dyDescent="0.35">
      <c r="A3314"/>
    </row>
    <row r="3315" spans="1:1" x14ac:dyDescent="0.35">
      <c r="A3315"/>
    </row>
    <row r="3316" spans="1:1" x14ac:dyDescent="0.35">
      <c r="A3316"/>
    </row>
    <row r="3317" spans="1:1" x14ac:dyDescent="0.35">
      <c r="A3317"/>
    </row>
    <row r="3318" spans="1:1" x14ac:dyDescent="0.35">
      <c r="A3318"/>
    </row>
    <row r="3319" spans="1:1" x14ac:dyDescent="0.35">
      <c r="A3319"/>
    </row>
    <row r="3320" spans="1:1" x14ac:dyDescent="0.35">
      <c r="A3320"/>
    </row>
    <row r="3321" spans="1:1" x14ac:dyDescent="0.35">
      <c r="A3321"/>
    </row>
    <row r="3322" spans="1:1" x14ac:dyDescent="0.35">
      <c r="A3322"/>
    </row>
    <row r="3323" spans="1:1" x14ac:dyDescent="0.35">
      <c r="A3323"/>
    </row>
    <row r="3324" spans="1:1" x14ac:dyDescent="0.35">
      <c r="A3324"/>
    </row>
    <row r="3325" spans="1:1" x14ac:dyDescent="0.35">
      <c r="A3325"/>
    </row>
    <row r="3326" spans="1:1" x14ac:dyDescent="0.35">
      <c r="A3326"/>
    </row>
    <row r="3327" spans="1:1" x14ac:dyDescent="0.35">
      <c r="A3327"/>
    </row>
    <row r="3328" spans="1:1" x14ac:dyDescent="0.35">
      <c r="A3328"/>
    </row>
    <row r="3329" spans="1:1" x14ac:dyDescent="0.35">
      <c r="A3329"/>
    </row>
    <row r="3330" spans="1:1" x14ac:dyDescent="0.35">
      <c r="A3330"/>
    </row>
    <row r="3331" spans="1:1" x14ac:dyDescent="0.35">
      <c r="A3331"/>
    </row>
    <row r="3332" spans="1:1" x14ac:dyDescent="0.35">
      <c r="A3332"/>
    </row>
    <row r="3333" spans="1:1" x14ac:dyDescent="0.35">
      <c r="A3333"/>
    </row>
    <row r="3334" spans="1:1" x14ac:dyDescent="0.35">
      <c r="A3334"/>
    </row>
    <row r="3335" spans="1:1" x14ac:dyDescent="0.35">
      <c r="A3335"/>
    </row>
    <row r="3336" spans="1:1" x14ac:dyDescent="0.35">
      <c r="A3336"/>
    </row>
    <row r="3337" spans="1:1" x14ac:dyDescent="0.35">
      <c r="A3337"/>
    </row>
    <row r="3338" spans="1:1" x14ac:dyDescent="0.35">
      <c r="A3338"/>
    </row>
    <row r="3339" spans="1:1" x14ac:dyDescent="0.35">
      <c r="A3339"/>
    </row>
    <row r="3340" spans="1:1" x14ac:dyDescent="0.35">
      <c r="A3340"/>
    </row>
    <row r="3341" spans="1:1" x14ac:dyDescent="0.35">
      <c r="A3341"/>
    </row>
    <row r="3342" spans="1:1" x14ac:dyDescent="0.35">
      <c r="A3342"/>
    </row>
    <row r="3343" spans="1:1" x14ac:dyDescent="0.35">
      <c r="A3343"/>
    </row>
    <row r="3344" spans="1:1" x14ac:dyDescent="0.35">
      <c r="A3344"/>
    </row>
    <row r="3345" spans="1:1" x14ac:dyDescent="0.35">
      <c r="A3345"/>
    </row>
    <row r="3346" spans="1:1" x14ac:dyDescent="0.35">
      <c r="A3346"/>
    </row>
    <row r="3347" spans="1:1" x14ac:dyDescent="0.35">
      <c r="A3347"/>
    </row>
    <row r="3348" spans="1:1" x14ac:dyDescent="0.35">
      <c r="A3348"/>
    </row>
    <row r="3349" spans="1:1" x14ac:dyDescent="0.35">
      <c r="A3349"/>
    </row>
    <row r="3350" spans="1:1" x14ac:dyDescent="0.35">
      <c r="A3350"/>
    </row>
    <row r="3351" spans="1:1" x14ac:dyDescent="0.35">
      <c r="A3351"/>
    </row>
    <row r="3352" spans="1:1" x14ac:dyDescent="0.35">
      <c r="A3352"/>
    </row>
    <row r="3353" spans="1:1" x14ac:dyDescent="0.35">
      <c r="A3353"/>
    </row>
    <row r="3354" spans="1:1" x14ac:dyDescent="0.35">
      <c r="A3354"/>
    </row>
    <row r="3355" spans="1:1" x14ac:dyDescent="0.35">
      <c r="A3355"/>
    </row>
    <row r="3356" spans="1:1" x14ac:dyDescent="0.35">
      <c r="A3356"/>
    </row>
    <row r="3357" spans="1:1" x14ac:dyDescent="0.35">
      <c r="A3357"/>
    </row>
    <row r="3358" spans="1:1" x14ac:dyDescent="0.35">
      <c r="A3358"/>
    </row>
    <row r="3359" spans="1:1" x14ac:dyDescent="0.35">
      <c r="A3359"/>
    </row>
    <row r="3360" spans="1:1" x14ac:dyDescent="0.35">
      <c r="A3360"/>
    </row>
    <row r="3361" spans="1:1" x14ac:dyDescent="0.35">
      <c r="A3361"/>
    </row>
    <row r="3362" spans="1:1" x14ac:dyDescent="0.35">
      <c r="A3362"/>
    </row>
    <row r="3363" spans="1:1" x14ac:dyDescent="0.35">
      <c r="A3363"/>
    </row>
    <row r="3364" spans="1:1" x14ac:dyDescent="0.35">
      <c r="A3364"/>
    </row>
    <row r="3365" spans="1:1" x14ac:dyDescent="0.35">
      <c r="A3365"/>
    </row>
    <row r="3366" spans="1:1" x14ac:dyDescent="0.35">
      <c r="A3366"/>
    </row>
    <row r="3367" spans="1:1" x14ac:dyDescent="0.35">
      <c r="A3367"/>
    </row>
    <row r="3368" spans="1:1" x14ac:dyDescent="0.35">
      <c r="A3368"/>
    </row>
    <row r="3369" spans="1:1" x14ac:dyDescent="0.35">
      <c r="A3369"/>
    </row>
    <row r="3370" spans="1:1" x14ac:dyDescent="0.35">
      <c r="A3370"/>
    </row>
    <row r="3371" spans="1:1" x14ac:dyDescent="0.35">
      <c r="A3371"/>
    </row>
    <row r="3372" spans="1:1" x14ac:dyDescent="0.35">
      <c r="A3372"/>
    </row>
    <row r="3373" spans="1:1" x14ac:dyDescent="0.35">
      <c r="A3373"/>
    </row>
    <row r="3374" spans="1:1" x14ac:dyDescent="0.35">
      <c r="A3374"/>
    </row>
    <row r="3375" spans="1:1" x14ac:dyDescent="0.35">
      <c r="A3375"/>
    </row>
    <row r="3376" spans="1:1" x14ac:dyDescent="0.35">
      <c r="A3376"/>
    </row>
    <row r="3377" spans="1:1" x14ac:dyDescent="0.35">
      <c r="A3377"/>
    </row>
    <row r="3378" spans="1:1" x14ac:dyDescent="0.35">
      <c r="A3378"/>
    </row>
    <row r="3379" spans="1:1" x14ac:dyDescent="0.35">
      <c r="A3379"/>
    </row>
    <row r="3380" spans="1:1" x14ac:dyDescent="0.35">
      <c r="A3380"/>
    </row>
    <row r="3381" spans="1:1" x14ac:dyDescent="0.35">
      <c r="A3381"/>
    </row>
    <row r="3382" spans="1:1" x14ac:dyDescent="0.35">
      <c r="A3382"/>
    </row>
    <row r="3383" spans="1:1" x14ac:dyDescent="0.35">
      <c r="A3383"/>
    </row>
    <row r="3384" spans="1:1" x14ac:dyDescent="0.35">
      <c r="A3384"/>
    </row>
    <row r="3385" spans="1:1" x14ac:dyDescent="0.35">
      <c r="A3385"/>
    </row>
    <row r="3386" spans="1:1" x14ac:dyDescent="0.35">
      <c r="A3386"/>
    </row>
    <row r="3387" spans="1:1" x14ac:dyDescent="0.35">
      <c r="A3387"/>
    </row>
    <row r="3388" spans="1:1" x14ac:dyDescent="0.35">
      <c r="A3388"/>
    </row>
    <row r="3389" spans="1:1" x14ac:dyDescent="0.35">
      <c r="A3389"/>
    </row>
    <row r="3390" spans="1:1" x14ac:dyDescent="0.35">
      <c r="A3390"/>
    </row>
    <row r="3391" spans="1:1" x14ac:dyDescent="0.35">
      <c r="A3391"/>
    </row>
    <row r="3392" spans="1:1" x14ac:dyDescent="0.35">
      <c r="A3392"/>
    </row>
    <row r="3393" spans="1:1" x14ac:dyDescent="0.35">
      <c r="A3393"/>
    </row>
    <row r="3394" spans="1:1" x14ac:dyDescent="0.35">
      <c r="A3394"/>
    </row>
    <row r="3395" spans="1:1" x14ac:dyDescent="0.35">
      <c r="A3395"/>
    </row>
    <row r="3396" spans="1:1" x14ac:dyDescent="0.35">
      <c r="A3396"/>
    </row>
    <row r="3397" spans="1:1" x14ac:dyDescent="0.35">
      <c r="A3397"/>
    </row>
    <row r="3398" spans="1:1" x14ac:dyDescent="0.35">
      <c r="A3398"/>
    </row>
    <row r="3399" spans="1:1" x14ac:dyDescent="0.35">
      <c r="A3399"/>
    </row>
    <row r="3400" spans="1:1" x14ac:dyDescent="0.35">
      <c r="A3400"/>
    </row>
    <row r="3401" spans="1:1" x14ac:dyDescent="0.35">
      <c r="A3401"/>
    </row>
    <row r="3402" spans="1:1" x14ac:dyDescent="0.35">
      <c r="A3402"/>
    </row>
    <row r="3403" spans="1:1" x14ac:dyDescent="0.35">
      <c r="A3403"/>
    </row>
    <row r="3404" spans="1:1" x14ac:dyDescent="0.35">
      <c r="A3404"/>
    </row>
    <row r="3405" spans="1:1" x14ac:dyDescent="0.35">
      <c r="A3405"/>
    </row>
    <row r="3406" spans="1:1" x14ac:dyDescent="0.35">
      <c r="A3406"/>
    </row>
    <row r="3407" spans="1:1" x14ac:dyDescent="0.35">
      <c r="A3407"/>
    </row>
    <row r="3408" spans="1:1" x14ac:dyDescent="0.35">
      <c r="A3408"/>
    </row>
    <row r="3409" spans="1:1" x14ac:dyDescent="0.35">
      <c r="A3409"/>
    </row>
    <row r="3410" spans="1:1" x14ac:dyDescent="0.35">
      <c r="A3410"/>
    </row>
    <row r="3411" spans="1:1" x14ac:dyDescent="0.35">
      <c r="A3411"/>
    </row>
    <row r="3412" spans="1:1" x14ac:dyDescent="0.35">
      <c r="A3412"/>
    </row>
    <row r="3413" spans="1:1" x14ac:dyDescent="0.35">
      <c r="A3413"/>
    </row>
    <row r="3414" spans="1:1" x14ac:dyDescent="0.35">
      <c r="A3414"/>
    </row>
    <row r="3415" spans="1:1" x14ac:dyDescent="0.35">
      <c r="A3415"/>
    </row>
    <row r="3416" spans="1:1" x14ac:dyDescent="0.35">
      <c r="A3416"/>
    </row>
    <row r="3417" spans="1:1" x14ac:dyDescent="0.35">
      <c r="A3417"/>
    </row>
    <row r="3418" spans="1:1" x14ac:dyDescent="0.35">
      <c r="A3418"/>
    </row>
    <row r="3419" spans="1:1" x14ac:dyDescent="0.35">
      <c r="A3419"/>
    </row>
    <row r="3420" spans="1:1" x14ac:dyDescent="0.35">
      <c r="A3420"/>
    </row>
    <row r="3421" spans="1:1" x14ac:dyDescent="0.35">
      <c r="A3421"/>
    </row>
    <row r="3422" spans="1:1" x14ac:dyDescent="0.35">
      <c r="A3422"/>
    </row>
    <row r="3423" spans="1:1" x14ac:dyDescent="0.35">
      <c r="A3423"/>
    </row>
    <row r="3424" spans="1:1" x14ac:dyDescent="0.35">
      <c r="A3424"/>
    </row>
    <row r="3425" spans="1:1" x14ac:dyDescent="0.35">
      <c r="A3425"/>
    </row>
    <row r="3426" spans="1:1" x14ac:dyDescent="0.35">
      <c r="A3426"/>
    </row>
    <row r="3427" spans="1:1" x14ac:dyDescent="0.35">
      <c r="A3427"/>
    </row>
    <row r="3428" spans="1:1" x14ac:dyDescent="0.35">
      <c r="A3428"/>
    </row>
    <row r="3429" spans="1:1" x14ac:dyDescent="0.35">
      <c r="A3429"/>
    </row>
    <row r="3430" spans="1:1" x14ac:dyDescent="0.35">
      <c r="A3430"/>
    </row>
    <row r="3431" spans="1:1" x14ac:dyDescent="0.35">
      <c r="A3431"/>
    </row>
    <row r="3432" spans="1:1" x14ac:dyDescent="0.35">
      <c r="A3432"/>
    </row>
    <row r="3433" spans="1:1" x14ac:dyDescent="0.35">
      <c r="A3433"/>
    </row>
    <row r="3434" spans="1:1" x14ac:dyDescent="0.35">
      <c r="A3434"/>
    </row>
    <row r="3435" spans="1:1" x14ac:dyDescent="0.35">
      <c r="A3435"/>
    </row>
    <row r="3436" spans="1:1" x14ac:dyDescent="0.35">
      <c r="A3436"/>
    </row>
    <row r="3437" spans="1:1" x14ac:dyDescent="0.35">
      <c r="A3437"/>
    </row>
    <row r="3438" spans="1:1" x14ac:dyDescent="0.35">
      <c r="A3438"/>
    </row>
    <row r="3439" spans="1:1" x14ac:dyDescent="0.35">
      <c r="A3439"/>
    </row>
    <row r="3440" spans="1:1" x14ac:dyDescent="0.35">
      <c r="A3440"/>
    </row>
    <row r="3441" spans="1:1" x14ac:dyDescent="0.35">
      <c r="A3441"/>
    </row>
    <row r="3442" spans="1:1" x14ac:dyDescent="0.35">
      <c r="A3442"/>
    </row>
    <row r="3443" spans="1:1" x14ac:dyDescent="0.35">
      <c r="A3443"/>
    </row>
    <row r="3444" spans="1:1" x14ac:dyDescent="0.35">
      <c r="A3444"/>
    </row>
    <row r="3445" spans="1:1" x14ac:dyDescent="0.35">
      <c r="A3445"/>
    </row>
    <row r="3446" spans="1:1" x14ac:dyDescent="0.35">
      <c r="A3446"/>
    </row>
    <row r="3447" spans="1:1" x14ac:dyDescent="0.35">
      <c r="A3447"/>
    </row>
    <row r="3448" spans="1:1" x14ac:dyDescent="0.35">
      <c r="A3448"/>
    </row>
    <row r="3449" spans="1:1" x14ac:dyDescent="0.35">
      <c r="A3449"/>
    </row>
    <row r="3450" spans="1:1" x14ac:dyDescent="0.35">
      <c r="A3450"/>
    </row>
    <row r="3451" spans="1:1" x14ac:dyDescent="0.35">
      <c r="A3451"/>
    </row>
    <row r="3452" spans="1:1" x14ac:dyDescent="0.35">
      <c r="A3452"/>
    </row>
    <row r="3453" spans="1:1" x14ac:dyDescent="0.35">
      <c r="A3453"/>
    </row>
    <row r="3454" spans="1:1" x14ac:dyDescent="0.35">
      <c r="A3454"/>
    </row>
    <row r="3455" spans="1:1" x14ac:dyDescent="0.35">
      <c r="A3455"/>
    </row>
    <row r="3456" spans="1:1" x14ac:dyDescent="0.35">
      <c r="A3456"/>
    </row>
    <row r="3457" spans="1:1" x14ac:dyDescent="0.35">
      <c r="A3457"/>
    </row>
    <row r="3458" spans="1:1" x14ac:dyDescent="0.35">
      <c r="A3458"/>
    </row>
    <row r="3459" spans="1:1" x14ac:dyDescent="0.35">
      <c r="A3459"/>
    </row>
    <row r="3460" spans="1:1" x14ac:dyDescent="0.35">
      <c r="A3460"/>
    </row>
    <row r="3461" spans="1:1" x14ac:dyDescent="0.35">
      <c r="A3461"/>
    </row>
    <row r="3462" spans="1:1" x14ac:dyDescent="0.35">
      <c r="A3462"/>
    </row>
    <row r="3463" spans="1:1" x14ac:dyDescent="0.35">
      <c r="A3463"/>
    </row>
    <row r="3464" spans="1:1" x14ac:dyDescent="0.35">
      <c r="A3464"/>
    </row>
    <row r="3465" spans="1:1" x14ac:dyDescent="0.35">
      <c r="A3465"/>
    </row>
    <row r="3466" spans="1:1" x14ac:dyDescent="0.35">
      <c r="A3466"/>
    </row>
    <row r="3467" spans="1:1" x14ac:dyDescent="0.35">
      <c r="A3467"/>
    </row>
    <row r="3468" spans="1:1" x14ac:dyDescent="0.35">
      <c r="A3468"/>
    </row>
    <row r="3469" spans="1:1" x14ac:dyDescent="0.35">
      <c r="A3469"/>
    </row>
    <row r="3470" spans="1:1" x14ac:dyDescent="0.35">
      <c r="A3470"/>
    </row>
    <row r="3471" spans="1:1" x14ac:dyDescent="0.35">
      <c r="A3471"/>
    </row>
    <row r="3472" spans="1:1" x14ac:dyDescent="0.35">
      <c r="A3472"/>
    </row>
    <row r="3473" spans="1:1" x14ac:dyDescent="0.35">
      <c r="A3473"/>
    </row>
    <row r="3474" spans="1:1" x14ac:dyDescent="0.35">
      <c r="A3474"/>
    </row>
    <row r="3475" spans="1:1" x14ac:dyDescent="0.35">
      <c r="A3475"/>
    </row>
    <row r="3476" spans="1:1" x14ac:dyDescent="0.35">
      <c r="A3476"/>
    </row>
    <row r="3477" spans="1:1" x14ac:dyDescent="0.35">
      <c r="A3477"/>
    </row>
    <row r="3478" spans="1:1" x14ac:dyDescent="0.35">
      <c r="A3478"/>
    </row>
    <row r="3479" spans="1:1" x14ac:dyDescent="0.35">
      <c r="A3479"/>
    </row>
    <row r="3480" spans="1:1" x14ac:dyDescent="0.35">
      <c r="A3480"/>
    </row>
    <row r="3481" spans="1:1" x14ac:dyDescent="0.35">
      <c r="A3481"/>
    </row>
    <row r="3482" spans="1:1" x14ac:dyDescent="0.35">
      <c r="A3482"/>
    </row>
    <row r="3483" spans="1:1" x14ac:dyDescent="0.35">
      <c r="A3483"/>
    </row>
    <row r="3484" spans="1:1" x14ac:dyDescent="0.35">
      <c r="A3484"/>
    </row>
    <row r="3485" spans="1:1" x14ac:dyDescent="0.35">
      <c r="A3485"/>
    </row>
    <row r="3486" spans="1:1" x14ac:dyDescent="0.35">
      <c r="A3486"/>
    </row>
    <row r="3487" spans="1:1" x14ac:dyDescent="0.35">
      <c r="A3487"/>
    </row>
    <row r="3488" spans="1:1" x14ac:dyDescent="0.35">
      <c r="A3488"/>
    </row>
    <row r="3489" spans="1:1" x14ac:dyDescent="0.35">
      <c r="A3489"/>
    </row>
    <row r="3490" spans="1:1" x14ac:dyDescent="0.35">
      <c r="A3490"/>
    </row>
    <row r="3491" spans="1:1" x14ac:dyDescent="0.35">
      <c r="A3491"/>
    </row>
    <row r="3492" spans="1:1" x14ac:dyDescent="0.35">
      <c r="A3492"/>
    </row>
    <row r="3493" spans="1:1" x14ac:dyDescent="0.35">
      <c r="A3493"/>
    </row>
    <row r="3494" spans="1:1" x14ac:dyDescent="0.35">
      <c r="A3494"/>
    </row>
    <row r="3495" spans="1:1" x14ac:dyDescent="0.35">
      <c r="A3495"/>
    </row>
    <row r="3496" spans="1:1" x14ac:dyDescent="0.35">
      <c r="A3496"/>
    </row>
    <row r="3497" spans="1:1" x14ac:dyDescent="0.35">
      <c r="A3497"/>
    </row>
    <row r="3498" spans="1:1" x14ac:dyDescent="0.35">
      <c r="A3498"/>
    </row>
    <row r="3499" spans="1:1" x14ac:dyDescent="0.35">
      <c r="A3499"/>
    </row>
    <row r="3500" spans="1:1" x14ac:dyDescent="0.35">
      <c r="A3500"/>
    </row>
    <row r="3501" spans="1:1" x14ac:dyDescent="0.35">
      <c r="A3501"/>
    </row>
    <row r="3502" spans="1:1" x14ac:dyDescent="0.35">
      <c r="A3502"/>
    </row>
    <row r="3503" spans="1:1" x14ac:dyDescent="0.35">
      <c r="A3503"/>
    </row>
    <row r="3504" spans="1:1" x14ac:dyDescent="0.35">
      <c r="A3504"/>
    </row>
    <row r="3505" spans="1:1" x14ac:dyDescent="0.35">
      <c r="A3505"/>
    </row>
    <row r="3506" spans="1:1" x14ac:dyDescent="0.35">
      <c r="A3506"/>
    </row>
    <row r="3507" spans="1:1" x14ac:dyDescent="0.35">
      <c r="A3507"/>
    </row>
    <row r="3508" spans="1:1" x14ac:dyDescent="0.35">
      <c r="A3508"/>
    </row>
    <row r="3509" spans="1:1" x14ac:dyDescent="0.35">
      <c r="A3509"/>
    </row>
    <row r="3510" spans="1:1" x14ac:dyDescent="0.35">
      <c r="A3510"/>
    </row>
    <row r="3511" spans="1:1" x14ac:dyDescent="0.35">
      <c r="A3511"/>
    </row>
    <row r="3512" spans="1:1" x14ac:dyDescent="0.35">
      <c r="A3512"/>
    </row>
    <row r="3513" spans="1:1" x14ac:dyDescent="0.35">
      <c r="A3513"/>
    </row>
    <row r="3514" spans="1:1" x14ac:dyDescent="0.35">
      <c r="A3514"/>
    </row>
    <row r="3515" spans="1:1" x14ac:dyDescent="0.35">
      <c r="A3515"/>
    </row>
    <row r="3516" spans="1:1" x14ac:dyDescent="0.35">
      <c r="A3516"/>
    </row>
    <row r="3517" spans="1:1" x14ac:dyDescent="0.35">
      <c r="A3517"/>
    </row>
    <row r="3518" spans="1:1" x14ac:dyDescent="0.35">
      <c r="A3518"/>
    </row>
    <row r="3519" spans="1:1" x14ac:dyDescent="0.35">
      <c r="A3519"/>
    </row>
    <row r="3520" spans="1:1" x14ac:dyDescent="0.35">
      <c r="A3520"/>
    </row>
    <row r="3521" spans="1:1" x14ac:dyDescent="0.35">
      <c r="A3521"/>
    </row>
    <row r="3522" spans="1:1" x14ac:dyDescent="0.35">
      <c r="A3522"/>
    </row>
    <row r="3523" spans="1:1" x14ac:dyDescent="0.35">
      <c r="A3523"/>
    </row>
    <row r="3524" spans="1:1" x14ac:dyDescent="0.35">
      <c r="A3524"/>
    </row>
    <row r="3525" spans="1:1" x14ac:dyDescent="0.35">
      <c r="A3525"/>
    </row>
    <row r="3526" spans="1:1" x14ac:dyDescent="0.35">
      <c r="A3526"/>
    </row>
    <row r="3527" spans="1:1" x14ac:dyDescent="0.35">
      <c r="A3527"/>
    </row>
    <row r="3528" spans="1:1" x14ac:dyDescent="0.35">
      <c r="A3528"/>
    </row>
    <row r="3529" spans="1:1" x14ac:dyDescent="0.35">
      <c r="A3529"/>
    </row>
    <row r="3530" spans="1:1" x14ac:dyDescent="0.35">
      <c r="A3530"/>
    </row>
    <row r="3531" spans="1:1" x14ac:dyDescent="0.35">
      <c r="A3531"/>
    </row>
    <row r="3532" spans="1:1" x14ac:dyDescent="0.35">
      <c r="A3532"/>
    </row>
    <row r="3533" spans="1:1" x14ac:dyDescent="0.35">
      <c r="A3533"/>
    </row>
    <row r="3534" spans="1:1" x14ac:dyDescent="0.35">
      <c r="A3534"/>
    </row>
    <row r="3535" spans="1:1" x14ac:dyDescent="0.35">
      <c r="A3535"/>
    </row>
    <row r="3536" spans="1:1" x14ac:dyDescent="0.35">
      <c r="A3536"/>
    </row>
    <row r="3537" spans="1:1" x14ac:dyDescent="0.35">
      <c r="A3537"/>
    </row>
    <row r="3538" spans="1:1" x14ac:dyDescent="0.35">
      <c r="A3538"/>
    </row>
    <row r="3539" spans="1:1" x14ac:dyDescent="0.35">
      <c r="A3539"/>
    </row>
    <row r="3540" spans="1:1" x14ac:dyDescent="0.35">
      <c r="A3540"/>
    </row>
    <row r="3541" spans="1:1" x14ac:dyDescent="0.35">
      <c r="A3541"/>
    </row>
    <row r="3542" spans="1:1" x14ac:dyDescent="0.35">
      <c r="A3542"/>
    </row>
    <row r="3543" spans="1:1" x14ac:dyDescent="0.35">
      <c r="A3543"/>
    </row>
    <row r="3544" spans="1:1" x14ac:dyDescent="0.35">
      <c r="A3544"/>
    </row>
    <row r="3545" spans="1:1" x14ac:dyDescent="0.35">
      <c r="A3545"/>
    </row>
    <row r="3546" spans="1:1" x14ac:dyDescent="0.35">
      <c r="A3546"/>
    </row>
    <row r="3547" spans="1:1" x14ac:dyDescent="0.35">
      <c r="A3547"/>
    </row>
    <row r="3548" spans="1:1" x14ac:dyDescent="0.35">
      <c r="A3548"/>
    </row>
    <row r="3549" spans="1:1" x14ac:dyDescent="0.35">
      <c r="A3549"/>
    </row>
    <row r="3550" spans="1:1" x14ac:dyDescent="0.35">
      <c r="A3550"/>
    </row>
    <row r="3551" spans="1:1" x14ac:dyDescent="0.35">
      <c r="A3551"/>
    </row>
    <row r="3552" spans="1:1" x14ac:dyDescent="0.35">
      <c r="A3552"/>
    </row>
    <row r="3553" spans="1:1" x14ac:dyDescent="0.35">
      <c r="A3553"/>
    </row>
    <row r="3554" spans="1:1" x14ac:dyDescent="0.35">
      <c r="A3554"/>
    </row>
    <row r="3555" spans="1:1" x14ac:dyDescent="0.35">
      <c r="A3555"/>
    </row>
    <row r="3556" spans="1:1" x14ac:dyDescent="0.35">
      <c r="A3556"/>
    </row>
    <row r="3557" spans="1:1" x14ac:dyDescent="0.35">
      <c r="A3557"/>
    </row>
    <row r="3558" spans="1:1" x14ac:dyDescent="0.35">
      <c r="A3558"/>
    </row>
    <row r="3559" spans="1:1" x14ac:dyDescent="0.35">
      <c r="A3559"/>
    </row>
    <row r="3560" spans="1:1" x14ac:dyDescent="0.35">
      <c r="A3560"/>
    </row>
    <row r="3561" spans="1:1" x14ac:dyDescent="0.35">
      <c r="A3561"/>
    </row>
    <row r="3562" spans="1:1" x14ac:dyDescent="0.35">
      <c r="A3562"/>
    </row>
    <row r="3563" spans="1:1" x14ac:dyDescent="0.35">
      <c r="A3563"/>
    </row>
    <row r="3564" spans="1:1" x14ac:dyDescent="0.35">
      <c r="A3564"/>
    </row>
    <row r="3565" spans="1:1" x14ac:dyDescent="0.35">
      <c r="A3565"/>
    </row>
    <row r="3566" spans="1:1" x14ac:dyDescent="0.35">
      <c r="A3566"/>
    </row>
    <row r="3567" spans="1:1" x14ac:dyDescent="0.35">
      <c r="A3567"/>
    </row>
    <row r="3568" spans="1:1" x14ac:dyDescent="0.35">
      <c r="A3568"/>
    </row>
    <row r="3569" spans="1:1" x14ac:dyDescent="0.35">
      <c r="A3569"/>
    </row>
    <row r="3570" spans="1:1" x14ac:dyDescent="0.35">
      <c r="A3570"/>
    </row>
    <row r="3571" spans="1:1" x14ac:dyDescent="0.35">
      <c r="A3571"/>
    </row>
    <row r="3572" spans="1:1" x14ac:dyDescent="0.35">
      <c r="A3572"/>
    </row>
    <row r="3573" spans="1:1" x14ac:dyDescent="0.35">
      <c r="A3573"/>
    </row>
    <row r="3574" spans="1:1" x14ac:dyDescent="0.35">
      <c r="A3574"/>
    </row>
    <row r="3575" spans="1:1" x14ac:dyDescent="0.35">
      <c r="A3575"/>
    </row>
    <row r="3576" spans="1:1" x14ac:dyDescent="0.35">
      <c r="A3576"/>
    </row>
    <row r="3577" spans="1:1" x14ac:dyDescent="0.35">
      <c r="A3577"/>
    </row>
    <row r="3578" spans="1:1" x14ac:dyDescent="0.35">
      <c r="A3578"/>
    </row>
    <row r="3579" spans="1:1" x14ac:dyDescent="0.35">
      <c r="A3579"/>
    </row>
    <row r="3580" spans="1:1" x14ac:dyDescent="0.35">
      <c r="A3580"/>
    </row>
    <row r="3581" spans="1:1" x14ac:dyDescent="0.35">
      <c r="A3581"/>
    </row>
    <row r="3582" spans="1:1" x14ac:dyDescent="0.35">
      <c r="A3582"/>
    </row>
    <row r="3583" spans="1:1" x14ac:dyDescent="0.35">
      <c r="A3583"/>
    </row>
    <row r="3584" spans="1:1" x14ac:dyDescent="0.35">
      <c r="A3584"/>
    </row>
    <row r="3585" spans="1:1" x14ac:dyDescent="0.35">
      <c r="A3585"/>
    </row>
    <row r="3586" spans="1:1" x14ac:dyDescent="0.35">
      <c r="A3586"/>
    </row>
    <row r="3587" spans="1:1" x14ac:dyDescent="0.35">
      <c r="A3587"/>
    </row>
    <row r="3588" spans="1:1" x14ac:dyDescent="0.35">
      <c r="A3588"/>
    </row>
    <row r="3589" spans="1:1" x14ac:dyDescent="0.35">
      <c r="A3589"/>
    </row>
    <row r="3590" spans="1:1" x14ac:dyDescent="0.35">
      <c r="A3590"/>
    </row>
    <row r="3591" spans="1:1" x14ac:dyDescent="0.35">
      <c r="A3591"/>
    </row>
    <row r="3592" spans="1:1" x14ac:dyDescent="0.35">
      <c r="A3592"/>
    </row>
    <row r="3593" spans="1:1" x14ac:dyDescent="0.35">
      <c r="A3593"/>
    </row>
    <row r="3594" spans="1:1" x14ac:dyDescent="0.35">
      <c r="A3594"/>
    </row>
    <row r="3595" spans="1:1" x14ac:dyDescent="0.35">
      <c r="A3595"/>
    </row>
    <row r="3596" spans="1:1" x14ac:dyDescent="0.35">
      <c r="A3596"/>
    </row>
    <row r="3597" spans="1:1" x14ac:dyDescent="0.35">
      <c r="A3597"/>
    </row>
    <row r="3598" spans="1:1" x14ac:dyDescent="0.35">
      <c r="A3598"/>
    </row>
    <row r="3599" spans="1:1" x14ac:dyDescent="0.35">
      <c r="A3599"/>
    </row>
    <row r="3600" spans="1:1" x14ac:dyDescent="0.35">
      <c r="A3600"/>
    </row>
    <row r="3601" spans="1:1" x14ac:dyDescent="0.35">
      <c r="A3601"/>
    </row>
    <row r="3602" spans="1:1" x14ac:dyDescent="0.35">
      <c r="A3602"/>
    </row>
    <row r="3603" spans="1:1" x14ac:dyDescent="0.35">
      <c r="A3603"/>
    </row>
    <row r="3604" spans="1:1" x14ac:dyDescent="0.35">
      <c r="A3604"/>
    </row>
    <row r="3605" spans="1:1" x14ac:dyDescent="0.35">
      <c r="A3605"/>
    </row>
    <row r="3606" spans="1:1" x14ac:dyDescent="0.35">
      <c r="A3606"/>
    </row>
    <row r="3607" spans="1:1" x14ac:dyDescent="0.35">
      <c r="A3607"/>
    </row>
    <row r="3608" spans="1:1" x14ac:dyDescent="0.35">
      <c r="A3608"/>
    </row>
    <row r="3609" spans="1:1" x14ac:dyDescent="0.35">
      <c r="A3609"/>
    </row>
    <row r="3610" spans="1:1" x14ac:dyDescent="0.35">
      <c r="A3610"/>
    </row>
    <row r="3611" spans="1:1" x14ac:dyDescent="0.35">
      <c r="A3611"/>
    </row>
    <row r="3612" spans="1:1" x14ac:dyDescent="0.35">
      <c r="A3612"/>
    </row>
    <row r="3613" spans="1:1" x14ac:dyDescent="0.35">
      <c r="A3613"/>
    </row>
    <row r="3614" spans="1:1" x14ac:dyDescent="0.35">
      <c r="A3614"/>
    </row>
    <row r="3615" spans="1:1" x14ac:dyDescent="0.35">
      <c r="A3615"/>
    </row>
    <row r="3616" spans="1:1" x14ac:dyDescent="0.35">
      <c r="A3616"/>
    </row>
    <row r="3617" spans="1:1" x14ac:dyDescent="0.35">
      <c r="A3617"/>
    </row>
    <row r="3618" spans="1:1" x14ac:dyDescent="0.35">
      <c r="A3618"/>
    </row>
    <row r="3619" spans="1:1" x14ac:dyDescent="0.35">
      <c r="A3619"/>
    </row>
    <row r="3620" spans="1:1" x14ac:dyDescent="0.35">
      <c r="A3620"/>
    </row>
    <row r="3621" spans="1:1" x14ac:dyDescent="0.35">
      <c r="A3621"/>
    </row>
    <row r="3622" spans="1:1" x14ac:dyDescent="0.35">
      <c r="A3622"/>
    </row>
    <row r="3623" spans="1:1" x14ac:dyDescent="0.35">
      <c r="A3623"/>
    </row>
    <row r="3624" spans="1:1" x14ac:dyDescent="0.35">
      <c r="A3624"/>
    </row>
    <row r="3625" spans="1:1" x14ac:dyDescent="0.35">
      <c r="A3625"/>
    </row>
    <row r="3626" spans="1:1" x14ac:dyDescent="0.35">
      <c r="A3626"/>
    </row>
    <row r="3627" spans="1:1" x14ac:dyDescent="0.35">
      <c r="A3627"/>
    </row>
    <row r="3628" spans="1:1" x14ac:dyDescent="0.35">
      <c r="A3628"/>
    </row>
    <row r="3629" spans="1:1" x14ac:dyDescent="0.35">
      <c r="A3629"/>
    </row>
    <row r="3630" spans="1:1" x14ac:dyDescent="0.35">
      <c r="A3630"/>
    </row>
    <row r="3631" spans="1:1" x14ac:dyDescent="0.35">
      <c r="A3631"/>
    </row>
    <row r="3632" spans="1:1" x14ac:dyDescent="0.35">
      <c r="A3632"/>
    </row>
    <row r="3633" spans="1:1" x14ac:dyDescent="0.35">
      <c r="A3633"/>
    </row>
    <row r="3634" spans="1:1" x14ac:dyDescent="0.35">
      <c r="A3634"/>
    </row>
    <row r="3635" spans="1:1" x14ac:dyDescent="0.35">
      <c r="A3635"/>
    </row>
    <row r="3636" spans="1:1" x14ac:dyDescent="0.35">
      <c r="A3636"/>
    </row>
    <row r="3637" spans="1:1" x14ac:dyDescent="0.35">
      <c r="A3637"/>
    </row>
    <row r="3638" spans="1:1" x14ac:dyDescent="0.35">
      <c r="A3638"/>
    </row>
    <row r="3639" spans="1:1" x14ac:dyDescent="0.35">
      <c r="A3639"/>
    </row>
    <row r="3640" spans="1:1" x14ac:dyDescent="0.35">
      <c r="A3640"/>
    </row>
    <row r="3641" spans="1:1" x14ac:dyDescent="0.35">
      <c r="A3641"/>
    </row>
    <row r="3642" spans="1:1" x14ac:dyDescent="0.35">
      <c r="A3642"/>
    </row>
    <row r="3643" spans="1:1" x14ac:dyDescent="0.35">
      <c r="A3643"/>
    </row>
    <row r="3644" spans="1:1" x14ac:dyDescent="0.35">
      <c r="A3644"/>
    </row>
    <row r="3645" spans="1:1" x14ac:dyDescent="0.35">
      <c r="A3645"/>
    </row>
    <row r="3646" spans="1:1" x14ac:dyDescent="0.35">
      <c r="A3646"/>
    </row>
    <row r="3647" spans="1:1" x14ac:dyDescent="0.35">
      <c r="A3647"/>
    </row>
    <row r="3648" spans="1:1" x14ac:dyDescent="0.35">
      <c r="A3648"/>
    </row>
    <row r="3649" spans="1:1" x14ac:dyDescent="0.35">
      <c r="A3649"/>
    </row>
    <row r="3650" spans="1:1" x14ac:dyDescent="0.35">
      <c r="A3650"/>
    </row>
    <row r="3651" spans="1:1" x14ac:dyDescent="0.35">
      <c r="A3651"/>
    </row>
    <row r="3652" spans="1:1" x14ac:dyDescent="0.35">
      <c r="A3652"/>
    </row>
    <row r="3653" spans="1:1" x14ac:dyDescent="0.35">
      <c r="A3653"/>
    </row>
    <row r="3654" spans="1:1" x14ac:dyDescent="0.35">
      <c r="A3654"/>
    </row>
    <row r="3655" spans="1:1" x14ac:dyDescent="0.35">
      <c r="A3655"/>
    </row>
    <row r="3656" spans="1:1" x14ac:dyDescent="0.35">
      <c r="A3656"/>
    </row>
    <row r="3657" spans="1:1" x14ac:dyDescent="0.35">
      <c r="A3657"/>
    </row>
    <row r="3658" spans="1:1" x14ac:dyDescent="0.35">
      <c r="A3658"/>
    </row>
    <row r="3659" spans="1:1" x14ac:dyDescent="0.35">
      <c r="A3659"/>
    </row>
    <row r="3660" spans="1:1" x14ac:dyDescent="0.35">
      <c r="A3660"/>
    </row>
    <row r="3661" spans="1:1" x14ac:dyDescent="0.35">
      <c r="A3661"/>
    </row>
    <row r="3662" spans="1:1" x14ac:dyDescent="0.35">
      <c r="A3662"/>
    </row>
    <row r="3663" spans="1:1" x14ac:dyDescent="0.35">
      <c r="A3663"/>
    </row>
    <row r="3664" spans="1:1" x14ac:dyDescent="0.35">
      <c r="A3664"/>
    </row>
    <row r="3665" spans="1:1" x14ac:dyDescent="0.35">
      <c r="A3665"/>
    </row>
    <row r="3666" spans="1:1" x14ac:dyDescent="0.35">
      <c r="A3666"/>
    </row>
    <row r="3667" spans="1:1" x14ac:dyDescent="0.35">
      <c r="A3667"/>
    </row>
    <row r="3668" spans="1:1" x14ac:dyDescent="0.35">
      <c r="A3668"/>
    </row>
    <row r="3669" spans="1:1" x14ac:dyDescent="0.35">
      <c r="A3669"/>
    </row>
    <row r="3670" spans="1:1" x14ac:dyDescent="0.35">
      <c r="A3670"/>
    </row>
    <row r="3671" spans="1:1" x14ac:dyDescent="0.35">
      <c r="A3671"/>
    </row>
    <row r="3672" spans="1:1" x14ac:dyDescent="0.35">
      <c r="A3672"/>
    </row>
    <row r="3673" spans="1:1" x14ac:dyDescent="0.35">
      <c r="A3673"/>
    </row>
    <row r="3674" spans="1:1" x14ac:dyDescent="0.35">
      <c r="A3674"/>
    </row>
    <row r="3675" spans="1:1" x14ac:dyDescent="0.35">
      <c r="A3675"/>
    </row>
    <row r="3676" spans="1:1" x14ac:dyDescent="0.35">
      <c r="A3676"/>
    </row>
    <row r="3677" spans="1:1" x14ac:dyDescent="0.35">
      <c r="A3677"/>
    </row>
    <row r="3678" spans="1:1" x14ac:dyDescent="0.35">
      <c r="A3678"/>
    </row>
    <row r="3679" spans="1:1" x14ac:dyDescent="0.35">
      <c r="A3679"/>
    </row>
    <row r="3680" spans="1:1" x14ac:dyDescent="0.35">
      <c r="A3680"/>
    </row>
    <row r="3681" spans="1:1" x14ac:dyDescent="0.35">
      <c r="A3681"/>
    </row>
    <row r="3682" spans="1:1" x14ac:dyDescent="0.35">
      <c r="A3682"/>
    </row>
    <row r="3683" spans="1:1" x14ac:dyDescent="0.35">
      <c r="A3683"/>
    </row>
    <row r="3684" spans="1:1" x14ac:dyDescent="0.35">
      <c r="A3684"/>
    </row>
    <row r="3685" spans="1:1" x14ac:dyDescent="0.35">
      <c r="A3685"/>
    </row>
    <row r="3686" spans="1:1" x14ac:dyDescent="0.35">
      <c r="A3686"/>
    </row>
    <row r="3687" spans="1:1" x14ac:dyDescent="0.35">
      <c r="A3687"/>
    </row>
    <row r="3688" spans="1:1" x14ac:dyDescent="0.35">
      <c r="A3688"/>
    </row>
    <row r="3689" spans="1:1" x14ac:dyDescent="0.35">
      <c r="A3689"/>
    </row>
    <row r="3690" spans="1:1" x14ac:dyDescent="0.35">
      <c r="A3690"/>
    </row>
    <row r="3691" spans="1:1" x14ac:dyDescent="0.35">
      <c r="A3691"/>
    </row>
    <row r="3692" spans="1:1" x14ac:dyDescent="0.35">
      <c r="A3692"/>
    </row>
    <row r="3693" spans="1:1" x14ac:dyDescent="0.35">
      <c r="A3693"/>
    </row>
    <row r="3694" spans="1:1" x14ac:dyDescent="0.35">
      <c r="A3694"/>
    </row>
    <row r="3695" spans="1:1" x14ac:dyDescent="0.35">
      <c r="A3695"/>
    </row>
    <row r="3696" spans="1:1" x14ac:dyDescent="0.35">
      <c r="A3696"/>
    </row>
    <row r="3697" spans="1:1" x14ac:dyDescent="0.35">
      <c r="A3697"/>
    </row>
    <row r="3698" spans="1:1" x14ac:dyDescent="0.35">
      <c r="A3698"/>
    </row>
    <row r="3699" spans="1:1" x14ac:dyDescent="0.35">
      <c r="A3699"/>
    </row>
    <row r="3700" spans="1:1" x14ac:dyDescent="0.35">
      <c r="A3700"/>
    </row>
    <row r="3701" spans="1:1" x14ac:dyDescent="0.35">
      <c r="A3701"/>
    </row>
    <row r="3702" spans="1:1" x14ac:dyDescent="0.35">
      <c r="A3702"/>
    </row>
    <row r="3703" spans="1:1" x14ac:dyDescent="0.35">
      <c r="A3703"/>
    </row>
    <row r="3704" spans="1:1" x14ac:dyDescent="0.35">
      <c r="A3704"/>
    </row>
    <row r="3705" spans="1:1" x14ac:dyDescent="0.35">
      <c r="A3705"/>
    </row>
    <row r="3706" spans="1:1" x14ac:dyDescent="0.35">
      <c r="A3706"/>
    </row>
    <row r="3707" spans="1:1" x14ac:dyDescent="0.35">
      <c r="A3707"/>
    </row>
    <row r="3708" spans="1:1" x14ac:dyDescent="0.35">
      <c r="A3708"/>
    </row>
    <row r="3709" spans="1:1" x14ac:dyDescent="0.35">
      <c r="A3709"/>
    </row>
    <row r="3710" spans="1:1" x14ac:dyDescent="0.35">
      <c r="A3710"/>
    </row>
    <row r="3711" spans="1:1" x14ac:dyDescent="0.35">
      <c r="A3711"/>
    </row>
    <row r="3712" spans="1:1" x14ac:dyDescent="0.35">
      <c r="A3712"/>
    </row>
    <row r="3713" spans="1:1" x14ac:dyDescent="0.35">
      <c r="A3713"/>
    </row>
    <row r="3714" spans="1:1" x14ac:dyDescent="0.35">
      <c r="A3714"/>
    </row>
    <row r="3715" spans="1:1" x14ac:dyDescent="0.35">
      <c r="A3715"/>
    </row>
    <row r="3716" spans="1:1" x14ac:dyDescent="0.35">
      <c r="A3716"/>
    </row>
    <row r="3717" spans="1:1" x14ac:dyDescent="0.35">
      <c r="A3717"/>
    </row>
    <row r="3718" spans="1:1" x14ac:dyDescent="0.35">
      <c r="A3718"/>
    </row>
    <row r="3719" spans="1:1" x14ac:dyDescent="0.35">
      <c r="A3719"/>
    </row>
    <row r="3720" spans="1:1" x14ac:dyDescent="0.35">
      <c r="A3720"/>
    </row>
    <row r="3721" spans="1:1" x14ac:dyDescent="0.35">
      <c r="A3721"/>
    </row>
    <row r="3722" spans="1:1" x14ac:dyDescent="0.35">
      <c r="A3722"/>
    </row>
    <row r="3723" spans="1:1" x14ac:dyDescent="0.35">
      <c r="A3723"/>
    </row>
    <row r="3724" spans="1:1" x14ac:dyDescent="0.35">
      <c r="A3724"/>
    </row>
    <row r="3725" spans="1:1" x14ac:dyDescent="0.35">
      <c r="A3725"/>
    </row>
    <row r="3726" spans="1:1" x14ac:dyDescent="0.35">
      <c r="A3726"/>
    </row>
    <row r="3727" spans="1:1" x14ac:dyDescent="0.35">
      <c r="A3727"/>
    </row>
    <row r="3728" spans="1:1" x14ac:dyDescent="0.35">
      <c r="A3728"/>
    </row>
    <row r="3729" spans="1:1" x14ac:dyDescent="0.35">
      <c r="A3729"/>
    </row>
    <row r="3730" spans="1:1" x14ac:dyDescent="0.35">
      <c r="A3730"/>
    </row>
    <row r="3731" spans="1:1" x14ac:dyDescent="0.35">
      <c r="A3731"/>
    </row>
    <row r="3732" spans="1:1" x14ac:dyDescent="0.35">
      <c r="A3732"/>
    </row>
    <row r="3733" spans="1:1" x14ac:dyDescent="0.35">
      <c r="A3733"/>
    </row>
    <row r="3734" spans="1:1" x14ac:dyDescent="0.35">
      <c r="A3734"/>
    </row>
    <row r="3735" spans="1:1" x14ac:dyDescent="0.35">
      <c r="A3735"/>
    </row>
    <row r="3736" spans="1:1" x14ac:dyDescent="0.35">
      <c r="A3736"/>
    </row>
    <row r="3737" spans="1:1" x14ac:dyDescent="0.35">
      <c r="A3737"/>
    </row>
    <row r="3738" spans="1:1" x14ac:dyDescent="0.35">
      <c r="A3738"/>
    </row>
    <row r="3739" spans="1:1" x14ac:dyDescent="0.35">
      <c r="A3739"/>
    </row>
    <row r="3740" spans="1:1" x14ac:dyDescent="0.35">
      <c r="A3740"/>
    </row>
    <row r="3741" spans="1:1" x14ac:dyDescent="0.35">
      <c r="A3741"/>
    </row>
    <row r="3742" spans="1:1" x14ac:dyDescent="0.35">
      <c r="A3742"/>
    </row>
    <row r="3743" spans="1:1" x14ac:dyDescent="0.35">
      <c r="A3743"/>
    </row>
    <row r="3744" spans="1:1" x14ac:dyDescent="0.35">
      <c r="A3744"/>
    </row>
    <row r="3745" spans="1:1" x14ac:dyDescent="0.35">
      <c r="A3745"/>
    </row>
    <row r="3746" spans="1:1" x14ac:dyDescent="0.35">
      <c r="A3746"/>
    </row>
    <row r="3747" spans="1:1" x14ac:dyDescent="0.35">
      <c r="A3747"/>
    </row>
    <row r="3748" spans="1:1" x14ac:dyDescent="0.35">
      <c r="A3748"/>
    </row>
    <row r="3749" spans="1:1" x14ac:dyDescent="0.35">
      <c r="A3749"/>
    </row>
    <row r="3750" spans="1:1" x14ac:dyDescent="0.35">
      <c r="A3750"/>
    </row>
    <row r="3751" spans="1:1" x14ac:dyDescent="0.35">
      <c r="A3751"/>
    </row>
    <row r="3752" spans="1:1" x14ac:dyDescent="0.35">
      <c r="A3752"/>
    </row>
    <row r="3753" spans="1:1" x14ac:dyDescent="0.35">
      <c r="A3753"/>
    </row>
    <row r="3754" spans="1:1" x14ac:dyDescent="0.35">
      <c r="A3754"/>
    </row>
    <row r="3755" spans="1:1" x14ac:dyDescent="0.35">
      <c r="A3755"/>
    </row>
    <row r="3756" spans="1:1" x14ac:dyDescent="0.35">
      <c r="A3756"/>
    </row>
    <row r="3757" spans="1:1" x14ac:dyDescent="0.35">
      <c r="A3757"/>
    </row>
    <row r="3758" spans="1:1" x14ac:dyDescent="0.35">
      <c r="A3758"/>
    </row>
    <row r="3759" spans="1:1" x14ac:dyDescent="0.35">
      <c r="A3759"/>
    </row>
    <row r="3760" spans="1:1" x14ac:dyDescent="0.35">
      <c r="A3760"/>
    </row>
    <row r="3761" spans="1:1" x14ac:dyDescent="0.35">
      <c r="A3761"/>
    </row>
    <row r="3762" spans="1:1" x14ac:dyDescent="0.35">
      <c r="A3762"/>
    </row>
    <row r="3763" spans="1:1" x14ac:dyDescent="0.35">
      <c r="A3763"/>
    </row>
    <row r="3764" spans="1:1" x14ac:dyDescent="0.35">
      <c r="A3764"/>
    </row>
    <row r="3765" spans="1:1" x14ac:dyDescent="0.35">
      <c r="A3765"/>
    </row>
    <row r="3766" spans="1:1" x14ac:dyDescent="0.35">
      <c r="A3766"/>
    </row>
    <row r="3767" spans="1:1" x14ac:dyDescent="0.35">
      <c r="A3767"/>
    </row>
    <row r="3768" spans="1:1" x14ac:dyDescent="0.35">
      <c r="A3768"/>
    </row>
    <row r="3769" spans="1:1" x14ac:dyDescent="0.35">
      <c r="A3769"/>
    </row>
    <row r="3770" spans="1:1" x14ac:dyDescent="0.35">
      <c r="A3770"/>
    </row>
    <row r="3771" spans="1:1" x14ac:dyDescent="0.35">
      <c r="A3771"/>
    </row>
    <row r="3772" spans="1:1" x14ac:dyDescent="0.35">
      <c r="A3772"/>
    </row>
    <row r="3773" spans="1:1" x14ac:dyDescent="0.35">
      <c r="A3773"/>
    </row>
    <row r="3774" spans="1:1" x14ac:dyDescent="0.35">
      <c r="A3774"/>
    </row>
    <row r="3775" spans="1:1" x14ac:dyDescent="0.35">
      <c r="A3775"/>
    </row>
    <row r="3776" spans="1:1" x14ac:dyDescent="0.35">
      <c r="A3776"/>
    </row>
    <row r="3777" spans="1:1" x14ac:dyDescent="0.35">
      <c r="A3777"/>
    </row>
    <row r="3778" spans="1:1" x14ac:dyDescent="0.35">
      <c r="A3778"/>
    </row>
    <row r="3779" spans="1:1" x14ac:dyDescent="0.35">
      <c r="A3779"/>
    </row>
    <row r="3780" spans="1:1" x14ac:dyDescent="0.35">
      <c r="A3780"/>
    </row>
    <row r="3781" spans="1:1" x14ac:dyDescent="0.35">
      <c r="A3781"/>
    </row>
    <row r="3782" spans="1:1" x14ac:dyDescent="0.35">
      <c r="A3782"/>
    </row>
    <row r="3783" spans="1:1" x14ac:dyDescent="0.35">
      <c r="A3783"/>
    </row>
    <row r="3784" spans="1:1" x14ac:dyDescent="0.35">
      <c r="A3784"/>
    </row>
    <row r="3785" spans="1:1" x14ac:dyDescent="0.35">
      <c r="A3785"/>
    </row>
    <row r="3786" spans="1:1" x14ac:dyDescent="0.35">
      <c r="A3786"/>
    </row>
    <row r="3787" spans="1:1" x14ac:dyDescent="0.35">
      <c r="A3787"/>
    </row>
    <row r="3788" spans="1:1" x14ac:dyDescent="0.35">
      <c r="A3788"/>
    </row>
    <row r="3789" spans="1:1" x14ac:dyDescent="0.35">
      <c r="A3789"/>
    </row>
    <row r="3790" spans="1:1" x14ac:dyDescent="0.35">
      <c r="A3790"/>
    </row>
    <row r="3791" spans="1:1" x14ac:dyDescent="0.35">
      <c r="A3791"/>
    </row>
    <row r="3792" spans="1:1" x14ac:dyDescent="0.35">
      <c r="A3792"/>
    </row>
    <row r="3793" spans="1:1" x14ac:dyDescent="0.35">
      <c r="A3793"/>
    </row>
    <row r="3794" spans="1:1" x14ac:dyDescent="0.35">
      <c r="A3794"/>
    </row>
    <row r="3795" spans="1:1" x14ac:dyDescent="0.35">
      <c r="A3795"/>
    </row>
    <row r="3796" spans="1:1" x14ac:dyDescent="0.35">
      <c r="A3796"/>
    </row>
    <row r="3797" spans="1:1" x14ac:dyDescent="0.35">
      <c r="A3797"/>
    </row>
    <row r="3798" spans="1:1" x14ac:dyDescent="0.35">
      <c r="A3798"/>
    </row>
    <row r="3799" spans="1:1" x14ac:dyDescent="0.35">
      <c r="A3799"/>
    </row>
    <row r="3800" spans="1:1" x14ac:dyDescent="0.35">
      <c r="A3800"/>
    </row>
    <row r="3801" spans="1:1" x14ac:dyDescent="0.35">
      <c r="A3801"/>
    </row>
    <row r="3802" spans="1:1" x14ac:dyDescent="0.35">
      <c r="A3802"/>
    </row>
    <row r="3803" spans="1:1" x14ac:dyDescent="0.35">
      <c r="A3803"/>
    </row>
    <row r="3804" spans="1:1" x14ac:dyDescent="0.35">
      <c r="A3804"/>
    </row>
    <row r="3805" spans="1:1" x14ac:dyDescent="0.35">
      <c r="A3805"/>
    </row>
    <row r="3806" spans="1:1" x14ac:dyDescent="0.35">
      <c r="A3806"/>
    </row>
    <row r="3807" spans="1:1" x14ac:dyDescent="0.35">
      <c r="A3807"/>
    </row>
    <row r="3808" spans="1:1" x14ac:dyDescent="0.35">
      <c r="A3808"/>
    </row>
    <row r="3809" spans="1:1" x14ac:dyDescent="0.35">
      <c r="A3809"/>
    </row>
    <row r="3810" spans="1:1" x14ac:dyDescent="0.35">
      <c r="A3810"/>
    </row>
    <row r="3811" spans="1:1" x14ac:dyDescent="0.35">
      <c r="A3811"/>
    </row>
    <row r="3812" spans="1:1" x14ac:dyDescent="0.35">
      <c r="A3812"/>
    </row>
    <row r="3813" spans="1:1" x14ac:dyDescent="0.35">
      <c r="A3813"/>
    </row>
    <row r="3814" spans="1:1" x14ac:dyDescent="0.35">
      <c r="A3814"/>
    </row>
    <row r="3815" spans="1:1" x14ac:dyDescent="0.35">
      <c r="A3815"/>
    </row>
    <row r="3816" spans="1:1" x14ac:dyDescent="0.35">
      <c r="A3816"/>
    </row>
    <row r="3817" spans="1:1" x14ac:dyDescent="0.35">
      <c r="A3817"/>
    </row>
    <row r="3818" spans="1:1" x14ac:dyDescent="0.35">
      <c r="A3818"/>
    </row>
    <row r="3819" spans="1:1" x14ac:dyDescent="0.35">
      <c r="A3819"/>
    </row>
    <row r="3820" spans="1:1" x14ac:dyDescent="0.35">
      <c r="A3820"/>
    </row>
    <row r="3821" spans="1:1" x14ac:dyDescent="0.35">
      <c r="A3821"/>
    </row>
    <row r="3822" spans="1:1" x14ac:dyDescent="0.35">
      <c r="A3822"/>
    </row>
    <row r="3823" spans="1:1" x14ac:dyDescent="0.35">
      <c r="A3823"/>
    </row>
    <row r="3824" spans="1:1" x14ac:dyDescent="0.35">
      <c r="A3824"/>
    </row>
    <row r="3825" spans="1:1" x14ac:dyDescent="0.35">
      <c r="A3825"/>
    </row>
    <row r="3826" spans="1:1" x14ac:dyDescent="0.35">
      <c r="A3826"/>
    </row>
    <row r="3827" spans="1:1" x14ac:dyDescent="0.35">
      <c r="A3827"/>
    </row>
    <row r="3828" spans="1:1" x14ac:dyDescent="0.35">
      <c r="A3828"/>
    </row>
    <row r="3829" spans="1:1" x14ac:dyDescent="0.35">
      <c r="A3829"/>
    </row>
    <row r="3830" spans="1:1" x14ac:dyDescent="0.35">
      <c r="A3830"/>
    </row>
    <row r="3831" spans="1:1" x14ac:dyDescent="0.35">
      <c r="A3831"/>
    </row>
    <row r="3832" spans="1:1" x14ac:dyDescent="0.35">
      <c r="A3832"/>
    </row>
    <row r="3833" spans="1:1" x14ac:dyDescent="0.35">
      <c r="A3833"/>
    </row>
    <row r="3834" spans="1:1" x14ac:dyDescent="0.35">
      <c r="A3834"/>
    </row>
    <row r="3835" spans="1:1" x14ac:dyDescent="0.35">
      <c r="A3835"/>
    </row>
    <row r="3836" spans="1:1" x14ac:dyDescent="0.35">
      <c r="A3836"/>
    </row>
    <row r="3837" spans="1:1" x14ac:dyDescent="0.35">
      <c r="A3837"/>
    </row>
    <row r="3838" spans="1:1" x14ac:dyDescent="0.35">
      <c r="A3838"/>
    </row>
    <row r="3839" spans="1:1" x14ac:dyDescent="0.35">
      <c r="A3839"/>
    </row>
    <row r="3840" spans="1:1" x14ac:dyDescent="0.35">
      <c r="A3840"/>
    </row>
    <row r="3841" spans="1:1" x14ac:dyDescent="0.35">
      <c r="A3841"/>
    </row>
    <row r="3842" spans="1:1" x14ac:dyDescent="0.35">
      <c r="A3842"/>
    </row>
    <row r="3843" spans="1:1" x14ac:dyDescent="0.35">
      <c r="A3843"/>
    </row>
    <row r="3844" spans="1:1" x14ac:dyDescent="0.35">
      <c r="A3844"/>
    </row>
    <row r="3845" spans="1:1" x14ac:dyDescent="0.35">
      <c r="A3845"/>
    </row>
    <row r="3846" spans="1:1" x14ac:dyDescent="0.35">
      <c r="A3846"/>
    </row>
    <row r="3847" spans="1:1" x14ac:dyDescent="0.35">
      <c r="A3847"/>
    </row>
    <row r="3848" spans="1:1" x14ac:dyDescent="0.35">
      <c r="A3848"/>
    </row>
    <row r="3849" spans="1:1" x14ac:dyDescent="0.35">
      <c r="A3849"/>
    </row>
    <row r="3850" spans="1:1" x14ac:dyDescent="0.35">
      <c r="A3850"/>
    </row>
    <row r="3851" spans="1:1" x14ac:dyDescent="0.35">
      <c r="A3851"/>
    </row>
    <row r="3852" spans="1:1" x14ac:dyDescent="0.35">
      <c r="A3852"/>
    </row>
    <row r="3853" spans="1:1" x14ac:dyDescent="0.35">
      <c r="A3853"/>
    </row>
    <row r="3854" spans="1:1" x14ac:dyDescent="0.35">
      <c r="A3854"/>
    </row>
    <row r="3855" spans="1:1" x14ac:dyDescent="0.35">
      <c r="A3855"/>
    </row>
    <row r="3856" spans="1:1" x14ac:dyDescent="0.35">
      <c r="A3856"/>
    </row>
    <row r="3857" spans="1:1" x14ac:dyDescent="0.35">
      <c r="A3857"/>
    </row>
    <row r="3858" spans="1:1" x14ac:dyDescent="0.35">
      <c r="A3858"/>
    </row>
    <row r="3859" spans="1:1" x14ac:dyDescent="0.35">
      <c r="A3859"/>
    </row>
    <row r="3860" spans="1:1" x14ac:dyDescent="0.35">
      <c r="A3860"/>
    </row>
    <row r="3861" spans="1:1" x14ac:dyDescent="0.35">
      <c r="A3861"/>
    </row>
    <row r="3862" spans="1:1" x14ac:dyDescent="0.35">
      <c r="A3862"/>
    </row>
    <row r="3863" spans="1:1" x14ac:dyDescent="0.35">
      <c r="A3863"/>
    </row>
    <row r="3864" spans="1:1" x14ac:dyDescent="0.35">
      <c r="A3864"/>
    </row>
    <row r="3865" spans="1:1" x14ac:dyDescent="0.35">
      <c r="A3865"/>
    </row>
    <row r="3866" spans="1:1" x14ac:dyDescent="0.35">
      <c r="A3866"/>
    </row>
    <row r="3867" spans="1:1" x14ac:dyDescent="0.35">
      <c r="A3867"/>
    </row>
    <row r="3868" spans="1:1" x14ac:dyDescent="0.35">
      <c r="A3868"/>
    </row>
    <row r="3869" spans="1:1" x14ac:dyDescent="0.35">
      <c r="A3869"/>
    </row>
    <row r="3870" spans="1:1" x14ac:dyDescent="0.35">
      <c r="A3870"/>
    </row>
    <row r="3871" spans="1:1" x14ac:dyDescent="0.35">
      <c r="A3871"/>
    </row>
    <row r="3872" spans="1:1" x14ac:dyDescent="0.35">
      <c r="A3872"/>
    </row>
    <row r="3873" spans="1:1" x14ac:dyDescent="0.35">
      <c r="A3873"/>
    </row>
    <row r="3874" spans="1:1" x14ac:dyDescent="0.35">
      <c r="A3874"/>
    </row>
    <row r="3875" spans="1:1" x14ac:dyDescent="0.35">
      <c r="A3875"/>
    </row>
    <row r="3876" spans="1:1" x14ac:dyDescent="0.35">
      <c r="A3876"/>
    </row>
    <row r="3877" spans="1:1" x14ac:dyDescent="0.35">
      <c r="A3877"/>
    </row>
    <row r="3878" spans="1:1" x14ac:dyDescent="0.35">
      <c r="A3878"/>
    </row>
    <row r="3879" spans="1:1" x14ac:dyDescent="0.35">
      <c r="A3879"/>
    </row>
    <row r="3880" spans="1:1" x14ac:dyDescent="0.35">
      <c r="A3880"/>
    </row>
    <row r="3881" spans="1:1" x14ac:dyDescent="0.35">
      <c r="A3881"/>
    </row>
    <row r="3882" spans="1:1" x14ac:dyDescent="0.35">
      <c r="A3882"/>
    </row>
    <row r="3883" spans="1:1" x14ac:dyDescent="0.35">
      <c r="A3883"/>
    </row>
    <row r="3884" spans="1:1" x14ac:dyDescent="0.35">
      <c r="A3884"/>
    </row>
    <row r="3885" spans="1:1" x14ac:dyDescent="0.35">
      <c r="A3885"/>
    </row>
    <row r="3886" spans="1:1" x14ac:dyDescent="0.35">
      <c r="A3886"/>
    </row>
    <row r="3887" spans="1:1" x14ac:dyDescent="0.35">
      <c r="A3887"/>
    </row>
    <row r="3888" spans="1:1" x14ac:dyDescent="0.35">
      <c r="A3888"/>
    </row>
    <row r="3889" spans="1:1" x14ac:dyDescent="0.35">
      <c r="A3889"/>
    </row>
    <row r="3890" spans="1:1" x14ac:dyDescent="0.35">
      <c r="A3890"/>
    </row>
    <row r="3891" spans="1:1" x14ac:dyDescent="0.35">
      <c r="A3891"/>
    </row>
    <row r="3892" spans="1:1" x14ac:dyDescent="0.35">
      <c r="A3892"/>
    </row>
    <row r="3893" spans="1:1" x14ac:dyDescent="0.35">
      <c r="A3893"/>
    </row>
    <row r="3894" spans="1:1" x14ac:dyDescent="0.35">
      <c r="A3894"/>
    </row>
    <row r="3895" spans="1:1" x14ac:dyDescent="0.35">
      <c r="A3895"/>
    </row>
    <row r="3896" spans="1:1" x14ac:dyDescent="0.35">
      <c r="A3896"/>
    </row>
    <row r="3897" spans="1:1" x14ac:dyDescent="0.35">
      <c r="A3897"/>
    </row>
    <row r="3898" spans="1:1" x14ac:dyDescent="0.35">
      <c r="A3898"/>
    </row>
    <row r="3899" spans="1:1" x14ac:dyDescent="0.35">
      <c r="A3899"/>
    </row>
    <row r="3900" spans="1:1" x14ac:dyDescent="0.35">
      <c r="A3900"/>
    </row>
    <row r="3901" spans="1:1" x14ac:dyDescent="0.35">
      <c r="A3901"/>
    </row>
    <row r="3902" spans="1:1" x14ac:dyDescent="0.35">
      <c r="A3902"/>
    </row>
    <row r="3903" spans="1:1" x14ac:dyDescent="0.35">
      <c r="A3903"/>
    </row>
    <row r="3904" spans="1:1" x14ac:dyDescent="0.35">
      <c r="A3904"/>
    </row>
    <row r="3905" spans="1:1" x14ac:dyDescent="0.35">
      <c r="A3905"/>
    </row>
    <row r="3906" spans="1:1" x14ac:dyDescent="0.35">
      <c r="A3906"/>
    </row>
    <row r="3907" spans="1:1" x14ac:dyDescent="0.35">
      <c r="A3907"/>
    </row>
    <row r="3908" spans="1:1" x14ac:dyDescent="0.35">
      <c r="A3908"/>
    </row>
    <row r="3909" spans="1:1" x14ac:dyDescent="0.35">
      <c r="A3909"/>
    </row>
    <row r="3910" spans="1:1" x14ac:dyDescent="0.35">
      <c r="A3910"/>
    </row>
    <row r="3911" spans="1:1" x14ac:dyDescent="0.35">
      <c r="A3911"/>
    </row>
    <row r="3912" spans="1:1" x14ac:dyDescent="0.35">
      <c r="A3912"/>
    </row>
    <row r="3913" spans="1:1" x14ac:dyDescent="0.35">
      <c r="A3913"/>
    </row>
    <row r="3914" spans="1:1" x14ac:dyDescent="0.35">
      <c r="A3914"/>
    </row>
    <row r="3915" spans="1:1" x14ac:dyDescent="0.35">
      <c r="A3915"/>
    </row>
    <row r="3916" spans="1:1" x14ac:dyDescent="0.35">
      <c r="A3916"/>
    </row>
    <row r="3917" spans="1:1" x14ac:dyDescent="0.35">
      <c r="A3917"/>
    </row>
    <row r="3918" spans="1:1" x14ac:dyDescent="0.35">
      <c r="A3918"/>
    </row>
    <row r="3919" spans="1:1" x14ac:dyDescent="0.35">
      <c r="A3919"/>
    </row>
    <row r="3920" spans="1:1" x14ac:dyDescent="0.35">
      <c r="A3920"/>
    </row>
    <row r="3921" spans="1:1" x14ac:dyDescent="0.35">
      <c r="A3921"/>
    </row>
    <row r="3922" spans="1:1" x14ac:dyDescent="0.35">
      <c r="A3922"/>
    </row>
    <row r="3923" spans="1:1" x14ac:dyDescent="0.35">
      <c r="A3923"/>
    </row>
    <row r="3924" spans="1:1" x14ac:dyDescent="0.35">
      <c r="A3924"/>
    </row>
    <row r="3925" spans="1:1" x14ac:dyDescent="0.35">
      <c r="A3925"/>
    </row>
    <row r="3926" spans="1:1" x14ac:dyDescent="0.35">
      <c r="A3926"/>
    </row>
    <row r="3927" spans="1:1" x14ac:dyDescent="0.35">
      <c r="A3927"/>
    </row>
    <row r="3928" spans="1:1" x14ac:dyDescent="0.35">
      <c r="A3928"/>
    </row>
    <row r="3929" spans="1:1" x14ac:dyDescent="0.35">
      <c r="A3929"/>
    </row>
    <row r="3930" spans="1:1" x14ac:dyDescent="0.35">
      <c r="A3930"/>
    </row>
    <row r="3931" spans="1:1" x14ac:dyDescent="0.35">
      <c r="A3931"/>
    </row>
    <row r="3932" spans="1:1" x14ac:dyDescent="0.35">
      <c r="A3932"/>
    </row>
    <row r="3933" spans="1:1" x14ac:dyDescent="0.35">
      <c r="A3933"/>
    </row>
    <row r="3934" spans="1:1" x14ac:dyDescent="0.35">
      <c r="A3934"/>
    </row>
    <row r="3935" spans="1:1" x14ac:dyDescent="0.35">
      <c r="A3935"/>
    </row>
    <row r="3936" spans="1:1" x14ac:dyDescent="0.35">
      <c r="A3936"/>
    </row>
    <row r="3937" spans="1:1" x14ac:dyDescent="0.35">
      <c r="A3937"/>
    </row>
    <row r="3938" spans="1:1" x14ac:dyDescent="0.35">
      <c r="A3938"/>
    </row>
    <row r="3939" spans="1:1" x14ac:dyDescent="0.35">
      <c r="A3939"/>
    </row>
    <row r="3940" spans="1:1" x14ac:dyDescent="0.35">
      <c r="A3940"/>
    </row>
    <row r="3941" spans="1:1" x14ac:dyDescent="0.35">
      <c r="A3941"/>
    </row>
    <row r="3942" spans="1:1" x14ac:dyDescent="0.35">
      <c r="A3942"/>
    </row>
    <row r="3943" spans="1:1" x14ac:dyDescent="0.35">
      <c r="A3943"/>
    </row>
    <row r="3944" spans="1:1" x14ac:dyDescent="0.35">
      <c r="A3944"/>
    </row>
    <row r="3945" spans="1:1" x14ac:dyDescent="0.35">
      <c r="A3945"/>
    </row>
    <row r="3946" spans="1:1" x14ac:dyDescent="0.35">
      <c r="A3946"/>
    </row>
    <row r="3947" spans="1:1" x14ac:dyDescent="0.35">
      <c r="A3947"/>
    </row>
    <row r="3948" spans="1:1" x14ac:dyDescent="0.35">
      <c r="A3948"/>
    </row>
    <row r="3949" spans="1:1" x14ac:dyDescent="0.35">
      <c r="A3949"/>
    </row>
    <row r="3950" spans="1:1" x14ac:dyDescent="0.35">
      <c r="A3950"/>
    </row>
    <row r="3951" spans="1:1" x14ac:dyDescent="0.35">
      <c r="A3951"/>
    </row>
    <row r="3952" spans="1:1" x14ac:dyDescent="0.35">
      <c r="A3952"/>
    </row>
    <row r="3953" spans="1:1" x14ac:dyDescent="0.35">
      <c r="A3953"/>
    </row>
    <row r="3954" spans="1:1" x14ac:dyDescent="0.35">
      <c r="A3954"/>
    </row>
    <row r="3955" spans="1:1" x14ac:dyDescent="0.35">
      <c r="A3955"/>
    </row>
    <row r="3956" spans="1:1" x14ac:dyDescent="0.35">
      <c r="A3956"/>
    </row>
    <row r="3957" spans="1:1" x14ac:dyDescent="0.35">
      <c r="A3957"/>
    </row>
    <row r="3958" spans="1:1" x14ac:dyDescent="0.35">
      <c r="A3958"/>
    </row>
    <row r="3959" spans="1:1" x14ac:dyDescent="0.35">
      <c r="A3959"/>
    </row>
    <row r="3960" spans="1:1" x14ac:dyDescent="0.35">
      <c r="A3960"/>
    </row>
    <row r="3961" spans="1:1" x14ac:dyDescent="0.35">
      <c r="A3961"/>
    </row>
    <row r="3962" spans="1:1" x14ac:dyDescent="0.35">
      <c r="A3962"/>
    </row>
    <row r="3963" spans="1:1" x14ac:dyDescent="0.35">
      <c r="A3963"/>
    </row>
    <row r="3964" spans="1:1" x14ac:dyDescent="0.35">
      <c r="A3964"/>
    </row>
    <row r="3965" spans="1:1" x14ac:dyDescent="0.35">
      <c r="A3965"/>
    </row>
    <row r="3966" spans="1:1" x14ac:dyDescent="0.35">
      <c r="A3966"/>
    </row>
    <row r="3967" spans="1:1" x14ac:dyDescent="0.35">
      <c r="A3967"/>
    </row>
    <row r="3968" spans="1:1" x14ac:dyDescent="0.35">
      <c r="A3968"/>
    </row>
    <row r="3969" spans="1:1" x14ac:dyDescent="0.35">
      <c r="A3969"/>
    </row>
    <row r="3970" spans="1:1" x14ac:dyDescent="0.35">
      <c r="A3970"/>
    </row>
    <row r="3971" spans="1:1" x14ac:dyDescent="0.35">
      <c r="A3971"/>
    </row>
    <row r="3972" spans="1:1" x14ac:dyDescent="0.35">
      <c r="A3972"/>
    </row>
    <row r="3973" spans="1:1" x14ac:dyDescent="0.35">
      <c r="A3973"/>
    </row>
    <row r="3974" spans="1:1" x14ac:dyDescent="0.35">
      <c r="A3974"/>
    </row>
    <row r="3975" spans="1:1" x14ac:dyDescent="0.35">
      <c r="A3975"/>
    </row>
    <row r="3976" spans="1:1" x14ac:dyDescent="0.35">
      <c r="A3976"/>
    </row>
    <row r="3977" spans="1:1" x14ac:dyDescent="0.35">
      <c r="A3977"/>
    </row>
    <row r="3978" spans="1:1" x14ac:dyDescent="0.35">
      <c r="A3978"/>
    </row>
    <row r="3979" spans="1:1" x14ac:dyDescent="0.35">
      <c r="A3979"/>
    </row>
    <row r="3980" spans="1:1" x14ac:dyDescent="0.35">
      <c r="A3980"/>
    </row>
    <row r="3981" spans="1:1" x14ac:dyDescent="0.35">
      <c r="A3981"/>
    </row>
    <row r="3982" spans="1:1" x14ac:dyDescent="0.35">
      <c r="A3982"/>
    </row>
    <row r="3983" spans="1:1" x14ac:dyDescent="0.35">
      <c r="A3983"/>
    </row>
    <row r="3984" spans="1:1" x14ac:dyDescent="0.35">
      <c r="A3984"/>
    </row>
    <row r="3985" spans="1:1" x14ac:dyDescent="0.35">
      <c r="A3985"/>
    </row>
    <row r="3986" spans="1:1" x14ac:dyDescent="0.35">
      <c r="A3986"/>
    </row>
    <row r="3987" spans="1:1" x14ac:dyDescent="0.35">
      <c r="A3987"/>
    </row>
    <row r="3988" spans="1:1" x14ac:dyDescent="0.35">
      <c r="A3988"/>
    </row>
    <row r="3989" spans="1:1" x14ac:dyDescent="0.35">
      <c r="A3989"/>
    </row>
    <row r="3990" spans="1:1" x14ac:dyDescent="0.35">
      <c r="A3990"/>
    </row>
    <row r="3991" spans="1:1" x14ac:dyDescent="0.35">
      <c r="A3991"/>
    </row>
    <row r="3992" spans="1:1" x14ac:dyDescent="0.35">
      <c r="A3992"/>
    </row>
    <row r="3993" spans="1:1" x14ac:dyDescent="0.35">
      <c r="A3993"/>
    </row>
    <row r="3994" spans="1:1" x14ac:dyDescent="0.35">
      <c r="A3994"/>
    </row>
    <row r="3995" spans="1:1" x14ac:dyDescent="0.35">
      <c r="A3995"/>
    </row>
    <row r="3996" spans="1:1" x14ac:dyDescent="0.35">
      <c r="A3996"/>
    </row>
    <row r="3997" spans="1:1" x14ac:dyDescent="0.35">
      <c r="A3997"/>
    </row>
    <row r="3998" spans="1:1" x14ac:dyDescent="0.35">
      <c r="A3998"/>
    </row>
    <row r="3999" spans="1:1" x14ac:dyDescent="0.35">
      <c r="A3999"/>
    </row>
    <row r="4000" spans="1:1" x14ac:dyDescent="0.35">
      <c r="A4000"/>
    </row>
    <row r="4001" spans="1:1" x14ac:dyDescent="0.35">
      <c r="A4001"/>
    </row>
    <row r="4002" spans="1:1" x14ac:dyDescent="0.35">
      <c r="A4002"/>
    </row>
    <row r="4003" spans="1:1" x14ac:dyDescent="0.35">
      <c r="A4003"/>
    </row>
    <row r="4004" spans="1:1" x14ac:dyDescent="0.35">
      <c r="A4004"/>
    </row>
    <row r="4005" spans="1:1" x14ac:dyDescent="0.35">
      <c r="A4005"/>
    </row>
    <row r="4006" spans="1:1" x14ac:dyDescent="0.35">
      <c r="A4006"/>
    </row>
    <row r="4007" spans="1:1" x14ac:dyDescent="0.35">
      <c r="A4007"/>
    </row>
    <row r="4008" spans="1:1" x14ac:dyDescent="0.35">
      <c r="A4008"/>
    </row>
    <row r="4009" spans="1:1" x14ac:dyDescent="0.35">
      <c r="A4009"/>
    </row>
    <row r="4010" spans="1:1" x14ac:dyDescent="0.35">
      <c r="A4010"/>
    </row>
    <row r="4011" spans="1:1" x14ac:dyDescent="0.35">
      <c r="A4011"/>
    </row>
    <row r="4012" spans="1:1" x14ac:dyDescent="0.35">
      <c r="A4012"/>
    </row>
    <row r="4013" spans="1:1" x14ac:dyDescent="0.35">
      <c r="A4013"/>
    </row>
    <row r="4014" spans="1:1" x14ac:dyDescent="0.35">
      <c r="A4014"/>
    </row>
    <row r="4015" spans="1:1" x14ac:dyDescent="0.35">
      <c r="A4015"/>
    </row>
    <row r="4016" spans="1:1" x14ac:dyDescent="0.35">
      <c r="A4016"/>
    </row>
    <row r="4017" spans="1:1" x14ac:dyDescent="0.35">
      <c r="A4017"/>
    </row>
    <row r="4018" spans="1:1" x14ac:dyDescent="0.35">
      <c r="A4018"/>
    </row>
    <row r="4019" spans="1:1" x14ac:dyDescent="0.35">
      <c r="A4019"/>
    </row>
    <row r="4020" spans="1:1" x14ac:dyDescent="0.35">
      <c r="A4020"/>
    </row>
    <row r="4021" spans="1:1" x14ac:dyDescent="0.35">
      <c r="A4021"/>
    </row>
    <row r="4022" spans="1:1" x14ac:dyDescent="0.35">
      <c r="A4022"/>
    </row>
    <row r="4023" spans="1:1" x14ac:dyDescent="0.35">
      <c r="A4023"/>
    </row>
    <row r="4024" spans="1:1" x14ac:dyDescent="0.35">
      <c r="A4024"/>
    </row>
    <row r="4025" spans="1:1" x14ac:dyDescent="0.35">
      <c r="A4025"/>
    </row>
    <row r="4026" spans="1:1" x14ac:dyDescent="0.35">
      <c r="A4026"/>
    </row>
    <row r="4027" spans="1:1" x14ac:dyDescent="0.35">
      <c r="A4027"/>
    </row>
    <row r="4028" spans="1:1" x14ac:dyDescent="0.35">
      <c r="A4028"/>
    </row>
    <row r="4029" spans="1:1" x14ac:dyDescent="0.35">
      <c r="A4029"/>
    </row>
    <row r="4030" spans="1:1" x14ac:dyDescent="0.35">
      <c r="A4030"/>
    </row>
    <row r="4031" spans="1:1" x14ac:dyDescent="0.35">
      <c r="A4031"/>
    </row>
    <row r="4032" spans="1:1" x14ac:dyDescent="0.35">
      <c r="A4032"/>
    </row>
    <row r="4033" spans="1:1" x14ac:dyDescent="0.35">
      <c r="A4033"/>
    </row>
    <row r="4034" spans="1:1" x14ac:dyDescent="0.35">
      <c r="A4034"/>
    </row>
    <row r="4035" spans="1:1" x14ac:dyDescent="0.35">
      <c r="A4035"/>
    </row>
    <row r="4036" spans="1:1" x14ac:dyDescent="0.35">
      <c r="A4036"/>
    </row>
    <row r="4037" spans="1:1" x14ac:dyDescent="0.35">
      <c r="A4037"/>
    </row>
    <row r="4038" spans="1:1" x14ac:dyDescent="0.35">
      <c r="A4038"/>
    </row>
    <row r="4039" spans="1:1" x14ac:dyDescent="0.35">
      <c r="A4039"/>
    </row>
    <row r="4040" spans="1:1" x14ac:dyDescent="0.35">
      <c r="A4040"/>
    </row>
    <row r="4041" spans="1:1" x14ac:dyDescent="0.35">
      <c r="A4041"/>
    </row>
    <row r="4042" spans="1:1" x14ac:dyDescent="0.35">
      <c r="A4042"/>
    </row>
    <row r="4043" spans="1:1" x14ac:dyDescent="0.35">
      <c r="A4043"/>
    </row>
    <row r="4044" spans="1:1" x14ac:dyDescent="0.35">
      <c r="A4044"/>
    </row>
    <row r="4045" spans="1:1" x14ac:dyDescent="0.35">
      <c r="A4045"/>
    </row>
    <row r="4046" spans="1:1" x14ac:dyDescent="0.35">
      <c r="A4046"/>
    </row>
    <row r="4047" spans="1:1" x14ac:dyDescent="0.35">
      <c r="A4047"/>
    </row>
    <row r="4048" spans="1:1" x14ac:dyDescent="0.35">
      <c r="A4048"/>
    </row>
    <row r="4049" spans="1:1" x14ac:dyDescent="0.35">
      <c r="A4049"/>
    </row>
    <row r="4050" spans="1:1" x14ac:dyDescent="0.35">
      <c r="A4050"/>
    </row>
    <row r="4051" spans="1:1" x14ac:dyDescent="0.35">
      <c r="A4051"/>
    </row>
    <row r="4052" spans="1:1" x14ac:dyDescent="0.35">
      <c r="A4052"/>
    </row>
    <row r="4053" spans="1:1" x14ac:dyDescent="0.35">
      <c r="A4053"/>
    </row>
    <row r="4054" spans="1:1" x14ac:dyDescent="0.35">
      <c r="A4054"/>
    </row>
    <row r="4055" spans="1:1" x14ac:dyDescent="0.35">
      <c r="A4055"/>
    </row>
    <row r="4056" spans="1:1" x14ac:dyDescent="0.35">
      <c r="A4056"/>
    </row>
    <row r="4057" spans="1:1" x14ac:dyDescent="0.35">
      <c r="A4057"/>
    </row>
    <row r="4058" spans="1:1" x14ac:dyDescent="0.35">
      <c r="A4058"/>
    </row>
    <row r="4059" spans="1:1" x14ac:dyDescent="0.35">
      <c r="A4059"/>
    </row>
    <row r="4060" spans="1:1" x14ac:dyDescent="0.35">
      <c r="A4060"/>
    </row>
    <row r="4061" spans="1:1" x14ac:dyDescent="0.35">
      <c r="A4061"/>
    </row>
    <row r="4062" spans="1:1" x14ac:dyDescent="0.35">
      <c r="A4062"/>
    </row>
    <row r="4063" spans="1:1" x14ac:dyDescent="0.35">
      <c r="A4063"/>
    </row>
    <row r="4064" spans="1:1" x14ac:dyDescent="0.35">
      <c r="A4064"/>
    </row>
    <row r="4065" spans="1:1" x14ac:dyDescent="0.35">
      <c r="A4065"/>
    </row>
    <row r="4066" spans="1:1" x14ac:dyDescent="0.35">
      <c r="A4066"/>
    </row>
    <row r="4067" spans="1:1" x14ac:dyDescent="0.35">
      <c r="A4067"/>
    </row>
    <row r="4068" spans="1:1" x14ac:dyDescent="0.35">
      <c r="A4068"/>
    </row>
    <row r="4069" spans="1:1" x14ac:dyDescent="0.35">
      <c r="A4069"/>
    </row>
    <row r="4070" spans="1:1" x14ac:dyDescent="0.35">
      <c r="A4070"/>
    </row>
    <row r="4071" spans="1:1" x14ac:dyDescent="0.35">
      <c r="A4071"/>
    </row>
    <row r="4072" spans="1:1" x14ac:dyDescent="0.35">
      <c r="A4072"/>
    </row>
    <row r="4073" spans="1:1" x14ac:dyDescent="0.35">
      <c r="A4073"/>
    </row>
    <row r="4074" spans="1:1" x14ac:dyDescent="0.35">
      <c r="A4074"/>
    </row>
    <row r="4075" spans="1:1" x14ac:dyDescent="0.35">
      <c r="A4075"/>
    </row>
    <row r="4076" spans="1:1" x14ac:dyDescent="0.35">
      <c r="A4076"/>
    </row>
    <row r="4077" spans="1:1" x14ac:dyDescent="0.35">
      <c r="A4077"/>
    </row>
    <row r="4078" spans="1:1" x14ac:dyDescent="0.35">
      <c r="A4078"/>
    </row>
    <row r="4079" spans="1:1" x14ac:dyDescent="0.35">
      <c r="A4079"/>
    </row>
    <row r="4080" spans="1:1" x14ac:dyDescent="0.35">
      <c r="A4080"/>
    </row>
    <row r="4081" spans="1:1" x14ac:dyDescent="0.35">
      <c r="A4081"/>
    </row>
    <row r="4082" spans="1:1" x14ac:dyDescent="0.35">
      <c r="A4082"/>
    </row>
    <row r="4083" spans="1:1" x14ac:dyDescent="0.35">
      <c r="A4083"/>
    </row>
    <row r="4084" spans="1:1" x14ac:dyDescent="0.35">
      <c r="A4084"/>
    </row>
    <row r="4085" spans="1:1" x14ac:dyDescent="0.35">
      <c r="A4085"/>
    </row>
    <row r="4086" spans="1:1" x14ac:dyDescent="0.35">
      <c r="A4086"/>
    </row>
    <row r="4087" spans="1:1" x14ac:dyDescent="0.35">
      <c r="A4087"/>
    </row>
    <row r="4088" spans="1:1" x14ac:dyDescent="0.35">
      <c r="A4088"/>
    </row>
    <row r="4089" spans="1:1" x14ac:dyDescent="0.35">
      <c r="A4089"/>
    </row>
    <row r="4090" spans="1:1" x14ac:dyDescent="0.35">
      <c r="A4090"/>
    </row>
    <row r="4091" spans="1:1" x14ac:dyDescent="0.35">
      <c r="A4091"/>
    </row>
    <row r="4092" spans="1:1" x14ac:dyDescent="0.35">
      <c r="A4092"/>
    </row>
    <row r="4093" spans="1:1" x14ac:dyDescent="0.35">
      <c r="A4093"/>
    </row>
    <row r="4094" spans="1:1" x14ac:dyDescent="0.35">
      <c r="A4094"/>
    </row>
    <row r="4095" spans="1:1" x14ac:dyDescent="0.35">
      <c r="A4095"/>
    </row>
    <row r="4096" spans="1:1" x14ac:dyDescent="0.35">
      <c r="A4096"/>
    </row>
    <row r="4097" spans="1:1" x14ac:dyDescent="0.35">
      <c r="A4097"/>
    </row>
    <row r="4098" spans="1:1" x14ac:dyDescent="0.35">
      <c r="A4098"/>
    </row>
    <row r="4099" spans="1:1" x14ac:dyDescent="0.35">
      <c r="A4099"/>
    </row>
    <row r="4100" spans="1:1" x14ac:dyDescent="0.35">
      <c r="A4100"/>
    </row>
    <row r="4101" spans="1:1" x14ac:dyDescent="0.35">
      <c r="A4101"/>
    </row>
    <row r="4102" spans="1:1" x14ac:dyDescent="0.35">
      <c r="A4102"/>
    </row>
    <row r="4103" spans="1:1" x14ac:dyDescent="0.35">
      <c r="A4103"/>
    </row>
    <row r="4104" spans="1:1" x14ac:dyDescent="0.35">
      <c r="A4104"/>
    </row>
    <row r="4105" spans="1:1" x14ac:dyDescent="0.35">
      <c r="A4105"/>
    </row>
    <row r="4106" spans="1:1" x14ac:dyDescent="0.35">
      <c r="A4106"/>
    </row>
    <row r="4107" spans="1:1" x14ac:dyDescent="0.35">
      <c r="A4107"/>
    </row>
    <row r="4108" spans="1:1" x14ac:dyDescent="0.35">
      <c r="A4108"/>
    </row>
    <row r="4109" spans="1:1" x14ac:dyDescent="0.35">
      <c r="A4109"/>
    </row>
    <row r="4110" spans="1:1" x14ac:dyDescent="0.35">
      <c r="A4110"/>
    </row>
    <row r="4111" spans="1:1" x14ac:dyDescent="0.35">
      <c r="A4111"/>
    </row>
    <row r="4112" spans="1:1" x14ac:dyDescent="0.35">
      <c r="A4112"/>
    </row>
    <row r="4113" spans="1:1" x14ac:dyDescent="0.35">
      <c r="A4113"/>
    </row>
    <row r="4114" spans="1:1" x14ac:dyDescent="0.35">
      <c r="A4114"/>
    </row>
    <row r="4115" spans="1:1" x14ac:dyDescent="0.35">
      <c r="A4115"/>
    </row>
    <row r="4116" spans="1:1" x14ac:dyDescent="0.35">
      <c r="A4116"/>
    </row>
    <row r="4117" spans="1:1" x14ac:dyDescent="0.35">
      <c r="A4117"/>
    </row>
    <row r="4118" spans="1:1" x14ac:dyDescent="0.35">
      <c r="A4118"/>
    </row>
    <row r="4119" spans="1:1" x14ac:dyDescent="0.35">
      <c r="A4119"/>
    </row>
    <row r="4120" spans="1:1" x14ac:dyDescent="0.35">
      <c r="A4120"/>
    </row>
    <row r="4121" spans="1:1" x14ac:dyDescent="0.35">
      <c r="A4121"/>
    </row>
    <row r="4122" spans="1:1" x14ac:dyDescent="0.35">
      <c r="A4122"/>
    </row>
    <row r="4123" spans="1:1" x14ac:dyDescent="0.35">
      <c r="A4123"/>
    </row>
    <row r="4124" spans="1:1" x14ac:dyDescent="0.35">
      <c r="A4124"/>
    </row>
    <row r="4125" spans="1:1" x14ac:dyDescent="0.35">
      <c r="A4125"/>
    </row>
    <row r="4126" spans="1:1" x14ac:dyDescent="0.35">
      <c r="A4126"/>
    </row>
    <row r="4127" spans="1:1" x14ac:dyDescent="0.35">
      <c r="A4127"/>
    </row>
    <row r="4128" spans="1:1" x14ac:dyDescent="0.35">
      <c r="A4128"/>
    </row>
    <row r="4129" spans="1:1" x14ac:dyDescent="0.35">
      <c r="A4129"/>
    </row>
    <row r="4130" spans="1:1" x14ac:dyDescent="0.35">
      <c r="A4130"/>
    </row>
    <row r="4131" spans="1:1" x14ac:dyDescent="0.35">
      <c r="A4131"/>
    </row>
    <row r="4132" spans="1:1" x14ac:dyDescent="0.35">
      <c r="A4132"/>
    </row>
    <row r="4133" spans="1:1" x14ac:dyDescent="0.35">
      <c r="A4133"/>
    </row>
    <row r="4134" spans="1:1" x14ac:dyDescent="0.35">
      <c r="A4134"/>
    </row>
    <row r="4135" spans="1:1" x14ac:dyDescent="0.35">
      <c r="A4135"/>
    </row>
    <row r="4136" spans="1:1" x14ac:dyDescent="0.35">
      <c r="A4136"/>
    </row>
    <row r="4137" spans="1:1" x14ac:dyDescent="0.35">
      <c r="A4137"/>
    </row>
    <row r="4138" spans="1:1" x14ac:dyDescent="0.35">
      <c r="A4138"/>
    </row>
    <row r="4139" spans="1:1" x14ac:dyDescent="0.35">
      <c r="A4139"/>
    </row>
    <row r="4140" spans="1:1" x14ac:dyDescent="0.35">
      <c r="A4140"/>
    </row>
    <row r="4141" spans="1:1" x14ac:dyDescent="0.35">
      <c r="A4141"/>
    </row>
    <row r="4142" spans="1:1" x14ac:dyDescent="0.35">
      <c r="A4142"/>
    </row>
    <row r="4143" spans="1:1" x14ac:dyDescent="0.35">
      <c r="A4143"/>
    </row>
    <row r="4144" spans="1:1" x14ac:dyDescent="0.35">
      <c r="A4144"/>
    </row>
    <row r="4145" spans="1:1" x14ac:dyDescent="0.35">
      <c r="A4145"/>
    </row>
    <row r="4146" spans="1:1" x14ac:dyDescent="0.35">
      <c r="A4146"/>
    </row>
    <row r="4147" spans="1:1" x14ac:dyDescent="0.35">
      <c r="A4147"/>
    </row>
    <row r="4148" spans="1:1" x14ac:dyDescent="0.35">
      <c r="A4148"/>
    </row>
    <row r="4149" spans="1:1" x14ac:dyDescent="0.35">
      <c r="A4149"/>
    </row>
    <row r="4150" spans="1:1" x14ac:dyDescent="0.35">
      <c r="A4150"/>
    </row>
    <row r="4151" spans="1:1" x14ac:dyDescent="0.35">
      <c r="A4151"/>
    </row>
    <row r="4152" spans="1:1" x14ac:dyDescent="0.35">
      <c r="A4152"/>
    </row>
    <row r="4153" spans="1:1" x14ac:dyDescent="0.35">
      <c r="A4153"/>
    </row>
    <row r="4154" spans="1:1" x14ac:dyDescent="0.35">
      <c r="A4154"/>
    </row>
    <row r="4155" spans="1:1" x14ac:dyDescent="0.35">
      <c r="A4155"/>
    </row>
    <row r="4156" spans="1:1" x14ac:dyDescent="0.35">
      <c r="A4156"/>
    </row>
    <row r="4157" spans="1:1" x14ac:dyDescent="0.35">
      <c r="A4157"/>
    </row>
    <row r="4158" spans="1:1" x14ac:dyDescent="0.35">
      <c r="A4158"/>
    </row>
    <row r="4159" spans="1:1" x14ac:dyDescent="0.35">
      <c r="A4159"/>
    </row>
    <row r="4160" spans="1:1" x14ac:dyDescent="0.35">
      <c r="A4160"/>
    </row>
    <row r="4161" spans="1:1" x14ac:dyDescent="0.35">
      <c r="A4161"/>
    </row>
    <row r="4162" spans="1:1" x14ac:dyDescent="0.35">
      <c r="A4162"/>
    </row>
    <row r="4163" spans="1:1" x14ac:dyDescent="0.35">
      <c r="A4163"/>
    </row>
    <row r="4164" spans="1:1" x14ac:dyDescent="0.35">
      <c r="A4164"/>
    </row>
    <row r="4165" spans="1:1" x14ac:dyDescent="0.35">
      <c r="A4165"/>
    </row>
    <row r="4166" spans="1:1" x14ac:dyDescent="0.35">
      <c r="A4166"/>
    </row>
    <row r="4167" spans="1:1" x14ac:dyDescent="0.35">
      <c r="A4167"/>
    </row>
    <row r="4168" spans="1:1" x14ac:dyDescent="0.35">
      <c r="A4168"/>
    </row>
    <row r="4169" spans="1:1" x14ac:dyDescent="0.35">
      <c r="A4169"/>
    </row>
    <row r="4170" spans="1:1" x14ac:dyDescent="0.35">
      <c r="A4170"/>
    </row>
    <row r="4171" spans="1:1" x14ac:dyDescent="0.35">
      <c r="A4171"/>
    </row>
    <row r="4172" spans="1:1" x14ac:dyDescent="0.35">
      <c r="A4172"/>
    </row>
    <row r="4173" spans="1:1" x14ac:dyDescent="0.35">
      <c r="A4173"/>
    </row>
    <row r="4174" spans="1:1" x14ac:dyDescent="0.35">
      <c r="A4174"/>
    </row>
    <row r="4175" spans="1:1" x14ac:dyDescent="0.35">
      <c r="A4175"/>
    </row>
    <row r="4176" spans="1:1" x14ac:dyDescent="0.35">
      <c r="A4176"/>
    </row>
    <row r="4177" spans="1:1" x14ac:dyDescent="0.35">
      <c r="A4177"/>
    </row>
    <row r="4178" spans="1:1" x14ac:dyDescent="0.35">
      <c r="A4178"/>
    </row>
    <row r="4179" spans="1:1" x14ac:dyDescent="0.35">
      <c r="A4179"/>
    </row>
    <row r="4180" spans="1:1" x14ac:dyDescent="0.35">
      <c r="A4180"/>
    </row>
    <row r="4181" spans="1:1" x14ac:dyDescent="0.35">
      <c r="A4181"/>
    </row>
    <row r="4182" spans="1:1" x14ac:dyDescent="0.35">
      <c r="A4182"/>
    </row>
    <row r="4183" spans="1:1" x14ac:dyDescent="0.35">
      <c r="A4183"/>
    </row>
    <row r="4184" spans="1:1" x14ac:dyDescent="0.35">
      <c r="A4184"/>
    </row>
    <row r="4185" spans="1:1" x14ac:dyDescent="0.35">
      <c r="A4185"/>
    </row>
    <row r="4186" spans="1:1" x14ac:dyDescent="0.35">
      <c r="A4186"/>
    </row>
    <row r="4187" spans="1:1" x14ac:dyDescent="0.35">
      <c r="A4187"/>
    </row>
    <row r="4188" spans="1:1" x14ac:dyDescent="0.35">
      <c r="A4188"/>
    </row>
    <row r="4189" spans="1:1" x14ac:dyDescent="0.35">
      <c r="A4189"/>
    </row>
    <row r="4190" spans="1:1" x14ac:dyDescent="0.35">
      <c r="A4190"/>
    </row>
    <row r="4191" spans="1:1" x14ac:dyDescent="0.35">
      <c r="A4191"/>
    </row>
    <row r="4192" spans="1:1" x14ac:dyDescent="0.35">
      <c r="A4192"/>
    </row>
    <row r="4193" spans="1:1" x14ac:dyDescent="0.35">
      <c r="A4193"/>
    </row>
    <row r="4194" spans="1:1" x14ac:dyDescent="0.35">
      <c r="A4194"/>
    </row>
    <row r="4195" spans="1:1" x14ac:dyDescent="0.35">
      <c r="A4195"/>
    </row>
    <row r="4196" spans="1:1" x14ac:dyDescent="0.35">
      <c r="A4196"/>
    </row>
    <row r="4197" spans="1:1" x14ac:dyDescent="0.35">
      <c r="A4197"/>
    </row>
    <row r="4198" spans="1:1" x14ac:dyDescent="0.35">
      <c r="A4198"/>
    </row>
    <row r="4199" spans="1:1" x14ac:dyDescent="0.35">
      <c r="A4199"/>
    </row>
    <row r="4200" spans="1:1" x14ac:dyDescent="0.35">
      <c r="A4200"/>
    </row>
    <row r="4201" spans="1:1" x14ac:dyDescent="0.35">
      <c r="A4201"/>
    </row>
    <row r="4202" spans="1:1" x14ac:dyDescent="0.35">
      <c r="A4202"/>
    </row>
    <row r="4203" spans="1:1" x14ac:dyDescent="0.35">
      <c r="A4203"/>
    </row>
    <row r="4204" spans="1:1" x14ac:dyDescent="0.35">
      <c r="A4204"/>
    </row>
    <row r="4205" spans="1:1" x14ac:dyDescent="0.35">
      <c r="A4205"/>
    </row>
    <row r="4206" spans="1:1" x14ac:dyDescent="0.35">
      <c r="A4206"/>
    </row>
    <row r="4207" spans="1:1" x14ac:dyDescent="0.35">
      <c r="A4207"/>
    </row>
    <row r="4208" spans="1:1" x14ac:dyDescent="0.35">
      <c r="A4208"/>
    </row>
    <row r="4209" spans="1:1" x14ac:dyDescent="0.35">
      <c r="A4209"/>
    </row>
    <row r="4210" spans="1:1" x14ac:dyDescent="0.35">
      <c r="A4210"/>
    </row>
    <row r="4211" spans="1:1" x14ac:dyDescent="0.35">
      <c r="A4211"/>
    </row>
    <row r="4212" spans="1:1" x14ac:dyDescent="0.35">
      <c r="A4212"/>
    </row>
    <row r="4213" spans="1:1" x14ac:dyDescent="0.35">
      <c r="A4213"/>
    </row>
    <row r="4214" spans="1:1" x14ac:dyDescent="0.35">
      <c r="A4214"/>
    </row>
    <row r="4215" spans="1:1" x14ac:dyDescent="0.35">
      <c r="A4215"/>
    </row>
    <row r="4216" spans="1:1" x14ac:dyDescent="0.35">
      <c r="A4216"/>
    </row>
    <row r="4217" spans="1:1" x14ac:dyDescent="0.35">
      <c r="A4217"/>
    </row>
    <row r="4218" spans="1:1" x14ac:dyDescent="0.35">
      <c r="A4218"/>
    </row>
    <row r="4219" spans="1:1" x14ac:dyDescent="0.35">
      <c r="A4219"/>
    </row>
    <row r="4220" spans="1:1" x14ac:dyDescent="0.35">
      <c r="A4220"/>
    </row>
    <row r="4221" spans="1:1" x14ac:dyDescent="0.35">
      <c r="A4221"/>
    </row>
    <row r="4222" spans="1:1" x14ac:dyDescent="0.35">
      <c r="A4222"/>
    </row>
    <row r="4223" spans="1:1" x14ac:dyDescent="0.35">
      <c r="A4223"/>
    </row>
    <row r="4224" spans="1:1" x14ac:dyDescent="0.35">
      <c r="A4224"/>
    </row>
    <row r="4225" spans="1:1" x14ac:dyDescent="0.35">
      <c r="A4225"/>
    </row>
    <row r="4226" spans="1:1" x14ac:dyDescent="0.35">
      <c r="A4226"/>
    </row>
    <row r="4227" spans="1:1" x14ac:dyDescent="0.35">
      <c r="A4227"/>
    </row>
    <row r="4228" spans="1:1" x14ac:dyDescent="0.35">
      <c r="A4228"/>
    </row>
    <row r="4229" spans="1:1" x14ac:dyDescent="0.35">
      <c r="A4229"/>
    </row>
    <row r="4230" spans="1:1" x14ac:dyDescent="0.35">
      <c r="A4230"/>
    </row>
    <row r="4231" spans="1:1" x14ac:dyDescent="0.35">
      <c r="A4231"/>
    </row>
    <row r="4232" spans="1:1" x14ac:dyDescent="0.35">
      <c r="A4232"/>
    </row>
    <row r="4233" spans="1:1" x14ac:dyDescent="0.35">
      <c r="A4233"/>
    </row>
    <row r="4234" spans="1:1" x14ac:dyDescent="0.35">
      <c r="A4234"/>
    </row>
    <row r="4235" spans="1:1" x14ac:dyDescent="0.35">
      <c r="A4235"/>
    </row>
    <row r="4236" spans="1:1" x14ac:dyDescent="0.35">
      <c r="A4236"/>
    </row>
    <row r="4237" spans="1:1" x14ac:dyDescent="0.35">
      <c r="A4237"/>
    </row>
    <row r="4238" spans="1:1" x14ac:dyDescent="0.35">
      <c r="A4238"/>
    </row>
    <row r="4239" spans="1:1" x14ac:dyDescent="0.35">
      <c r="A4239"/>
    </row>
    <row r="4240" spans="1:1" x14ac:dyDescent="0.35">
      <c r="A4240"/>
    </row>
    <row r="4241" spans="1:1" x14ac:dyDescent="0.35">
      <c r="A4241"/>
    </row>
    <row r="4242" spans="1:1" x14ac:dyDescent="0.35">
      <c r="A4242"/>
    </row>
    <row r="4243" spans="1:1" x14ac:dyDescent="0.35">
      <c r="A4243"/>
    </row>
    <row r="4244" spans="1:1" x14ac:dyDescent="0.35">
      <c r="A4244"/>
    </row>
    <row r="4245" spans="1:1" x14ac:dyDescent="0.35">
      <c r="A4245"/>
    </row>
    <row r="4246" spans="1:1" x14ac:dyDescent="0.35">
      <c r="A4246"/>
    </row>
    <row r="4247" spans="1:1" x14ac:dyDescent="0.35">
      <c r="A4247"/>
    </row>
    <row r="4248" spans="1:1" x14ac:dyDescent="0.35">
      <c r="A4248"/>
    </row>
    <row r="4249" spans="1:1" x14ac:dyDescent="0.35">
      <c r="A4249"/>
    </row>
    <row r="4250" spans="1:1" x14ac:dyDescent="0.35">
      <c r="A4250"/>
    </row>
    <row r="4251" spans="1:1" x14ac:dyDescent="0.35">
      <c r="A4251"/>
    </row>
    <row r="4252" spans="1:1" x14ac:dyDescent="0.35">
      <c r="A4252"/>
    </row>
    <row r="4253" spans="1:1" x14ac:dyDescent="0.35">
      <c r="A4253"/>
    </row>
    <row r="4254" spans="1:1" x14ac:dyDescent="0.35">
      <c r="A4254"/>
    </row>
    <row r="4255" spans="1:1" x14ac:dyDescent="0.35">
      <c r="A4255"/>
    </row>
    <row r="4256" spans="1:1" x14ac:dyDescent="0.35">
      <c r="A4256"/>
    </row>
    <row r="4257" spans="1:1" x14ac:dyDescent="0.35">
      <c r="A4257"/>
    </row>
    <row r="4258" spans="1:1" x14ac:dyDescent="0.35">
      <c r="A4258"/>
    </row>
    <row r="4259" spans="1:1" x14ac:dyDescent="0.35">
      <c r="A4259"/>
    </row>
    <row r="4260" spans="1:1" x14ac:dyDescent="0.35">
      <c r="A4260"/>
    </row>
    <row r="4261" spans="1:1" x14ac:dyDescent="0.35">
      <c r="A4261"/>
    </row>
    <row r="4262" spans="1:1" x14ac:dyDescent="0.35">
      <c r="A4262"/>
    </row>
    <row r="4263" spans="1:1" x14ac:dyDescent="0.35">
      <c r="A4263"/>
    </row>
    <row r="4264" spans="1:1" x14ac:dyDescent="0.35">
      <c r="A4264"/>
    </row>
    <row r="4265" spans="1:1" x14ac:dyDescent="0.35">
      <c r="A4265"/>
    </row>
    <row r="4266" spans="1:1" x14ac:dyDescent="0.35">
      <c r="A4266"/>
    </row>
    <row r="4267" spans="1:1" x14ac:dyDescent="0.35">
      <c r="A4267"/>
    </row>
    <row r="4268" spans="1:1" x14ac:dyDescent="0.35">
      <c r="A4268"/>
    </row>
    <row r="4269" spans="1:1" x14ac:dyDescent="0.35">
      <c r="A4269"/>
    </row>
    <row r="4270" spans="1:1" x14ac:dyDescent="0.35">
      <c r="A4270"/>
    </row>
    <row r="4271" spans="1:1" x14ac:dyDescent="0.35">
      <c r="A4271"/>
    </row>
    <row r="4272" spans="1:1" x14ac:dyDescent="0.35">
      <c r="A4272"/>
    </row>
    <row r="4273" spans="1:1" x14ac:dyDescent="0.35">
      <c r="A4273"/>
    </row>
    <row r="4274" spans="1:1" x14ac:dyDescent="0.35">
      <c r="A4274"/>
    </row>
    <row r="4275" spans="1:1" x14ac:dyDescent="0.35">
      <c r="A4275"/>
    </row>
    <row r="4276" spans="1:1" x14ac:dyDescent="0.35">
      <c r="A4276"/>
    </row>
    <row r="4277" spans="1:1" x14ac:dyDescent="0.35">
      <c r="A4277"/>
    </row>
    <row r="4278" spans="1:1" x14ac:dyDescent="0.35">
      <c r="A4278"/>
    </row>
    <row r="4279" spans="1:1" x14ac:dyDescent="0.35">
      <c r="A4279"/>
    </row>
    <row r="4280" spans="1:1" x14ac:dyDescent="0.35">
      <c r="A4280"/>
    </row>
    <row r="4281" spans="1:1" x14ac:dyDescent="0.35">
      <c r="A4281"/>
    </row>
    <row r="4282" spans="1:1" x14ac:dyDescent="0.35">
      <c r="A4282"/>
    </row>
    <row r="4283" spans="1:1" x14ac:dyDescent="0.35">
      <c r="A4283"/>
    </row>
    <row r="4284" spans="1:1" x14ac:dyDescent="0.35">
      <c r="A4284"/>
    </row>
    <row r="4285" spans="1:1" x14ac:dyDescent="0.35">
      <c r="A4285"/>
    </row>
    <row r="4286" spans="1:1" x14ac:dyDescent="0.35">
      <c r="A4286"/>
    </row>
    <row r="4287" spans="1:1" x14ac:dyDescent="0.35">
      <c r="A4287"/>
    </row>
    <row r="4288" spans="1:1" x14ac:dyDescent="0.35">
      <c r="A4288"/>
    </row>
    <row r="4289" spans="1:1" x14ac:dyDescent="0.35">
      <c r="A4289"/>
    </row>
    <row r="4290" spans="1:1" x14ac:dyDescent="0.35">
      <c r="A4290"/>
    </row>
    <row r="4291" spans="1:1" x14ac:dyDescent="0.35">
      <c r="A4291"/>
    </row>
    <row r="4292" spans="1:1" x14ac:dyDescent="0.35">
      <c r="A4292"/>
    </row>
    <row r="4293" spans="1:1" x14ac:dyDescent="0.35">
      <c r="A4293"/>
    </row>
    <row r="4294" spans="1:1" x14ac:dyDescent="0.35">
      <c r="A4294"/>
    </row>
    <row r="4295" spans="1:1" x14ac:dyDescent="0.35">
      <c r="A4295"/>
    </row>
    <row r="4296" spans="1:1" x14ac:dyDescent="0.35">
      <c r="A4296"/>
    </row>
    <row r="4297" spans="1:1" x14ac:dyDescent="0.35">
      <c r="A4297"/>
    </row>
    <row r="4298" spans="1:1" x14ac:dyDescent="0.35">
      <c r="A4298"/>
    </row>
    <row r="4299" spans="1:1" x14ac:dyDescent="0.35">
      <c r="A4299"/>
    </row>
    <row r="4300" spans="1:1" x14ac:dyDescent="0.35">
      <c r="A4300"/>
    </row>
    <row r="4301" spans="1:1" x14ac:dyDescent="0.35">
      <c r="A4301"/>
    </row>
    <row r="4302" spans="1:1" x14ac:dyDescent="0.35">
      <c r="A4302"/>
    </row>
    <row r="4303" spans="1:1" x14ac:dyDescent="0.35">
      <c r="A4303"/>
    </row>
    <row r="4304" spans="1:1" x14ac:dyDescent="0.35">
      <c r="A4304"/>
    </row>
    <row r="4305" spans="1:1" x14ac:dyDescent="0.35">
      <c r="A4305"/>
    </row>
    <row r="4306" spans="1:1" x14ac:dyDescent="0.35">
      <c r="A4306"/>
    </row>
    <row r="4307" spans="1:1" x14ac:dyDescent="0.35">
      <c r="A4307"/>
    </row>
    <row r="4308" spans="1:1" x14ac:dyDescent="0.35">
      <c r="A4308"/>
    </row>
    <row r="4309" spans="1:1" x14ac:dyDescent="0.35">
      <c r="A4309"/>
    </row>
    <row r="4310" spans="1:1" x14ac:dyDescent="0.35">
      <c r="A4310"/>
    </row>
    <row r="4311" spans="1:1" x14ac:dyDescent="0.35">
      <c r="A4311"/>
    </row>
    <row r="4312" spans="1:1" x14ac:dyDescent="0.35">
      <c r="A4312"/>
    </row>
    <row r="4313" spans="1:1" x14ac:dyDescent="0.35">
      <c r="A4313"/>
    </row>
    <row r="4314" spans="1:1" x14ac:dyDescent="0.35">
      <c r="A4314"/>
    </row>
    <row r="4315" spans="1:1" x14ac:dyDescent="0.35">
      <c r="A4315"/>
    </row>
    <row r="4316" spans="1:1" x14ac:dyDescent="0.35">
      <c r="A4316"/>
    </row>
    <row r="4317" spans="1:1" x14ac:dyDescent="0.35">
      <c r="A4317"/>
    </row>
    <row r="4318" spans="1:1" x14ac:dyDescent="0.35">
      <c r="A4318"/>
    </row>
    <row r="4319" spans="1:1" x14ac:dyDescent="0.35">
      <c r="A4319"/>
    </row>
    <row r="4320" spans="1:1" x14ac:dyDescent="0.35">
      <c r="A4320"/>
    </row>
    <row r="4321" spans="1:1" x14ac:dyDescent="0.35">
      <c r="A4321"/>
    </row>
    <row r="4322" spans="1:1" x14ac:dyDescent="0.35">
      <c r="A4322"/>
    </row>
    <row r="4323" spans="1:1" x14ac:dyDescent="0.35">
      <c r="A4323"/>
    </row>
    <row r="4324" spans="1:1" x14ac:dyDescent="0.35">
      <c r="A4324"/>
    </row>
    <row r="4325" spans="1:1" x14ac:dyDescent="0.35">
      <c r="A4325"/>
    </row>
    <row r="4326" spans="1:1" x14ac:dyDescent="0.35">
      <c r="A4326"/>
    </row>
    <row r="4327" spans="1:1" x14ac:dyDescent="0.35">
      <c r="A4327"/>
    </row>
    <row r="4328" spans="1:1" x14ac:dyDescent="0.35">
      <c r="A4328"/>
    </row>
    <row r="4329" spans="1:1" x14ac:dyDescent="0.35">
      <c r="A4329"/>
    </row>
    <row r="4330" spans="1:1" x14ac:dyDescent="0.35">
      <c r="A4330"/>
    </row>
    <row r="4331" spans="1:1" x14ac:dyDescent="0.35">
      <c r="A4331"/>
    </row>
    <row r="4332" spans="1:1" x14ac:dyDescent="0.35">
      <c r="A4332"/>
    </row>
    <row r="4333" spans="1:1" x14ac:dyDescent="0.35">
      <c r="A4333"/>
    </row>
    <row r="4334" spans="1:1" x14ac:dyDescent="0.35">
      <c r="A4334"/>
    </row>
    <row r="4335" spans="1:1" x14ac:dyDescent="0.35">
      <c r="A4335"/>
    </row>
    <row r="4336" spans="1:1" x14ac:dyDescent="0.35">
      <c r="A4336"/>
    </row>
    <row r="4337" spans="1:1" x14ac:dyDescent="0.35">
      <c r="A4337"/>
    </row>
    <row r="4338" spans="1:1" x14ac:dyDescent="0.35">
      <c r="A4338"/>
    </row>
    <row r="4339" spans="1:1" x14ac:dyDescent="0.35">
      <c r="A4339"/>
    </row>
    <row r="4340" spans="1:1" x14ac:dyDescent="0.35">
      <c r="A4340"/>
    </row>
    <row r="4341" spans="1:1" x14ac:dyDescent="0.35">
      <c r="A4341"/>
    </row>
    <row r="4342" spans="1:1" x14ac:dyDescent="0.35">
      <c r="A4342"/>
    </row>
    <row r="4343" spans="1:1" x14ac:dyDescent="0.35">
      <c r="A4343"/>
    </row>
    <row r="4344" spans="1:1" x14ac:dyDescent="0.35">
      <c r="A4344"/>
    </row>
    <row r="4345" spans="1:1" x14ac:dyDescent="0.35">
      <c r="A4345"/>
    </row>
    <row r="4346" spans="1:1" x14ac:dyDescent="0.35">
      <c r="A4346"/>
    </row>
    <row r="4347" spans="1:1" x14ac:dyDescent="0.35">
      <c r="A4347"/>
    </row>
    <row r="4348" spans="1:1" x14ac:dyDescent="0.35">
      <c r="A4348"/>
    </row>
    <row r="4349" spans="1:1" x14ac:dyDescent="0.35">
      <c r="A4349"/>
    </row>
    <row r="4350" spans="1:1" x14ac:dyDescent="0.35">
      <c r="A4350"/>
    </row>
    <row r="4351" spans="1:1" x14ac:dyDescent="0.35">
      <c r="A4351"/>
    </row>
    <row r="4352" spans="1:1" x14ac:dyDescent="0.35">
      <c r="A4352"/>
    </row>
    <row r="4353" spans="1:1" x14ac:dyDescent="0.35">
      <c r="A4353"/>
    </row>
    <row r="4354" spans="1:1" x14ac:dyDescent="0.35">
      <c r="A4354"/>
    </row>
    <row r="4355" spans="1:1" x14ac:dyDescent="0.35">
      <c r="A4355"/>
    </row>
    <row r="4356" spans="1:1" x14ac:dyDescent="0.35">
      <c r="A4356"/>
    </row>
    <row r="4357" spans="1:1" x14ac:dyDescent="0.35">
      <c r="A4357"/>
    </row>
    <row r="4358" spans="1:1" x14ac:dyDescent="0.35">
      <c r="A4358"/>
    </row>
    <row r="4359" spans="1:1" x14ac:dyDescent="0.35">
      <c r="A4359"/>
    </row>
    <row r="4360" spans="1:1" x14ac:dyDescent="0.35">
      <c r="A4360"/>
    </row>
    <row r="4361" spans="1:1" x14ac:dyDescent="0.35">
      <c r="A4361"/>
    </row>
    <row r="4362" spans="1:1" x14ac:dyDescent="0.35">
      <c r="A4362"/>
    </row>
    <row r="4363" spans="1:1" x14ac:dyDescent="0.35">
      <c r="A4363"/>
    </row>
    <row r="4364" spans="1:1" x14ac:dyDescent="0.35">
      <c r="A4364"/>
    </row>
    <row r="4365" spans="1:1" x14ac:dyDescent="0.35">
      <c r="A4365"/>
    </row>
    <row r="4366" spans="1:1" x14ac:dyDescent="0.35">
      <c r="A4366"/>
    </row>
    <row r="4367" spans="1:1" x14ac:dyDescent="0.35">
      <c r="A4367"/>
    </row>
    <row r="4368" spans="1:1" x14ac:dyDescent="0.35">
      <c r="A4368"/>
    </row>
    <row r="4369" spans="1:1" x14ac:dyDescent="0.35">
      <c r="A4369"/>
    </row>
    <row r="4370" spans="1:1" x14ac:dyDescent="0.35">
      <c r="A4370"/>
    </row>
    <row r="4371" spans="1:1" x14ac:dyDescent="0.35">
      <c r="A4371"/>
    </row>
    <row r="4372" spans="1:1" x14ac:dyDescent="0.35">
      <c r="A4372"/>
    </row>
    <row r="4373" spans="1:1" x14ac:dyDescent="0.35">
      <c r="A4373"/>
    </row>
    <row r="4374" spans="1:1" x14ac:dyDescent="0.35">
      <c r="A4374"/>
    </row>
    <row r="4375" spans="1:1" x14ac:dyDescent="0.35">
      <c r="A4375"/>
    </row>
    <row r="4376" spans="1:1" x14ac:dyDescent="0.35">
      <c r="A4376"/>
    </row>
    <row r="4377" spans="1:1" x14ac:dyDescent="0.35">
      <c r="A4377"/>
    </row>
    <row r="4378" spans="1:1" x14ac:dyDescent="0.35">
      <c r="A4378"/>
    </row>
    <row r="4379" spans="1:1" x14ac:dyDescent="0.35">
      <c r="A4379"/>
    </row>
    <row r="4380" spans="1:1" x14ac:dyDescent="0.35">
      <c r="A4380"/>
    </row>
    <row r="4381" spans="1:1" x14ac:dyDescent="0.35">
      <c r="A4381"/>
    </row>
    <row r="4382" spans="1:1" x14ac:dyDescent="0.35">
      <c r="A4382"/>
    </row>
    <row r="4383" spans="1:1" x14ac:dyDescent="0.35">
      <c r="A4383"/>
    </row>
    <row r="4384" spans="1:1" x14ac:dyDescent="0.35">
      <c r="A4384"/>
    </row>
    <row r="4385" spans="1:1" x14ac:dyDescent="0.35">
      <c r="A4385"/>
    </row>
    <row r="4386" spans="1:1" x14ac:dyDescent="0.35">
      <c r="A4386"/>
    </row>
    <row r="4387" spans="1:1" x14ac:dyDescent="0.35">
      <c r="A4387"/>
    </row>
    <row r="4388" spans="1:1" x14ac:dyDescent="0.35">
      <c r="A4388"/>
    </row>
    <row r="4389" spans="1:1" x14ac:dyDescent="0.35">
      <c r="A4389"/>
    </row>
    <row r="4390" spans="1:1" x14ac:dyDescent="0.35">
      <c r="A4390"/>
    </row>
    <row r="4391" spans="1:1" x14ac:dyDescent="0.35">
      <c r="A4391"/>
    </row>
    <row r="4392" spans="1:1" x14ac:dyDescent="0.35">
      <c r="A4392"/>
    </row>
    <row r="4393" spans="1:1" x14ac:dyDescent="0.35">
      <c r="A4393"/>
    </row>
    <row r="4394" spans="1:1" x14ac:dyDescent="0.35">
      <c r="A4394"/>
    </row>
    <row r="4395" spans="1:1" x14ac:dyDescent="0.35">
      <c r="A4395"/>
    </row>
    <row r="4396" spans="1:1" x14ac:dyDescent="0.35">
      <c r="A4396"/>
    </row>
    <row r="4397" spans="1:1" x14ac:dyDescent="0.35">
      <c r="A4397"/>
    </row>
    <row r="4398" spans="1:1" x14ac:dyDescent="0.35">
      <c r="A4398"/>
    </row>
    <row r="4399" spans="1:1" x14ac:dyDescent="0.35">
      <c r="A4399"/>
    </row>
    <row r="4400" spans="1:1" x14ac:dyDescent="0.35">
      <c r="A4400"/>
    </row>
    <row r="4401" spans="1:1" x14ac:dyDescent="0.35">
      <c r="A4401"/>
    </row>
    <row r="4402" spans="1:1" x14ac:dyDescent="0.35">
      <c r="A4402"/>
    </row>
    <row r="4403" spans="1:1" x14ac:dyDescent="0.35">
      <c r="A4403"/>
    </row>
    <row r="4404" spans="1:1" x14ac:dyDescent="0.35">
      <c r="A4404"/>
    </row>
    <row r="4405" spans="1:1" x14ac:dyDescent="0.35">
      <c r="A4405"/>
    </row>
    <row r="4406" spans="1:1" x14ac:dyDescent="0.35">
      <c r="A4406"/>
    </row>
    <row r="4407" spans="1:1" x14ac:dyDescent="0.35">
      <c r="A4407"/>
    </row>
    <row r="4408" spans="1:1" x14ac:dyDescent="0.35">
      <c r="A4408"/>
    </row>
    <row r="4409" spans="1:1" x14ac:dyDescent="0.35">
      <c r="A4409"/>
    </row>
    <row r="4410" spans="1:1" x14ac:dyDescent="0.35">
      <c r="A4410"/>
    </row>
    <row r="4411" spans="1:1" x14ac:dyDescent="0.35">
      <c r="A4411"/>
    </row>
    <row r="4412" spans="1:1" x14ac:dyDescent="0.35">
      <c r="A4412"/>
    </row>
    <row r="4413" spans="1:1" x14ac:dyDescent="0.35">
      <c r="A4413"/>
    </row>
    <row r="4414" spans="1:1" x14ac:dyDescent="0.35">
      <c r="A4414"/>
    </row>
    <row r="4415" spans="1:1" x14ac:dyDescent="0.35">
      <c r="A4415"/>
    </row>
    <row r="4416" spans="1:1" x14ac:dyDescent="0.35">
      <c r="A4416"/>
    </row>
    <row r="4417" spans="1:1" x14ac:dyDescent="0.35">
      <c r="A4417"/>
    </row>
    <row r="4418" spans="1:1" x14ac:dyDescent="0.35">
      <c r="A4418"/>
    </row>
    <row r="4419" spans="1:1" x14ac:dyDescent="0.35">
      <c r="A4419"/>
    </row>
    <row r="4420" spans="1:1" x14ac:dyDescent="0.35">
      <c r="A4420"/>
    </row>
    <row r="4421" spans="1:1" x14ac:dyDescent="0.35">
      <c r="A4421"/>
    </row>
    <row r="4422" spans="1:1" x14ac:dyDescent="0.35">
      <c r="A4422"/>
    </row>
    <row r="4423" spans="1:1" x14ac:dyDescent="0.35">
      <c r="A4423"/>
    </row>
    <row r="4424" spans="1:1" x14ac:dyDescent="0.35">
      <c r="A4424"/>
    </row>
    <row r="4425" spans="1:1" x14ac:dyDescent="0.35">
      <c r="A4425"/>
    </row>
    <row r="4426" spans="1:1" x14ac:dyDescent="0.35">
      <c r="A4426"/>
    </row>
    <row r="4427" spans="1:1" x14ac:dyDescent="0.35">
      <c r="A4427"/>
    </row>
    <row r="4428" spans="1:1" x14ac:dyDescent="0.35">
      <c r="A4428"/>
    </row>
    <row r="4429" spans="1:1" x14ac:dyDescent="0.35">
      <c r="A4429"/>
    </row>
    <row r="4430" spans="1:1" x14ac:dyDescent="0.35">
      <c r="A4430"/>
    </row>
    <row r="4431" spans="1:1" x14ac:dyDescent="0.35">
      <c r="A4431"/>
    </row>
    <row r="4432" spans="1:1" x14ac:dyDescent="0.35">
      <c r="A4432"/>
    </row>
    <row r="4433" spans="1:1" x14ac:dyDescent="0.35">
      <c r="A4433"/>
    </row>
    <row r="4434" spans="1:1" x14ac:dyDescent="0.35">
      <c r="A4434"/>
    </row>
    <row r="4435" spans="1:1" x14ac:dyDescent="0.35">
      <c r="A4435"/>
    </row>
    <row r="4436" spans="1:1" x14ac:dyDescent="0.35">
      <c r="A4436"/>
    </row>
    <row r="4437" spans="1:1" x14ac:dyDescent="0.35">
      <c r="A4437"/>
    </row>
    <row r="4438" spans="1:1" x14ac:dyDescent="0.35">
      <c r="A4438"/>
    </row>
    <row r="4439" spans="1:1" x14ac:dyDescent="0.35">
      <c r="A4439"/>
    </row>
    <row r="4440" spans="1:1" x14ac:dyDescent="0.35">
      <c r="A4440"/>
    </row>
    <row r="4441" spans="1:1" x14ac:dyDescent="0.35">
      <c r="A4441"/>
    </row>
    <row r="4442" spans="1:1" x14ac:dyDescent="0.35">
      <c r="A4442"/>
    </row>
    <row r="4443" spans="1:1" x14ac:dyDescent="0.35">
      <c r="A4443"/>
    </row>
    <row r="4444" spans="1:1" x14ac:dyDescent="0.35">
      <c r="A4444"/>
    </row>
    <row r="4445" spans="1:1" x14ac:dyDescent="0.35">
      <c r="A4445"/>
    </row>
    <row r="4446" spans="1:1" x14ac:dyDescent="0.35">
      <c r="A4446"/>
    </row>
    <row r="4447" spans="1:1" x14ac:dyDescent="0.35">
      <c r="A4447"/>
    </row>
    <row r="4448" spans="1:1" x14ac:dyDescent="0.35">
      <c r="A4448"/>
    </row>
    <row r="4449" spans="1:1" x14ac:dyDescent="0.35">
      <c r="A4449"/>
    </row>
    <row r="4450" spans="1:1" x14ac:dyDescent="0.35">
      <c r="A4450"/>
    </row>
    <row r="4451" spans="1:1" x14ac:dyDescent="0.35">
      <c r="A4451"/>
    </row>
    <row r="4452" spans="1:1" x14ac:dyDescent="0.35">
      <c r="A4452"/>
    </row>
    <row r="4453" spans="1:1" x14ac:dyDescent="0.35">
      <c r="A4453"/>
    </row>
    <row r="4454" spans="1:1" x14ac:dyDescent="0.35">
      <c r="A4454"/>
    </row>
    <row r="4455" spans="1:1" x14ac:dyDescent="0.35">
      <c r="A4455"/>
    </row>
    <row r="4456" spans="1:1" x14ac:dyDescent="0.35">
      <c r="A4456"/>
    </row>
    <row r="4457" spans="1:1" x14ac:dyDescent="0.35">
      <c r="A4457"/>
    </row>
    <row r="4458" spans="1:1" x14ac:dyDescent="0.35">
      <c r="A4458"/>
    </row>
    <row r="4459" spans="1:1" x14ac:dyDescent="0.35">
      <c r="A4459"/>
    </row>
    <row r="4460" spans="1:1" x14ac:dyDescent="0.35">
      <c r="A4460"/>
    </row>
    <row r="4461" spans="1:1" x14ac:dyDescent="0.35">
      <c r="A4461"/>
    </row>
    <row r="4462" spans="1:1" x14ac:dyDescent="0.35">
      <c r="A4462"/>
    </row>
    <row r="4463" spans="1:1" x14ac:dyDescent="0.35">
      <c r="A4463"/>
    </row>
    <row r="4464" spans="1:1" x14ac:dyDescent="0.35">
      <c r="A4464"/>
    </row>
    <row r="4465" spans="1:1" x14ac:dyDescent="0.35">
      <c r="A4465"/>
    </row>
    <row r="4466" spans="1:1" x14ac:dyDescent="0.35">
      <c r="A4466"/>
    </row>
    <row r="4467" spans="1:1" x14ac:dyDescent="0.35">
      <c r="A4467"/>
    </row>
    <row r="4468" spans="1:1" x14ac:dyDescent="0.35">
      <c r="A4468"/>
    </row>
    <row r="4469" spans="1:1" x14ac:dyDescent="0.35">
      <c r="A4469"/>
    </row>
    <row r="4470" spans="1:1" x14ac:dyDescent="0.35">
      <c r="A4470"/>
    </row>
    <row r="4471" spans="1:1" x14ac:dyDescent="0.35">
      <c r="A4471"/>
    </row>
    <row r="4472" spans="1:1" x14ac:dyDescent="0.35">
      <c r="A4472"/>
    </row>
    <row r="4473" spans="1:1" x14ac:dyDescent="0.35">
      <c r="A4473"/>
    </row>
    <row r="4474" spans="1:1" x14ac:dyDescent="0.35">
      <c r="A4474"/>
    </row>
    <row r="4475" spans="1:1" x14ac:dyDescent="0.35">
      <c r="A4475"/>
    </row>
    <row r="4476" spans="1:1" x14ac:dyDescent="0.35">
      <c r="A4476"/>
    </row>
    <row r="4477" spans="1:1" x14ac:dyDescent="0.35">
      <c r="A4477"/>
    </row>
    <row r="4478" spans="1:1" x14ac:dyDescent="0.35">
      <c r="A4478"/>
    </row>
    <row r="4479" spans="1:1" x14ac:dyDescent="0.35">
      <c r="A4479"/>
    </row>
    <row r="4480" spans="1:1" x14ac:dyDescent="0.35">
      <c r="A4480"/>
    </row>
    <row r="4481" spans="1:1" x14ac:dyDescent="0.35">
      <c r="A4481"/>
    </row>
    <row r="4482" spans="1:1" x14ac:dyDescent="0.35">
      <c r="A4482"/>
    </row>
    <row r="4483" spans="1:1" x14ac:dyDescent="0.35">
      <c r="A4483"/>
    </row>
    <row r="4484" spans="1:1" x14ac:dyDescent="0.35">
      <c r="A4484"/>
    </row>
    <row r="4485" spans="1:1" x14ac:dyDescent="0.35">
      <c r="A4485"/>
    </row>
    <row r="4486" spans="1:1" x14ac:dyDescent="0.35">
      <c r="A4486"/>
    </row>
    <row r="4487" spans="1:1" x14ac:dyDescent="0.35">
      <c r="A4487"/>
    </row>
    <row r="4488" spans="1:1" x14ac:dyDescent="0.35">
      <c r="A4488"/>
    </row>
    <row r="4489" spans="1:1" x14ac:dyDescent="0.35">
      <c r="A4489"/>
    </row>
    <row r="4490" spans="1:1" x14ac:dyDescent="0.35">
      <c r="A4490"/>
    </row>
    <row r="4491" spans="1:1" x14ac:dyDescent="0.35">
      <c r="A4491"/>
    </row>
    <row r="4492" spans="1:1" x14ac:dyDescent="0.35">
      <c r="A4492"/>
    </row>
    <row r="4493" spans="1:1" x14ac:dyDescent="0.35">
      <c r="A4493"/>
    </row>
    <row r="4494" spans="1:1" x14ac:dyDescent="0.35">
      <c r="A4494"/>
    </row>
    <row r="4495" spans="1:1" x14ac:dyDescent="0.35">
      <c r="A4495"/>
    </row>
    <row r="4496" spans="1:1" x14ac:dyDescent="0.35">
      <c r="A4496"/>
    </row>
    <row r="4497" spans="1:1" x14ac:dyDescent="0.35">
      <c r="A4497"/>
    </row>
    <row r="4498" spans="1:1" x14ac:dyDescent="0.35">
      <c r="A4498"/>
    </row>
    <row r="4499" spans="1:1" x14ac:dyDescent="0.35">
      <c r="A4499"/>
    </row>
    <row r="4500" spans="1:1" x14ac:dyDescent="0.35">
      <c r="A4500"/>
    </row>
    <row r="4501" spans="1:1" x14ac:dyDescent="0.35">
      <c r="A4501"/>
    </row>
    <row r="4502" spans="1:1" x14ac:dyDescent="0.35">
      <c r="A4502"/>
    </row>
    <row r="4503" spans="1:1" x14ac:dyDescent="0.35">
      <c r="A4503"/>
    </row>
    <row r="4504" spans="1:1" x14ac:dyDescent="0.35">
      <c r="A4504"/>
    </row>
    <row r="4505" spans="1:1" x14ac:dyDescent="0.35">
      <c r="A4505"/>
    </row>
    <row r="4506" spans="1:1" x14ac:dyDescent="0.35">
      <c r="A4506"/>
    </row>
    <row r="4507" spans="1:1" x14ac:dyDescent="0.35">
      <c r="A4507"/>
    </row>
    <row r="4508" spans="1:1" x14ac:dyDescent="0.35">
      <c r="A4508"/>
    </row>
    <row r="4509" spans="1:1" x14ac:dyDescent="0.35">
      <c r="A4509"/>
    </row>
    <row r="4510" spans="1:1" x14ac:dyDescent="0.35">
      <c r="A4510"/>
    </row>
    <row r="4511" spans="1:1" x14ac:dyDescent="0.35">
      <c r="A4511"/>
    </row>
    <row r="4512" spans="1:1" x14ac:dyDescent="0.35">
      <c r="A4512"/>
    </row>
    <row r="4513" spans="1:1" x14ac:dyDescent="0.35">
      <c r="A4513"/>
    </row>
    <row r="4514" spans="1:1" x14ac:dyDescent="0.35">
      <c r="A4514"/>
    </row>
    <row r="4515" spans="1:1" x14ac:dyDescent="0.35">
      <c r="A4515"/>
    </row>
    <row r="4516" spans="1:1" x14ac:dyDescent="0.35">
      <c r="A4516"/>
    </row>
    <row r="4517" spans="1:1" x14ac:dyDescent="0.35">
      <c r="A4517"/>
    </row>
    <row r="4518" spans="1:1" x14ac:dyDescent="0.35">
      <c r="A4518"/>
    </row>
    <row r="4519" spans="1:1" x14ac:dyDescent="0.35">
      <c r="A4519"/>
    </row>
    <row r="4520" spans="1:1" x14ac:dyDescent="0.35">
      <c r="A4520"/>
    </row>
    <row r="4521" spans="1:1" x14ac:dyDescent="0.35">
      <c r="A4521"/>
    </row>
    <row r="4522" spans="1:1" x14ac:dyDescent="0.35">
      <c r="A4522"/>
    </row>
    <row r="4523" spans="1:1" x14ac:dyDescent="0.35">
      <c r="A4523"/>
    </row>
    <row r="4524" spans="1:1" x14ac:dyDescent="0.35">
      <c r="A4524"/>
    </row>
    <row r="4525" spans="1:1" x14ac:dyDescent="0.35">
      <c r="A4525"/>
    </row>
    <row r="4526" spans="1:1" x14ac:dyDescent="0.35">
      <c r="A4526"/>
    </row>
    <row r="4527" spans="1:1" x14ac:dyDescent="0.35">
      <c r="A4527"/>
    </row>
    <row r="4528" spans="1:1" x14ac:dyDescent="0.35">
      <c r="A4528"/>
    </row>
    <row r="4529" spans="1:1" x14ac:dyDescent="0.35">
      <c r="A4529"/>
    </row>
    <row r="4530" spans="1:1" x14ac:dyDescent="0.35">
      <c r="A4530"/>
    </row>
    <row r="4531" spans="1:1" x14ac:dyDescent="0.35">
      <c r="A4531"/>
    </row>
    <row r="4532" spans="1:1" x14ac:dyDescent="0.35">
      <c r="A4532"/>
    </row>
    <row r="4533" spans="1:1" x14ac:dyDescent="0.35">
      <c r="A4533"/>
    </row>
    <row r="4534" spans="1:1" x14ac:dyDescent="0.35">
      <c r="A4534"/>
    </row>
    <row r="4535" spans="1:1" x14ac:dyDescent="0.35">
      <c r="A4535"/>
    </row>
    <row r="4536" spans="1:1" x14ac:dyDescent="0.35">
      <c r="A4536"/>
    </row>
    <row r="4537" spans="1:1" x14ac:dyDescent="0.35">
      <c r="A4537"/>
    </row>
    <row r="4538" spans="1:1" x14ac:dyDescent="0.35">
      <c r="A4538"/>
    </row>
    <row r="4539" spans="1:1" x14ac:dyDescent="0.35">
      <c r="A4539"/>
    </row>
    <row r="4540" spans="1:1" x14ac:dyDescent="0.35">
      <c r="A4540"/>
    </row>
    <row r="4541" spans="1:1" x14ac:dyDescent="0.35">
      <c r="A4541"/>
    </row>
    <row r="4542" spans="1:1" x14ac:dyDescent="0.35">
      <c r="A4542"/>
    </row>
    <row r="4543" spans="1:1" x14ac:dyDescent="0.35">
      <c r="A4543"/>
    </row>
    <row r="4544" spans="1:1" x14ac:dyDescent="0.35">
      <c r="A4544"/>
    </row>
    <row r="4545" spans="1:1" x14ac:dyDescent="0.35">
      <c r="A4545"/>
    </row>
    <row r="4546" spans="1:1" x14ac:dyDescent="0.35">
      <c r="A4546"/>
    </row>
    <row r="4547" spans="1:1" x14ac:dyDescent="0.35">
      <c r="A4547"/>
    </row>
    <row r="4548" spans="1:1" x14ac:dyDescent="0.35">
      <c r="A4548"/>
    </row>
    <row r="4549" spans="1:1" x14ac:dyDescent="0.35">
      <c r="A4549"/>
    </row>
    <row r="4550" spans="1:1" x14ac:dyDescent="0.35">
      <c r="A4550"/>
    </row>
    <row r="4551" spans="1:1" x14ac:dyDescent="0.35">
      <c r="A4551"/>
    </row>
    <row r="4552" spans="1:1" x14ac:dyDescent="0.35">
      <c r="A4552"/>
    </row>
    <row r="4553" spans="1:1" x14ac:dyDescent="0.35">
      <c r="A4553"/>
    </row>
    <row r="4554" spans="1:1" x14ac:dyDescent="0.35">
      <c r="A4554"/>
    </row>
    <row r="4555" spans="1:1" x14ac:dyDescent="0.35">
      <c r="A4555"/>
    </row>
    <row r="4556" spans="1:1" x14ac:dyDescent="0.35">
      <c r="A4556"/>
    </row>
    <row r="4557" spans="1:1" x14ac:dyDescent="0.35">
      <c r="A4557"/>
    </row>
    <row r="4558" spans="1:1" x14ac:dyDescent="0.35">
      <c r="A4558"/>
    </row>
    <row r="4559" spans="1:1" x14ac:dyDescent="0.35">
      <c r="A4559"/>
    </row>
    <row r="4560" spans="1:1" x14ac:dyDescent="0.35">
      <c r="A4560"/>
    </row>
    <row r="4561" spans="1:1" x14ac:dyDescent="0.35">
      <c r="A4561"/>
    </row>
    <row r="4562" spans="1:1" x14ac:dyDescent="0.35">
      <c r="A4562"/>
    </row>
    <row r="4563" spans="1:1" x14ac:dyDescent="0.35">
      <c r="A4563"/>
    </row>
    <row r="4564" spans="1:1" x14ac:dyDescent="0.35">
      <c r="A4564"/>
    </row>
    <row r="4565" spans="1:1" x14ac:dyDescent="0.35">
      <c r="A4565"/>
    </row>
    <row r="4566" spans="1:1" x14ac:dyDescent="0.35">
      <c r="A4566"/>
    </row>
    <row r="4567" spans="1:1" x14ac:dyDescent="0.35">
      <c r="A4567"/>
    </row>
    <row r="4568" spans="1:1" x14ac:dyDescent="0.35">
      <c r="A4568"/>
    </row>
    <row r="4569" spans="1:1" x14ac:dyDescent="0.35">
      <c r="A4569"/>
    </row>
    <row r="4570" spans="1:1" x14ac:dyDescent="0.35">
      <c r="A4570"/>
    </row>
    <row r="4571" spans="1:1" x14ac:dyDescent="0.35">
      <c r="A4571"/>
    </row>
    <row r="4572" spans="1:1" x14ac:dyDescent="0.35">
      <c r="A4572"/>
    </row>
    <row r="4573" spans="1:1" x14ac:dyDescent="0.35">
      <c r="A4573"/>
    </row>
    <row r="4574" spans="1:1" x14ac:dyDescent="0.35">
      <c r="A4574"/>
    </row>
    <row r="4575" spans="1:1" x14ac:dyDescent="0.35">
      <c r="A4575"/>
    </row>
    <row r="4576" spans="1:1" x14ac:dyDescent="0.35">
      <c r="A4576"/>
    </row>
    <row r="4577" spans="1:1" x14ac:dyDescent="0.35">
      <c r="A4577"/>
    </row>
    <row r="4578" spans="1:1" x14ac:dyDescent="0.35">
      <c r="A4578"/>
    </row>
    <row r="4579" spans="1:1" x14ac:dyDescent="0.35">
      <c r="A4579"/>
    </row>
    <row r="4580" spans="1:1" x14ac:dyDescent="0.35">
      <c r="A4580"/>
    </row>
    <row r="4581" spans="1:1" x14ac:dyDescent="0.35">
      <c r="A4581"/>
    </row>
    <row r="4582" spans="1:1" x14ac:dyDescent="0.35">
      <c r="A4582"/>
    </row>
    <row r="4583" spans="1:1" x14ac:dyDescent="0.35">
      <c r="A4583"/>
    </row>
    <row r="4584" spans="1:1" x14ac:dyDescent="0.35">
      <c r="A4584"/>
    </row>
    <row r="4585" spans="1:1" x14ac:dyDescent="0.35">
      <c r="A4585"/>
    </row>
    <row r="4586" spans="1:1" x14ac:dyDescent="0.35">
      <c r="A4586"/>
    </row>
    <row r="4587" spans="1:1" x14ac:dyDescent="0.35">
      <c r="A4587"/>
    </row>
    <row r="4588" spans="1:1" x14ac:dyDescent="0.35">
      <c r="A4588"/>
    </row>
    <row r="4589" spans="1:1" x14ac:dyDescent="0.35">
      <c r="A4589"/>
    </row>
    <row r="4590" spans="1:1" x14ac:dyDescent="0.35">
      <c r="A4590"/>
    </row>
    <row r="4591" spans="1:1" x14ac:dyDescent="0.35">
      <c r="A4591"/>
    </row>
    <row r="4592" spans="1:1" x14ac:dyDescent="0.35">
      <c r="A4592"/>
    </row>
    <row r="4593" spans="1:1" x14ac:dyDescent="0.35">
      <c r="A4593"/>
    </row>
    <row r="4594" spans="1:1" x14ac:dyDescent="0.35">
      <c r="A4594"/>
    </row>
    <row r="4595" spans="1:1" x14ac:dyDescent="0.35">
      <c r="A4595"/>
    </row>
    <row r="4596" spans="1:1" x14ac:dyDescent="0.35">
      <c r="A4596"/>
    </row>
    <row r="4597" spans="1:1" x14ac:dyDescent="0.35">
      <c r="A4597"/>
    </row>
    <row r="4598" spans="1:1" x14ac:dyDescent="0.35">
      <c r="A4598"/>
    </row>
    <row r="4599" spans="1:1" x14ac:dyDescent="0.35">
      <c r="A4599"/>
    </row>
    <row r="4600" spans="1:1" x14ac:dyDescent="0.35">
      <c r="A4600"/>
    </row>
    <row r="4601" spans="1:1" x14ac:dyDescent="0.35">
      <c r="A4601"/>
    </row>
    <row r="4602" spans="1:1" x14ac:dyDescent="0.35">
      <c r="A4602"/>
    </row>
    <row r="4603" spans="1:1" x14ac:dyDescent="0.35">
      <c r="A4603"/>
    </row>
    <row r="4604" spans="1:1" x14ac:dyDescent="0.35">
      <c r="A4604"/>
    </row>
    <row r="4605" spans="1:1" x14ac:dyDescent="0.35">
      <c r="A4605"/>
    </row>
    <row r="4606" spans="1:1" x14ac:dyDescent="0.35">
      <c r="A4606"/>
    </row>
    <row r="4607" spans="1:1" x14ac:dyDescent="0.35">
      <c r="A4607"/>
    </row>
    <row r="4608" spans="1:1" x14ac:dyDescent="0.35">
      <c r="A4608"/>
    </row>
    <row r="4609" spans="1:1" x14ac:dyDescent="0.35">
      <c r="A4609"/>
    </row>
    <row r="4610" spans="1:1" x14ac:dyDescent="0.35">
      <c r="A4610"/>
    </row>
    <row r="4611" spans="1:1" x14ac:dyDescent="0.35">
      <c r="A4611"/>
    </row>
    <row r="4612" spans="1:1" x14ac:dyDescent="0.35">
      <c r="A4612"/>
    </row>
    <row r="4613" spans="1:1" x14ac:dyDescent="0.35">
      <c r="A4613"/>
    </row>
    <row r="4614" spans="1:1" x14ac:dyDescent="0.35">
      <c r="A4614"/>
    </row>
    <row r="4615" spans="1:1" x14ac:dyDescent="0.35">
      <c r="A4615"/>
    </row>
    <row r="4616" spans="1:1" x14ac:dyDescent="0.35">
      <c r="A4616"/>
    </row>
    <row r="4617" spans="1:1" x14ac:dyDescent="0.35">
      <c r="A4617"/>
    </row>
    <row r="4618" spans="1:1" x14ac:dyDescent="0.35">
      <c r="A4618"/>
    </row>
    <row r="4619" spans="1:1" x14ac:dyDescent="0.35">
      <c r="A4619"/>
    </row>
    <row r="4620" spans="1:1" x14ac:dyDescent="0.35">
      <c r="A4620"/>
    </row>
    <row r="4621" spans="1:1" x14ac:dyDescent="0.35">
      <c r="A4621"/>
    </row>
    <row r="4622" spans="1:1" x14ac:dyDescent="0.35">
      <c r="A4622"/>
    </row>
    <row r="4623" spans="1:1" x14ac:dyDescent="0.35">
      <c r="A4623"/>
    </row>
    <row r="4624" spans="1:1" x14ac:dyDescent="0.35">
      <c r="A4624"/>
    </row>
    <row r="4625" spans="1:1" x14ac:dyDescent="0.35">
      <c r="A4625"/>
    </row>
    <row r="4626" spans="1:1" x14ac:dyDescent="0.35">
      <c r="A4626"/>
    </row>
    <row r="4627" spans="1:1" x14ac:dyDescent="0.35">
      <c r="A4627"/>
    </row>
    <row r="4628" spans="1:1" x14ac:dyDescent="0.35">
      <c r="A4628"/>
    </row>
    <row r="4629" spans="1:1" x14ac:dyDescent="0.35">
      <c r="A4629"/>
    </row>
    <row r="4630" spans="1:1" x14ac:dyDescent="0.35">
      <c r="A4630"/>
    </row>
    <row r="4631" spans="1:1" x14ac:dyDescent="0.35">
      <c r="A4631"/>
    </row>
    <row r="4632" spans="1:1" x14ac:dyDescent="0.35">
      <c r="A4632"/>
    </row>
    <row r="4633" spans="1:1" x14ac:dyDescent="0.35">
      <c r="A4633"/>
    </row>
    <row r="4634" spans="1:1" x14ac:dyDescent="0.35">
      <c r="A4634"/>
    </row>
    <row r="4635" spans="1:1" x14ac:dyDescent="0.35">
      <c r="A4635"/>
    </row>
    <row r="4636" spans="1:1" x14ac:dyDescent="0.35">
      <c r="A4636"/>
    </row>
    <row r="4637" spans="1:1" x14ac:dyDescent="0.35">
      <c r="A4637"/>
    </row>
    <row r="4638" spans="1:1" x14ac:dyDescent="0.35">
      <c r="A4638"/>
    </row>
    <row r="4639" spans="1:1" x14ac:dyDescent="0.35">
      <c r="A4639"/>
    </row>
    <row r="4640" spans="1:1" x14ac:dyDescent="0.35">
      <c r="A4640"/>
    </row>
    <row r="4641" spans="1:1" x14ac:dyDescent="0.35">
      <c r="A4641"/>
    </row>
    <row r="4642" spans="1:1" x14ac:dyDescent="0.35">
      <c r="A4642"/>
    </row>
    <row r="4643" spans="1:1" x14ac:dyDescent="0.35">
      <c r="A4643"/>
    </row>
    <row r="4644" spans="1:1" x14ac:dyDescent="0.35">
      <c r="A4644"/>
    </row>
    <row r="4645" spans="1:1" x14ac:dyDescent="0.35">
      <c r="A4645"/>
    </row>
    <row r="4646" spans="1:1" x14ac:dyDescent="0.35">
      <c r="A4646"/>
    </row>
    <row r="4647" spans="1:1" x14ac:dyDescent="0.35">
      <c r="A4647"/>
    </row>
    <row r="4648" spans="1:1" x14ac:dyDescent="0.35">
      <c r="A4648"/>
    </row>
    <row r="4649" spans="1:1" x14ac:dyDescent="0.35">
      <c r="A4649"/>
    </row>
    <row r="4650" spans="1:1" x14ac:dyDescent="0.35">
      <c r="A4650"/>
    </row>
    <row r="4651" spans="1:1" x14ac:dyDescent="0.35">
      <c r="A4651"/>
    </row>
    <row r="4652" spans="1:1" x14ac:dyDescent="0.35">
      <c r="A4652"/>
    </row>
    <row r="4653" spans="1:1" x14ac:dyDescent="0.35">
      <c r="A4653"/>
    </row>
    <row r="4654" spans="1:1" x14ac:dyDescent="0.35">
      <c r="A4654"/>
    </row>
    <row r="4655" spans="1:1" x14ac:dyDescent="0.35">
      <c r="A4655"/>
    </row>
    <row r="4656" spans="1:1" x14ac:dyDescent="0.35">
      <c r="A4656"/>
    </row>
    <row r="4657" spans="1:1" x14ac:dyDescent="0.35">
      <c r="A4657"/>
    </row>
    <row r="4658" spans="1:1" x14ac:dyDescent="0.35">
      <c r="A4658"/>
    </row>
    <row r="4659" spans="1:1" x14ac:dyDescent="0.35">
      <c r="A4659"/>
    </row>
    <row r="4660" spans="1:1" x14ac:dyDescent="0.35">
      <c r="A4660"/>
    </row>
    <row r="4661" spans="1:1" x14ac:dyDescent="0.35">
      <c r="A4661"/>
    </row>
    <row r="4662" spans="1:1" x14ac:dyDescent="0.35">
      <c r="A4662"/>
    </row>
    <row r="4663" spans="1:1" x14ac:dyDescent="0.35">
      <c r="A4663"/>
    </row>
    <row r="4664" spans="1:1" x14ac:dyDescent="0.35">
      <c r="A4664"/>
    </row>
    <row r="4665" spans="1:1" x14ac:dyDescent="0.35">
      <c r="A4665"/>
    </row>
    <row r="4666" spans="1:1" x14ac:dyDescent="0.35">
      <c r="A4666"/>
    </row>
    <row r="4667" spans="1:1" x14ac:dyDescent="0.35">
      <c r="A4667"/>
    </row>
    <row r="4668" spans="1:1" x14ac:dyDescent="0.35">
      <c r="A4668"/>
    </row>
    <row r="4669" spans="1:1" x14ac:dyDescent="0.35">
      <c r="A4669"/>
    </row>
    <row r="4670" spans="1:1" x14ac:dyDescent="0.35">
      <c r="A4670"/>
    </row>
    <row r="4671" spans="1:1" x14ac:dyDescent="0.35">
      <c r="A4671"/>
    </row>
    <row r="4672" spans="1:1" x14ac:dyDescent="0.35">
      <c r="A4672"/>
    </row>
    <row r="4673" spans="1:1" x14ac:dyDescent="0.35">
      <c r="A4673"/>
    </row>
    <row r="4674" spans="1:1" x14ac:dyDescent="0.35">
      <c r="A4674"/>
    </row>
    <row r="4675" spans="1:1" x14ac:dyDescent="0.35">
      <c r="A4675"/>
    </row>
    <row r="4676" spans="1:1" x14ac:dyDescent="0.35">
      <c r="A4676"/>
    </row>
    <row r="4677" spans="1:1" x14ac:dyDescent="0.35">
      <c r="A4677"/>
    </row>
    <row r="4678" spans="1:1" x14ac:dyDescent="0.35">
      <c r="A4678"/>
    </row>
    <row r="4679" spans="1:1" x14ac:dyDescent="0.35">
      <c r="A4679"/>
    </row>
    <row r="4680" spans="1:1" x14ac:dyDescent="0.35">
      <c r="A4680"/>
    </row>
    <row r="4681" spans="1:1" x14ac:dyDescent="0.35">
      <c r="A4681"/>
    </row>
    <row r="4682" spans="1:1" x14ac:dyDescent="0.35">
      <c r="A4682"/>
    </row>
    <row r="4683" spans="1:1" x14ac:dyDescent="0.35">
      <c r="A4683"/>
    </row>
    <row r="4684" spans="1:1" x14ac:dyDescent="0.35">
      <c r="A4684"/>
    </row>
    <row r="4685" spans="1:1" x14ac:dyDescent="0.35">
      <c r="A4685"/>
    </row>
    <row r="4686" spans="1:1" x14ac:dyDescent="0.35">
      <c r="A4686"/>
    </row>
    <row r="4687" spans="1:1" x14ac:dyDescent="0.35">
      <c r="A4687"/>
    </row>
    <row r="4688" spans="1:1" x14ac:dyDescent="0.35">
      <c r="A4688"/>
    </row>
    <row r="4689" spans="1:1" x14ac:dyDescent="0.35">
      <c r="A4689"/>
    </row>
    <row r="4690" spans="1:1" x14ac:dyDescent="0.35">
      <c r="A4690"/>
    </row>
    <row r="4691" spans="1:1" x14ac:dyDescent="0.35">
      <c r="A4691"/>
    </row>
    <row r="4692" spans="1:1" x14ac:dyDescent="0.35">
      <c r="A4692"/>
    </row>
    <row r="4693" spans="1:1" x14ac:dyDescent="0.35">
      <c r="A4693"/>
    </row>
    <row r="4694" spans="1:1" x14ac:dyDescent="0.35">
      <c r="A4694"/>
    </row>
    <row r="4695" spans="1:1" x14ac:dyDescent="0.35">
      <c r="A4695"/>
    </row>
    <row r="4696" spans="1:1" x14ac:dyDescent="0.35">
      <c r="A4696"/>
    </row>
    <row r="4697" spans="1:1" x14ac:dyDescent="0.35">
      <c r="A4697"/>
    </row>
    <row r="4698" spans="1:1" x14ac:dyDescent="0.35">
      <c r="A4698"/>
    </row>
    <row r="4699" spans="1:1" x14ac:dyDescent="0.35">
      <c r="A4699"/>
    </row>
    <row r="4700" spans="1:1" x14ac:dyDescent="0.35">
      <c r="A4700"/>
    </row>
    <row r="4701" spans="1:1" x14ac:dyDescent="0.35">
      <c r="A4701"/>
    </row>
    <row r="4702" spans="1:1" x14ac:dyDescent="0.35">
      <c r="A4702"/>
    </row>
    <row r="4703" spans="1:1" x14ac:dyDescent="0.35">
      <c r="A4703"/>
    </row>
    <row r="4704" spans="1:1" x14ac:dyDescent="0.35">
      <c r="A4704"/>
    </row>
    <row r="4705" spans="1:1" x14ac:dyDescent="0.35">
      <c r="A4705"/>
    </row>
    <row r="4706" spans="1:1" x14ac:dyDescent="0.35">
      <c r="A4706"/>
    </row>
    <row r="4707" spans="1:1" x14ac:dyDescent="0.35">
      <c r="A4707"/>
    </row>
    <row r="4708" spans="1:1" x14ac:dyDescent="0.35">
      <c r="A4708"/>
    </row>
    <row r="4709" spans="1:1" x14ac:dyDescent="0.35">
      <c r="A4709"/>
    </row>
    <row r="4710" spans="1:1" x14ac:dyDescent="0.35">
      <c r="A4710"/>
    </row>
    <row r="4711" spans="1:1" x14ac:dyDescent="0.35">
      <c r="A4711"/>
    </row>
    <row r="4712" spans="1:1" x14ac:dyDescent="0.35">
      <c r="A4712"/>
    </row>
    <row r="4713" spans="1:1" x14ac:dyDescent="0.35">
      <c r="A4713"/>
    </row>
    <row r="4714" spans="1:1" x14ac:dyDescent="0.35">
      <c r="A4714"/>
    </row>
    <row r="4715" spans="1:1" x14ac:dyDescent="0.35">
      <c r="A4715"/>
    </row>
    <row r="4716" spans="1:1" x14ac:dyDescent="0.35">
      <c r="A4716"/>
    </row>
    <row r="4717" spans="1:1" x14ac:dyDescent="0.35">
      <c r="A4717"/>
    </row>
    <row r="4718" spans="1:1" x14ac:dyDescent="0.35">
      <c r="A4718"/>
    </row>
    <row r="4719" spans="1:1" x14ac:dyDescent="0.35">
      <c r="A4719"/>
    </row>
    <row r="4720" spans="1:1" x14ac:dyDescent="0.35">
      <c r="A4720"/>
    </row>
    <row r="4721" spans="1:1" x14ac:dyDescent="0.35">
      <c r="A4721"/>
    </row>
    <row r="4722" spans="1:1" x14ac:dyDescent="0.35">
      <c r="A4722"/>
    </row>
    <row r="4723" spans="1:1" x14ac:dyDescent="0.35">
      <c r="A4723"/>
    </row>
    <row r="4724" spans="1:1" x14ac:dyDescent="0.35">
      <c r="A4724"/>
    </row>
    <row r="4725" spans="1:1" x14ac:dyDescent="0.35">
      <c r="A4725"/>
    </row>
    <row r="4726" spans="1:1" x14ac:dyDescent="0.35">
      <c r="A4726"/>
    </row>
    <row r="4727" spans="1:1" x14ac:dyDescent="0.35">
      <c r="A4727"/>
    </row>
    <row r="4728" spans="1:1" x14ac:dyDescent="0.35">
      <c r="A4728"/>
    </row>
    <row r="4729" spans="1:1" x14ac:dyDescent="0.35">
      <c r="A4729"/>
    </row>
    <row r="4730" spans="1:1" x14ac:dyDescent="0.35">
      <c r="A4730"/>
    </row>
    <row r="4731" spans="1:1" x14ac:dyDescent="0.35">
      <c r="A4731"/>
    </row>
    <row r="4732" spans="1:1" x14ac:dyDescent="0.35">
      <c r="A4732"/>
    </row>
    <row r="4733" spans="1:1" x14ac:dyDescent="0.35">
      <c r="A4733"/>
    </row>
    <row r="4734" spans="1:1" x14ac:dyDescent="0.35">
      <c r="A4734"/>
    </row>
    <row r="4735" spans="1:1" x14ac:dyDescent="0.35">
      <c r="A4735"/>
    </row>
    <row r="4736" spans="1:1" x14ac:dyDescent="0.35">
      <c r="A4736"/>
    </row>
    <row r="4737" spans="1:1" x14ac:dyDescent="0.35">
      <c r="A4737"/>
    </row>
    <row r="4738" spans="1:1" x14ac:dyDescent="0.35">
      <c r="A4738"/>
    </row>
    <row r="4739" spans="1:1" x14ac:dyDescent="0.35">
      <c r="A4739"/>
    </row>
    <row r="4740" spans="1:1" x14ac:dyDescent="0.35">
      <c r="A4740"/>
    </row>
    <row r="4741" spans="1:1" x14ac:dyDescent="0.35">
      <c r="A4741"/>
    </row>
    <row r="4742" spans="1:1" x14ac:dyDescent="0.35">
      <c r="A4742"/>
    </row>
    <row r="4743" spans="1:1" x14ac:dyDescent="0.35">
      <c r="A4743"/>
    </row>
    <row r="4744" spans="1:1" x14ac:dyDescent="0.35">
      <c r="A4744"/>
    </row>
    <row r="4745" spans="1:1" x14ac:dyDescent="0.35">
      <c r="A4745"/>
    </row>
    <row r="4746" spans="1:1" x14ac:dyDescent="0.35">
      <c r="A4746"/>
    </row>
    <row r="4747" spans="1:1" x14ac:dyDescent="0.35">
      <c r="A4747"/>
    </row>
    <row r="4748" spans="1:1" x14ac:dyDescent="0.35">
      <c r="A4748"/>
    </row>
    <row r="4749" spans="1:1" x14ac:dyDescent="0.35">
      <c r="A4749"/>
    </row>
    <row r="4750" spans="1:1" x14ac:dyDescent="0.35">
      <c r="A4750"/>
    </row>
    <row r="4751" spans="1:1" x14ac:dyDescent="0.35">
      <c r="A4751"/>
    </row>
    <row r="4752" spans="1:1" x14ac:dyDescent="0.35">
      <c r="A4752"/>
    </row>
    <row r="4753" spans="1:1" x14ac:dyDescent="0.35">
      <c r="A4753"/>
    </row>
    <row r="4754" spans="1:1" x14ac:dyDescent="0.35">
      <c r="A4754"/>
    </row>
    <row r="4755" spans="1:1" x14ac:dyDescent="0.35">
      <c r="A4755"/>
    </row>
    <row r="4756" spans="1:1" x14ac:dyDescent="0.35">
      <c r="A4756"/>
    </row>
    <row r="4757" spans="1:1" x14ac:dyDescent="0.35">
      <c r="A4757"/>
    </row>
    <row r="4758" spans="1:1" x14ac:dyDescent="0.35">
      <c r="A4758"/>
    </row>
    <row r="4759" spans="1:1" x14ac:dyDescent="0.35">
      <c r="A4759"/>
    </row>
    <row r="4760" spans="1:1" x14ac:dyDescent="0.35">
      <c r="A4760"/>
    </row>
    <row r="4761" spans="1:1" x14ac:dyDescent="0.35">
      <c r="A4761"/>
    </row>
    <row r="4762" spans="1:1" x14ac:dyDescent="0.35">
      <c r="A4762"/>
    </row>
    <row r="4763" spans="1:1" x14ac:dyDescent="0.35">
      <c r="A4763"/>
    </row>
    <row r="4764" spans="1:1" x14ac:dyDescent="0.35">
      <c r="A4764"/>
    </row>
    <row r="4765" spans="1:1" x14ac:dyDescent="0.35">
      <c r="A4765"/>
    </row>
    <row r="4766" spans="1:1" x14ac:dyDescent="0.35">
      <c r="A4766"/>
    </row>
    <row r="4767" spans="1:1" x14ac:dyDescent="0.35">
      <c r="A4767"/>
    </row>
    <row r="4768" spans="1:1" x14ac:dyDescent="0.35">
      <c r="A4768"/>
    </row>
    <row r="4769" spans="1:1" x14ac:dyDescent="0.35">
      <c r="A4769"/>
    </row>
    <row r="4770" spans="1:1" x14ac:dyDescent="0.35">
      <c r="A4770"/>
    </row>
    <row r="4771" spans="1:1" x14ac:dyDescent="0.35">
      <c r="A4771"/>
    </row>
    <row r="4772" spans="1:1" x14ac:dyDescent="0.35">
      <c r="A4772"/>
    </row>
    <row r="4773" spans="1:1" x14ac:dyDescent="0.35">
      <c r="A4773"/>
    </row>
    <row r="4774" spans="1:1" x14ac:dyDescent="0.35">
      <c r="A4774"/>
    </row>
    <row r="4775" spans="1:1" x14ac:dyDescent="0.35">
      <c r="A4775"/>
    </row>
    <row r="4776" spans="1:1" x14ac:dyDescent="0.35">
      <c r="A4776"/>
    </row>
    <row r="4777" spans="1:1" x14ac:dyDescent="0.35">
      <c r="A4777"/>
    </row>
    <row r="4778" spans="1:1" x14ac:dyDescent="0.35">
      <c r="A4778"/>
    </row>
    <row r="4779" spans="1:1" x14ac:dyDescent="0.35">
      <c r="A4779"/>
    </row>
    <row r="4780" spans="1:1" x14ac:dyDescent="0.35">
      <c r="A4780"/>
    </row>
    <row r="4781" spans="1:1" x14ac:dyDescent="0.35">
      <c r="A4781"/>
    </row>
    <row r="4782" spans="1:1" x14ac:dyDescent="0.35">
      <c r="A4782"/>
    </row>
    <row r="4783" spans="1:1" x14ac:dyDescent="0.35">
      <c r="A4783"/>
    </row>
    <row r="4784" spans="1:1" x14ac:dyDescent="0.35">
      <c r="A4784"/>
    </row>
    <row r="4785" spans="1:1" x14ac:dyDescent="0.35">
      <c r="A4785"/>
    </row>
    <row r="4786" spans="1:1" x14ac:dyDescent="0.35">
      <c r="A4786"/>
    </row>
    <row r="4787" spans="1:1" x14ac:dyDescent="0.35">
      <c r="A4787"/>
    </row>
    <row r="4788" spans="1:1" x14ac:dyDescent="0.35">
      <c r="A4788"/>
    </row>
    <row r="4789" spans="1:1" x14ac:dyDescent="0.35">
      <c r="A4789"/>
    </row>
    <row r="4790" spans="1:1" x14ac:dyDescent="0.35">
      <c r="A4790"/>
    </row>
    <row r="4791" spans="1:1" x14ac:dyDescent="0.35">
      <c r="A4791"/>
    </row>
    <row r="4792" spans="1:1" x14ac:dyDescent="0.35">
      <c r="A4792"/>
    </row>
    <row r="4793" spans="1:1" x14ac:dyDescent="0.35">
      <c r="A4793"/>
    </row>
    <row r="4794" spans="1:1" x14ac:dyDescent="0.35">
      <c r="A4794"/>
    </row>
    <row r="4795" spans="1:1" x14ac:dyDescent="0.35">
      <c r="A4795"/>
    </row>
    <row r="4796" spans="1:1" x14ac:dyDescent="0.35">
      <c r="A4796"/>
    </row>
    <row r="4797" spans="1:1" x14ac:dyDescent="0.35">
      <c r="A4797"/>
    </row>
    <row r="4798" spans="1:1" x14ac:dyDescent="0.35">
      <c r="A4798"/>
    </row>
    <row r="4799" spans="1:1" x14ac:dyDescent="0.35">
      <c r="A4799"/>
    </row>
    <row r="4800" spans="1:1" x14ac:dyDescent="0.35">
      <c r="A4800"/>
    </row>
    <row r="4801" spans="1:1" x14ac:dyDescent="0.35">
      <c r="A4801"/>
    </row>
    <row r="4802" spans="1:1" x14ac:dyDescent="0.35">
      <c r="A4802"/>
    </row>
    <row r="4803" spans="1:1" x14ac:dyDescent="0.35">
      <c r="A4803"/>
    </row>
    <row r="4804" spans="1:1" x14ac:dyDescent="0.35">
      <c r="A4804"/>
    </row>
    <row r="4805" spans="1:1" x14ac:dyDescent="0.35">
      <c r="A4805"/>
    </row>
    <row r="4806" spans="1:1" x14ac:dyDescent="0.35">
      <c r="A4806"/>
    </row>
    <row r="4807" spans="1:1" x14ac:dyDescent="0.35">
      <c r="A4807"/>
    </row>
    <row r="4808" spans="1:1" x14ac:dyDescent="0.35">
      <c r="A4808"/>
    </row>
    <row r="4809" spans="1:1" x14ac:dyDescent="0.35">
      <c r="A4809"/>
    </row>
    <row r="4810" spans="1:1" x14ac:dyDescent="0.35">
      <c r="A4810"/>
    </row>
    <row r="4811" spans="1:1" x14ac:dyDescent="0.35">
      <c r="A4811"/>
    </row>
    <row r="4812" spans="1:1" x14ac:dyDescent="0.35">
      <c r="A4812"/>
    </row>
    <row r="4813" spans="1:1" x14ac:dyDescent="0.35">
      <c r="A4813"/>
    </row>
    <row r="4814" spans="1:1" x14ac:dyDescent="0.35">
      <c r="A4814"/>
    </row>
    <row r="4815" spans="1:1" x14ac:dyDescent="0.35">
      <c r="A4815"/>
    </row>
    <row r="4816" spans="1:1" x14ac:dyDescent="0.35">
      <c r="A4816"/>
    </row>
    <row r="4817" spans="1:1" x14ac:dyDescent="0.35">
      <c r="A4817"/>
    </row>
    <row r="4818" spans="1:1" x14ac:dyDescent="0.35">
      <c r="A4818"/>
    </row>
    <row r="4819" spans="1:1" x14ac:dyDescent="0.35">
      <c r="A4819"/>
    </row>
    <row r="4820" spans="1:1" x14ac:dyDescent="0.35">
      <c r="A4820"/>
    </row>
    <row r="4821" spans="1:1" x14ac:dyDescent="0.35">
      <c r="A4821"/>
    </row>
    <row r="4822" spans="1:1" x14ac:dyDescent="0.35">
      <c r="A4822"/>
    </row>
    <row r="4823" spans="1:1" x14ac:dyDescent="0.35">
      <c r="A4823"/>
    </row>
    <row r="4824" spans="1:1" x14ac:dyDescent="0.35">
      <c r="A4824"/>
    </row>
    <row r="4825" spans="1:1" x14ac:dyDescent="0.35">
      <c r="A4825"/>
    </row>
    <row r="4826" spans="1:1" x14ac:dyDescent="0.35">
      <c r="A4826"/>
    </row>
    <row r="4827" spans="1:1" x14ac:dyDescent="0.35">
      <c r="A4827"/>
    </row>
    <row r="4828" spans="1:1" x14ac:dyDescent="0.35">
      <c r="A4828"/>
    </row>
    <row r="4829" spans="1:1" x14ac:dyDescent="0.35">
      <c r="A4829"/>
    </row>
    <row r="4830" spans="1:1" x14ac:dyDescent="0.35">
      <c r="A4830"/>
    </row>
    <row r="4831" spans="1:1" x14ac:dyDescent="0.35">
      <c r="A4831"/>
    </row>
    <row r="4832" spans="1:1" x14ac:dyDescent="0.35">
      <c r="A4832"/>
    </row>
    <row r="4833" spans="1:1" x14ac:dyDescent="0.35">
      <c r="A4833"/>
    </row>
    <row r="4834" spans="1:1" x14ac:dyDescent="0.35">
      <c r="A4834"/>
    </row>
    <row r="4835" spans="1:1" x14ac:dyDescent="0.35">
      <c r="A4835"/>
    </row>
    <row r="4836" spans="1:1" x14ac:dyDescent="0.35">
      <c r="A4836"/>
    </row>
    <row r="4837" spans="1:1" x14ac:dyDescent="0.35">
      <c r="A4837"/>
    </row>
    <row r="4838" spans="1:1" x14ac:dyDescent="0.35">
      <c r="A4838"/>
    </row>
    <row r="4839" spans="1:1" x14ac:dyDescent="0.35">
      <c r="A4839"/>
    </row>
    <row r="4840" spans="1:1" x14ac:dyDescent="0.35">
      <c r="A4840"/>
    </row>
    <row r="4841" spans="1:1" x14ac:dyDescent="0.35">
      <c r="A4841"/>
    </row>
    <row r="4842" spans="1:1" x14ac:dyDescent="0.35">
      <c r="A4842"/>
    </row>
    <row r="4843" spans="1:1" x14ac:dyDescent="0.35">
      <c r="A4843"/>
    </row>
    <row r="4844" spans="1:1" x14ac:dyDescent="0.35">
      <c r="A4844"/>
    </row>
    <row r="4845" spans="1:1" x14ac:dyDescent="0.35">
      <c r="A4845"/>
    </row>
    <row r="4846" spans="1:1" x14ac:dyDescent="0.35">
      <c r="A4846"/>
    </row>
    <row r="4847" spans="1:1" x14ac:dyDescent="0.35">
      <c r="A4847"/>
    </row>
    <row r="4848" spans="1:1" x14ac:dyDescent="0.35">
      <c r="A4848"/>
    </row>
    <row r="4849" spans="1:1" x14ac:dyDescent="0.35">
      <c r="A4849"/>
    </row>
    <row r="4850" spans="1:1" x14ac:dyDescent="0.35">
      <c r="A4850"/>
    </row>
    <row r="4851" spans="1:1" x14ac:dyDescent="0.35">
      <c r="A4851"/>
    </row>
    <row r="4852" spans="1:1" x14ac:dyDescent="0.35">
      <c r="A4852"/>
    </row>
    <row r="4853" spans="1:1" x14ac:dyDescent="0.35">
      <c r="A4853"/>
    </row>
    <row r="4854" spans="1:1" x14ac:dyDescent="0.35">
      <c r="A4854"/>
    </row>
    <row r="4855" spans="1:1" x14ac:dyDescent="0.35">
      <c r="A4855"/>
    </row>
    <row r="4856" spans="1:1" x14ac:dyDescent="0.35">
      <c r="A4856"/>
    </row>
    <row r="4857" spans="1:1" x14ac:dyDescent="0.35">
      <c r="A4857"/>
    </row>
    <row r="4858" spans="1:1" x14ac:dyDescent="0.35">
      <c r="A4858"/>
    </row>
    <row r="4859" spans="1:1" x14ac:dyDescent="0.35">
      <c r="A4859"/>
    </row>
    <row r="4860" spans="1:1" x14ac:dyDescent="0.35">
      <c r="A4860"/>
    </row>
    <row r="4861" spans="1:1" x14ac:dyDescent="0.35">
      <c r="A4861"/>
    </row>
    <row r="4862" spans="1:1" x14ac:dyDescent="0.35">
      <c r="A4862"/>
    </row>
    <row r="4863" spans="1:1" x14ac:dyDescent="0.35">
      <c r="A4863"/>
    </row>
    <row r="4864" spans="1:1" x14ac:dyDescent="0.35">
      <c r="A4864"/>
    </row>
    <row r="4865" spans="1:1" x14ac:dyDescent="0.35">
      <c r="A4865"/>
    </row>
    <row r="4866" spans="1:1" x14ac:dyDescent="0.35">
      <c r="A4866"/>
    </row>
    <row r="4867" spans="1:1" x14ac:dyDescent="0.35">
      <c r="A4867"/>
    </row>
    <row r="4868" spans="1:1" x14ac:dyDescent="0.35">
      <c r="A4868"/>
    </row>
    <row r="4869" spans="1:1" x14ac:dyDescent="0.35">
      <c r="A4869"/>
    </row>
    <row r="4870" spans="1:1" x14ac:dyDescent="0.35">
      <c r="A4870"/>
    </row>
    <row r="4871" spans="1:1" x14ac:dyDescent="0.35">
      <c r="A4871"/>
    </row>
    <row r="4872" spans="1:1" x14ac:dyDescent="0.35">
      <c r="A4872"/>
    </row>
    <row r="4873" spans="1:1" x14ac:dyDescent="0.35">
      <c r="A4873"/>
    </row>
    <row r="4874" spans="1:1" x14ac:dyDescent="0.35">
      <c r="A4874"/>
    </row>
    <row r="4875" spans="1:1" x14ac:dyDescent="0.35">
      <c r="A4875"/>
    </row>
    <row r="4876" spans="1:1" x14ac:dyDescent="0.35">
      <c r="A4876"/>
    </row>
    <row r="4877" spans="1:1" x14ac:dyDescent="0.35">
      <c r="A4877"/>
    </row>
    <row r="4878" spans="1:1" x14ac:dyDescent="0.35">
      <c r="A4878"/>
    </row>
    <row r="4879" spans="1:1" x14ac:dyDescent="0.35">
      <c r="A4879"/>
    </row>
    <row r="4880" spans="1:1" x14ac:dyDescent="0.35">
      <c r="A4880"/>
    </row>
    <row r="4881" spans="1:1" x14ac:dyDescent="0.35">
      <c r="A4881"/>
    </row>
    <row r="4882" spans="1:1" x14ac:dyDescent="0.35">
      <c r="A4882"/>
    </row>
    <row r="4883" spans="1:1" x14ac:dyDescent="0.35">
      <c r="A4883"/>
    </row>
    <row r="4884" spans="1:1" x14ac:dyDescent="0.35">
      <c r="A4884"/>
    </row>
    <row r="4885" spans="1:1" x14ac:dyDescent="0.35">
      <c r="A4885"/>
    </row>
    <row r="4886" spans="1:1" x14ac:dyDescent="0.35">
      <c r="A4886"/>
    </row>
    <row r="4887" spans="1:1" x14ac:dyDescent="0.35">
      <c r="A4887"/>
    </row>
    <row r="4888" spans="1:1" x14ac:dyDescent="0.35">
      <c r="A4888"/>
    </row>
    <row r="4889" spans="1:1" x14ac:dyDescent="0.35">
      <c r="A4889"/>
    </row>
    <row r="4890" spans="1:1" x14ac:dyDescent="0.35">
      <c r="A4890"/>
    </row>
    <row r="4891" spans="1:1" x14ac:dyDescent="0.35">
      <c r="A4891"/>
    </row>
    <row r="4892" spans="1:1" x14ac:dyDescent="0.35">
      <c r="A4892"/>
    </row>
    <row r="4893" spans="1:1" x14ac:dyDescent="0.35">
      <c r="A4893"/>
    </row>
    <row r="4894" spans="1:1" x14ac:dyDescent="0.35">
      <c r="A4894"/>
    </row>
    <row r="4895" spans="1:1" x14ac:dyDescent="0.35">
      <c r="A4895"/>
    </row>
    <row r="4896" spans="1:1" x14ac:dyDescent="0.35">
      <c r="A4896"/>
    </row>
    <row r="4897" spans="1:1" x14ac:dyDescent="0.35">
      <c r="A4897"/>
    </row>
    <row r="4898" spans="1:1" x14ac:dyDescent="0.35">
      <c r="A4898"/>
    </row>
    <row r="4899" spans="1:1" x14ac:dyDescent="0.35">
      <c r="A4899"/>
    </row>
    <row r="4900" spans="1:1" x14ac:dyDescent="0.35">
      <c r="A4900"/>
    </row>
    <row r="4901" spans="1:1" x14ac:dyDescent="0.35">
      <c r="A4901"/>
    </row>
    <row r="4902" spans="1:1" x14ac:dyDescent="0.35">
      <c r="A4902"/>
    </row>
    <row r="4903" spans="1:1" x14ac:dyDescent="0.35">
      <c r="A4903"/>
    </row>
    <row r="4904" spans="1:1" x14ac:dyDescent="0.35">
      <c r="A4904"/>
    </row>
    <row r="4905" spans="1:1" x14ac:dyDescent="0.35">
      <c r="A4905"/>
    </row>
    <row r="4906" spans="1:1" x14ac:dyDescent="0.35">
      <c r="A4906"/>
    </row>
    <row r="4907" spans="1:1" x14ac:dyDescent="0.35">
      <c r="A4907"/>
    </row>
    <row r="4908" spans="1:1" x14ac:dyDescent="0.35">
      <c r="A4908"/>
    </row>
    <row r="4909" spans="1:1" x14ac:dyDescent="0.35">
      <c r="A4909"/>
    </row>
    <row r="4910" spans="1:1" x14ac:dyDescent="0.35">
      <c r="A4910"/>
    </row>
    <row r="4911" spans="1:1" x14ac:dyDescent="0.35">
      <c r="A4911"/>
    </row>
    <row r="4912" spans="1:1" x14ac:dyDescent="0.35">
      <c r="A4912"/>
    </row>
    <row r="4913" spans="1:1" x14ac:dyDescent="0.35">
      <c r="A4913"/>
    </row>
    <row r="4914" spans="1:1" x14ac:dyDescent="0.35">
      <c r="A4914"/>
    </row>
    <row r="4915" spans="1:1" x14ac:dyDescent="0.35">
      <c r="A4915"/>
    </row>
    <row r="4916" spans="1:1" x14ac:dyDescent="0.35">
      <c r="A4916"/>
    </row>
    <row r="4917" spans="1:1" x14ac:dyDescent="0.35">
      <c r="A4917"/>
    </row>
    <row r="4918" spans="1:1" x14ac:dyDescent="0.35">
      <c r="A4918"/>
    </row>
    <row r="4919" spans="1:1" x14ac:dyDescent="0.35">
      <c r="A4919"/>
    </row>
    <row r="4920" spans="1:1" x14ac:dyDescent="0.35">
      <c r="A4920"/>
    </row>
    <row r="4921" spans="1:1" x14ac:dyDescent="0.35">
      <c r="A4921"/>
    </row>
    <row r="4922" spans="1:1" x14ac:dyDescent="0.35">
      <c r="A4922"/>
    </row>
    <row r="4923" spans="1:1" x14ac:dyDescent="0.35">
      <c r="A4923"/>
    </row>
    <row r="4924" spans="1:1" x14ac:dyDescent="0.35">
      <c r="A4924"/>
    </row>
    <row r="4925" spans="1:1" x14ac:dyDescent="0.35">
      <c r="A4925"/>
    </row>
    <row r="4926" spans="1:1" x14ac:dyDescent="0.35">
      <c r="A4926"/>
    </row>
    <row r="4927" spans="1:1" x14ac:dyDescent="0.35">
      <c r="A4927"/>
    </row>
    <row r="4928" spans="1:1" x14ac:dyDescent="0.35">
      <c r="A4928"/>
    </row>
    <row r="4929" spans="1:1" x14ac:dyDescent="0.35">
      <c r="A4929"/>
    </row>
    <row r="4930" spans="1:1" x14ac:dyDescent="0.35">
      <c r="A4930"/>
    </row>
    <row r="4931" spans="1:1" x14ac:dyDescent="0.35">
      <c r="A4931"/>
    </row>
    <row r="4932" spans="1:1" x14ac:dyDescent="0.35">
      <c r="A4932"/>
    </row>
    <row r="4933" spans="1:1" x14ac:dyDescent="0.35">
      <c r="A4933"/>
    </row>
    <row r="4934" spans="1:1" x14ac:dyDescent="0.35">
      <c r="A4934"/>
    </row>
    <row r="4935" spans="1:1" x14ac:dyDescent="0.35">
      <c r="A4935"/>
    </row>
    <row r="4936" spans="1:1" x14ac:dyDescent="0.35">
      <c r="A4936"/>
    </row>
    <row r="4937" spans="1:1" x14ac:dyDescent="0.35">
      <c r="A4937"/>
    </row>
    <row r="4938" spans="1:1" x14ac:dyDescent="0.35">
      <c r="A4938"/>
    </row>
    <row r="4939" spans="1:1" x14ac:dyDescent="0.35">
      <c r="A4939"/>
    </row>
    <row r="4940" spans="1:1" x14ac:dyDescent="0.35">
      <c r="A4940"/>
    </row>
    <row r="4941" spans="1:1" x14ac:dyDescent="0.35">
      <c r="A4941"/>
    </row>
    <row r="4942" spans="1:1" x14ac:dyDescent="0.35">
      <c r="A4942"/>
    </row>
    <row r="4943" spans="1:1" x14ac:dyDescent="0.35">
      <c r="A4943"/>
    </row>
    <row r="4944" spans="1:1" x14ac:dyDescent="0.35">
      <c r="A4944"/>
    </row>
    <row r="4945" spans="1:1" x14ac:dyDescent="0.35">
      <c r="A4945"/>
    </row>
    <row r="4946" spans="1:1" x14ac:dyDescent="0.35">
      <c r="A4946"/>
    </row>
    <row r="4947" spans="1:1" x14ac:dyDescent="0.35">
      <c r="A4947"/>
    </row>
    <row r="4948" spans="1:1" x14ac:dyDescent="0.35">
      <c r="A4948"/>
    </row>
    <row r="4949" spans="1:1" x14ac:dyDescent="0.35">
      <c r="A4949"/>
    </row>
    <row r="4950" spans="1:1" x14ac:dyDescent="0.35">
      <c r="A4950"/>
    </row>
    <row r="4951" spans="1:1" x14ac:dyDescent="0.35">
      <c r="A4951"/>
    </row>
    <row r="4952" spans="1:1" x14ac:dyDescent="0.35">
      <c r="A4952"/>
    </row>
    <row r="4953" spans="1:1" x14ac:dyDescent="0.35">
      <c r="A4953"/>
    </row>
    <row r="4954" spans="1:1" x14ac:dyDescent="0.35">
      <c r="A4954"/>
    </row>
    <row r="4955" spans="1:1" x14ac:dyDescent="0.35">
      <c r="A4955"/>
    </row>
    <row r="4956" spans="1:1" x14ac:dyDescent="0.35">
      <c r="A4956"/>
    </row>
    <row r="4957" spans="1:1" x14ac:dyDescent="0.35">
      <c r="A4957"/>
    </row>
    <row r="4958" spans="1:1" x14ac:dyDescent="0.35">
      <c r="A4958"/>
    </row>
    <row r="4959" spans="1:1" x14ac:dyDescent="0.35">
      <c r="A4959"/>
    </row>
    <row r="4960" spans="1:1" x14ac:dyDescent="0.35">
      <c r="A4960"/>
    </row>
    <row r="4961" spans="1:1" x14ac:dyDescent="0.35">
      <c r="A4961"/>
    </row>
    <row r="4962" spans="1:1" x14ac:dyDescent="0.35">
      <c r="A4962"/>
    </row>
    <row r="4963" spans="1:1" x14ac:dyDescent="0.35">
      <c r="A4963"/>
    </row>
    <row r="4964" spans="1:1" x14ac:dyDescent="0.35">
      <c r="A4964"/>
    </row>
    <row r="4965" spans="1:1" x14ac:dyDescent="0.35">
      <c r="A4965"/>
    </row>
    <row r="4966" spans="1:1" x14ac:dyDescent="0.35">
      <c r="A4966"/>
    </row>
    <row r="4967" spans="1:1" x14ac:dyDescent="0.35">
      <c r="A4967"/>
    </row>
    <row r="4968" spans="1:1" x14ac:dyDescent="0.35">
      <c r="A4968"/>
    </row>
    <row r="4969" spans="1:1" x14ac:dyDescent="0.35">
      <c r="A4969"/>
    </row>
    <row r="4970" spans="1:1" x14ac:dyDescent="0.35">
      <c r="A4970"/>
    </row>
    <row r="4971" spans="1:1" x14ac:dyDescent="0.35">
      <c r="A4971"/>
    </row>
    <row r="4972" spans="1:1" x14ac:dyDescent="0.35">
      <c r="A4972"/>
    </row>
    <row r="4973" spans="1:1" x14ac:dyDescent="0.35">
      <c r="A4973"/>
    </row>
    <row r="4974" spans="1:1" x14ac:dyDescent="0.35">
      <c r="A4974"/>
    </row>
    <row r="4975" spans="1:1" x14ac:dyDescent="0.35">
      <c r="A4975"/>
    </row>
    <row r="4976" spans="1:1" x14ac:dyDescent="0.35">
      <c r="A4976"/>
    </row>
    <row r="4977" spans="1:1" x14ac:dyDescent="0.35">
      <c r="A4977"/>
    </row>
    <row r="4978" spans="1:1" x14ac:dyDescent="0.35">
      <c r="A4978"/>
    </row>
    <row r="4979" spans="1:1" x14ac:dyDescent="0.35">
      <c r="A4979"/>
    </row>
    <row r="4980" spans="1:1" x14ac:dyDescent="0.35">
      <c r="A4980"/>
    </row>
    <row r="4981" spans="1:1" x14ac:dyDescent="0.35">
      <c r="A4981"/>
    </row>
    <row r="4982" spans="1:1" x14ac:dyDescent="0.35">
      <c r="A4982"/>
    </row>
    <row r="4983" spans="1:1" x14ac:dyDescent="0.35">
      <c r="A4983"/>
    </row>
    <row r="4984" spans="1:1" x14ac:dyDescent="0.35">
      <c r="A4984"/>
    </row>
    <row r="4985" spans="1:1" x14ac:dyDescent="0.35">
      <c r="A4985"/>
    </row>
    <row r="4986" spans="1:1" x14ac:dyDescent="0.35">
      <c r="A4986"/>
    </row>
    <row r="4987" spans="1:1" x14ac:dyDescent="0.35">
      <c r="A4987"/>
    </row>
    <row r="4988" spans="1:1" x14ac:dyDescent="0.35">
      <c r="A4988"/>
    </row>
    <row r="4989" spans="1:1" x14ac:dyDescent="0.35">
      <c r="A4989"/>
    </row>
    <row r="4990" spans="1:1" x14ac:dyDescent="0.35">
      <c r="A4990"/>
    </row>
    <row r="4991" spans="1:1" x14ac:dyDescent="0.35">
      <c r="A4991"/>
    </row>
    <row r="4992" spans="1:1" x14ac:dyDescent="0.35">
      <c r="A4992"/>
    </row>
    <row r="4993" spans="1:1" x14ac:dyDescent="0.35">
      <c r="A4993"/>
    </row>
    <row r="4994" spans="1:1" x14ac:dyDescent="0.35">
      <c r="A4994"/>
    </row>
    <row r="4995" spans="1:1" x14ac:dyDescent="0.35">
      <c r="A4995"/>
    </row>
    <row r="4996" spans="1:1" x14ac:dyDescent="0.35">
      <c r="A4996"/>
    </row>
    <row r="4997" spans="1:1" x14ac:dyDescent="0.35">
      <c r="A4997"/>
    </row>
    <row r="4998" spans="1:1" x14ac:dyDescent="0.35">
      <c r="A4998"/>
    </row>
    <row r="4999" spans="1:1" x14ac:dyDescent="0.35">
      <c r="A4999"/>
    </row>
    <row r="5000" spans="1:1" x14ac:dyDescent="0.35">
      <c r="A5000"/>
    </row>
    <row r="5001" spans="1:1" x14ac:dyDescent="0.35">
      <c r="A5001"/>
    </row>
    <row r="5002" spans="1:1" x14ac:dyDescent="0.35">
      <c r="A5002"/>
    </row>
    <row r="5003" spans="1:1" x14ac:dyDescent="0.35">
      <c r="A5003"/>
    </row>
    <row r="5004" spans="1:1" x14ac:dyDescent="0.35">
      <c r="A5004"/>
    </row>
    <row r="5005" spans="1:1" x14ac:dyDescent="0.35">
      <c r="A5005"/>
    </row>
    <row r="5006" spans="1:1" x14ac:dyDescent="0.35">
      <c r="A5006"/>
    </row>
    <row r="5007" spans="1:1" x14ac:dyDescent="0.35">
      <c r="A5007"/>
    </row>
    <row r="5008" spans="1:1" x14ac:dyDescent="0.35">
      <c r="A5008"/>
    </row>
    <row r="5009" spans="1:1" x14ac:dyDescent="0.35">
      <c r="A5009"/>
    </row>
    <row r="5010" spans="1:1" x14ac:dyDescent="0.35">
      <c r="A5010"/>
    </row>
    <row r="5011" spans="1:1" x14ac:dyDescent="0.35">
      <c r="A5011"/>
    </row>
    <row r="5012" spans="1:1" x14ac:dyDescent="0.35">
      <c r="A5012"/>
    </row>
    <row r="5013" spans="1:1" x14ac:dyDescent="0.35">
      <c r="A5013"/>
    </row>
    <row r="5014" spans="1:1" x14ac:dyDescent="0.35">
      <c r="A5014"/>
    </row>
    <row r="5015" spans="1:1" x14ac:dyDescent="0.35">
      <c r="A5015"/>
    </row>
    <row r="5016" spans="1:1" x14ac:dyDescent="0.35">
      <c r="A5016"/>
    </row>
    <row r="5017" spans="1:1" x14ac:dyDescent="0.35">
      <c r="A5017"/>
    </row>
    <row r="5018" spans="1:1" x14ac:dyDescent="0.35">
      <c r="A5018"/>
    </row>
    <row r="5019" spans="1:1" x14ac:dyDescent="0.35">
      <c r="A5019"/>
    </row>
    <row r="5020" spans="1:1" x14ac:dyDescent="0.35">
      <c r="A5020"/>
    </row>
    <row r="5021" spans="1:1" x14ac:dyDescent="0.35">
      <c r="A5021"/>
    </row>
    <row r="5022" spans="1:1" x14ac:dyDescent="0.35">
      <c r="A5022"/>
    </row>
    <row r="5023" spans="1:1" x14ac:dyDescent="0.35">
      <c r="A5023"/>
    </row>
    <row r="5024" spans="1:1" x14ac:dyDescent="0.35">
      <c r="A5024"/>
    </row>
    <row r="5025" spans="1:1" x14ac:dyDescent="0.35">
      <c r="A5025"/>
    </row>
    <row r="5026" spans="1:1" x14ac:dyDescent="0.35">
      <c r="A5026"/>
    </row>
    <row r="5027" spans="1:1" x14ac:dyDescent="0.35">
      <c r="A5027"/>
    </row>
    <row r="5028" spans="1:1" x14ac:dyDescent="0.35">
      <c r="A5028"/>
    </row>
    <row r="5029" spans="1:1" x14ac:dyDescent="0.35">
      <c r="A5029"/>
    </row>
    <row r="5030" spans="1:1" x14ac:dyDescent="0.35">
      <c r="A5030"/>
    </row>
    <row r="5031" spans="1:1" x14ac:dyDescent="0.35">
      <c r="A5031"/>
    </row>
    <row r="5032" spans="1:1" x14ac:dyDescent="0.35">
      <c r="A5032"/>
    </row>
    <row r="5033" spans="1:1" x14ac:dyDescent="0.35">
      <c r="A5033"/>
    </row>
    <row r="5034" spans="1:1" x14ac:dyDescent="0.35">
      <c r="A5034"/>
    </row>
    <row r="5035" spans="1:1" x14ac:dyDescent="0.35">
      <c r="A5035"/>
    </row>
    <row r="5036" spans="1:1" x14ac:dyDescent="0.35">
      <c r="A5036"/>
    </row>
    <row r="5037" spans="1:1" x14ac:dyDescent="0.35">
      <c r="A5037"/>
    </row>
    <row r="5038" spans="1:1" x14ac:dyDescent="0.35">
      <c r="A5038"/>
    </row>
    <row r="5039" spans="1:1" x14ac:dyDescent="0.35">
      <c r="A5039"/>
    </row>
    <row r="5040" spans="1:1" x14ac:dyDescent="0.35">
      <c r="A5040"/>
    </row>
    <row r="5041" spans="1:1" x14ac:dyDescent="0.35">
      <c r="A5041"/>
    </row>
    <row r="5042" spans="1:1" x14ac:dyDescent="0.35">
      <c r="A5042"/>
    </row>
    <row r="5043" spans="1:1" x14ac:dyDescent="0.35">
      <c r="A5043"/>
    </row>
    <row r="5044" spans="1:1" x14ac:dyDescent="0.35">
      <c r="A5044"/>
    </row>
    <row r="5045" spans="1:1" x14ac:dyDescent="0.35">
      <c r="A5045"/>
    </row>
    <row r="5046" spans="1:1" x14ac:dyDescent="0.35">
      <c r="A5046"/>
    </row>
    <row r="5047" spans="1:1" x14ac:dyDescent="0.35">
      <c r="A5047"/>
    </row>
    <row r="5048" spans="1:1" x14ac:dyDescent="0.35">
      <c r="A5048"/>
    </row>
    <row r="5049" spans="1:1" x14ac:dyDescent="0.35">
      <c r="A5049"/>
    </row>
    <row r="5050" spans="1:1" x14ac:dyDescent="0.35">
      <c r="A5050"/>
    </row>
    <row r="5051" spans="1:1" x14ac:dyDescent="0.35">
      <c r="A5051"/>
    </row>
    <row r="5052" spans="1:1" x14ac:dyDescent="0.35">
      <c r="A5052"/>
    </row>
    <row r="5053" spans="1:1" x14ac:dyDescent="0.35">
      <c r="A5053"/>
    </row>
    <row r="5054" spans="1:1" x14ac:dyDescent="0.35">
      <c r="A5054"/>
    </row>
    <row r="5055" spans="1:1" x14ac:dyDescent="0.35">
      <c r="A5055"/>
    </row>
    <row r="5056" spans="1:1" x14ac:dyDescent="0.35">
      <c r="A5056"/>
    </row>
    <row r="5057" spans="1:1" x14ac:dyDescent="0.35">
      <c r="A5057"/>
    </row>
    <row r="5058" spans="1:1" x14ac:dyDescent="0.35">
      <c r="A5058"/>
    </row>
    <row r="5059" spans="1:1" x14ac:dyDescent="0.35">
      <c r="A5059"/>
    </row>
    <row r="5060" spans="1:1" x14ac:dyDescent="0.35">
      <c r="A5060"/>
    </row>
    <row r="5061" spans="1:1" x14ac:dyDescent="0.35">
      <c r="A5061"/>
    </row>
    <row r="5062" spans="1:1" x14ac:dyDescent="0.35">
      <c r="A5062"/>
    </row>
    <row r="5063" spans="1:1" x14ac:dyDescent="0.35">
      <c r="A5063"/>
    </row>
    <row r="5064" spans="1:1" x14ac:dyDescent="0.35">
      <c r="A5064"/>
    </row>
    <row r="5065" spans="1:1" x14ac:dyDescent="0.35">
      <c r="A5065"/>
    </row>
    <row r="5066" spans="1:1" x14ac:dyDescent="0.35">
      <c r="A5066"/>
    </row>
    <row r="5067" spans="1:1" x14ac:dyDescent="0.35">
      <c r="A5067"/>
    </row>
    <row r="5068" spans="1:1" x14ac:dyDescent="0.35">
      <c r="A5068"/>
    </row>
    <row r="5069" spans="1:1" x14ac:dyDescent="0.35">
      <c r="A5069"/>
    </row>
    <row r="5070" spans="1:1" x14ac:dyDescent="0.35">
      <c r="A5070"/>
    </row>
    <row r="5071" spans="1:1" x14ac:dyDescent="0.35">
      <c r="A5071"/>
    </row>
    <row r="5072" spans="1:1" x14ac:dyDescent="0.35">
      <c r="A5072"/>
    </row>
    <row r="5073" spans="1:1" x14ac:dyDescent="0.35">
      <c r="A5073"/>
    </row>
    <row r="5074" spans="1:1" x14ac:dyDescent="0.35">
      <c r="A5074"/>
    </row>
    <row r="5075" spans="1:1" x14ac:dyDescent="0.35">
      <c r="A5075"/>
    </row>
    <row r="5076" spans="1:1" x14ac:dyDescent="0.35">
      <c r="A5076"/>
    </row>
    <row r="5077" spans="1:1" x14ac:dyDescent="0.35">
      <c r="A5077"/>
    </row>
    <row r="5078" spans="1:1" x14ac:dyDescent="0.35">
      <c r="A5078"/>
    </row>
    <row r="5079" spans="1:1" x14ac:dyDescent="0.35">
      <c r="A5079"/>
    </row>
    <row r="5080" spans="1:1" x14ac:dyDescent="0.35">
      <c r="A5080"/>
    </row>
    <row r="5081" spans="1:1" x14ac:dyDescent="0.35">
      <c r="A5081"/>
    </row>
    <row r="5082" spans="1:1" x14ac:dyDescent="0.35">
      <c r="A5082"/>
    </row>
    <row r="5083" spans="1:1" x14ac:dyDescent="0.35">
      <c r="A5083"/>
    </row>
    <row r="5084" spans="1:1" x14ac:dyDescent="0.35">
      <c r="A5084"/>
    </row>
    <row r="5085" spans="1:1" x14ac:dyDescent="0.35">
      <c r="A5085"/>
    </row>
    <row r="5086" spans="1:1" x14ac:dyDescent="0.35">
      <c r="A5086"/>
    </row>
    <row r="5087" spans="1:1" x14ac:dyDescent="0.35">
      <c r="A5087"/>
    </row>
    <row r="5088" spans="1:1" x14ac:dyDescent="0.35">
      <c r="A5088"/>
    </row>
    <row r="5089" spans="1:1" x14ac:dyDescent="0.35">
      <c r="A5089"/>
    </row>
    <row r="5090" spans="1:1" x14ac:dyDescent="0.35">
      <c r="A5090"/>
    </row>
    <row r="5091" spans="1:1" x14ac:dyDescent="0.35">
      <c r="A5091"/>
    </row>
    <row r="5092" spans="1:1" x14ac:dyDescent="0.35">
      <c r="A5092"/>
    </row>
    <row r="5093" spans="1:1" x14ac:dyDescent="0.35">
      <c r="A5093"/>
    </row>
    <row r="5094" spans="1:1" x14ac:dyDescent="0.35">
      <c r="A5094"/>
    </row>
    <row r="5095" spans="1:1" x14ac:dyDescent="0.35">
      <c r="A5095"/>
    </row>
    <row r="5096" spans="1:1" x14ac:dyDescent="0.35">
      <c r="A5096"/>
    </row>
    <row r="5097" spans="1:1" x14ac:dyDescent="0.35">
      <c r="A5097"/>
    </row>
    <row r="5098" spans="1:1" x14ac:dyDescent="0.35">
      <c r="A5098"/>
    </row>
    <row r="5099" spans="1:1" x14ac:dyDescent="0.35">
      <c r="A5099"/>
    </row>
    <row r="5100" spans="1:1" x14ac:dyDescent="0.35">
      <c r="A5100"/>
    </row>
    <row r="5101" spans="1:1" x14ac:dyDescent="0.35">
      <c r="A5101"/>
    </row>
    <row r="5102" spans="1:1" x14ac:dyDescent="0.35">
      <c r="A5102"/>
    </row>
    <row r="5103" spans="1:1" x14ac:dyDescent="0.35">
      <c r="A5103"/>
    </row>
    <row r="5104" spans="1:1" x14ac:dyDescent="0.35">
      <c r="A5104"/>
    </row>
    <row r="5105" spans="1:1" x14ac:dyDescent="0.35">
      <c r="A5105"/>
    </row>
    <row r="5106" spans="1:1" x14ac:dyDescent="0.35">
      <c r="A5106"/>
    </row>
    <row r="5107" spans="1:1" x14ac:dyDescent="0.35">
      <c r="A5107"/>
    </row>
    <row r="5108" spans="1:1" x14ac:dyDescent="0.35">
      <c r="A5108"/>
    </row>
    <row r="5109" spans="1:1" x14ac:dyDescent="0.35">
      <c r="A5109"/>
    </row>
    <row r="5110" spans="1:1" x14ac:dyDescent="0.35">
      <c r="A5110"/>
    </row>
    <row r="5111" spans="1:1" x14ac:dyDescent="0.35">
      <c r="A5111"/>
    </row>
    <row r="5112" spans="1:1" x14ac:dyDescent="0.35">
      <c r="A5112"/>
    </row>
    <row r="5113" spans="1:1" x14ac:dyDescent="0.35">
      <c r="A5113"/>
    </row>
    <row r="5114" spans="1:1" x14ac:dyDescent="0.35">
      <c r="A5114"/>
    </row>
    <row r="5115" spans="1:1" x14ac:dyDescent="0.35">
      <c r="A5115"/>
    </row>
    <row r="5116" spans="1:1" x14ac:dyDescent="0.35">
      <c r="A5116"/>
    </row>
    <row r="5117" spans="1:1" x14ac:dyDescent="0.35">
      <c r="A5117"/>
    </row>
    <row r="5118" spans="1:1" x14ac:dyDescent="0.35">
      <c r="A5118"/>
    </row>
    <row r="5119" spans="1:1" x14ac:dyDescent="0.35">
      <c r="A5119"/>
    </row>
    <row r="5120" spans="1:1" x14ac:dyDescent="0.35">
      <c r="A5120"/>
    </row>
    <row r="5121" spans="1:1" x14ac:dyDescent="0.35">
      <c r="A5121"/>
    </row>
    <row r="5122" spans="1:1" x14ac:dyDescent="0.35">
      <c r="A5122"/>
    </row>
    <row r="5123" spans="1:1" x14ac:dyDescent="0.35">
      <c r="A5123"/>
    </row>
    <row r="5124" spans="1:1" x14ac:dyDescent="0.35">
      <c r="A5124"/>
    </row>
    <row r="5125" spans="1:1" x14ac:dyDescent="0.35">
      <c r="A5125"/>
    </row>
    <row r="5126" spans="1:1" x14ac:dyDescent="0.35">
      <c r="A5126"/>
    </row>
    <row r="5127" spans="1:1" x14ac:dyDescent="0.35">
      <c r="A5127"/>
    </row>
    <row r="5128" spans="1:1" x14ac:dyDescent="0.35">
      <c r="A5128"/>
    </row>
    <row r="5129" spans="1:1" x14ac:dyDescent="0.35">
      <c r="A5129"/>
    </row>
    <row r="5130" spans="1:1" x14ac:dyDescent="0.35">
      <c r="A5130"/>
    </row>
    <row r="5131" spans="1:1" x14ac:dyDescent="0.35">
      <c r="A5131"/>
    </row>
    <row r="5132" spans="1:1" x14ac:dyDescent="0.35">
      <c r="A5132"/>
    </row>
    <row r="5133" spans="1:1" x14ac:dyDescent="0.35">
      <c r="A5133"/>
    </row>
    <row r="5134" spans="1:1" x14ac:dyDescent="0.35">
      <c r="A5134"/>
    </row>
    <row r="5135" spans="1:1" x14ac:dyDescent="0.35">
      <c r="A5135"/>
    </row>
    <row r="5136" spans="1:1" x14ac:dyDescent="0.35">
      <c r="A5136"/>
    </row>
    <row r="5137" spans="1:1" x14ac:dyDescent="0.35">
      <c r="A5137"/>
    </row>
    <row r="5138" spans="1:1" x14ac:dyDescent="0.35">
      <c r="A5138"/>
    </row>
    <row r="5139" spans="1:1" x14ac:dyDescent="0.35">
      <c r="A5139"/>
    </row>
    <row r="5140" spans="1:1" x14ac:dyDescent="0.35">
      <c r="A5140"/>
    </row>
    <row r="5141" spans="1:1" x14ac:dyDescent="0.35">
      <c r="A5141"/>
    </row>
    <row r="5142" spans="1:1" x14ac:dyDescent="0.35">
      <c r="A5142"/>
    </row>
    <row r="5143" spans="1:1" x14ac:dyDescent="0.35">
      <c r="A5143"/>
    </row>
    <row r="5144" spans="1:1" x14ac:dyDescent="0.35">
      <c r="A5144"/>
    </row>
    <row r="5145" spans="1:1" x14ac:dyDescent="0.35">
      <c r="A5145"/>
    </row>
    <row r="5146" spans="1:1" x14ac:dyDescent="0.35">
      <c r="A5146"/>
    </row>
    <row r="5147" spans="1:1" x14ac:dyDescent="0.35">
      <c r="A5147"/>
    </row>
    <row r="5148" spans="1:1" x14ac:dyDescent="0.35">
      <c r="A5148"/>
    </row>
    <row r="5149" spans="1:1" x14ac:dyDescent="0.35">
      <c r="A5149"/>
    </row>
    <row r="5150" spans="1:1" x14ac:dyDescent="0.35">
      <c r="A5150"/>
    </row>
    <row r="5151" spans="1:1" x14ac:dyDescent="0.35">
      <c r="A5151"/>
    </row>
    <row r="5152" spans="1:1" x14ac:dyDescent="0.35">
      <c r="A5152"/>
    </row>
    <row r="5153" spans="1:1" x14ac:dyDescent="0.35">
      <c r="A5153"/>
    </row>
    <row r="5154" spans="1:1" x14ac:dyDescent="0.35">
      <c r="A5154"/>
    </row>
    <row r="5155" spans="1:1" x14ac:dyDescent="0.35">
      <c r="A5155"/>
    </row>
    <row r="5156" spans="1:1" x14ac:dyDescent="0.35">
      <c r="A5156"/>
    </row>
    <row r="5157" spans="1:1" x14ac:dyDescent="0.35">
      <c r="A5157"/>
    </row>
    <row r="5158" spans="1:1" x14ac:dyDescent="0.35">
      <c r="A5158"/>
    </row>
    <row r="5159" spans="1:1" x14ac:dyDescent="0.35">
      <c r="A5159"/>
    </row>
    <row r="5160" spans="1:1" x14ac:dyDescent="0.35">
      <c r="A5160"/>
    </row>
    <row r="5161" spans="1:1" x14ac:dyDescent="0.35">
      <c r="A5161"/>
    </row>
    <row r="5162" spans="1:1" x14ac:dyDescent="0.35">
      <c r="A5162"/>
    </row>
    <row r="5163" spans="1:1" x14ac:dyDescent="0.35">
      <c r="A5163"/>
    </row>
    <row r="5164" spans="1:1" x14ac:dyDescent="0.35">
      <c r="A5164"/>
    </row>
    <row r="5165" spans="1:1" x14ac:dyDescent="0.35">
      <c r="A5165"/>
    </row>
    <row r="5166" spans="1:1" x14ac:dyDescent="0.35">
      <c r="A5166"/>
    </row>
    <row r="5167" spans="1:1" x14ac:dyDescent="0.35">
      <c r="A5167"/>
    </row>
    <row r="5168" spans="1:1" x14ac:dyDescent="0.35">
      <c r="A5168"/>
    </row>
    <row r="5169" spans="1:1" x14ac:dyDescent="0.35">
      <c r="A5169"/>
    </row>
    <row r="5170" spans="1:1" x14ac:dyDescent="0.35">
      <c r="A5170"/>
    </row>
    <row r="5171" spans="1:1" x14ac:dyDescent="0.35">
      <c r="A5171"/>
    </row>
    <row r="5172" spans="1:1" x14ac:dyDescent="0.35">
      <c r="A5172"/>
    </row>
    <row r="5173" spans="1:1" x14ac:dyDescent="0.35">
      <c r="A5173"/>
    </row>
    <row r="5174" spans="1:1" x14ac:dyDescent="0.35">
      <c r="A5174"/>
    </row>
    <row r="5175" spans="1:1" x14ac:dyDescent="0.35">
      <c r="A5175"/>
    </row>
    <row r="5176" spans="1:1" x14ac:dyDescent="0.35">
      <c r="A5176"/>
    </row>
    <row r="5177" spans="1:1" x14ac:dyDescent="0.35">
      <c r="A5177"/>
    </row>
    <row r="5178" spans="1:1" x14ac:dyDescent="0.35">
      <c r="A5178"/>
    </row>
    <row r="5179" spans="1:1" x14ac:dyDescent="0.35">
      <c r="A5179"/>
    </row>
    <row r="5180" spans="1:1" x14ac:dyDescent="0.35">
      <c r="A5180"/>
    </row>
    <row r="5181" spans="1:1" x14ac:dyDescent="0.35">
      <c r="A5181"/>
    </row>
    <row r="5182" spans="1:1" x14ac:dyDescent="0.35">
      <c r="A5182"/>
    </row>
    <row r="5183" spans="1:1" x14ac:dyDescent="0.35">
      <c r="A5183"/>
    </row>
    <row r="5184" spans="1:1" x14ac:dyDescent="0.35">
      <c r="A5184"/>
    </row>
    <row r="5185" spans="1:1" x14ac:dyDescent="0.35">
      <c r="A5185"/>
    </row>
    <row r="5186" spans="1:1" x14ac:dyDescent="0.35">
      <c r="A5186"/>
    </row>
    <row r="5187" spans="1:1" x14ac:dyDescent="0.35">
      <c r="A5187"/>
    </row>
    <row r="5188" spans="1:1" x14ac:dyDescent="0.35">
      <c r="A5188"/>
    </row>
    <row r="5189" spans="1:1" x14ac:dyDescent="0.35">
      <c r="A5189"/>
    </row>
    <row r="5190" spans="1:1" x14ac:dyDescent="0.35">
      <c r="A5190"/>
    </row>
    <row r="5191" spans="1:1" x14ac:dyDescent="0.35">
      <c r="A5191"/>
    </row>
    <row r="5192" spans="1:1" x14ac:dyDescent="0.35">
      <c r="A5192"/>
    </row>
    <row r="5193" spans="1:1" x14ac:dyDescent="0.35">
      <c r="A5193"/>
    </row>
    <row r="5194" spans="1:1" x14ac:dyDescent="0.35">
      <c r="A5194"/>
    </row>
    <row r="5195" spans="1:1" x14ac:dyDescent="0.35">
      <c r="A5195"/>
    </row>
    <row r="5196" spans="1:1" x14ac:dyDescent="0.35">
      <c r="A5196"/>
    </row>
    <row r="5197" spans="1:1" x14ac:dyDescent="0.35">
      <c r="A5197"/>
    </row>
    <row r="5198" spans="1:1" x14ac:dyDescent="0.35">
      <c r="A5198"/>
    </row>
    <row r="5199" spans="1:1" x14ac:dyDescent="0.35">
      <c r="A5199"/>
    </row>
    <row r="5200" spans="1:1" x14ac:dyDescent="0.35">
      <c r="A5200"/>
    </row>
    <row r="5201" spans="1:1" x14ac:dyDescent="0.35">
      <c r="A5201"/>
    </row>
    <row r="5202" spans="1:1" x14ac:dyDescent="0.35">
      <c r="A5202"/>
    </row>
    <row r="5203" spans="1:1" x14ac:dyDescent="0.35">
      <c r="A5203"/>
    </row>
    <row r="5204" spans="1:1" x14ac:dyDescent="0.35">
      <c r="A5204"/>
    </row>
    <row r="5205" spans="1:1" x14ac:dyDescent="0.35">
      <c r="A5205"/>
    </row>
    <row r="5206" spans="1:1" x14ac:dyDescent="0.35">
      <c r="A5206"/>
    </row>
    <row r="5207" spans="1:1" x14ac:dyDescent="0.35">
      <c r="A5207"/>
    </row>
    <row r="5208" spans="1:1" x14ac:dyDescent="0.35">
      <c r="A5208"/>
    </row>
    <row r="5209" spans="1:1" x14ac:dyDescent="0.35">
      <c r="A5209"/>
    </row>
    <row r="5210" spans="1:1" x14ac:dyDescent="0.35">
      <c r="A5210"/>
    </row>
    <row r="5211" spans="1:1" x14ac:dyDescent="0.35">
      <c r="A5211"/>
    </row>
    <row r="5212" spans="1:1" x14ac:dyDescent="0.35">
      <c r="A5212"/>
    </row>
    <row r="5213" spans="1:1" x14ac:dyDescent="0.35">
      <c r="A5213"/>
    </row>
    <row r="5214" spans="1:1" x14ac:dyDescent="0.35">
      <c r="A5214"/>
    </row>
    <row r="5215" spans="1:1" x14ac:dyDescent="0.35">
      <c r="A5215"/>
    </row>
    <row r="5216" spans="1:1" x14ac:dyDescent="0.35">
      <c r="A5216"/>
    </row>
    <row r="5217" spans="1:1" x14ac:dyDescent="0.35">
      <c r="A5217"/>
    </row>
    <row r="5218" spans="1:1" x14ac:dyDescent="0.35">
      <c r="A5218"/>
    </row>
    <row r="5219" spans="1:1" x14ac:dyDescent="0.35">
      <c r="A5219"/>
    </row>
    <row r="5220" spans="1:1" x14ac:dyDescent="0.35">
      <c r="A5220"/>
    </row>
    <row r="5221" spans="1:1" x14ac:dyDescent="0.35">
      <c r="A5221"/>
    </row>
    <row r="5222" spans="1:1" x14ac:dyDescent="0.35">
      <c r="A5222"/>
    </row>
    <row r="5223" spans="1:1" x14ac:dyDescent="0.35">
      <c r="A5223"/>
    </row>
    <row r="5224" spans="1:1" x14ac:dyDescent="0.35">
      <c r="A5224"/>
    </row>
    <row r="5225" spans="1:1" x14ac:dyDescent="0.35">
      <c r="A5225"/>
    </row>
    <row r="5226" spans="1:1" x14ac:dyDescent="0.35">
      <c r="A5226"/>
    </row>
    <row r="5227" spans="1:1" x14ac:dyDescent="0.35">
      <c r="A5227"/>
    </row>
    <row r="5228" spans="1:1" x14ac:dyDescent="0.35">
      <c r="A5228"/>
    </row>
    <row r="5229" spans="1:1" x14ac:dyDescent="0.35">
      <c r="A5229"/>
    </row>
    <row r="5230" spans="1:1" x14ac:dyDescent="0.35">
      <c r="A5230"/>
    </row>
    <row r="5231" spans="1:1" x14ac:dyDescent="0.35">
      <c r="A5231"/>
    </row>
    <row r="5232" spans="1:1" x14ac:dyDescent="0.35">
      <c r="A5232"/>
    </row>
    <row r="5233" spans="1:1" x14ac:dyDescent="0.35">
      <c r="A5233"/>
    </row>
    <row r="5234" spans="1:1" x14ac:dyDescent="0.35">
      <c r="A5234"/>
    </row>
    <row r="5235" spans="1:1" x14ac:dyDescent="0.35">
      <c r="A5235"/>
    </row>
    <row r="5236" spans="1:1" x14ac:dyDescent="0.35">
      <c r="A5236"/>
    </row>
    <row r="5237" spans="1:1" x14ac:dyDescent="0.35">
      <c r="A5237"/>
    </row>
    <row r="5238" spans="1:1" x14ac:dyDescent="0.35">
      <c r="A5238"/>
    </row>
    <row r="5239" spans="1:1" x14ac:dyDescent="0.35">
      <c r="A5239"/>
    </row>
    <row r="5240" spans="1:1" x14ac:dyDescent="0.35">
      <c r="A5240"/>
    </row>
    <row r="5241" spans="1:1" x14ac:dyDescent="0.35">
      <c r="A5241"/>
    </row>
    <row r="5242" spans="1:1" x14ac:dyDescent="0.35">
      <c r="A5242"/>
    </row>
    <row r="5243" spans="1:1" x14ac:dyDescent="0.35">
      <c r="A5243"/>
    </row>
    <row r="5244" spans="1:1" x14ac:dyDescent="0.35">
      <c r="A5244"/>
    </row>
    <row r="5245" spans="1:1" x14ac:dyDescent="0.35">
      <c r="A5245"/>
    </row>
    <row r="5246" spans="1:1" x14ac:dyDescent="0.35">
      <c r="A5246"/>
    </row>
    <row r="5247" spans="1:1" x14ac:dyDescent="0.35">
      <c r="A5247"/>
    </row>
    <row r="5248" spans="1:1" x14ac:dyDescent="0.35">
      <c r="A5248"/>
    </row>
    <row r="5249" spans="1:1" x14ac:dyDescent="0.35">
      <c r="A5249"/>
    </row>
    <row r="5250" spans="1:1" x14ac:dyDescent="0.35">
      <c r="A5250"/>
    </row>
    <row r="5251" spans="1:1" x14ac:dyDescent="0.35">
      <c r="A5251"/>
    </row>
    <row r="5252" spans="1:1" x14ac:dyDescent="0.35">
      <c r="A5252"/>
    </row>
    <row r="5253" spans="1:1" x14ac:dyDescent="0.35">
      <c r="A5253"/>
    </row>
    <row r="5254" spans="1:1" x14ac:dyDescent="0.35">
      <c r="A5254"/>
    </row>
    <row r="5255" spans="1:1" x14ac:dyDescent="0.35">
      <c r="A5255"/>
    </row>
    <row r="5256" spans="1:1" x14ac:dyDescent="0.35">
      <c r="A5256"/>
    </row>
    <row r="5257" spans="1:1" x14ac:dyDescent="0.35">
      <c r="A5257"/>
    </row>
    <row r="5258" spans="1:1" x14ac:dyDescent="0.35">
      <c r="A5258"/>
    </row>
    <row r="5259" spans="1:1" x14ac:dyDescent="0.35">
      <c r="A5259"/>
    </row>
    <row r="5260" spans="1:1" x14ac:dyDescent="0.35">
      <c r="A5260"/>
    </row>
    <row r="5261" spans="1:1" x14ac:dyDescent="0.35">
      <c r="A5261"/>
    </row>
    <row r="5262" spans="1:1" x14ac:dyDescent="0.35">
      <c r="A5262"/>
    </row>
    <row r="5263" spans="1:1" x14ac:dyDescent="0.35">
      <c r="A5263"/>
    </row>
    <row r="5264" spans="1:1" x14ac:dyDescent="0.35">
      <c r="A5264"/>
    </row>
    <row r="5265" spans="1:1" x14ac:dyDescent="0.35">
      <c r="A5265"/>
    </row>
    <row r="5266" spans="1:1" x14ac:dyDescent="0.35">
      <c r="A5266"/>
    </row>
    <row r="5267" spans="1:1" x14ac:dyDescent="0.35">
      <c r="A5267"/>
    </row>
    <row r="5268" spans="1:1" x14ac:dyDescent="0.35">
      <c r="A5268"/>
    </row>
    <row r="5269" spans="1:1" x14ac:dyDescent="0.35">
      <c r="A5269"/>
    </row>
    <row r="5270" spans="1:1" x14ac:dyDescent="0.35">
      <c r="A5270"/>
    </row>
    <row r="5271" spans="1:1" x14ac:dyDescent="0.35">
      <c r="A5271"/>
    </row>
    <row r="5272" spans="1:1" x14ac:dyDescent="0.35">
      <c r="A5272"/>
    </row>
    <row r="5273" spans="1:1" x14ac:dyDescent="0.35">
      <c r="A5273"/>
    </row>
    <row r="5274" spans="1:1" x14ac:dyDescent="0.35">
      <c r="A5274"/>
    </row>
    <row r="5275" spans="1:1" x14ac:dyDescent="0.35">
      <c r="A5275"/>
    </row>
    <row r="5276" spans="1:1" x14ac:dyDescent="0.35">
      <c r="A5276"/>
    </row>
    <row r="5277" spans="1:1" x14ac:dyDescent="0.35">
      <c r="A5277"/>
    </row>
    <row r="5278" spans="1:1" x14ac:dyDescent="0.35">
      <c r="A5278"/>
    </row>
    <row r="5279" spans="1:1" x14ac:dyDescent="0.35">
      <c r="A5279"/>
    </row>
    <row r="5280" spans="1:1" x14ac:dyDescent="0.35">
      <c r="A5280"/>
    </row>
    <row r="5281" spans="1:1" x14ac:dyDescent="0.35">
      <c r="A5281"/>
    </row>
    <row r="5282" spans="1:1" x14ac:dyDescent="0.35">
      <c r="A5282"/>
    </row>
    <row r="5283" spans="1:1" x14ac:dyDescent="0.35">
      <c r="A5283"/>
    </row>
    <row r="5284" spans="1:1" x14ac:dyDescent="0.35">
      <c r="A5284"/>
    </row>
    <row r="5285" spans="1:1" x14ac:dyDescent="0.35">
      <c r="A5285"/>
    </row>
    <row r="5286" spans="1:1" x14ac:dyDescent="0.35">
      <c r="A5286"/>
    </row>
    <row r="5287" spans="1:1" x14ac:dyDescent="0.35">
      <c r="A5287"/>
    </row>
    <row r="5288" spans="1:1" x14ac:dyDescent="0.35">
      <c r="A5288"/>
    </row>
    <row r="5289" spans="1:1" x14ac:dyDescent="0.35">
      <c r="A5289"/>
    </row>
    <row r="5290" spans="1:1" x14ac:dyDescent="0.35">
      <c r="A5290"/>
    </row>
    <row r="5291" spans="1:1" x14ac:dyDescent="0.35">
      <c r="A5291"/>
    </row>
    <row r="5292" spans="1:1" x14ac:dyDescent="0.35">
      <c r="A5292"/>
    </row>
    <row r="5293" spans="1:1" x14ac:dyDescent="0.35">
      <c r="A5293"/>
    </row>
    <row r="5294" spans="1:1" x14ac:dyDescent="0.35">
      <c r="A5294"/>
    </row>
    <row r="5295" spans="1:1" x14ac:dyDescent="0.35">
      <c r="A5295"/>
    </row>
    <row r="5296" spans="1:1" x14ac:dyDescent="0.35">
      <c r="A5296"/>
    </row>
    <row r="5297" spans="1:1" x14ac:dyDescent="0.35">
      <c r="A5297"/>
    </row>
    <row r="5298" spans="1:1" x14ac:dyDescent="0.35">
      <c r="A5298"/>
    </row>
    <row r="5299" spans="1:1" x14ac:dyDescent="0.35">
      <c r="A5299"/>
    </row>
    <row r="5300" spans="1:1" x14ac:dyDescent="0.35">
      <c r="A5300"/>
    </row>
    <row r="5301" spans="1:1" x14ac:dyDescent="0.35">
      <c r="A5301"/>
    </row>
    <row r="5302" spans="1:1" x14ac:dyDescent="0.35">
      <c r="A5302"/>
    </row>
    <row r="5303" spans="1:1" x14ac:dyDescent="0.35">
      <c r="A5303"/>
    </row>
    <row r="5304" spans="1:1" x14ac:dyDescent="0.35">
      <c r="A5304"/>
    </row>
    <row r="5305" spans="1:1" x14ac:dyDescent="0.35">
      <c r="A5305"/>
    </row>
    <row r="5306" spans="1:1" x14ac:dyDescent="0.35">
      <c r="A5306"/>
    </row>
    <row r="5307" spans="1:1" x14ac:dyDescent="0.35">
      <c r="A5307"/>
    </row>
    <row r="5308" spans="1:1" x14ac:dyDescent="0.35">
      <c r="A5308"/>
    </row>
    <row r="5309" spans="1:1" x14ac:dyDescent="0.35">
      <c r="A5309"/>
    </row>
    <row r="5310" spans="1:1" x14ac:dyDescent="0.35">
      <c r="A5310"/>
    </row>
    <row r="5311" spans="1:1" x14ac:dyDescent="0.35">
      <c r="A5311"/>
    </row>
    <row r="5312" spans="1:1" x14ac:dyDescent="0.35">
      <c r="A5312"/>
    </row>
    <row r="5313" spans="1:1" x14ac:dyDescent="0.35">
      <c r="A5313"/>
    </row>
    <row r="5314" spans="1:1" x14ac:dyDescent="0.35">
      <c r="A5314"/>
    </row>
    <row r="5315" spans="1:1" x14ac:dyDescent="0.35">
      <c r="A5315"/>
    </row>
    <row r="5316" spans="1:1" x14ac:dyDescent="0.35">
      <c r="A5316"/>
    </row>
    <row r="5317" spans="1:1" x14ac:dyDescent="0.35">
      <c r="A5317"/>
    </row>
    <row r="5318" spans="1:1" x14ac:dyDescent="0.35">
      <c r="A5318"/>
    </row>
    <row r="5319" spans="1:1" x14ac:dyDescent="0.35">
      <c r="A5319"/>
    </row>
    <row r="5320" spans="1:1" x14ac:dyDescent="0.35">
      <c r="A5320"/>
    </row>
    <row r="5321" spans="1:1" x14ac:dyDescent="0.35">
      <c r="A5321"/>
    </row>
    <row r="5322" spans="1:1" x14ac:dyDescent="0.35">
      <c r="A5322"/>
    </row>
    <row r="5323" spans="1:1" x14ac:dyDescent="0.35">
      <c r="A5323"/>
    </row>
    <row r="5324" spans="1:1" x14ac:dyDescent="0.35">
      <c r="A5324"/>
    </row>
    <row r="5325" spans="1:1" x14ac:dyDescent="0.35">
      <c r="A5325"/>
    </row>
    <row r="5326" spans="1:1" x14ac:dyDescent="0.35">
      <c r="A5326"/>
    </row>
    <row r="5327" spans="1:1" x14ac:dyDescent="0.35">
      <c r="A5327"/>
    </row>
    <row r="5328" spans="1:1" x14ac:dyDescent="0.35">
      <c r="A5328"/>
    </row>
    <row r="5329" spans="1:1" x14ac:dyDescent="0.35">
      <c r="A5329"/>
    </row>
    <row r="5330" spans="1:1" x14ac:dyDescent="0.35">
      <c r="A5330"/>
    </row>
    <row r="5331" spans="1:1" x14ac:dyDescent="0.35">
      <c r="A5331"/>
    </row>
    <row r="5332" spans="1:1" x14ac:dyDescent="0.35">
      <c r="A5332"/>
    </row>
    <row r="5333" spans="1:1" x14ac:dyDescent="0.35">
      <c r="A5333"/>
    </row>
    <row r="5334" spans="1:1" x14ac:dyDescent="0.35">
      <c r="A5334"/>
    </row>
    <row r="5335" spans="1:1" x14ac:dyDescent="0.35">
      <c r="A5335"/>
    </row>
    <row r="5336" spans="1:1" x14ac:dyDescent="0.35">
      <c r="A5336"/>
    </row>
    <row r="5337" spans="1:1" x14ac:dyDescent="0.35">
      <c r="A5337"/>
    </row>
    <row r="5338" spans="1:1" x14ac:dyDescent="0.35">
      <c r="A5338"/>
    </row>
    <row r="5339" spans="1:1" x14ac:dyDescent="0.35">
      <c r="A5339"/>
    </row>
    <row r="5340" spans="1:1" x14ac:dyDescent="0.35">
      <c r="A5340"/>
    </row>
    <row r="5341" spans="1:1" x14ac:dyDescent="0.35">
      <c r="A5341"/>
    </row>
    <row r="5342" spans="1:1" x14ac:dyDescent="0.35">
      <c r="A5342"/>
    </row>
    <row r="5343" spans="1:1" x14ac:dyDescent="0.35">
      <c r="A5343"/>
    </row>
    <row r="5344" spans="1:1" x14ac:dyDescent="0.35">
      <c r="A5344"/>
    </row>
    <row r="5345" spans="1:1" x14ac:dyDescent="0.35">
      <c r="A5345"/>
    </row>
    <row r="5346" spans="1:1" x14ac:dyDescent="0.35">
      <c r="A5346"/>
    </row>
    <row r="5347" spans="1:1" x14ac:dyDescent="0.35">
      <c r="A5347"/>
    </row>
    <row r="5348" spans="1:1" x14ac:dyDescent="0.35">
      <c r="A5348"/>
    </row>
    <row r="5349" spans="1:1" x14ac:dyDescent="0.35">
      <c r="A5349"/>
    </row>
    <row r="5350" spans="1:1" x14ac:dyDescent="0.35">
      <c r="A5350"/>
    </row>
    <row r="5351" spans="1:1" x14ac:dyDescent="0.35">
      <c r="A5351"/>
    </row>
    <row r="5352" spans="1:1" x14ac:dyDescent="0.35">
      <c r="A5352"/>
    </row>
    <row r="5353" spans="1:1" x14ac:dyDescent="0.35">
      <c r="A5353"/>
    </row>
    <row r="5354" spans="1:1" x14ac:dyDescent="0.35">
      <c r="A5354"/>
    </row>
    <row r="5355" spans="1:1" x14ac:dyDescent="0.35">
      <c r="A5355"/>
    </row>
    <row r="5356" spans="1:1" x14ac:dyDescent="0.35">
      <c r="A5356"/>
    </row>
    <row r="5357" spans="1:1" x14ac:dyDescent="0.35">
      <c r="A5357"/>
    </row>
    <row r="5358" spans="1:1" x14ac:dyDescent="0.35">
      <c r="A5358"/>
    </row>
    <row r="5359" spans="1:1" x14ac:dyDescent="0.35">
      <c r="A5359"/>
    </row>
    <row r="5360" spans="1:1" x14ac:dyDescent="0.35">
      <c r="A5360"/>
    </row>
    <row r="5361" spans="1:1" x14ac:dyDescent="0.35">
      <c r="A5361"/>
    </row>
    <row r="5362" spans="1:1" x14ac:dyDescent="0.35">
      <c r="A5362"/>
    </row>
    <row r="5363" spans="1:1" x14ac:dyDescent="0.35">
      <c r="A5363"/>
    </row>
    <row r="5364" spans="1:1" x14ac:dyDescent="0.35">
      <c r="A5364"/>
    </row>
    <row r="5365" spans="1:1" x14ac:dyDescent="0.35">
      <c r="A5365"/>
    </row>
    <row r="5366" spans="1:1" x14ac:dyDescent="0.35">
      <c r="A5366"/>
    </row>
    <row r="5367" spans="1:1" x14ac:dyDescent="0.35">
      <c r="A5367"/>
    </row>
    <row r="5368" spans="1:1" x14ac:dyDescent="0.35">
      <c r="A5368"/>
    </row>
    <row r="5369" spans="1:1" x14ac:dyDescent="0.35">
      <c r="A5369"/>
    </row>
    <row r="5370" spans="1:1" x14ac:dyDescent="0.35">
      <c r="A5370"/>
    </row>
    <row r="5371" spans="1:1" x14ac:dyDescent="0.35">
      <c r="A5371"/>
    </row>
    <row r="5372" spans="1:1" x14ac:dyDescent="0.35">
      <c r="A5372"/>
    </row>
    <row r="5373" spans="1:1" x14ac:dyDescent="0.35">
      <c r="A5373"/>
    </row>
    <row r="5374" spans="1:1" x14ac:dyDescent="0.35">
      <c r="A5374"/>
    </row>
    <row r="5375" spans="1:1" x14ac:dyDescent="0.35">
      <c r="A5375"/>
    </row>
    <row r="5376" spans="1:1" x14ac:dyDescent="0.35">
      <c r="A5376"/>
    </row>
    <row r="5377" spans="1:1" x14ac:dyDescent="0.35">
      <c r="A5377"/>
    </row>
    <row r="5378" spans="1:1" x14ac:dyDescent="0.35">
      <c r="A5378"/>
    </row>
    <row r="5379" spans="1:1" x14ac:dyDescent="0.35">
      <c r="A5379"/>
    </row>
    <row r="5380" spans="1:1" x14ac:dyDescent="0.35">
      <c r="A5380"/>
    </row>
    <row r="5381" spans="1:1" x14ac:dyDescent="0.35">
      <c r="A5381"/>
    </row>
    <row r="5382" spans="1:1" x14ac:dyDescent="0.35">
      <c r="A5382"/>
    </row>
    <row r="5383" spans="1:1" x14ac:dyDescent="0.35">
      <c r="A5383"/>
    </row>
    <row r="5384" spans="1:1" x14ac:dyDescent="0.35">
      <c r="A5384"/>
    </row>
    <row r="5385" spans="1:1" x14ac:dyDescent="0.35">
      <c r="A5385"/>
    </row>
    <row r="5386" spans="1:1" x14ac:dyDescent="0.35">
      <c r="A5386"/>
    </row>
    <row r="5387" spans="1:1" x14ac:dyDescent="0.35">
      <c r="A5387"/>
    </row>
    <row r="5388" spans="1:1" x14ac:dyDescent="0.35">
      <c r="A5388"/>
    </row>
    <row r="5389" spans="1:1" x14ac:dyDescent="0.35">
      <c r="A5389"/>
    </row>
    <row r="5390" spans="1:1" x14ac:dyDescent="0.35">
      <c r="A5390"/>
    </row>
    <row r="5391" spans="1:1" x14ac:dyDescent="0.35">
      <c r="A5391"/>
    </row>
    <row r="5392" spans="1:1" x14ac:dyDescent="0.35">
      <c r="A5392"/>
    </row>
    <row r="5393" spans="1:1" x14ac:dyDescent="0.35">
      <c r="A5393"/>
    </row>
    <row r="5394" spans="1:1" x14ac:dyDescent="0.35">
      <c r="A5394"/>
    </row>
    <row r="5395" spans="1:1" x14ac:dyDescent="0.35">
      <c r="A5395"/>
    </row>
    <row r="5396" spans="1:1" x14ac:dyDescent="0.35">
      <c r="A5396"/>
    </row>
    <row r="5397" spans="1:1" x14ac:dyDescent="0.35">
      <c r="A5397"/>
    </row>
    <row r="5398" spans="1:1" x14ac:dyDescent="0.35">
      <c r="A5398"/>
    </row>
    <row r="5399" spans="1:1" x14ac:dyDescent="0.35">
      <c r="A5399"/>
    </row>
    <row r="5400" spans="1:1" x14ac:dyDescent="0.35">
      <c r="A5400"/>
    </row>
    <row r="5401" spans="1:1" x14ac:dyDescent="0.35">
      <c r="A5401"/>
    </row>
    <row r="5402" spans="1:1" x14ac:dyDescent="0.35">
      <c r="A5402"/>
    </row>
    <row r="5403" spans="1:1" x14ac:dyDescent="0.35">
      <c r="A5403"/>
    </row>
    <row r="5404" spans="1:1" x14ac:dyDescent="0.35">
      <c r="A5404"/>
    </row>
    <row r="5405" spans="1:1" x14ac:dyDescent="0.35">
      <c r="A5405"/>
    </row>
    <row r="5406" spans="1:1" x14ac:dyDescent="0.35">
      <c r="A5406"/>
    </row>
    <row r="5407" spans="1:1" x14ac:dyDescent="0.35">
      <c r="A5407"/>
    </row>
    <row r="5408" spans="1:1" x14ac:dyDescent="0.35">
      <c r="A5408"/>
    </row>
    <row r="5409" spans="1:1" x14ac:dyDescent="0.35">
      <c r="A5409"/>
    </row>
    <row r="5410" spans="1:1" x14ac:dyDescent="0.35">
      <c r="A5410"/>
    </row>
    <row r="5411" spans="1:1" x14ac:dyDescent="0.35">
      <c r="A5411"/>
    </row>
    <row r="5412" spans="1:1" x14ac:dyDescent="0.35">
      <c r="A5412"/>
    </row>
    <row r="5413" spans="1:1" x14ac:dyDescent="0.35">
      <c r="A5413"/>
    </row>
    <row r="5414" spans="1:1" x14ac:dyDescent="0.35">
      <c r="A5414"/>
    </row>
    <row r="5415" spans="1:1" x14ac:dyDescent="0.35">
      <c r="A5415"/>
    </row>
    <row r="5416" spans="1:1" x14ac:dyDescent="0.35">
      <c r="A5416"/>
    </row>
    <row r="5417" spans="1:1" x14ac:dyDescent="0.35">
      <c r="A5417"/>
    </row>
    <row r="5418" spans="1:1" x14ac:dyDescent="0.35">
      <c r="A5418"/>
    </row>
    <row r="5419" spans="1:1" x14ac:dyDescent="0.35">
      <c r="A5419"/>
    </row>
    <row r="5420" spans="1:1" x14ac:dyDescent="0.35">
      <c r="A5420"/>
    </row>
    <row r="5421" spans="1:1" x14ac:dyDescent="0.35">
      <c r="A5421"/>
    </row>
    <row r="5422" spans="1:1" x14ac:dyDescent="0.35">
      <c r="A5422"/>
    </row>
    <row r="5423" spans="1:1" x14ac:dyDescent="0.35">
      <c r="A5423"/>
    </row>
    <row r="5424" spans="1:1" x14ac:dyDescent="0.35">
      <c r="A5424"/>
    </row>
    <row r="5425" spans="1:1" x14ac:dyDescent="0.35">
      <c r="A5425"/>
    </row>
    <row r="5426" spans="1:1" x14ac:dyDescent="0.35">
      <c r="A5426"/>
    </row>
    <row r="5427" spans="1:1" x14ac:dyDescent="0.35">
      <c r="A5427"/>
    </row>
    <row r="5428" spans="1:1" x14ac:dyDescent="0.35">
      <c r="A5428"/>
    </row>
    <row r="5429" spans="1:1" x14ac:dyDescent="0.35">
      <c r="A5429"/>
    </row>
    <row r="5430" spans="1:1" x14ac:dyDescent="0.35">
      <c r="A5430"/>
    </row>
    <row r="5431" spans="1:1" x14ac:dyDescent="0.35">
      <c r="A5431"/>
    </row>
    <row r="5432" spans="1:1" x14ac:dyDescent="0.35">
      <c r="A5432"/>
    </row>
    <row r="5433" spans="1:1" x14ac:dyDescent="0.35">
      <c r="A5433"/>
    </row>
    <row r="5434" spans="1:1" x14ac:dyDescent="0.35">
      <c r="A5434"/>
    </row>
    <row r="5435" spans="1:1" x14ac:dyDescent="0.35">
      <c r="A5435"/>
    </row>
    <row r="5436" spans="1:1" x14ac:dyDescent="0.35">
      <c r="A5436"/>
    </row>
    <row r="5437" spans="1:1" x14ac:dyDescent="0.35">
      <c r="A5437"/>
    </row>
    <row r="5438" spans="1:1" x14ac:dyDescent="0.35">
      <c r="A5438"/>
    </row>
    <row r="5439" spans="1:1" x14ac:dyDescent="0.35">
      <c r="A5439"/>
    </row>
    <row r="5440" spans="1:1" x14ac:dyDescent="0.35">
      <c r="A5440"/>
    </row>
    <row r="5441" spans="1:1" x14ac:dyDescent="0.35">
      <c r="A5441"/>
    </row>
    <row r="5442" spans="1:1" x14ac:dyDescent="0.35">
      <c r="A5442"/>
    </row>
    <row r="5443" spans="1:1" x14ac:dyDescent="0.35">
      <c r="A5443"/>
    </row>
    <row r="5444" spans="1:1" x14ac:dyDescent="0.35">
      <c r="A5444"/>
    </row>
    <row r="5445" spans="1:1" x14ac:dyDescent="0.35">
      <c r="A5445"/>
    </row>
    <row r="5446" spans="1:1" x14ac:dyDescent="0.35">
      <c r="A5446"/>
    </row>
    <row r="5447" spans="1:1" x14ac:dyDescent="0.35">
      <c r="A5447"/>
    </row>
    <row r="5448" spans="1:1" x14ac:dyDescent="0.35">
      <c r="A5448"/>
    </row>
    <row r="5449" spans="1:1" x14ac:dyDescent="0.35">
      <c r="A5449"/>
    </row>
    <row r="5450" spans="1:1" x14ac:dyDescent="0.35">
      <c r="A5450"/>
    </row>
    <row r="5451" spans="1:1" x14ac:dyDescent="0.35">
      <c r="A5451"/>
    </row>
    <row r="5452" spans="1:1" x14ac:dyDescent="0.35">
      <c r="A5452"/>
    </row>
    <row r="5453" spans="1:1" x14ac:dyDescent="0.35">
      <c r="A5453"/>
    </row>
    <row r="5454" spans="1:1" x14ac:dyDescent="0.35">
      <c r="A5454"/>
    </row>
    <row r="5455" spans="1:1" x14ac:dyDescent="0.35">
      <c r="A5455"/>
    </row>
    <row r="5456" spans="1:1" x14ac:dyDescent="0.35">
      <c r="A5456"/>
    </row>
    <row r="5457" spans="1:1" x14ac:dyDescent="0.35">
      <c r="A5457"/>
    </row>
    <row r="5458" spans="1:1" x14ac:dyDescent="0.35">
      <c r="A5458"/>
    </row>
    <row r="5459" spans="1:1" x14ac:dyDescent="0.35">
      <c r="A5459"/>
    </row>
    <row r="5460" spans="1:1" x14ac:dyDescent="0.35">
      <c r="A5460"/>
    </row>
    <row r="5461" spans="1:1" x14ac:dyDescent="0.35">
      <c r="A5461"/>
    </row>
    <row r="5462" spans="1:1" x14ac:dyDescent="0.35">
      <c r="A5462"/>
    </row>
    <row r="5463" spans="1:1" x14ac:dyDescent="0.35">
      <c r="A5463"/>
    </row>
    <row r="5464" spans="1:1" x14ac:dyDescent="0.35">
      <c r="A5464"/>
    </row>
    <row r="5465" spans="1:1" x14ac:dyDescent="0.35">
      <c r="A5465"/>
    </row>
    <row r="5466" spans="1:1" x14ac:dyDescent="0.35">
      <c r="A5466"/>
    </row>
    <row r="5467" spans="1:1" x14ac:dyDescent="0.35">
      <c r="A5467"/>
    </row>
    <row r="5468" spans="1:1" x14ac:dyDescent="0.35">
      <c r="A5468"/>
    </row>
    <row r="5469" spans="1:1" x14ac:dyDescent="0.35">
      <c r="A5469"/>
    </row>
    <row r="5470" spans="1:1" x14ac:dyDescent="0.35">
      <c r="A5470"/>
    </row>
    <row r="5471" spans="1:1" x14ac:dyDescent="0.35">
      <c r="A5471"/>
    </row>
    <row r="5472" spans="1:1" x14ac:dyDescent="0.35">
      <c r="A5472"/>
    </row>
    <row r="5473" spans="1:1" x14ac:dyDescent="0.35">
      <c r="A5473"/>
    </row>
    <row r="5474" spans="1:1" x14ac:dyDescent="0.35">
      <c r="A5474"/>
    </row>
    <row r="5475" spans="1:1" x14ac:dyDescent="0.35">
      <c r="A5475"/>
    </row>
    <row r="5476" spans="1:1" x14ac:dyDescent="0.35">
      <c r="A5476"/>
    </row>
    <row r="5477" spans="1:1" x14ac:dyDescent="0.35">
      <c r="A5477"/>
    </row>
    <row r="5478" spans="1:1" x14ac:dyDescent="0.35">
      <c r="A5478"/>
    </row>
    <row r="5479" spans="1:1" x14ac:dyDescent="0.35">
      <c r="A5479"/>
    </row>
    <row r="5480" spans="1:1" x14ac:dyDescent="0.35">
      <c r="A5480"/>
    </row>
    <row r="5481" spans="1:1" x14ac:dyDescent="0.35">
      <c r="A5481"/>
    </row>
    <row r="5482" spans="1:1" x14ac:dyDescent="0.35">
      <c r="A5482"/>
    </row>
    <row r="5483" spans="1:1" x14ac:dyDescent="0.35">
      <c r="A5483"/>
    </row>
    <row r="5484" spans="1:1" x14ac:dyDescent="0.35">
      <c r="A5484"/>
    </row>
    <row r="5485" spans="1:1" x14ac:dyDescent="0.35">
      <c r="A5485"/>
    </row>
    <row r="5486" spans="1:1" x14ac:dyDescent="0.35">
      <c r="A5486"/>
    </row>
    <row r="5487" spans="1:1" x14ac:dyDescent="0.35">
      <c r="A5487"/>
    </row>
    <row r="5488" spans="1:1" x14ac:dyDescent="0.35">
      <c r="A5488"/>
    </row>
    <row r="5489" spans="1:1" x14ac:dyDescent="0.35">
      <c r="A5489"/>
    </row>
    <row r="5490" spans="1:1" x14ac:dyDescent="0.35">
      <c r="A5490"/>
    </row>
    <row r="5491" spans="1:1" x14ac:dyDescent="0.35">
      <c r="A5491"/>
    </row>
    <row r="5492" spans="1:1" x14ac:dyDescent="0.35">
      <c r="A5492"/>
    </row>
    <row r="5493" spans="1:1" x14ac:dyDescent="0.35">
      <c r="A5493"/>
    </row>
    <row r="5494" spans="1:1" x14ac:dyDescent="0.35">
      <c r="A5494"/>
    </row>
    <row r="5495" spans="1:1" x14ac:dyDescent="0.35">
      <c r="A5495"/>
    </row>
    <row r="5496" spans="1:1" x14ac:dyDescent="0.35">
      <c r="A5496"/>
    </row>
    <row r="5497" spans="1:1" x14ac:dyDescent="0.35">
      <c r="A5497"/>
    </row>
    <row r="5498" spans="1:1" x14ac:dyDescent="0.35">
      <c r="A5498"/>
    </row>
    <row r="5499" spans="1:1" x14ac:dyDescent="0.35">
      <c r="A5499"/>
    </row>
    <row r="5500" spans="1:1" x14ac:dyDescent="0.35">
      <c r="A5500"/>
    </row>
    <row r="5501" spans="1:1" x14ac:dyDescent="0.35">
      <c r="A5501"/>
    </row>
    <row r="5502" spans="1:1" x14ac:dyDescent="0.35">
      <c r="A5502"/>
    </row>
    <row r="5503" spans="1:1" x14ac:dyDescent="0.35">
      <c r="A5503"/>
    </row>
    <row r="5504" spans="1:1" x14ac:dyDescent="0.35">
      <c r="A5504"/>
    </row>
    <row r="5505" spans="1:1" x14ac:dyDescent="0.35">
      <c r="A5505"/>
    </row>
    <row r="5506" spans="1:1" x14ac:dyDescent="0.35">
      <c r="A5506"/>
    </row>
    <row r="5507" spans="1:1" x14ac:dyDescent="0.35">
      <c r="A5507"/>
    </row>
    <row r="5508" spans="1:1" x14ac:dyDescent="0.35">
      <c r="A5508"/>
    </row>
    <row r="5509" spans="1:1" x14ac:dyDescent="0.35">
      <c r="A5509"/>
    </row>
    <row r="5510" spans="1:1" x14ac:dyDescent="0.35">
      <c r="A5510"/>
    </row>
    <row r="5511" spans="1:1" x14ac:dyDescent="0.35">
      <c r="A5511"/>
    </row>
    <row r="5512" spans="1:1" x14ac:dyDescent="0.35">
      <c r="A5512"/>
    </row>
    <row r="5513" spans="1:1" x14ac:dyDescent="0.35">
      <c r="A5513"/>
    </row>
    <row r="5514" spans="1:1" x14ac:dyDescent="0.35">
      <c r="A5514"/>
    </row>
    <row r="5515" spans="1:1" x14ac:dyDescent="0.35">
      <c r="A5515"/>
    </row>
    <row r="5516" spans="1:1" x14ac:dyDescent="0.35">
      <c r="A5516"/>
    </row>
    <row r="5517" spans="1:1" x14ac:dyDescent="0.35">
      <c r="A5517"/>
    </row>
    <row r="5518" spans="1:1" x14ac:dyDescent="0.35">
      <c r="A5518"/>
    </row>
    <row r="5519" spans="1:1" x14ac:dyDescent="0.35">
      <c r="A5519"/>
    </row>
    <row r="5520" spans="1:1" x14ac:dyDescent="0.35">
      <c r="A5520"/>
    </row>
    <row r="5521" spans="1:1" x14ac:dyDescent="0.35">
      <c r="A5521"/>
    </row>
    <row r="5522" spans="1:1" x14ac:dyDescent="0.35">
      <c r="A5522"/>
    </row>
    <row r="5523" spans="1:1" x14ac:dyDescent="0.35">
      <c r="A5523"/>
    </row>
    <row r="5524" spans="1:1" x14ac:dyDescent="0.35">
      <c r="A5524"/>
    </row>
    <row r="5525" spans="1:1" x14ac:dyDescent="0.35">
      <c r="A5525"/>
    </row>
    <row r="5526" spans="1:1" x14ac:dyDescent="0.35">
      <c r="A5526"/>
    </row>
    <row r="5527" spans="1:1" x14ac:dyDescent="0.35">
      <c r="A5527"/>
    </row>
    <row r="5528" spans="1:1" x14ac:dyDescent="0.35">
      <c r="A5528"/>
    </row>
    <row r="5529" spans="1:1" x14ac:dyDescent="0.35">
      <c r="A5529"/>
    </row>
    <row r="5530" spans="1:1" x14ac:dyDescent="0.35">
      <c r="A5530"/>
    </row>
    <row r="5531" spans="1:1" x14ac:dyDescent="0.35">
      <c r="A5531"/>
    </row>
    <row r="5532" spans="1:1" x14ac:dyDescent="0.35">
      <c r="A5532"/>
    </row>
    <row r="5533" spans="1:1" x14ac:dyDescent="0.35">
      <c r="A5533"/>
    </row>
    <row r="5534" spans="1:1" x14ac:dyDescent="0.35">
      <c r="A5534"/>
    </row>
    <row r="5535" spans="1:1" x14ac:dyDescent="0.35">
      <c r="A5535"/>
    </row>
    <row r="5536" spans="1:1" x14ac:dyDescent="0.35">
      <c r="A5536"/>
    </row>
    <row r="5537" spans="1:1" x14ac:dyDescent="0.35">
      <c r="A5537"/>
    </row>
    <row r="5538" spans="1:1" x14ac:dyDescent="0.35">
      <c r="A5538"/>
    </row>
    <row r="5539" spans="1:1" x14ac:dyDescent="0.35">
      <c r="A5539"/>
    </row>
    <row r="5540" spans="1:1" x14ac:dyDescent="0.35">
      <c r="A5540"/>
    </row>
    <row r="5541" spans="1:1" x14ac:dyDescent="0.35">
      <c r="A5541"/>
    </row>
    <row r="5542" spans="1:1" x14ac:dyDescent="0.35">
      <c r="A5542"/>
    </row>
    <row r="5543" spans="1:1" x14ac:dyDescent="0.35">
      <c r="A5543"/>
    </row>
    <row r="5544" spans="1:1" x14ac:dyDescent="0.35">
      <c r="A5544"/>
    </row>
    <row r="5545" spans="1:1" x14ac:dyDescent="0.35">
      <c r="A5545"/>
    </row>
    <row r="5546" spans="1:1" x14ac:dyDescent="0.35">
      <c r="A5546"/>
    </row>
    <row r="5547" spans="1:1" x14ac:dyDescent="0.35">
      <c r="A5547"/>
    </row>
    <row r="5548" spans="1:1" x14ac:dyDescent="0.35">
      <c r="A5548"/>
    </row>
    <row r="5549" spans="1:1" x14ac:dyDescent="0.35">
      <c r="A5549"/>
    </row>
    <row r="5550" spans="1:1" x14ac:dyDescent="0.35">
      <c r="A5550"/>
    </row>
    <row r="5551" spans="1:1" x14ac:dyDescent="0.35">
      <c r="A5551"/>
    </row>
    <row r="5552" spans="1:1" x14ac:dyDescent="0.35">
      <c r="A5552"/>
    </row>
    <row r="5553" spans="1:1" x14ac:dyDescent="0.35">
      <c r="A5553"/>
    </row>
    <row r="5554" spans="1:1" x14ac:dyDescent="0.35">
      <c r="A5554"/>
    </row>
    <row r="5555" spans="1:1" x14ac:dyDescent="0.35">
      <c r="A5555"/>
    </row>
    <row r="5556" spans="1:1" x14ac:dyDescent="0.35">
      <c r="A5556"/>
    </row>
    <row r="5557" spans="1:1" x14ac:dyDescent="0.35">
      <c r="A5557"/>
    </row>
    <row r="5558" spans="1:1" x14ac:dyDescent="0.35">
      <c r="A5558"/>
    </row>
    <row r="5559" spans="1:1" x14ac:dyDescent="0.35">
      <c r="A5559"/>
    </row>
    <row r="5560" spans="1:1" x14ac:dyDescent="0.35">
      <c r="A5560"/>
    </row>
    <row r="5561" spans="1:1" x14ac:dyDescent="0.35">
      <c r="A5561"/>
    </row>
    <row r="5562" spans="1:1" x14ac:dyDescent="0.35">
      <c r="A5562"/>
    </row>
    <row r="5563" spans="1:1" x14ac:dyDescent="0.35">
      <c r="A5563"/>
    </row>
    <row r="5564" spans="1:1" x14ac:dyDescent="0.35">
      <c r="A5564"/>
    </row>
    <row r="5565" spans="1:1" x14ac:dyDescent="0.35">
      <c r="A5565"/>
    </row>
    <row r="5566" spans="1:1" x14ac:dyDescent="0.35">
      <c r="A5566"/>
    </row>
    <row r="5567" spans="1:1" x14ac:dyDescent="0.35">
      <c r="A5567"/>
    </row>
    <row r="5568" spans="1:1" x14ac:dyDescent="0.35">
      <c r="A5568"/>
    </row>
    <row r="5569" spans="1:1" x14ac:dyDescent="0.35">
      <c r="A5569"/>
    </row>
    <row r="5570" spans="1:1" x14ac:dyDescent="0.35">
      <c r="A5570"/>
    </row>
    <row r="5571" spans="1:1" x14ac:dyDescent="0.35">
      <c r="A5571"/>
    </row>
    <row r="5572" spans="1:1" x14ac:dyDescent="0.35">
      <c r="A5572"/>
    </row>
    <row r="5573" spans="1:1" x14ac:dyDescent="0.35">
      <c r="A5573"/>
    </row>
    <row r="5574" spans="1:1" x14ac:dyDescent="0.35">
      <c r="A5574"/>
    </row>
    <row r="5575" spans="1:1" x14ac:dyDescent="0.35">
      <c r="A5575"/>
    </row>
    <row r="5576" spans="1:1" x14ac:dyDescent="0.35">
      <c r="A5576"/>
    </row>
    <row r="5577" spans="1:1" x14ac:dyDescent="0.35">
      <c r="A5577"/>
    </row>
    <row r="5578" spans="1:1" x14ac:dyDescent="0.35">
      <c r="A5578"/>
    </row>
    <row r="5579" spans="1:1" x14ac:dyDescent="0.35">
      <c r="A5579"/>
    </row>
    <row r="5580" spans="1:1" x14ac:dyDescent="0.35">
      <c r="A5580"/>
    </row>
    <row r="5581" spans="1:1" x14ac:dyDescent="0.35">
      <c r="A5581"/>
    </row>
    <row r="5582" spans="1:1" x14ac:dyDescent="0.35">
      <c r="A5582"/>
    </row>
    <row r="5583" spans="1:1" x14ac:dyDescent="0.35">
      <c r="A5583"/>
    </row>
    <row r="5584" spans="1:1" x14ac:dyDescent="0.35">
      <c r="A5584"/>
    </row>
    <row r="5585" spans="1:1" x14ac:dyDescent="0.35">
      <c r="A5585"/>
    </row>
    <row r="5586" spans="1:1" x14ac:dyDescent="0.35">
      <c r="A5586"/>
    </row>
    <row r="5587" spans="1:1" x14ac:dyDescent="0.35">
      <c r="A5587"/>
    </row>
    <row r="5588" spans="1:1" x14ac:dyDescent="0.35">
      <c r="A5588"/>
    </row>
    <row r="5589" spans="1:1" x14ac:dyDescent="0.35">
      <c r="A5589"/>
    </row>
    <row r="5590" spans="1:1" x14ac:dyDescent="0.35">
      <c r="A5590"/>
    </row>
    <row r="5591" spans="1:1" x14ac:dyDescent="0.35">
      <c r="A5591"/>
    </row>
    <row r="5592" spans="1:1" x14ac:dyDescent="0.35">
      <c r="A5592"/>
    </row>
    <row r="5593" spans="1:1" x14ac:dyDescent="0.35">
      <c r="A5593"/>
    </row>
    <row r="5594" spans="1:1" x14ac:dyDescent="0.35">
      <c r="A5594"/>
    </row>
    <row r="5595" spans="1:1" x14ac:dyDescent="0.35">
      <c r="A5595"/>
    </row>
    <row r="5596" spans="1:1" x14ac:dyDescent="0.35">
      <c r="A5596"/>
    </row>
    <row r="5597" spans="1:1" x14ac:dyDescent="0.35">
      <c r="A5597"/>
    </row>
    <row r="5598" spans="1:1" x14ac:dyDescent="0.35">
      <c r="A5598"/>
    </row>
    <row r="5599" spans="1:1" x14ac:dyDescent="0.35">
      <c r="A5599"/>
    </row>
    <row r="5600" spans="1:1" x14ac:dyDescent="0.35">
      <c r="A5600"/>
    </row>
    <row r="5601" spans="1:1" x14ac:dyDescent="0.35">
      <c r="A5601"/>
    </row>
    <row r="5602" spans="1:1" x14ac:dyDescent="0.35">
      <c r="A5602"/>
    </row>
    <row r="5603" spans="1:1" x14ac:dyDescent="0.35">
      <c r="A5603"/>
    </row>
    <row r="5604" spans="1:1" x14ac:dyDescent="0.35">
      <c r="A5604"/>
    </row>
    <row r="5605" spans="1:1" x14ac:dyDescent="0.35">
      <c r="A5605"/>
    </row>
    <row r="5606" spans="1:1" x14ac:dyDescent="0.35">
      <c r="A5606"/>
    </row>
    <row r="5607" spans="1:1" x14ac:dyDescent="0.35">
      <c r="A5607"/>
    </row>
    <row r="5608" spans="1:1" x14ac:dyDescent="0.35">
      <c r="A5608"/>
    </row>
    <row r="5609" spans="1:1" x14ac:dyDescent="0.35">
      <c r="A5609"/>
    </row>
    <row r="5610" spans="1:1" x14ac:dyDescent="0.35">
      <c r="A5610"/>
    </row>
    <row r="5611" spans="1:1" x14ac:dyDescent="0.35">
      <c r="A5611"/>
    </row>
    <row r="5612" spans="1:1" x14ac:dyDescent="0.35">
      <c r="A5612"/>
    </row>
    <row r="5613" spans="1:1" x14ac:dyDescent="0.35">
      <c r="A5613"/>
    </row>
    <row r="5614" spans="1:1" x14ac:dyDescent="0.35">
      <c r="A5614"/>
    </row>
    <row r="5615" spans="1:1" x14ac:dyDescent="0.35">
      <c r="A5615"/>
    </row>
    <row r="5616" spans="1:1" x14ac:dyDescent="0.35">
      <c r="A5616"/>
    </row>
    <row r="5617" spans="1:1" x14ac:dyDescent="0.35">
      <c r="A5617"/>
    </row>
    <row r="5618" spans="1:1" x14ac:dyDescent="0.35">
      <c r="A5618"/>
    </row>
    <row r="5619" spans="1:1" x14ac:dyDescent="0.35">
      <c r="A5619"/>
    </row>
    <row r="5620" spans="1:1" x14ac:dyDescent="0.35">
      <c r="A5620"/>
    </row>
    <row r="5621" spans="1:1" x14ac:dyDescent="0.35">
      <c r="A5621"/>
    </row>
    <row r="5622" spans="1:1" x14ac:dyDescent="0.35">
      <c r="A5622"/>
    </row>
    <row r="5623" spans="1:1" x14ac:dyDescent="0.35">
      <c r="A5623"/>
    </row>
    <row r="5624" spans="1:1" x14ac:dyDescent="0.35">
      <c r="A5624"/>
    </row>
    <row r="5625" spans="1:1" x14ac:dyDescent="0.35">
      <c r="A5625"/>
    </row>
    <row r="5626" spans="1:1" x14ac:dyDescent="0.35">
      <c r="A5626"/>
    </row>
    <row r="5627" spans="1:1" x14ac:dyDescent="0.35">
      <c r="A5627"/>
    </row>
    <row r="5628" spans="1:1" x14ac:dyDescent="0.35">
      <c r="A5628"/>
    </row>
    <row r="5629" spans="1:1" x14ac:dyDescent="0.35">
      <c r="A5629"/>
    </row>
    <row r="5630" spans="1:1" x14ac:dyDescent="0.35">
      <c r="A5630"/>
    </row>
    <row r="5631" spans="1:1" x14ac:dyDescent="0.35">
      <c r="A5631"/>
    </row>
    <row r="5632" spans="1:1" x14ac:dyDescent="0.35">
      <c r="A5632"/>
    </row>
    <row r="5633" spans="1:1" x14ac:dyDescent="0.35">
      <c r="A5633"/>
    </row>
    <row r="5634" spans="1:1" x14ac:dyDescent="0.35">
      <c r="A5634"/>
    </row>
    <row r="5635" spans="1:1" x14ac:dyDescent="0.35">
      <c r="A5635"/>
    </row>
    <row r="5636" spans="1:1" x14ac:dyDescent="0.35">
      <c r="A5636"/>
    </row>
    <row r="5637" spans="1:1" x14ac:dyDescent="0.35">
      <c r="A5637"/>
    </row>
    <row r="5638" spans="1:1" x14ac:dyDescent="0.35">
      <c r="A5638"/>
    </row>
    <row r="5639" spans="1:1" x14ac:dyDescent="0.35">
      <c r="A5639"/>
    </row>
    <row r="5640" spans="1:1" x14ac:dyDescent="0.35">
      <c r="A5640"/>
    </row>
    <row r="5641" spans="1:1" x14ac:dyDescent="0.35">
      <c r="A5641"/>
    </row>
    <row r="5642" spans="1:1" x14ac:dyDescent="0.35">
      <c r="A5642"/>
    </row>
    <row r="5643" spans="1:1" x14ac:dyDescent="0.35">
      <c r="A5643"/>
    </row>
    <row r="5644" spans="1:1" x14ac:dyDescent="0.35">
      <c r="A5644"/>
    </row>
    <row r="5645" spans="1:1" x14ac:dyDescent="0.35">
      <c r="A5645"/>
    </row>
    <row r="5646" spans="1:1" x14ac:dyDescent="0.35">
      <c r="A5646"/>
    </row>
    <row r="5647" spans="1:1" x14ac:dyDescent="0.35">
      <c r="A5647"/>
    </row>
    <row r="5648" spans="1:1" x14ac:dyDescent="0.35">
      <c r="A5648"/>
    </row>
    <row r="5649" spans="1:1" x14ac:dyDescent="0.35">
      <c r="A5649"/>
    </row>
    <row r="5650" spans="1:1" x14ac:dyDescent="0.35">
      <c r="A5650"/>
    </row>
    <row r="5651" spans="1:1" x14ac:dyDescent="0.35">
      <c r="A5651"/>
    </row>
    <row r="5652" spans="1:1" x14ac:dyDescent="0.35">
      <c r="A5652"/>
    </row>
    <row r="5653" spans="1:1" x14ac:dyDescent="0.35">
      <c r="A5653"/>
    </row>
    <row r="5654" spans="1:1" x14ac:dyDescent="0.35">
      <c r="A5654"/>
    </row>
    <row r="5655" spans="1:1" x14ac:dyDescent="0.35">
      <c r="A5655"/>
    </row>
    <row r="5656" spans="1:1" x14ac:dyDescent="0.35">
      <c r="A5656"/>
    </row>
    <row r="5657" spans="1:1" x14ac:dyDescent="0.35">
      <c r="A5657"/>
    </row>
    <row r="5658" spans="1:1" x14ac:dyDescent="0.35">
      <c r="A5658"/>
    </row>
    <row r="5659" spans="1:1" x14ac:dyDescent="0.35">
      <c r="A5659"/>
    </row>
    <row r="5660" spans="1:1" x14ac:dyDescent="0.35">
      <c r="A5660"/>
    </row>
    <row r="5661" spans="1:1" x14ac:dyDescent="0.35">
      <c r="A5661"/>
    </row>
    <row r="5662" spans="1:1" x14ac:dyDescent="0.35">
      <c r="A5662"/>
    </row>
    <row r="5663" spans="1:1" x14ac:dyDescent="0.35">
      <c r="A5663"/>
    </row>
    <row r="5664" spans="1:1" x14ac:dyDescent="0.35">
      <c r="A5664"/>
    </row>
    <row r="5665" spans="1:1" x14ac:dyDescent="0.35">
      <c r="A5665"/>
    </row>
    <row r="5666" spans="1:1" x14ac:dyDescent="0.35">
      <c r="A5666"/>
    </row>
    <row r="5667" spans="1:1" x14ac:dyDescent="0.35">
      <c r="A5667"/>
    </row>
    <row r="5668" spans="1:1" x14ac:dyDescent="0.35">
      <c r="A5668"/>
    </row>
    <row r="5669" spans="1:1" x14ac:dyDescent="0.35">
      <c r="A5669"/>
    </row>
    <row r="5670" spans="1:1" x14ac:dyDescent="0.35">
      <c r="A5670"/>
    </row>
    <row r="5671" spans="1:1" x14ac:dyDescent="0.35">
      <c r="A5671"/>
    </row>
    <row r="5672" spans="1:1" x14ac:dyDescent="0.35">
      <c r="A5672"/>
    </row>
    <row r="5673" spans="1:1" x14ac:dyDescent="0.35">
      <c r="A5673"/>
    </row>
    <row r="5674" spans="1:1" x14ac:dyDescent="0.35">
      <c r="A5674"/>
    </row>
    <row r="5675" spans="1:1" x14ac:dyDescent="0.35">
      <c r="A5675"/>
    </row>
    <row r="5676" spans="1:1" x14ac:dyDescent="0.35">
      <c r="A5676"/>
    </row>
    <row r="5677" spans="1:1" x14ac:dyDescent="0.35">
      <c r="A5677"/>
    </row>
    <row r="5678" spans="1:1" x14ac:dyDescent="0.35">
      <c r="A5678"/>
    </row>
    <row r="5679" spans="1:1" x14ac:dyDescent="0.35">
      <c r="A5679"/>
    </row>
    <row r="5680" spans="1:1" x14ac:dyDescent="0.35">
      <c r="A5680"/>
    </row>
    <row r="5681" spans="1:1" x14ac:dyDescent="0.35">
      <c r="A5681"/>
    </row>
    <row r="5682" spans="1:1" x14ac:dyDescent="0.35">
      <c r="A5682"/>
    </row>
    <row r="5683" spans="1:1" x14ac:dyDescent="0.35">
      <c r="A5683"/>
    </row>
    <row r="5684" spans="1:1" x14ac:dyDescent="0.35">
      <c r="A5684"/>
    </row>
    <row r="5685" spans="1:1" x14ac:dyDescent="0.35">
      <c r="A5685"/>
    </row>
    <row r="5686" spans="1:1" x14ac:dyDescent="0.35">
      <c r="A5686"/>
    </row>
    <row r="5687" spans="1:1" x14ac:dyDescent="0.35">
      <c r="A5687"/>
    </row>
    <row r="5688" spans="1:1" x14ac:dyDescent="0.35">
      <c r="A5688"/>
    </row>
    <row r="5689" spans="1:1" x14ac:dyDescent="0.35">
      <c r="A5689"/>
    </row>
    <row r="5690" spans="1:1" x14ac:dyDescent="0.35">
      <c r="A5690"/>
    </row>
    <row r="5691" spans="1:1" x14ac:dyDescent="0.35">
      <c r="A5691"/>
    </row>
    <row r="5692" spans="1:1" x14ac:dyDescent="0.35">
      <c r="A5692"/>
    </row>
    <row r="5693" spans="1:1" x14ac:dyDescent="0.35">
      <c r="A5693"/>
    </row>
    <row r="5694" spans="1:1" x14ac:dyDescent="0.35">
      <c r="A5694"/>
    </row>
    <row r="5695" spans="1:1" x14ac:dyDescent="0.35">
      <c r="A5695"/>
    </row>
    <row r="5696" spans="1:1" x14ac:dyDescent="0.35">
      <c r="A5696"/>
    </row>
    <row r="5697" spans="1:1" x14ac:dyDescent="0.35">
      <c r="A5697"/>
    </row>
    <row r="5698" spans="1:1" x14ac:dyDescent="0.35">
      <c r="A5698"/>
    </row>
    <row r="5699" spans="1:1" x14ac:dyDescent="0.35">
      <c r="A5699"/>
    </row>
    <row r="5700" spans="1:1" x14ac:dyDescent="0.35">
      <c r="A5700"/>
    </row>
    <row r="5701" spans="1:1" x14ac:dyDescent="0.35">
      <c r="A5701"/>
    </row>
    <row r="5702" spans="1:1" x14ac:dyDescent="0.35">
      <c r="A5702"/>
    </row>
    <row r="5703" spans="1:1" x14ac:dyDescent="0.35">
      <c r="A5703"/>
    </row>
    <row r="5704" spans="1:1" x14ac:dyDescent="0.35">
      <c r="A5704"/>
    </row>
    <row r="5705" spans="1:1" x14ac:dyDescent="0.35">
      <c r="A5705"/>
    </row>
    <row r="5706" spans="1:1" x14ac:dyDescent="0.35">
      <c r="A5706"/>
    </row>
    <row r="5707" spans="1:1" x14ac:dyDescent="0.35">
      <c r="A5707"/>
    </row>
    <row r="5708" spans="1:1" x14ac:dyDescent="0.35">
      <c r="A5708"/>
    </row>
    <row r="5709" spans="1:1" x14ac:dyDescent="0.35">
      <c r="A5709"/>
    </row>
    <row r="5710" spans="1:1" x14ac:dyDescent="0.35">
      <c r="A5710"/>
    </row>
    <row r="5711" spans="1:1" x14ac:dyDescent="0.35">
      <c r="A5711"/>
    </row>
    <row r="5712" spans="1:1" x14ac:dyDescent="0.35">
      <c r="A5712"/>
    </row>
    <row r="5713" spans="1:1" x14ac:dyDescent="0.35">
      <c r="A5713"/>
    </row>
    <row r="5714" spans="1:1" x14ac:dyDescent="0.35">
      <c r="A5714"/>
    </row>
    <row r="5715" spans="1:1" x14ac:dyDescent="0.35">
      <c r="A5715"/>
    </row>
    <row r="5716" spans="1:1" x14ac:dyDescent="0.35">
      <c r="A5716"/>
    </row>
    <row r="5717" spans="1:1" x14ac:dyDescent="0.35">
      <c r="A5717"/>
    </row>
    <row r="5718" spans="1:1" x14ac:dyDescent="0.35">
      <c r="A5718"/>
    </row>
    <row r="5719" spans="1:1" x14ac:dyDescent="0.35">
      <c r="A5719"/>
    </row>
    <row r="5720" spans="1:1" x14ac:dyDescent="0.35">
      <c r="A5720"/>
    </row>
    <row r="5721" spans="1:1" x14ac:dyDescent="0.35">
      <c r="A5721"/>
    </row>
    <row r="5722" spans="1:1" x14ac:dyDescent="0.35">
      <c r="A5722"/>
    </row>
    <row r="5723" spans="1:1" x14ac:dyDescent="0.35">
      <c r="A5723"/>
    </row>
    <row r="5724" spans="1:1" x14ac:dyDescent="0.35">
      <c r="A5724"/>
    </row>
    <row r="5725" spans="1:1" x14ac:dyDescent="0.35">
      <c r="A5725"/>
    </row>
    <row r="5726" spans="1:1" x14ac:dyDescent="0.35">
      <c r="A5726"/>
    </row>
    <row r="5727" spans="1:1" x14ac:dyDescent="0.35">
      <c r="A5727"/>
    </row>
    <row r="5728" spans="1:1" x14ac:dyDescent="0.35">
      <c r="A5728"/>
    </row>
    <row r="5729" spans="1:1" x14ac:dyDescent="0.35">
      <c r="A5729"/>
    </row>
    <row r="5730" spans="1:1" x14ac:dyDescent="0.35">
      <c r="A5730"/>
    </row>
    <row r="5731" spans="1:1" x14ac:dyDescent="0.35">
      <c r="A5731"/>
    </row>
    <row r="5732" spans="1:1" x14ac:dyDescent="0.35">
      <c r="A5732"/>
    </row>
    <row r="5733" spans="1:1" x14ac:dyDescent="0.35">
      <c r="A5733"/>
    </row>
    <row r="5734" spans="1:1" x14ac:dyDescent="0.35">
      <c r="A5734"/>
    </row>
    <row r="5735" spans="1:1" x14ac:dyDescent="0.35">
      <c r="A5735"/>
    </row>
    <row r="5736" spans="1:1" x14ac:dyDescent="0.35">
      <c r="A5736"/>
    </row>
    <row r="5737" spans="1:1" x14ac:dyDescent="0.35">
      <c r="A5737"/>
    </row>
    <row r="5738" spans="1:1" x14ac:dyDescent="0.35">
      <c r="A5738"/>
    </row>
    <row r="5739" spans="1:1" x14ac:dyDescent="0.35">
      <c r="A5739"/>
    </row>
    <row r="5740" spans="1:1" x14ac:dyDescent="0.35">
      <c r="A5740"/>
    </row>
    <row r="5741" spans="1:1" x14ac:dyDescent="0.35">
      <c r="A5741"/>
    </row>
    <row r="5742" spans="1:1" x14ac:dyDescent="0.35">
      <c r="A5742"/>
    </row>
    <row r="5743" spans="1:1" x14ac:dyDescent="0.35">
      <c r="A5743"/>
    </row>
    <row r="5744" spans="1:1" x14ac:dyDescent="0.35">
      <c r="A5744"/>
    </row>
    <row r="5745" spans="1:1" x14ac:dyDescent="0.35">
      <c r="A5745"/>
    </row>
    <row r="5746" spans="1:1" x14ac:dyDescent="0.35">
      <c r="A5746"/>
    </row>
    <row r="5747" spans="1:1" x14ac:dyDescent="0.35">
      <c r="A5747"/>
    </row>
    <row r="5748" spans="1:1" x14ac:dyDescent="0.35">
      <c r="A5748"/>
    </row>
    <row r="5749" spans="1:1" x14ac:dyDescent="0.35">
      <c r="A5749"/>
    </row>
    <row r="5750" spans="1:1" x14ac:dyDescent="0.35">
      <c r="A5750"/>
    </row>
    <row r="5751" spans="1:1" x14ac:dyDescent="0.35">
      <c r="A5751"/>
    </row>
    <row r="5752" spans="1:1" x14ac:dyDescent="0.35">
      <c r="A5752"/>
    </row>
    <row r="5753" spans="1:1" x14ac:dyDescent="0.35">
      <c r="A5753"/>
    </row>
    <row r="5754" spans="1:1" x14ac:dyDescent="0.35">
      <c r="A5754"/>
    </row>
    <row r="5755" spans="1:1" x14ac:dyDescent="0.35">
      <c r="A5755"/>
    </row>
    <row r="5756" spans="1:1" x14ac:dyDescent="0.35">
      <c r="A5756"/>
    </row>
    <row r="5757" spans="1:1" x14ac:dyDescent="0.35">
      <c r="A5757"/>
    </row>
    <row r="5758" spans="1:1" x14ac:dyDescent="0.35">
      <c r="A5758"/>
    </row>
    <row r="5759" spans="1:1" x14ac:dyDescent="0.35">
      <c r="A5759"/>
    </row>
    <row r="5760" spans="1:1" x14ac:dyDescent="0.35">
      <c r="A5760"/>
    </row>
    <row r="5761" spans="1:1" x14ac:dyDescent="0.35">
      <c r="A5761"/>
    </row>
    <row r="5762" spans="1:1" x14ac:dyDescent="0.35">
      <c r="A5762"/>
    </row>
    <row r="5763" spans="1:1" x14ac:dyDescent="0.35">
      <c r="A5763"/>
    </row>
    <row r="5764" spans="1:1" x14ac:dyDescent="0.35">
      <c r="A5764"/>
    </row>
    <row r="5765" spans="1:1" x14ac:dyDescent="0.35">
      <c r="A5765"/>
    </row>
    <row r="5766" spans="1:1" x14ac:dyDescent="0.35">
      <c r="A5766"/>
    </row>
    <row r="5767" spans="1:1" x14ac:dyDescent="0.35">
      <c r="A5767"/>
    </row>
    <row r="5768" spans="1:1" x14ac:dyDescent="0.35">
      <c r="A5768"/>
    </row>
    <row r="5769" spans="1:1" x14ac:dyDescent="0.35">
      <c r="A5769"/>
    </row>
    <row r="5770" spans="1:1" x14ac:dyDescent="0.35">
      <c r="A5770"/>
    </row>
    <row r="5771" spans="1:1" x14ac:dyDescent="0.35">
      <c r="A5771"/>
    </row>
    <row r="5772" spans="1:1" x14ac:dyDescent="0.35">
      <c r="A5772"/>
    </row>
    <row r="5773" spans="1:1" x14ac:dyDescent="0.35">
      <c r="A5773"/>
    </row>
    <row r="5774" spans="1:1" x14ac:dyDescent="0.35">
      <c r="A5774"/>
    </row>
    <row r="5775" spans="1:1" x14ac:dyDescent="0.35">
      <c r="A5775"/>
    </row>
    <row r="5776" spans="1:1" x14ac:dyDescent="0.35">
      <c r="A5776"/>
    </row>
    <row r="5777" spans="1:1" x14ac:dyDescent="0.35">
      <c r="A5777"/>
    </row>
    <row r="5778" spans="1:1" x14ac:dyDescent="0.35">
      <c r="A5778"/>
    </row>
    <row r="5779" spans="1:1" x14ac:dyDescent="0.35">
      <c r="A5779"/>
    </row>
    <row r="5780" spans="1:1" x14ac:dyDescent="0.35">
      <c r="A5780"/>
    </row>
    <row r="5781" spans="1:1" x14ac:dyDescent="0.35">
      <c r="A5781"/>
    </row>
    <row r="5782" spans="1:1" x14ac:dyDescent="0.35">
      <c r="A5782"/>
    </row>
    <row r="5783" spans="1:1" x14ac:dyDescent="0.35">
      <c r="A5783"/>
    </row>
    <row r="5784" spans="1:1" x14ac:dyDescent="0.35">
      <c r="A5784"/>
    </row>
    <row r="5785" spans="1:1" x14ac:dyDescent="0.35">
      <c r="A5785"/>
    </row>
    <row r="5786" spans="1:1" x14ac:dyDescent="0.35">
      <c r="A5786"/>
    </row>
    <row r="5787" spans="1:1" x14ac:dyDescent="0.35">
      <c r="A5787"/>
    </row>
    <row r="5788" spans="1:1" x14ac:dyDescent="0.35">
      <c r="A5788"/>
    </row>
    <row r="5789" spans="1:1" x14ac:dyDescent="0.35">
      <c r="A5789"/>
    </row>
    <row r="5790" spans="1:1" x14ac:dyDescent="0.35">
      <c r="A5790"/>
    </row>
    <row r="5791" spans="1:1" x14ac:dyDescent="0.35">
      <c r="A5791"/>
    </row>
    <row r="5792" spans="1:1" x14ac:dyDescent="0.35">
      <c r="A5792"/>
    </row>
    <row r="5793" spans="1:1" x14ac:dyDescent="0.35">
      <c r="A5793"/>
    </row>
    <row r="5794" spans="1:1" x14ac:dyDescent="0.35">
      <c r="A5794"/>
    </row>
    <row r="5795" spans="1:1" x14ac:dyDescent="0.35">
      <c r="A5795"/>
    </row>
    <row r="5796" spans="1:1" x14ac:dyDescent="0.35">
      <c r="A5796"/>
    </row>
    <row r="5797" spans="1:1" x14ac:dyDescent="0.35">
      <c r="A5797"/>
    </row>
    <row r="5798" spans="1:1" x14ac:dyDescent="0.35">
      <c r="A5798"/>
    </row>
    <row r="5799" spans="1:1" x14ac:dyDescent="0.35">
      <c r="A5799"/>
    </row>
    <row r="5800" spans="1:1" x14ac:dyDescent="0.35">
      <c r="A5800"/>
    </row>
    <row r="5801" spans="1:1" x14ac:dyDescent="0.35">
      <c r="A5801"/>
    </row>
    <row r="5802" spans="1:1" x14ac:dyDescent="0.35">
      <c r="A5802"/>
    </row>
    <row r="5803" spans="1:1" x14ac:dyDescent="0.35">
      <c r="A5803"/>
    </row>
    <row r="5804" spans="1:1" x14ac:dyDescent="0.35">
      <c r="A5804"/>
    </row>
    <row r="5805" spans="1:1" x14ac:dyDescent="0.35">
      <c r="A5805"/>
    </row>
    <row r="5806" spans="1:1" x14ac:dyDescent="0.35">
      <c r="A5806"/>
    </row>
    <row r="5807" spans="1:1" x14ac:dyDescent="0.35">
      <c r="A5807"/>
    </row>
    <row r="5808" spans="1:1" x14ac:dyDescent="0.35">
      <c r="A5808"/>
    </row>
    <row r="5809" spans="1:1" x14ac:dyDescent="0.35">
      <c r="A5809"/>
    </row>
    <row r="5810" spans="1:1" x14ac:dyDescent="0.35">
      <c r="A5810"/>
    </row>
    <row r="5811" spans="1:1" x14ac:dyDescent="0.35">
      <c r="A5811"/>
    </row>
    <row r="5812" spans="1:1" x14ac:dyDescent="0.35">
      <c r="A5812"/>
    </row>
    <row r="5813" spans="1:1" x14ac:dyDescent="0.35">
      <c r="A5813"/>
    </row>
    <row r="5814" spans="1:1" x14ac:dyDescent="0.35">
      <c r="A5814"/>
    </row>
    <row r="5815" spans="1:1" x14ac:dyDescent="0.35">
      <c r="A5815"/>
    </row>
    <row r="5816" spans="1:1" x14ac:dyDescent="0.35">
      <c r="A5816"/>
    </row>
    <row r="5817" spans="1:1" x14ac:dyDescent="0.35">
      <c r="A5817"/>
    </row>
    <row r="5818" spans="1:1" x14ac:dyDescent="0.35">
      <c r="A5818"/>
    </row>
    <row r="5819" spans="1:1" x14ac:dyDescent="0.35">
      <c r="A5819"/>
    </row>
    <row r="5820" spans="1:1" x14ac:dyDescent="0.35">
      <c r="A5820"/>
    </row>
    <row r="5821" spans="1:1" x14ac:dyDescent="0.35">
      <c r="A5821"/>
    </row>
    <row r="5822" spans="1:1" x14ac:dyDescent="0.35">
      <c r="A5822"/>
    </row>
    <row r="5823" spans="1:1" x14ac:dyDescent="0.35">
      <c r="A5823"/>
    </row>
    <row r="5824" spans="1:1" x14ac:dyDescent="0.35">
      <c r="A5824"/>
    </row>
    <row r="5825" spans="1:1" x14ac:dyDescent="0.35">
      <c r="A5825"/>
    </row>
    <row r="5826" spans="1:1" x14ac:dyDescent="0.35">
      <c r="A5826"/>
    </row>
    <row r="5827" spans="1:1" x14ac:dyDescent="0.35">
      <c r="A5827"/>
    </row>
    <row r="5828" spans="1:1" x14ac:dyDescent="0.35">
      <c r="A5828"/>
    </row>
    <row r="5829" spans="1:1" x14ac:dyDescent="0.35">
      <c r="A5829"/>
    </row>
    <row r="5830" spans="1:1" x14ac:dyDescent="0.35">
      <c r="A5830"/>
    </row>
    <row r="5831" spans="1:1" x14ac:dyDescent="0.35">
      <c r="A5831"/>
    </row>
    <row r="5832" spans="1:1" x14ac:dyDescent="0.35">
      <c r="A5832"/>
    </row>
    <row r="5833" spans="1:1" x14ac:dyDescent="0.35">
      <c r="A5833"/>
    </row>
    <row r="5834" spans="1:1" x14ac:dyDescent="0.35">
      <c r="A5834"/>
    </row>
    <row r="5835" spans="1:1" x14ac:dyDescent="0.35">
      <c r="A5835"/>
    </row>
    <row r="5836" spans="1:1" x14ac:dyDescent="0.35">
      <c r="A5836"/>
    </row>
    <row r="5837" spans="1:1" x14ac:dyDescent="0.35">
      <c r="A5837"/>
    </row>
    <row r="5838" spans="1:1" x14ac:dyDescent="0.35">
      <c r="A5838"/>
    </row>
    <row r="5839" spans="1:1" x14ac:dyDescent="0.35">
      <c r="A5839"/>
    </row>
    <row r="5840" spans="1:1" x14ac:dyDescent="0.35">
      <c r="A5840"/>
    </row>
    <row r="5841" spans="1:1" x14ac:dyDescent="0.35">
      <c r="A5841"/>
    </row>
    <row r="5842" spans="1:1" x14ac:dyDescent="0.35">
      <c r="A5842"/>
    </row>
    <row r="5843" spans="1:1" x14ac:dyDescent="0.35">
      <c r="A5843"/>
    </row>
    <row r="5844" spans="1:1" x14ac:dyDescent="0.35">
      <c r="A5844"/>
    </row>
    <row r="5845" spans="1:1" x14ac:dyDescent="0.35">
      <c r="A5845"/>
    </row>
    <row r="5846" spans="1:1" x14ac:dyDescent="0.35">
      <c r="A5846"/>
    </row>
    <row r="5847" spans="1:1" x14ac:dyDescent="0.35">
      <c r="A5847"/>
    </row>
    <row r="5848" spans="1:1" x14ac:dyDescent="0.35">
      <c r="A5848"/>
    </row>
    <row r="5849" spans="1:1" x14ac:dyDescent="0.35">
      <c r="A5849"/>
    </row>
    <row r="5850" spans="1:1" x14ac:dyDescent="0.35">
      <c r="A5850"/>
    </row>
    <row r="5851" spans="1:1" x14ac:dyDescent="0.35">
      <c r="A5851"/>
    </row>
    <row r="5852" spans="1:1" x14ac:dyDescent="0.35">
      <c r="A5852"/>
    </row>
    <row r="5853" spans="1:1" x14ac:dyDescent="0.35">
      <c r="A5853"/>
    </row>
    <row r="5854" spans="1:1" x14ac:dyDescent="0.35">
      <c r="A5854"/>
    </row>
    <row r="5855" spans="1:1" x14ac:dyDescent="0.35">
      <c r="A5855"/>
    </row>
    <row r="5856" spans="1:1" x14ac:dyDescent="0.35">
      <c r="A5856"/>
    </row>
    <row r="5857" spans="1:1" x14ac:dyDescent="0.35">
      <c r="A5857"/>
    </row>
    <row r="5858" spans="1:1" x14ac:dyDescent="0.35">
      <c r="A5858"/>
    </row>
    <row r="5859" spans="1:1" x14ac:dyDescent="0.35">
      <c r="A5859"/>
    </row>
    <row r="5860" spans="1:1" x14ac:dyDescent="0.35">
      <c r="A5860"/>
    </row>
    <row r="5861" spans="1:1" x14ac:dyDescent="0.35">
      <c r="A5861"/>
    </row>
    <row r="5862" spans="1:1" x14ac:dyDescent="0.35">
      <c r="A5862"/>
    </row>
    <row r="5863" spans="1:1" x14ac:dyDescent="0.35">
      <c r="A5863"/>
    </row>
    <row r="5864" spans="1:1" x14ac:dyDescent="0.35">
      <c r="A5864"/>
    </row>
    <row r="5865" spans="1:1" x14ac:dyDescent="0.35">
      <c r="A5865"/>
    </row>
    <row r="5866" spans="1:1" x14ac:dyDescent="0.35">
      <c r="A5866"/>
    </row>
    <row r="5867" spans="1:1" x14ac:dyDescent="0.35">
      <c r="A5867"/>
    </row>
    <row r="5868" spans="1:1" x14ac:dyDescent="0.35">
      <c r="A5868"/>
    </row>
    <row r="5869" spans="1:1" x14ac:dyDescent="0.35">
      <c r="A5869"/>
    </row>
    <row r="5870" spans="1:1" x14ac:dyDescent="0.35">
      <c r="A5870"/>
    </row>
    <row r="5871" spans="1:1" x14ac:dyDescent="0.35">
      <c r="A5871"/>
    </row>
    <row r="5872" spans="1:1" x14ac:dyDescent="0.35">
      <c r="A5872"/>
    </row>
    <row r="5873" spans="1:1" x14ac:dyDescent="0.35">
      <c r="A5873"/>
    </row>
    <row r="5874" spans="1:1" x14ac:dyDescent="0.35">
      <c r="A5874"/>
    </row>
    <row r="5875" spans="1:1" x14ac:dyDescent="0.35">
      <c r="A5875"/>
    </row>
    <row r="5876" spans="1:1" x14ac:dyDescent="0.35">
      <c r="A5876"/>
    </row>
    <row r="5877" spans="1:1" x14ac:dyDescent="0.35">
      <c r="A5877"/>
    </row>
    <row r="5878" spans="1:1" x14ac:dyDescent="0.35">
      <c r="A5878"/>
    </row>
    <row r="5879" spans="1:1" x14ac:dyDescent="0.35">
      <c r="A5879"/>
    </row>
    <row r="5880" spans="1:1" x14ac:dyDescent="0.35">
      <c r="A5880"/>
    </row>
    <row r="5881" spans="1:1" x14ac:dyDescent="0.35">
      <c r="A5881"/>
    </row>
    <row r="5882" spans="1:1" x14ac:dyDescent="0.35">
      <c r="A5882"/>
    </row>
    <row r="5883" spans="1:1" x14ac:dyDescent="0.35">
      <c r="A5883"/>
    </row>
    <row r="5884" spans="1:1" x14ac:dyDescent="0.35">
      <c r="A5884"/>
    </row>
    <row r="5885" spans="1:1" x14ac:dyDescent="0.35">
      <c r="A5885"/>
    </row>
    <row r="5886" spans="1:1" x14ac:dyDescent="0.35">
      <c r="A5886"/>
    </row>
    <row r="5887" spans="1:1" x14ac:dyDescent="0.35">
      <c r="A5887"/>
    </row>
    <row r="5888" spans="1:1" x14ac:dyDescent="0.35">
      <c r="A5888"/>
    </row>
    <row r="5889" spans="1:1" x14ac:dyDescent="0.35">
      <c r="A5889"/>
    </row>
    <row r="5890" spans="1:1" x14ac:dyDescent="0.35">
      <c r="A5890"/>
    </row>
    <row r="5891" spans="1:1" x14ac:dyDescent="0.35">
      <c r="A5891"/>
    </row>
    <row r="5892" spans="1:1" x14ac:dyDescent="0.35">
      <c r="A5892"/>
    </row>
    <row r="5893" spans="1:1" x14ac:dyDescent="0.35">
      <c r="A5893"/>
    </row>
    <row r="5894" spans="1:1" x14ac:dyDescent="0.35">
      <c r="A5894"/>
    </row>
    <row r="5895" spans="1:1" x14ac:dyDescent="0.35">
      <c r="A5895"/>
    </row>
    <row r="5896" spans="1:1" x14ac:dyDescent="0.35">
      <c r="A5896"/>
    </row>
    <row r="5897" spans="1:1" x14ac:dyDescent="0.35">
      <c r="A5897"/>
    </row>
    <row r="5898" spans="1:1" x14ac:dyDescent="0.35">
      <c r="A5898"/>
    </row>
    <row r="5899" spans="1:1" x14ac:dyDescent="0.35">
      <c r="A5899"/>
    </row>
    <row r="5900" spans="1:1" x14ac:dyDescent="0.35">
      <c r="A5900"/>
    </row>
    <row r="5901" spans="1:1" x14ac:dyDescent="0.35">
      <c r="A5901"/>
    </row>
    <row r="5902" spans="1:1" x14ac:dyDescent="0.35">
      <c r="A5902"/>
    </row>
    <row r="5903" spans="1:1" x14ac:dyDescent="0.35">
      <c r="A5903"/>
    </row>
    <row r="5904" spans="1:1" x14ac:dyDescent="0.35">
      <c r="A5904"/>
    </row>
    <row r="5905" spans="1:1" x14ac:dyDescent="0.35">
      <c r="A5905"/>
    </row>
    <row r="5906" spans="1:1" x14ac:dyDescent="0.35">
      <c r="A5906"/>
    </row>
    <row r="5907" spans="1:1" x14ac:dyDescent="0.35">
      <c r="A5907"/>
    </row>
    <row r="5908" spans="1:1" x14ac:dyDescent="0.35">
      <c r="A5908"/>
    </row>
    <row r="5909" spans="1:1" x14ac:dyDescent="0.35">
      <c r="A5909"/>
    </row>
    <row r="5910" spans="1:1" x14ac:dyDescent="0.35">
      <c r="A5910"/>
    </row>
    <row r="5911" spans="1:1" x14ac:dyDescent="0.35">
      <c r="A5911"/>
    </row>
    <row r="5912" spans="1:1" x14ac:dyDescent="0.35">
      <c r="A5912"/>
    </row>
    <row r="5913" spans="1:1" x14ac:dyDescent="0.35">
      <c r="A5913"/>
    </row>
    <row r="5914" spans="1:1" x14ac:dyDescent="0.35">
      <c r="A5914"/>
    </row>
    <row r="5915" spans="1:1" x14ac:dyDescent="0.35">
      <c r="A5915"/>
    </row>
    <row r="5916" spans="1:1" x14ac:dyDescent="0.35">
      <c r="A5916"/>
    </row>
    <row r="5917" spans="1:1" x14ac:dyDescent="0.35">
      <c r="A5917"/>
    </row>
    <row r="5918" spans="1:1" x14ac:dyDescent="0.35">
      <c r="A5918"/>
    </row>
    <row r="5919" spans="1:1" x14ac:dyDescent="0.35">
      <c r="A5919"/>
    </row>
    <row r="5920" spans="1:1" x14ac:dyDescent="0.35">
      <c r="A5920"/>
    </row>
    <row r="5921" spans="1:1" x14ac:dyDescent="0.35">
      <c r="A5921"/>
    </row>
    <row r="5922" spans="1:1" x14ac:dyDescent="0.35">
      <c r="A5922"/>
    </row>
    <row r="5923" spans="1:1" x14ac:dyDescent="0.35">
      <c r="A5923"/>
    </row>
    <row r="5924" spans="1:1" x14ac:dyDescent="0.35">
      <c r="A5924"/>
    </row>
    <row r="5925" spans="1:1" x14ac:dyDescent="0.35">
      <c r="A5925"/>
    </row>
    <row r="5926" spans="1:1" x14ac:dyDescent="0.35">
      <c r="A5926"/>
    </row>
    <row r="5927" spans="1:1" x14ac:dyDescent="0.35">
      <c r="A5927"/>
    </row>
    <row r="5928" spans="1:1" x14ac:dyDescent="0.35">
      <c r="A5928"/>
    </row>
    <row r="5929" spans="1:1" x14ac:dyDescent="0.35">
      <c r="A5929"/>
    </row>
    <row r="5930" spans="1:1" x14ac:dyDescent="0.35">
      <c r="A5930"/>
    </row>
    <row r="5931" spans="1:1" x14ac:dyDescent="0.35">
      <c r="A5931"/>
    </row>
    <row r="5932" spans="1:1" x14ac:dyDescent="0.35">
      <c r="A5932"/>
    </row>
    <row r="5933" spans="1:1" x14ac:dyDescent="0.35">
      <c r="A5933"/>
    </row>
    <row r="5934" spans="1:1" x14ac:dyDescent="0.35">
      <c r="A5934"/>
    </row>
    <row r="5935" spans="1:1" x14ac:dyDescent="0.35">
      <c r="A5935"/>
    </row>
    <row r="5936" spans="1:1" x14ac:dyDescent="0.35">
      <c r="A5936"/>
    </row>
    <row r="5937" spans="1:1" x14ac:dyDescent="0.35">
      <c r="A5937"/>
    </row>
    <row r="5938" spans="1:1" x14ac:dyDescent="0.35">
      <c r="A5938"/>
    </row>
    <row r="5939" spans="1:1" x14ac:dyDescent="0.35">
      <c r="A5939"/>
    </row>
    <row r="5940" spans="1:1" x14ac:dyDescent="0.35">
      <c r="A5940"/>
    </row>
    <row r="5941" spans="1:1" x14ac:dyDescent="0.35">
      <c r="A5941"/>
    </row>
    <row r="5942" spans="1:1" x14ac:dyDescent="0.35">
      <c r="A5942"/>
    </row>
    <row r="5943" spans="1:1" x14ac:dyDescent="0.35">
      <c r="A5943"/>
    </row>
    <row r="5944" spans="1:1" x14ac:dyDescent="0.35">
      <c r="A5944"/>
    </row>
    <row r="5945" spans="1:1" x14ac:dyDescent="0.35">
      <c r="A5945"/>
    </row>
    <row r="5946" spans="1:1" x14ac:dyDescent="0.35">
      <c r="A5946"/>
    </row>
    <row r="5947" spans="1:1" x14ac:dyDescent="0.35">
      <c r="A5947"/>
    </row>
    <row r="5948" spans="1:1" x14ac:dyDescent="0.35">
      <c r="A5948"/>
    </row>
    <row r="5949" spans="1:1" x14ac:dyDescent="0.35">
      <c r="A5949"/>
    </row>
    <row r="5950" spans="1:1" x14ac:dyDescent="0.35">
      <c r="A5950"/>
    </row>
    <row r="5951" spans="1:1" x14ac:dyDescent="0.35">
      <c r="A5951"/>
    </row>
    <row r="5952" spans="1:1" x14ac:dyDescent="0.35">
      <c r="A5952"/>
    </row>
    <row r="5953" spans="1:1" x14ac:dyDescent="0.35">
      <c r="A5953"/>
    </row>
    <row r="5954" spans="1:1" x14ac:dyDescent="0.35">
      <c r="A5954"/>
    </row>
    <row r="5955" spans="1:1" x14ac:dyDescent="0.35">
      <c r="A5955"/>
    </row>
    <row r="5956" spans="1:1" x14ac:dyDescent="0.35">
      <c r="A5956"/>
    </row>
    <row r="5957" spans="1:1" x14ac:dyDescent="0.35">
      <c r="A5957"/>
    </row>
    <row r="5958" spans="1:1" x14ac:dyDescent="0.35">
      <c r="A5958"/>
    </row>
    <row r="5959" spans="1:1" x14ac:dyDescent="0.35">
      <c r="A5959"/>
    </row>
    <row r="5960" spans="1:1" x14ac:dyDescent="0.35">
      <c r="A5960"/>
    </row>
    <row r="5961" spans="1:1" x14ac:dyDescent="0.35">
      <c r="A5961"/>
    </row>
    <row r="5962" spans="1:1" x14ac:dyDescent="0.35">
      <c r="A5962"/>
    </row>
    <row r="5963" spans="1:1" x14ac:dyDescent="0.35">
      <c r="A5963"/>
    </row>
    <row r="5964" spans="1:1" x14ac:dyDescent="0.35">
      <c r="A5964"/>
    </row>
    <row r="5965" spans="1:1" x14ac:dyDescent="0.35">
      <c r="A5965"/>
    </row>
    <row r="5966" spans="1:1" x14ac:dyDescent="0.35">
      <c r="A5966"/>
    </row>
    <row r="5967" spans="1:1" x14ac:dyDescent="0.35">
      <c r="A5967"/>
    </row>
    <row r="5968" spans="1:1" x14ac:dyDescent="0.35">
      <c r="A5968"/>
    </row>
    <row r="5969" spans="1:1" x14ac:dyDescent="0.35">
      <c r="A5969"/>
    </row>
    <row r="5970" spans="1:1" x14ac:dyDescent="0.35">
      <c r="A5970"/>
    </row>
    <row r="5971" spans="1:1" x14ac:dyDescent="0.35">
      <c r="A5971"/>
    </row>
    <row r="5972" spans="1:1" x14ac:dyDescent="0.35">
      <c r="A5972"/>
    </row>
    <row r="5973" spans="1:1" x14ac:dyDescent="0.35">
      <c r="A5973"/>
    </row>
    <row r="5974" spans="1:1" x14ac:dyDescent="0.35">
      <c r="A5974"/>
    </row>
    <row r="5975" spans="1:1" x14ac:dyDescent="0.35">
      <c r="A5975"/>
    </row>
    <row r="5976" spans="1:1" x14ac:dyDescent="0.35">
      <c r="A5976"/>
    </row>
    <row r="5977" spans="1:1" x14ac:dyDescent="0.35">
      <c r="A5977"/>
    </row>
    <row r="5978" spans="1:1" x14ac:dyDescent="0.35">
      <c r="A5978"/>
    </row>
    <row r="5979" spans="1:1" x14ac:dyDescent="0.35">
      <c r="A5979"/>
    </row>
    <row r="5980" spans="1:1" x14ac:dyDescent="0.35">
      <c r="A5980"/>
    </row>
    <row r="5981" spans="1:1" x14ac:dyDescent="0.35">
      <c r="A5981"/>
    </row>
    <row r="5982" spans="1:1" x14ac:dyDescent="0.35">
      <c r="A5982"/>
    </row>
    <row r="5983" spans="1:1" x14ac:dyDescent="0.35">
      <c r="A5983"/>
    </row>
    <row r="5984" spans="1:1" x14ac:dyDescent="0.35">
      <c r="A5984"/>
    </row>
    <row r="5985" spans="1:1" x14ac:dyDescent="0.35">
      <c r="A5985"/>
    </row>
    <row r="5986" spans="1:1" x14ac:dyDescent="0.35">
      <c r="A5986"/>
    </row>
    <row r="5987" spans="1:1" x14ac:dyDescent="0.35">
      <c r="A5987"/>
    </row>
    <row r="5988" spans="1:1" x14ac:dyDescent="0.35">
      <c r="A5988"/>
    </row>
    <row r="5989" spans="1:1" x14ac:dyDescent="0.35">
      <c r="A5989"/>
    </row>
    <row r="5990" spans="1:1" x14ac:dyDescent="0.35">
      <c r="A5990"/>
    </row>
    <row r="5991" spans="1:1" x14ac:dyDescent="0.35">
      <c r="A5991"/>
    </row>
    <row r="5992" spans="1:1" x14ac:dyDescent="0.35">
      <c r="A5992"/>
    </row>
    <row r="5993" spans="1:1" x14ac:dyDescent="0.35">
      <c r="A5993"/>
    </row>
    <row r="5994" spans="1:1" x14ac:dyDescent="0.35">
      <c r="A5994"/>
    </row>
    <row r="5995" spans="1:1" x14ac:dyDescent="0.35">
      <c r="A5995"/>
    </row>
    <row r="5996" spans="1:1" x14ac:dyDescent="0.35">
      <c r="A5996"/>
    </row>
    <row r="5997" spans="1:1" x14ac:dyDescent="0.35">
      <c r="A5997"/>
    </row>
    <row r="5998" spans="1:1" x14ac:dyDescent="0.35">
      <c r="A5998"/>
    </row>
    <row r="5999" spans="1:1" x14ac:dyDescent="0.35">
      <c r="A5999"/>
    </row>
    <row r="6000" spans="1:1" x14ac:dyDescent="0.35">
      <c r="A6000"/>
    </row>
    <row r="6001" spans="1:1" x14ac:dyDescent="0.35">
      <c r="A6001"/>
    </row>
    <row r="6002" spans="1:1" x14ac:dyDescent="0.35">
      <c r="A6002"/>
    </row>
    <row r="6003" spans="1:1" x14ac:dyDescent="0.35">
      <c r="A6003"/>
    </row>
    <row r="6004" spans="1:1" x14ac:dyDescent="0.35">
      <c r="A6004"/>
    </row>
    <row r="6005" spans="1:1" x14ac:dyDescent="0.35">
      <c r="A6005"/>
    </row>
    <row r="6006" spans="1:1" x14ac:dyDescent="0.35">
      <c r="A6006"/>
    </row>
    <row r="6007" spans="1:1" x14ac:dyDescent="0.35">
      <c r="A6007"/>
    </row>
    <row r="6008" spans="1:1" x14ac:dyDescent="0.35">
      <c r="A6008"/>
    </row>
    <row r="6009" spans="1:1" x14ac:dyDescent="0.35">
      <c r="A6009"/>
    </row>
    <row r="6010" spans="1:1" x14ac:dyDescent="0.35">
      <c r="A6010"/>
    </row>
    <row r="6011" spans="1:1" x14ac:dyDescent="0.35">
      <c r="A6011"/>
    </row>
    <row r="6012" spans="1:1" x14ac:dyDescent="0.35">
      <c r="A6012"/>
    </row>
    <row r="6013" spans="1:1" x14ac:dyDescent="0.35">
      <c r="A6013"/>
    </row>
    <row r="6014" spans="1:1" x14ac:dyDescent="0.35">
      <c r="A6014"/>
    </row>
    <row r="6015" spans="1:1" x14ac:dyDescent="0.35">
      <c r="A6015"/>
    </row>
    <row r="6016" spans="1:1" x14ac:dyDescent="0.35">
      <c r="A6016"/>
    </row>
    <row r="6017" spans="1:1" x14ac:dyDescent="0.35">
      <c r="A6017"/>
    </row>
    <row r="6018" spans="1:1" x14ac:dyDescent="0.35">
      <c r="A6018"/>
    </row>
    <row r="6019" spans="1:1" x14ac:dyDescent="0.35">
      <c r="A6019"/>
    </row>
    <row r="6020" spans="1:1" x14ac:dyDescent="0.35">
      <c r="A6020"/>
    </row>
    <row r="6021" spans="1:1" x14ac:dyDescent="0.35">
      <c r="A6021"/>
    </row>
    <row r="6022" spans="1:1" x14ac:dyDescent="0.35">
      <c r="A6022"/>
    </row>
    <row r="6023" spans="1:1" x14ac:dyDescent="0.35">
      <c r="A6023"/>
    </row>
    <row r="6024" spans="1:1" x14ac:dyDescent="0.35">
      <c r="A6024"/>
    </row>
    <row r="6025" spans="1:1" x14ac:dyDescent="0.35">
      <c r="A6025"/>
    </row>
    <row r="6026" spans="1:1" x14ac:dyDescent="0.35">
      <c r="A6026"/>
    </row>
    <row r="6027" spans="1:1" x14ac:dyDescent="0.35">
      <c r="A6027"/>
    </row>
    <row r="6028" spans="1:1" x14ac:dyDescent="0.35">
      <c r="A6028"/>
    </row>
    <row r="6029" spans="1:1" x14ac:dyDescent="0.35">
      <c r="A6029"/>
    </row>
    <row r="6030" spans="1:1" x14ac:dyDescent="0.35">
      <c r="A6030"/>
    </row>
    <row r="6031" spans="1:1" x14ac:dyDescent="0.35">
      <c r="A6031"/>
    </row>
    <row r="6032" spans="1:1" x14ac:dyDescent="0.35">
      <c r="A6032"/>
    </row>
    <row r="6033" spans="1:1" x14ac:dyDescent="0.35">
      <c r="A6033"/>
    </row>
    <row r="6034" spans="1:1" x14ac:dyDescent="0.35">
      <c r="A6034"/>
    </row>
    <row r="6035" spans="1:1" x14ac:dyDescent="0.35">
      <c r="A6035"/>
    </row>
    <row r="6036" spans="1:1" x14ac:dyDescent="0.35">
      <c r="A6036"/>
    </row>
    <row r="6037" spans="1:1" x14ac:dyDescent="0.35">
      <c r="A6037"/>
    </row>
    <row r="6038" spans="1:1" x14ac:dyDescent="0.35">
      <c r="A6038"/>
    </row>
    <row r="6039" spans="1:1" x14ac:dyDescent="0.35">
      <c r="A6039"/>
    </row>
    <row r="6040" spans="1:1" x14ac:dyDescent="0.35">
      <c r="A6040"/>
    </row>
    <row r="6041" spans="1:1" x14ac:dyDescent="0.35">
      <c r="A6041"/>
    </row>
    <row r="6042" spans="1:1" x14ac:dyDescent="0.35">
      <c r="A6042"/>
    </row>
    <row r="6043" spans="1:1" x14ac:dyDescent="0.35">
      <c r="A6043"/>
    </row>
    <row r="6044" spans="1:1" x14ac:dyDescent="0.35">
      <c r="A6044"/>
    </row>
    <row r="6045" spans="1:1" x14ac:dyDescent="0.35">
      <c r="A6045"/>
    </row>
    <row r="6046" spans="1:1" x14ac:dyDescent="0.35">
      <c r="A6046"/>
    </row>
    <row r="6047" spans="1:1" x14ac:dyDescent="0.35">
      <c r="A6047"/>
    </row>
    <row r="6048" spans="1:1" x14ac:dyDescent="0.35">
      <c r="A6048"/>
    </row>
    <row r="6049" spans="1:1" x14ac:dyDescent="0.35">
      <c r="A6049"/>
    </row>
    <row r="6050" spans="1:1" x14ac:dyDescent="0.35">
      <c r="A6050"/>
    </row>
    <row r="6051" spans="1:1" x14ac:dyDescent="0.35">
      <c r="A6051"/>
    </row>
    <row r="6052" spans="1:1" x14ac:dyDescent="0.35">
      <c r="A6052"/>
    </row>
    <row r="6053" spans="1:1" x14ac:dyDescent="0.35">
      <c r="A6053"/>
    </row>
    <row r="6054" spans="1:1" x14ac:dyDescent="0.35">
      <c r="A6054"/>
    </row>
    <row r="6055" spans="1:1" x14ac:dyDescent="0.35">
      <c r="A6055"/>
    </row>
    <row r="6056" spans="1:1" x14ac:dyDescent="0.35">
      <c r="A6056"/>
    </row>
    <row r="6057" spans="1:1" x14ac:dyDescent="0.35">
      <c r="A6057"/>
    </row>
    <row r="6058" spans="1:1" x14ac:dyDescent="0.35">
      <c r="A6058"/>
    </row>
    <row r="6059" spans="1:1" x14ac:dyDescent="0.35">
      <c r="A6059"/>
    </row>
    <row r="6060" spans="1:1" x14ac:dyDescent="0.35">
      <c r="A6060"/>
    </row>
    <row r="6061" spans="1:1" x14ac:dyDescent="0.35">
      <c r="A6061"/>
    </row>
    <row r="6062" spans="1:1" x14ac:dyDescent="0.35">
      <c r="A6062"/>
    </row>
    <row r="6063" spans="1:1" x14ac:dyDescent="0.35">
      <c r="A6063"/>
    </row>
    <row r="6064" spans="1:1" x14ac:dyDescent="0.35">
      <c r="A6064"/>
    </row>
    <row r="6065" spans="1:1" x14ac:dyDescent="0.35">
      <c r="A6065"/>
    </row>
    <row r="6066" spans="1:1" x14ac:dyDescent="0.35">
      <c r="A6066"/>
    </row>
    <row r="6067" spans="1:1" x14ac:dyDescent="0.35">
      <c r="A6067"/>
    </row>
    <row r="6068" spans="1:1" x14ac:dyDescent="0.35">
      <c r="A6068"/>
    </row>
    <row r="6069" spans="1:1" x14ac:dyDescent="0.35">
      <c r="A6069"/>
    </row>
    <row r="6070" spans="1:1" x14ac:dyDescent="0.35">
      <c r="A6070"/>
    </row>
    <row r="6071" spans="1:1" x14ac:dyDescent="0.35">
      <c r="A6071"/>
    </row>
    <row r="6072" spans="1:1" x14ac:dyDescent="0.35">
      <c r="A6072"/>
    </row>
    <row r="6073" spans="1:1" x14ac:dyDescent="0.35">
      <c r="A6073"/>
    </row>
    <row r="6074" spans="1:1" x14ac:dyDescent="0.35">
      <c r="A6074"/>
    </row>
    <row r="6075" spans="1:1" x14ac:dyDescent="0.35">
      <c r="A6075"/>
    </row>
    <row r="6076" spans="1:1" x14ac:dyDescent="0.35">
      <c r="A6076"/>
    </row>
    <row r="6077" spans="1:1" x14ac:dyDescent="0.35">
      <c r="A6077"/>
    </row>
    <row r="6078" spans="1:1" x14ac:dyDescent="0.35">
      <c r="A6078"/>
    </row>
    <row r="6079" spans="1:1" x14ac:dyDescent="0.35">
      <c r="A6079"/>
    </row>
    <row r="6080" spans="1:1" x14ac:dyDescent="0.35">
      <c r="A6080"/>
    </row>
    <row r="6081" spans="1:1" x14ac:dyDescent="0.35">
      <c r="A6081"/>
    </row>
    <row r="6082" spans="1:1" x14ac:dyDescent="0.35">
      <c r="A6082"/>
    </row>
    <row r="6083" spans="1:1" x14ac:dyDescent="0.35">
      <c r="A6083"/>
    </row>
    <row r="6084" spans="1:1" x14ac:dyDescent="0.35">
      <c r="A6084"/>
    </row>
    <row r="6085" spans="1:1" x14ac:dyDescent="0.35">
      <c r="A6085"/>
    </row>
    <row r="6086" spans="1:1" x14ac:dyDescent="0.35">
      <c r="A6086"/>
    </row>
    <row r="6087" spans="1:1" x14ac:dyDescent="0.35">
      <c r="A6087"/>
    </row>
    <row r="6088" spans="1:1" x14ac:dyDescent="0.35">
      <c r="A6088"/>
    </row>
    <row r="6089" spans="1:1" x14ac:dyDescent="0.35">
      <c r="A6089"/>
    </row>
    <row r="6090" spans="1:1" x14ac:dyDescent="0.35">
      <c r="A6090"/>
    </row>
    <row r="6091" spans="1:1" x14ac:dyDescent="0.35">
      <c r="A6091"/>
    </row>
    <row r="6092" spans="1:1" x14ac:dyDescent="0.35">
      <c r="A6092"/>
    </row>
    <row r="6093" spans="1:1" x14ac:dyDescent="0.35">
      <c r="A6093"/>
    </row>
    <row r="6094" spans="1:1" x14ac:dyDescent="0.35">
      <c r="A6094"/>
    </row>
    <row r="6095" spans="1:1" x14ac:dyDescent="0.35">
      <c r="A6095"/>
    </row>
    <row r="6096" spans="1:1" x14ac:dyDescent="0.35">
      <c r="A6096"/>
    </row>
    <row r="6097" spans="1:1" x14ac:dyDescent="0.35">
      <c r="A6097"/>
    </row>
    <row r="6098" spans="1:1" x14ac:dyDescent="0.35">
      <c r="A6098"/>
    </row>
    <row r="6099" spans="1:1" x14ac:dyDescent="0.35">
      <c r="A6099"/>
    </row>
    <row r="6100" spans="1:1" x14ac:dyDescent="0.35">
      <c r="A6100"/>
    </row>
    <row r="6101" spans="1:1" x14ac:dyDescent="0.35">
      <c r="A6101"/>
    </row>
    <row r="6102" spans="1:1" x14ac:dyDescent="0.35">
      <c r="A6102"/>
    </row>
    <row r="6103" spans="1:1" x14ac:dyDescent="0.35">
      <c r="A6103"/>
    </row>
    <row r="6104" spans="1:1" x14ac:dyDescent="0.35">
      <c r="A6104"/>
    </row>
    <row r="6105" spans="1:1" x14ac:dyDescent="0.35">
      <c r="A6105"/>
    </row>
    <row r="6106" spans="1:1" x14ac:dyDescent="0.35">
      <c r="A6106"/>
    </row>
    <row r="6107" spans="1:1" x14ac:dyDescent="0.35">
      <c r="A6107"/>
    </row>
    <row r="6108" spans="1:1" x14ac:dyDescent="0.35">
      <c r="A6108"/>
    </row>
    <row r="6109" spans="1:1" x14ac:dyDescent="0.35">
      <c r="A6109"/>
    </row>
    <row r="6110" spans="1:1" x14ac:dyDescent="0.35">
      <c r="A6110"/>
    </row>
    <row r="6111" spans="1:1" x14ac:dyDescent="0.35">
      <c r="A6111"/>
    </row>
    <row r="6112" spans="1:1" x14ac:dyDescent="0.35">
      <c r="A6112"/>
    </row>
    <row r="6113" spans="1:1" x14ac:dyDescent="0.35">
      <c r="A6113"/>
    </row>
    <row r="6114" spans="1:1" x14ac:dyDescent="0.35">
      <c r="A6114"/>
    </row>
    <row r="6115" spans="1:1" x14ac:dyDescent="0.35">
      <c r="A6115"/>
    </row>
    <row r="6116" spans="1:1" x14ac:dyDescent="0.35">
      <c r="A6116"/>
    </row>
    <row r="6117" spans="1:1" x14ac:dyDescent="0.35">
      <c r="A6117"/>
    </row>
    <row r="6118" spans="1:1" x14ac:dyDescent="0.35">
      <c r="A6118"/>
    </row>
    <row r="6119" spans="1:1" x14ac:dyDescent="0.35">
      <c r="A6119"/>
    </row>
    <row r="6120" spans="1:1" x14ac:dyDescent="0.35">
      <c r="A6120"/>
    </row>
    <row r="6121" spans="1:1" x14ac:dyDescent="0.35">
      <c r="A6121"/>
    </row>
    <row r="6122" spans="1:1" x14ac:dyDescent="0.35">
      <c r="A6122"/>
    </row>
    <row r="6123" spans="1:1" x14ac:dyDescent="0.35">
      <c r="A6123"/>
    </row>
    <row r="6124" spans="1:1" x14ac:dyDescent="0.35">
      <c r="A6124"/>
    </row>
    <row r="6125" spans="1:1" x14ac:dyDescent="0.35">
      <c r="A6125"/>
    </row>
    <row r="6126" spans="1:1" x14ac:dyDescent="0.35">
      <c r="A6126"/>
    </row>
    <row r="6127" spans="1:1" x14ac:dyDescent="0.35">
      <c r="A6127"/>
    </row>
    <row r="6128" spans="1:1" x14ac:dyDescent="0.35">
      <c r="A6128"/>
    </row>
    <row r="6129" spans="1:1" x14ac:dyDescent="0.35">
      <c r="A6129"/>
    </row>
    <row r="6130" spans="1:1" x14ac:dyDescent="0.35">
      <c r="A6130"/>
    </row>
    <row r="6131" spans="1:1" x14ac:dyDescent="0.35">
      <c r="A6131"/>
    </row>
    <row r="6132" spans="1:1" x14ac:dyDescent="0.35">
      <c r="A6132"/>
    </row>
    <row r="6133" spans="1:1" x14ac:dyDescent="0.35">
      <c r="A6133"/>
    </row>
    <row r="6134" spans="1:1" x14ac:dyDescent="0.35">
      <c r="A6134"/>
    </row>
    <row r="6135" spans="1:1" x14ac:dyDescent="0.35">
      <c r="A6135"/>
    </row>
    <row r="6136" spans="1:1" x14ac:dyDescent="0.35">
      <c r="A6136"/>
    </row>
    <row r="6137" spans="1:1" x14ac:dyDescent="0.35">
      <c r="A6137"/>
    </row>
    <row r="6138" spans="1:1" x14ac:dyDescent="0.35">
      <c r="A6138"/>
    </row>
    <row r="6139" spans="1:1" x14ac:dyDescent="0.35">
      <c r="A6139"/>
    </row>
    <row r="6140" spans="1:1" x14ac:dyDescent="0.35">
      <c r="A6140"/>
    </row>
    <row r="6141" spans="1:1" x14ac:dyDescent="0.35">
      <c r="A6141"/>
    </row>
    <row r="6142" spans="1:1" x14ac:dyDescent="0.35">
      <c r="A6142"/>
    </row>
    <row r="6143" spans="1:1" x14ac:dyDescent="0.35">
      <c r="A6143"/>
    </row>
    <row r="6144" spans="1:1" x14ac:dyDescent="0.35">
      <c r="A6144"/>
    </row>
    <row r="6145" spans="1:1" x14ac:dyDescent="0.35">
      <c r="A6145"/>
    </row>
    <row r="6146" spans="1:1" x14ac:dyDescent="0.35">
      <c r="A6146"/>
    </row>
    <row r="6147" spans="1:1" x14ac:dyDescent="0.35">
      <c r="A6147"/>
    </row>
    <row r="6148" spans="1:1" x14ac:dyDescent="0.35">
      <c r="A6148"/>
    </row>
    <row r="6149" spans="1:1" x14ac:dyDescent="0.35">
      <c r="A6149"/>
    </row>
    <row r="6150" spans="1:1" x14ac:dyDescent="0.35">
      <c r="A6150"/>
    </row>
    <row r="6151" spans="1:1" x14ac:dyDescent="0.35">
      <c r="A6151"/>
    </row>
    <row r="6152" spans="1:1" x14ac:dyDescent="0.35">
      <c r="A6152"/>
    </row>
    <row r="6153" spans="1:1" x14ac:dyDescent="0.35">
      <c r="A6153"/>
    </row>
    <row r="6154" spans="1:1" x14ac:dyDescent="0.35">
      <c r="A6154"/>
    </row>
    <row r="6155" spans="1:1" x14ac:dyDescent="0.35">
      <c r="A6155"/>
    </row>
    <row r="6156" spans="1:1" x14ac:dyDescent="0.35">
      <c r="A6156"/>
    </row>
    <row r="6157" spans="1:1" x14ac:dyDescent="0.35">
      <c r="A6157"/>
    </row>
    <row r="6158" spans="1:1" x14ac:dyDescent="0.35">
      <c r="A6158"/>
    </row>
    <row r="6159" spans="1:1" x14ac:dyDescent="0.35">
      <c r="A6159"/>
    </row>
    <row r="6160" spans="1:1" x14ac:dyDescent="0.35">
      <c r="A6160"/>
    </row>
    <row r="6161" spans="1:1" x14ac:dyDescent="0.35">
      <c r="A6161"/>
    </row>
    <row r="6162" spans="1:1" x14ac:dyDescent="0.35">
      <c r="A6162"/>
    </row>
    <row r="6163" spans="1:1" x14ac:dyDescent="0.35">
      <c r="A6163"/>
    </row>
    <row r="6164" spans="1:1" x14ac:dyDescent="0.35">
      <c r="A6164"/>
    </row>
    <row r="6165" spans="1:1" x14ac:dyDescent="0.35">
      <c r="A6165"/>
    </row>
    <row r="6166" spans="1:1" x14ac:dyDescent="0.35">
      <c r="A6166"/>
    </row>
    <row r="6167" spans="1:1" x14ac:dyDescent="0.35">
      <c r="A6167"/>
    </row>
    <row r="6168" spans="1:1" x14ac:dyDescent="0.35">
      <c r="A6168"/>
    </row>
    <row r="6169" spans="1:1" x14ac:dyDescent="0.35">
      <c r="A6169"/>
    </row>
    <row r="6170" spans="1:1" x14ac:dyDescent="0.35">
      <c r="A6170"/>
    </row>
    <row r="6171" spans="1:1" x14ac:dyDescent="0.35">
      <c r="A6171"/>
    </row>
    <row r="6172" spans="1:1" x14ac:dyDescent="0.35">
      <c r="A6172"/>
    </row>
    <row r="6173" spans="1:1" x14ac:dyDescent="0.35">
      <c r="A6173"/>
    </row>
    <row r="6174" spans="1:1" x14ac:dyDescent="0.35">
      <c r="A6174"/>
    </row>
    <row r="6175" spans="1:1" x14ac:dyDescent="0.35">
      <c r="A6175"/>
    </row>
    <row r="6176" spans="1:1" x14ac:dyDescent="0.35">
      <c r="A6176"/>
    </row>
    <row r="6177" spans="1:1" x14ac:dyDescent="0.35">
      <c r="A6177"/>
    </row>
    <row r="6178" spans="1:1" x14ac:dyDescent="0.35">
      <c r="A6178"/>
    </row>
    <row r="6179" spans="1:1" x14ac:dyDescent="0.35">
      <c r="A6179"/>
    </row>
    <row r="6180" spans="1:1" x14ac:dyDescent="0.35">
      <c r="A6180"/>
    </row>
    <row r="6181" spans="1:1" x14ac:dyDescent="0.35">
      <c r="A6181"/>
    </row>
    <row r="6182" spans="1:1" x14ac:dyDescent="0.35">
      <c r="A6182"/>
    </row>
    <row r="6183" spans="1:1" x14ac:dyDescent="0.35">
      <c r="A6183"/>
    </row>
    <row r="6184" spans="1:1" x14ac:dyDescent="0.35">
      <c r="A6184"/>
    </row>
    <row r="6185" spans="1:1" x14ac:dyDescent="0.35">
      <c r="A6185"/>
    </row>
    <row r="6186" spans="1:1" x14ac:dyDescent="0.35">
      <c r="A6186"/>
    </row>
    <row r="6187" spans="1:1" x14ac:dyDescent="0.35">
      <c r="A6187"/>
    </row>
    <row r="6188" spans="1:1" x14ac:dyDescent="0.35">
      <c r="A6188"/>
    </row>
    <row r="6189" spans="1:1" x14ac:dyDescent="0.35">
      <c r="A6189"/>
    </row>
    <row r="6190" spans="1:1" x14ac:dyDescent="0.35">
      <c r="A6190"/>
    </row>
    <row r="6191" spans="1:1" x14ac:dyDescent="0.35">
      <c r="A6191"/>
    </row>
    <row r="6192" spans="1:1" x14ac:dyDescent="0.35">
      <c r="A6192"/>
    </row>
    <row r="6193" spans="1:1" x14ac:dyDescent="0.35">
      <c r="A6193"/>
    </row>
    <row r="6194" spans="1:1" x14ac:dyDescent="0.35">
      <c r="A6194"/>
    </row>
    <row r="6195" spans="1:1" x14ac:dyDescent="0.35">
      <c r="A6195"/>
    </row>
    <row r="6196" spans="1:1" x14ac:dyDescent="0.35">
      <c r="A6196"/>
    </row>
    <row r="6197" spans="1:1" x14ac:dyDescent="0.35">
      <c r="A6197"/>
    </row>
    <row r="6198" spans="1:1" x14ac:dyDescent="0.35">
      <c r="A6198"/>
    </row>
    <row r="6199" spans="1:1" x14ac:dyDescent="0.35">
      <c r="A6199"/>
    </row>
    <row r="6200" spans="1:1" x14ac:dyDescent="0.35">
      <c r="A6200"/>
    </row>
    <row r="6201" spans="1:1" x14ac:dyDescent="0.35">
      <c r="A6201"/>
    </row>
    <row r="6202" spans="1:1" x14ac:dyDescent="0.35">
      <c r="A6202"/>
    </row>
    <row r="6203" spans="1:1" x14ac:dyDescent="0.35">
      <c r="A6203"/>
    </row>
    <row r="6204" spans="1:1" x14ac:dyDescent="0.35">
      <c r="A6204"/>
    </row>
    <row r="6205" spans="1:1" x14ac:dyDescent="0.35">
      <c r="A6205"/>
    </row>
    <row r="6206" spans="1:1" x14ac:dyDescent="0.35">
      <c r="A6206"/>
    </row>
    <row r="6207" spans="1:1" x14ac:dyDescent="0.35">
      <c r="A6207"/>
    </row>
    <row r="6208" spans="1:1" x14ac:dyDescent="0.35">
      <c r="A6208"/>
    </row>
    <row r="6209" spans="1:1" x14ac:dyDescent="0.35">
      <c r="A6209"/>
    </row>
    <row r="6210" spans="1:1" x14ac:dyDescent="0.35">
      <c r="A6210"/>
    </row>
    <row r="6211" spans="1:1" x14ac:dyDescent="0.35">
      <c r="A6211"/>
    </row>
    <row r="6212" spans="1:1" x14ac:dyDescent="0.35">
      <c r="A6212"/>
    </row>
    <row r="6213" spans="1:1" x14ac:dyDescent="0.35">
      <c r="A6213"/>
    </row>
    <row r="6214" spans="1:1" x14ac:dyDescent="0.35">
      <c r="A6214"/>
    </row>
    <row r="6215" spans="1:1" x14ac:dyDescent="0.35">
      <c r="A6215"/>
    </row>
    <row r="6216" spans="1:1" x14ac:dyDescent="0.35">
      <c r="A6216"/>
    </row>
    <row r="6217" spans="1:1" x14ac:dyDescent="0.35">
      <c r="A6217"/>
    </row>
    <row r="6218" spans="1:1" x14ac:dyDescent="0.35">
      <c r="A6218"/>
    </row>
    <row r="6219" spans="1:1" x14ac:dyDescent="0.35">
      <c r="A6219"/>
    </row>
    <row r="6220" spans="1:1" x14ac:dyDescent="0.35">
      <c r="A6220"/>
    </row>
    <row r="6221" spans="1:1" x14ac:dyDescent="0.35">
      <c r="A6221"/>
    </row>
    <row r="6222" spans="1:1" x14ac:dyDescent="0.35">
      <c r="A6222"/>
    </row>
    <row r="6223" spans="1:1" x14ac:dyDescent="0.35">
      <c r="A6223"/>
    </row>
    <row r="6224" spans="1:1" x14ac:dyDescent="0.35">
      <c r="A6224"/>
    </row>
    <row r="6225" spans="1:1" x14ac:dyDescent="0.35">
      <c r="A6225"/>
    </row>
    <row r="6226" spans="1:1" x14ac:dyDescent="0.35">
      <c r="A6226"/>
    </row>
    <row r="6227" spans="1:1" x14ac:dyDescent="0.35">
      <c r="A6227"/>
    </row>
    <row r="6228" spans="1:1" x14ac:dyDescent="0.35">
      <c r="A6228"/>
    </row>
    <row r="6229" spans="1:1" x14ac:dyDescent="0.35">
      <c r="A6229"/>
    </row>
    <row r="6230" spans="1:1" x14ac:dyDescent="0.35">
      <c r="A6230"/>
    </row>
    <row r="6231" spans="1:1" x14ac:dyDescent="0.35">
      <c r="A6231"/>
    </row>
    <row r="6232" spans="1:1" x14ac:dyDescent="0.35">
      <c r="A6232"/>
    </row>
    <row r="6233" spans="1:1" x14ac:dyDescent="0.35">
      <c r="A6233"/>
    </row>
    <row r="6234" spans="1:1" x14ac:dyDescent="0.35">
      <c r="A6234"/>
    </row>
    <row r="6235" spans="1:1" x14ac:dyDescent="0.35">
      <c r="A6235"/>
    </row>
    <row r="6236" spans="1:1" x14ac:dyDescent="0.35">
      <c r="A6236"/>
    </row>
    <row r="6237" spans="1:1" x14ac:dyDescent="0.35">
      <c r="A6237"/>
    </row>
    <row r="6238" spans="1:1" x14ac:dyDescent="0.35">
      <c r="A6238"/>
    </row>
    <row r="6239" spans="1:1" x14ac:dyDescent="0.35">
      <c r="A6239"/>
    </row>
    <row r="6240" spans="1:1" x14ac:dyDescent="0.35">
      <c r="A6240"/>
    </row>
    <row r="6241" spans="1:1" x14ac:dyDescent="0.35">
      <c r="A6241"/>
    </row>
    <row r="6242" spans="1:1" x14ac:dyDescent="0.35">
      <c r="A6242"/>
    </row>
    <row r="6243" spans="1:1" x14ac:dyDescent="0.35">
      <c r="A6243"/>
    </row>
    <row r="6244" spans="1:1" x14ac:dyDescent="0.35">
      <c r="A6244"/>
    </row>
    <row r="6245" spans="1:1" x14ac:dyDescent="0.35">
      <c r="A6245"/>
    </row>
    <row r="6246" spans="1:1" x14ac:dyDescent="0.35">
      <c r="A6246"/>
    </row>
    <row r="6247" spans="1:1" x14ac:dyDescent="0.35">
      <c r="A6247"/>
    </row>
    <row r="6248" spans="1:1" x14ac:dyDescent="0.35">
      <c r="A6248"/>
    </row>
    <row r="6249" spans="1:1" x14ac:dyDescent="0.35">
      <c r="A6249"/>
    </row>
    <row r="6250" spans="1:1" x14ac:dyDescent="0.35">
      <c r="A6250"/>
    </row>
    <row r="6251" spans="1:1" x14ac:dyDescent="0.35">
      <c r="A6251"/>
    </row>
    <row r="6252" spans="1:1" x14ac:dyDescent="0.35">
      <c r="A6252"/>
    </row>
    <row r="6253" spans="1:1" x14ac:dyDescent="0.35">
      <c r="A6253"/>
    </row>
    <row r="6254" spans="1:1" x14ac:dyDescent="0.35">
      <c r="A6254"/>
    </row>
    <row r="6255" spans="1:1" x14ac:dyDescent="0.35">
      <c r="A6255"/>
    </row>
    <row r="6256" spans="1:1" x14ac:dyDescent="0.35">
      <c r="A6256"/>
    </row>
    <row r="6257" spans="1:1" x14ac:dyDescent="0.35">
      <c r="A6257"/>
    </row>
    <row r="6258" spans="1:1" x14ac:dyDescent="0.35">
      <c r="A6258"/>
    </row>
    <row r="6259" spans="1:1" x14ac:dyDescent="0.35">
      <c r="A6259"/>
    </row>
    <row r="6260" spans="1:1" x14ac:dyDescent="0.35">
      <c r="A6260"/>
    </row>
    <row r="6261" spans="1:1" x14ac:dyDescent="0.35">
      <c r="A6261"/>
    </row>
    <row r="6262" spans="1:1" x14ac:dyDescent="0.35">
      <c r="A6262"/>
    </row>
    <row r="6263" spans="1:1" x14ac:dyDescent="0.35">
      <c r="A6263"/>
    </row>
    <row r="6264" spans="1:1" x14ac:dyDescent="0.35">
      <c r="A6264"/>
    </row>
    <row r="6265" spans="1:1" x14ac:dyDescent="0.35">
      <c r="A6265"/>
    </row>
    <row r="6266" spans="1:1" x14ac:dyDescent="0.35">
      <c r="A6266"/>
    </row>
    <row r="6267" spans="1:1" x14ac:dyDescent="0.35">
      <c r="A6267"/>
    </row>
    <row r="6268" spans="1:1" x14ac:dyDescent="0.35">
      <c r="A6268"/>
    </row>
    <row r="6269" spans="1:1" x14ac:dyDescent="0.35">
      <c r="A6269"/>
    </row>
    <row r="6270" spans="1:1" x14ac:dyDescent="0.35">
      <c r="A6270"/>
    </row>
    <row r="6271" spans="1:1" x14ac:dyDescent="0.35">
      <c r="A6271"/>
    </row>
    <row r="6272" spans="1:1" x14ac:dyDescent="0.35">
      <c r="A6272"/>
    </row>
    <row r="6273" spans="1:1" x14ac:dyDescent="0.35">
      <c r="A6273"/>
    </row>
    <row r="6274" spans="1:1" x14ac:dyDescent="0.35">
      <c r="A6274"/>
    </row>
    <row r="6275" spans="1:1" x14ac:dyDescent="0.35">
      <c r="A6275"/>
    </row>
    <row r="6276" spans="1:1" x14ac:dyDescent="0.35">
      <c r="A6276"/>
    </row>
    <row r="6277" spans="1:1" x14ac:dyDescent="0.35">
      <c r="A6277"/>
    </row>
    <row r="6278" spans="1:1" x14ac:dyDescent="0.35">
      <c r="A6278"/>
    </row>
    <row r="6279" spans="1:1" x14ac:dyDescent="0.35">
      <c r="A6279"/>
    </row>
    <row r="6280" spans="1:1" x14ac:dyDescent="0.35">
      <c r="A6280"/>
    </row>
    <row r="6281" spans="1:1" x14ac:dyDescent="0.35">
      <c r="A6281"/>
    </row>
    <row r="6282" spans="1:1" x14ac:dyDescent="0.35">
      <c r="A6282"/>
    </row>
    <row r="6283" spans="1:1" x14ac:dyDescent="0.35">
      <c r="A6283"/>
    </row>
    <row r="6284" spans="1:1" x14ac:dyDescent="0.35">
      <c r="A6284"/>
    </row>
    <row r="6285" spans="1:1" x14ac:dyDescent="0.35">
      <c r="A6285"/>
    </row>
    <row r="6286" spans="1:1" x14ac:dyDescent="0.35">
      <c r="A6286"/>
    </row>
    <row r="6287" spans="1:1" x14ac:dyDescent="0.35">
      <c r="A6287"/>
    </row>
    <row r="6288" spans="1:1" x14ac:dyDescent="0.35">
      <c r="A6288"/>
    </row>
    <row r="6289" spans="1:1" x14ac:dyDescent="0.35">
      <c r="A6289"/>
    </row>
    <row r="6290" spans="1:1" x14ac:dyDescent="0.35">
      <c r="A6290"/>
    </row>
    <row r="6291" spans="1:1" x14ac:dyDescent="0.35">
      <c r="A6291"/>
    </row>
    <row r="6292" spans="1:1" x14ac:dyDescent="0.35">
      <c r="A6292"/>
    </row>
    <row r="6293" spans="1:1" x14ac:dyDescent="0.35">
      <c r="A6293"/>
    </row>
    <row r="6294" spans="1:1" x14ac:dyDescent="0.35">
      <c r="A6294"/>
    </row>
    <row r="6295" spans="1:1" x14ac:dyDescent="0.35">
      <c r="A6295"/>
    </row>
    <row r="6296" spans="1:1" x14ac:dyDescent="0.35">
      <c r="A6296"/>
    </row>
    <row r="6297" spans="1:1" x14ac:dyDescent="0.35">
      <c r="A6297"/>
    </row>
    <row r="6298" spans="1:1" x14ac:dyDescent="0.35">
      <c r="A6298"/>
    </row>
    <row r="6299" spans="1:1" x14ac:dyDescent="0.35">
      <c r="A6299"/>
    </row>
    <row r="6300" spans="1:1" x14ac:dyDescent="0.35">
      <c r="A6300"/>
    </row>
    <row r="6301" spans="1:1" x14ac:dyDescent="0.35">
      <c r="A6301"/>
    </row>
    <row r="6302" spans="1:1" x14ac:dyDescent="0.35">
      <c r="A6302"/>
    </row>
    <row r="6303" spans="1:1" x14ac:dyDescent="0.35">
      <c r="A6303"/>
    </row>
    <row r="6304" spans="1:1" x14ac:dyDescent="0.35">
      <c r="A6304"/>
    </row>
    <row r="6305" spans="1:1" x14ac:dyDescent="0.35">
      <c r="A6305"/>
    </row>
    <row r="6306" spans="1:1" x14ac:dyDescent="0.35">
      <c r="A6306"/>
    </row>
    <row r="6307" spans="1:1" x14ac:dyDescent="0.35">
      <c r="A6307"/>
    </row>
    <row r="6308" spans="1:1" x14ac:dyDescent="0.35">
      <c r="A6308"/>
    </row>
    <row r="6309" spans="1:1" x14ac:dyDescent="0.35">
      <c r="A6309"/>
    </row>
    <row r="6310" spans="1:1" x14ac:dyDescent="0.35">
      <c r="A6310"/>
    </row>
    <row r="6311" spans="1:1" x14ac:dyDescent="0.35">
      <c r="A6311"/>
    </row>
    <row r="6312" spans="1:1" x14ac:dyDescent="0.35">
      <c r="A6312"/>
    </row>
    <row r="6313" spans="1:1" x14ac:dyDescent="0.35">
      <c r="A6313"/>
    </row>
    <row r="6314" spans="1:1" x14ac:dyDescent="0.35">
      <c r="A6314"/>
    </row>
    <row r="6315" spans="1:1" x14ac:dyDescent="0.35">
      <c r="A6315"/>
    </row>
    <row r="6316" spans="1:1" x14ac:dyDescent="0.35">
      <c r="A6316"/>
    </row>
    <row r="6317" spans="1:1" x14ac:dyDescent="0.35">
      <c r="A6317"/>
    </row>
    <row r="6318" spans="1:1" x14ac:dyDescent="0.35">
      <c r="A6318"/>
    </row>
    <row r="6319" spans="1:1" x14ac:dyDescent="0.35">
      <c r="A6319"/>
    </row>
    <row r="6320" spans="1:1" x14ac:dyDescent="0.35">
      <c r="A6320"/>
    </row>
    <row r="6321" spans="1:1" x14ac:dyDescent="0.35">
      <c r="A6321"/>
    </row>
    <row r="6322" spans="1:1" x14ac:dyDescent="0.35">
      <c r="A6322"/>
    </row>
    <row r="6323" spans="1:1" x14ac:dyDescent="0.35">
      <c r="A6323"/>
    </row>
    <row r="6324" spans="1:1" x14ac:dyDescent="0.35">
      <c r="A6324"/>
    </row>
    <row r="6325" spans="1:1" x14ac:dyDescent="0.35">
      <c r="A6325"/>
    </row>
    <row r="6326" spans="1:1" x14ac:dyDescent="0.35">
      <c r="A6326"/>
    </row>
    <row r="6327" spans="1:1" x14ac:dyDescent="0.35">
      <c r="A6327"/>
    </row>
    <row r="6328" spans="1:1" x14ac:dyDescent="0.35">
      <c r="A6328"/>
    </row>
    <row r="6329" spans="1:1" x14ac:dyDescent="0.35">
      <c r="A6329"/>
    </row>
    <row r="6330" spans="1:1" x14ac:dyDescent="0.35">
      <c r="A6330"/>
    </row>
    <row r="6331" spans="1:1" x14ac:dyDescent="0.35">
      <c r="A6331"/>
    </row>
    <row r="6332" spans="1:1" x14ac:dyDescent="0.35">
      <c r="A6332"/>
    </row>
    <row r="6333" spans="1:1" x14ac:dyDescent="0.35">
      <c r="A6333"/>
    </row>
    <row r="6334" spans="1:1" x14ac:dyDescent="0.35">
      <c r="A6334"/>
    </row>
    <row r="6335" spans="1:1" x14ac:dyDescent="0.35">
      <c r="A6335"/>
    </row>
    <row r="6336" spans="1:1" x14ac:dyDescent="0.35">
      <c r="A6336"/>
    </row>
    <row r="6337" spans="1:1" x14ac:dyDescent="0.35">
      <c r="A6337"/>
    </row>
    <row r="6338" spans="1:1" x14ac:dyDescent="0.35">
      <c r="A6338"/>
    </row>
    <row r="6339" spans="1:1" x14ac:dyDescent="0.35">
      <c r="A6339"/>
    </row>
    <row r="6340" spans="1:1" x14ac:dyDescent="0.35">
      <c r="A6340"/>
    </row>
    <row r="6341" spans="1:1" x14ac:dyDescent="0.35">
      <c r="A6341"/>
    </row>
    <row r="6342" spans="1:1" x14ac:dyDescent="0.35">
      <c r="A6342"/>
    </row>
    <row r="6343" spans="1:1" x14ac:dyDescent="0.35">
      <c r="A6343"/>
    </row>
    <row r="6344" spans="1:1" x14ac:dyDescent="0.35">
      <c r="A6344"/>
    </row>
    <row r="6345" spans="1:1" x14ac:dyDescent="0.35">
      <c r="A6345"/>
    </row>
    <row r="6346" spans="1:1" x14ac:dyDescent="0.35">
      <c r="A6346"/>
    </row>
    <row r="6347" spans="1:1" x14ac:dyDescent="0.35">
      <c r="A6347"/>
    </row>
    <row r="6348" spans="1:1" x14ac:dyDescent="0.35">
      <c r="A6348"/>
    </row>
    <row r="6349" spans="1:1" x14ac:dyDescent="0.35">
      <c r="A6349"/>
    </row>
    <row r="6350" spans="1:1" x14ac:dyDescent="0.35">
      <c r="A6350"/>
    </row>
    <row r="6351" spans="1:1" x14ac:dyDescent="0.35">
      <c r="A6351"/>
    </row>
    <row r="6352" spans="1:1" x14ac:dyDescent="0.35">
      <c r="A6352"/>
    </row>
    <row r="6353" spans="1:1" x14ac:dyDescent="0.35">
      <c r="A6353"/>
    </row>
    <row r="6354" spans="1:1" x14ac:dyDescent="0.35">
      <c r="A6354"/>
    </row>
    <row r="6355" spans="1:1" x14ac:dyDescent="0.35">
      <c r="A6355"/>
    </row>
    <row r="6356" spans="1:1" x14ac:dyDescent="0.35">
      <c r="A6356"/>
    </row>
    <row r="6357" spans="1:1" x14ac:dyDescent="0.35">
      <c r="A6357"/>
    </row>
    <row r="6358" spans="1:1" x14ac:dyDescent="0.35">
      <c r="A6358"/>
    </row>
    <row r="6359" spans="1:1" x14ac:dyDescent="0.35">
      <c r="A6359"/>
    </row>
    <row r="6360" spans="1:1" x14ac:dyDescent="0.35">
      <c r="A6360"/>
    </row>
    <row r="6361" spans="1:1" x14ac:dyDescent="0.35">
      <c r="A6361"/>
    </row>
    <row r="6362" spans="1:1" x14ac:dyDescent="0.35">
      <c r="A6362"/>
    </row>
    <row r="6363" spans="1:1" x14ac:dyDescent="0.35">
      <c r="A6363"/>
    </row>
    <row r="6364" spans="1:1" x14ac:dyDescent="0.35">
      <c r="A6364"/>
    </row>
    <row r="6365" spans="1:1" x14ac:dyDescent="0.35">
      <c r="A6365"/>
    </row>
    <row r="6366" spans="1:1" x14ac:dyDescent="0.35">
      <c r="A6366"/>
    </row>
    <row r="6367" spans="1:1" x14ac:dyDescent="0.35">
      <c r="A6367"/>
    </row>
    <row r="6368" spans="1:1" x14ac:dyDescent="0.35">
      <c r="A6368"/>
    </row>
    <row r="6369" spans="1:1" x14ac:dyDescent="0.35">
      <c r="A6369"/>
    </row>
    <row r="6370" spans="1:1" x14ac:dyDescent="0.35">
      <c r="A6370"/>
    </row>
    <row r="6371" spans="1:1" x14ac:dyDescent="0.35">
      <c r="A6371"/>
    </row>
    <row r="6372" spans="1:1" x14ac:dyDescent="0.35">
      <c r="A6372"/>
    </row>
    <row r="6373" spans="1:1" x14ac:dyDescent="0.35">
      <c r="A6373"/>
    </row>
    <row r="6374" spans="1:1" x14ac:dyDescent="0.35">
      <c r="A6374"/>
    </row>
    <row r="6375" spans="1:1" x14ac:dyDescent="0.35">
      <c r="A6375"/>
    </row>
    <row r="6376" spans="1:1" x14ac:dyDescent="0.35">
      <c r="A6376"/>
    </row>
    <row r="6377" spans="1:1" x14ac:dyDescent="0.35">
      <c r="A6377"/>
    </row>
    <row r="6378" spans="1:1" x14ac:dyDescent="0.35">
      <c r="A6378"/>
    </row>
    <row r="6379" spans="1:1" x14ac:dyDescent="0.35">
      <c r="A6379"/>
    </row>
    <row r="6380" spans="1:1" x14ac:dyDescent="0.35">
      <c r="A6380"/>
    </row>
    <row r="6381" spans="1:1" x14ac:dyDescent="0.35">
      <c r="A6381"/>
    </row>
    <row r="6382" spans="1:1" x14ac:dyDescent="0.35">
      <c r="A6382"/>
    </row>
    <row r="6383" spans="1:1" x14ac:dyDescent="0.35">
      <c r="A6383"/>
    </row>
    <row r="6384" spans="1:1" x14ac:dyDescent="0.35">
      <c r="A6384"/>
    </row>
    <row r="6385" spans="1:1" x14ac:dyDescent="0.35">
      <c r="A6385"/>
    </row>
    <row r="6386" spans="1:1" x14ac:dyDescent="0.35">
      <c r="A6386"/>
    </row>
    <row r="6387" spans="1:1" x14ac:dyDescent="0.35">
      <c r="A6387"/>
    </row>
    <row r="6388" spans="1:1" x14ac:dyDescent="0.35">
      <c r="A6388"/>
    </row>
    <row r="6389" spans="1:1" x14ac:dyDescent="0.35">
      <c r="A6389"/>
    </row>
    <row r="6390" spans="1:1" x14ac:dyDescent="0.35">
      <c r="A6390"/>
    </row>
    <row r="6391" spans="1:1" x14ac:dyDescent="0.35">
      <c r="A6391"/>
    </row>
    <row r="6392" spans="1:1" x14ac:dyDescent="0.35">
      <c r="A6392"/>
    </row>
    <row r="6393" spans="1:1" x14ac:dyDescent="0.35">
      <c r="A6393"/>
    </row>
    <row r="6394" spans="1:1" x14ac:dyDescent="0.35">
      <c r="A6394"/>
    </row>
    <row r="6395" spans="1:1" x14ac:dyDescent="0.35">
      <c r="A6395"/>
    </row>
    <row r="6396" spans="1:1" x14ac:dyDescent="0.35">
      <c r="A6396"/>
    </row>
    <row r="6397" spans="1:1" x14ac:dyDescent="0.35">
      <c r="A6397"/>
    </row>
    <row r="6398" spans="1:1" x14ac:dyDescent="0.35">
      <c r="A6398"/>
    </row>
    <row r="6399" spans="1:1" x14ac:dyDescent="0.35">
      <c r="A6399"/>
    </row>
    <row r="6400" spans="1:1" x14ac:dyDescent="0.35">
      <c r="A6400"/>
    </row>
    <row r="6401" spans="1:1" x14ac:dyDescent="0.35">
      <c r="A6401"/>
    </row>
    <row r="6402" spans="1:1" x14ac:dyDescent="0.35">
      <c r="A6402"/>
    </row>
    <row r="6403" spans="1:1" x14ac:dyDescent="0.35">
      <c r="A6403"/>
    </row>
    <row r="6404" spans="1:1" x14ac:dyDescent="0.35">
      <c r="A6404"/>
    </row>
    <row r="6405" spans="1:1" x14ac:dyDescent="0.35">
      <c r="A6405"/>
    </row>
    <row r="6406" spans="1:1" x14ac:dyDescent="0.35">
      <c r="A6406"/>
    </row>
    <row r="6407" spans="1:1" x14ac:dyDescent="0.35">
      <c r="A6407"/>
    </row>
    <row r="6408" spans="1:1" x14ac:dyDescent="0.35">
      <c r="A6408"/>
    </row>
    <row r="6409" spans="1:1" x14ac:dyDescent="0.35">
      <c r="A6409"/>
    </row>
    <row r="6410" spans="1:1" x14ac:dyDescent="0.35">
      <c r="A6410"/>
    </row>
    <row r="6411" spans="1:1" x14ac:dyDescent="0.35">
      <c r="A6411"/>
    </row>
    <row r="6412" spans="1:1" x14ac:dyDescent="0.35">
      <c r="A6412"/>
    </row>
    <row r="6413" spans="1:1" x14ac:dyDescent="0.35">
      <c r="A6413"/>
    </row>
    <row r="6414" spans="1:1" x14ac:dyDescent="0.35">
      <c r="A6414"/>
    </row>
    <row r="6415" spans="1:1" x14ac:dyDescent="0.35">
      <c r="A6415"/>
    </row>
    <row r="6416" spans="1:1" x14ac:dyDescent="0.35">
      <c r="A6416"/>
    </row>
    <row r="6417" spans="1:1" x14ac:dyDescent="0.35">
      <c r="A6417"/>
    </row>
    <row r="6418" spans="1:1" x14ac:dyDescent="0.35">
      <c r="A6418"/>
    </row>
    <row r="6419" spans="1:1" x14ac:dyDescent="0.35">
      <c r="A6419"/>
    </row>
    <row r="6420" spans="1:1" x14ac:dyDescent="0.35">
      <c r="A6420"/>
    </row>
    <row r="6421" spans="1:1" x14ac:dyDescent="0.35">
      <c r="A6421"/>
    </row>
    <row r="6422" spans="1:1" x14ac:dyDescent="0.35">
      <c r="A6422"/>
    </row>
    <row r="6423" spans="1:1" x14ac:dyDescent="0.35">
      <c r="A6423"/>
    </row>
    <row r="6424" spans="1:1" x14ac:dyDescent="0.35">
      <c r="A6424"/>
    </row>
    <row r="6425" spans="1:1" x14ac:dyDescent="0.35">
      <c r="A6425"/>
    </row>
    <row r="6426" spans="1:1" x14ac:dyDescent="0.35">
      <c r="A6426"/>
    </row>
    <row r="6427" spans="1:1" x14ac:dyDescent="0.35">
      <c r="A6427"/>
    </row>
    <row r="6428" spans="1:1" x14ac:dyDescent="0.35">
      <c r="A6428"/>
    </row>
    <row r="6429" spans="1:1" x14ac:dyDescent="0.35">
      <c r="A6429"/>
    </row>
    <row r="6430" spans="1:1" x14ac:dyDescent="0.35">
      <c r="A6430"/>
    </row>
    <row r="6431" spans="1:1" x14ac:dyDescent="0.35">
      <c r="A6431"/>
    </row>
    <row r="6432" spans="1:1" x14ac:dyDescent="0.35">
      <c r="A6432"/>
    </row>
    <row r="6433" spans="1:1" x14ac:dyDescent="0.35">
      <c r="A6433"/>
    </row>
    <row r="6434" spans="1:1" x14ac:dyDescent="0.35">
      <c r="A6434"/>
    </row>
    <row r="6435" spans="1:1" x14ac:dyDescent="0.35">
      <c r="A6435"/>
    </row>
    <row r="6436" spans="1:1" x14ac:dyDescent="0.35">
      <c r="A6436"/>
    </row>
    <row r="6437" spans="1:1" x14ac:dyDescent="0.35">
      <c r="A6437"/>
    </row>
    <row r="6438" spans="1:1" x14ac:dyDescent="0.35">
      <c r="A6438"/>
    </row>
    <row r="6439" spans="1:1" x14ac:dyDescent="0.35">
      <c r="A6439"/>
    </row>
    <row r="6440" spans="1:1" x14ac:dyDescent="0.35">
      <c r="A6440"/>
    </row>
    <row r="6441" spans="1:1" x14ac:dyDescent="0.35">
      <c r="A6441"/>
    </row>
    <row r="6442" spans="1:1" x14ac:dyDescent="0.35">
      <c r="A6442"/>
    </row>
    <row r="6443" spans="1:1" x14ac:dyDescent="0.35">
      <c r="A6443"/>
    </row>
    <row r="6444" spans="1:1" x14ac:dyDescent="0.35">
      <c r="A6444"/>
    </row>
    <row r="6445" spans="1:1" x14ac:dyDescent="0.35">
      <c r="A6445"/>
    </row>
    <row r="6446" spans="1:1" x14ac:dyDescent="0.35">
      <c r="A6446"/>
    </row>
    <row r="6447" spans="1:1" x14ac:dyDescent="0.35">
      <c r="A6447"/>
    </row>
    <row r="6448" spans="1:1" x14ac:dyDescent="0.35">
      <c r="A6448"/>
    </row>
    <row r="6449" spans="1:1" x14ac:dyDescent="0.35">
      <c r="A6449"/>
    </row>
    <row r="6450" spans="1:1" x14ac:dyDescent="0.35">
      <c r="A6450"/>
    </row>
    <row r="6451" spans="1:1" x14ac:dyDescent="0.35">
      <c r="A6451"/>
    </row>
    <row r="6452" spans="1:1" x14ac:dyDescent="0.35">
      <c r="A6452"/>
    </row>
    <row r="6453" spans="1:1" x14ac:dyDescent="0.35">
      <c r="A6453"/>
    </row>
    <row r="6454" spans="1:1" x14ac:dyDescent="0.35">
      <c r="A6454"/>
    </row>
    <row r="6455" spans="1:1" x14ac:dyDescent="0.35">
      <c r="A6455"/>
    </row>
    <row r="6456" spans="1:1" x14ac:dyDescent="0.35">
      <c r="A6456"/>
    </row>
    <row r="6457" spans="1:1" x14ac:dyDescent="0.35">
      <c r="A6457"/>
    </row>
    <row r="6458" spans="1:1" x14ac:dyDescent="0.35">
      <c r="A6458"/>
    </row>
    <row r="6459" spans="1:1" x14ac:dyDescent="0.35">
      <c r="A6459"/>
    </row>
    <row r="6460" spans="1:1" x14ac:dyDescent="0.35">
      <c r="A6460"/>
    </row>
    <row r="6461" spans="1:1" x14ac:dyDescent="0.35">
      <c r="A6461"/>
    </row>
    <row r="6462" spans="1:1" x14ac:dyDescent="0.35">
      <c r="A6462"/>
    </row>
    <row r="6463" spans="1:1" x14ac:dyDescent="0.35">
      <c r="A6463"/>
    </row>
    <row r="6464" spans="1:1" x14ac:dyDescent="0.35">
      <c r="A6464"/>
    </row>
    <row r="6465" spans="1:1" x14ac:dyDescent="0.35">
      <c r="A6465"/>
    </row>
    <row r="6466" spans="1:1" x14ac:dyDescent="0.35">
      <c r="A6466"/>
    </row>
    <row r="6467" spans="1:1" x14ac:dyDescent="0.35">
      <c r="A6467"/>
    </row>
    <row r="6468" spans="1:1" x14ac:dyDescent="0.35">
      <c r="A6468"/>
    </row>
    <row r="6469" spans="1:1" x14ac:dyDescent="0.35">
      <c r="A6469"/>
    </row>
    <row r="6470" spans="1:1" x14ac:dyDescent="0.35">
      <c r="A6470"/>
    </row>
    <row r="6471" spans="1:1" x14ac:dyDescent="0.35">
      <c r="A6471"/>
    </row>
    <row r="6472" spans="1:1" x14ac:dyDescent="0.35">
      <c r="A6472"/>
    </row>
    <row r="6473" spans="1:1" x14ac:dyDescent="0.35">
      <c r="A6473"/>
    </row>
    <row r="6474" spans="1:1" x14ac:dyDescent="0.35">
      <c r="A6474"/>
    </row>
    <row r="6475" spans="1:1" x14ac:dyDescent="0.35">
      <c r="A6475"/>
    </row>
    <row r="6476" spans="1:1" x14ac:dyDescent="0.35">
      <c r="A6476"/>
    </row>
    <row r="6477" spans="1:1" x14ac:dyDescent="0.35">
      <c r="A6477"/>
    </row>
    <row r="6478" spans="1:1" x14ac:dyDescent="0.35">
      <c r="A6478"/>
    </row>
    <row r="6479" spans="1:1" x14ac:dyDescent="0.35">
      <c r="A6479"/>
    </row>
    <row r="6480" spans="1:1" x14ac:dyDescent="0.35">
      <c r="A6480"/>
    </row>
    <row r="6481" spans="1:1" x14ac:dyDescent="0.35">
      <c r="A6481"/>
    </row>
    <row r="6482" spans="1:1" x14ac:dyDescent="0.35">
      <c r="A6482"/>
    </row>
    <row r="6483" spans="1:1" x14ac:dyDescent="0.35">
      <c r="A6483"/>
    </row>
    <row r="6484" spans="1:1" x14ac:dyDescent="0.35">
      <c r="A6484"/>
    </row>
    <row r="6485" spans="1:1" x14ac:dyDescent="0.35">
      <c r="A6485"/>
    </row>
    <row r="6486" spans="1:1" x14ac:dyDescent="0.35">
      <c r="A6486"/>
    </row>
    <row r="6487" spans="1:1" x14ac:dyDescent="0.35">
      <c r="A6487"/>
    </row>
    <row r="6488" spans="1:1" x14ac:dyDescent="0.35">
      <c r="A6488"/>
    </row>
    <row r="6489" spans="1:1" x14ac:dyDescent="0.35">
      <c r="A6489"/>
    </row>
    <row r="6490" spans="1:1" x14ac:dyDescent="0.35">
      <c r="A6490"/>
    </row>
    <row r="6491" spans="1:1" x14ac:dyDescent="0.35">
      <c r="A6491"/>
    </row>
    <row r="6492" spans="1:1" x14ac:dyDescent="0.35">
      <c r="A6492"/>
    </row>
    <row r="6493" spans="1:1" x14ac:dyDescent="0.35">
      <c r="A6493"/>
    </row>
    <row r="6494" spans="1:1" x14ac:dyDescent="0.35">
      <c r="A6494"/>
    </row>
    <row r="6495" spans="1:1" x14ac:dyDescent="0.35">
      <c r="A6495"/>
    </row>
    <row r="6496" spans="1:1" x14ac:dyDescent="0.35">
      <c r="A6496"/>
    </row>
    <row r="6497" spans="1:1" x14ac:dyDescent="0.35">
      <c r="A6497"/>
    </row>
    <row r="6498" spans="1:1" x14ac:dyDescent="0.35">
      <c r="A6498"/>
    </row>
    <row r="6499" spans="1:1" x14ac:dyDescent="0.35">
      <c r="A6499"/>
    </row>
    <row r="6500" spans="1:1" x14ac:dyDescent="0.35">
      <c r="A6500"/>
    </row>
    <row r="6501" spans="1:1" x14ac:dyDescent="0.35">
      <c r="A6501"/>
    </row>
    <row r="6502" spans="1:1" x14ac:dyDescent="0.35">
      <c r="A6502"/>
    </row>
    <row r="6503" spans="1:1" x14ac:dyDescent="0.35">
      <c r="A6503"/>
    </row>
    <row r="6504" spans="1:1" x14ac:dyDescent="0.35">
      <c r="A6504"/>
    </row>
    <row r="6505" spans="1:1" x14ac:dyDescent="0.35">
      <c r="A6505"/>
    </row>
    <row r="6506" spans="1:1" x14ac:dyDescent="0.35">
      <c r="A6506"/>
    </row>
    <row r="6507" spans="1:1" x14ac:dyDescent="0.35">
      <c r="A6507"/>
    </row>
    <row r="6508" spans="1:1" x14ac:dyDescent="0.35">
      <c r="A6508"/>
    </row>
    <row r="6509" spans="1:1" x14ac:dyDescent="0.35">
      <c r="A6509"/>
    </row>
    <row r="6510" spans="1:1" x14ac:dyDescent="0.35">
      <c r="A6510"/>
    </row>
    <row r="6511" spans="1:1" x14ac:dyDescent="0.35">
      <c r="A6511"/>
    </row>
    <row r="6512" spans="1:1" x14ac:dyDescent="0.35">
      <c r="A6512"/>
    </row>
    <row r="6513" spans="1:1" x14ac:dyDescent="0.35">
      <c r="A6513"/>
    </row>
    <row r="6514" spans="1:1" x14ac:dyDescent="0.35">
      <c r="A6514"/>
    </row>
    <row r="6515" spans="1:1" x14ac:dyDescent="0.35">
      <c r="A6515"/>
    </row>
    <row r="6516" spans="1:1" x14ac:dyDescent="0.35">
      <c r="A6516"/>
    </row>
    <row r="6517" spans="1:1" x14ac:dyDescent="0.35">
      <c r="A6517"/>
    </row>
    <row r="6518" spans="1:1" x14ac:dyDescent="0.35">
      <c r="A6518"/>
    </row>
    <row r="6519" spans="1:1" x14ac:dyDescent="0.35">
      <c r="A6519"/>
    </row>
    <row r="6520" spans="1:1" x14ac:dyDescent="0.35">
      <c r="A6520"/>
    </row>
    <row r="6521" spans="1:1" x14ac:dyDescent="0.35">
      <c r="A6521"/>
    </row>
    <row r="6522" spans="1:1" x14ac:dyDescent="0.35">
      <c r="A6522"/>
    </row>
    <row r="6523" spans="1:1" x14ac:dyDescent="0.35">
      <c r="A6523"/>
    </row>
    <row r="6524" spans="1:1" x14ac:dyDescent="0.35">
      <c r="A6524"/>
    </row>
    <row r="6525" spans="1:1" x14ac:dyDescent="0.35">
      <c r="A6525"/>
    </row>
    <row r="6526" spans="1:1" x14ac:dyDescent="0.35">
      <c r="A6526"/>
    </row>
    <row r="6527" spans="1:1" x14ac:dyDescent="0.35">
      <c r="A6527"/>
    </row>
    <row r="6528" spans="1:1" x14ac:dyDescent="0.35">
      <c r="A6528"/>
    </row>
    <row r="6529" spans="1:1" x14ac:dyDescent="0.35">
      <c r="A6529"/>
    </row>
    <row r="6530" spans="1:1" x14ac:dyDescent="0.35">
      <c r="A6530"/>
    </row>
    <row r="6531" spans="1:1" x14ac:dyDescent="0.35">
      <c r="A6531"/>
    </row>
    <row r="6532" spans="1:1" x14ac:dyDescent="0.35">
      <c r="A6532"/>
    </row>
    <row r="6533" spans="1:1" x14ac:dyDescent="0.35">
      <c r="A6533"/>
    </row>
    <row r="6534" spans="1:1" x14ac:dyDescent="0.35">
      <c r="A6534"/>
    </row>
    <row r="6535" spans="1:1" x14ac:dyDescent="0.35">
      <c r="A6535"/>
    </row>
    <row r="6536" spans="1:1" x14ac:dyDescent="0.35">
      <c r="A6536"/>
    </row>
    <row r="6537" spans="1:1" x14ac:dyDescent="0.35">
      <c r="A6537"/>
    </row>
    <row r="6538" spans="1:1" x14ac:dyDescent="0.35">
      <c r="A6538"/>
    </row>
    <row r="6539" spans="1:1" x14ac:dyDescent="0.35">
      <c r="A6539"/>
    </row>
    <row r="6540" spans="1:1" x14ac:dyDescent="0.35">
      <c r="A6540"/>
    </row>
    <row r="6541" spans="1:1" x14ac:dyDescent="0.35">
      <c r="A6541"/>
    </row>
    <row r="6542" spans="1:1" x14ac:dyDescent="0.35">
      <c r="A6542"/>
    </row>
    <row r="6543" spans="1:1" x14ac:dyDescent="0.35">
      <c r="A6543"/>
    </row>
    <row r="6544" spans="1:1" x14ac:dyDescent="0.35">
      <c r="A6544"/>
    </row>
    <row r="6545" spans="1:1" x14ac:dyDescent="0.35">
      <c r="A6545"/>
    </row>
    <row r="6546" spans="1:1" x14ac:dyDescent="0.35">
      <c r="A6546"/>
    </row>
    <row r="6547" spans="1:1" x14ac:dyDescent="0.35">
      <c r="A6547"/>
    </row>
    <row r="6548" spans="1:1" x14ac:dyDescent="0.35">
      <c r="A6548"/>
    </row>
    <row r="6549" spans="1:1" x14ac:dyDescent="0.35">
      <c r="A6549"/>
    </row>
    <row r="6550" spans="1:1" x14ac:dyDescent="0.35">
      <c r="A6550"/>
    </row>
    <row r="6551" spans="1:1" x14ac:dyDescent="0.35">
      <c r="A6551"/>
    </row>
    <row r="6552" spans="1:1" x14ac:dyDescent="0.35">
      <c r="A6552"/>
    </row>
    <row r="6553" spans="1:1" x14ac:dyDescent="0.35">
      <c r="A6553"/>
    </row>
    <row r="6554" spans="1:1" x14ac:dyDescent="0.35">
      <c r="A6554"/>
    </row>
    <row r="6555" spans="1:1" x14ac:dyDescent="0.35">
      <c r="A6555"/>
    </row>
    <row r="6556" spans="1:1" x14ac:dyDescent="0.35">
      <c r="A6556"/>
    </row>
    <row r="6557" spans="1:1" x14ac:dyDescent="0.35">
      <c r="A6557"/>
    </row>
    <row r="6558" spans="1:1" x14ac:dyDescent="0.35">
      <c r="A6558"/>
    </row>
    <row r="6559" spans="1:1" x14ac:dyDescent="0.35">
      <c r="A6559"/>
    </row>
    <row r="6560" spans="1:1" x14ac:dyDescent="0.35">
      <c r="A6560"/>
    </row>
    <row r="6561" spans="1:1" x14ac:dyDescent="0.35">
      <c r="A6561"/>
    </row>
    <row r="6562" spans="1:1" x14ac:dyDescent="0.35">
      <c r="A6562"/>
    </row>
    <row r="6563" spans="1:1" x14ac:dyDescent="0.35">
      <c r="A6563"/>
    </row>
    <row r="6564" spans="1:1" x14ac:dyDescent="0.35">
      <c r="A6564"/>
    </row>
    <row r="6565" spans="1:1" x14ac:dyDescent="0.35">
      <c r="A6565"/>
    </row>
    <row r="6566" spans="1:1" x14ac:dyDescent="0.35">
      <c r="A6566"/>
    </row>
    <row r="6567" spans="1:1" x14ac:dyDescent="0.35">
      <c r="A6567"/>
    </row>
    <row r="6568" spans="1:1" x14ac:dyDescent="0.35">
      <c r="A6568"/>
    </row>
    <row r="6569" spans="1:1" x14ac:dyDescent="0.35">
      <c r="A6569"/>
    </row>
    <row r="6570" spans="1:1" x14ac:dyDescent="0.35">
      <c r="A6570"/>
    </row>
    <row r="6571" spans="1:1" x14ac:dyDescent="0.35">
      <c r="A6571"/>
    </row>
    <row r="6572" spans="1:1" x14ac:dyDescent="0.35">
      <c r="A6572"/>
    </row>
    <row r="6573" spans="1:1" x14ac:dyDescent="0.35">
      <c r="A6573"/>
    </row>
    <row r="6574" spans="1:1" x14ac:dyDescent="0.35">
      <c r="A6574"/>
    </row>
    <row r="6575" spans="1:1" x14ac:dyDescent="0.35">
      <c r="A6575"/>
    </row>
    <row r="6576" spans="1:1" x14ac:dyDescent="0.35">
      <c r="A6576"/>
    </row>
    <row r="6577" spans="1:1" x14ac:dyDescent="0.35">
      <c r="A6577"/>
    </row>
    <row r="6578" spans="1:1" x14ac:dyDescent="0.35">
      <c r="A6578"/>
    </row>
    <row r="6579" spans="1:1" x14ac:dyDescent="0.35">
      <c r="A6579"/>
    </row>
    <row r="6580" spans="1:1" x14ac:dyDescent="0.35">
      <c r="A6580"/>
    </row>
    <row r="6581" spans="1:1" x14ac:dyDescent="0.35">
      <c r="A6581"/>
    </row>
    <row r="6582" spans="1:1" x14ac:dyDescent="0.35">
      <c r="A6582"/>
    </row>
    <row r="6583" spans="1:1" x14ac:dyDescent="0.35">
      <c r="A6583"/>
    </row>
    <row r="6584" spans="1:1" x14ac:dyDescent="0.35">
      <c r="A6584"/>
    </row>
    <row r="6585" spans="1:1" x14ac:dyDescent="0.35">
      <c r="A6585"/>
    </row>
    <row r="6586" spans="1:1" x14ac:dyDescent="0.35">
      <c r="A6586"/>
    </row>
    <row r="6587" spans="1:1" x14ac:dyDescent="0.35">
      <c r="A6587"/>
    </row>
    <row r="6588" spans="1:1" x14ac:dyDescent="0.35">
      <c r="A6588"/>
    </row>
    <row r="6589" spans="1:1" x14ac:dyDescent="0.35">
      <c r="A6589"/>
    </row>
    <row r="6590" spans="1:1" x14ac:dyDescent="0.35">
      <c r="A6590"/>
    </row>
    <row r="6591" spans="1:1" x14ac:dyDescent="0.35">
      <c r="A6591"/>
    </row>
    <row r="6592" spans="1:1" x14ac:dyDescent="0.35">
      <c r="A6592"/>
    </row>
    <row r="6593" spans="1:1" x14ac:dyDescent="0.35">
      <c r="A6593"/>
    </row>
    <row r="6594" spans="1:1" x14ac:dyDescent="0.35">
      <c r="A6594"/>
    </row>
    <row r="6595" spans="1:1" x14ac:dyDescent="0.35">
      <c r="A6595"/>
    </row>
    <row r="6596" spans="1:1" x14ac:dyDescent="0.35">
      <c r="A6596"/>
    </row>
    <row r="6597" spans="1:1" x14ac:dyDescent="0.35">
      <c r="A6597"/>
    </row>
    <row r="6598" spans="1:1" x14ac:dyDescent="0.35">
      <c r="A6598"/>
    </row>
    <row r="6599" spans="1:1" x14ac:dyDescent="0.35">
      <c r="A6599"/>
    </row>
    <row r="6600" spans="1:1" x14ac:dyDescent="0.35">
      <c r="A6600"/>
    </row>
    <row r="6601" spans="1:1" x14ac:dyDescent="0.35">
      <c r="A6601"/>
    </row>
    <row r="6602" spans="1:1" x14ac:dyDescent="0.35">
      <c r="A6602"/>
    </row>
    <row r="6603" spans="1:1" x14ac:dyDescent="0.35">
      <c r="A6603"/>
    </row>
    <row r="6604" spans="1:1" x14ac:dyDescent="0.35">
      <c r="A6604"/>
    </row>
    <row r="6605" spans="1:1" x14ac:dyDescent="0.35">
      <c r="A6605"/>
    </row>
    <row r="6606" spans="1:1" x14ac:dyDescent="0.35">
      <c r="A6606"/>
    </row>
    <row r="6607" spans="1:1" x14ac:dyDescent="0.35">
      <c r="A6607"/>
    </row>
    <row r="6608" spans="1:1" x14ac:dyDescent="0.35">
      <c r="A6608"/>
    </row>
    <row r="6609" spans="1:1" x14ac:dyDescent="0.35">
      <c r="A6609"/>
    </row>
    <row r="6610" spans="1:1" x14ac:dyDescent="0.35">
      <c r="A6610"/>
    </row>
    <row r="6611" spans="1:1" x14ac:dyDescent="0.35">
      <c r="A6611"/>
    </row>
    <row r="6612" spans="1:1" x14ac:dyDescent="0.35">
      <c r="A6612"/>
    </row>
    <row r="6613" spans="1:1" x14ac:dyDescent="0.35">
      <c r="A6613"/>
    </row>
    <row r="6614" spans="1:1" x14ac:dyDescent="0.35">
      <c r="A6614"/>
    </row>
    <row r="6615" spans="1:1" x14ac:dyDescent="0.35">
      <c r="A6615"/>
    </row>
    <row r="6616" spans="1:1" x14ac:dyDescent="0.35">
      <c r="A6616"/>
    </row>
    <row r="6617" spans="1:1" x14ac:dyDescent="0.35">
      <c r="A6617"/>
    </row>
    <row r="6618" spans="1:1" x14ac:dyDescent="0.35">
      <c r="A6618"/>
    </row>
    <row r="6619" spans="1:1" x14ac:dyDescent="0.35">
      <c r="A6619"/>
    </row>
    <row r="6620" spans="1:1" x14ac:dyDescent="0.35">
      <c r="A6620"/>
    </row>
    <row r="6621" spans="1:1" x14ac:dyDescent="0.35">
      <c r="A6621"/>
    </row>
    <row r="6622" spans="1:1" x14ac:dyDescent="0.35">
      <c r="A6622"/>
    </row>
    <row r="6623" spans="1:1" x14ac:dyDescent="0.35">
      <c r="A6623"/>
    </row>
    <row r="6624" spans="1:1" x14ac:dyDescent="0.35">
      <c r="A6624"/>
    </row>
    <row r="6625" spans="1:1" x14ac:dyDescent="0.35">
      <c r="A6625"/>
    </row>
    <row r="6626" spans="1:1" x14ac:dyDescent="0.35">
      <c r="A6626"/>
    </row>
    <row r="6627" spans="1:1" x14ac:dyDescent="0.35">
      <c r="A6627"/>
    </row>
    <row r="6628" spans="1:1" x14ac:dyDescent="0.35">
      <c r="A6628"/>
    </row>
    <row r="6629" spans="1:1" x14ac:dyDescent="0.35">
      <c r="A6629"/>
    </row>
    <row r="6630" spans="1:1" x14ac:dyDescent="0.35">
      <c r="A6630"/>
    </row>
    <row r="6631" spans="1:1" x14ac:dyDescent="0.35">
      <c r="A6631"/>
    </row>
    <row r="6632" spans="1:1" x14ac:dyDescent="0.35">
      <c r="A6632"/>
    </row>
    <row r="6633" spans="1:1" x14ac:dyDescent="0.35">
      <c r="A6633"/>
    </row>
    <row r="6634" spans="1:1" x14ac:dyDescent="0.35">
      <c r="A6634"/>
    </row>
    <row r="6635" spans="1:1" x14ac:dyDescent="0.35">
      <c r="A6635"/>
    </row>
    <row r="6636" spans="1:1" x14ac:dyDescent="0.35">
      <c r="A6636"/>
    </row>
    <row r="6637" spans="1:1" x14ac:dyDescent="0.35">
      <c r="A6637"/>
    </row>
    <row r="6638" spans="1:1" x14ac:dyDescent="0.35">
      <c r="A6638"/>
    </row>
    <row r="6639" spans="1:1" x14ac:dyDescent="0.35">
      <c r="A6639"/>
    </row>
    <row r="6640" spans="1:1" x14ac:dyDescent="0.35">
      <c r="A6640"/>
    </row>
    <row r="6641" spans="1:1" x14ac:dyDescent="0.35">
      <c r="A6641"/>
    </row>
    <row r="6642" spans="1:1" x14ac:dyDescent="0.35">
      <c r="A6642"/>
    </row>
    <row r="6643" spans="1:1" x14ac:dyDescent="0.35">
      <c r="A6643"/>
    </row>
    <row r="6644" spans="1:1" x14ac:dyDescent="0.35">
      <c r="A6644"/>
    </row>
    <row r="6645" spans="1:1" x14ac:dyDescent="0.35">
      <c r="A6645"/>
    </row>
    <row r="6646" spans="1:1" x14ac:dyDescent="0.35">
      <c r="A6646"/>
    </row>
    <row r="6647" spans="1:1" x14ac:dyDescent="0.35">
      <c r="A6647"/>
    </row>
    <row r="6648" spans="1:1" x14ac:dyDescent="0.35">
      <c r="A6648"/>
    </row>
    <row r="6649" spans="1:1" x14ac:dyDescent="0.35">
      <c r="A6649"/>
    </row>
    <row r="6650" spans="1:1" x14ac:dyDescent="0.35">
      <c r="A6650"/>
    </row>
    <row r="6651" spans="1:1" x14ac:dyDescent="0.35">
      <c r="A6651"/>
    </row>
    <row r="6652" spans="1:1" x14ac:dyDescent="0.35">
      <c r="A6652"/>
    </row>
    <row r="6653" spans="1:1" x14ac:dyDescent="0.35">
      <c r="A6653"/>
    </row>
    <row r="6654" spans="1:1" x14ac:dyDescent="0.35">
      <c r="A6654"/>
    </row>
    <row r="6655" spans="1:1" x14ac:dyDescent="0.35">
      <c r="A6655"/>
    </row>
    <row r="6656" spans="1:1" x14ac:dyDescent="0.35">
      <c r="A6656"/>
    </row>
    <row r="6657" spans="1:1" x14ac:dyDescent="0.35">
      <c r="A6657"/>
    </row>
    <row r="6658" spans="1:1" x14ac:dyDescent="0.35">
      <c r="A6658"/>
    </row>
    <row r="6659" spans="1:1" x14ac:dyDescent="0.35">
      <c r="A6659"/>
    </row>
    <row r="6660" spans="1:1" x14ac:dyDescent="0.35">
      <c r="A6660"/>
    </row>
    <row r="6661" spans="1:1" x14ac:dyDescent="0.35">
      <c r="A6661"/>
    </row>
    <row r="6662" spans="1:1" x14ac:dyDescent="0.35">
      <c r="A6662"/>
    </row>
    <row r="6663" spans="1:1" x14ac:dyDescent="0.35">
      <c r="A6663"/>
    </row>
    <row r="6664" spans="1:1" x14ac:dyDescent="0.35">
      <c r="A6664"/>
    </row>
    <row r="6665" spans="1:1" x14ac:dyDescent="0.35">
      <c r="A6665"/>
    </row>
    <row r="6666" spans="1:1" x14ac:dyDescent="0.35">
      <c r="A6666"/>
    </row>
    <row r="6667" spans="1:1" x14ac:dyDescent="0.35">
      <c r="A6667"/>
    </row>
    <row r="6668" spans="1:1" x14ac:dyDescent="0.35">
      <c r="A6668"/>
    </row>
    <row r="6669" spans="1:1" x14ac:dyDescent="0.35">
      <c r="A6669"/>
    </row>
    <row r="6670" spans="1:1" x14ac:dyDescent="0.35">
      <c r="A6670"/>
    </row>
    <row r="6671" spans="1:1" x14ac:dyDescent="0.35">
      <c r="A6671"/>
    </row>
    <row r="6672" spans="1:1" x14ac:dyDescent="0.35">
      <c r="A6672"/>
    </row>
    <row r="6673" spans="1:1" x14ac:dyDescent="0.35">
      <c r="A6673"/>
    </row>
    <row r="6674" spans="1:1" x14ac:dyDescent="0.35">
      <c r="A6674"/>
    </row>
    <row r="6675" spans="1:1" x14ac:dyDescent="0.35">
      <c r="A6675"/>
    </row>
    <row r="6676" spans="1:1" x14ac:dyDescent="0.35">
      <c r="A6676"/>
    </row>
    <row r="6677" spans="1:1" x14ac:dyDescent="0.35">
      <c r="A6677"/>
    </row>
    <row r="6678" spans="1:1" x14ac:dyDescent="0.35">
      <c r="A6678"/>
    </row>
    <row r="6679" spans="1:1" x14ac:dyDescent="0.35">
      <c r="A6679"/>
    </row>
    <row r="6680" spans="1:1" x14ac:dyDescent="0.35">
      <c r="A6680"/>
    </row>
    <row r="6681" spans="1:1" x14ac:dyDescent="0.35">
      <c r="A6681"/>
    </row>
    <row r="6682" spans="1:1" x14ac:dyDescent="0.35">
      <c r="A6682"/>
    </row>
    <row r="6683" spans="1:1" x14ac:dyDescent="0.35">
      <c r="A6683"/>
    </row>
    <row r="6684" spans="1:1" x14ac:dyDescent="0.35">
      <c r="A6684"/>
    </row>
    <row r="6685" spans="1:1" x14ac:dyDescent="0.35">
      <c r="A6685"/>
    </row>
    <row r="6686" spans="1:1" x14ac:dyDescent="0.35">
      <c r="A6686"/>
    </row>
    <row r="6687" spans="1:1" x14ac:dyDescent="0.35">
      <c r="A6687"/>
    </row>
    <row r="6688" spans="1:1" x14ac:dyDescent="0.35">
      <c r="A6688"/>
    </row>
    <row r="6689" spans="1:1" x14ac:dyDescent="0.35">
      <c r="A6689"/>
    </row>
    <row r="6690" spans="1:1" x14ac:dyDescent="0.35">
      <c r="A6690"/>
    </row>
    <row r="6691" spans="1:1" x14ac:dyDescent="0.35">
      <c r="A6691"/>
    </row>
    <row r="6692" spans="1:1" x14ac:dyDescent="0.35">
      <c r="A6692"/>
    </row>
    <row r="6693" spans="1:1" x14ac:dyDescent="0.35">
      <c r="A6693"/>
    </row>
    <row r="6694" spans="1:1" x14ac:dyDescent="0.35">
      <c r="A6694"/>
    </row>
    <row r="6695" spans="1:1" x14ac:dyDescent="0.35">
      <c r="A6695"/>
    </row>
    <row r="6696" spans="1:1" x14ac:dyDescent="0.35">
      <c r="A6696"/>
    </row>
    <row r="6697" spans="1:1" x14ac:dyDescent="0.35">
      <c r="A6697"/>
    </row>
    <row r="6698" spans="1:1" x14ac:dyDescent="0.35">
      <c r="A6698"/>
    </row>
    <row r="6699" spans="1:1" x14ac:dyDescent="0.35">
      <c r="A6699"/>
    </row>
    <row r="6700" spans="1:1" x14ac:dyDescent="0.35">
      <c r="A6700"/>
    </row>
    <row r="6701" spans="1:1" x14ac:dyDescent="0.35">
      <c r="A6701"/>
    </row>
    <row r="6702" spans="1:1" x14ac:dyDescent="0.35">
      <c r="A6702"/>
    </row>
    <row r="6703" spans="1:1" x14ac:dyDescent="0.35">
      <c r="A6703"/>
    </row>
    <row r="6704" spans="1:1" x14ac:dyDescent="0.35">
      <c r="A6704"/>
    </row>
    <row r="6705" spans="1:1" x14ac:dyDescent="0.35">
      <c r="A6705"/>
    </row>
    <row r="6706" spans="1:1" x14ac:dyDescent="0.35">
      <c r="A6706"/>
    </row>
    <row r="6707" spans="1:1" x14ac:dyDescent="0.35">
      <c r="A6707"/>
    </row>
    <row r="6708" spans="1:1" x14ac:dyDescent="0.35">
      <c r="A6708"/>
    </row>
    <row r="6709" spans="1:1" x14ac:dyDescent="0.35">
      <c r="A6709"/>
    </row>
    <row r="6710" spans="1:1" x14ac:dyDescent="0.35">
      <c r="A6710"/>
    </row>
    <row r="6711" spans="1:1" x14ac:dyDescent="0.35">
      <c r="A6711"/>
    </row>
    <row r="6712" spans="1:1" x14ac:dyDescent="0.35">
      <c r="A6712"/>
    </row>
    <row r="6713" spans="1:1" x14ac:dyDescent="0.35">
      <c r="A6713"/>
    </row>
    <row r="6714" spans="1:1" x14ac:dyDescent="0.35">
      <c r="A6714"/>
    </row>
    <row r="6715" spans="1:1" x14ac:dyDescent="0.35">
      <c r="A6715"/>
    </row>
    <row r="6716" spans="1:1" x14ac:dyDescent="0.35">
      <c r="A6716"/>
    </row>
    <row r="6717" spans="1:1" x14ac:dyDescent="0.35">
      <c r="A6717"/>
    </row>
    <row r="6718" spans="1:1" x14ac:dyDescent="0.35">
      <c r="A6718"/>
    </row>
    <row r="6719" spans="1:1" x14ac:dyDescent="0.35">
      <c r="A6719"/>
    </row>
    <row r="6720" spans="1:1" x14ac:dyDescent="0.35">
      <c r="A6720"/>
    </row>
    <row r="6721" spans="1:1" x14ac:dyDescent="0.35">
      <c r="A6721"/>
    </row>
    <row r="6722" spans="1:1" x14ac:dyDescent="0.35">
      <c r="A6722"/>
    </row>
    <row r="6723" spans="1:1" x14ac:dyDescent="0.35">
      <c r="A6723"/>
    </row>
    <row r="6724" spans="1:1" x14ac:dyDescent="0.35">
      <c r="A6724"/>
    </row>
    <row r="6725" spans="1:1" x14ac:dyDescent="0.35">
      <c r="A6725"/>
    </row>
    <row r="6726" spans="1:1" x14ac:dyDescent="0.35">
      <c r="A6726"/>
    </row>
    <row r="6727" spans="1:1" x14ac:dyDescent="0.35">
      <c r="A6727"/>
    </row>
    <row r="6728" spans="1:1" x14ac:dyDescent="0.35">
      <c r="A6728"/>
    </row>
    <row r="6729" spans="1:1" x14ac:dyDescent="0.35">
      <c r="A6729"/>
    </row>
    <row r="6730" spans="1:1" x14ac:dyDescent="0.35">
      <c r="A6730"/>
    </row>
    <row r="6731" spans="1:1" x14ac:dyDescent="0.35">
      <c r="A6731"/>
    </row>
    <row r="6732" spans="1:1" x14ac:dyDescent="0.35">
      <c r="A6732"/>
    </row>
    <row r="6733" spans="1:1" x14ac:dyDescent="0.35">
      <c r="A6733"/>
    </row>
    <row r="6734" spans="1:1" x14ac:dyDescent="0.35">
      <c r="A6734"/>
    </row>
    <row r="6735" spans="1:1" x14ac:dyDescent="0.35">
      <c r="A6735"/>
    </row>
    <row r="6736" spans="1:1" x14ac:dyDescent="0.35">
      <c r="A6736"/>
    </row>
    <row r="6737" spans="1:1" x14ac:dyDescent="0.35">
      <c r="A6737"/>
    </row>
    <row r="6738" spans="1:1" x14ac:dyDescent="0.35">
      <c r="A6738"/>
    </row>
    <row r="6739" spans="1:1" x14ac:dyDescent="0.35">
      <c r="A6739"/>
    </row>
    <row r="6740" spans="1:1" x14ac:dyDescent="0.35">
      <c r="A6740"/>
    </row>
    <row r="6741" spans="1:1" x14ac:dyDescent="0.35">
      <c r="A6741"/>
    </row>
    <row r="6742" spans="1:1" x14ac:dyDescent="0.35">
      <c r="A6742"/>
    </row>
    <row r="6743" spans="1:1" x14ac:dyDescent="0.35">
      <c r="A6743"/>
    </row>
    <row r="6744" spans="1:1" x14ac:dyDescent="0.35">
      <c r="A6744"/>
    </row>
    <row r="6745" spans="1:1" x14ac:dyDescent="0.35">
      <c r="A6745"/>
    </row>
    <row r="6746" spans="1:1" x14ac:dyDescent="0.35">
      <c r="A6746"/>
    </row>
    <row r="6747" spans="1:1" x14ac:dyDescent="0.35">
      <c r="A6747"/>
    </row>
    <row r="6748" spans="1:1" x14ac:dyDescent="0.35">
      <c r="A6748"/>
    </row>
    <row r="6749" spans="1:1" x14ac:dyDescent="0.35">
      <c r="A6749"/>
    </row>
    <row r="6750" spans="1:1" x14ac:dyDescent="0.35">
      <c r="A6750"/>
    </row>
    <row r="6751" spans="1:1" x14ac:dyDescent="0.35">
      <c r="A6751"/>
    </row>
    <row r="6752" spans="1:1" x14ac:dyDescent="0.35">
      <c r="A6752"/>
    </row>
    <row r="6753" spans="1:1" x14ac:dyDescent="0.35">
      <c r="A6753"/>
    </row>
    <row r="6754" spans="1:1" x14ac:dyDescent="0.35">
      <c r="A6754"/>
    </row>
    <row r="6755" spans="1:1" x14ac:dyDescent="0.35">
      <c r="A6755"/>
    </row>
    <row r="6756" spans="1:1" x14ac:dyDescent="0.35">
      <c r="A6756"/>
    </row>
    <row r="6757" spans="1:1" x14ac:dyDescent="0.35">
      <c r="A6757"/>
    </row>
    <row r="6758" spans="1:1" x14ac:dyDescent="0.35">
      <c r="A6758"/>
    </row>
    <row r="6759" spans="1:1" x14ac:dyDescent="0.35">
      <c r="A6759"/>
    </row>
    <row r="6760" spans="1:1" x14ac:dyDescent="0.35">
      <c r="A6760"/>
    </row>
    <row r="6761" spans="1:1" x14ac:dyDescent="0.35">
      <c r="A6761"/>
    </row>
    <row r="6762" spans="1:1" x14ac:dyDescent="0.35">
      <c r="A6762"/>
    </row>
    <row r="6763" spans="1:1" x14ac:dyDescent="0.35">
      <c r="A6763"/>
    </row>
    <row r="6764" spans="1:1" x14ac:dyDescent="0.35">
      <c r="A6764"/>
    </row>
    <row r="6765" spans="1:1" x14ac:dyDescent="0.35">
      <c r="A6765"/>
    </row>
    <row r="6766" spans="1:1" x14ac:dyDescent="0.35">
      <c r="A6766"/>
    </row>
    <row r="6767" spans="1:1" x14ac:dyDescent="0.35">
      <c r="A6767"/>
    </row>
    <row r="6768" spans="1:1" x14ac:dyDescent="0.35">
      <c r="A6768"/>
    </row>
    <row r="6769" spans="1:1" x14ac:dyDescent="0.35">
      <c r="A6769"/>
    </row>
    <row r="6770" spans="1:1" x14ac:dyDescent="0.35">
      <c r="A6770"/>
    </row>
    <row r="6771" spans="1:1" x14ac:dyDescent="0.35">
      <c r="A6771"/>
    </row>
    <row r="6772" spans="1:1" x14ac:dyDescent="0.35">
      <c r="A6772"/>
    </row>
    <row r="6773" spans="1:1" x14ac:dyDescent="0.35">
      <c r="A6773"/>
    </row>
    <row r="6774" spans="1:1" x14ac:dyDescent="0.35">
      <c r="A6774"/>
    </row>
    <row r="6775" spans="1:1" x14ac:dyDescent="0.35">
      <c r="A6775"/>
    </row>
    <row r="6776" spans="1:1" x14ac:dyDescent="0.35">
      <c r="A6776"/>
    </row>
    <row r="6777" spans="1:1" x14ac:dyDescent="0.35">
      <c r="A6777"/>
    </row>
    <row r="6778" spans="1:1" x14ac:dyDescent="0.35">
      <c r="A6778"/>
    </row>
    <row r="6779" spans="1:1" x14ac:dyDescent="0.35">
      <c r="A6779"/>
    </row>
    <row r="6780" spans="1:1" x14ac:dyDescent="0.35">
      <c r="A6780"/>
    </row>
    <row r="6781" spans="1:1" x14ac:dyDescent="0.35">
      <c r="A6781"/>
    </row>
    <row r="6782" spans="1:1" x14ac:dyDescent="0.35">
      <c r="A6782"/>
    </row>
    <row r="6783" spans="1:1" x14ac:dyDescent="0.35">
      <c r="A6783"/>
    </row>
    <row r="6784" spans="1:1" x14ac:dyDescent="0.35">
      <c r="A6784"/>
    </row>
    <row r="6785" spans="1:1" x14ac:dyDescent="0.35">
      <c r="A6785"/>
    </row>
    <row r="6786" spans="1:1" x14ac:dyDescent="0.35">
      <c r="A6786"/>
    </row>
    <row r="6787" spans="1:1" x14ac:dyDescent="0.35">
      <c r="A6787"/>
    </row>
    <row r="6788" spans="1:1" x14ac:dyDescent="0.35">
      <c r="A6788"/>
    </row>
    <row r="6789" spans="1:1" x14ac:dyDescent="0.35">
      <c r="A6789"/>
    </row>
    <row r="6790" spans="1:1" x14ac:dyDescent="0.35">
      <c r="A6790"/>
    </row>
    <row r="6791" spans="1:1" x14ac:dyDescent="0.35">
      <c r="A6791"/>
    </row>
    <row r="6792" spans="1:1" x14ac:dyDescent="0.35">
      <c r="A6792"/>
    </row>
    <row r="6793" spans="1:1" x14ac:dyDescent="0.35">
      <c r="A6793"/>
    </row>
    <row r="6794" spans="1:1" x14ac:dyDescent="0.35">
      <c r="A6794"/>
    </row>
    <row r="6795" spans="1:1" x14ac:dyDescent="0.35">
      <c r="A6795"/>
    </row>
    <row r="6796" spans="1:1" x14ac:dyDescent="0.35">
      <c r="A6796"/>
    </row>
    <row r="6797" spans="1:1" x14ac:dyDescent="0.35">
      <c r="A6797"/>
    </row>
    <row r="6798" spans="1:1" x14ac:dyDescent="0.35">
      <c r="A6798"/>
    </row>
    <row r="6799" spans="1:1" x14ac:dyDescent="0.35">
      <c r="A6799"/>
    </row>
    <row r="6800" spans="1:1" x14ac:dyDescent="0.35">
      <c r="A6800"/>
    </row>
    <row r="6801" spans="1:1" x14ac:dyDescent="0.35">
      <c r="A6801"/>
    </row>
    <row r="6802" spans="1:1" x14ac:dyDescent="0.35">
      <c r="A6802"/>
    </row>
    <row r="6803" spans="1:1" x14ac:dyDescent="0.35">
      <c r="A6803"/>
    </row>
    <row r="6804" spans="1:1" x14ac:dyDescent="0.35">
      <c r="A6804"/>
    </row>
    <row r="6805" spans="1:1" x14ac:dyDescent="0.35">
      <c r="A6805"/>
    </row>
    <row r="6806" spans="1:1" x14ac:dyDescent="0.35">
      <c r="A6806"/>
    </row>
    <row r="6807" spans="1:1" x14ac:dyDescent="0.35">
      <c r="A6807"/>
    </row>
    <row r="6808" spans="1:1" x14ac:dyDescent="0.35">
      <c r="A6808"/>
    </row>
    <row r="6809" spans="1:1" x14ac:dyDescent="0.35">
      <c r="A6809"/>
    </row>
    <row r="6810" spans="1:1" x14ac:dyDescent="0.35">
      <c r="A6810"/>
    </row>
    <row r="6811" spans="1:1" x14ac:dyDescent="0.35">
      <c r="A6811"/>
    </row>
    <row r="6812" spans="1:1" x14ac:dyDescent="0.35">
      <c r="A6812"/>
    </row>
    <row r="6813" spans="1:1" x14ac:dyDescent="0.35">
      <c r="A6813"/>
    </row>
    <row r="6814" spans="1:1" x14ac:dyDescent="0.35">
      <c r="A6814"/>
    </row>
    <row r="6815" spans="1:1" x14ac:dyDescent="0.35">
      <c r="A6815"/>
    </row>
    <row r="6816" spans="1:1" x14ac:dyDescent="0.35">
      <c r="A6816"/>
    </row>
    <row r="6817" spans="1:1" x14ac:dyDescent="0.35">
      <c r="A6817"/>
    </row>
    <row r="6818" spans="1:1" x14ac:dyDescent="0.35">
      <c r="A6818"/>
    </row>
    <row r="6819" spans="1:1" x14ac:dyDescent="0.35">
      <c r="A6819"/>
    </row>
    <row r="6820" spans="1:1" x14ac:dyDescent="0.35">
      <c r="A6820"/>
    </row>
    <row r="6821" spans="1:1" x14ac:dyDescent="0.35">
      <c r="A6821"/>
    </row>
    <row r="6822" spans="1:1" x14ac:dyDescent="0.35">
      <c r="A6822"/>
    </row>
    <row r="6823" spans="1:1" x14ac:dyDescent="0.35">
      <c r="A6823"/>
    </row>
    <row r="6824" spans="1:1" x14ac:dyDescent="0.35">
      <c r="A6824"/>
    </row>
    <row r="6825" spans="1:1" x14ac:dyDescent="0.35">
      <c r="A6825"/>
    </row>
    <row r="6826" spans="1:1" x14ac:dyDescent="0.35">
      <c r="A6826"/>
    </row>
    <row r="6827" spans="1:1" x14ac:dyDescent="0.35">
      <c r="A6827"/>
    </row>
    <row r="6828" spans="1:1" x14ac:dyDescent="0.35">
      <c r="A6828"/>
    </row>
    <row r="6829" spans="1:1" x14ac:dyDescent="0.35">
      <c r="A6829"/>
    </row>
    <row r="6830" spans="1:1" x14ac:dyDescent="0.35">
      <c r="A6830"/>
    </row>
    <row r="6831" spans="1:1" x14ac:dyDescent="0.35">
      <c r="A6831"/>
    </row>
    <row r="6832" spans="1:1" x14ac:dyDescent="0.35">
      <c r="A6832"/>
    </row>
    <row r="6833" spans="1:1" x14ac:dyDescent="0.35">
      <c r="A6833"/>
    </row>
    <row r="6834" spans="1:1" x14ac:dyDescent="0.35">
      <c r="A6834"/>
    </row>
    <row r="6835" spans="1:1" x14ac:dyDescent="0.35">
      <c r="A6835"/>
    </row>
    <row r="6836" spans="1:1" x14ac:dyDescent="0.35">
      <c r="A6836"/>
    </row>
    <row r="6837" spans="1:1" x14ac:dyDescent="0.35">
      <c r="A6837"/>
    </row>
    <row r="6838" spans="1:1" x14ac:dyDescent="0.35">
      <c r="A6838"/>
    </row>
    <row r="6839" spans="1:1" x14ac:dyDescent="0.35">
      <c r="A6839"/>
    </row>
    <row r="6840" spans="1:1" x14ac:dyDescent="0.35">
      <c r="A6840"/>
    </row>
    <row r="6841" spans="1:1" x14ac:dyDescent="0.35">
      <c r="A6841"/>
    </row>
    <row r="6842" spans="1:1" x14ac:dyDescent="0.35">
      <c r="A6842"/>
    </row>
    <row r="6843" spans="1:1" x14ac:dyDescent="0.35">
      <c r="A6843"/>
    </row>
    <row r="6844" spans="1:1" x14ac:dyDescent="0.35">
      <c r="A6844"/>
    </row>
    <row r="6845" spans="1:1" x14ac:dyDescent="0.35">
      <c r="A6845"/>
    </row>
    <row r="6846" spans="1:1" x14ac:dyDescent="0.35">
      <c r="A6846"/>
    </row>
    <row r="6847" spans="1:1" x14ac:dyDescent="0.35">
      <c r="A6847"/>
    </row>
    <row r="6848" spans="1:1" x14ac:dyDescent="0.35">
      <c r="A6848"/>
    </row>
    <row r="6849" spans="1:1" x14ac:dyDescent="0.35">
      <c r="A6849"/>
    </row>
    <row r="6850" spans="1:1" x14ac:dyDescent="0.35">
      <c r="A6850"/>
    </row>
    <row r="6851" spans="1:1" x14ac:dyDescent="0.35">
      <c r="A6851"/>
    </row>
    <row r="6852" spans="1:1" x14ac:dyDescent="0.35">
      <c r="A6852"/>
    </row>
    <row r="6853" spans="1:1" x14ac:dyDescent="0.35">
      <c r="A6853"/>
    </row>
    <row r="6854" spans="1:1" x14ac:dyDescent="0.35">
      <c r="A6854"/>
    </row>
    <row r="6855" spans="1:1" x14ac:dyDescent="0.35">
      <c r="A6855"/>
    </row>
    <row r="6856" spans="1:1" x14ac:dyDescent="0.35">
      <c r="A6856"/>
    </row>
    <row r="6857" spans="1:1" x14ac:dyDescent="0.35">
      <c r="A6857"/>
    </row>
    <row r="6858" spans="1:1" x14ac:dyDescent="0.35">
      <c r="A6858"/>
    </row>
    <row r="6859" spans="1:1" x14ac:dyDescent="0.35">
      <c r="A6859"/>
    </row>
    <row r="6860" spans="1:1" x14ac:dyDescent="0.35">
      <c r="A6860"/>
    </row>
    <row r="6861" spans="1:1" x14ac:dyDescent="0.35">
      <c r="A6861"/>
    </row>
    <row r="6862" spans="1:1" x14ac:dyDescent="0.35">
      <c r="A6862"/>
    </row>
    <row r="6863" spans="1:1" x14ac:dyDescent="0.35">
      <c r="A6863"/>
    </row>
    <row r="6864" spans="1:1" x14ac:dyDescent="0.35">
      <c r="A6864"/>
    </row>
    <row r="6865" spans="1:1" x14ac:dyDescent="0.35">
      <c r="A6865"/>
    </row>
    <row r="6866" spans="1:1" x14ac:dyDescent="0.35">
      <c r="A6866"/>
    </row>
    <row r="6867" spans="1:1" x14ac:dyDescent="0.35">
      <c r="A6867"/>
    </row>
    <row r="6868" spans="1:1" x14ac:dyDescent="0.35">
      <c r="A6868"/>
    </row>
    <row r="6869" spans="1:1" x14ac:dyDescent="0.35">
      <c r="A6869"/>
    </row>
    <row r="6870" spans="1:1" x14ac:dyDescent="0.35">
      <c r="A6870"/>
    </row>
    <row r="6871" spans="1:1" x14ac:dyDescent="0.35">
      <c r="A6871"/>
    </row>
    <row r="6872" spans="1:1" x14ac:dyDescent="0.35">
      <c r="A6872"/>
    </row>
    <row r="6873" spans="1:1" x14ac:dyDescent="0.35">
      <c r="A6873"/>
    </row>
    <row r="6874" spans="1:1" x14ac:dyDescent="0.35">
      <c r="A6874"/>
    </row>
    <row r="6875" spans="1:1" x14ac:dyDescent="0.35">
      <c r="A6875"/>
    </row>
    <row r="6876" spans="1:1" x14ac:dyDescent="0.35">
      <c r="A6876"/>
    </row>
    <row r="6877" spans="1:1" x14ac:dyDescent="0.35">
      <c r="A6877"/>
    </row>
    <row r="6878" spans="1:1" x14ac:dyDescent="0.35">
      <c r="A6878"/>
    </row>
    <row r="6879" spans="1:1" x14ac:dyDescent="0.35">
      <c r="A6879"/>
    </row>
    <row r="6880" spans="1:1" x14ac:dyDescent="0.35">
      <c r="A6880"/>
    </row>
    <row r="6881" spans="1:1" x14ac:dyDescent="0.35">
      <c r="A6881"/>
    </row>
    <row r="6882" spans="1:1" x14ac:dyDescent="0.35">
      <c r="A6882"/>
    </row>
    <row r="6883" spans="1:1" x14ac:dyDescent="0.35">
      <c r="A6883"/>
    </row>
    <row r="6884" spans="1:1" x14ac:dyDescent="0.35">
      <c r="A6884"/>
    </row>
    <row r="6885" spans="1:1" x14ac:dyDescent="0.35">
      <c r="A6885"/>
    </row>
    <row r="6886" spans="1:1" x14ac:dyDescent="0.35">
      <c r="A6886"/>
    </row>
    <row r="6887" spans="1:1" x14ac:dyDescent="0.35">
      <c r="A6887"/>
    </row>
    <row r="6888" spans="1:1" x14ac:dyDescent="0.35">
      <c r="A6888"/>
    </row>
    <row r="6889" spans="1:1" x14ac:dyDescent="0.35">
      <c r="A6889"/>
    </row>
    <row r="6890" spans="1:1" x14ac:dyDescent="0.35">
      <c r="A6890"/>
    </row>
    <row r="6891" spans="1:1" x14ac:dyDescent="0.35">
      <c r="A6891"/>
    </row>
    <row r="6892" spans="1:1" x14ac:dyDescent="0.35">
      <c r="A6892"/>
    </row>
    <row r="6893" spans="1:1" x14ac:dyDescent="0.35">
      <c r="A6893"/>
    </row>
    <row r="6894" spans="1:1" x14ac:dyDescent="0.35">
      <c r="A6894"/>
    </row>
    <row r="6895" spans="1:1" x14ac:dyDescent="0.35">
      <c r="A6895"/>
    </row>
    <row r="6896" spans="1:1" x14ac:dyDescent="0.35">
      <c r="A6896"/>
    </row>
    <row r="6897" spans="1:1" x14ac:dyDescent="0.35">
      <c r="A6897"/>
    </row>
    <row r="6898" spans="1:1" x14ac:dyDescent="0.35">
      <c r="A6898"/>
    </row>
    <row r="6899" spans="1:1" x14ac:dyDescent="0.35">
      <c r="A6899"/>
    </row>
    <row r="6900" spans="1:1" x14ac:dyDescent="0.35">
      <c r="A6900"/>
    </row>
    <row r="6901" spans="1:1" x14ac:dyDescent="0.35">
      <c r="A6901"/>
    </row>
    <row r="6902" spans="1:1" x14ac:dyDescent="0.35">
      <c r="A6902"/>
    </row>
    <row r="6903" spans="1:1" x14ac:dyDescent="0.35">
      <c r="A6903"/>
    </row>
    <row r="6904" spans="1:1" x14ac:dyDescent="0.35">
      <c r="A6904"/>
    </row>
    <row r="6905" spans="1:1" x14ac:dyDescent="0.35">
      <c r="A6905"/>
    </row>
    <row r="6906" spans="1:1" x14ac:dyDescent="0.35">
      <c r="A6906"/>
    </row>
    <row r="6907" spans="1:1" x14ac:dyDescent="0.35">
      <c r="A6907"/>
    </row>
    <row r="6908" spans="1:1" x14ac:dyDescent="0.35">
      <c r="A6908"/>
    </row>
    <row r="6909" spans="1:1" x14ac:dyDescent="0.35">
      <c r="A6909"/>
    </row>
    <row r="6910" spans="1:1" x14ac:dyDescent="0.35">
      <c r="A6910"/>
    </row>
    <row r="6911" spans="1:1" x14ac:dyDescent="0.35">
      <c r="A6911"/>
    </row>
    <row r="6912" spans="1:1" x14ac:dyDescent="0.35">
      <c r="A6912"/>
    </row>
    <row r="6913" spans="1:1" x14ac:dyDescent="0.35">
      <c r="A6913"/>
    </row>
    <row r="6914" spans="1:1" x14ac:dyDescent="0.35">
      <c r="A6914"/>
    </row>
    <row r="6915" spans="1:1" x14ac:dyDescent="0.35">
      <c r="A6915"/>
    </row>
    <row r="6916" spans="1:1" x14ac:dyDescent="0.35">
      <c r="A6916"/>
    </row>
    <row r="6917" spans="1:1" x14ac:dyDescent="0.35">
      <c r="A6917"/>
    </row>
    <row r="6918" spans="1:1" x14ac:dyDescent="0.35">
      <c r="A6918"/>
    </row>
    <row r="6919" spans="1:1" x14ac:dyDescent="0.35">
      <c r="A6919"/>
    </row>
    <row r="6920" spans="1:1" x14ac:dyDescent="0.35">
      <c r="A6920"/>
    </row>
    <row r="6921" spans="1:1" x14ac:dyDescent="0.35">
      <c r="A6921"/>
    </row>
    <row r="6922" spans="1:1" x14ac:dyDescent="0.35">
      <c r="A6922"/>
    </row>
    <row r="6923" spans="1:1" x14ac:dyDescent="0.35">
      <c r="A6923"/>
    </row>
    <row r="6924" spans="1:1" x14ac:dyDescent="0.35">
      <c r="A6924"/>
    </row>
    <row r="6925" spans="1:1" x14ac:dyDescent="0.35">
      <c r="A6925"/>
    </row>
    <row r="6926" spans="1:1" x14ac:dyDescent="0.35">
      <c r="A6926"/>
    </row>
    <row r="6927" spans="1:1" x14ac:dyDescent="0.35">
      <c r="A6927"/>
    </row>
    <row r="6928" spans="1:1" x14ac:dyDescent="0.35">
      <c r="A6928"/>
    </row>
    <row r="6929" spans="1:1" x14ac:dyDescent="0.35">
      <c r="A6929"/>
    </row>
    <row r="6930" spans="1:1" x14ac:dyDescent="0.35">
      <c r="A6930"/>
    </row>
    <row r="6931" spans="1:1" x14ac:dyDescent="0.35">
      <c r="A6931"/>
    </row>
    <row r="6932" spans="1:1" x14ac:dyDescent="0.35">
      <c r="A6932"/>
    </row>
    <row r="6933" spans="1:1" x14ac:dyDescent="0.35">
      <c r="A6933"/>
    </row>
    <row r="6934" spans="1:1" x14ac:dyDescent="0.35">
      <c r="A6934"/>
    </row>
    <row r="6935" spans="1:1" x14ac:dyDescent="0.35">
      <c r="A6935"/>
    </row>
    <row r="6936" spans="1:1" x14ac:dyDescent="0.35">
      <c r="A6936"/>
    </row>
    <row r="6937" spans="1:1" x14ac:dyDescent="0.35">
      <c r="A6937"/>
    </row>
    <row r="6938" spans="1:1" x14ac:dyDescent="0.35">
      <c r="A6938"/>
    </row>
    <row r="6939" spans="1:1" x14ac:dyDescent="0.35">
      <c r="A6939"/>
    </row>
    <row r="6940" spans="1:1" x14ac:dyDescent="0.35">
      <c r="A6940"/>
    </row>
    <row r="6941" spans="1:1" x14ac:dyDescent="0.35">
      <c r="A6941"/>
    </row>
    <row r="6942" spans="1:1" x14ac:dyDescent="0.35">
      <c r="A6942"/>
    </row>
    <row r="6943" spans="1:1" x14ac:dyDescent="0.35">
      <c r="A6943"/>
    </row>
    <row r="6944" spans="1:1" x14ac:dyDescent="0.35">
      <c r="A6944"/>
    </row>
    <row r="6945" spans="1:1" x14ac:dyDescent="0.35">
      <c r="A6945"/>
    </row>
    <row r="6946" spans="1:1" x14ac:dyDescent="0.35">
      <c r="A6946"/>
    </row>
    <row r="6947" spans="1:1" x14ac:dyDescent="0.35">
      <c r="A6947"/>
    </row>
    <row r="6948" spans="1:1" x14ac:dyDescent="0.35">
      <c r="A6948"/>
    </row>
    <row r="6949" spans="1:1" x14ac:dyDescent="0.35">
      <c r="A6949"/>
    </row>
    <row r="6950" spans="1:1" x14ac:dyDescent="0.35">
      <c r="A6950"/>
    </row>
    <row r="6951" spans="1:1" x14ac:dyDescent="0.35">
      <c r="A6951"/>
    </row>
    <row r="6952" spans="1:1" x14ac:dyDescent="0.35">
      <c r="A6952"/>
    </row>
    <row r="6953" spans="1:1" x14ac:dyDescent="0.35">
      <c r="A6953"/>
    </row>
    <row r="6954" spans="1:1" x14ac:dyDescent="0.35">
      <c r="A6954"/>
    </row>
    <row r="6955" spans="1:1" x14ac:dyDescent="0.35">
      <c r="A6955"/>
    </row>
    <row r="6956" spans="1:1" x14ac:dyDescent="0.35">
      <c r="A6956"/>
    </row>
    <row r="6957" spans="1:1" x14ac:dyDescent="0.35">
      <c r="A6957"/>
    </row>
    <row r="6958" spans="1:1" x14ac:dyDescent="0.35">
      <c r="A6958"/>
    </row>
    <row r="6959" spans="1:1" x14ac:dyDescent="0.35">
      <c r="A6959"/>
    </row>
    <row r="6960" spans="1:1" x14ac:dyDescent="0.35">
      <c r="A6960"/>
    </row>
    <row r="6961" spans="1:1" x14ac:dyDescent="0.35">
      <c r="A6961"/>
    </row>
    <row r="6962" spans="1:1" x14ac:dyDescent="0.35">
      <c r="A6962"/>
    </row>
    <row r="6963" spans="1:1" x14ac:dyDescent="0.35">
      <c r="A6963"/>
    </row>
    <row r="6964" spans="1:1" x14ac:dyDescent="0.35">
      <c r="A6964"/>
    </row>
    <row r="6965" spans="1:1" x14ac:dyDescent="0.35">
      <c r="A6965"/>
    </row>
    <row r="6966" spans="1:1" x14ac:dyDescent="0.35">
      <c r="A6966"/>
    </row>
    <row r="6967" spans="1:1" x14ac:dyDescent="0.35">
      <c r="A6967"/>
    </row>
    <row r="6968" spans="1:1" x14ac:dyDescent="0.35">
      <c r="A6968"/>
    </row>
    <row r="6969" spans="1:1" x14ac:dyDescent="0.35">
      <c r="A6969"/>
    </row>
    <row r="6970" spans="1:1" x14ac:dyDescent="0.35">
      <c r="A6970"/>
    </row>
    <row r="6971" spans="1:1" x14ac:dyDescent="0.35">
      <c r="A6971"/>
    </row>
    <row r="6972" spans="1:1" x14ac:dyDescent="0.35">
      <c r="A6972"/>
    </row>
    <row r="6973" spans="1:1" x14ac:dyDescent="0.35">
      <c r="A6973"/>
    </row>
    <row r="6974" spans="1:1" x14ac:dyDescent="0.35">
      <c r="A6974"/>
    </row>
    <row r="6975" spans="1:1" x14ac:dyDescent="0.35">
      <c r="A6975"/>
    </row>
    <row r="6976" spans="1:1" x14ac:dyDescent="0.35">
      <c r="A6976"/>
    </row>
    <row r="6977" spans="1:1" x14ac:dyDescent="0.35">
      <c r="A6977"/>
    </row>
    <row r="6978" spans="1:1" x14ac:dyDescent="0.35">
      <c r="A6978"/>
    </row>
    <row r="6979" spans="1:1" x14ac:dyDescent="0.35">
      <c r="A6979"/>
    </row>
    <row r="6980" spans="1:1" x14ac:dyDescent="0.35">
      <c r="A6980"/>
    </row>
    <row r="6981" spans="1:1" x14ac:dyDescent="0.35">
      <c r="A6981"/>
    </row>
    <row r="6982" spans="1:1" x14ac:dyDescent="0.35">
      <c r="A6982"/>
    </row>
    <row r="6983" spans="1:1" x14ac:dyDescent="0.35">
      <c r="A6983"/>
    </row>
    <row r="6984" spans="1:1" x14ac:dyDescent="0.35">
      <c r="A6984"/>
    </row>
    <row r="6985" spans="1:1" x14ac:dyDescent="0.35">
      <c r="A6985"/>
    </row>
    <row r="6986" spans="1:1" x14ac:dyDescent="0.35">
      <c r="A6986"/>
    </row>
    <row r="6987" spans="1:1" x14ac:dyDescent="0.35">
      <c r="A6987"/>
    </row>
    <row r="6988" spans="1:1" x14ac:dyDescent="0.35">
      <c r="A6988"/>
    </row>
    <row r="6989" spans="1:1" x14ac:dyDescent="0.35">
      <c r="A6989"/>
    </row>
    <row r="6990" spans="1:1" x14ac:dyDescent="0.35">
      <c r="A6990"/>
    </row>
    <row r="6991" spans="1:1" x14ac:dyDescent="0.35">
      <c r="A6991"/>
    </row>
    <row r="6992" spans="1:1" x14ac:dyDescent="0.35">
      <c r="A6992"/>
    </row>
    <row r="6993" spans="1:1" x14ac:dyDescent="0.35">
      <c r="A6993"/>
    </row>
    <row r="6994" spans="1:1" x14ac:dyDescent="0.35">
      <c r="A6994"/>
    </row>
    <row r="6995" spans="1:1" x14ac:dyDescent="0.35">
      <c r="A6995"/>
    </row>
    <row r="6996" spans="1:1" x14ac:dyDescent="0.35">
      <c r="A6996"/>
    </row>
    <row r="6997" spans="1:1" x14ac:dyDescent="0.35">
      <c r="A6997"/>
    </row>
    <row r="6998" spans="1:1" x14ac:dyDescent="0.35">
      <c r="A6998"/>
    </row>
    <row r="6999" spans="1:1" x14ac:dyDescent="0.35">
      <c r="A6999"/>
    </row>
    <row r="7000" spans="1:1" x14ac:dyDescent="0.35">
      <c r="A7000"/>
    </row>
    <row r="7001" spans="1:1" x14ac:dyDescent="0.35">
      <c r="A7001"/>
    </row>
    <row r="7002" spans="1:1" x14ac:dyDescent="0.35">
      <c r="A7002"/>
    </row>
    <row r="7003" spans="1:1" x14ac:dyDescent="0.35">
      <c r="A7003"/>
    </row>
    <row r="7004" spans="1:1" x14ac:dyDescent="0.35">
      <c r="A7004"/>
    </row>
    <row r="7005" spans="1:1" x14ac:dyDescent="0.35">
      <c r="A7005"/>
    </row>
    <row r="7006" spans="1:1" x14ac:dyDescent="0.35">
      <c r="A7006"/>
    </row>
    <row r="7007" spans="1:1" x14ac:dyDescent="0.35">
      <c r="A7007"/>
    </row>
    <row r="7008" spans="1:1" x14ac:dyDescent="0.35">
      <c r="A7008"/>
    </row>
    <row r="7009" spans="1:1" x14ac:dyDescent="0.35">
      <c r="A7009"/>
    </row>
    <row r="7010" spans="1:1" x14ac:dyDescent="0.35">
      <c r="A7010"/>
    </row>
    <row r="7011" spans="1:1" x14ac:dyDescent="0.35">
      <c r="A7011"/>
    </row>
    <row r="7012" spans="1:1" x14ac:dyDescent="0.35">
      <c r="A7012"/>
    </row>
    <row r="7013" spans="1:1" x14ac:dyDescent="0.35">
      <c r="A7013"/>
    </row>
    <row r="7014" spans="1:1" x14ac:dyDescent="0.35">
      <c r="A7014"/>
    </row>
    <row r="7015" spans="1:1" x14ac:dyDescent="0.35">
      <c r="A7015"/>
    </row>
    <row r="7016" spans="1:1" x14ac:dyDescent="0.35">
      <c r="A7016"/>
    </row>
    <row r="7017" spans="1:1" x14ac:dyDescent="0.35">
      <c r="A7017"/>
    </row>
    <row r="7018" spans="1:1" x14ac:dyDescent="0.35">
      <c r="A7018"/>
    </row>
    <row r="7019" spans="1:1" x14ac:dyDescent="0.35">
      <c r="A7019"/>
    </row>
    <row r="7020" spans="1:1" x14ac:dyDescent="0.35">
      <c r="A7020"/>
    </row>
    <row r="7021" spans="1:1" x14ac:dyDescent="0.35">
      <c r="A7021"/>
    </row>
    <row r="7022" spans="1:1" x14ac:dyDescent="0.35">
      <c r="A7022"/>
    </row>
    <row r="7023" spans="1:1" x14ac:dyDescent="0.35">
      <c r="A7023"/>
    </row>
    <row r="7024" spans="1:1" x14ac:dyDescent="0.35">
      <c r="A7024"/>
    </row>
    <row r="7025" spans="1:1" x14ac:dyDescent="0.35">
      <c r="A7025"/>
    </row>
    <row r="7026" spans="1:1" x14ac:dyDescent="0.35">
      <c r="A7026"/>
    </row>
    <row r="7027" spans="1:1" x14ac:dyDescent="0.35">
      <c r="A7027"/>
    </row>
    <row r="7028" spans="1:1" x14ac:dyDescent="0.35">
      <c r="A7028"/>
    </row>
    <row r="7029" spans="1:1" x14ac:dyDescent="0.35">
      <c r="A7029"/>
    </row>
    <row r="7030" spans="1:1" x14ac:dyDescent="0.35">
      <c r="A7030"/>
    </row>
    <row r="7031" spans="1:1" x14ac:dyDescent="0.35">
      <c r="A7031"/>
    </row>
    <row r="7032" spans="1:1" x14ac:dyDescent="0.35">
      <c r="A7032"/>
    </row>
    <row r="7033" spans="1:1" x14ac:dyDescent="0.35">
      <c r="A7033"/>
    </row>
    <row r="7034" spans="1:1" x14ac:dyDescent="0.35">
      <c r="A7034"/>
    </row>
    <row r="7035" spans="1:1" x14ac:dyDescent="0.35">
      <c r="A7035"/>
    </row>
    <row r="7036" spans="1:1" x14ac:dyDescent="0.35">
      <c r="A7036"/>
    </row>
    <row r="7037" spans="1:1" x14ac:dyDescent="0.35">
      <c r="A7037"/>
    </row>
    <row r="7038" spans="1:1" x14ac:dyDescent="0.35">
      <c r="A7038"/>
    </row>
    <row r="7039" spans="1:1" x14ac:dyDescent="0.35">
      <c r="A7039"/>
    </row>
    <row r="7040" spans="1:1" x14ac:dyDescent="0.35">
      <c r="A7040"/>
    </row>
    <row r="7041" spans="1:1" x14ac:dyDescent="0.35">
      <c r="A7041"/>
    </row>
    <row r="7042" spans="1:1" x14ac:dyDescent="0.35">
      <c r="A7042"/>
    </row>
    <row r="7043" spans="1:1" x14ac:dyDescent="0.35">
      <c r="A7043"/>
    </row>
    <row r="7044" spans="1:1" x14ac:dyDescent="0.35">
      <c r="A7044"/>
    </row>
    <row r="7045" spans="1:1" x14ac:dyDescent="0.35">
      <c r="A7045"/>
    </row>
    <row r="7046" spans="1:1" x14ac:dyDescent="0.35">
      <c r="A7046"/>
    </row>
    <row r="7047" spans="1:1" x14ac:dyDescent="0.35">
      <c r="A7047"/>
    </row>
    <row r="7048" spans="1:1" x14ac:dyDescent="0.35">
      <c r="A7048"/>
    </row>
    <row r="7049" spans="1:1" x14ac:dyDescent="0.35">
      <c r="A7049"/>
    </row>
    <row r="7050" spans="1:1" x14ac:dyDescent="0.35">
      <c r="A7050"/>
    </row>
    <row r="7051" spans="1:1" x14ac:dyDescent="0.35">
      <c r="A7051"/>
    </row>
    <row r="7052" spans="1:1" x14ac:dyDescent="0.35">
      <c r="A7052"/>
    </row>
    <row r="7053" spans="1:1" x14ac:dyDescent="0.35">
      <c r="A7053"/>
    </row>
    <row r="7054" spans="1:1" x14ac:dyDescent="0.35">
      <c r="A7054"/>
    </row>
    <row r="7055" spans="1:1" x14ac:dyDescent="0.35">
      <c r="A7055"/>
    </row>
    <row r="7056" spans="1:1" x14ac:dyDescent="0.35">
      <c r="A7056"/>
    </row>
    <row r="7057" spans="1:1" x14ac:dyDescent="0.35">
      <c r="A7057"/>
    </row>
    <row r="7058" spans="1:1" x14ac:dyDescent="0.35">
      <c r="A7058"/>
    </row>
    <row r="7059" spans="1:1" x14ac:dyDescent="0.35">
      <c r="A7059"/>
    </row>
    <row r="7060" spans="1:1" x14ac:dyDescent="0.35">
      <c r="A7060"/>
    </row>
    <row r="7061" spans="1:1" x14ac:dyDescent="0.35">
      <c r="A7061"/>
    </row>
    <row r="7062" spans="1:1" x14ac:dyDescent="0.35">
      <c r="A7062"/>
    </row>
    <row r="7063" spans="1:1" x14ac:dyDescent="0.35">
      <c r="A7063"/>
    </row>
    <row r="7064" spans="1:1" x14ac:dyDescent="0.35">
      <c r="A7064"/>
    </row>
    <row r="7065" spans="1:1" x14ac:dyDescent="0.35">
      <c r="A7065"/>
    </row>
    <row r="7066" spans="1:1" x14ac:dyDescent="0.35">
      <c r="A7066"/>
    </row>
    <row r="7067" spans="1:1" x14ac:dyDescent="0.35">
      <c r="A7067"/>
    </row>
    <row r="7068" spans="1:1" x14ac:dyDescent="0.35">
      <c r="A7068"/>
    </row>
    <row r="7069" spans="1:1" x14ac:dyDescent="0.35">
      <c r="A7069"/>
    </row>
    <row r="7070" spans="1:1" x14ac:dyDescent="0.35">
      <c r="A7070"/>
    </row>
    <row r="7071" spans="1:1" x14ac:dyDescent="0.35">
      <c r="A7071"/>
    </row>
    <row r="7072" spans="1:1" x14ac:dyDescent="0.35">
      <c r="A7072"/>
    </row>
    <row r="7073" spans="1:1" x14ac:dyDescent="0.35">
      <c r="A7073"/>
    </row>
    <row r="7074" spans="1:1" x14ac:dyDescent="0.35">
      <c r="A7074"/>
    </row>
    <row r="7075" spans="1:1" x14ac:dyDescent="0.35">
      <c r="A7075"/>
    </row>
    <row r="7076" spans="1:1" x14ac:dyDescent="0.35">
      <c r="A7076"/>
    </row>
    <row r="7077" spans="1:1" x14ac:dyDescent="0.35">
      <c r="A7077"/>
    </row>
    <row r="7078" spans="1:1" x14ac:dyDescent="0.35">
      <c r="A7078"/>
    </row>
    <row r="7079" spans="1:1" x14ac:dyDescent="0.35">
      <c r="A7079"/>
    </row>
    <row r="7080" spans="1:1" x14ac:dyDescent="0.35">
      <c r="A7080"/>
    </row>
    <row r="7081" spans="1:1" x14ac:dyDescent="0.35">
      <c r="A7081"/>
    </row>
    <row r="7082" spans="1:1" x14ac:dyDescent="0.35">
      <c r="A7082"/>
    </row>
    <row r="7083" spans="1:1" x14ac:dyDescent="0.35">
      <c r="A7083"/>
    </row>
    <row r="7084" spans="1:1" x14ac:dyDescent="0.35">
      <c r="A7084"/>
    </row>
    <row r="7085" spans="1:1" x14ac:dyDescent="0.35">
      <c r="A7085"/>
    </row>
    <row r="7086" spans="1:1" x14ac:dyDescent="0.35">
      <c r="A7086"/>
    </row>
    <row r="7087" spans="1:1" x14ac:dyDescent="0.35">
      <c r="A7087"/>
    </row>
    <row r="7088" spans="1:1" x14ac:dyDescent="0.35">
      <c r="A7088"/>
    </row>
    <row r="7089" spans="1:1" x14ac:dyDescent="0.35">
      <c r="A7089"/>
    </row>
    <row r="7090" spans="1:1" x14ac:dyDescent="0.35">
      <c r="A7090"/>
    </row>
    <row r="7091" spans="1:1" x14ac:dyDescent="0.35">
      <c r="A7091"/>
    </row>
    <row r="7092" spans="1:1" x14ac:dyDescent="0.35">
      <c r="A7092"/>
    </row>
    <row r="7093" spans="1:1" x14ac:dyDescent="0.35">
      <c r="A7093"/>
    </row>
    <row r="7094" spans="1:1" x14ac:dyDescent="0.35">
      <c r="A7094"/>
    </row>
    <row r="7095" spans="1:1" x14ac:dyDescent="0.35">
      <c r="A7095"/>
    </row>
    <row r="7096" spans="1:1" x14ac:dyDescent="0.35">
      <c r="A7096"/>
    </row>
    <row r="7097" spans="1:1" x14ac:dyDescent="0.35">
      <c r="A7097"/>
    </row>
    <row r="7098" spans="1:1" x14ac:dyDescent="0.35">
      <c r="A7098"/>
    </row>
    <row r="7099" spans="1:1" x14ac:dyDescent="0.35">
      <c r="A7099"/>
    </row>
    <row r="7100" spans="1:1" x14ac:dyDescent="0.35">
      <c r="A7100"/>
    </row>
    <row r="7101" spans="1:1" x14ac:dyDescent="0.35">
      <c r="A7101"/>
    </row>
    <row r="7102" spans="1:1" x14ac:dyDescent="0.35">
      <c r="A7102"/>
    </row>
    <row r="7103" spans="1:1" x14ac:dyDescent="0.35">
      <c r="A7103"/>
    </row>
    <row r="7104" spans="1:1" x14ac:dyDescent="0.35">
      <c r="A7104"/>
    </row>
    <row r="7105" spans="1:1" x14ac:dyDescent="0.35">
      <c r="A7105"/>
    </row>
    <row r="7106" spans="1:1" x14ac:dyDescent="0.35">
      <c r="A7106"/>
    </row>
    <row r="7107" spans="1:1" x14ac:dyDescent="0.35">
      <c r="A7107"/>
    </row>
    <row r="7108" spans="1:1" x14ac:dyDescent="0.35">
      <c r="A7108"/>
    </row>
    <row r="7109" spans="1:1" x14ac:dyDescent="0.35">
      <c r="A7109"/>
    </row>
    <row r="7110" spans="1:1" x14ac:dyDescent="0.35">
      <c r="A7110"/>
    </row>
    <row r="7111" spans="1:1" x14ac:dyDescent="0.35">
      <c r="A7111"/>
    </row>
    <row r="7112" spans="1:1" x14ac:dyDescent="0.35">
      <c r="A7112"/>
    </row>
    <row r="7113" spans="1:1" x14ac:dyDescent="0.35">
      <c r="A7113"/>
    </row>
    <row r="7114" spans="1:1" x14ac:dyDescent="0.35">
      <c r="A7114"/>
    </row>
    <row r="7115" spans="1:1" x14ac:dyDescent="0.35">
      <c r="A7115"/>
    </row>
    <row r="7116" spans="1:1" x14ac:dyDescent="0.35">
      <c r="A7116"/>
    </row>
    <row r="7117" spans="1:1" x14ac:dyDescent="0.35">
      <c r="A7117"/>
    </row>
    <row r="7118" spans="1:1" x14ac:dyDescent="0.35">
      <c r="A7118"/>
    </row>
    <row r="7119" spans="1:1" x14ac:dyDescent="0.35">
      <c r="A7119"/>
    </row>
    <row r="7120" spans="1:1" x14ac:dyDescent="0.35">
      <c r="A7120"/>
    </row>
    <row r="7121" spans="1:1" x14ac:dyDescent="0.35">
      <c r="A7121"/>
    </row>
    <row r="7122" spans="1:1" x14ac:dyDescent="0.35">
      <c r="A7122"/>
    </row>
    <row r="7123" spans="1:1" x14ac:dyDescent="0.35">
      <c r="A7123"/>
    </row>
    <row r="7124" spans="1:1" x14ac:dyDescent="0.35">
      <c r="A7124"/>
    </row>
    <row r="7125" spans="1:1" x14ac:dyDescent="0.35">
      <c r="A7125"/>
    </row>
    <row r="7126" spans="1:1" x14ac:dyDescent="0.35">
      <c r="A7126"/>
    </row>
    <row r="7127" spans="1:1" x14ac:dyDescent="0.35">
      <c r="A7127"/>
    </row>
    <row r="7128" spans="1:1" x14ac:dyDescent="0.35">
      <c r="A7128"/>
    </row>
    <row r="7129" spans="1:1" x14ac:dyDescent="0.35">
      <c r="A7129"/>
    </row>
    <row r="7130" spans="1:1" x14ac:dyDescent="0.35">
      <c r="A7130"/>
    </row>
    <row r="7131" spans="1:1" x14ac:dyDescent="0.35">
      <c r="A7131"/>
    </row>
    <row r="7132" spans="1:1" x14ac:dyDescent="0.35">
      <c r="A7132"/>
    </row>
    <row r="7133" spans="1:1" x14ac:dyDescent="0.35">
      <c r="A7133"/>
    </row>
    <row r="7134" spans="1:1" x14ac:dyDescent="0.35">
      <c r="A7134"/>
    </row>
    <row r="7135" spans="1:1" x14ac:dyDescent="0.35">
      <c r="A7135"/>
    </row>
    <row r="7136" spans="1:1" x14ac:dyDescent="0.35">
      <c r="A7136"/>
    </row>
    <row r="7137" spans="1:1" x14ac:dyDescent="0.35">
      <c r="A7137"/>
    </row>
    <row r="7138" spans="1:1" x14ac:dyDescent="0.35">
      <c r="A7138"/>
    </row>
    <row r="7139" spans="1:1" x14ac:dyDescent="0.35">
      <c r="A7139"/>
    </row>
    <row r="7140" spans="1:1" x14ac:dyDescent="0.35">
      <c r="A7140"/>
    </row>
    <row r="7141" spans="1:1" x14ac:dyDescent="0.35">
      <c r="A7141"/>
    </row>
    <row r="7142" spans="1:1" x14ac:dyDescent="0.35">
      <c r="A7142"/>
    </row>
    <row r="7143" spans="1:1" x14ac:dyDescent="0.35">
      <c r="A7143"/>
    </row>
    <row r="7144" spans="1:1" x14ac:dyDescent="0.35">
      <c r="A7144"/>
    </row>
    <row r="7145" spans="1:1" x14ac:dyDescent="0.35">
      <c r="A7145"/>
    </row>
    <row r="7146" spans="1:1" x14ac:dyDescent="0.35">
      <c r="A7146"/>
    </row>
    <row r="7147" spans="1:1" x14ac:dyDescent="0.35">
      <c r="A7147"/>
    </row>
    <row r="7148" spans="1:1" x14ac:dyDescent="0.35">
      <c r="A7148"/>
    </row>
    <row r="7149" spans="1:1" x14ac:dyDescent="0.35">
      <c r="A7149"/>
    </row>
    <row r="7150" spans="1:1" x14ac:dyDescent="0.35">
      <c r="A7150"/>
    </row>
    <row r="7151" spans="1:1" x14ac:dyDescent="0.35">
      <c r="A7151"/>
    </row>
    <row r="7152" spans="1:1" x14ac:dyDescent="0.35">
      <c r="A7152"/>
    </row>
    <row r="7153" spans="1:1" x14ac:dyDescent="0.35">
      <c r="A7153"/>
    </row>
    <row r="7154" spans="1:1" x14ac:dyDescent="0.35">
      <c r="A7154"/>
    </row>
    <row r="7155" spans="1:1" x14ac:dyDescent="0.35">
      <c r="A7155"/>
    </row>
    <row r="7156" spans="1:1" x14ac:dyDescent="0.35">
      <c r="A7156"/>
    </row>
    <row r="7157" spans="1:1" x14ac:dyDescent="0.35">
      <c r="A7157"/>
    </row>
    <row r="7158" spans="1:1" x14ac:dyDescent="0.35">
      <c r="A7158"/>
    </row>
    <row r="7159" spans="1:1" x14ac:dyDescent="0.35">
      <c r="A7159"/>
    </row>
    <row r="7160" spans="1:1" x14ac:dyDescent="0.35">
      <c r="A7160"/>
    </row>
    <row r="7161" spans="1:1" x14ac:dyDescent="0.35">
      <c r="A7161"/>
    </row>
    <row r="7162" spans="1:1" x14ac:dyDescent="0.35">
      <c r="A7162"/>
    </row>
    <row r="7163" spans="1:1" x14ac:dyDescent="0.35">
      <c r="A7163"/>
    </row>
    <row r="7164" spans="1:1" x14ac:dyDescent="0.35">
      <c r="A7164"/>
    </row>
    <row r="7165" spans="1:1" x14ac:dyDescent="0.35">
      <c r="A7165"/>
    </row>
    <row r="7166" spans="1:1" x14ac:dyDescent="0.35">
      <c r="A7166"/>
    </row>
    <row r="7167" spans="1:1" x14ac:dyDescent="0.35">
      <c r="A7167"/>
    </row>
    <row r="7168" spans="1:1" x14ac:dyDescent="0.35">
      <c r="A7168"/>
    </row>
    <row r="7169" spans="1:1" x14ac:dyDescent="0.35">
      <c r="A7169"/>
    </row>
    <row r="7170" spans="1:1" x14ac:dyDescent="0.35">
      <c r="A7170"/>
    </row>
    <row r="7171" spans="1:1" x14ac:dyDescent="0.35">
      <c r="A7171"/>
    </row>
    <row r="7172" spans="1:1" x14ac:dyDescent="0.35">
      <c r="A7172"/>
    </row>
    <row r="7173" spans="1:1" x14ac:dyDescent="0.35">
      <c r="A7173"/>
    </row>
    <row r="7174" spans="1:1" x14ac:dyDescent="0.35">
      <c r="A7174"/>
    </row>
    <row r="7175" spans="1:1" x14ac:dyDescent="0.35">
      <c r="A7175"/>
    </row>
    <row r="7176" spans="1:1" x14ac:dyDescent="0.35">
      <c r="A7176"/>
    </row>
    <row r="7177" spans="1:1" x14ac:dyDescent="0.35">
      <c r="A7177"/>
    </row>
    <row r="7178" spans="1:1" x14ac:dyDescent="0.35">
      <c r="A7178"/>
    </row>
    <row r="7179" spans="1:1" x14ac:dyDescent="0.35">
      <c r="A7179"/>
    </row>
    <row r="7180" spans="1:1" x14ac:dyDescent="0.35">
      <c r="A7180"/>
    </row>
    <row r="7181" spans="1:1" x14ac:dyDescent="0.35">
      <c r="A7181"/>
    </row>
    <row r="7182" spans="1:1" x14ac:dyDescent="0.35">
      <c r="A7182"/>
    </row>
    <row r="7183" spans="1:1" x14ac:dyDescent="0.35">
      <c r="A7183"/>
    </row>
    <row r="7184" spans="1:1" x14ac:dyDescent="0.35">
      <c r="A7184"/>
    </row>
    <row r="7185" spans="1:1" x14ac:dyDescent="0.35">
      <c r="A7185"/>
    </row>
    <row r="7186" spans="1:1" x14ac:dyDescent="0.35">
      <c r="A7186"/>
    </row>
    <row r="7187" spans="1:1" x14ac:dyDescent="0.35">
      <c r="A7187"/>
    </row>
    <row r="7188" spans="1:1" x14ac:dyDescent="0.35">
      <c r="A7188"/>
    </row>
    <row r="7189" spans="1:1" x14ac:dyDescent="0.35">
      <c r="A7189"/>
    </row>
    <row r="7190" spans="1:1" x14ac:dyDescent="0.35">
      <c r="A7190"/>
    </row>
    <row r="7191" spans="1:1" x14ac:dyDescent="0.35">
      <c r="A7191"/>
    </row>
    <row r="7192" spans="1:1" x14ac:dyDescent="0.35">
      <c r="A7192"/>
    </row>
    <row r="7193" spans="1:1" x14ac:dyDescent="0.35">
      <c r="A7193"/>
    </row>
    <row r="7194" spans="1:1" x14ac:dyDescent="0.35">
      <c r="A7194"/>
    </row>
    <row r="7195" spans="1:1" x14ac:dyDescent="0.35">
      <c r="A7195"/>
    </row>
    <row r="7196" spans="1:1" x14ac:dyDescent="0.35">
      <c r="A7196"/>
    </row>
    <row r="7197" spans="1:1" x14ac:dyDescent="0.35">
      <c r="A7197"/>
    </row>
    <row r="7198" spans="1:1" x14ac:dyDescent="0.35">
      <c r="A7198"/>
    </row>
    <row r="7199" spans="1:1" x14ac:dyDescent="0.35">
      <c r="A7199"/>
    </row>
    <row r="7200" spans="1:1" x14ac:dyDescent="0.35">
      <c r="A7200"/>
    </row>
    <row r="7201" spans="1:1" x14ac:dyDescent="0.35">
      <c r="A7201"/>
    </row>
    <row r="7202" spans="1:1" x14ac:dyDescent="0.35">
      <c r="A7202"/>
    </row>
    <row r="7203" spans="1:1" x14ac:dyDescent="0.35">
      <c r="A7203"/>
    </row>
    <row r="7204" spans="1:1" x14ac:dyDescent="0.35">
      <c r="A7204"/>
    </row>
    <row r="7205" spans="1:1" x14ac:dyDescent="0.35">
      <c r="A7205"/>
    </row>
    <row r="7206" spans="1:1" x14ac:dyDescent="0.35">
      <c r="A7206"/>
    </row>
    <row r="7207" spans="1:1" x14ac:dyDescent="0.35">
      <c r="A7207"/>
    </row>
    <row r="7208" spans="1:1" x14ac:dyDescent="0.35">
      <c r="A7208"/>
    </row>
    <row r="7209" spans="1:1" x14ac:dyDescent="0.35">
      <c r="A7209"/>
    </row>
    <row r="7210" spans="1:1" x14ac:dyDescent="0.35">
      <c r="A7210"/>
    </row>
    <row r="7211" spans="1:1" x14ac:dyDescent="0.35">
      <c r="A7211"/>
    </row>
    <row r="7212" spans="1:1" x14ac:dyDescent="0.35">
      <c r="A7212"/>
    </row>
    <row r="7213" spans="1:1" x14ac:dyDescent="0.35">
      <c r="A7213"/>
    </row>
    <row r="7214" spans="1:1" x14ac:dyDescent="0.35">
      <c r="A7214"/>
    </row>
    <row r="7215" spans="1:1" x14ac:dyDescent="0.35">
      <c r="A7215"/>
    </row>
    <row r="7216" spans="1:1" x14ac:dyDescent="0.35">
      <c r="A7216"/>
    </row>
    <row r="7217" spans="1:1" x14ac:dyDescent="0.35">
      <c r="A7217"/>
    </row>
    <row r="7218" spans="1:1" x14ac:dyDescent="0.35">
      <c r="A7218"/>
    </row>
    <row r="7219" spans="1:1" x14ac:dyDescent="0.35">
      <c r="A7219"/>
    </row>
    <row r="7220" spans="1:1" x14ac:dyDescent="0.35">
      <c r="A7220"/>
    </row>
    <row r="7221" spans="1:1" x14ac:dyDescent="0.35">
      <c r="A7221"/>
    </row>
    <row r="7222" spans="1:1" x14ac:dyDescent="0.35">
      <c r="A7222"/>
    </row>
    <row r="7223" spans="1:1" x14ac:dyDescent="0.35">
      <c r="A7223"/>
    </row>
    <row r="7224" spans="1:1" x14ac:dyDescent="0.35">
      <c r="A7224"/>
    </row>
    <row r="7225" spans="1:1" x14ac:dyDescent="0.35">
      <c r="A7225"/>
    </row>
    <row r="7226" spans="1:1" x14ac:dyDescent="0.35">
      <c r="A7226"/>
    </row>
    <row r="7227" spans="1:1" x14ac:dyDescent="0.35">
      <c r="A7227"/>
    </row>
    <row r="7228" spans="1:1" x14ac:dyDescent="0.35">
      <c r="A7228"/>
    </row>
    <row r="7229" spans="1:1" x14ac:dyDescent="0.35">
      <c r="A7229"/>
    </row>
    <row r="7230" spans="1:1" x14ac:dyDescent="0.35">
      <c r="A7230"/>
    </row>
    <row r="7231" spans="1:1" x14ac:dyDescent="0.35">
      <c r="A7231"/>
    </row>
    <row r="7232" spans="1:1" x14ac:dyDescent="0.35">
      <c r="A7232"/>
    </row>
    <row r="7233" spans="1:1" x14ac:dyDescent="0.35">
      <c r="A7233"/>
    </row>
    <row r="7234" spans="1:1" x14ac:dyDescent="0.35">
      <c r="A7234"/>
    </row>
    <row r="7235" spans="1:1" x14ac:dyDescent="0.35">
      <c r="A7235"/>
    </row>
    <row r="7236" spans="1:1" x14ac:dyDescent="0.35">
      <c r="A7236"/>
    </row>
    <row r="7237" spans="1:1" x14ac:dyDescent="0.35">
      <c r="A7237"/>
    </row>
    <row r="7238" spans="1:1" x14ac:dyDescent="0.35">
      <c r="A7238"/>
    </row>
    <row r="7239" spans="1:1" x14ac:dyDescent="0.35">
      <c r="A7239"/>
    </row>
    <row r="7240" spans="1:1" x14ac:dyDescent="0.35">
      <c r="A7240"/>
    </row>
    <row r="7241" spans="1:1" x14ac:dyDescent="0.35">
      <c r="A7241"/>
    </row>
    <row r="7242" spans="1:1" x14ac:dyDescent="0.35">
      <c r="A7242"/>
    </row>
    <row r="7243" spans="1:1" x14ac:dyDescent="0.35">
      <c r="A7243"/>
    </row>
    <row r="7244" spans="1:1" x14ac:dyDescent="0.35">
      <c r="A7244"/>
    </row>
    <row r="7245" spans="1:1" x14ac:dyDescent="0.35">
      <c r="A7245"/>
    </row>
    <row r="7246" spans="1:1" x14ac:dyDescent="0.35">
      <c r="A7246"/>
    </row>
    <row r="7247" spans="1:1" x14ac:dyDescent="0.35">
      <c r="A7247"/>
    </row>
    <row r="7248" spans="1:1" x14ac:dyDescent="0.35">
      <c r="A7248"/>
    </row>
    <row r="7249" spans="1:1" x14ac:dyDescent="0.35">
      <c r="A7249"/>
    </row>
    <row r="7250" spans="1:1" x14ac:dyDescent="0.35">
      <c r="A7250"/>
    </row>
    <row r="7251" spans="1:1" x14ac:dyDescent="0.35">
      <c r="A7251"/>
    </row>
    <row r="7252" spans="1:1" x14ac:dyDescent="0.35">
      <c r="A7252"/>
    </row>
    <row r="7253" spans="1:1" x14ac:dyDescent="0.35">
      <c r="A7253"/>
    </row>
    <row r="7254" spans="1:1" x14ac:dyDescent="0.35">
      <c r="A7254"/>
    </row>
    <row r="7255" spans="1:1" x14ac:dyDescent="0.35">
      <c r="A7255"/>
    </row>
    <row r="7256" spans="1:1" x14ac:dyDescent="0.35">
      <c r="A7256"/>
    </row>
    <row r="7257" spans="1:1" x14ac:dyDescent="0.35">
      <c r="A7257"/>
    </row>
    <row r="7258" spans="1:1" x14ac:dyDescent="0.35">
      <c r="A7258"/>
    </row>
    <row r="7259" spans="1:1" x14ac:dyDescent="0.35">
      <c r="A7259"/>
    </row>
    <row r="7260" spans="1:1" x14ac:dyDescent="0.35">
      <c r="A7260"/>
    </row>
    <row r="7261" spans="1:1" x14ac:dyDescent="0.35">
      <c r="A7261"/>
    </row>
    <row r="7262" spans="1:1" x14ac:dyDescent="0.35">
      <c r="A7262"/>
    </row>
    <row r="7263" spans="1:1" x14ac:dyDescent="0.35">
      <c r="A7263"/>
    </row>
    <row r="7264" spans="1:1" x14ac:dyDescent="0.35">
      <c r="A7264"/>
    </row>
    <row r="7265" spans="1:1" x14ac:dyDescent="0.35">
      <c r="A7265"/>
    </row>
    <row r="7266" spans="1:1" x14ac:dyDescent="0.35">
      <c r="A7266"/>
    </row>
    <row r="7267" spans="1:1" x14ac:dyDescent="0.35">
      <c r="A7267"/>
    </row>
    <row r="7268" spans="1:1" x14ac:dyDescent="0.35">
      <c r="A7268"/>
    </row>
    <row r="7269" spans="1:1" x14ac:dyDescent="0.35">
      <c r="A7269"/>
    </row>
    <row r="7270" spans="1:1" x14ac:dyDescent="0.35">
      <c r="A7270"/>
    </row>
    <row r="7271" spans="1:1" x14ac:dyDescent="0.35">
      <c r="A7271"/>
    </row>
    <row r="7272" spans="1:1" x14ac:dyDescent="0.35">
      <c r="A7272"/>
    </row>
    <row r="7273" spans="1:1" x14ac:dyDescent="0.35">
      <c r="A7273"/>
    </row>
    <row r="7274" spans="1:1" x14ac:dyDescent="0.35">
      <c r="A7274"/>
    </row>
    <row r="7275" spans="1:1" x14ac:dyDescent="0.35">
      <c r="A7275"/>
    </row>
    <row r="7276" spans="1:1" x14ac:dyDescent="0.35">
      <c r="A7276"/>
    </row>
    <row r="7277" spans="1:1" x14ac:dyDescent="0.35">
      <c r="A7277"/>
    </row>
    <row r="7278" spans="1:1" x14ac:dyDescent="0.35">
      <c r="A7278"/>
    </row>
    <row r="7279" spans="1:1" x14ac:dyDescent="0.35">
      <c r="A7279"/>
    </row>
    <row r="7280" spans="1:1" x14ac:dyDescent="0.35">
      <c r="A7280"/>
    </row>
    <row r="7281" spans="1:1" x14ac:dyDescent="0.35">
      <c r="A7281"/>
    </row>
    <row r="7282" spans="1:1" x14ac:dyDescent="0.35">
      <c r="A7282"/>
    </row>
    <row r="7283" spans="1:1" x14ac:dyDescent="0.35">
      <c r="A7283"/>
    </row>
    <row r="7284" spans="1:1" x14ac:dyDescent="0.35">
      <c r="A7284"/>
    </row>
    <row r="7285" spans="1:1" x14ac:dyDescent="0.35">
      <c r="A7285"/>
    </row>
    <row r="7286" spans="1:1" x14ac:dyDescent="0.35">
      <c r="A7286"/>
    </row>
    <row r="7287" spans="1:1" x14ac:dyDescent="0.35">
      <c r="A7287"/>
    </row>
    <row r="7288" spans="1:1" x14ac:dyDescent="0.35">
      <c r="A7288"/>
    </row>
    <row r="7289" spans="1:1" x14ac:dyDescent="0.35">
      <c r="A7289"/>
    </row>
    <row r="7290" spans="1:1" x14ac:dyDescent="0.35">
      <c r="A7290"/>
    </row>
    <row r="7291" spans="1:1" x14ac:dyDescent="0.35">
      <c r="A7291"/>
    </row>
    <row r="7292" spans="1:1" x14ac:dyDescent="0.35">
      <c r="A7292"/>
    </row>
    <row r="7293" spans="1:1" x14ac:dyDescent="0.35">
      <c r="A7293"/>
    </row>
    <row r="7294" spans="1:1" x14ac:dyDescent="0.35">
      <c r="A7294"/>
    </row>
    <row r="7295" spans="1:1" x14ac:dyDescent="0.35">
      <c r="A7295"/>
    </row>
    <row r="7296" spans="1:1" x14ac:dyDescent="0.35">
      <c r="A7296"/>
    </row>
    <row r="7297" spans="1:1" x14ac:dyDescent="0.35">
      <c r="A7297"/>
    </row>
    <row r="7298" spans="1:1" x14ac:dyDescent="0.35">
      <c r="A7298"/>
    </row>
    <row r="7299" spans="1:1" x14ac:dyDescent="0.35">
      <c r="A7299"/>
    </row>
    <row r="7300" spans="1:1" x14ac:dyDescent="0.35">
      <c r="A7300"/>
    </row>
    <row r="7301" spans="1:1" x14ac:dyDescent="0.35">
      <c r="A7301"/>
    </row>
    <row r="7302" spans="1:1" x14ac:dyDescent="0.35">
      <c r="A7302"/>
    </row>
    <row r="7303" spans="1:1" x14ac:dyDescent="0.35">
      <c r="A7303"/>
    </row>
    <row r="7304" spans="1:1" x14ac:dyDescent="0.35">
      <c r="A7304"/>
    </row>
    <row r="7305" spans="1:1" x14ac:dyDescent="0.35">
      <c r="A7305"/>
    </row>
    <row r="7306" spans="1:1" x14ac:dyDescent="0.35">
      <c r="A7306"/>
    </row>
    <row r="7307" spans="1:1" x14ac:dyDescent="0.35">
      <c r="A7307"/>
    </row>
    <row r="7308" spans="1:1" x14ac:dyDescent="0.35">
      <c r="A7308"/>
    </row>
    <row r="7309" spans="1:1" x14ac:dyDescent="0.35">
      <c r="A7309"/>
    </row>
    <row r="7310" spans="1:1" x14ac:dyDescent="0.35">
      <c r="A7310"/>
    </row>
    <row r="7311" spans="1:1" x14ac:dyDescent="0.35">
      <c r="A7311"/>
    </row>
    <row r="7312" spans="1:1" x14ac:dyDescent="0.35">
      <c r="A7312"/>
    </row>
    <row r="7313" spans="1:1" x14ac:dyDescent="0.35">
      <c r="A7313"/>
    </row>
    <row r="7314" spans="1:1" x14ac:dyDescent="0.35">
      <c r="A7314"/>
    </row>
    <row r="7315" spans="1:1" x14ac:dyDescent="0.35">
      <c r="A7315"/>
    </row>
    <row r="7316" spans="1:1" x14ac:dyDescent="0.35">
      <c r="A7316"/>
    </row>
    <row r="7317" spans="1:1" x14ac:dyDescent="0.35">
      <c r="A7317"/>
    </row>
    <row r="7318" spans="1:1" x14ac:dyDescent="0.35">
      <c r="A7318"/>
    </row>
    <row r="7319" spans="1:1" x14ac:dyDescent="0.35">
      <c r="A7319"/>
    </row>
    <row r="7320" spans="1:1" x14ac:dyDescent="0.35">
      <c r="A7320"/>
    </row>
    <row r="7321" spans="1:1" x14ac:dyDescent="0.35">
      <c r="A7321"/>
    </row>
    <row r="7322" spans="1:1" x14ac:dyDescent="0.35">
      <c r="A7322"/>
    </row>
    <row r="7323" spans="1:1" x14ac:dyDescent="0.35">
      <c r="A7323"/>
    </row>
    <row r="7324" spans="1:1" x14ac:dyDescent="0.35">
      <c r="A7324"/>
    </row>
    <row r="7325" spans="1:1" x14ac:dyDescent="0.35">
      <c r="A7325"/>
    </row>
    <row r="7326" spans="1:1" x14ac:dyDescent="0.35">
      <c r="A7326"/>
    </row>
    <row r="7327" spans="1:1" x14ac:dyDescent="0.35">
      <c r="A7327"/>
    </row>
    <row r="7328" spans="1:1" x14ac:dyDescent="0.35">
      <c r="A7328"/>
    </row>
    <row r="7329" spans="1:1" x14ac:dyDescent="0.35">
      <c r="A7329"/>
    </row>
    <row r="7330" spans="1:1" x14ac:dyDescent="0.35">
      <c r="A7330"/>
    </row>
    <row r="7331" spans="1:1" x14ac:dyDescent="0.35">
      <c r="A7331"/>
    </row>
    <row r="7332" spans="1:1" x14ac:dyDescent="0.35">
      <c r="A7332"/>
    </row>
    <row r="7333" spans="1:1" x14ac:dyDescent="0.35">
      <c r="A7333"/>
    </row>
    <row r="7334" spans="1:1" x14ac:dyDescent="0.35">
      <c r="A7334"/>
    </row>
    <row r="7335" spans="1:1" x14ac:dyDescent="0.35">
      <c r="A7335"/>
    </row>
    <row r="7336" spans="1:1" x14ac:dyDescent="0.35">
      <c r="A7336"/>
    </row>
    <row r="7337" spans="1:1" x14ac:dyDescent="0.35">
      <c r="A7337"/>
    </row>
    <row r="7338" spans="1:1" x14ac:dyDescent="0.35">
      <c r="A7338"/>
    </row>
    <row r="7339" spans="1:1" x14ac:dyDescent="0.35">
      <c r="A7339"/>
    </row>
    <row r="7340" spans="1:1" x14ac:dyDescent="0.35">
      <c r="A7340"/>
    </row>
    <row r="7341" spans="1:1" x14ac:dyDescent="0.35">
      <c r="A7341"/>
    </row>
    <row r="7342" spans="1:1" x14ac:dyDescent="0.35">
      <c r="A7342"/>
    </row>
    <row r="7343" spans="1:1" x14ac:dyDescent="0.35">
      <c r="A7343"/>
    </row>
    <row r="7344" spans="1:1" x14ac:dyDescent="0.35">
      <c r="A7344"/>
    </row>
    <row r="7345" spans="1:1" x14ac:dyDescent="0.35">
      <c r="A7345"/>
    </row>
    <row r="7346" spans="1:1" x14ac:dyDescent="0.35">
      <c r="A7346"/>
    </row>
    <row r="7347" spans="1:1" x14ac:dyDescent="0.35">
      <c r="A7347"/>
    </row>
    <row r="7348" spans="1:1" x14ac:dyDescent="0.35">
      <c r="A7348"/>
    </row>
    <row r="7349" spans="1:1" x14ac:dyDescent="0.35">
      <c r="A7349"/>
    </row>
    <row r="7350" spans="1:1" x14ac:dyDescent="0.35">
      <c r="A7350"/>
    </row>
    <row r="7351" spans="1:1" x14ac:dyDescent="0.35">
      <c r="A7351"/>
    </row>
    <row r="7352" spans="1:1" x14ac:dyDescent="0.35">
      <c r="A7352"/>
    </row>
    <row r="7353" spans="1:1" x14ac:dyDescent="0.35">
      <c r="A7353"/>
    </row>
    <row r="7354" spans="1:1" x14ac:dyDescent="0.35">
      <c r="A7354"/>
    </row>
    <row r="7355" spans="1:1" x14ac:dyDescent="0.35">
      <c r="A7355"/>
    </row>
    <row r="7356" spans="1:1" x14ac:dyDescent="0.35">
      <c r="A7356"/>
    </row>
    <row r="7357" spans="1:1" x14ac:dyDescent="0.35">
      <c r="A7357"/>
    </row>
    <row r="7358" spans="1:1" x14ac:dyDescent="0.35">
      <c r="A7358"/>
    </row>
    <row r="7359" spans="1:1" x14ac:dyDescent="0.35">
      <c r="A7359"/>
    </row>
    <row r="7360" spans="1:1" x14ac:dyDescent="0.35">
      <c r="A7360"/>
    </row>
    <row r="7361" spans="1:1" x14ac:dyDescent="0.35">
      <c r="A7361"/>
    </row>
    <row r="7362" spans="1:1" x14ac:dyDescent="0.35">
      <c r="A7362"/>
    </row>
    <row r="7363" spans="1:1" x14ac:dyDescent="0.35">
      <c r="A7363"/>
    </row>
    <row r="7364" spans="1:1" x14ac:dyDescent="0.35">
      <c r="A7364"/>
    </row>
    <row r="7365" spans="1:1" x14ac:dyDescent="0.35">
      <c r="A7365"/>
    </row>
    <row r="7366" spans="1:1" x14ac:dyDescent="0.35">
      <c r="A7366"/>
    </row>
    <row r="7367" spans="1:1" x14ac:dyDescent="0.35">
      <c r="A7367"/>
    </row>
    <row r="7368" spans="1:1" x14ac:dyDescent="0.35">
      <c r="A7368"/>
    </row>
    <row r="7369" spans="1:1" x14ac:dyDescent="0.35">
      <c r="A7369"/>
    </row>
    <row r="7370" spans="1:1" x14ac:dyDescent="0.35">
      <c r="A7370"/>
    </row>
    <row r="7371" spans="1:1" x14ac:dyDescent="0.35">
      <c r="A7371"/>
    </row>
    <row r="7372" spans="1:1" x14ac:dyDescent="0.35">
      <c r="A7372"/>
    </row>
    <row r="7373" spans="1:1" x14ac:dyDescent="0.35">
      <c r="A7373"/>
    </row>
    <row r="7374" spans="1:1" x14ac:dyDescent="0.35">
      <c r="A7374"/>
    </row>
    <row r="7375" spans="1:1" x14ac:dyDescent="0.35">
      <c r="A7375"/>
    </row>
    <row r="7376" spans="1:1" x14ac:dyDescent="0.35">
      <c r="A7376"/>
    </row>
    <row r="7377" spans="1:1" x14ac:dyDescent="0.35">
      <c r="A7377"/>
    </row>
    <row r="7378" spans="1:1" x14ac:dyDescent="0.35">
      <c r="A7378"/>
    </row>
    <row r="7379" spans="1:1" x14ac:dyDescent="0.35">
      <c r="A7379"/>
    </row>
    <row r="7380" spans="1:1" x14ac:dyDescent="0.35">
      <c r="A7380"/>
    </row>
    <row r="7381" spans="1:1" x14ac:dyDescent="0.35">
      <c r="A7381"/>
    </row>
    <row r="7382" spans="1:1" x14ac:dyDescent="0.35">
      <c r="A7382"/>
    </row>
    <row r="7383" spans="1:1" x14ac:dyDescent="0.35">
      <c r="A7383"/>
    </row>
    <row r="7384" spans="1:1" x14ac:dyDescent="0.35">
      <c r="A7384"/>
    </row>
    <row r="7385" spans="1:1" x14ac:dyDescent="0.35">
      <c r="A7385"/>
    </row>
    <row r="7386" spans="1:1" x14ac:dyDescent="0.35">
      <c r="A7386"/>
    </row>
    <row r="7387" spans="1:1" x14ac:dyDescent="0.35">
      <c r="A7387"/>
    </row>
    <row r="7388" spans="1:1" x14ac:dyDescent="0.35">
      <c r="A7388"/>
    </row>
    <row r="7389" spans="1:1" x14ac:dyDescent="0.35">
      <c r="A7389"/>
    </row>
    <row r="7390" spans="1:1" x14ac:dyDescent="0.35">
      <c r="A7390"/>
    </row>
    <row r="7391" spans="1:1" x14ac:dyDescent="0.35">
      <c r="A7391"/>
    </row>
    <row r="7392" spans="1:1" x14ac:dyDescent="0.35">
      <c r="A7392"/>
    </row>
    <row r="7393" spans="1:1" x14ac:dyDescent="0.35">
      <c r="A7393"/>
    </row>
    <row r="7394" spans="1:1" x14ac:dyDescent="0.35">
      <c r="A7394"/>
    </row>
    <row r="7395" spans="1:1" x14ac:dyDescent="0.35">
      <c r="A7395"/>
    </row>
    <row r="7396" spans="1:1" x14ac:dyDescent="0.35">
      <c r="A7396"/>
    </row>
    <row r="7397" spans="1:1" x14ac:dyDescent="0.35">
      <c r="A7397"/>
    </row>
    <row r="7398" spans="1:1" x14ac:dyDescent="0.35">
      <c r="A7398"/>
    </row>
    <row r="7399" spans="1:1" x14ac:dyDescent="0.35">
      <c r="A7399"/>
    </row>
    <row r="7400" spans="1:1" x14ac:dyDescent="0.35">
      <c r="A7400"/>
    </row>
    <row r="7401" spans="1:1" x14ac:dyDescent="0.35">
      <c r="A7401"/>
    </row>
    <row r="7402" spans="1:1" x14ac:dyDescent="0.35">
      <c r="A7402"/>
    </row>
    <row r="7403" spans="1:1" x14ac:dyDescent="0.35">
      <c r="A7403"/>
    </row>
    <row r="7404" spans="1:1" x14ac:dyDescent="0.35">
      <c r="A7404"/>
    </row>
    <row r="7405" spans="1:1" x14ac:dyDescent="0.35">
      <c r="A7405"/>
    </row>
    <row r="7406" spans="1:1" x14ac:dyDescent="0.35">
      <c r="A7406"/>
    </row>
    <row r="7407" spans="1:1" x14ac:dyDescent="0.35">
      <c r="A7407"/>
    </row>
    <row r="7408" spans="1:1" x14ac:dyDescent="0.35">
      <c r="A7408"/>
    </row>
    <row r="7409" spans="1:1" x14ac:dyDescent="0.35">
      <c r="A7409"/>
    </row>
    <row r="7410" spans="1:1" x14ac:dyDescent="0.35">
      <c r="A7410"/>
    </row>
    <row r="7411" spans="1:1" x14ac:dyDescent="0.35">
      <c r="A7411"/>
    </row>
    <row r="7412" spans="1:1" x14ac:dyDescent="0.35">
      <c r="A7412"/>
    </row>
    <row r="7413" spans="1:1" x14ac:dyDescent="0.35">
      <c r="A7413"/>
    </row>
    <row r="7414" spans="1:1" x14ac:dyDescent="0.35">
      <c r="A7414"/>
    </row>
    <row r="7415" spans="1:1" x14ac:dyDescent="0.35">
      <c r="A7415"/>
    </row>
    <row r="7416" spans="1:1" x14ac:dyDescent="0.35">
      <c r="A7416"/>
    </row>
    <row r="7417" spans="1:1" x14ac:dyDescent="0.35">
      <c r="A7417"/>
    </row>
    <row r="7418" spans="1:1" x14ac:dyDescent="0.35">
      <c r="A7418"/>
    </row>
    <row r="7419" spans="1:1" x14ac:dyDescent="0.35">
      <c r="A7419"/>
    </row>
    <row r="7420" spans="1:1" x14ac:dyDescent="0.35">
      <c r="A7420"/>
    </row>
    <row r="7421" spans="1:1" x14ac:dyDescent="0.35">
      <c r="A7421"/>
    </row>
    <row r="7422" spans="1:1" x14ac:dyDescent="0.35">
      <c r="A7422"/>
    </row>
    <row r="7423" spans="1:1" x14ac:dyDescent="0.35">
      <c r="A7423"/>
    </row>
    <row r="7424" spans="1:1" x14ac:dyDescent="0.35">
      <c r="A7424"/>
    </row>
    <row r="7425" spans="1:1" x14ac:dyDescent="0.35">
      <c r="A7425"/>
    </row>
    <row r="7426" spans="1:1" x14ac:dyDescent="0.35">
      <c r="A7426"/>
    </row>
    <row r="7427" spans="1:1" x14ac:dyDescent="0.35">
      <c r="A7427"/>
    </row>
    <row r="7428" spans="1:1" x14ac:dyDescent="0.35">
      <c r="A7428"/>
    </row>
    <row r="7429" spans="1:1" x14ac:dyDescent="0.35">
      <c r="A7429"/>
    </row>
    <row r="7430" spans="1:1" x14ac:dyDescent="0.35">
      <c r="A7430"/>
    </row>
    <row r="7431" spans="1:1" x14ac:dyDescent="0.35">
      <c r="A7431"/>
    </row>
    <row r="7432" spans="1:1" x14ac:dyDescent="0.35">
      <c r="A7432"/>
    </row>
    <row r="7433" spans="1:1" x14ac:dyDescent="0.35">
      <c r="A7433"/>
    </row>
    <row r="7434" spans="1:1" x14ac:dyDescent="0.35">
      <c r="A7434"/>
    </row>
    <row r="7435" spans="1:1" x14ac:dyDescent="0.35">
      <c r="A7435"/>
    </row>
    <row r="7436" spans="1:1" x14ac:dyDescent="0.35">
      <c r="A7436"/>
    </row>
    <row r="7437" spans="1:1" x14ac:dyDescent="0.35">
      <c r="A7437"/>
    </row>
    <row r="7438" spans="1:1" x14ac:dyDescent="0.35">
      <c r="A7438"/>
    </row>
    <row r="7439" spans="1:1" x14ac:dyDescent="0.35">
      <c r="A7439"/>
    </row>
    <row r="7440" spans="1:1" x14ac:dyDescent="0.35">
      <c r="A7440"/>
    </row>
    <row r="7441" spans="1:1" x14ac:dyDescent="0.35">
      <c r="A7441"/>
    </row>
    <row r="7442" spans="1:1" x14ac:dyDescent="0.35">
      <c r="A7442"/>
    </row>
    <row r="7443" spans="1:1" x14ac:dyDescent="0.35">
      <c r="A7443"/>
    </row>
    <row r="7444" spans="1:1" x14ac:dyDescent="0.35">
      <c r="A7444"/>
    </row>
    <row r="7445" spans="1:1" x14ac:dyDescent="0.35">
      <c r="A7445"/>
    </row>
    <row r="7446" spans="1:1" x14ac:dyDescent="0.35">
      <c r="A7446"/>
    </row>
    <row r="7447" spans="1:1" x14ac:dyDescent="0.35">
      <c r="A7447"/>
    </row>
    <row r="7448" spans="1:1" x14ac:dyDescent="0.35">
      <c r="A7448"/>
    </row>
    <row r="7449" spans="1:1" x14ac:dyDescent="0.35">
      <c r="A7449"/>
    </row>
    <row r="7450" spans="1:1" x14ac:dyDescent="0.35">
      <c r="A7450"/>
    </row>
    <row r="7451" spans="1:1" x14ac:dyDescent="0.35">
      <c r="A7451"/>
    </row>
    <row r="7452" spans="1:1" x14ac:dyDescent="0.35">
      <c r="A7452"/>
    </row>
    <row r="7453" spans="1:1" x14ac:dyDescent="0.35">
      <c r="A7453"/>
    </row>
    <row r="7454" spans="1:1" x14ac:dyDescent="0.35">
      <c r="A7454"/>
    </row>
    <row r="7455" spans="1:1" x14ac:dyDescent="0.35">
      <c r="A7455"/>
    </row>
    <row r="7456" spans="1:1" x14ac:dyDescent="0.35">
      <c r="A7456"/>
    </row>
    <row r="7457" spans="1:1" x14ac:dyDescent="0.35">
      <c r="A7457"/>
    </row>
    <row r="7458" spans="1:1" x14ac:dyDescent="0.35">
      <c r="A7458"/>
    </row>
    <row r="7459" spans="1:1" x14ac:dyDescent="0.35">
      <c r="A7459"/>
    </row>
    <row r="7460" spans="1:1" x14ac:dyDescent="0.35">
      <c r="A7460"/>
    </row>
    <row r="7461" spans="1:1" x14ac:dyDescent="0.35">
      <c r="A7461"/>
    </row>
    <row r="7462" spans="1:1" x14ac:dyDescent="0.35">
      <c r="A7462"/>
    </row>
    <row r="7463" spans="1:1" x14ac:dyDescent="0.35">
      <c r="A7463"/>
    </row>
    <row r="7464" spans="1:1" x14ac:dyDescent="0.35">
      <c r="A7464"/>
    </row>
    <row r="7465" spans="1:1" x14ac:dyDescent="0.35">
      <c r="A7465"/>
    </row>
    <row r="7466" spans="1:1" x14ac:dyDescent="0.35">
      <c r="A7466"/>
    </row>
    <row r="7467" spans="1:1" x14ac:dyDescent="0.35">
      <c r="A7467"/>
    </row>
    <row r="7468" spans="1:1" x14ac:dyDescent="0.35">
      <c r="A7468"/>
    </row>
    <row r="7469" spans="1:1" x14ac:dyDescent="0.35">
      <c r="A7469"/>
    </row>
    <row r="7470" spans="1:1" x14ac:dyDescent="0.35">
      <c r="A7470"/>
    </row>
    <row r="7471" spans="1:1" x14ac:dyDescent="0.35">
      <c r="A7471"/>
    </row>
    <row r="7472" spans="1:1" x14ac:dyDescent="0.35">
      <c r="A7472"/>
    </row>
    <row r="7473" spans="1:1" x14ac:dyDescent="0.35">
      <c r="A7473"/>
    </row>
    <row r="7474" spans="1:1" x14ac:dyDescent="0.35">
      <c r="A7474"/>
    </row>
    <row r="7475" spans="1:1" x14ac:dyDescent="0.35">
      <c r="A7475"/>
    </row>
    <row r="7476" spans="1:1" x14ac:dyDescent="0.35">
      <c r="A7476"/>
    </row>
    <row r="7477" spans="1:1" x14ac:dyDescent="0.35">
      <c r="A7477"/>
    </row>
    <row r="7478" spans="1:1" x14ac:dyDescent="0.35">
      <c r="A7478"/>
    </row>
    <row r="7479" spans="1:1" x14ac:dyDescent="0.35">
      <c r="A7479"/>
    </row>
    <row r="7480" spans="1:1" x14ac:dyDescent="0.35">
      <c r="A7480"/>
    </row>
    <row r="7481" spans="1:1" x14ac:dyDescent="0.35">
      <c r="A7481"/>
    </row>
    <row r="7482" spans="1:1" x14ac:dyDescent="0.35">
      <c r="A7482"/>
    </row>
    <row r="7483" spans="1:1" x14ac:dyDescent="0.35">
      <c r="A7483"/>
    </row>
    <row r="7484" spans="1:1" x14ac:dyDescent="0.35">
      <c r="A7484"/>
    </row>
    <row r="7485" spans="1:1" x14ac:dyDescent="0.35">
      <c r="A7485"/>
    </row>
    <row r="7486" spans="1:1" x14ac:dyDescent="0.35">
      <c r="A7486"/>
    </row>
    <row r="7487" spans="1:1" x14ac:dyDescent="0.35">
      <c r="A7487"/>
    </row>
    <row r="7488" spans="1:1" x14ac:dyDescent="0.35">
      <c r="A7488"/>
    </row>
    <row r="7489" spans="1:1" x14ac:dyDescent="0.35">
      <c r="A7489"/>
    </row>
    <row r="7490" spans="1:1" x14ac:dyDescent="0.35">
      <c r="A7490"/>
    </row>
    <row r="7491" spans="1:1" x14ac:dyDescent="0.35">
      <c r="A7491"/>
    </row>
    <row r="7492" spans="1:1" x14ac:dyDescent="0.35">
      <c r="A7492"/>
    </row>
    <row r="7493" spans="1:1" x14ac:dyDescent="0.35">
      <c r="A7493"/>
    </row>
    <row r="7494" spans="1:1" x14ac:dyDescent="0.35">
      <c r="A7494"/>
    </row>
    <row r="7495" spans="1:1" x14ac:dyDescent="0.35">
      <c r="A7495"/>
    </row>
    <row r="7496" spans="1:1" x14ac:dyDescent="0.35">
      <c r="A7496"/>
    </row>
    <row r="7497" spans="1:1" x14ac:dyDescent="0.35">
      <c r="A7497"/>
    </row>
    <row r="7498" spans="1:1" x14ac:dyDescent="0.35">
      <c r="A7498"/>
    </row>
    <row r="7499" spans="1:1" x14ac:dyDescent="0.35">
      <c r="A7499"/>
    </row>
    <row r="7500" spans="1:1" x14ac:dyDescent="0.35">
      <c r="A7500"/>
    </row>
    <row r="7501" spans="1:1" x14ac:dyDescent="0.35">
      <c r="A7501"/>
    </row>
    <row r="7502" spans="1:1" x14ac:dyDescent="0.35">
      <c r="A7502"/>
    </row>
    <row r="7503" spans="1:1" x14ac:dyDescent="0.35">
      <c r="A7503"/>
    </row>
    <row r="7504" spans="1:1" x14ac:dyDescent="0.35">
      <c r="A7504"/>
    </row>
    <row r="7505" spans="1:1" x14ac:dyDescent="0.35">
      <c r="A7505"/>
    </row>
    <row r="7506" spans="1:1" x14ac:dyDescent="0.35">
      <c r="A7506"/>
    </row>
    <row r="7507" spans="1:1" x14ac:dyDescent="0.35">
      <c r="A7507"/>
    </row>
    <row r="7508" spans="1:1" x14ac:dyDescent="0.35">
      <c r="A7508"/>
    </row>
    <row r="7509" spans="1:1" x14ac:dyDescent="0.35">
      <c r="A7509"/>
    </row>
    <row r="7510" spans="1:1" x14ac:dyDescent="0.35">
      <c r="A7510"/>
    </row>
    <row r="7511" spans="1:1" x14ac:dyDescent="0.35">
      <c r="A7511"/>
    </row>
    <row r="7512" spans="1:1" x14ac:dyDescent="0.35">
      <c r="A7512"/>
    </row>
    <row r="7513" spans="1:1" x14ac:dyDescent="0.35">
      <c r="A7513"/>
    </row>
    <row r="7514" spans="1:1" x14ac:dyDescent="0.35">
      <c r="A7514"/>
    </row>
    <row r="7515" spans="1:1" x14ac:dyDescent="0.35">
      <c r="A7515"/>
    </row>
    <row r="7516" spans="1:1" x14ac:dyDescent="0.35">
      <c r="A7516"/>
    </row>
    <row r="7517" spans="1:1" x14ac:dyDescent="0.35">
      <c r="A7517"/>
    </row>
    <row r="7518" spans="1:1" x14ac:dyDescent="0.35">
      <c r="A7518"/>
    </row>
    <row r="7519" spans="1:1" x14ac:dyDescent="0.35">
      <c r="A7519"/>
    </row>
    <row r="7520" spans="1:1" x14ac:dyDescent="0.35">
      <c r="A7520"/>
    </row>
    <row r="7521" spans="1:1" x14ac:dyDescent="0.35">
      <c r="A7521"/>
    </row>
    <row r="7522" spans="1:1" x14ac:dyDescent="0.35">
      <c r="A7522"/>
    </row>
    <row r="7523" spans="1:1" x14ac:dyDescent="0.35">
      <c r="A7523"/>
    </row>
    <row r="7524" spans="1:1" x14ac:dyDescent="0.35">
      <c r="A7524"/>
    </row>
    <row r="7525" spans="1:1" x14ac:dyDescent="0.35">
      <c r="A7525"/>
    </row>
    <row r="7526" spans="1:1" x14ac:dyDescent="0.35">
      <c r="A7526"/>
    </row>
    <row r="7527" spans="1:1" x14ac:dyDescent="0.35">
      <c r="A7527"/>
    </row>
    <row r="7528" spans="1:1" x14ac:dyDescent="0.35">
      <c r="A7528"/>
    </row>
    <row r="7529" spans="1:1" x14ac:dyDescent="0.35">
      <c r="A7529"/>
    </row>
    <row r="7530" spans="1:1" x14ac:dyDescent="0.35">
      <c r="A7530"/>
    </row>
    <row r="7531" spans="1:1" x14ac:dyDescent="0.35">
      <c r="A7531"/>
    </row>
    <row r="7532" spans="1:1" x14ac:dyDescent="0.35">
      <c r="A7532"/>
    </row>
    <row r="7533" spans="1:1" x14ac:dyDescent="0.35">
      <c r="A7533"/>
    </row>
    <row r="7534" spans="1:1" x14ac:dyDescent="0.35">
      <c r="A7534"/>
    </row>
    <row r="7535" spans="1:1" x14ac:dyDescent="0.35">
      <c r="A7535"/>
    </row>
    <row r="7536" spans="1:1" x14ac:dyDescent="0.35">
      <c r="A7536"/>
    </row>
    <row r="7537" spans="1:1" x14ac:dyDescent="0.35">
      <c r="A7537"/>
    </row>
    <row r="7538" spans="1:1" x14ac:dyDescent="0.35">
      <c r="A7538"/>
    </row>
    <row r="7539" spans="1:1" x14ac:dyDescent="0.35">
      <c r="A7539"/>
    </row>
    <row r="7540" spans="1:1" x14ac:dyDescent="0.35">
      <c r="A7540"/>
    </row>
    <row r="7541" spans="1:1" x14ac:dyDescent="0.35">
      <c r="A7541"/>
    </row>
    <row r="7542" spans="1:1" x14ac:dyDescent="0.35">
      <c r="A7542"/>
    </row>
    <row r="7543" spans="1:1" x14ac:dyDescent="0.35">
      <c r="A7543"/>
    </row>
    <row r="7544" spans="1:1" x14ac:dyDescent="0.35">
      <c r="A7544"/>
    </row>
    <row r="7545" spans="1:1" x14ac:dyDescent="0.35">
      <c r="A7545"/>
    </row>
    <row r="7546" spans="1:1" x14ac:dyDescent="0.35">
      <c r="A7546"/>
    </row>
    <row r="7547" spans="1:1" x14ac:dyDescent="0.35">
      <c r="A7547"/>
    </row>
    <row r="7548" spans="1:1" x14ac:dyDescent="0.35">
      <c r="A7548"/>
    </row>
    <row r="7549" spans="1:1" x14ac:dyDescent="0.35">
      <c r="A7549"/>
    </row>
    <row r="7550" spans="1:1" x14ac:dyDescent="0.35">
      <c r="A7550"/>
    </row>
    <row r="7551" spans="1:1" x14ac:dyDescent="0.35">
      <c r="A7551"/>
    </row>
    <row r="7552" spans="1:1" x14ac:dyDescent="0.35">
      <c r="A7552"/>
    </row>
    <row r="7553" spans="1:1" x14ac:dyDescent="0.35">
      <c r="A7553"/>
    </row>
    <row r="7554" spans="1:1" x14ac:dyDescent="0.35">
      <c r="A7554"/>
    </row>
    <row r="7555" spans="1:1" x14ac:dyDescent="0.35">
      <c r="A7555"/>
    </row>
    <row r="7556" spans="1:1" x14ac:dyDescent="0.35">
      <c r="A7556"/>
    </row>
    <row r="7557" spans="1:1" x14ac:dyDescent="0.35">
      <c r="A7557"/>
    </row>
    <row r="7558" spans="1:1" x14ac:dyDescent="0.35">
      <c r="A7558"/>
    </row>
    <row r="7559" spans="1:1" x14ac:dyDescent="0.35">
      <c r="A7559"/>
    </row>
    <row r="7560" spans="1:1" x14ac:dyDescent="0.35">
      <c r="A7560"/>
    </row>
    <row r="7561" spans="1:1" x14ac:dyDescent="0.35">
      <c r="A7561"/>
    </row>
    <row r="7562" spans="1:1" x14ac:dyDescent="0.35">
      <c r="A7562"/>
    </row>
    <row r="7563" spans="1:1" x14ac:dyDescent="0.35">
      <c r="A7563"/>
    </row>
    <row r="7564" spans="1:1" x14ac:dyDescent="0.35">
      <c r="A7564"/>
    </row>
    <row r="7565" spans="1:1" x14ac:dyDescent="0.35">
      <c r="A7565"/>
    </row>
    <row r="7566" spans="1:1" x14ac:dyDescent="0.35">
      <c r="A7566"/>
    </row>
    <row r="7567" spans="1:1" x14ac:dyDescent="0.35">
      <c r="A7567"/>
    </row>
    <row r="7568" spans="1:1" x14ac:dyDescent="0.35">
      <c r="A7568"/>
    </row>
    <row r="7569" spans="1:1" x14ac:dyDescent="0.35">
      <c r="A7569"/>
    </row>
    <row r="7570" spans="1:1" x14ac:dyDescent="0.35">
      <c r="A7570"/>
    </row>
    <row r="7571" spans="1:1" x14ac:dyDescent="0.35">
      <c r="A7571"/>
    </row>
    <row r="7572" spans="1:1" x14ac:dyDescent="0.35">
      <c r="A7572"/>
    </row>
    <row r="7573" spans="1:1" x14ac:dyDescent="0.35">
      <c r="A7573"/>
    </row>
    <row r="7574" spans="1:1" x14ac:dyDescent="0.35">
      <c r="A7574"/>
    </row>
    <row r="7575" spans="1:1" x14ac:dyDescent="0.35">
      <c r="A7575"/>
    </row>
    <row r="7576" spans="1:1" x14ac:dyDescent="0.35">
      <c r="A7576"/>
    </row>
    <row r="7577" spans="1:1" x14ac:dyDescent="0.35">
      <c r="A7577"/>
    </row>
    <row r="7578" spans="1:1" x14ac:dyDescent="0.35">
      <c r="A7578"/>
    </row>
    <row r="7579" spans="1:1" x14ac:dyDescent="0.35">
      <c r="A7579"/>
    </row>
    <row r="7580" spans="1:1" x14ac:dyDescent="0.35">
      <c r="A7580"/>
    </row>
    <row r="7581" spans="1:1" x14ac:dyDescent="0.35">
      <c r="A7581"/>
    </row>
    <row r="7582" spans="1:1" x14ac:dyDescent="0.35">
      <c r="A7582"/>
    </row>
    <row r="7583" spans="1:1" x14ac:dyDescent="0.35">
      <c r="A7583"/>
    </row>
    <row r="7584" spans="1:1" x14ac:dyDescent="0.35">
      <c r="A7584"/>
    </row>
    <row r="7585" spans="1:1" x14ac:dyDescent="0.35">
      <c r="A7585"/>
    </row>
    <row r="7586" spans="1:1" x14ac:dyDescent="0.35">
      <c r="A7586"/>
    </row>
    <row r="7587" spans="1:1" x14ac:dyDescent="0.35">
      <c r="A7587"/>
    </row>
    <row r="7588" spans="1:1" x14ac:dyDescent="0.35">
      <c r="A7588"/>
    </row>
    <row r="7589" spans="1:1" x14ac:dyDescent="0.35">
      <c r="A7589"/>
    </row>
    <row r="7590" spans="1:1" x14ac:dyDescent="0.35">
      <c r="A7590"/>
    </row>
    <row r="7591" spans="1:1" x14ac:dyDescent="0.35">
      <c r="A7591"/>
    </row>
    <row r="7592" spans="1:1" x14ac:dyDescent="0.35">
      <c r="A7592"/>
    </row>
    <row r="7593" spans="1:1" x14ac:dyDescent="0.35">
      <c r="A7593"/>
    </row>
    <row r="7594" spans="1:1" x14ac:dyDescent="0.35">
      <c r="A7594"/>
    </row>
    <row r="7595" spans="1:1" x14ac:dyDescent="0.35">
      <c r="A7595"/>
    </row>
    <row r="7596" spans="1:1" x14ac:dyDescent="0.35">
      <c r="A7596"/>
    </row>
    <row r="7597" spans="1:1" x14ac:dyDescent="0.35">
      <c r="A7597"/>
    </row>
    <row r="7598" spans="1:1" x14ac:dyDescent="0.35">
      <c r="A7598"/>
    </row>
    <row r="7599" spans="1:1" x14ac:dyDescent="0.35">
      <c r="A7599"/>
    </row>
    <row r="7600" spans="1:1" x14ac:dyDescent="0.35">
      <c r="A7600"/>
    </row>
    <row r="7601" spans="1:1" x14ac:dyDescent="0.35">
      <c r="A7601"/>
    </row>
    <row r="7602" spans="1:1" x14ac:dyDescent="0.35">
      <c r="A7602"/>
    </row>
    <row r="7603" spans="1:1" x14ac:dyDescent="0.35">
      <c r="A7603"/>
    </row>
    <row r="7604" spans="1:1" x14ac:dyDescent="0.35">
      <c r="A7604"/>
    </row>
    <row r="7605" spans="1:1" x14ac:dyDescent="0.35">
      <c r="A7605"/>
    </row>
    <row r="7606" spans="1:1" x14ac:dyDescent="0.35">
      <c r="A7606"/>
    </row>
    <row r="7607" spans="1:1" x14ac:dyDescent="0.35">
      <c r="A7607"/>
    </row>
    <row r="7608" spans="1:1" x14ac:dyDescent="0.35">
      <c r="A7608"/>
    </row>
    <row r="7609" spans="1:1" x14ac:dyDescent="0.35">
      <c r="A7609"/>
    </row>
    <row r="7610" spans="1:1" x14ac:dyDescent="0.35">
      <c r="A7610"/>
    </row>
    <row r="7611" spans="1:1" x14ac:dyDescent="0.35">
      <c r="A7611"/>
    </row>
    <row r="7612" spans="1:1" x14ac:dyDescent="0.35">
      <c r="A7612"/>
    </row>
    <row r="7613" spans="1:1" x14ac:dyDescent="0.35">
      <c r="A7613"/>
    </row>
    <row r="7614" spans="1:1" x14ac:dyDescent="0.35">
      <c r="A7614"/>
    </row>
    <row r="7615" spans="1:1" x14ac:dyDescent="0.35">
      <c r="A7615"/>
    </row>
    <row r="7616" spans="1:1" x14ac:dyDescent="0.35">
      <c r="A7616"/>
    </row>
    <row r="7617" spans="1:1" x14ac:dyDescent="0.35">
      <c r="A7617"/>
    </row>
    <row r="7618" spans="1:1" x14ac:dyDescent="0.35">
      <c r="A7618"/>
    </row>
    <row r="7619" spans="1:1" x14ac:dyDescent="0.35">
      <c r="A7619"/>
    </row>
    <row r="7620" spans="1:1" x14ac:dyDescent="0.35">
      <c r="A7620"/>
    </row>
    <row r="7621" spans="1:1" x14ac:dyDescent="0.35">
      <c r="A7621"/>
    </row>
    <row r="7622" spans="1:1" x14ac:dyDescent="0.35">
      <c r="A7622"/>
    </row>
    <row r="7623" spans="1:1" x14ac:dyDescent="0.35">
      <c r="A7623"/>
    </row>
    <row r="7624" spans="1:1" x14ac:dyDescent="0.35">
      <c r="A7624"/>
    </row>
    <row r="7625" spans="1:1" x14ac:dyDescent="0.35">
      <c r="A7625"/>
    </row>
    <row r="7626" spans="1:1" x14ac:dyDescent="0.35">
      <c r="A7626"/>
    </row>
    <row r="7627" spans="1:1" x14ac:dyDescent="0.35">
      <c r="A7627"/>
    </row>
    <row r="7628" spans="1:1" x14ac:dyDescent="0.35">
      <c r="A7628"/>
    </row>
    <row r="7629" spans="1:1" x14ac:dyDescent="0.35">
      <c r="A7629"/>
    </row>
    <row r="7630" spans="1:1" x14ac:dyDescent="0.35">
      <c r="A7630"/>
    </row>
    <row r="7631" spans="1:1" x14ac:dyDescent="0.35">
      <c r="A7631"/>
    </row>
    <row r="7632" spans="1:1" x14ac:dyDescent="0.35">
      <c r="A7632"/>
    </row>
    <row r="7633" spans="1:1" x14ac:dyDescent="0.35">
      <c r="A7633"/>
    </row>
    <row r="7634" spans="1:1" x14ac:dyDescent="0.35">
      <c r="A7634"/>
    </row>
    <row r="7635" spans="1:1" x14ac:dyDescent="0.35">
      <c r="A7635"/>
    </row>
    <row r="7636" spans="1:1" x14ac:dyDescent="0.35">
      <c r="A7636"/>
    </row>
    <row r="7637" spans="1:1" x14ac:dyDescent="0.35">
      <c r="A7637"/>
    </row>
    <row r="7638" spans="1:1" x14ac:dyDescent="0.35">
      <c r="A7638"/>
    </row>
    <row r="7639" spans="1:1" x14ac:dyDescent="0.35">
      <c r="A7639"/>
    </row>
    <row r="7640" spans="1:1" x14ac:dyDescent="0.35">
      <c r="A7640"/>
    </row>
    <row r="7641" spans="1:1" x14ac:dyDescent="0.35">
      <c r="A7641"/>
    </row>
    <row r="7642" spans="1:1" x14ac:dyDescent="0.35">
      <c r="A7642"/>
    </row>
    <row r="7643" spans="1:1" x14ac:dyDescent="0.35">
      <c r="A7643"/>
    </row>
    <row r="7644" spans="1:1" x14ac:dyDescent="0.35">
      <c r="A7644"/>
    </row>
    <row r="7645" spans="1:1" x14ac:dyDescent="0.35">
      <c r="A7645"/>
    </row>
    <row r="7646" spans="1:1" x14ac:dyDescent="0.35">
      <c r="A7646"/>
    </row>
    <row r="7647" spans="1:1" x14ac:dyDescent="0.35">
      <c r="A7647"/>
    </row>
    <row r="7648" spans="1:1" x14ac:dyDescent="0.35">
      <c r="A7648"/>
    </row>
    <row r="7649" spans="1:1" x14ac:dyDescent="0.35">
      <c r="A7649"/>
    </row>
    <row r="7650" spans="1:1" x14ac:dyDescent="0.35">
      <c r="A7650"/>
    </row>
    <row r="7651" spans="1:1" x14ac:dyDescent="0.35">
      <c r="A7651"/>
    </row>
    <row r="7652" spans="1:1" x14ac:dyDescent="0.35">
      <c r="A7652"/>
    </row>
    <row r="7653" spans="1:1" x14ac:dyDescent="0.35">
      <c r="A7653"/>
    </row>
    <row r="7654" spans="1:1" x14ac:dyDescent="0.35">
      <c r="A7654"/>
    </row>
    <row r="7655" spans="1:1" x14ac:dyDescent="0.35">
      <c r="A7655"/>
    </row>
    <row r="7656" spans="1:1" x14ac:dyDescent="0.35">
      <c r="A7656"/>
    </row>
    <row r="7657" spans="1:1" x14ac:dyDescent="0.35">
      <c r="A7657"/>
    </row>
    <row r="7658" spans="1:1" x14ac:dyDescent="0.35">
      <c r="A7658"/>
    </row>
    <row r="7659" spans="1:1" x14ac:dyDescent="0.35">
      <c r="A7659"/>
    </row>
    <row r="7660" spans="1:1" x14ac:dyDescent="0.35">
      <c r="A7660"/>
    </row>
    <row r="7661" spans="1:1" x14ac:dyDescent="0.35">
      <c r="A7661"/>
    </row>
    <row r="7662" spans="1:1" x14ac:dyDescent="0.35">
      <c r="A7662"/>
    </row>
    <row r="7663" spans="1:1" x14ac:dyDescent="0.35">
      <c r="A7663"/>
    </row>
    <row r="7664" spans="1:1" x14ac:dyDescent="0.35">
      <c r="A7664"/>
    </row>
    <row r="7665" spans="1:1" x14ac:dyDescent="0.35">
      <c r="A7665"/>
    </row>
    <row r="7666" spans="1:1" x14ac:dyDescent="0.35">
      <c r="A7666"/>
    </row>
    <row r="7667" spans="1:1" x14ac:dyDescent="0.35">
      <c r="A7667"/>
    </row>
    <row r="7668" spans="1:1" x14ac:dyDescent="0.35">
      <c r="A7668"/>
    </row>
    <row r="7669" spans="1:1" x14ac:dyDescent="0.35">
      <c r="A7669"/>
    </row>
    <row r="7670" spans="1:1" x14ac:dyDescent="0.35">
      <c r="A7670"/>
    </row>
    <row r="7671" spans="1:1" x14ac:dyDescent="0.35">
      <c r="A7671"/>
    </row>
    <row r="7672" spans="1:1" x14ac:dyDescent="0.35">
      <c r="A7672"/>
    </row>
    <row r="7673" spans="1:1" x14ac:dyDescent="0.35">
      <c r="A7673"/>
    </row>
    <row r="7674" spans="1:1" x14ac:dyDescent="0.35">
      <c r="A7674"/>
    </row>
    <row r="7675" spans="1:1" x14ac:dyDescent="0.35">
      <c r="A7675"/>
    </row>
    <row r="7676" spans="1:1" x14ac:dyDescent="0.35">
      <c r="A7676"/>
    </row>
    <row r="7677" spans="1:1" x14ac:dyDescent="0.35">
      <c r="A7677"/>
    </row>
    <row r="7678" spans="1:1" x14ac:dyDescent="0.35">
      <c r="A7678"/>
    </row>
    <row r="7679" spans="1:1" x14ac:dyDescent="0.35">
      <c r="A7679"/>
    </row>
    <row r="7680" spans="1:1" x14ac:dyDescent="0.35">
      <c r="A7680"/>
    </row>
    <row r="7681" spans="1:1" x14ac:dyDescent="0.35">
      <c r="A7681"/>
    </row>
    <row r="7682" spans="1:1" x14ac:dyDescent="0.35">
      <c r="A7682"/>
    </row>
    <row r="7683" spans="1:1" x14ac:dyDescent="0.35">
      <c r="A7683"/>
    </row>
    <row r="7684" spans="1:1" x14ac:dyDescent="0.35">
      <c r="A7684"/>
    </row>
    <row r="7685" spans="1:1" x14ac:dyDescent="0.35">
      <c r="A7685"/>
    </row>
    <row r="7686" spans="1:1" x14ac:dyDescent="0.35">
      <c r="A7686"/>
    </row>
    <row r="7687" spans="1:1" x14ac:dyDescent="0.35">
      <c r="A7687"/>
    </row>
    <row r="7688" spans="1:1" x14ac:dyDescent="0.35">
      <c r="A7688"/>
    </row>
    <row r="7689" spans="1:1" x14ac:dyDescent="0.35">
      <c r="A7689"/>
    </row>
    <row r="7690" spans="1:1" x14ac:dyDescent="0.35">
      <c r="A7690"/>
    </row>
    <row r="7691" spans="1:1" x14ac:dyDescent="0.35">
      <c r="A7691"/>
    </row>
    <row r="7692" spans="1:1" x14ac:dyDescent="0.35">
      <c r="A7692"/>
    </row>
    <row r="7693" spans="1:1" x14ac:dyDescent="0.35">
      <c r="A7693"/>
    </row>
    <row r="7694" spans="1:1" x14ac:dyDescent="0.35">
      <c r="A7694"/>
    </row>
    <row r="7695" spans="1:1" x14ac:dyDescent="0.35">
      <c r="A7695"/>
    </row>
    <row r="7696" spans="1:1" x14ac:dyDescent="0.35">
      <c r="A7696"/>
    </row>
    <row r="7697" spans="1:1" x14ac:dyDescent="0.35">
      <c r="A7697"/>
    </row>
    <row r="7698" spans="1:1" x14ac:dyDescent="0.35">
      <c r="A7698"/>
    </row>
    <row r="7699" spans="1:1" x14ac:dyDescent="0.35">
      <c r="A7699"/>
    </row>
    <row r="7700" spans="1:1" x14ac:dyDescent="0.35">
      <c r="A7700"/>
    </row>
    <row r="7701" spans="1:1" x14ac:dyDescent="0.35">
      <c r="A7701"/>
    </row>
    <row r="7702" spans="1:1" x14ac:dyDescent="0.35">
      <c r="A7702"/>
    </row>
    <row r="7703" spans="1:1" x14ac:dyDescent="0.35">
      <c r="A7703"/>
    </row>
    <row r="7704" spans="1:1" x14ac:dyDescent="0.35">
      <c r="A7704"/>
    </row>
    <row r="7705" spans="1:1" x14ac:dyDescent="0.35">
      <c r="A7705"/>
    </row>
    <row r="7706" spans="1:1" x14ac:dyDescent="0.35">
      <c r="A7706"/>
    </row>
    <row r="7707" spans="1:1" x14ac:dyDescent="0.35">
      <c r="A7707"/>
    </row>
    <row r="7708" spans="1:1" x14ac:dyDescent="0.35">
      <c r="A7708"/>
    </row>
    <row r="7709" spans="1:1" x14ac:dyDescent="0.35">
      <c r="A7709"/>
    </row>
    <row r="7710" spans="1:1" x14ac:dyDescent="0.35">
      <c r="A7710"/>
    </row>
    <row r="7711" spans="1:1" x14ac:dyDescent="0.35">
      <c r="A7711"/>
    </row>
    <row r="7712" spans="1:1" x14ac:dyDescent="0.35">
      <c r="A7712"/>
    </row>
    <row r="7713" spans="1:1" x14ac:dyDescent="0.35">
      <c r="A7713"/>
    </row>
    <row r="7714" spans="1:1" x14ac:dyDescent="0.35">
      <c r="A7714"/>
    </row>
    <row r="7715" spans="1:1" x14ac:dyDescent="0.35">
      <c r="A7715"/>
    </row>
    <row r="7716" spans="1:1" x14ac:dyDescent="0.35">
      <c r="A7716"/>
    </row>
    <row r="7717" spans="1:1" x14ac:dyDescent="0.35">
      <c r="A7717"/>
    </row>
    <row r="7718" spans="1:1" x14ac:dyDescent="0.35">
      <c r="A7718"/>
    </row>
    <row r="7719" spans="1:1" x14ac:dyDescent="0.35">
      <c r="A7719"/>
    </row>
    <row r="7720" spans="1:1" x14ac:dyDescent="0.35">
      <c r="A7720"/>
    </row>
    <row r="7721" spans="1:1" x14ac:dyDescent="0.35">
      <c r="A7721"/>
    </row>
    <row r="7722" spans="1:1" x14ac:dyDescent="0.35">
      <c r="A7722"/>
    </row>
    <row r="7723" spans="1:1" x14ac:dyDescent="0.35">
      <c r="A7723"/>
    </row>
    <row r="7724" spans="1:1" x14ac:dyDescent="0.35">
      <c r="A7724"/>
    </row>
    <row r="7725" spans="1:1" x14ac:dyDescent="0.35">
      <c r="A7725"/>
    </row>
    <row r="7726" spans="1:1" x14ac:dyDescent="0.35">
      <c r="A7726"/>
    </row>
    <row r="7727" spans="1:1" x14ac:dyDescent="0.35">
      <c r="A7727"/>
    </row>
    <row r="7728" spans="1:1" x14ac:dyDescent="0.35">
      <c r="A7728"/>
    </row>
    <row r="7729" spans="1:1" x14ac:dyDescent="0.35">
      <c r="A7729"/>
    </row>
    <row r="7730" spans="1:1" x14ac:dyDescent="0.35">
      <c r="A7730"/>
    </row>
    <row r="7731" spans="1:1" x14ac:dyDescent="0.35">
      <c r="A7731"/>
    </row>
    <row r="7732" spans="1:1" x14ac:dyDescent="0.35">
      <c r="A7732"/>
    </row>
    <row r="7733" spans="1:1" x14ac:dyDescent="0.35">
      <c r="A7733"/>
    </row>
    <row r="7734" spans="1:1" x14ac:dyDescent="0.35">
      <c r="A7734"/>
    </row>
    <row r="7735" spans="1:1" x14ac:dyDescent="0.35">
      <c r="A7735"/>
    </row>
    <row r="7736" spans="1:1" x14ac:dyDescent="0.35">
      <c r="A7736"/>
    </row>
    <row r="7737" spans="1:1" x14ac:dyDescent="0.35">
      <c r="A7737"/>
    </row>
    <row r="7738" spans="1:1" x14ac:dyDescent="0.35">
      <c r="A7738"/>
    </row>
    <row r="7739" spans="1:1" x14ac:dyDescent="0.35">
      <c r="A7739"/>
    </row>
    <row r="7740" spans="1:1" x14ac:dyDescent="0.35">
      <c r="A7740"/>
    </row>
    <row r="7741" spans="1:1" x14ac:dyDescent="0.35">
      <c r="A7741"/>
    </row>
    <row r="7742" spans="1:1" x14ac:dyDescent="0.35">
      <c r="A7742"/>
    </row>
    <row r="7743" spans="1:1" x14ac:dyDescent="0.35">
      <c r="A7743"/>
    </row>
    <row r="7744" spans="1:1" x14ac:dyDescent="0.35">
      <c r="A7744"/>
    </row>
    <row r="7745" spans="1:1" x14ac:dyDescent="0.35">
      <c r="A7745"/>
    </row>
    <row r="7746" spans="1:1" x14ac:dyDescent="0.35">
      <c r="A7746"/>
    </row>
    <row r="7747" spans="1:1" x14ac:dyDescent="0.35">
      <c r="A7747"/>
    </row>
    <row r="7748" spans="1:1" x14ac:dyDescent="0.35">
      <c r="A7748"/>
    </row>
    <row r="7749" spans="1:1" x14ac:dyDescent="0.35">
      <c r="A7749"/>
    </row>
    <row r="7750" spans="1:1" x14ac:dyDescent="0.35">
      <c r="A7750"/>
    </row>
    <row r="7751" spans="1:1" x14ac:dyDescent="0.35">
      <c r="A7751"/>
    </row>
    <row r="7752" spans="1:1" x14ac:dyDescent="0.35">
      <c r="A7752"/>
    </row>
    <row r="7753" spans="1:1" x14ac:dyDescent="0.35">
      <c r="A7753"/>
    </row>
    <row r="7754" spans="1:1" x14ac:dyDescent="0.35">
      <c r="A7754"/>
    </row>
    <row r="7755" spans="1:1" x14ac:dyDescent="0.35">
      <c r="A7755"/>
    </row>
    <row r="7756" spans="1:1" x14ac:dyDescent="0.35">
      <c r="A7756"/>
    </row>
    <row r="7757" spans="1:1" x14ac:dyDescent="0.35">
      <c r="A7757"/>
    </row>
    <row r="7758" spans="1:1" x14ac:dyDescent="0.35">
      <c r="A7758"/>
    </row>
    <row r="7759" spans="1:1" x14ac:dyDescent="0.35">
      <c r="A7759"/>
    </row>
    <row r="7760" spans="1:1" x14ac:dyDescent="0.35">
      <c r="A7760"/>
    </row>
    <row r="7761" spans="1:1" x14ac:dyDescent="0.35">
      <c r="A7761"/>
    </row>
    <row r="7762" spans="1:1" x14ac:dyDescent="0.35">
      <c r="A7762"/>
    </row>
    <row r="7763" spans="1:1" x14ac:dyDescent="0.35">
      <c r="A7763"/>
    </row>
    <row r="7764" spans="1:1" x14ac:dyDescent="0.35">
      <c r="A7764"/>
    </row>
    <row r="7765" spans="1:1" x14ac:dyDescent="0.35">
      <c r="A7765"/>
    </row>
    <row r="7766" spans="1:1" x14ac:dyDescent="0.35">
      <c r="A7766"/>
    </row>
    <row r="7767" spans="1:1" x14ac:dyDescent="0.35">
      <c r="A7767"/>
    </row>
    <row r="7768" spans="1:1" x14ac:dyDescent="0.35">
      <c r="A7768"/>
    </row>
    <row r="7769" spans="1:1" x14ac:dyDescent="0.35">
      <c r="A7769"/>
    </row>
    <row r="7770" spans="1:1" x14ac:dyDescent="0.35">
      <c r="A7770"/>
    </row>
    <row r="7771" spans="1:1" x14ac:dyDescent="0.35">
      <c r="A7771"/>
    </row>
    <row r="7772" spans="1:1" x14ac:dyDescent="0.35">
      <c r="A7772"/>
    </row>
    <row r="7773" spans="1:1" x14ac:dyDescent="0.35">
      <c r="A7773"/>
    </row>
    <row r="7774" spans="1:1" x14ac:dyDescent="0.35">
      <c r="A7774"/>
    </row>
    <row r="7775" spans="1:1" x14ac:dyDescent="0.35">
      <c r="A7775"/>
    </row>
    <row r="7776" spans="1:1" x14ac:dyDescent="0.35">
      <c r="A7776"/>
    </row>
    <row r="7777" spans="1:1" x14ac:dyDescent="0.35">
      <c r="A7777"/>
    </row>
    <row r="7778" spans="1:1" x14ac:dyDescent="0.35">
      <c r="A7778"/>
    </row>
    <row r="7779" spans="1:1" x14ac:dyDescent="0.35">
      <c r="A7779"/>
    </row>
    <row r="7780" spans="1:1" x14ac:dyDescent="0.35">
      <c r="A7780"/>
    </row>
    <row r="7781" spans="1:1" x14ac:dyDescent="0.35">
      <c r="A7781"/>
    </row>
    <row r="7782" spans="1:1" x14ac:dyDescent="0.35">
      <c r="A7782"/>
    </row>
    <row r="7783" spans="1:1" x14ac:dyDescent="0.35">
      <c r="A7783"/>
    </row>
    <row r="7784" spans="1:1" x14ac:dyDescent="0.35">
      <c r="A7784"/>
    </row>
    <row r="7785" spans="1:1" x14ac:dyDescent="0.35">
      <c r="A7785"/>
    </row>
    <row r="7786" spans="1:1" x14ac:dyDescent="0.35">
      <c r="A7786"/>
    </row>
    <row r="7787" spans="1:1" x14ac:dyDescent="0.35">
      <c r="A7787"/>
    </row>
    <row r="7788" spans="1:1" x14ac:dyDescent="0.35">
      <c r="A7788"/>
    </row>
    <row r="7789" spans="1:1" x14ac:dyDescent="0.35">
      <c r="A7789"/>
    </row>
    <row r="7790" spans="1:1" x14ac:dyDescent="0.35">
      <c r="A7790"/>
    </row>
    <row r="7791" spans="1:1" x14ac:dyDescent="0.35">
      <c r="A7791"/>
    </row>
    <row r="7792" spans="1:1" x14ac:dyDescent="0.35">
      <c r="A7792"/>
    </row>
    <row r="7793" spans="1:1" x14ac:dyDescent="0.35">
      <c r="A7793"/>
    </row>
    <row r="7794" spans="1:1" x14ac:dyDescent="0.35">
      <c r="A7794"/>
    </row>
    <row r="7795" spans="1:1" x14ac:dyDescent="0.35">
      <c r="A7795"/>
    </row>
    <row r="7796" spans="1:1" x14ac:dyDescent="0.35">
      <c r="A7796"/>
    </row>
    <row r="7797" spans="1:1" x14ac:dyDescent="0.35">
      <c r="A7797"/>
    </row>
    <row r="7798" spans="1:1" x14ac:dyDescent="0.35">
      <c r="A7798"/>
    </row>
    <row r="7799" spans="1:1" x14ac:dyDescent="0.35">
      <c r="A7799"/>
    </row>
    <row r="7800" spans="1:1" x14ac:dyDescent="0.35">
      <c r="A7800"/>
    </row>
    <row r="7801" spans="1:1" x14ac:dyDescent="0.35">
      <c r="A7801"/>
    </row>
    <row r="7802" spans="1:1" x14ac:dyDescent="0.35">
      <c r="A7802"/>
    </row>
    <row r="7803" spans="1:1" x14ac:dyDescent="0.35">
      <c r="A7803"/>
    </row>
    <row r="7804" spans="1:1" x14ac:dyDescent="0.35">
      <c r="A7804"/>
    </row>
    <row r="7805" spans="1:1" x14ac:dyDescent="0.35">
      <c r="A7805"/>
    </row>
    <row r="7806" spans="1:1" x14ac:dyDescent="0.35">
      <c r="A7806"/>
    </row>
    <row r="7807" spans="1:1" x14ac:dyDescent="0.35">
      <c r="A7807"/>
    </row>
    <row r="7808" spans="1:1" x14ac:dyDescent="0.35">
      <c r="A7808"/>
    </row>
    <row r="7809" spans="1:1" x14ac:dyDescent="0.35">
      <c r="A7809"/>
    </row>
    <row r="7810" spans="1:1" x14ac:dyDescent="0.35">
      <c r="A7810"/>
    </row>
    <row r="7811" spans="1:1" x14ac:dyDescent="0.35">
      <c r="A7811"/>
    </row>
    <row r="7812" spans="1:1" x14ac:dyDescent="0.35">
      <c r="A7812"/>
    </row>
    <row r="7813" spans="1:1" x14ac:dyDescent="0.35">
      <c r="A7813"/>
    </row>
    <row r="7814" spans="1:1" x14ac:dyDescent="0.35">
      <c r="A7814"/>
    </row>
    <row r="7815" spans="1:1" x14ac:dyDescent="0.35">
      <c r="A7815"/>
    </row>
    <row r="7816" spans="1:1" x14ac:dyDescent="0.35">
      <c r="A7816"/>
    </row>
    <row r="7817" spans="1:1" x14ac:dyDescent="0.35">
      <c r="A7817"/>
    </row>
    <row r="7818" spans="1:1" x14ac:dyDescent="0.35">
      <c r="A7818"/>
    </row>
    <row r="7819" spans="1:1" x14ac:dyDescent="0.35">
      <c r="A7819"/>
    </row>
    <row r="7820" spans="1:1" x14ac:dyDescent="0.35">
      <c r="A7820"/>
    </row>
    <row r="7821" spans="1:1" x14ac:dyDescent="0.35">
      <c r="A7821"/>
    </row>
    <row r="7822" spans="1:1" x14ac:dyDescent="0.35">
      <c r="A7822"/>
    </row>
    <row r="7823" spans="1:1" x14ac:dyDescent="0.35">
      <c r="A7823"/>
    </row>
    <row r="7824" spans="1:1" x14ac:dyDescent="0.35">
      <c r="A7824"/>
    </row>
    <row r="7825" spans="1:1" x14ac:dyDescent="0.35">
      <c r="A7825"/>
    </row>
    <row r="7826" spans="1:1" x14ac:dyDescent="0.35">
      <c r="A7826"/>
    </row>
    <row r="7827" spans="1:1" x14ac:dyDescent="0.35">
      <c r="A7827"/>
    </row>
    <row r="7828" spans="1:1" x14ac:dyDescent="0.35">
      <c r="A7828"/>
    </row>
    <row r="7829" spans="1:1" x14ac:dyDescent="0.35">
      <c r="A7829"/>
    </row>
    <row r="7830" spans="1:1" x14ac:dyDescent="0.35">
      <c r="A7830"/>
    </row>
    <row r="7831" spans="1:1" x14ac:dyDescent="0.35">
      <c r="A7831"/>
    </row>
    <row r="7832" spans="1:1" x14ac:dyDescent="0.35">
      <c r="A7832"/>
    </row>
    <row r="7833" spans="1:1" x14ac:dyDescent="0.35">
      <c r="A7833"/>
    </row>
    <row r="7834" spans="1:1" x14ac:dyDescent="0.35">
      <c r="A7834"/>
    </row>
    <row r="7835" spans="1:1" x14ac:dyDescent="0.35">
      <c r="A7835"/>
    </row>
    <row r="7836" spans="1:1" x14ac:dyDescent="0.35">
      <c r="A7836"/>
    </row>
    <row r="7837" spans="1:1" x14ac:dyDescent="0.35">
      <c r="A7837"/>
    </row>
    <row r="7838" spans="1:1" x14ac:dyDescent="0.35">
      <c r="A7838"/>
    </row>
    <row r="7839" spans="1:1" x14ac:dyDescent="0.35">
      <c r="A7839"/>
    </row>
    <row r="7840" spans="1:1" x14ac:dyDescent="0.35">
      <c r="A7840"/>
    </row>
    <row r="7841" spans="1:1" x14ac:dyDescent="0.35">
      <c r="A7841"/>
    </row>
    <row r="7842" spans="1:1" x14ac:dyDescent="0.35">
      <c r="A7842"/>
    </row>
    <row r="7843" spans="1:1" x14ac:dyDescent="0.35">
      <c r="A7843"/>
    </row>
    <row r="7844" spans="1:1" x14ac:dyDescent="0.35">
      <c r="A7844"/>
    </row>
    <row r="7845" spans="1:1" x14ac:dyDescent="0.35">
      <c r="A7845"/>
    </row>
    <row r="7846" spans="1:1" x14ac:dyDescent="0.35">
      <c r="A7846"/>
    </row>
    <row r="7847" spans="1:1" x14ac:dyDescent="0.35">
      <c r="A7847"/>
    </row>
    <row r="7848" spans="1:1" x14ac:dyDescent="0.35">
      <c r="A7848"/>
    </row>
    <row r="7849" spans="1:1" x14ac:dyDescent="0.35">
      <c r="A7849"/>
    </row>
    <row r="7850" spans="1:1" x14ac:dyDescent="0.35">
      <c r="A7850"/>
    </row>
    <row r="7851" spans="1:1" x14ac:dyDescent="0.35">
      <c r="A7851"/>
    </row>
    <row r="7852" spans="1:1" x14ac:dyDescent="0.35">
      <c r="A7852"/>
    </row>
    <row r="7853" spans="1:1" x14ac:dyDescent="0.35">
      <c r="A7853"/>
    </row>
    <row r="7854" spans="1:1" x14ac:dyDescent="0.35">
      <c r="A7854"/>
    </row>
    <row r="7855" spans="1:1" x14ac:dyDescent="0.35">
      <c r="A7855"/>
    </row>
    <row r="7856" spans="1:1" x14ac:dyDescent="0.35">
      <c r="A7856"/>
    </row>
    <row r="7857" spans="1:1" x14ac:dyDescent="0.35">
      <c r="A7857"/>
    </row>
    <row r="7858" spans="1:1" x14ac:dyDescent="0.35">
      <c r="A7858"/>
    </row>
    <row r="7859" spans="1:1" x14ac:dyDescent="0.35">
      <c r="A7859"/>
    </row>
    <row r="7860" spans="1:1" x14ac:dyDescent="0.35">
      <c r="A7860"/>
    </row>
    <row r="7861" spans="1:1" x14ac:dyDescent="0.35">
      <c r="A7861"/>
    </row>
    <row r="7862" spans="1:1" x14ac:dyDescent="0.35">
      <c r="A7862"/>
    </row>
    <row r="7863" spans="1:1" x14ac:dyDescent="0.35">
      <c r="A7863"/>
    </row>
    <row r="7864" spans="1:1" x14ac:dyDescent="0.35">
      <c r="A7864"/>
    </row>
    <row r="7865" spans="1:1" x14ac:dyDescent="0.35">
      <c r="A7865"/>
    </row>
    <row r="7866" spans="1:1" x14ac:dyDescent="0.35">
      <c r="A7866"/>
    </row>
    <row r="7867" spans="1:1" x14ac:dyDescent="0.35">
      <c r="A7867"/>
    </row>
    <row r="7868" spans="1:1" x14ac:dyDescent="0.35">
      <c r="A7868"/>
    </row>
    <row r="7869" spans="1:1" x14ac:dyDescent="0.35">
      <c r="A7869"/>
    </row>
    <row r="7870" spans="1:1" x14ac:dyDescent="0.35">
      <c r="A7870"/>
    </row>
    <row r="7871" spans="1:1" x14ac:dyDescent="0.35">
      <c r="A7871"/>
    </row>
    <row r="7872" spans="1:1" x14ac:dyDescent="0.35">
      <c r="A7872"/>
    </row>
    <row r="7873" spans="1:1" x14ac:dyDescent="0.35">
      <c r="A7873"/>
    </row>
    <row r="7874" spans="1:1" x14ac:dyDescent="0.35">
      <c r="A7874"/>
    </row>
    <row r="7875" spans="1:1" x14ac:dyDescent="0.35">
      <c r="A7875"/>
    </row>
    <row r="7876" spans="1:1" x14ac:dyDescent="0.35">
      <c r="A7876"/>
    </row>
    <row r="7877" spans="1:1" x14ac:dyDescent="0.35">
      <c r="A7877"/>
    </row>
    <row r="7878" spans="1:1" x14ac:dyDescent="0.35">
      <c r="A7878"/>
    </row>
    <row r="7879" spans="1:1" x14ac:dyDescent="0.35">
      <c r="A7879"/>
    </row>
    <row r="7880" spans="1:1" x14ac:dyDescent="0.35">
      <c r="A7880"/>
    </row>
    <row r="7881" spans="1:1" x14ac:dyDescent="0.35">
      <c r="A7881"/>
    </row>
    <row r="7882" spans="1:1" x14ac:dyDescent="0.35">
      <c r="A7882"/>
    </row>
    <row r="7883" spans="1:1" x14ac:dyDescent="0.35">
      <c r="A7883"/>
    </row>
    <row r="7884" spans="1:1" x14ac:dyDescent="0.35">
      <c r="A7884"/>
    </row>
    <row r="7885" spans="1:1" x14ac:dyDescent="0.35">
      <c r="A7885"/>
    </row>
    <row r="7886" spans="1:1" x14ac:dyDescent="0.35">
      <c r="A7886"/>
    </row>
    <row r="7887" spans="1:1" x14ac:dyDescent="0.35">
      <c r="A7887"/>
    </row>
    <row r="7888" spans="1:1" x14ac:dyDescent="0.35">
      <c r="A7888"/>
    </row>
    <row r="7889" spans="1:1" x14ac:dyDescent="0.35">
      <c r="A7889"/>
    </row>
    <row r="7890" spans="1:1" x14ac:dyDescent="0.35">
      <c r="A7890"/>
    </row>
    <row r="7891" spans="1:1" x14ac:dyDescent="0.35">
      <c r="A7891"/>
    </row>
    <row r="7892" spans="1:1" x14ac:dyDescent="0.35">
      <c r="A7892"/>
    </row>
    <row r="7893" spans="1:1" x14ac:dyDescent="0.35">
      <c r="A7893"/>
    </row>
    <row r="7894" spans="1:1" x14ac:dyDescent="0.35">
      <c r="A7894"/>
    </row>
    <row r="7895" spans="1:1" x14ac:dyDescent="0.35">
      <c r="A7895"/>
    </row>
    <row r="7896" spans="1:1" x14ac:dyDescent="0.35">
      <c r="A7896"/>
    </row>
    <row r="7897" spans="1:1" x14ac:dyDescent="0.35">
      <c r="A7897"/>
    </row>
    <row r="7898" spans="1:1" x14ac:dyDescent="0.35">
      <c r="A7898"/>
    </row>
    <row r="7899" spans="1:1" x14ac:dyDescent="0.35">
      <c r="A7899"/>
    </row>
    <row r="7900" spans="1:1" x14ac:dyDescent="0.35">
      <c r="A7900"/>
    </row>
    <row r="7901" spans="1:1" x14ac:dyDescent="0.35">
      <c r="A7901"/>
    </row>
    <row r="7902" spans="1:1" x14ac:dyDescent="0.35">
      <c r="A7902"/>
    </row>
    <row r="7903" spans="1:1" x14ac:dyDescent="0.35">
      <c r="A7903"/>
    </row>
    <row r="7904" spans="1:1" x14ac:dyDescent="0.35">
      <c r="A7904"/>
    </row>
    <row r="7905" spans="1:1" x14ac:dyDescent="0.35">
      <c r="A7905"/>
    </row>
    <row r="7906" spans="1:1" x14ac:dyDescent="0.35">
      <c r="A7906"/>
    </row>
    <row r="7907" spans="1:1" x14ac:dyDescent="0.35">
      <c r="A7907"/>
    </row>
    <row r="7908" spans="1:1" x14ac:dyDescent="0.35">
      <c r="A7908"/>
    </row>
    <row r="7909" spans="1:1" x14ac:dyDescent="0.35">
      <c r="A7909"/>
    </row>
    <row r="7910" spans="1:1" x14ac:dyDescent="0.35">
      <c r="A7910"/>
    </row>
    <row r="7911" spans="1:1" x14ac:dyDescent="0.35">
      <c r="A7911"/>
    </row>
    <row r="7912" spans="1:1" x14ac:dyDescent="0.35">
      <c r="A7912"/>
    </row>
    <row r="7913" spans="1:1" x14ac:dyDescent="0.35">
      <c r="A7913"/>
    </row>
    <row r="7914" spans="1:1" x14ac:dyDescent="0.35">
      <c r="A7914"/>
    </row>
    <row r="7915" spans="1:1" x14ac:dyDescent="0.35">
      <c r="A7915"/>
    </row>
    <row r="7916" spans="1:1" x14ac:dyDescent="0.35">
      <c r="A7916"/>
    </row>
    <row r="7917" spans="1:1" x14ac:dyDescent="0.35">
      <c r="A7917"/>
    </row>
    <row r="7918" spans="1:1" x14ac:dyDescent="0.35">
      <c r="A7918"/>
    </row>
    <row r="7919" spans="1:1" x14ac:dyDescent="0.35">
      <c r="A7919"/>
    </row>
    <row r="7920" spans="1:1" x14ac:dyDescent="0.35">
      <c r="A7920"/>
    </row>
    <row r="7921" spans="1:1" x14ac:dyDescent="0.35">
      <c r="A7921"/>
    </row>
    <row r="7922" spans="1:1" x14ac:dyDescent="0.35">
      <c r="A7922"/>
    </row>
    <row r="7923" spans="1:1" x14ac:dyDescent="0.35">
      <c r="A7923"/>
    </row>
    <row r="7924" spans="1:1" x14ac:dyDescent="0.35">
      <c r="A7924"/>
    </row>
    <row r="7925" spans="1:1" x14ac:dyDescent="0.35">
      <c r="A7925"/>
    </row>
    <row r="7926" spans="1:1" x14ac:dyDescent="0.35">
      <c r="A7926"/>
    </row>
    <row r="7927" spans="1:1" x14ac:dyDescent="0.35">
      <c r="A7927"/>
    </row>
    <row r="7928" spans="1:1" x14ac:dyDescent="0.35">
      <c r="A7928"/>
    </row>
    <row r="7929" spans="1:1" x14ac:dyDescent="0.35">
      <c r="A7929"/>
    </row>
    <row r="7930" spans="1:1" x14ac:dyDescent="0.35">
      <c r="A7930"/>
    </row>
    <row r="7931" spans="1:1" x14ac:dyDescent="0.35">
      <c r="A7931"/>
    </row>
    <row r="7932" spans="1:1" x14ac:dyDescent="0.35">
      <c r="A7932"/>
    </row>
    <row r="7933" spans="1:1" x14ac:dyDescent="0.35">
      <c r="A7933"/>
    </row>
    <row r="7934" spans="1:1" x14ac:dyDescent="0.35">
      <c r="A7934"/>
    </row>
    <row r="7935" spans="1:1" x14ac:dyDescent="0.35">
      <c r="A7935"/>
    </row>
    <row r="7936" spans="1:1" x14ac:dyDescent="0.35">
      <c r="A7936"/>
    </row>
    <row r="7937" spans="1:1" x14ac:dyDescent="0.35">
      <c r="A7937"/>
    </row>
    <row r="7938" spans="1:1" x14ac:dyDescent="0.35">
      <c r="A7938"/>
    </row>
    <row r="7939" spans="1:1" x14ac:dyDescent="0.35">
      <c r="A7939"/>
    </row>
    <row r="7940" spans="1:1" x14ac:dyDescent="0.35">
      <c r="A7940"/>
    </row>
    <row r="7941" spans="1:1" x14ac:dyDescent="0.35">
      <c r="A7941"/>
    </row>
    <row r="7942" spans="1:1" x14ac:dyDescent="0.35">
      <c r="A7942"/>
    </row>
    <row r="7943" spans="1:1" x14ac:dyDescent="0.35">
      <c r="A7943"/>
    </row>
    <row r="7944" spans="1:1" x14ac:dyDescent="0.35">
      <c r="A7944"/>
    </row>
    <row r="7945" spans="1:1" x14ac:dyDescent="0.35">
      <c r="A7945"/>
    </row>
    <row r="7946" spans="1:1" x14ac:dyDescent="0.35">
      <c r="A7946"/>
    </row>
    <row r="7947" spans="1:1" x14ac:dyDescent="0.35">
      <c r="A7947"/>
    </row>
    <row r="7948" spans="1:1" x14ac:dyDescent="0.35">
      <c r="A7948"/>
    </row>
    <row r="7949" spans="1:1" x14ac:dyDescent="0.35">
      <c r="A7949"/>
    </row>
    <row r="7950" spans="1:1" x14ac:dyDescent="0.35">
      <c r="A7950"/>
    </row>
    <row r="7951" spans="1:1" x14ac:dyDescent="0.35">
      <c r="A7951"/>
    </row>
    <row r="7952" spans="1:1" x14ac:dyDescent="0.35">
      <c r="A7952"/>
    </row>
    <row r="7953" spans="1:1" x14ac:dyDescent="0.35">
      <c r="A7953"/>
    </row>
    <row r="7954" spans="1:1" x14ac:dyDescent="0.35">
      <c r="A7954"/>
    </row>
    <row r="7955" spans="1:1" x14ac:dyDescent="0.35">
      <c r="A7955"/>
    </row>
    <row r="7956" spans="1:1" x14ac:dyDescent="0.35">
      <c r="A7956"/>
    </row>
    <row r="7957" spans="1:1" x14ac:dyDescent="0.35">
      <c r="A7957"/>
    </row>
    <row r="7958" spans="1:1" x14ac:dyDescent="0.35">
      <c r="A7958"/>
    </row>
    <row r="7959" spans="1:1" x14ac:dyDescent="0.35">
      <c r="A7959"/>
    </row>
    <row r="7960" spans="1:1" x14ac:dyDescent="0.35">
      <c r="A7960"/>
    </row>
    <row r="7961" spans="1:1" x14ac:dyDescent="0.35">
      <c r="A7961"/>
    </row>
    <row r="7962" spans="1:1" x14ac:dyDescent="0.35">
      <c r="A7962"/>
    </row>
    <row r="7963" spans="1:1" x14ac:dyDescent="0.35">
      <c r="A7963"/>
    </row>
    <row r="7964" spans="1:1" x14ac:dyDescent="0.35">
      <c r="A7964"/>
    </row>
    <row r="7965" spans="1:1" x14ac:dyDescent="0.35">
      <c r="A7965"/>
    </row>
    <row r="7966" spans="1:1" x14ac:dyDescent="0.35">
      <c r="A7966"/>
    </row>
    <row r="7967" spans="1:1" x14ac:dyDescent="0.35">
      <c r="A7967"/>
    </row>
    <row r="7968" spans="1:1" x14ac:dyDescent="0.35">
      <c r="A7968"/>
    </row>
    <row r="7969" spans="1:1" x14ac:dyDescent="0.35">
      <c r="A7969"/>
    </row>
    <row r="7970" spans="1:1" x14ac:dyDescent="0.35">
      <c r="A7970"/>
    </row>
    <row r="7971" spans="1:1" x14ac:dyDescent="0.35">
      <c r="A7971"/>
    </row>
    <row r="7972" spans="1:1" x14ac:dyDescent="0.35">
      <c r="A7972"/>
    </row>
    <row r="7973" spans="1:1" x14ac:dyDescent="0.35">
      <c r="A7973"/>
    </row>
    <row r="7974" spans="1:1" x14ac:dyDescent="0.35">
      <c r="A7974"/>
    </row>
    <row r="7975" spans="1:1" x14ac:dyDescent="0.35">
      <c r="A7975"/>
    </row>
    <row r="7976" spans="1:1" x14ac:dyDescent="0.35">
      <c r="A7976"/>
    </row>
    <row r="7977" spans="1:1" x14ac:dyDescent="0.35">
      <c r="A7977"/>
    </row>
    <row r="7978" spans="1:1" x14ac:dyDescent="0.35">
      <c r="A7978"/>
    </row>
    <row r="7979" spans="1:1" x14ac:dyDescent="0.35">
      <c r="A7979"/>
    </row>
    <row r="7980" spans="1:1" x14ac:dyDescent="0.35">
      <c r="A7980"/>
    </row>
    <row r="7981" spans="1:1" x14ac:dyDescent="0.35">
      <c r="A7981"/>
    </row>
    <row r="7982" spans="1:1" x14ac:dyDescent="0.35">
      <c r="A7982"/>
    </row>
    <row r="7983" spans="1:1" x14ac:dyDescent="0.35">
      <c r="A7983"/>
    </row>
    <row r="7984" spans="1:1" x14ac:dyDescent="0.35">
      <c r="A7984"/>
    </row>
    <row r="7985" spans="1:1" x14ac:dyDescent="0.35">
      <c r="A7985"/>
    </row>
    <row r="7986" spans="1:1" x14ac:dyDescent="0.35">
      <c r="A7986"/>
    </row>
    <row r="7987" spans="1:1" x14ac:dyDescent="0.35">
      <c r="A7987"/>
    </row>
    <row r="7988" spans="1:1" x14ac:dyDescent="0.35">
      <c r="A7988"/>
    </row>
    <row r="7989" spans="1:1" x14ac:dyDescent="0.35">
      <c r="A7989"/>
    </row>
    <row r="7990" spans="1:1" x14ac:dyDescent="0.35">
      <c r="A7990"/>
    </row>
    <row r="7991" spans="1:1" x14ac:dyDescent="0.35">
      <c r="A7991"/>
    </row>
    <row r="7992" spans="1:1" x14ac:dyDescent="0.35">
      <c r="A7992"/>
    </row>
    <row r="7993" spans="1:1" x14ac:dyDescent="0.35">
      <c r="A7993"/>
    </row>
    <row r="7994" spans="1:1" x14ac:dyDescent="0.35">
      <c r="A7994"/>
    </row>
    <row r="7995" spans="1:1" x14ac:dyDescent="0.35">
      <c r="A7995"/>
    </row>
    <row r="7996" spans="1:1" x14ac:dyDescent="0.35">
      <c r="A7996"/>
    </row>
    <row r="7997" spans="1:1" x14ac:dyDescent="0.35">
      <c r="A7997"/>
    </row>
    <row r="7998" spans="1:1" x14ac:dyDescent="0.35">
      <c r="A7998"/>
    </row>
    <row r="7999" spans="1:1" x14ac:dyDescent="0.35">
      <c r="A7999"/>
    </row>
    <row r="8000" spans="1:1" x14ac:dyDescent="0.35">
      <c r="A8000"/>
    </row>
    <row r="8001" spans="1:1" x14ac:dyDescent="0.35">
      <c r="A8001"/>
    </row>
    <row r="8002" spans="1:1" x14ac:dyDescent="0.35">
      <c r="A8002"/>
    </row>
    <row r="8003" spans="1:1" x14ac:dyDescent="0.35">
      <c r="A8003"/>
    </row>
    <row r="8004" spans="1:1" x14ac:dyDescent="0.35">
      <c r="A8004"/>
    </row>
    <row r="8005" spans="1:1" x14ac:dyDescent="0.35">
      <c r="A8005"/>
    </row>
    <row r="8006" spans="1:1" x14ac:dyDescent="0.35">
      <c r="A8006"/>
    </row>
    <row r="8007" spans="1:1" x14ac:dyDescent="0.35">
      <c r="A8007"/>
    </row>
    <row r="8008" spans="1:1" x14ac:dyDescent="0.35">
      <c r="A8008"/>
    </row>
    <row r="8009" spans="1:1" x14ac:dyDescent="0.35">
      <c r="A8009"/>
    </row>
    <row r="8010" spans="1:1" x14ac:dyDescent="0.35">
      <c r="A8010"/>
    </row>
    <row r="8011" spans="1:1" x14ac:dyDescent="0.35">
      <c r="A8011"/>
    </row>
    <row r="8012" spans="1:1" x14ac:dyDescent="0.35">
      <c r="A8012"/>
    </row>
    <row r="8013" spans="1:1" x14ac:dyDescent="0.35">
      <c r="A8013"/>
    </row>
    <row r="8014" spans="1:1" x14ac:dyDescent="0.35">
      <c r="A8014"/>
    </row>
    <row r="8015" spans="1:1" x14ac:dyDescent="0.35">
      <c r="A8015"/>
    </row>
    <row r="8016" spans="1:1" x14ac:dyDescent="0.35">
      <c r="A8016"/>
    </row>
    <row r="8017" spans="1:1" x14ac:dyDescent="0.35">
      <c r="A8017"/>
    </row>
    <row r="8018" spans="1:1" x14ac:dyDescent="0.35">
      <c r="A8018"/>
    </row>
    <row r="8019" spans="1:1" x14ac:dyDescent="0.35">
      <c r="A8019"/>
    </row>
    <row r="8020" spans="1:1" x14ac:dyDescent="0.35">
      <c r="A8020"/>
    </row>
    <row r="8021" spans="1:1" x14ac:dyDescent="0.35">
      <c r="A8021"/>
    </row>
    <row r="8022" spans="1:1" x14ac:dyDescent="0.35">
      <c r="A8022"/>
    </row>
    <row r="8023" spans="1:1" x14ac:dyDescent="0.35">
      <c r="A8023"/>
    </row>
    <row r="8024" spans="1:1" x14ac:dyDescent="0.35">
      <c r="A8024"/>
    </row>
    <row r="8025" spans="1:1" x14ac:dyDescent="0.35">
      <c r="A8025"/>
    </row>
    <row r="8026" spans="1:1" x14ac:dyDescent="0.35">
      <c r="A8026"/>
    </row>
    <row r="8027" spans="1:1" x14ac:dyDescent="0.35">
      <c r="A8027"/>
    </row>
    <row r="8028" spans="1:1" x14ac:dyDescent="0.35">
      <c r="A8028"/>
    </row>
    <row r="8029" spans="1:1" x14ac:dyDescent="0.35">
      <c r="A8029"/>
    </row>
    <row r="8030" spans="1:1" x14ac:dyDescent="0.35">
      <c r="A8030"/>
    </row>
    <row r="8031" spans="1:1" x14ac:dyDescent="0.35">
      <c r="A8031"/>
    </row>
    <row r="8032" spans="1:1" x14ac:dyDescent="0.35">
      <c r="A8032"/>
    </row>
    <row r="8033" spans="1:1" x14ac:dyDescent="0.35">
      <c r="A8033"/>
    </row>
    <row r="8034" spans="1:1" x14ac:dyDescent="0.35">
      <c r="A8034"/>
    </row>
    <row r="8035" spans="1:1" x14ac:dyDescent="0.35">
      <c r="A8035"/>
    </row>
    <row r="8036" spans="1:1" x14ac:dyDescent="0.35">
      <c r="A8036"/>
    </row>
    <row r="8037" spans="1:1" x14ac:dyDescent="0.35">
      <c r="A8037"/>
    </row>
    <row r="8038" spans="1:1" x14ac:dyDescent="0.35">
      <c r="A8038"/>
    </row>
    <row r="8039" spans="1:1" x14ac:dyDescent="0.35">
      <c r="A8039"/>
    </row>
    <row r="8040" spans="1:1" x14ac:dyDescent="0.35">
      <c r="A8040"/>
    </row>
    <row r="8041" spans="1:1" x14ac:dyDescent="0.35">
      <c r="A8041"/>
    </row>
    <row r="8042" spans="1:1" x14ac:dyDescent="0.35">
      <c r="A8042"/>
    </row>
    <row r="8043" spans="1:1" x14ac:dyDescent="0.35">
      <c r="A8043"/>
    </row>
    <row r="8044" spans="1:1" x14ac:dyDescent="0.35">
      <c r="A8044"/>
    </row>
    <row r="8045" spans="1:1" x14ac:dyDescent="0.35">
      <c r="A8045"/>
    </row>
    <row r="8046" spans="1:1" x14ac:dyDescent="0.35">
      <c r="A8046"/>
    </row>
    <row r="8047" spans="1:1" x14ac:dyDescent="0.35">
      <c r="A8047"/>
    </row>
    <row r="8048" spans="1:1" x14ac:dyDescent="0.35">
      <c r="A8048"/>
    </row>
    <row r="8049" spans="1:1" x14ac:dyDescent="0.35">
      <c r="A8049"/>
    </row>
    <row r="8050" spans="1:1" x14ac:dyDescent="0.35">
      <c r="A8050"/>
    </row>
    <row r="8051" spans="1:1" x14ac:dyDescent="0.35">
      <c r="A8051"/>
    </row>
    <row r="8052" spans="1:1" x14ac:dyDescent="0.35">
      <c r="A8052"/>
    </row>
    <row r="8053" spans="1:1" x14ac:dyDescent="0.35">
      <c r="A8053"/>
    </row>
    <row r="8054" spans="1:1" x14ac:dyDescent="0.35">
      <c r="A8054"/>
    </row>
    <row r="8055" spans="1:1" x14ac:dyDescent="0.35">
      <c r="A8055"/>
    </row>
    <row r="8056" spans="1:1" x14ac:dyDescent="0.35">
      <c r="A8056"/>
    </row>
    <row r="8057" spans="1:1" x14ac:dyDescent="0.35">
      <c r="A8057"/>
    </row>
    <row r="8058" spans="1:1" x14ac:dyDescent="0.35">
      <c r="A8058"/>
    </row>
    <row r="8059" spans="1:1" x14ac:dyDescent="0.35">
      <c r="A8059"/>
    </row>
    <row r="8060" spans="1:1" x14ac:dyDescent="0.35">
      <c r="A8060"/>
    </row>
    <row r="8061" spans="1:1" x14ac:dyDescent="0.35">
      <c r="A8061"/>
    </row>
    <row r="8062" spans="1:1" x14ac:dyDescent="0.35">
      <c r="A8062"/>
    </row>
    <row r="8063" spans="1:1" x14ac:dyDescent="0.35">
      <c r="A8063"/>
    </row>
    <row r="8064" spans="1:1" x14ac:dyDescent="0.35">
      <c r="A8064"/>
    </row>
    <row r="8065" spans="1:1" x14ac:dyDescent="0.35">
      <c r="A8065"/>
    </row>
    <row r="8066" spans="1:1" x14ac:dyDescent="0.35">
      <c r="A8066"/>
    </row>
    <row r="8067" spans="1:1" x14ac:dyDescent="0.35">
      <c r="A8067"/>
    </row>
    <row r="8068" spans="1:1" x14ac:dyDescent="0.35">
      <c r="A8068"/>
    </row>
    <row r="8069" spans="1:1" x14ac:dyDescent="0.35">
      <c r="A8069"/>
    </row>
    <row r="8070" spans="1:1" x14ac:dyDescent="0.35">
      <c r="A8070"/>
    </row>
    <row r="8071" spans="1:1" x14ac:dyDescent="0.35">
      <c r="A8071"/>
    </row>
    <row r="8072" spans="1:1" x14ac:dyDescent="0.35">
      <c r="A8072"/>
    </row>
    <row r="8073" spans="1:1" x14ac:dyDescent="0.35">
      <c r="A8073"/>
    </row>
    <row r="8074" spans="1:1" x14ac:dyDescent="0.35">
      <c r="A8074"/>
    </row>
    <row r="8075" spans="1:1" x14ac:dyDescent="0.35">
      <c r="A8075"/>
    </row>
    <row r="8076" spans="1:1" x14ac:dyDescent="0.35">
      <c r="A8076"/>
    </row>
    <row r="8077" spans="1:1" x14ac:dyDescent="0.35">
      <c r="A8077"/>
    </row>
    <row r="8078" spans="1:1" x14ac:dyDescent="0.35">
      <c r="A8078"/>
    </row>
    <row r="8079" spans="1:1" x14ac:dyDescent="0.35">
      <c r="A8079"/>
    </row>
    <row r="8080" spans="1:1" x14ac:dyDescent="0.35">
      <c r="A8080"/>
    </row>
    <row r="8081" spans="1:1" x14ac:dyDescent="0.35">
      <c r="A8081"/>
    </row>
    <row r="8082" spans="1:1" x14ac:dyDescent="0.35">
      <c r="A8082"/>
    </row>
    <row r="8083" spans="1:1" x14ac:dyDescent="0.35">
      <c r="A8083"/>
    </row>
    <row r="8084" spans="1:1" x14ac:dyDescent="0.35">
      <c r="A8084"/>
    </row>
    <row r="8085" spans="1:1" x14ac:dyDescent="0.35">
      <c r="A8085"/>
    </row>
    <row r="8086" spans="1:1" x14ac:dyDescent="0.35">
      <c r="A8086"/>
    </row>
    <row r="8087" spans="1:1" x14ac:dyDescent="0.35">
      <c r="A8087"/>
    </row>
    <row r="8088" spans="1:1" x14ac:dyDescent="0.35">
      <c r="A8088"/>
    </row>
    <row r="8089" spans="1:1" x14ac:dyDescent="0.35">
      <c r="A8089"/>
    </row>
    <row r="8090" spans="1:1" x14ac:dyDescent="0.35">
      <c r="A8090"/>
    </row>
    <row r="8091" spans="1:1" x14ac:dyDescent="0.35">
      <c r="A8091"/>
    </row>
    <row r="8092" spans="1:1" x14ac:dyDescent="0.35">
      <c r="A8092"/>
    </row>
    <row r="8093" spans="1:1" x14ac:dyDescent="0.35">
      <c r="A8093"/>
    </row>
    <row r="8094" spans="1:1" x14ac:dyDescent="0.35">
      <c r="A8094"/>
    </row>
    <row r="8095" spans="1:1" x14ac:dyDescent="0.35">
      <c r="A8095"/>
    </row>
    <row r="8096" spans="1:1" x14ac:dyDescent="0.35">
      <c r="A8096"/>
    </row>
    <row r="8097" spans="1:1" x14ac:dyDescent="0.35">
      <c r="A8097"/>
    </row>
    <row r="8098" spans="1:1" x14ac:dyDescent="0.35">
      <c r="A8098"/>
    </row>
    <row r="8099" spans="1:1" x14ac:dyDescent="0.35">
      <c r="A8099"/>
    </row>
    <row r="8100" spans="1:1" x14ac:dyDescent="0.35">
      <c r="A8100"/>
    </row>
    <row r="8101" spans="1:1" x14ac:dyDescent="0.35">
      <c r="A8101"/>
    </row>
    <row r="8102" spans="1:1" x14ac:dyDescent="0.35">
      <c r="A8102"/>
    </row>
    <row r="8103" spans="1:1" x14ac:dyDescent="0.35">
      <c r="A8103"/>
    </row>
    <row r="8104" spans="1:1" x14ac:dyDescent="0.35">
      <c r="A8104"/>
    </row>
    <row r="8105" spans="1:1" x14ac:dyDescent="0.35">
      <c r="A8105"/>
    </row>
    <row r="8106" spans="1:1" x14ac:dyDescent="0.35">
      <c r="A8106"/>
    </row>
    <row r="8107" spans="1:1" x14ac:dyDescent="0.35">
      <c r="A8107"/>
    </row>
    <row r="8108" spans="1:1" x14ac:dyDescent="0.35">
      <c r="A8108"/>
    </row>
    <row r="8109" spans="1:1" x14ac:dyDescent="0.35">
      <c r="A8109"/>
    </row>
    <row r="8110" spans="1:1" x14ac:dyDescent="0.35">
      <c r="A8110"/>
    </row>
    <row r="8111" spans="1:1" x14ac:dyDescent="0.35">
      <c r="A8111"/>
    </row>
    <row r="8112" spans="1:1" x14ac:dyDescent="0.35">
      <c r="A8112"/>
    </row>
    <row r="8113" spans="1:1" x14ac:dyDescent="0.35">
      <c r="A8113"/>
    </row>
    <row r="8114" spans="1:1" x14ac:dyDescent="0.35">
      <c r="A8114"/>
    </row>
    <row r="8115" spans="1:1" x14ac:dyDescent="0.35">
      <c r="A8115"/>
    </row>
    <row r="8116" spans="1:1" x14ac:dyDescent="0.35">
      <c r="A8116"/>
    </row>
    <row r="8117" spans="1:1" x14ac:dyDescent="0.35">
      <c r="A8117"/>
    </row>
    <row r="8118" spans="1:1" x14ac:dyDescent="0.35">
      <c r="A8118"/>
    </row>
    <row r="8119" spans="1:1" x14ac:dyDescent="0.35">
      <c r="A8119"/>
    </row>
    <row r="8120" spans="1:1" x14ac:dyDescent="0.35">
      <c r="A8120"/>
    </row>
    <row r="8121" spans="1:1" x14ac:dyDescent="0.35">
      <c r="A8121"/>
    </row>
    <row r="8122" spans="1:1" x14ac:dyDescent="0.35">
      <c r="A8122"/>
    </row>
    <row r="8123" spans="1:1" x14ac:dyDescent="0.35">
      <c r="A8123"/>
    </row>
    <row r="8124" spans="1:1" x14ac:dyDescent="0.35">
      <c r="A8124"/>
    </row>
    <row r="8125" spans="1:1" x14ac:dyDescent="0.35">
      <c r="A8125"/>
    </row>
    <row r="8126" spans="1:1" x14ac:dyDescent="0.35">
      <c r="A8126"/>
    </row>
    <row r="8127" spans="1:1" x14ac:dyDescent="0.35">
      <c r="A8127"/>
    </row>
    <row r="8128" spans="1:1" x14ac:dyDescent="0.35">
      <c r="A8128"/>
    </row>
    <row r="8129" spans="1:1" x14ac:dyDescent="0.35">
      <c r="A8129"/>
    </row>
    <row r="8130" spans="1:1" x14ac:dyDescent="0.35">
      <c r="A8130"/>
    </row>
    <row r="8131" spans="1:1" x14ac:dyDescent="0.35">
      <c r="A8131"/>
    </row>
    <row r="8132" spans="1:1" x14ac:dyDescent="0.35">
      <c r="A8132"/>
    </row>
    <row r="8133" spans="1:1" x14ac:dyDescent="0.35">
      <c r="A8133"/>
    </row>
    <row r="8134" spans="1:1" x14ac:dyDescent="0.35">
      <c r="A8134"/>
    </row>
    <row r="8135" spans="1:1" x14ac:dyDescent="0.35">
      <c r="A8135"/>
    </row>
    <row r="8136" spans="1:1" x14ac:dyDescent="0.35">
      <c r="A8136"/>
    </row>
    <row r="8137" spans="1:1" x14ac:dyDescent="0.35">
      <c r="A8137"/>
    </row>
    <row r="8138" spans="1:1" x14ac:dyDescent="0.35">
      <c r="A8138"/>
    </row>
    <row r="8139" spans="1:1" x14ac:dyDescent="0.35">
      <c r="A8139"/>
    </row>
    <row r="8140" spans="1:1" x14ac:dyDescent="0.35">
      <c r="A8140"/>
    </row>
    <row r="8141" spans="1:1" x14ac:dyDescent="0.35">
      <c r="A8141"/>
    </row>
    <row r="8142" spans="1:1" x14ac:dyDescent="0.35">
      <c r="A8142"/>
    </row>
    <row r="8143" spans="1:1" x14ac:dyDescent="0.35">
      <c r="A8143"/>
    </row>
    <row r="8144" spans="1:1" x14ac:dyDescent="0.35">
      <c r="A8144"/>
    </row>
    <row r="8145" spans="1:1" x14ac:dyDescent="0.35">
      <c r="A8145"/>
    </row>
    <row r="8146" spans="1:1" x14ac:dyDescent="0.35">
      <c r="A8146"/>
    </row>
    <row r="8147" spans="1:1" x14ac:dyDescent="0.35">
      <c r="A8147"/>
    </row>
    <row r="8148" spans="1:1" x14ac:dyDescent="0.35">
      <c r="A8148"/>
    </row>
    <row r="8149" spans="1:1" x14ac:dyDescent="0.35">
      <c r="A8149"/>
    </row>
    <row r="8150" spans="1:1" x14ac:dyDescent="0.35">
      <c r="A8150"/>
    </row>
    <row r="8151" spans="1:1" x14ac:dyDescent="0.35">
      <c r="A8151"/>
    </row>
    <row r="8152" spans="1:1" x14ac:dyDescent="0.35">
      <c r="A8152"/>
    </row>
    <row r="8153" spans="1:1" x14ac:dyDescent="0.35">
      <c r="A8153"/>
    </row>
    <row r="8154" spans="1:1" x14ac:dyDescent="0.35">
      <c r="A8154"/>
    </row>
    <row r="8155" spans="1:1" x14ac:dyDescent="0.35">
      <c r="A8155"/>
    </row>
    <row r="8156" spans="1:1" x14ac:dyDescent="0.35">
      <c r="A8156"/>
    </row>
    <row r="8157" spans="1:1" x14ac:dyDescent="0.35">
      <c r="A8157"/>
    </row>
    <row r="8158" spans="1:1" x14ac:dyDescent="0.35">
      <c r="A8158"/>
    </row>
    <row r="8159" spans="1:1" x14ac:dyDescent="0.35">
      <c r="A8159"/>
    </row>
    <row r="8160" spans="1:1" x14ac:dyDescent="0.35">
      <c r="A8160"/>
    </row>
    <row r="8161" spans="1:1" x14ac:dyDescent="0.35">
      <c r="A8161"/>
    </row>
    <row r="8162" spans="1:1" x14ac:dyDescent="0.35">
      <c r="A8162"/>
    </row>
    <row r="8163" spans="1:1" x14ac:dyDescent="0.35">
      <c r="A8163"/>
    </row>
    <row r="8164" spans="1:1" x14ac:dyDescent="0.35">
      <c r="A8164"/>
    </row>
    <row r="8165" spans="1:1" x14ac:dyDescent="0.35">
      <c r="A8165"/>
    </row>
    <row r="8166" spans="1:1" x14ac:dyDescent="0.35">
      <c r="A8166"/>
    </row>
    <row r="8167" spans="1:1" x14ac:dyDescent="0.35">
      <c r="A8167"/>
    </row>
    <row r="8168" spans="1:1" x14ac:dyDescent="0.35">
      <c r="A8168"/>
    </row>
    <row r="8169" spans="1:1" x14ac:dyDescent="0.35">
      <c r="A8169"/>
    </row>
    <row r="8170" spans="1:1" x14ac:dyDescent="0.35">
      <c r="A8170"/>
    </row>
    <row r="8171" spans="1:1" x14ac:dyDescent="0.35">
      <c r="A8171"/>
    </row>
    <row r="8172" spans="1:1" x14ac:dyDescent="0.35">
      <c r="A8172"/>
    </row>
    <row r="8173" spans="1:1" x14ac:dyDescent="0.35">
      <c r="A8173"/>
    </row>
    <row r="8174" spans="1:1" x14ac:dyDescent="0.35">
      <c r="A8174"/>
    </row>
    <row r="8175" spans="1:1" x14ac:dyDescent="0.35">
      <c r="A8175"/>
    </row>
    <row r="8176" spans="1:1" x14ac:dyDescent="0.35">
      <c r="A8176"/>
    </row>
    <row r="8177" spans="1:1" x14ac:dyDescent="0.35">
      <c r="A8177"/>
    </row>
    <row r="8178" spans="1:1" x14ac:dyDescent="0.35">
      <c r="A8178"/>
    </row>
    <row r="8179" spans="1:1" x14ac:dyDescent="0.35">
      <c r="A8179"/>
    </row>
    <row r="8180" spans="1:1" x14ac:dyDescent="0.35">
      <c r="A8180"/>
    </row>
    <row r="8181" spans="1:1" x14ac:dyDescent="0.35">
      <c r="A8181"/>
    </row>
    <row r="8182" spans="1:1" x14ac:dyDescent="0.35">
      <c r="A8182"/>
    </row>
    <row r="8183" spans="1:1" x14ac:dyDescent="0.35">
      <c r="A8183"/>
    </row>
    <row r="8184" spans="1:1" x14ac:dyDescent="0.35">
      <c r="A8184"/>
    </row>
    <row r="8185" spans="1:1" x14ac:dyDescent="0.35">
      <c r="A8185"/>
    </row>
    <row r="8186" spans="1:1" x14ac:dyDescent="0.35">
      <c r="A8186"/>
    </row>
    <row r="8187" spans="1:1" x14ac:dyDescent="0.35">
      <c r="A8187"/>
    </row>
    <row r="8188" spans="1:1" x14ac:dyDescent="0.35">
      <c r="A8188"/>
    </row>
    <row r="8189" spans="1:1" x14ac:dyDescent="0.35">
      <c r="A8189"/>
    </row>
    <row r="8190" spans="1:1" x14ac:dyDescent="0.35">
      <c r="A8190"/>
    </row>
    <row r="8191" spans="1:1" x14ac:dyDescent="0.35">
      <c r="A8191"/>
    </row>
    <row r="8192" spans="1:1" x14ac:dyDescent="0.35">
      <c r="A8192"/>
    </row>
    <row r="8193" spans="1:1" x14ac:dyDescent="0.35">
      <c r="A8193"/>
    </row>
    <row r="8194" spans="1:1" x14ac:dyDescent="0.35">
      <c r="A8194"/>
    </row>
    <row r="8195" spans="1:1" x14ac:dyDescent="0.35">
      <c r="A8195"/>
    </row>
    <row r="8196" spans="1:1" x14ac:dyDescent="0.35">
      <c r="A8196"/>
    </row>
    <row r="8197" spans="1:1" x14ac:dyDescent="0.35">
      <c r="A8197"/>
    </row>
    <row r="8198" spans="1:1" x14ac:dyDescent="0.35">
      <c r="A8198"/>
    </row>
    <row r="8199" spans="1:1" x14ac:dyDescent="0.35">
      <c r="A8199"/>
    </row>
    <row r="8200" spans="1:1" x14ac:dyDescent="0.35">
      <c r="A8200"/>
    </row>
    <row r="8201" spans="1:1" x14ac:dyDescent="0.35">
      <c r="A8201"/>
    </row>
    <row r="8202" spans="1:1" x14ac:dyDescent="0.35">
      <c r="A8202"/>
    </row>
    <row r="8203" spans="1:1" x14ac:dyDescent="0.35">
      <c r="A8203"/>
    </row>
    <row r="8204" spans="1:1" x14ac:dyDescent="0.35">
      <c r="A8204"/>
    </row>
    <row r="8205" spans="1:1" x14ac:dyDescent="0.35">
      <c r="A8205"/>
    </row>
    <row r="8206" spans="1:1" x14ac:dyDescent="0.35">
      <c r="A8206"/>
    </row>
    <row r="8207" spans="1:1" x14ac:dyDescent="0.35">
      <c r="A8207"/>
    </row>
    <row r="8208" spans="1:1" x14ac:dyDescent="0.35">
      <c r="A8208"/>
    </row>
    <row r="8209" spans="1:1" x14ac:dyDescent="0.35">
      <c r="A8209"/>
    </row>
    <row r="8210" spans="1:1" x14ac:dyDescent="0.35">
      <c r="A8210"/>
    </row>
    <row r="8211" spans="1:1" x14ac:dyDescent="0.35">
      <c r="A8211"/>
    </row>
    <row r="8212" spans="1:1" x14ac:dyDescent="0.35">
      <c r="A8212"/>
    </row>
    <row r="8213" spans="1:1" x14ac:dyDescent="0.35">
      <c r="A8213"/>
    </row>
    <row r="8214" spans="1:1" x14ac:dyDescent="0.35">
      <c r="A8214"/>
    </row>
    <row r="8215" spans="1:1" x14ac:dyDescent="0.35">
      <c r="A8215"/>
    </row>
    <row r="8216" spans="1:1" x14ac:dyDescent="0.35">
      <c r="A8216"/>
    </row>
    <row r="8217" spans="1:1" x14ac:dyDescent="0.35">
      <c r="A8217"/>
    </row>
    <row r="8218" spans="1:1" x14ac:dyDescent="0.35">
      <c r="A8218"/>
    </row>
    <row r="8219" spans="1:1" x14ac:dyDescent="0.35">
      <c r="A8219"/>
    </row>
    <row r="8220" spans="1:1" x14ac:dyDescent="0.35">
      <c r="A8220"/>
    </row>
    <row r="8221" spans="1:1" x14ac:dyDescent="0.35">
      <c r="A8221"/>
    </row>
    <row r="8222" spans="1:1" x14ac:dyDescent="0.35">
      <c r="A8222"/>
    </row>
    <row r="8223" spans="1:1" x14ac:dyDescent="0.35">
      <c r="A8223"/>
    </row>
    <row r="8224" spans="1:1" x14ac:dyDescent="0.35">
      <c r="A8224"/>
    </row>
    <row r="8225" spans="1:1" x14ac:dyDescent="0.35">
      <c r="A8225"/>
    </row>
    <row r="8226" spans="1:1" x14ac:dyDescent="0.35">
      <c r="A8226"/>
    </row>
    <row r="8227" spans="1:1" x14ac:dyDescent="0.35">
      <c r="A8227"/>
    </row>
    <row r="8228" spans="1:1" x14ac:dyDescent="0.35">
      <c r="A8228"/>
    </row>
    <row r="8229" spans="1:1" x14ac:dyDescent="0.35">
      <c r="A8229"/>
    </row>
    <row r="8230" spans="1:1" x14ac:dyDescent="0.35">
      <c r="A8230"/>
    </row>
    <row r="8231" spans="1:1" x14ac:dyDescent="0.35">
      <c r="A8231"/>
    </row>
    <row r="8232" spans="1:1" x14ac:dyDescent="0.35">
      <c r="A8232"/>
    </row>
    <row r="8233" spans="1:1" x14ac:dyDescent="0.35">
      <c r="A8233"/>
    </row>
    <row r="8234" spans="1:1" x14ac:dyDescent="0.35">
      <c r="A8234"/>
    </row>
    <row r="8235" spans="1:1" x14ac:dyDescent="0.35">
      <c r="A8235"/>
    </row>
    <row r="8236" spans="1:1" x14ac:dyDescent="0.35">
      <c r="A8236"/>
    </row>
    <row r="8237" spans="1:1" x14ac:dyDescent="0.35">
      <c r="A8237"/>
    </row>
    <row r="8238" spans="1:1" x14ac:dyDescent="0.35">
      <c r="A8238"/>
    </row>
    <row r="8239" spans="1:1" x14ac:dyDescent="0.35">
      <c r="A8239"/>
    </row>
    <row r="8240" spans="1:1" x14ac:dyDescent="0.35">
      <c r="A8240"/>
    </row>
    <row r="8241" spans="1:1" x14ac:dyDescent="0.35">
      <c r="A8241"/>
    </row>
    <row r="8242" spans="1:1" x14ac:dyDescent="0.35">
      <c r="A8242"/>
    </row>
    <row r="8243" spans="1:1" x14ac:dyDescent="0.35">
      <c r="A8243"/>
    </row>
    <row r="8244" spans="1:1" x14ac:dyDescent="0.35">
      <c r="A8244"/>
    </row>
    <row r="8245" spans="1:1" x14ac:dyDescent="0.35">
      <c r="A8245"/>
    </row>
    <row r="8246" spans="1:1" x14ac:dyDescent="0.35">
      <c r="A8246"/>
    </row>
    <row r="8247" spans="1:1" x14ac:dyDescent="0.35">
      <c r="A8247"/>
    </row>
    <row r="8248" spans="1:1" x14ac:dyDescent="0.35">
      <c r="A8248"/>
    </row>
    <row r="8249" spans="1:1" x14ac:dyDescent="0.35">
      <c r="A8249"/>
    </row>
    <row r="8250" spans="1:1" x14ac:dyDescent="0.35">
      <c r="A8250"/>
    </row>
    <row r="8251" spans="1:1" x14ac:dyDescent="0.35">
      <c r="A8251"/>
    </row>
    <row r="8252" spans="1:1" x14ac:dyDescent="0.35">
      <c r="A8252"/>
    </row>
    <row r="8253" spans="1:1" x14ac:dyDescent="0.35">
      <c r="A8253"/>
    </row>
    <row r="8254" spans="1:1" x14ac:dyDescent="0.35">
      <c r="A8254"/>
    </row>
    <row r="8255" spans="1:1" x14ac:dyDescent="0.35">
      <c r="A8255"/>
    </row>
    <row r="8256" spans="1:1" x14ac:dyDescent="0.35">
      <c r="A8256"/>
    </row>
    <row r="8257" spans="1:1" x14ac:dyDescent="0.35">
      <c r="A8257"/>
    </row>
    <row r="8258" spans="1:1" x14ac:dyDescent="0.35">
      <c r="A8258"/>
    </row>
    <row r="8259" spans="1:1" x14ac:dyDescent="0.35">
      <c r="A8259"/>
    </row>
    <row r="8260" spans="1:1" x14ac:dyDescent="0.35">
      <c r="A8260"/>
    </row>
    <row r="8261" spans="1:1" x14ac:dyDescent="0.35">
      <c r="A8261"/>
    </row>
    <row r="8262" spans="1:1" x14ac:dyDescent="0.35">
      <c r="A8262"/>
    </row>
    <row r="8263" spans="1:1" x14ac:dyDescent="0.35">
      <c r="A8263"/>
    </row>
    <row r="8264" spans="1:1" x14ac:dyDescent="0.35">
      <c r="A8264"/>
    </row>
    <row r="8265" spans="1:1" x14ac:dyDescent="0.35">
      <c r="A8265"/>
    </row>
    <row r="8266" spans="1:1" x14ac:dyDescent="0.35">
      <c r="A8266"/>
    </row>
    <row r="8267" spans="1:1" x14ac:dyDescent="0.35">
      <c r="A8267"/>
    </row>
    <row r="8268" spans="1:1" x14ac:dyDescent="0.35">
      <c r="A8268"/>
    </row>
    <row r="8269" spans="1:1" x14ac:dyDescent="0.35">
      <c r="A8269"/>
    </row>
    <row r="8270" spans="1:1" x14ac:dyDescent="0.35">
      <c r="A8270"/>
    </row>
    <row r="8271" spans="1:1" x14ac:dyDescent="0.35">
      <c r="A8271"/>
    </row>
    <row r="8272" spans="1:1" x14ac:dyDescent="0.35">
      <c r="A8272"/>
    </row>
    <row r="8273" spans="1:1" x14ac:dyDescent="0.35">
      <c r="A8273"/>
    </row>
    <row r="8274" spans="1:1" x14ac:dyDescent="0.35">
      <c r="A8274"/>
    </row>
    <row r="8275" spans="1:1" x14ac:dyDescent="0.35">
      <c r="A8275"/>
    </row>
    <row r="8276" spans="1:1" x14ac:dyDescent="0.35">
      <c r="A8276"/>
    </row>
    <row r="8277" spans="1:1" x14ac:dyDescent="0.35">
      <c r="A8277"/>
    </row>
    <row r="8278" spans="1:1" x14ac:dyDescent="0.35">
      <c r="A8278"/>
    </row>
    <row r="8279" spans="1:1" x14ac:dyDescent="0.35">
      <c r="A8279"/>
    </row>
    <row r="8280" spans="1:1" x14ac:dyDescent="0.35">
      <c r="A8280"/>
    </row>
    <row r="8281" spans="1:1" x14ac:dyDescent="0.35">
      <c r="A8281"/>
    </row>
    <row r="8282" spans="1:1" x14ac:dyDescent="0.35">
      <c r="A8282"/>
    </row>
    <row r="8283" spans="1:1" x14ac:dyDescent="0.35">
      <c r="A8283"/>
    </row>
    <row r="8284" spans="1:1" x14ac:dyDescent="0.35">
      <c r="A8284"/>
    </row>
    <row r="8285" spans="1:1" x14ac:dyDescent="0.35">
      <c r="A8285"/>
    </row>
    <row r="8286" spans="1:1" x14ac:dyDescent="0.35">
      <c r="A8286"/>
    </row>
    <row r="8287" spans="1:1" x14ac:dyDescent="0.35">
      <c r="A8287"/>
    </row>
    <row r="8288" spans="1:1" x14ac:dyDescent="0.35">
      <c r="A8288"/>
    </row>
    <row r="8289" spans="1:1" x14ac:dyDescent="0.35">
      <c r="A8289"/>
    </row>
    <row r="8290" spans="1:1" x14ac:dyDescent="0.35">
      <c r="A8290"/>
    </row>
    <row r="8291" spans="1:1" x14ac:dyDescent="0.35">
      <c r="A8291"/>
    </row>
    <row r="8292" spans="1:1" x14ac:dyDescent="0.35">
      <c r="A8292"/>
    </row>
    <row r="8293" spans="1:1" x14ac:dyDescent="0.35">
      <c r="A8293"/>
    </row>
    <row r="8294" spans="1:1" x14ac:dyDescent="0.35">
      <c r="A8294"/>
    </row>
    <row r="8295" spans="1:1" x14ac:dyDescent="0.35">
      <c r="A8295"/>
    </row>
    <row r="8296" spans="1:1" x14ac:dyDescent="0.35">
      <c r="A8296"/>
    </row>
    <row r="8297" spans="1:1" x14ac:dyDescent="0.35">
      <c r="A8297"/>
    </row>
    <row r="8298" spans="1:1" x14ac:dyDescent="0.35">
      <c r="A8298"/>
    </row>
    <row r="8299" spans="1:1" x14ac:dyDescent="0.35">
      <c r="A8299"/>
    </row>
    <row r="8300" spans="1:1" x14ac:dyDescent="0.35">
      <c r="A8300"/>
    </row>
    <row r="8301" spans="1:1" x14ac:dyDescent="0.35">
      <c r="A8301"/>
    </row>
    <row r="8302" spans="1:1" x14ac:dyDescent="0.35">
      <c r="A8302"/>
    </row>
    <row r="8303" spans="1:1" x14ac:dyDescent="0.35">
      <c r="A8303"/>
    </row>
    <row r="8304" spans="1:1" x14ac:dyDescent="0.35">
      <c r="A8304"/>
    </row>
    <row r="8305" spans="1:1" x14ac:dyDescent="0.35">
      <c r="A8305"/>
    </row>
    <row r="8306" spans="1:1" x14ac:dyDescent="0.35">
      <c r="A8306"/>
    </row>
    <row r="8307" spans="1:1" x14ac:dyDescent="0.35">
      <c r="A8307"/>
    </row>
    <row r="8308" spans="1:1" x14ac:dyDescent="0.35">
      <c r="A8308"/>
    </row>
    <row r="8309" spans="1:1" x14ac:dyDescent="0.35">
      <c r="A8309"/>
    </row>
    <row r="8310" spans="1:1" x14ac:dyDescent="0.35">
      <c r="A8310"/>
    </row>
    <row r="8311" spans="1:1" x14ac:dyDescent="0.35">
      <c r="A8311"/>
    </row>
    <row r="8312" spans="1:1" x14ac:dyDescent="0.35">
      <c r="A8312"/>
    </row>
    <row r="8313" spans="1:1" x14ac:dyDescent="0.35">
      <c r="A8313"/>
    </row>
    <row r="8314" spans="1:1" x14ac:dyDescent="0.35">
      <c r="A8314"/>
    </row>
    <row r="8315" spans="1:1" x14ac:dyDescent="0.35">
      <c r="A8315"/>
    </row>
    <row r="8316" spans="1:1" x14ac:dyDescent="0.35">
      <c r="A8316"/>
    </row>
    <row r="8317" spans="1:1" x14ac:dyDescent="0.35">
      <c r="A8317"/>
    </row>
    <row r="8318" spans="1:1" x14ac:dyDescent="0.35">
      <c r="A8318"/>
    </row>
    <row r="8319" spans="1:1" x14ac:dyDescent="0.35">
      <c r="A8319"/>
    </row>
    <row r="8320" spans="1:1" x14ac:dyDescent="0.35">
      <c r="A8320"/>
    </row>
    <row r="8321" spans="1:1" x14ac:dyDescent="0.35">
      <c r="A8321"/>
    </row>
    <row r="8322" spans="1:1" x14ac:dyDescent="0.35">
      <c r="A8322"/>
    </row>
    <row r="8323" spans="1:1" x14ac:dyDescent="0.35">
      <c r="A8323"/>
    </row>
    <row r="8324" spans="1:1" x14ac:dyDescent="0.35">
      <c r="A8324"/>
    </row>
    <row r="8325" spans="1:1" x14ac:dyDescent="0.35">
      <c r="A8325"/>
    </row>
    <row r="8326" spans="1:1" x14ac:dyDescent="0.35">
      <c r="A8326"/>
    </row>
    <row r="8327" spans="1:1" x14ac:dyDescent="0.35">
      <c r="A8327"/>
    </row>
    <row r="8328" spans="1:1" x14ac:dyDescent="0.35">
      <c r="A8328"/>
    </row>
    <row r="8329" spans="1:1" x14ac:dyDescent="0.35">
      <c r="A8329"/>
    </row>
    <row r="8330" spans="1:1" x14ac:dyDescent="0.35">
      <c r="A8330"/>
    </row>
    <row r="8331" spans="1:1" x14ac:dyDescent="0.35">
      <c r="A8331"/>
    </row>
    <row r="8332" spans="1:1" x14ac:dyDescent="0.35">
      <c r="A8332"/>
    </row>
    <row r="8333" spans="1:1" x14ac:dyDescent="0.35">
      <c r="A8333"/>
    </row>
    <row r="8334" spans="1:1" x14ac:dyDescent="0.35">
      <c r="A8334"/>
    </row>
    <row r="8335" spans="1:1" x14ac:dyDescent="0.35">
      <c r="A8335"/>
    </row>
    <row r="8336" spans="1:1" x14ac:dyDescent="0.35">
      <c r="A8336"/>
    </row>
    <row r="8337" spans="1:1" x14ac:dyDescent="0.35">
      <c r="A8337"/>
    </row>
    <row r="8338" spans="1:1" x14ac:dyDescent="0.35">
      <c r="A8338"/>
    </row>
    <row r="8339" spans="1:1" x14ac:dyDescent="0.35">
      <c r="A8339"/>
    </row>
    <row r="8340" spans="1:1" x14ac:dyDescent="0.35">
      <c r="A8340"/>
    </row>
    <row r="8341" spans="1:1" x14ac:dyDescent="0.35">
      <c r="A8341"/>
    </row>
    <row r="8342" spans="1:1" x14ac:dyDescent="0.35">
      <c r="A8342"/>
    </row>
    <row r="8343" spans="1:1" x14ac:dyDescent="0.35">
      <c r="A8343"/>
    </row>
    <row r="8344" spans="1:1" x14ac:dyDescent="0.35">
      <c r="A8344"/>
    </row>
    <row r="8345" spans="1:1" x14ac:dyDescent="0.35">
      <c r="A8345"/>
    </row>
    <row r="8346" spans="1:1" x14ac:dyDescent="0.35">
      <c r="A8346"/>
    </row>
    <row r="8347" spans="1:1" x14ac:dyDescent="0.35">
      <c r="A8347"/>
    </row>
    <row r="8348" spans="1:1" x14ac:dyDescent="0.35">
      <c r="A8348"/>
    </row>
    <row r="8349" spans="1:1" x14ac:dyDescent="0.35">
      <c r="A8349"/>
    </row>
    <row r="8350" spans="1:1" x14ac:dyDescent="0.35">
      <c r="A8350"/>
    </row>
    <row r="8351" spans="1:1" x14ac:dyDescent="0.35">
      <c r="A8351"/>
    </row>
    <row r="8352" spans="1:1" x14ac:dyDescent="0.35">
      <c r="A8352"/>
    </row>
    <row r="8353" spans="1:1" x14ac:dyDescent="0.35">
      <c r="A8353"/>
    </row>
    <row r="8354" spans="1:1" x14ac:dyDescent="0.35">
      <c r="A8354"/>
    </row>
    <row r="8355" spans="1:1" x14ac:dyDescent="0.35">
      <c r="A8355"/>
    </row>
    <row r="8356" spans="1:1" x14ac:dyDescent="0.35">
      <c r="A8356"/>
    </row>
    <row r="8357" spans="1:1" x14ac:dyDescent="0.35">
      <c r="A8357"/>
    </row>
    <row r="8358" spans="1:1" x14ac:dyDescent="0.35">
      <c r="A8358"/>
    </row>
    <row r="8359" spans="1:1" x14ac:dyDescent="0.35">
      <c r="A8359"/>
    </row>
    <row r="8360" spans="1:1" x14ac:dyDescent="0.35">
      <c r="A8360"/>
    </row>
    <row r="8361" spans="1:1" x14ac:dyDescent="0.35">
      <c r="A8361"/>
    </row>
    <row r="8362" spans="1:1" x14ac:dyDescent="0.35">
      <c r="A8362"/>
    </row>
    <row r="8363" spans="1:1" x14ac:dyDescent="0.35">
      <c r="A8363"/>
    </row>
    <row r="8364" spans="1:1" x14ac:dyDescent="0.35">
      <c r="A8364"/>
    </row>
    <row r="8365" spans="1:1" x14ac:dyDescent="0.35">
      <c r="A8365"/>
    </row>
    <row r="8366" spans="1:1" x14ac:dyDescent="0.35">
      <c r="A8366"/>
    </row>
    <row r="8367" spans="1:1" x14ac:dyDescent="0.35">
      <c r="A8367"/>
    </row>
    <row r="8368" spans="1:1" x14ac:dyDescent="0.35">
      <c r="A8368"/>
    </row>
    <row r="8369" spans="1:1" x14ac:dyDescent="0.35">
      <c r="A8369"/>
    </row>
    <row r="8370" spans="1:1" x14ac:dyDescent="0.35">
      <c r="A8370"/>
    </row>
    <row r="8371" spans="1:1" x14ac:dyDescent="0.35">
      <c r="A8371"/>
    </row>
    <row r="8372" spans="1:1" x14ac:dyDescent="0.35">
      <c r="A8372"/>
    </row>
    <row r="8373" spans="1:1" x14ac:dyDescent="0.35">
      <c r="A8373"/>
    </row>
    <row r="8374" spans="1:1" x14ac:dyDescent="0.35">
      <c r="A8374"/>
    </row>
    <row r="8375" spans="1:1" x14ac:dyDescent="0.35">
      <c r="A8375"/>
    </row>
    <row r="8376" spans="1:1" x14ac:dyDescent="0.35">
      <c r="A8376"/>
    </row>
    <row r="8377" spans="1:1" x14ac:dyDescent="0.35">
      <c r="A8377"/>
    </row>
    <row r="8378" spans="1:1" x14ac:dyDescent="0.35">
      <c r="A8378"/>
    </row>
    <row r="8379" spans="1:1" x14ac:dyDescent="0.35">
      <c r="A8379"/>
    </row>
    <row r="8380" spans="1:1" x14ac:dyDescent="0.35">
      <c r="A8380"/>
    </row>
    <row r="8381" spans="1:1" x14ac:dyDescent="0.35">
      <c r="A8381"/>
    </row>
    <row r="8382" spans="1:1" x14ac:dyDescent="0.35">
      <c r="A8382"/>
    </row>
    <row r="8383" spans="1:1" x14ac:dyDescent="0.35">
      <c r="A8383"/>
    </row>
    <row r="8384" spans="1:1" x14ac:dyDescent="0.35">
      <c r="A8384"/>
    </row>
    <row r="8385" spans="1:1" x14ac:dyDescent="0.35">
      <c r="A8385"/>
    </row>
    <row r="8386" spans="1:1" x14ac:dyDescent="0.35">
      <c r="A8386"/>
    </row>
    <row r="8387" spans="1:1" x14ac:dyDescent="0.35">
      <c r="A8387"/>
    </row>
    <row r="8388" spans="1:1" x14ac:dyDescent="0.35">
      <c r="A8388"/>
    </row>
    <row r="8389" spans="1:1" x14ac:dyDescent="0.35">
      <c r="A8389"/>
    </row>
    <row r="8390" spans="1:1" x14ac:dyDescent="0.35">
      <c r="A8390"/>
    </row>
    <row r="8391" spans="1:1" x14ac:dyDescent="0.35">
      <c r="A8391"/>
    </row>
    <row r="8392" spans="1:1" x14ac:dyDescent="0.35">
      <c r="A8392"/>
    </row>
    <row r="8393" spans="1:1" x14ac:dyDescent="0.35">
      <c r="A8393"/>
    </row>
    <row r="8394" spans="1:1" x14ac:dyDescent="0.35">
      <c r="A8394"/>
    </row>
    <row r="8395" spans="1:1" x14ac:dyDescent="0.35">
      <c r="A8395"/>
    </row>
    <row r="8396" spans="1:1" x14ac:dyDescent="0.35">
      <c r="A8396"/>
    </row>
    <row r="8397" spans="1:1" x14ac:dyDescent="0.35">
      <c r="A8397"/>
    </row>
    <row r="8398" spans="1:1" x14ac:dyDescent="0.35">
      <c r="A8398"/>
    </row>
    <row r="8399" spans="1:1" x14ac:dyDescent="0.35">
      <c r="A8399"/>
    </row>
    <row r="8400" spans="1:1" x14ac:dyDescent="0.35">
      <c r="A8400"/>
    </row>
    <row r="8401" spans="1:1" x14ac:dyDescent="0.35">
      <c r="A8401"/>
    </row>
    <row r="8402" spans="1:1" x14ac:dyDescent="0.35">
      <c r="A8402"/>
    </row>
    <row r="8403" spans="1:1" x14ac:dyDescent="0.35">
      <c r="A8403"/>
    </row>
    <row r="8404" spans="1:1" x14ac:dyDescent="0.35">
      <c r="A8404"/>
    </row>
    <row r="8405" spans="1:1" x14ac:dyDescent="0.35">
      <c r="A8405"/>
    </row>
    <row r="8406" spans="1:1" x14ac:dyDescent="0.35">
      <c r="A8406"/>
    </row>
    <row r="8407" spans="1:1" x14ac:dyDescent="0.35">
      <c r="A8407"/>
    </row>
    <row r="8408" spans="1:1" x14ac:dyDescent="0.35">
      <c r="A8408"/>
    </row>
    <row r="8409" spans="1:1" x14ac:dyDescent="0.35">
      <c r="A8409"/>
    </row>
    <row r="8410" spans="1:1" x14ac:dyDescent="0.35">
      <c r="A8410"/>
    </row>
    <row r="8411" spans="1:1" x14ac:dyDescent="0.35">
      <c r="A8411"/>
    </row>
    <row r="8412" spans="1:1" x14ac:dyDescent="0.35">
      <c r="A8412"/>
    </row>
    <row r="8413" spans="1:1" x14ac:dyDescent="0.35">
      <c r="A8413"/>
    </row>
    <row r="8414" spans="1:1" x14ac:dyDescent="0.35">
      <c r="A8414"/>
    </row>
    <row r="8415" spans="1:1" x14ac:dyDescent="0.35">
      <c r="A8415"/>
    </row>
    <row r="8416" spans="1:1" x14ac:dyDescent="0.35">
      <c r="A8416"/>
    </row>
    <row r="8417" spans="1:1" x14ac:dyDescent="0.35">
      <c r="A8417"/>
    </row>
    <row r="8418" spans="1:1" x14ac:dyDescent="0.35">
      <c r="A8418"/>
    </row>
    <row r="8419" spans="1:1" x14ac:dyDescent="0.35">
      <c r="A8419"/>
    </row>
    <row r="8420" spans="1:1" x14ac:dyDescent="0.35">
      <c r="A8420"/>
    </row>
    <row r="8421" spans="1:1" x14ac:dyDescent="0.35">
      <c r="A8421"/>
    </row>
    <row r="8422" spans="1:1" x14ac:dyDescent="0.35">
      <c r="A8422"/>
    </row>
    <row r="8423" spans="1:1" x14ac:dyDescent="0.35">
      <c r="A8423"/>
    </row>
    <row r="8424" spans="1:1" x14ac:dyDescent="0.35">
      <c r="A8424"/>
    </row>
    <row r="8425" spans="1:1" x14ac:dyDescent="0.35">
      <c r="A8425"/>
    </row>
    <row r="8426" spans="1:1" x14ac:dyDescent="0.35">
      <c r="A8426"/>
    </row>
    <row r="8427" spans="1:1" x14ac:dyDescent="0.35">
      <c r="A8427"/>
    </row>
    <row r="8428" spans="1:1" x14ac:dyDescent="0.35">
      <c r="A8428"/>
    </row>
    <row r="8429" spans="1:1" x14ac:dyDescent="0.35">
      <c r="A8429"/>
    </row>
    <row r="8430" spans="1:1" x14ac:dyDescent="0.35">
      <c r="A8430"/>
    </row>
    <row r="8431" spans="1:1" x14ac:dyDescent="0.35">
      <c r="A8431"/>
    </row>
    <row r="8432" spans="1:1" x14ac:dyDescent="0.35">
      <c r="A8432"/>
    </row>
    <row r="8433" spans="1:1" x14ac:dyDescent="0.35">
      <c r="A8433"/>
    </row>
    <row r="8434" spans="1:1" x14ac:dyDescent="0.35">
      <c r="A8434"/>
    </row>
    <row r="8435" spans="1:1" x14ac:dyDescent="0.35">
      <c r="A8435"/>
    </row>
    <row r="8436" spans="1:1" x14ac:dyDescent="0.35">
      <c r="A8436"/>
    </row>
    <row r="8437" spans="1:1" x14ac:dyDescent="0.35">
      <c r="A8437"/>
    </row>
    <row r="8438" spans="1:1" x14ac:dyDescent="0.35">
      <c r="A8438"/>
    </row>
    <row r="8439" spans="1:1" x14ac:dyDescent="0.35">
      <c r="A8439"/>
    </row>
    <row r="8440" spans="1:1" x14ac:dyDescent="0.35">
      <c r="A8440"/>
    </row>
    <row r="8441" spans="1:1" x14ac:dyDescent="0.35">
      <c r="A8441"/>
    </row>
    <row r="8442" spans="1:1" x14ac:dyDescent="0.35">
      <c r="A8442"/>
    </row>
    <row r="8443" spans="1:1" x14ac:dyDescent="0.35">
      <c r="A8443"/>
    </row>
    <row r="8444" spans="1:1" x14ac:dyDescent="0.35">
      <c r="A8444"/>
    </row>
    <row r="8445" spans="1:1" x14ac:dyDescent="0.35">
      <c r="A8445"/>
    </row>
    <row r="8446" spans="1:1" x14ac:dyDescent="0.35">
      <c r="A8446"/>
    </row>
    <row r="8447" spans="1:1" x14ac:dyDescent="0.35">
      <c r="A8447"/>
    </row>
    <row r="8448" spans="1:1" x14ac:dyDescent="0.35">
      <c r="A8448"/>
    </row>
    <row r="8449" spans="1:1" x14ac:dyDescent="0.35">
      <c r="A8449"/>
    </row>
    <row r="8450" spans="1:1" x14ac:dyDescent="0.35">
      <c r="A8450"/>
    </row>
    <row r="8451" spans="1:1" x14ac:dyDescent="0.35">
      <c r="A8451"/>
    </row>
    <row r="8452" spans="1:1" x14ac:dyDescent="0.35">
      <c r="A8452"/>
    </row>
    <row r="8453" spans="1:1" x14ac:dyDescent="0.35">
      <c r="A8453"/>
    </row>
    <row r="8454" spans="1:1" x14ac:dyDescent="0.35">
      <c r="A8454"/>
    </row>
    <row r="8455" spans="1:1" x14ac:dyDescent="0.35">
      <c r="A8455"/>
    </row>
    <row r="8456" spans="1:1" x14ac:dyDescent="0.35">
      <c r="A8456"/>
    </row>
    <row r="8457" spans="1:1" x14ac:dyDescent="0.35">
      <c r="A8457"/>
    </row>
    <row r="8458" spans="1:1" x14ac:dyDescent="0.35">
      <c r="A8458"/>
    </row>
    <row r="8459" spans="1:1" x14ac:dyDescent="0.35">
      <c r="A8459"/>
    </row>
    <row r="8460" spans="1:1" x14ac:dyDescent="0.35">
      <c r="A8460"/>
    </row>
    <row r="8461" spans="1:1" x14ac:dyDescent="0.35">
      <c r="A8461"/>
    </row>
    <row r="8462" spans="1:1" x14ac:dyDescent="0.35">
      <c r="A8462"/>
    </row>
    <row r="8463" spans="1:1" x14ac:dyDescent="0.35">
      <c r="A8463"/>
    </row>
    <row r="8464" spans="1:1" x14ac:dyDescent="0.35">
      <c r="A8464"/>
    </row>
    <row r="8465" spans="1:1" x14ac:dyDescent="0.35">
      <c r="A8465"/>
    </row>
    <row r="8466" spans="1:1" x14ac:dyDescent="0.35">
      <c r="A8466"/>
    </row>
    <row r="8467" spans="1:1" x14ac:dyDescent="0.35">
      <c r="A8467"/>
    </row>
    <row r="8468" spans="1:1" x14ac:dyDescent="0.35">
      <c r="A8468"/>
    </row>
    <row r="8469" spans="1:1" x14ac:dyDescent="0.35">
      <c r="A8469"/>
    </row>
    <row r="8470" spans="1:1" x14ac:dyDescent="0.35">
      <c r="A8470"/>
    </row>
    <row r="8471" spans="1:1" x14ac:dyDescent="0.35">
      <c r="A8471"/>
    </row>
    <row r="8472" spans="1:1" x14ac:dyDescent="0.35">
      <c r="A8472"/>
    </row>
    <row r="8473" spans="1:1" x14ac:dyDescent="0.35">
      <c r="A8473"/>
    </row>
    <row r="8474" spans="1:1" x14ac:dyDescent="0.35">
      <c r="A8474"/>
    </row>
    <row r="8475" spans="1:1" x14ac:dyDescent="0.35">
      <c r="A8475"/>
    </row>
    <row r="8476" spans="1:1" x14ac:dyDescent="0.35">
      <c r="A8476"/>
    </row>
    <row r="8477" spans="1:1" x14ac:dyDescent="0.35">
      <c r="A8477"/>
    </row>
    <row r="8478" spans="1:1" x14ac:dyDescent="0.35">
      <c r="A8478"/>
    </row>
    <row r="8479" spans="1:1" x14ac:dyDescent="0.35">
      <c r="A8479"/>
    </row>
    <row r="8480" spans="1:1" x14ac:dyDescent="0.35">
      <c r="A8480"/>
    </row>
    <row r="8481" spans="1:1" x14ac:dyDescent="0.35">
      <c r="A8481"/>
    </row>
    <row r="8482" spans="1:1" x14ac:dyDescent="0.35">
      <c r="A8482"/>
    </row>
    <row r="8483" spans="1:1" x14ac:dyDescent="0.35">
      <c r="A8483"/>
    </row>
    <row r="8484" spans="1:1" x14ac:dyDescent="0.35">
      <c r="A8484"/>
    </row>
    <row r="8485" spans="1:1" x14ac:dyDescent="0.35">
      <c r="A8485"/>
    </row>
    <row r="8486" spans="1:1" x14ac:dyDescent="0.35">
      <c r="A8486"/>
    </row>
    <row r="8487" spans="1:1" x14ac:dyDescent="0.35">
      <c r="A8487"/>
    </row>
    <row r="8488" spans="1:1" x14ac:dyDescent="0.35">
      <c r="A8488"/>
    </row>
    <row r="8489" spans="1:1" x14ac:dyDescent="0.35">
      <c r="A8489"/>
    </row>
    <row r="8490" spans="1:1" x14ac:dyDescent="0.35">
      <c r="A8490"/>
    </row>
    <row r="8491" spans="1:1" x14ac:dyDescent="0.35">
      <c r="A8491"/>
    </row>
    <row r="8492" spans="1:1" x14ac:dyDescent="0.35">
      <c r="A8492"/>
    </row>
    <row r="8493" spans="1:1" x14ac:dyDescent="0.35">
      <c r="A8493"/>
    </row>
    <row r="8494" spans="1:1" x14ac:dyDescent="0.35">
      <c r="A8494"/>
    </row>
    <row r="8495" spans="1:1" x14ac:dyDescent="0.35">
      <c r="A8495"/>
    </row>
    <row r="8496" spans="1:1" x14ac:dyDescent="0.35">
      <c r="A8496"/>
    </row>
    <row r="8497" spans="1:1" x14ac:dyDescent="0.35">
      <c r="A8497"/>
    </row>
    <row r="8498" spans="1:1" x14ac:dyDescent="0.35">
      <c r="A8498"/>
    </row>
    <row r="8499" spans="1:1" x14ac:dyDescent="0.35">
      <c r="A8499"/>
    </row>
    <row r="8500" spans="1:1" x14ac:dyDescent="0.35">
      <c r="A8500"/>
    </row>
    <row r="8501" spans="1:1" x14ac:dyDescent="0.35">
      <c r="A8501"/>
    </row>
    <row r="8502" spans="1:1" x14ac:dyDescent="0.35">
      <c r="A8502"/>
    </row>
    <row r="8503" spans="1:1" x14ac:dyDescent="0.35">
      <c r="A8503"/>
    </row>
    <row r="8504" spans="1:1" x14ac:dyDescent="0.35">
      <c r="A8504"/>
    </row>
    <row r="8505" spans="1:1" x14ac:dyDescent="0.35">
      <c r="A8505"/>
    </row>
    <row r="8506" spans="1:1" x14ac:dyDescent="0.35">
      <c r="A8506"/>
    </row>
    <row r="8507" spans="1:1" x14ac:dyDescent="0.35">
      <c r="A8507"/>
    </row>
    <row r="8508" spans="1:1" x14ac:dyDescent="0.35">
      <c r="A8508"/>
    </row>
    <row r="8509" spans="1:1" x14ac:dyDescent="0.35">
      <c r="A8509"/>
    </row>
    <row r="8510" spans="1:1" x14ac:dyDescent="0.35">
      <c r="A8510"/>
    </row>
    <row r="8511" spans="1:1" x14ac:dyDescent="0.35">
      <c r="A8511"/>
    </row>
    <row r="8512" spans="1:1" x14ac:dyDescent="0.35">
      <c r="A8512"/>
    </row>
    <row r="8513" spans="1:1" x14ac:dyDescent="0.35">
      <c r="A8513"/>
    </row>
    <row r="8514" spans="1:1" x14ac:dyDescent="0.35">
      <c r="A8514"/>
    </row>
    <row r="8515" spans="1:1" x14ac:dyDescent="0.35">
      <c r="A8515"/>
    </row>
    <row r="8516" spans="1:1" x14ac:dyDescent="0.35">
      <c r="A8516"/>
    </row>
    <row r="8517" spans="1:1" x14ac:dyDescent="0.35">
      <c r="A8517"/>
    </row>
    <row r="8518" spans="1:1" x14ac:dyDescent="0.35">
      <c r="A8518"/>
    </row>
    <row r="8519" spans="1:1" x14ac:dyDescent="0.35">
      <c r="A8519"/>
    </row>
    <row r="8520" spans="1:1" x14ac:dyDescent="0.35">
      <c r="A8520"/>
    </row>
    <row r="8521" spans="1:1" x14ac:dyDescent="0.35">
      <c r="A8521"/>
    </row>
    <row r="8522" spans="1:1" x14ac:dyDescent="0.35">
      <c r="A8522"/>
    </row>
    <row r="8523" spans="1:1" x14ac:dyDescent="0.35">
      <c r="A8523"/>
    </row>
    <row r="8524" spans="1:1" x14ac:dyDescent="0.35">
      <c r="A8524"/>
    </row>
    <row r="8525" spans="1:1" x14ac:dyDescent="0.35">
      <c r="A8525"/>
    </row>
    <row r="8526" spans="1:1" x14ac:dyDescent="0.35">
      <c r="A8526"/>
    </row>
    <row r="8527" spans="1:1" x14ac:dyDescent="0.35">
      <c r="A8527"/>
    </row>
    <row r="8528" spans="1:1" x14ac:dyDescent="0.35">
      <c r="A8528"/>
    </row>
    <row r="8529" spans="1:1" x14ac:dyDescent="0.35">
      <c r="A8529"/>
    </row>
    <row r="8530" spans="1:1" x14ac:dyDescent="0.35">
      <c r="A8530"/>
    </row>
    <row r="8531" spans="1:1" x14ac:dyDescent="0.35">
      <c r="A8531"/>
    </row>
    <row r="8532" spans="1:1" x14ac:dyDescent="0.35">
      <c r="A8532"/>
    </row>
    <row r="8533" spans="1:1" x14ac:dyDescent="0.35">
      <c r="A8533"/>
    </row>
    <row r="8534" spans="1:1" x14ac:dyDescent="0.35">
      <c r="A8534"/>
    </row>
    <row r="8535" spans="1:1" x14ac:dyDescent="0.35">
      <c r="A8535"/>
    </row>
    <row r="8536" spans="1:1" x14ac:dyDescent="0.35">
      <c r="A8536"/>
    </row>
    <row r="8537" spans="1:1" x14ac:dyDescent="0.35">
      <c r="A8537"/>
    </row>
    <row r="8538" spans="1:1" x14ac:dyDescent="0.35">
      <c r="A8538"/>
    </row>
    <row r="8539" spans="1:1" x14ac:dyDescent="0.35">
      <c r="A8539"/>
    </row>
    <row r="8540" spans="1:1" x14ac:dyDescent="0.35">
      <c r="A8540"/>
    </row>
    <row r="8541" spans="1:1" x14ac:dyDescent="0.35">
      <c r="A8541"/>
    </row>
    <row r="8542" spans="1:1" x14ac:dyDescent="0.35">
      <c r="A8542"/>
    </row>
    <row r="8543" spans="1:1" x14ac:dyDescent="0.35">
      <c r="A8543"/>
    </row>
    <row r="8544" spans="1:1" x14ac:dyDescent="0.35">
      <c r="A8544"/>
    </row>
    <row r="8545" spans="1:1" x14ac:dyDescent="0.35">
      <c r="A8545"/>
    </row>
    <row r="8546" spans="1:1" x14ac:dyDescent="0.35">
      <c r="A8546"/>
    </row>
    <row r="8547" spans="1:1" x14ac:dyDescent="0.35">
      <c r="A8547"/>
    </row>
    <row r="8548" spans="1:1" x14ac:dyDescent="0.35">
      <c r="A8548"/>
    </row>
    <row r="8549" spans="1:1" x14ac:dyDescent="0.35">
      <c r="A8549"/>
    </row>
    <row r="8550" spans="1:1" x14ac:dyDescent="0.35">
      <c r="A8550"/>
    </row>
    <row r="8551" spans="1:1" x14ac:dyDescent="0.35">
      <c r="A8551"/>
    </row>
    <row r="8552" spans="1:1" x14ac:dyDescent="0.35">
      <c r="A8552"/>
    </row>
    <row r="8553" spans="1:1" x14ac:dyDescent="0.35">
      <c r="A8553"/>
    </row>
    <row r="8554" spans="1:1" x14ac:dyDescent="0.35">
      <c r="A8554"/>
    </row>
    <row r="8555" spans="1:1" x14ac:dyDescent="0.35">
      <c r="A8555"/>
    </row>
    <row r="8556" spans="1:1" x14ac:dyDescent="0.35">
      <c r="A8556"/>
    </row>
    <row r="8557" spans="1:1" x14ac:dyDescent="0.35">
      <c r="A8557"/>
    </row>
    <row r="8558" spans="1:1" x14ac:dyDescent="0.35">
      <c r="A8558"/>
    </row>
    <row r="8559" spans="1:1" x14ac:dyDescent="0.35">
      <c r="A8559"/>
    </row>
    <row r="8560" spans="1:1" x14ac:dyDescent="0.35">
      <c r="A8560"/>
    </row>
    <row r="8561" spans="1:1" x14ac:dyDescent="0.35">
      <c r="A8561"/>
    </row>
    <row r="8562" spans="1:1" x14ac:dyDescent="0.35">
      <c r="A8562"/>
    </row>
    <row r="8563" spans="1:1" x14ac:dyDescent="0.35">
      <c r="A8563"/>
    </row>
    <row r="8564" spans="1:1" x14ac:dyDescent="0.35">
      <c r="A8564"/>
    </row>
    <row r="8565" spans="1:1" x14ac:dyDescent="0.35">
      <c r="A8565"/>
    </row>
    <row r="8566" spans="1:1" x14ac:dyDescent="0.35">
      <c r="A8566"/>
    </row>
    <row r="8567" spans="1:1" x14ac:dyDescent="0.35">
      <c r="A8567"/>
    </row>
    <row r="8568" spans="1:1" x14ac:dyDescent="0.35">
      <c r="A8568"/>
    </row>
    <row r="8569" spans="1:1" x14ac:dyDescent="0.35">
      <c r="A8569"/>
    </row>
    <row r="8570" spans="1:1" x14ac:dyDescent="0.35">
      <c r="A8570"/>
    </row>
    <row r="8571" spans="1:1" x14ac:dyDescent="0.35">
      <c r="A8571"/>
    </row>
    <row r="8572" spans="1:1" x14ac:dyDescent="0.35">
      <c r="A8572"/>
    </row>
    <row r="8573" spans="1:1" x14ac:dyDescent="0.35">
      <c r="A8573"/>
    </row>
    <row r="8574" spans="1:1" x14ac:dyDescent="0.35">
      <c r="A8574"/>
    </row>
    <row r="8575" spans="1:1" x14ac:dyDescent="0.35">
      <c r="A8575"/>
    </row>
    <row r="8576" spans="1:1" x14ac:dyDescent="0.35">
      <c r="A8576"/>
    </row>
    <row r="8577" spans="1:1" x14ac:dyDescent="0.35">
      <c r="A8577"/>
    </row>
    <row r="8578" spans="1:1" x14ac:dyDescent="0.35">
      <c r="A8578"/>
    </row>
    <row r="8579" spans="1:1" x14ac:dyDescent="0.35">
      <c r="A8579"/>
    </row>
    <row r="8580" spans="1:1" x14ac:dyDescent="0.35">
      <c r="A8580"/>
    </row>
    <row r="8581" spans="1:1" x14ac:dyDescent="0.35">
      <c r="A8581"/>
    </row>
    <row r="8582" spans="1:1" x14ac:dyDescent="0.35">
      <c r="A8582"/>
    </row>
    <row r="8583" spans="1:1" x14ac:dyDescent="0.35">
      <c r="A8583"/>
    </row>
    <row r="8584" spans="1:1" x14ac:dyDescent="0.35">
      <c r="A8584"/>
    </row>
    <row r="8585" spans="1:1" x14ac:dyDescent="0.35">
      <c r="A8585"/>
    </row>
    <row r="8586" spans="1:1" x14ac:dyDescent="0.35">
      <c r="A8586"/>
    </row>
    <row r="8587" spans="1:1" x14ac:dyDescent="0.35">
      <c r="A8587"/>
    </row>
    <row r="8588" spans="1:1" x14ac:dyDescent="0.35">
      <c r="A8588"/>
    </row>
    <row r="8589" spans="1:1" x14ac:dyDescent="0.35">
      <c r="A8589"/>
    </row>
    <row r="8590" spans="1:1" x14ac:dyDescent="0.35">
      <c r="A8590"/>
    </row>
    <row r="8591" spans="1:1" x14ac:dyDescent="0.35">
      <c r="A8591"/>
    </row>
    <row r="8592" spans="1:1" x14ac:dyDescent="0.35">
      <c r="A8592"/>
    </row>
    <row r="8593" spans="1:1" x14ac:dyDescent="0.35">
      <c r="A8593"/>
    </row>
    <row r="8594" spans="1:1" x14ac:dyDescent="0.35">
      <c r="A8594"/>
    </row>
    <row r="8595" spans="1:1" x14ac:dyDescent="0.35">
      <c r="A8595"/>
    </row>
    <row r="8596" spans="1:1" x14ac:dyDescent="0.35">
      <c r="A8596"/>
    </row>
    <row r="8597" spans="1:1" x14ac:dyDescent="0.35">
      <c r="A8597"/>
    </row>
    <row r="8598" spans="1:1" x14ac:dyDescent="0.35">
      <c r="A8598"/>
    </row>
    <row r="8599" spans="1:1" x14ac:dyDescent="0.35">
      <c r="A8599"/>
    </row>
    <row r="8600" spans="1:1" x14ac:dyDescent="0.35">
      <c r="A8600"/>
    </row>
    <row r="8601" spans="1:1" x14ac:dyDescent="0.35">
      <c r="A8601"/>
    </row>
    <row r="8602" spans="1:1" x14ac:dyDescent="0.35">
      <c r="A8602"/>
    </row>
    <row r="8603" spans="1:1" x14ac:dyDescent="0.35">
      <c r="A8603"/>
    </row>
    <row r="8604" spans="1:1" x14ac:dyDescent="0.35">
      <c r="A8604"/>
    </row>
    <row r="8605" spans="1:1" x14ac:dyDescent="0.35">
      <c r="A8605"/>
    </row>
    <row r="8606" spans="1:1" x14ac:dyDescent="0.35">
      <c r="A8606"/>
    </row>
    <row r="8607" spans="1:1" x14ac:dyDescent="0.35">
      <c r="A8607"/>
    </row>
    <row r="8608" spans="1:1" x14ac:dyDescent="0.35">
      <c r="A8608"/>
    </row>
    <row r="8609" spans="1:1" x14ac:dyDescent="0.35">
      <c r="A8609"/>
    </row>
    <row r="8610" spans="1:1" x14ac:dyDescent="0.35">
      <c r="A8610"/>
    </row>
    <row r="8611" spans="1:1" x14ac:dyDescent="0.35">
      <c r="A8611"/>
    </row>
    <row r="8612" spans="1:1" x14ac:dyDescent="0.35">
      <c r="A8612"/>
    </row>
    <row r="8613" spans="1:1" x14ac:dyDescent="0.35">
      <c r="A8613"/>
    </row>
    <row r="8614" spans="1:1" x14ac:dyDescent="0.35">
      <c r="A8614"/>
    </row>
    <row r="8615" spans="1:1" x14ac:dyDescent="0.35">
      <c r="A8615"/>
    </row>
    <row r="8616" spans="1:1" x14ac:dyDescent="0.35">
      <c r="A8616"/>
    </row>
    <row r="8617" spans="1:1" x14ac:dyDescent="0.35">
      <c r="A8617"/>
    </row>
    <row r="8618" spans="1:1" x14ac:dyDescent="0.35">
      <c r="A8618"/>
    </row>
    <row r="8619" spans="1:1" x14ac:dyDescent="0.35">
      <c r="A8619"/>
    </row>
    <row r="8620" spans="1:1" x14ac:dyDescent="0.35">
      <c r="A8620"/>
    </row>
    <row r="8621" spans="1:1" x14ac:dyDescent="0.35">
      <c r="A8621"/>
    </row>
    <row r="8622" spans="1:1" x14ac:dyDescent="0.35">
      <c r="A8622"/>
    </row>
    <row r="8623" spans="1:1" x14ac:dyDescent="0.35">
      <c r="A8623"/>
    </row>
    <row r="8624" spans="1:1" x14ac:dyDescent="0.35">
      <c r="A8624"/>
    </row>
    <row r="8625" spans="1:1" x14ac:dyDescent="0.35">
      <c r="A8625"/>
    </row>
    <row r="8626" spans="1:1" x14ac:dyDescent="0.35">
      <c r="A8626"/>
    </row>
    <row r="8627" spans="1:1" x14ac:dyDescent="0.35">
      <c r="A8627"/>
    </row>
    <row r="8628" spans="1:1" x14ac:dyDescent="0.35">
      <c r="A8628"/>
    </row>
    <row r="8629" spans="1:1" x14ac:dyDescent="0.35">
      <c r="A8629"/>
    </row>
    <row r="8630" spans="1:1" x14ac:dyDescent="0.35">
      <c r="A8630"/>
    </row>
    <row r="8631" spans="1:1" x14ac:dyDescent="0.35">
      <c r="A8631"/>
    </row>
    <row r="8632" spans="1:1" x14ac:dyDescent="0.35">
      <c r="A8632"/>
    </row>
    <row r="8633" spans="1:1" x14ac:dyDescent="0.35">
      <c r="A8633"/>
    </row>
    <row r="8634" spans="1:1" x14ac:dyDescent="0.35">
      <c r="A8634"/>
    </row>
    <row r="8635" spans="1:1" x14ac:dyDescent="0.35">
      <c r="A8635"/>
    </row>
    <row r="8636" spans="1:1" x14ac:dyDescent="0.35">
      <c r="A8636"/>
    </row>
    <row r="8637" spans="1:1" x14ac:dyDescent="0.35">
      <c r="A8637"/>
    </row>
    <row r="8638" spans="1:1" x14ac:dyDescent="0.35">
      <c r="A8638"/>
    </row>
    <row r="8639" spans="1:1" x14ac:dyDescent="0.35">
      <c r="A8639"/>
    </row>
    <row r="8640" spans="1:1" x14ac:dyDescent="0.35">
      <c r="A8640"/>
    </row>
    <row r="8641" spans="1:1" x14ac:dyDescent="0.35">
      <c r="A8641"/>
    </row>
    <row r="8642" spans="1:1" x14ac:dyDescent="0.35">
      <c r="A8642"/>
    </row>
    <row r="8643" spans="1:1" x14ac:dyDescent="0.35">
      <c r="A8643"/>
    </row>
    <row r="8644" spans="1:1" x14ac:dyDescent="0.35">
      <c r="A8644"/>
    </row>
    <row r="8645" spans="1:1" x14ac:dyDescent="0.35">
      <c r="A8645"/>
    </row>
    <row r="8646" spans="1:1" x14ac:dyDescent="0.35">
      <c r="A8646"/>
    </row>
    <row r="8647" spans="1:1" x14ac:dyDescent="0.35">
      <c r="A8647"/>
    </row>
    <row r="8648" spans="1:1" x14ac:dyDescent="0.35">
      <c r="A8648"/>
    </row>
    <row r="8649" spans="1:1" x14ac:dyDescent="0.35">
      <c r="A8649"/>
    </row>
    <row r="8650" spans="1:1" x14ac:dyDescent="0.35">
      <c r="A8650"/>
    </row>
    <row r="8651" spans="1:1" x14ac:dyDescent="0.35">
      <c r="A8651"/>
    </row>
    <row r="8652" spans="1:1" x14ac:dyDescent="0.35">
      <c r="A8652"/>
    </row>
    <row r="8653" spans="1:1" x14ac:dyDescent="0.35">
      <c r="A8653"/>
    </row>
    <row r="8654" spans="1:1" x14ac:dyDescent="0.35">
      <c r="A8654"/>
    </row>
    <row r="8655" spans="1:1" x14ac:dyDescent="0.35">
      <c r="A8655"/>
    </row>
    <row r="8656" spans="1:1" x14ac:dyDescent="0.35">
      <c r="A8656"/>
    </row>
    <row r="8657" spans="1:1" x14ac:dyDescent="0.35">
      <c r="A8657"/>
    </row>
    <row r="8658" spans="1:1" x14ac:dyDescent="0.35">
      <c r="A8658"/>
    </row>
    <row r="8659" spans="1:1" x14ac:dyDescent="0.35">
      <c r="A8659"/>
    </row>
    <row r="8660" spans="1:1" x14ac:dyDescent="0.35">
      <c r="A8660"/>
    </row>
    <row r="8661" spans="1:1" x14ac:dyDescent="0.35">
      <c r="A8661"/>
    </row>
    <row r="8662" spans="1:1" x14ac:dyDescent="0.35">
      <c r="A8662"/>
    </row>
    <row r="8663" spans="1:1" x14ac:dyDescent="0.35">
      <c r="A8663"/>
    </row>
    <row r="8664" spans="1:1" x14ac:dyDescent="0.35">
      <c r="A8664"/>
    </row>
    <row r="8665" spans="1:1" x14ac:dyDescent="0.35">
      <c r="A8665"/>
    </row>
    <row r="8666" spans="1:1" x14ac:dyDescent="0.35">
      <c r="A8666"/>
    </row>
    <row r="8667" spans="1:1" x14ac:dyDescent="0.35">
      <c r="A8667"/>
    </row>
    <row r="8668" spans="1:1" x14ac:dyDescent="0.35">
      <c r="A8668"/>
    </row>
    <row r="8669" spans="1:1" x14ac:dyDescent="0.35">
      <c r="A8669"/>
    </row>
    <row r="8670" spans="1:1" x14ac:dyDescent="0.35">
      <c r="A8670"/>
    </row>
    <row r="8671" spans="1:1" x14ac:dyDescent="0.35">
      <c r="A8671"/>
    </row>
    <row r="8672" spans="1:1" x14ac:dyDescent="0.35">
      <c r="A8672"/>
    </row>
    <row r="8673" spans="1:1" x14ac:dyDescent="0.35">
      <c r="A8673"/>
    </row>
    <row r="8674" spans="1:1" x14ac:dyDescent="0.35">
      <c r="A8674"/>
    </row>
    <row r="8675" spans="1:1" x14ac:dyDescent="0.35">
      <c r="A8675"/>
    </row>
    <row r="8676" spans="1:1" x14ac:dyDescent="0.35">
      <c r="A8676"/>
    </row>
    <row r="8677" spans="1:1" x14ac:dyDescent="0.35">
      <c r="A8677"/>
    </row>
    <row r="8678" spans="1:1" x14ac:dyDescent="0.35">
      <c r="A8678"/>
    </row>
    <row r="8679" spans="1:1" x14ac:dyDescent="0.35">
      <c r="A8679"/>
    </row>
    <row r="8680" spans="1:1" x14ac:dyDescent="0.35">
      <c r="A8680"/>
    </row>
    <row r="8681" spans="1:1" x14ac:dyDescent="0.35">
      <c r="A8681"/>
    </row>
    <row r="8682" spans="1:1" x14ac:dyDescent="0.35">
      <c r="A8682"/>
    </row>
    <row r="8683" spans="1:1" x14ac:dyDescent="0.35">
      <c r="A8683"/>
    </row>
    <row r="8684" spans="1:1" x14ac:dyDescent="0.35">
      <c r="A8684"/>
    </row>
    <row r="8685" spans="1:1" x14ac:dyDescent="0.35">
      <c r="A8685"/>
    </row>
    <row r="8686" spans="1:1" x14ac:dyDescent="0.35">
      <c r="A8686"/>
    </row>
    <row r="8687" spans="1:1" x14ac:dyDescent="0.35">
      <c r="A8687"/>
    </row>
    <row r="8688" spans="1:1" x14ac:dyDescent="0.35">
      <c r="A8688"/>
    </row>
    <row r="8689" spans="1:1" x14ac:dyDescent="0.35">
      <c r="A8689"/>
    </row>
    <row r="8690" spans="1:1" x14ac:dyDescent="0.35">
      <c r="A8690"/>
    </row>
    <row r="8691" spans="1:1" x14ac:dyDescent="0.35">
      <c r="A8691"/>
    </row>
    <row r="8692" spans="1:1" x14ac:dyDescent="0.35">
      <c r="A8692"/>
    </row>
    <row r="8693" spans="1:1" x14ac:dyDescent="0.35">
      <c r="A8693"/>
    </row>
    <row r="8694" spans="1:1" x14ac:dyDescent="0.35">
      <c r="A8694"/>
    </row>
    <row r="8695" spans="1:1" x14ac:dyDescent="0.35">
      <c r="A8695"/>
    </row>
    <row r="8696" spans="1:1" x14ac:dyDescent="0.35">
      <c r="A8696"/>
    </row>
    <row r="8697" spans="1:1" x14ac:dyDescent="0.35">
      <c r="A8697"/>
    </row>
    <row r="8698" spans="1:1" x14ac:dyDescent="0.35">
      <c r="A8698"/>
    </row>
    <row r="8699" spans="1:1" x14ac:dyDescent="0.35">
      <c r="A8699"/>
    </row>
    <row r="8700" spans="1:1" x14ac:dyDescent="0.35">
      <c r="A8700"/>
    </row>
    <row r="8701" spans="1:1" x14ac:dyDescent="0.35">
      <c r="A8701"/>
    </row>
    <row r="8702" spans="1:1" x14ac:dyDescent="0.35">
      <c r="A8702"/>
    </row>
    <row r="8703" spans="1:1" x14ac:dyDescent="0.35">
      <c r="A8703"/>
    </row>
    <row r="8704" spans="1:1" x14ac:dyDescent="0.35">
      <c r="A8704"/>
    </row>
    <row r="8705" spans="1:1" x14ac:dyDescent="0.35">
      <c r="A8705"/>
    </row>
    <row r="8706" spans="1:1" x14ac:dyDescent="0.35">
      <c r="A8706"/>
    </row>
    <row r="8707" spans="1:1" x14ac:dyDescent="0.35">
      <c r="A8707"/>
    </row>
    <row r="8708" spans="1:1" x14ac:dyDescent="0.35">
      <c r="A8708"/>
    </row>
    <row r="8709" spans="1:1" x14ac:dyDescent="0.35">
      <c r="A8709"/>
    </row>
    <row r="8710" spans="1:1" x14ac:dyDescent="0.35">
      <c r="A8710"/>
    </row>
    <row r="8711" spans="1:1" x14ac:dyDescent="0.35">
      <c r="A8711"/>
    </row>
    <row r="8712" spans="1:1" x14ac:dyDescent="0.35">
      <c r="A8712"/>
    </row>
    <row r="8713" spans="1:1" x14ac:dyDescent="0.35">
      <c r="A8713"/>
    </row>
    <row r="8714" spans="1:1" x14ac:dyDescent="0.35">
      <c r="A8714"/>
    </row>
    <row r="8715" spans="1:1" x14ac:dyDescent="0.35">
      <c r="A8715"/>
    </row>
    <row r="8716" spans="1:1" x14ac:dyDescent="0.35">
      <c r="A8716"/>
    </row>
    <row r="8717" spans="1:1" x14ac:dyDescent="0.35">
      <c r="A8717"/>
    </row>
    <row r="8718" spans="1:1" x14ac:dyDescent="0.35">
      <c r="A8718"/>
    </row>
    <row r="8719" spans="1:1" x14ac:dyDescent="0.35">
      <c r="A8719"/>
    </row>
    <row r="8720" spans="1:1" x14ac:dyDescent="0.35">
      <c r="A8720"/>
    </row>
    <row r="8721" spans="1:1" x14ac:dyDescent="0.35">
      <c r="A8721"/>
    </row>
    <row r="8722" spans="1:1" x14ac:dyDescent="0.35">
      <c r="A8722"/>
    </row>
    <row r="8723" spans="1:1" x14ac:dyDescent="0.35">
      <c r="A8723"/>
    </row>
    <row r="8724" spans="1:1" x14ac:dyDescent="0.35">
      <c r="A8724"/>
    </row>
    <row r="8725" spans="1:1" x14ac:dyDescent="0.35">
      <c r="A8725"/>
    </row>
    <row r="8726" spans="1:1" x14ac:dyDescent="0.35">
      <c r="A8726"/>
    </row>
    <row r="8727" spans="1:1" x14ac:dyDescent="0.35">
      <c r="A8727"/>
    </row>
    <row r="8728" spans="1:1" x14ac:dyDescent="0.35">
      <c r="A8728"/>
    </row>
    <row r="8729" spans="1:1" x14ac:dyDescent="0.35">
      <c r="A8729"/>
    </row>
    <row r="8730" spans="1:1" x14ac:dyDescent="0.35">
      <c r="A8730"/>
    </row>
    <row r="8731" spans="1:1" x14ac:dyDescent="0.35">
      <c r="A8731"/>
    </row>
    <row r="8732" spans="1:1" x14ac:dyDescent="0.35">
      <c r="A8732"/>
    </row>
    <row r="8733" spans="1:1" x14ac:dyDescent="0.35">
      <c r="A8733"/>
    </row>
    <row r="8734" spans="1:1" x14ac:dyDescent="0.35">
      <c r="A8734"/>
    </row>
    <row r="8735" spans="1:1" x14ac:dyDescent="0.35">
      <c r="A8735"/>
    </row>
    <row r="8736" spans="1:1" x14ac:dyDescent="0.35">
      <c r="A8736"/>
    </row>
    <row r="8737" spans="1:1" x14ac:dyDescent="0.35">
      <c r="A8737"/>
    </row>
    <row r="8738" spans="1:1" x14ac:dyDescent="0.35">
      <c r="A8738"/>
    </row>
    <row r="8739" spans="1:1" x14ac:dyDescent="0.35">
      <c r="A8739"/>
    </row>
    <row r="8740" spans="1:1" x14ac:dyDescent="0.35">
      <c r="A8740"/>
    </row>
    <row r="8741" spans="1:1" x14ac:dyDescent="0.35">
      <c r="A8741"/>
    </row>
    <row r="8742" spans="1:1" x14ac:dyDescent="0.35">
      <c r="A8742"/>
    </row>
    <row r="8743" spans="1:1" x14ac:dyDescent="0.35">
      <c r="A8743"/>
    </row>
    <row r="8744" spans="1:1" x14ac:dyDescent="0.35">
      <c r="A8744"/>
    </row>
    <row r="8745" spans="1:1" x14ac:dyDescent="0.35">
      <c r="A8745"/>
    </row>
    <row r="8746" spans="1:1" x14ac:dyDescent="0.35">
      <c r="A8746"/>
    </row>
    <row r="8747" spans="1:1" x14ac:dyDescent="0.35">
      <c r="A8747"/>
    </row>
    <row r="8748" spans="1:1" x14ac:dyDescent="0.35">
      <c r="A8748"/>
    </row>
    <row r="8749" spans="1:1" x14ac:dyDescent="0.35">
      <c r="A8749"/>
    </row>
    <row r="8750" spans="1:1" x14ac:dyDescent="0.35">
      <c r="A8750"/>
    </row>
    <row r="8751" spans="1:1" x14ac:dyDescent="0.35">
      <c r="A8751"/>
    </row>
    <row r="8752" spans="1:1" x14ac:dyDescent="0.35">
      <c r="A8752"/>
    </row>
    <row r="8753" spans="1:1" x14ac:dyDescent="0.35">
      <c r="A8753"/>
    </row>
    <row r="8754" spans="1:1" x14ac:dyDescent="0.35">
      <c r="A8754"/>
    </row>
    <row r="8755" spans="1:1" x14ac:dyDescent="0.35">
      <c r="A8755"/>
    </row>
    <row r="8756" spans="1:1" x14ac:dyDescent="0.35">
      <c r="A8756"/>
    </row>
    <row r="8757" spans="1:1" x14ac:dyDescent="0.35">
      <c r="A8757"/>
    </row>
    <row r="8758" spans="1:1" x14ac:dyDescent="0.35">
      <c r="A8758"/>
    </row>
    <row r="8759" spans="1:1" x14ac:dyDescent="0.35">
      <c r="A8759"/>
    </row>
    <row r="8760" spans="1:1" x14ac:dyDescent="0.35">
      <c r="A8760"/>
    </row>
    <row r="8761" spans="1:1" x14ac:dyDescent="0.35">
      <c r="A8761"/>
    </row>
    <row r="8762" spans="1:1" x14ac:dyDescent="0.35">
      <c r="A8762"/>
    </row>
    <row r="8763" spans="1:1" x14ac:dyDescent="0.35">
      <c r="A8763"/>
    </row>
    <row r="8764" spans="1:1" x14ac:dyDescent="0.35">
      <c r="A8764"/>
    </row>
    <row r="8765" spans="1:1" x14ac:dyDescent="0.35">
      <c r="A8765"/>
    </row>
    <row r="8766" spans="1:1" x14ac:dyDescent="0.35">
      <c r="A8766"/>
    </row>
    <row r="8767" spans="1:1" x14ac:dyDescent="0.35">
      <c r="A8767"/>
    </row>
    <row r="8768" spans="1:1" x14ac:dyDescent="0.35">
      <c r="A8768"/>
    </row>
    <row r="8769" spans="1:1" x14ac:dyDescent="0.35">
      <c r="A8769"/>
    </row>
    <row r="8770" spans="1:1" x14ac:dyDescent="0.35">
      <c r="A8770"/>
    </row>
    <row r="8771" spans="1:1" x14ac:dyDescent="0.35">
      <c r="A8771"/>
    </row>
    <row r="8772" spans="1:1" x14ac:dyDescent="0.35">
      <c r="A8772"/>
    </row>
    <row r="8773" spans="1:1" x14ac:dyDescent="0.35">
      <c r="A8773"/>
    </row>
    <row r="8774" spans="1:1" x14ac:dyDescent="0.35">
      <c r="A8774"/>
    </row>
    <row r="8775" spans="1:1" x14ac:dyDescent="0.35">
      <c r="A8775"/>
    </row>
    <row r="8776" spans="1:1" x14ac:dyDescent="0.35">
      <c r="A8776"/>
    </row>
    <row r="8777" spans="1:1" x14ac:dyDescent="0.35">
      <c r="A8777"/>
    </row>
    <row r="8778" spans="1:1" x14ac:dyDescent="0.35">
      <c r="A8778"/>
    </row>
    <row r="8779" spans="1:1" x14ac:dyDescent="0.35">
      <c r="A8779"/>
    </row>
    <row r="8780" spans="1:1" x14ac:dyDescent="0.35">
      <c r="A8780"/>
    </row>
    <row r="8781" spans="1:1" x14ac:dyDescent="0.35">
      <c r="A8781"/>
    </row>
    <row r="8782" spans="1:1" x14ac:dyDescent="0.35">
      <c r="A8782"/>
    </row>
    <row r="8783" spans="1:1" x14ac:dyDescent="0.35">
      <c r="A8783"/>
    </row>
    <row r="8784" spans="1:1" x14ac:dyDescent="0.35">
      <c r="A8784"/>
    </row>
    <row r="8785" spans="1:1" x14ac:dyDescent="0.35">
      <c r="A8785"/>
    </row>
    <row r="8786" spans="1:1" x14ac:dyDescent="0.35">
      <c r="A8786"/>
    </row>
    <row r="8787" spans="1:1" x14ac:dyDescent="0.35">
      <c r="A8787"/>
    </row>
    <row r="8788" spans="1:1" x14ac:dyDescent="0.35">
      <c r="A8788"/>
    </row>
    <row r="8789" spans="1:1" x14ac:dyDescent="0.35">
      <c r="A8789"/>
    </row>
    <row r="8790" spans="1:1" x14ac:dyDescent="0.35">
      <c r="A8790"/>
    </row>
    <row r="8791" spans="1:1" x14ac:dyDescent="0.35">
      <c r="A8791"/>
    </row>
    <row r="8792" spans="1:1" x14ac:dyDescent="0.35">
      <c r="A8792"/>
    </row>
    <row r="8793" spans="1:1" x14ac:dyDescent="0.35">
      <c r="A8793"/>
    </row>
    <row r="8794" spans="1:1" x14ac:dyDescent="0.35">
      <c r="A8794"/>
    </row>
    <row r="8795" spans="1:1" x14ac:dyDescent="0.35">
      <c r="A8795"/>
    </row>
    <row r="8796" spans="1:1" x14ac:dyDescent="0.35">
      <c r="A8796"/>
    </row>
    <row r="8797" spans="1:1" x14ac:dyDescent="0.35">
      <c r="A8797"/>
    </row>
    <row r="8798" spans="1:1" x14ac:dyDescent="0.35">
      <c r="A8798"/>
    </row>
    <row r="8799" spans="1:1" x14ac:dyDescent="0.35">
      <c r="A8799"/>
    </row>
    <row r="8800" spans="1:1" x14ac:dyDescent="0.35">
      <c r="A8800"/>
    </row>
    <row r="8801" spans="1:1" x14ac:dyDescent="0.35">
      <c r="A8801"/>
    </row>
    <row r="8802" spans="1:1" x14ac:dyDescent="0.35">
      <c r="A8802"/>
    </row>
    <row r="8803" spans="1:1" x14ac:dyDescent="0.35">
      <c r="A8803"/>
    </row>
    <row r="8804" spans="1:1" x14ac:dyDescent="0.35">
      <c r="A8804"/>
    </row>
    <row r="8805" spans="1:1" x14ac:dyDescent="0.35">
      <c r="A8805"/>
    </row>
    <row r="8806" spans="1:1" x14ac:dyDescent="0.35">
      <c r="A8806"/>
    </row>
    <row r="8807" spans="1:1" x14ac:dyDescent="0.35">
      <c r="A8807"/>
    </row>
    <row r="8808" spans="1:1" x14ac:dyDescent="0.35">
      <c r="A8808"/>
    </row>
    <row r="8809" spans="1:1" x14ac:dyDescent="0.35">
      <c r="A8809"/>
    </row>
    <row r="8810" spans="1:1" x14ac:dyDescent="0.35">
      <c r="A8810"/>
    </row>
    <row r="8811" spans="1:1" x14ac:dyDescent="0.35">
      <c r="A8811"/>
    </row>
    <row r="8812" spans="1:1" x14ac:dyDescent="0.35">
      <c r="A8812"/>
    </row>
    <row r="8813" spans="1:1" x14ac:dyDescent="0.35">
      <c r="A8813"/>
    </row>
    <row r="8814" spans="1:1" x14ac:dyDescent="0.35">
      <c r="A8814"/>
    </row>
    <row r="8815" spans="1:1" x14ac:dyDescent="0.35">
      <c r="A8815"/>
    </row>
    <row r="8816" spans="1:1" x14ac:dyDescent="0.35">
      <c r="A8816"/>
    </row>
    <row r="8817" spans="1:1" x14ac:dyDescent="0.35">
      <c r="A8817"/>
    </row>
    <row r="8818" spans="1:1" x14ac:dyDescent="0.35">
      <c r="A8818"/>
    </row>
    <row r="8819" spans="1:1" x14ac:dyDescent="0.35">
      <c r="A8819"/>
    </row>
    <row r="8820" spans="1:1" x14ac:dyDescent="0.35">
      <c r="A8820"/>
    </row>
    <row r="8821" spans="1:1" x14ac:dyDescent="0.35">
      <c r="A8821"/>
    </row>
    <row r="8822" spans="1:1" x14ac:dyDescent="0.35">
      <c r="A8822"/>
    </row>
    <row r="8823" spans="1:1" x14ac:dyDescent="0.35">
      <c r="A8823"/>
    </row>
    <row r="8824" spans="1:1" x14ac:dyDescent="0.35">
      <c r="A8824"/>
    </row>
    <row r="8825" spans="1:1" x14ac:dyDescent="0.35">
      <c r="A8825"/>
    </row>
    <row r="8826" spans="1:1" x14ac:dyDescent="0.35">
      <c r="A8826"/>
    </row>
    <row r="8827" spans="1:1" x14ac:dyDescent="0.35">
      <c r="A8827"/>
    </row>
    <row r="8828" spans="1:1" x14ac:dyDescent="0.35">
      <c r="A8828"/>
    </row>
    <row r="8829" spans="1:1" x14ac:dyDescent="0.35">
      <c r="A8829"/>
    </row>
    <row r="8830" spans="1:1" x14ac:dyDescent="0.35">
      <c r="A8830"/>
    </row>
    <row r="8831" spans="1:1" x14ac:dyDescent="0.35">
      <c r="A8831"/>
    </row>
    <row r="8832" spans="1:1" x14ac:dyDescent="0.35">
      <c r="A8832"/>
    </row>
    <row r="8833" spans="1:1" x14ac:dyDescent="0.35">
      <c r="A8833"/>
    </row>
    <row r="8834" spans="1:1" x14ac:dyDescent="0.35">
      <c r="A8834"/>
    </row>
    <row r="8835" spans="1:1" x14ac:dyDescent="0.35">
      <c r="A8835"/>
    </row>
    <row r="8836" spans="1:1" x14ac:dyDescent="0.35">
      <c r="A8836"/>
    </row>
    <row r="8837" spans="1:1" x14ac:dyDescent="0.35">
      <c r="A8837"/>
    </row>
    <row r="8838" spans="1:1" x14ac:dyDescent="0.35">
      <c r="A8838"/>
    </row>
    <row r="8839" spans="1:1" x14ac:dyDescent="0.35">
      <c r="A8839"/>
    </row>
    <row r="8840" spans="1:1" x14ac:dyDescent="0.35">
      <c r="A8840"/>
    </row>
    <row r="8841" spans="1:1" x14ac:dyDescent="0.35">
      <c r="A8841"/>
    </row>
    <row r="8842" spans="1:1" x14ac:dyDescent="0.35">
      <c r="A8842"/>
    </row>
    <row r="8843" spans="1:1" x14ac:dyDescent="0.35">
      <c r="A8843"/>
    </row>
    <row r="8844" spans="1:1" x14ac:dyDescent="0.35">
      <c r="A8844"/>
    </row>
    <row r="8845" spans="1:1" x14ac:dyDescent="0.35">
      <c r="A8845"/>
    </row>
    <row r="8846" spans="1:1" x14ac:dyDescent="0.35">
      <c r="A8846"/>
    </row>
    <row r="8847" spans="1:1" x14ac:dyDescent="0.35">
      <c r="A8847"/>
    </row>
    <row r="8848" spans="1:1" x14ac:dyDescent="0.35">
      <c r="A8848"/>
    </row>
    <row r="8849" spans="1:1" x14ac:dyDescent="0.35">
      <c r="A8849"/>
    </row>
    <row r="8850" spans="1:1" x14ac:dyDescent="0.35">
      <c r="A8850"/>
    </row>
    <row r="8851" spans="1:1" x14ac:dyDescent="0.35">
      <c r="A8851"/>
    </row>
    <row r="8852" spans="1:1" x14ac:dyDescent="0.35">
      <c r="A8852"/>
    </row>
    <row r="8853" spans="1:1" x14ac:dyDescent="0.35">
      <c r="A8853"/>
    </row>
    <row r="8854" spans="1:1" x14ac:dyDescent="0.35">
      <c r="A8854"/>
    </row>
    <row r="8855" spans="1:1" x14ac:dyDescent="0.35">
      <c r="A8855"/>
    </row>
    <row r="8856" spans="1:1" x14ac:dyDescent="0.35">
      <c r="A8856"/>
    </row>
    <row r="8857" spans="1:1" x14ac:dyDescent="0.35">
      <c r="A8857"/>
    </row>
    <row r="8858" spans="1:1" x14ac:dyDescent="0.35">
      <c r="A8858"/>
    </row>
    <row r="8859" spans="1:1" x14ac:dyDescent="0.35">
      <c r="A8859"/>
    </row>
    <row r="8860" spans="1:1" x14ac:dyDescent="0.35">
      <c r="A8860"/>
    </row>
    <row r="8861" spans="1:1" x14ac:dyDescent="0.35">
      <c r="A8861"/>
    </row>
    <row r="8862" spans="1:1" x14ac:dyDescent="0.35">
      <c r="A8862"/>
    </row>
    <row r="8863" spans="1:1" x14ac:dyDescent="0.35">
      <c r="A8863"/>
    </row>
    <row r="8864" spans="1:1" x14ac:dyDescent="0.35">
      <c r="A8864"/>
    </row>
    <row r="8865" spans="1:1" x14ac:dyDescent="0.35">
      <c r="A8865"/>
    </row>
    <row r="8866" spans="1:1" x14ac:dyDescent="0.35">
      <c r="A8866"/>
    </row>
    <row r="8867" spans="1:1" x14ac:dyDescent="0.35">
      <c r="A8867"/>
    </row>
    <row r="8868" spans="1:1" x14ac:dyDescent="0.35">
      <c r="A8868"/>
    </row>
    <row r="8869" spans="1:1" x14ac:dyDescent="0.35">
      <c r="A8869"/>
    </row>
    <row r="8870" spans="1:1" x14ac:dyDescent="0.35">
      <c r="A8870"/>
    </row>
    <row r="8871" spans="1:1" x14ac:dyDescent="0.35">
      <c r="A8871"/>
    </row>
    <row r="8872" spans="1:1" x14ac:dyDescent="0.35">
      <c r="A8872"/>
    </row>
    <row r="8873" spans="1:1" x14ac:dyDescent="0.35">
      <c r="A8873"/>
    </row>
    <row r="8874" spans="1:1" x14ac:dyDescent="0.35">
      <c r="A8874"/>
    </row>
    <row r="8875" spans="1:1" x14ac:dyDescent="0.35">
      <c r="A8875"/>
    </row>
    <row r="8876" spans="1:1" x14ac:dyDescent="0.35">
      <c r="A8876"/>
    </row>
    <row r="8877" spans="1:1" x14ac:dyDescent="0.35">
      <c r="A8877"/>
    </row>
    <row r="8878" spans="1:1" x14ac:dyDescent="0.35">
      <c r="A8878"/>
    </row>
    <row r="8879" spans="1:1" x14ac:dyDescent="0.35">
      <c r="A8879"/>
    </row>
    <row r="8880" spans="1:1" x14ac:dyDescent="0.35">
      <c r="A8880"/>
    </row>
    <row r="8881" spans="1:1" x14ac:dyDescent="0.35">
      <c r="A8881"/>
    </row>
    <row r="8882" spans="1:1" x14ac:dyDescent="0.35">
      <c r="A8882"/>
    </row>
    <row r="8883" spans="1:1" x14ac:dyDescent="0.35">
      <c r="A8883"/>
    </row>
    <row r="8884" spans="1:1" x14ac:dyDescent="0.35">
      <c r="A8884"/>
    </row>
    <row r="8885" spans="1:1" x14ac:dyDescent="0.35">
      <c r="A8885"/>
    </row>
    <row r="8886" spans="1:1" x14ac:dyDescent="0.35">
      <c r="A8886"/>
    </row>
    <row r="8887" spans="1:1" x14ac:dyDescent="0.35">
      <c r="A8887"/>
    </row>
    <row r="8888" spans="1:1" x14ac:dyDescent="0.35">
      <c r="A8888"/>
    </row>
    <row r="8889" spans="1:1" x14ac:dyDescent="0.35">
      <c r="A8889"/>
    </row>
    <row r="8890" spans="1:1" x14ac:dyDescent="0.35">
      <c r="A8890"/>
    </row>
    <row r="8891" spans="1:1" x14ac:dyDescent="0.35">
      <c r="A8891"/>
    </row>
    <row r="8892" spans="1:1" x14ac:dyDescent="0.35">
      <c r="A8892"/>
    </row>
    <row r="8893" spans="1:1" x14ac:dyDescent="0.35">
      <c r="A8893"/>
    </row>
    <row r="8894" spans="1:1" x14ac:dyDescent="0.35">
      <c r="A8894"/>
    </row>
    <row r="8895" spans="1:1" x14ac:dyDescent="0.35">
      <c r="A8895"/>
    </row>
    <row r="8896" spans="1:1" x14ac:dyDescent="0.35">
      <c r="A8896"/>
    </row>
    <row r="8897" spans="1:1" x14ac:dyDescent="0.35">
      <c r="A8897"/>
    </row>
    <row r="8898" spans="1:1" x14ac:dyDescent="0.35">
      <c r="A8898"/>
    </row>
    <row r="8899" spans="1:1" x14ac:dyDescent="0.35">
      <c r="A8899"/>
    </row>
    <row r="8900" spans="1:1" x14ac:dyDescent="0.35">
      <c r="A8900"/>
    </row>
    <row r="8901" spans="1:1" x14ac:dyDescent="0.35">
      <c r="A8901"/>
    </row>
    <row r="8902" spans="1:1" x14ac:dyDescent="0.35">
      <c r="A8902"/>
    </row>
    <row r="8903" spans="1:1" x14ac:dyDescent="0.35">
      <c r="A8903"/>
    </row>
    <row r="8904" spans="1:1" x14ac:dyDescent="0.35">
      <c r="A8904"/>
    </row>
    <row r="8905" spans="1:1" x14ac:dyDescent="0.35">
      <c r="A8905"/>
    </row>
    <row r="8906" spans="1:1" x14ac:dyDescent="0.35">
      <c r="A8906"/>
    </row>
    <row r="8907" spans="1:1" x14ac:dyDescent="0.35">
      <c r="A8907"/>
    </row>
    <row r="8908" spans="1:1" x14ac:dyDescent="0.35">
      <c r="A8908"/>
    </row>
    <row r="8909" spans="1:1" x14ac:dyDescent="0.35">
      <c r="A8909"/>
    </row>
    <row r="8910" spans="1:1" x14ac:dyDescent="0.35">
      <c r="A8910"/>
    </row>
    <row r="8911" spans="1:1" x14ac:dyDescent="0.35">
      <c r="A8911"/>
    </row>
    <row r="8912" spans="1:1" x14ac:dyDescent="0.35">
      <c r="A8912"/>
    </row>
    <row r="8913" spans="1:1" x14ac:dyDescent="0.35">
      <c r="A8913"/>
    </row>
    <row r="8914" spans="1:1" x14ac:dyDescent="0.35">
      <c r="A8914"/>
    </row>
    <row r="8915" spans="1:1" x14ac:dyDescent="0.35">
      <c r="A8915"/>
    </row>
    <row r="8916" spans="1:1" x14ac:dyDescent="0.35">
      <c r="A8916"/>
    </row>
    <row r="8917" spans="1:1" x14ac:dyDescent="0.35">
      <c r="A8917"/>
    </row>
    <row r="8918" spans="1:1" x14ac:dyDescent="0.35">
      <c r="A8918"/>
    </row>
    <row r="8919" spans="1:1" x14ac:dyDescent="0.35">
      <c r="A8919"/>
    </row>
    <row r="8920" spans="1:1" x14ac:dyDescent="0.35">
      <c r="A8920"/>
    </row>
    <row r="8921" spans="1:1" x14ac:dyDescent="0.35">
      <c r="A8921"/>
    </row>
    <row r="8922" spans="1:1" x14ac:dyDescent="0.35">
      <c r="A8922"/>
    </row>
    <row r="8923" spans="1:1" x14ac:dyDescent="0.35">
      <c r="A8923"/>
    </row>
    <row r="8924" spans="1:1" x14ac:dyDescent="0.35">
      <c r="A8924"/>
    </row>
    <row r="8925" spans="1:1" x14ac:dyDescent="0.35">
      <c r="A8925"/>
    </row>
    <row r="8926" spans="1:1" x14ac:dyDescent="0.35">
      <c r="A8926"/>
    </row>
    <row r="8927" spans="1:1" x14ac:dyDescent="0.35">
      <c r="A8927"/>
    </row>
    <row r="8928" spans="1:1" x14ac:dyDescent="0.35">
      <c r="A8928"/>
    </row>
    <row r="8929" spans="1:1" x14ac:dyDescent="0.35">
      <c r="A8929"/>
    </row>
    <row r="8930" spans="1:1" x14ac:dyDescent="0.35">
      <c r="A8930"/>
    </row>
    <row r="8931" spans="1:1" x14ac:dyDescent="0.35">
      <c r="A8931"/>
    </row>
    <row r="8932" spans="1:1" x14ac:dyDescent="0.35">
      <c r="A8932"/>
    </row>
    <row r="8933" spans="1:1" x14ac:dyDescent="0.35">
      <c r="A8933"/>
    </row>
    <row r="8934" spans="1:1" x14ac:dyDescent="0.35">
      <c r="A8934"/>
    </row>
    <row r="8935" spans="1:1" x14ac:dyDescent="0.35">
      <c r="A8935"/>
    </row>
    <row r="8936" spans="1:1" x14ac:dyDescent="0.35">
      <c r="A8936"/>
    </row>
    <row r="8937" spans="1:1" x14ac:dyDescent="0.35">
      <c r="A8937"/>
    </row>
    <row r="8938" spans="1:1" x14ac:dyDescent="0.35">
      <c r="A8938"/>
    </row>
    <row r="8939" spans="1:1" x14ac:dyDescent="0.35">
      <c r="A8939"/>
    </row>
    <row r="8940" spans="1:1" x14ac:dyDescent="0.35">
      <c r="A8940"/>
    </row>
    <row r="8941" spans="1:1" x14ac:dyDescent="0.35">
      <c r="A8941"/>
    </row>
    <row r="8942" spans="1:1" x14ac:dyDescent="0.35">
      <c r="A8942"/>
    </row>
    <row r="8943" spans="1:1" x14ac:dyDescent="0.35">
      <c r="A8943"/>
    </row>
    <row r="8944" spans="1:1" x14ac:dyDescent="0.35">
      <c r="A8944"/>
    </row>
    <row r="8945" spans="1:1" x14ac:dyDescent="0.35">
      <c r="A8945"/>
    </row>
    <row r="8946" spans="1:1" x14ac:dyDescent="0.35">
      <c r="A8946"/>
    </row>
    <row r="8947" spans="1:1" x14ac:dyDescent="0.35">
      <c r="A8947"/>
    </row>
    <row r="8948" spans="1:1" x14ac:dyDescent="0.35">
      <c r="A8948"/>
    </row>
    <row r="8949" spans="1:1" x14ac:dyDescent="0.35">
      <c r="A8949"/>
    </row>
    <row r="8950" spans="1:1" x14ac:dyDescent="0.35">
      <c r="A8950"/>
    </row>
    <row r="8951" spans="1:1" x14ac:dyDescent="0.35">
      <c r="A8951"/>
    </row>
    <row r="8952" spans="1:1" x14ac:dyDescent="0.35">
      <c r="A8952"/>
    </row>
    <row r="8953" spans="1:1" x14ac:dyDescent="0.35">
      <c r="A8953"/>
    </row>
    <row r="8954" spans="1:1" x14ac:dyDescent="0.35">
      <c r="A8954"/>
    </row>
    <row r="8955" spans="1:1" x14ac:dyDescent="0.35">
      <c r="A8955"/>
    </row>
    <row r="8956" spans="1:1" x14ac:dyDescent="0.35">
      <c r="A8956"/>
    </row>
    <row r="8957" spans="1:1" x14ac:dyDescent="0.35">
      <c r="A8957"/>
    </row>
    <row r="8958" spans="1:1" x14ac:dyDescent="0.35">
      <c r="A8958"/>
    </row>
    <row r="8959" spans="1:1" x14ac:dyDescent="0.35">
      <c r="A8959"/>
    </row>
    <row r="8960" spans="1:1" x14ac:dyDescent="0.35">
      <c r="A8960"/>
    </row>
    <row r="8961" spans="1:1" x14ac:dyDescent="0.35">
      <c r="A8961"/>
    </row>
    <row r="8962" spans="1:1" x14ac:dyDescent="0.35">
      <c r="A8962"/>
    </row>
    <row r="8963" spans="1:1" x14ac:dyDescent="0.35">
      <c r="A8963"/>
    </row>
    <row r="8964" spans="1:1" x14ac:dyDescent="0.35">
      <c r="A8964"/>
    </row>
    <row r="8965" spans="1:1" x14ac:dyDescent="0.35">
      <c r="A8965"/>
    </row>
    <row r="8966" spans="1:1" x14ac:dyDescent="0.35">
      <c r="A8966"/>
    </row>
    <row r="8967" spans="1:1" x14ac:dyDescent="0.35">
      <c r="A8967"/>
    </row>
    <row r="8968" spans="1:1" x14ac:dyDescent="0.35">
      <c r="A8968"/>
    </row>
    <row r="8969" spans="1:1" x14ac:dyDescent="0.35">
      <c r="A8969"/>
    </row>
    <row r="8970" spans="1:1" x14ac:dyDescent="0.35">
      <c r="A8970"/>
    </row>
    <row r="8971" spans="1:1" x14ac:dyDescent="0.35">
      <c r="A8971"/>
    </row>
    <row r="8972" spans="1:1" x14ac:dyDescent="0.35">
      <c r="A8972"/>
    </row>
    <row r="8973" spans="1:1" x14ac:dyDescent="0.35">
      <c r="A8973"/>
    </row>
    <row r="8974" spans="1:1" x14ac:dyDescent="0.35">
      <c r="A8974"/>
    </row>
    <row r="8975" spans="1:1" x14ac:dyDescent="0.35">
      <c r="A8975"/>
    </row>
    <row r="8976" spans="1:1" x14ac:dyDescent="0.35">
      <c r="A8976"/>
    </row>
    <row r="8977" spans="1:1" x14ac:dyDescent="0.35">
      <c r="A8977"/>
    </row>
    <row r="8978" spans="1:1" x14ac:dyDescent="0.35">
      <c r="A8978"/>
    </row>
    <row r="8979" spans="1:1" x14ac:dyDescent="0.35">
      <c r="A8979"/>
    </row>
    <row r="8980" spans="1:1" x14ac:dyDescent="0.35">
      <c r="A8980"/>
    </row>
    <row r="8981" spans="1:1" x14ac:dyDescent="0.35">
      <c r="A8981"/>
    </row>
    <row r="8982" spans="1:1" x14ac:dyDescent="0.35">
      <c r="A8982"/>
    </row>
    <row r="8983" spans="1:1" x14ac:dyDescent="0.35">
      <c r="A8983"/>
    </row>
    <row r="8984" spans="1:1" x14ac:dyDescent="0.35">
      <c r="A8984"/>
    </row>
    <row r="8985" spans="1:1" x14ac:dyDescent="0.35">
      <c r="A8985"/>
    </row>
    <row r="8986" spans="1:1" x14ac:dyDescent="0.35">
      <c r="A8986"/>
    </row>
    <row r="8987" spans="1:1" x14ac:dyDescent="0.35">
      <c r="A8987"/>
    </row>
    <row r="8988" spans="1:1" x14ac:dyDescent="0.35">
      <c r="A8988"/>
    </row>
    <row r="8989" spans="1:1" x14ac:dyDescent="0.35">
      <c r="A8989"/>
    </row>
    <row r="8990" spans="1:1" x14ac:dyDescent="0.35">
      <c r="A8990"/>
    </row>
    <row r="8991" spans="1:1" x14ac:dyDescent="0.35">
      <c r="A8991"/>
    </row>
    <row r="8992" spans="1:1" x14ac:dyDescent="0.35">
      <c r="A8992"/>
    </row>
    <row r="8993" spans="1:1" x14ac:dyDescent="0.35">
      <c r="A8993"/>
    </row>
    <row r="8994" spans="1:1" x14ac:dyDescent="0.35">
      <c r="A8994"/>
    </row>
    <row r="8995" spans="1:1" x14ac:dyDescent="0.35">
      <c r="A8995"/>
    </row>
    <row r="8996" spans="1:1" x14ac:dyDescent="0.35">
      <c r="A8996"/>
    </row>
    <row r="8997" spans="1:1" x14ac:dyDescent="0.35">
      <c r="A8997"/>
    </row>
    <row r="8998" spans="1:1" x14ac:dyDescent="0.35">
      <c r="A8998"/>
    </row>
    <row r="8999" spans="1:1" x14ac:dyDescent="0.35">
      <c r="A8999"/>
    </row>
    <row r="9000" spans="1:1" x14ac:dyDescent="0.35">
      <c r="A9000"/>
    </row>
    <row r="9001" spans="1:1" x14ac:dyDescent="0.35">
      <c r="A9001"/>
    </row>
    <row r="9002" spans="1:1" x14ac:dyDescent="0.35">
      <c r="A9002"/>
    </row>
    <row r="9003" spans="1:1" x14ac:dyDescent="0.35">
      <c r="A9003"/>
    </row>
    <row r="9004" spans="1:1" x14ac:dyDescent="0.35">
      <c r="A9004"/>
    </row>
    <row r="9005" spans="1:1" x14ac:dyDescent="0.35">
      <c r="A9005"/>
    </row>
    <row r="9006" spans="1:1" x14ac:dyDescent="0.35">
      <c r="A9006"/>
    </row>
    <row r="9007" spans="1:1" x14ac:dyDescent="0.35">
      <c r="A9007"/>
    </row>
    <row r="9008" spans="1:1" x14ac:dyDescent="0.35">
      <c r="A9008"/>
    </row>
    <row r="9009" spans="1:1" x14ac:dyDescent="0.35">
      <c r="A9009"/>
    </row>
    <row r="9010" spans="1:1" x14ac:dyDescent="0.35">
      <c r="A9010"/>
    </row>
    <row r="9011" spans="1:1" x14ac:dyDescent="0.35">
      <c r="A9011"/>
    </row>
    <row r="9012" spans="1:1" x14ac:dyDescent="0.35">
      <c r="A9012"/>
    </row>
    <row r="9013" spans="1:1" x14ac:dyDescent="0.35">
      <c r="A9013"/>
    </row>
    <row r="9014" spans="1:1" x14ac:dyDescent="0.35">
      <c r="A9014"/>
    </row>
    <row r="9015" spans="1:1" x14ac:dyDescent="0.35">
      <c r="A9015"/>
    </row>
    <row r="9016" spans="1:1" x14ac:dyDescent="0.35">
      <c r="A9016"/>
    </row>
    <row r="9017" spans="1:1" x14ac:dyDescent="0.35">
      <c r="A9017"/>
    </row>
    <row r="9018" spans="1:1" x14ac:dyDescent="0.35">
      <c r="A9018"/>
    </row>
    <row r="9019" spans="1:1" x14ac:dyDescent="0.35">
      <c r="A9019"/>
    </row>
    <row r="9020" spans="1:1" x14ac:dyDescent="0.35">
      <c r="A9020"/>
    </row>
    <row r="9021" spans="1:1" x14ac:dyDescent="0.35">
      <c r="A9021"/>
    </row>
    <row r="9022" spans="1:1" x14ac:dyDescent="0.35">
      <c r="A9022"/>
    </row>
    <row r="9023" spans="1:1" x14ac:dyDescent="0.35">
      <c r="A9023"/>
    </row>
    <row r="9024" spans="1:1" x14ac:dyDescent="0.35">
      <c r="A9024"/>
    </row>
    <row r="9025" spans="1:1" x14ac:dyDescent="0.35">
      <c r="A9025"/>
    </row>
    <row r="9026" spans="1:1" x14ac:dyDescent="0.35">
      <c r="A9026"/>
    </row>
    <row r="9027" spans="1:1" x14ac:dyDescent="0.35">
      <c r="A9027"/>
    </row>
    <row r="9028" spans="1:1" x14ac:dyDescent="0.35">
      <c r="A9028"/>
    </row>
    <row r="9029" spans="1:1" x14ac:dyDescent="0.35">
      <c r="A9029"/>
    </row>
    <row r="9030" spans="1:1" x14ac:dyDescent="0.35">
      <c r="A9030"/>
    </row>
    <row r="9031" spans="1:1" x14ac:dyDescent="0.35">
      <c r="A9031"/>
    </row>
    <row r="9032" spans="1:1" x14ac:dyDescent="0.35">
      <c r="A9032"/>
    </row>
    <row r="9033" spans="1:1" x14ac:dyDescent="0.35">
      <c r="A9033"/>
    </row>
    <row r="9034" spans="1:1" x14ac:dyDescent="0.35">
      <c r="A9034"/>
    </row>
    <row r="9035" spans="1:1" x14ac:dyDescent="0.35">
      <c r="A9035"/>
    </row>
    <row r="9036" spans="1:1" x14ac:dyDescent="0.35">
      <c r="A9036"/>
    </row>
    <row r="9037" spans="1:1" x14ac:dyDescent="0.35">
      <c r="A9037"/>
    </row>
    <row r="9038" spans="1:1" x14ac:dyDescent="0.35">
      <c r="A9038"/>
    </row>
    <row r="9039" spans="1:1" x14ac:dyDescent="0.35">
      <c r="A9039"/>
    </row>
    <row r="9040" spans="1:1" x14ac:dyDescent="0.35">
      <c r="A9040"/>
    </row>
    <row r="9041" spans="1:1" x14ac:dyDescent="0.35">
      <c r="A9041"/>
    </row>
    <row r="9042" spans="1:1" x14ac:dyDescent="0.35">
      <c r="A9042"/>
    </row>
    <row r="9043" spans="1:1" x14ac:dyDescent="0.35">
      <c r="A9043"/>
    </row>
    <row r="9044" spans="1:1" x14ac:dyDescent="0.35">
      <c r="A9044"/>
    </row>
    <row r="9045" spans="1:1" x14ac:dyDescent="0.35">
      <c r="A9045"/>
    </row>
    <row r="9046" spans="1:1" x14ac:dyDescent="0.35">
      <c r="A9046"/>
    </row>
    <row r="9047" spans="1:1" x14ac:dyDescent="0.35">
      <c r="A9047"/>
    </row>
    <row r="9048" spans="1:1" x14ac:dyDescent="0.35">
      <c r="A9048"/>
    </row>
    <row r="9049" spans="1:1" x14ac:dyDescent="0.35">
      <c r="A9049"/>
    </row>
    <row r="9050" spans="1:1" x14ac:dyDescent="0.35">
      <c r="A9050"/>
    </row>
    <row r="9051" spans="1:1" x14ac:dyDescent="0.35">
      <c r="A9051"/>
    </row>
    <row r="9052" spans="1:1" x14ac:dyDescent="0.35">
      <c r="A9052"/>
    </row>
    <row r="9053" spans="1:1" x14ac:dyDescent="0.35">
      <c r="A9053"/>
    </row>
    <row r="9054" spans="1:1" x14ac:dyDescent="0.35">
      <c r="A9054"/>
    </row>
    <row r="9055" spans="1:1" x14ac:dyDescent="0.35">
      <c r="A9055"/>
    </row>
    <row r="9056" spans="1:1" x14ac:dyDescent="0.35">
      <c r="A9056"/>
    </row>
    <row r="9057" spans="1:1" x14ac:dyDescent="0.35">
      <c r="A9057"/>
    </row>
    <row r="9058" spans="1:1" x14ac:dyDescent="0.35">
      <c r="A9058"/>
    </row>
    <row r="9059" spans="1:1" x14ac:dyDescent="0.35">
      <c r="A9059"/>
    </row>
    <row r="9060" spans="1:1" x14ac:dyDescent="0.35">
      <c r="A9060"/>
    </row>
    <row r="9061" spans="1:1" x14ac:dyDescent="0.35">
      <c r="A9061"/>
    </row>
    <row r="9062" spans="1:1" x14ac:dyDescent="0.35">
      <c r="A9062"/>
    </row>
    <row r="9063" spans="1:1" x14ac:dyDescent="0.35">
      <c r="A9063"/>
    </row>
    <row r="9064" spans="1:1" x14ac:dyDescent="0.35">
      <c r="A9064"/>
    </row>
    <row r="9065" spans="1:1" x14ac:dyDescent="0.35">
      <c r="A9065"/>
    </row>
    <row r="9066" spans="1:1" x14ac:dyDescent="0.35">
      <c r="A9066"/>
    </row>
    <row r="9067" spans="1:1" x14ac:dyDescent="0.35">
      <c r="A9067"/>
    </row>
    <row r="9068" spans="1:1" x14ac:dyDescent="0.35">
      <c r="A9068"/>
    </row>
    <row r="9069" spans="1:1" x14ac:dyDescent="0.35">
      <c r="A9069"/>
    </row>
    <row r="9070" spans="1:1" x14ac:dyDescent="0.35">
      <c r="A9070"/>
    </row>
    <row r="9071" spans="1:1" x14ac:dyDescent="0.35">
      <c r="A9071"/>
    </row>
    <row r="9072" spans="1:1" x14ac:dyDescent="0.35">
      <c r="A9072"/>
    </row>
    <row r="9073" spans="1:1" x14ac:dyDescent="0.35">
      <c r="A9073"/>
    </row>
    <row r="9074" spans="1:1" x14ac:dyDescent="0.35">
      <c r="A9074"/>
    </row>
    <row r="9075" spans="1:1" x14ac:dyDescent="0.35">
      <c r="A9075"/>
    </row>
    <row r="9076" spans="1:1" x14ac:dyDescent="0.35">
      <c r="A9076"/>
    </row>
    <row r="9077" spans="1:1" x14ac:dyDescent="0.35">
      <c r="A9077"/>
    </row>
    <row r="9078" spans="1:1" x14ac:dyDescent="0.35">
      <c r="A9078"/>
    </row>
    <row r="9079" spans="1:1" x14ac:dyDescent="0.35">
      <c r="A9079"/>
    </row>
    <row r="9080" spans="1:1" x14ac:dyDescent="0.35">
      <c r="A9080"/>
    </row>
    <row r="9081" spans="1:1" x14ac:dyDescent="0.35">
      <c r="A9081"/>
    </row>
    <row r="9082" spans="1:1" x14ac:dyDescent="0.35">
      <c r="A9082"/>
    </row>
    <row r="9083" spans="1:1" x14ac:dyDescent="0.35">
      <c r="A9083"/>
    </row>
    <row r="9084" spans="1:1" x14ac:dyDescent="0.35">
      <c r="A9084"/>
    </row>
    <row r="9085" spans="1:1" x14ac:dyDescent="0.35">
      <c r="A9085"/>
    </row>
    <row r="9086" spans="1:1" x14ac:dyDescent="0.35">
      <c r="A9086"/>
    </row>
    <row r="9087" spans="1:1" x14ac:dyDescent="0.35">
      <c r="A9087"/>
    </row>
    <row r="9088" spans="1:1" x14ac:dyDescent="0.35">
      <c r="A9088"/>
    </row>
    <row r="9089" spans="1:1" x14ac:dyDescent="0.35">
      <c r="A9089"/>
    </row>
    <row r="9090" spans="1:1" x14ac:dyDescent="0.35">
      <c r="A9090"/>
    </row>
    <row r="9091" spans="1:1" x14ac:dyDescent="0.35">
      <c r="A9091"/>
    </row>
    <row r="9092" spans="1:1" x14ac:dyDescent="0.35">
      <c r="A9092"/>
    </row>
    <row r="9093" spans="1:1" x14ac:dyDescent="0.35">
      <c r="A9093"/>
    </row>
    <row r="9094" spans="1:1" x14ac:dyDescent="0.35">
      <c r="A9094"/>
    </row>
    <row r="9095" spans="1:1" x14ac:dyDescent="0.35">
      <c r="A9095"/>
    </row>
    <row r="9096" spans="1:1" x14ac:dyDescent="0.35">
      <c r="A9096"/>
    </row>
    <row r="9097" spans="1:1" x14ac:dyDescent="0.35">
      <c r="A9097"/>
    </row>
    <row r="9098" spans="1:1" x14ac:dyDescent="0.35">
      <c r="A9098"/>
    </row>
    <row r="9099" spans="1:1" x14ac:dyDescent="0.35">
      <c r="A9099"/>
    </row>
    <row r="9100" spans="1:1" x14ac:dyDescent="0.35">
      <c r="A9100"/>
    </row>
    <row r="9101" spans="1:1" x14ac:dyDescent="0.35">
      <c r="A9101"/>
    </row>
    <row r="9102" spans="1:1" x14ac:dyDescent="0.35">
      <c r="A9102"/>
    </row>
    <row r="9103" spans="1:1" x14ac:dyDescent="0.35">
      <c r="A9103"/>
    </row>
    <row r="9104" spans="1:1" x14ac:dyDescent="0.35">
      <c r="A9104"/>
    </row>
    <row r="9105" spans="1:1" x14ac:dyDescent="0.35">
      <c r="A9105"/>
    </row>
    <row r="9106" spans="1:1" x14ac:dyDescent="0.35">
      <c r="A9106"/>
    </row>
    <row r="9107" spans="1:1" x14ac:dyDescent="0.35">
      <c r="A9107"/>
    </row>
    <row r="9108" spans="1:1" x14ac:dyDescent="0.35">
      <c r="A9108"/>
    </row>
    <row r="9109" spans="1:1" x14ac:dyDescent="0.35">
      <c r="A9109"/>
    </row>
    <row r="9110" spans="1:1" x14ac:dyDescent="0.35">
      <c r="A9110"/>
    </row>
    <row r="9111" spans="1:1" x14ac:dyDescent="0.35">
      <c r="A9111"/>
    </row>
    <row r="9112" spans="1:1" x14ac:dyDescent="0.35">
      <c r="A9112"/>
    </row>
    <row r="9113" spans="1:1" x14ac:dyDescent="0.35">
      <c r="A9113"/>
    </row>
    <row r="9114" spans="1:1" x14ac:dyDescent="0.35">
      <c r="A9114"/>
    </row>
    <row r="9115" spans="1:1" x14ac:dyDescent="0.35">
      <c r="A9115"/>
    </row>
    <row r="9116" spans="1:1" x14ac:dyDescent="0.35">
      <c r="A9116"/>
    </row>
    <row r="9117" spans="1:1" x14ac:dyDescent="0.35">
      <c r="A9117"/>
    </row>
    <row r="9118" spans="1:1" x14ac:dyDescent="0.35">
      <c r="A9118"/>
    </row>
    <row r="9119" spans="1:1" x14ac:dyDescent="0.35">
      <c r="A9119"/>
    </row>
    <row r="9120" spans="1:1" x14ac:dyDescent="0.35">
      <c r="A9120"/>
    </row>
    <row r="9121" spans="1:1" x14ac:dyDescent="0.35">
      <c r="A9121"/>
    </row>
    <row r="9122" spans="1:1" x14ac:dyDescent="0.35">
      <c r="A9122"/>
    </row>
    <row r="9123" spans="1:1" x14ac:dyDescent="0.35">
      <c r="A9123"/>
    </row>
    <row r="9124" spans="1:1" x14ac:dyDescent="0.35">
      <c r="A9124"/>
    </row>
    <row r="9125" spans="1:1" x14ac:dyDescent="0.35">
      <c r="A9125"/>
    </row>
    <row r="9126" spans="1:1" x14ac:dyDescent="0.35">
      <c r="A9126"/>
    </row>
    <row r="9127" spans="1:1" x14ac:dyDescent="0.35">
      <c r="A9127"/>
    </row>
    <row r="9128" spans="1:1" x14ac:dyDescent="0.35">
      <c r="A9128"/>
    </row>
    <row r="9129" spans="1:1" x14ac:dyDescent="0.35">
      <c r="A9129"/>
    </row>
    <row r="9130" spans="1:1" x14ac:dyDescent="0.35">
      <c r="A9130"/>
    </row>
    <row r="9131" spans="1:1" x14ac:dyDescent="0.35">
      <c r="A9131"/>
    </row>
    <row r="9132" spans="1:1" x14ac:dyDescent="0.35">
      <c r="A9132"/>
    </row>
    <row r="9133" spans="1:1" x14ac:dyDescent="0.35">
      <c r="A9133"/>
    </row>
    <row r="9134" spans="1:1" x14ac:dyDescent="0.35">
      <c r="A9134"/>
    </row>
    <row r="9135" spans="1:1" x14ac:dyDescent="0.35">
      <c r="A9135"/>
    </row>
    <row r="9136" spans="1:1" x14ac:dyDescent="0.35">
      <c r="A9136"/>
    </row>
    <row r="9137" spans="1:1" x14ac:dyDescent="0.35">
      <c r="A9137"/>
    </row>
    <row r="9138" spans="1:1" x14ac:dyDescent="0.35">
      <c r="A9138"/>
    </row>
    <row r="9139" spans="1:1" x14ac:dyDescent="0.35">
      <c r="A9139"/>
    </row>
    <row r="9140" spans="1:1" x14ac:dyDescent="0.35">
      <c r="A9140"/>
    </row>
    <row r="9141" spans="1:1" x14ac:dyDescent="0.35">
      <c r="A9141"/>
    </row>
    <row r="9142" spans="1:1" x14ac:dyDescent="0.35">
      <c r="A9142"/>
    </row>
    <row r="9143" spans="1:1" x14ac:dyDescent="0.35">
      <c r="A9143"/>
    </row>
    <row r="9144" spans="1:1" x14ac:dyDescent="0.35">
      <c r="A9144"/>
    </row>
    <row r="9145" spans="1:1" x14ac:dyDescent="0.35">
      <c r="A9145"/>
    </row>
    <row r="9146" spans="1:1" x14ac:dyDescent="0.35">
      <c r="A9146"/>
    </row>
    <row r="9147" spans="1:1" x14ac:dyDescent="0.35">
      <c r="A9147"/>
    </row>
    <row r="9148" spans="1:1" x14ac:dyDescent="0.35">
      <c r="A9148"/>
    </row>
    <row r="9149" spans="1:1" x14ac:dyDescent="0.35">
      <c r="A9149"/>
    </row>
    <row r="9150" spans="1:1" x14ac:dyDescent="0.35">
      <c r="A9150"/>
    </row>
    <row r="9151" spans="1:1" x14ac:dyDescent="0.35">
      <c r="A9151"/>
    </row>
    <row r="9152" spans="1:1" x14ac:dyDescent="0.35">
      <c r="A9152"/>
    </row>
    <row r="9153" spans="1:1" x14ac:dyDescent="0.35">
      <c r="A9153"/>
    </row>
    <row r="9154" spans="1:1" x14ac:dyDescent="0.35">
      <c r="A9154"/>
    </row>
    <row r="9155" spans="1:1" x14ac:dyDescent="0.35">
      <c r="A9155"/>
    </row>
    <row r="9156" spans="1:1" x14ac:dyDescent="0.35">
      <c r="A9156"/>
    </row>
    <row r="9157" spans="1:1" x14ac:dyDescent="0.35">
      <c r="A9157"/>
    </row>
    <row r="9158" spans="1:1" x14ac:dyDescent="0.35">
      <c r="A9158"/>
    </row>
    <row r="9159" spans="1:1" x14ac:dyDescent="0.35">
      <c r="A9159"/>
    </row>
    <row r="9160" spans="1:1" x14ac:dyDescent="0.35">
      <c r="A9160"/>
    </row>
    <row r="9161" spans="1:1" x14ac:dyDescent="0.35">
      <c r="A9161"/>
    </row>
    <row r="9162" spans="1:1" x14ac:dyDescent="0.35">
      <c r="A9162"/>
    </row>
    <row r="9163" spans="1:1" x14ac:dyDescent="0.35">
      <c r="A9163"/>
    </row>
    <row r="9164" spans="1:1" x14ac:dyDescent="0.35">
      <c r="A9164"/>
    </row>
    <row r="9165" spans="1:1" x14ac:dyDescent="0.35">
      <c r="A9165"/>
    </row>
    <row r="9166" spans="1:1" x14ac:dyDescent="0.35">
      <c r="A9166"/>
    </row>
    <row r="9167" spans="1:1" x14ac:dyDescent="0.35">
      <c r="A9167"/>
    </row>
    <row r="9168" spans="1:1" x14ac:dyDescent="0.35">
      <c r="A9168"/>
    </row>
    <row r="9169" spans="1:1" x14ac:dyDescent="0.35">
      <c r="A9169"/>
    </row>
    <row r="9170" spans="1:1" x14ac:dyDescent="0.35">
      <c r="A9170"/>
    </row>
    <row r="9171" spans="1:1" x14ac:dyDescent="0.35">
      <c r="A9171"/>
    </row>
    <row r="9172" spans="1:1" x14ac:dyDescent="0.35">
      <c r="A9172"/>
    </row>
    <row r="9173" spans="1:1" x14ac:dyDescent="0.35">
      <c r="A9173"/>
    </row>
    <row r="9174" spans="1:1" x14ac:dyDescent="0.35">
      <c r="A9174"/>
    </row>
    <row r="9175" spans="1:1" x14ac:dyDescent="0.35">
      <c r="A9175"/>
    </row>
    <row r="9176" spans="1:1" x14ac:dyDescent="0.35">
      <c r="A9176"/>
    </row>
    <row r="9177" spans="1:1" x14ac:dyDescent="0.35">
      <c r="A9177"/>
    </row>
    <row r="9178" spans="1:1" x14ac:dyDescent="0.35">
      <c r="A9178"/>
    </row>
    <row r="9179" spans="1:1" x14ac:dyDescent="0.35">
      <c r="A9179"/>
    </row>
    <row r="9180" spans="1:1" x14ac:dyDescent="0.35">
      <c r="A9180"/>
    </row>
    <row r="9181" spans="1:1" x14ac:dyDescent="0.35">
      <c r="A9181"/>
    </row>
    <row r="9182" spans="1:1" x14ac:dyDescent="0.35">
      <c r="A9182"/>
    </row>
    <row r="9183" spans="1:1" x14ac:dyDescent="0.35">
      <c r="A9183"/>
    </row>
    <row r="9184" spans="1:1" x14ac:dyDescent="0.35">
      <c r="A9184"/>
    </row>
    <row r="9185" spans="1:1" x14ac:dyDescent="0.35">
      <c r="A9185"/>
    </row>
    <row r="9186" spans="1:1" x14ac:dyDescent="0.35">
      <c r="A9186"/>
    </row>
    <row r="9187" spans="1:1" x14ac:dyDescent="0.35">
      <c r="A9187"/>
    </row>
    <row r="9188" spans="1:1" x14ac:dyDescent="0.35">
      <c r="A9188"/>
    </row>
    <row r="9189" spans="1:1" x14ac:dyDescent="0.35">
      <c r="A9189"/>
    </row>
    <row r="9190" spans="1:1" x14ac:dyDescent="0.35">
      <c r="A9190"/>
    </row>
    <row r="9191" spans="1:1" x14ac:dyDescent="0.35">
      <c r="A9191"/>
    </row>
    <row r="9192" spans="1:1" x14ac:dyDescent="0.35">
      <c r="A9192"/>
    </row>
    <row r="9193" spans="1:1" x14ac:dyDescent="0.35">
      <c r="A9193"/>
    </row>
    <row r="9194" spans="1:1" x14ac:dyDescent="0.35">
      <c r="A9194"/>
    </row>
    <row r="9195" spans="1:1" x14ac:dyDescent="0.35">
      <c r="A9195"/>
    </row>
    <row r="9196" spans="1:1" x14ac:dyDescent="0.35">
      <c r="A9196"/>
    </row>
    <row r="9197" spans="1:1" x14ac:dyDescent="0.35">
      <c r="A9197"/>
    </row>
    <row r="9198" spans="1:1" x14ac:dyDescent="0.35">
      <c r="A9198"/>
    </row>
    <row r="9199" spans="1:1" x14ac:dyDescent="0.35">
      <c r="A9199"/>
    </row>
    <row r="9200" spans="1:1" x14ac:dyDescent="0.35">
      <c r="A9200"/>
    </row>
    <row r="9201" spans="1:1" x14ac:dyDescent="0.35">
      <c r="A9201"/>
    </row>
    <row r="9202" spans="1:1" x14ac:dyDescent="0.35">
      <c r="A9202"/>
    </row>
    <row r="9203" spans="1:1" x14ac:dyDescent="0.35">
      <c r="A9203"/>
    </row>
    <row r="9204" spans="1:1" x14ac:dyDescent="0.35">
      <c r="A9204"/>
    </row>
    <row r="9205" spans="1:1" x14ac:dyDescent="0.35">
      <c r="A9205"/>
    </row>
    <row r="9206" spans="1:1" x14ac:dyDescent="0.35">
      <c r="A9206"/>
    </row>
    <row r="9207" spans="1:1" x14ac:dyDescent="0.35">
      <c r="A9207"/>
    </row>
    <row r="9208" spans="1:1" x14ac:dyDescent="0.35">
      <c r="A9208"/>
    </row>
    <row r="9209" spans="1:1" x14ac:dyDescent="0.35">
      <c r="A9209"/>
    </row>
    <row r="9210" spans="1:1" x14ac:dyDescent="0.35">
      <c r="A9210"/>
    </row>
    <row r="9211" spans="1:1" x14ac:dyDescent="0.35">
      <c r="A9211"/>
    </row>
    <row r="9212" spans="1:1" x14ac:dyDescent="0.35">
      <c r="A9212"/>
    </row>
    <row r="9213" spans="1:1" x14ac:dyDescent="0.35">
      <c r="A9213"/>
    </row>
    <row r="9214" spans="1:1" x14ac:dyDescent="0.35">
      <c r="A9214"/>
    </row>
    <row r="9215" spans="1:1" x14ac:dyDescent="0.35">
      <c r="A9215"/>
    </row>
    <row r="9216" spans="1:1" x14ac:dyDescent="0.35">
      <c r="A9216"/>
    </row>
    <row r="9217" spans="1:1" x14ac:dyDescent="0.35">
      <c r="A9217"/>
    </row>
    <row r="9218" spans="1:1" x14ac:dyDescent="0.35">
      <c r="A9218"/>
    </row>
    <row r="9219" spans="1:1" x14ac:dyDescent="0.35">
      <c r="A9219"/>
    </row>
    <row r="9220" spans="1:1" x14ac:dyDescent="0.35">
      <c r="A9220"/>
    </row>
    <row r="9221" spans="1:1" x14ac:dyDescent="0.35">
      <c r="A9221"/>
    </row>
    <row r="9222" spans="1:1" x14ac:dyDescent="0.35">
      <c r="A9222"/>
    </row>
    <row r="9223" spans="1:1" x14ac:dyDescent="0.35">
      <c r="A9223"/>
    </row>
    <row r="9224" spans="1:1" x14ac:dyDescent="0.35">
      <c r="A9224"/>
    </row>
    <row r="9225" spans="1:1" x14ac:dyDescent="0.35">
      <c r="A9225"/>
    </row>
    <row r="9226" spans="1:1" x14ac:dyDescent="0.35">
      <c r="A9226"/>
    </row>
    <row r="9227" spans="1:1" x14ac:dyDescent="0.35">
      <c r="A9227"/>
    </row>
    <row r="9228" spans="1:1" x14ac:dyDescent="0.35">
      <c r="A9228"/>
    </row>
    <row r="9229" spans="1:1" x14ac:dyDescent="0.35">
      <c r="A9229"/>
    </row>
    <row r="9230" spans="1:1" x14ac:dyDescent="0.35">
      <c r="A9230"/>
    </row>
    <row r="9231" spans="1:1" x14ac:dyDescent="0.35">
      <c r="A9231"/>
    </row>
    <row r="9232" spans="1:1" x14ac:dyDescent="0.35">
      <c r="A9232"/>
    </row>
    <row r="9233" spans="1:1" x14ac:dyDescent="0.35">
      <c r="A9233"/>
    </row>
    <row r="9234" spans="1:1" x14ac:dyDescent="0.35">
      <c r="A9234"/>
    </row>
    <row r="9235" spans="1:1" x14ac:dyDescent="0.35">
      <c r="A9235"/>
    </row>
    <row r="9236" spans="1:1" x14ac:dyDescent="0.35">
      <c r="A9236"/>
    </row>
    <row r="9237" spans="1:1" x14ac:dyDescent="0.35">
      <c r="A9237"/>
    </row>
    <row r="9238" spans="1:1" x14ac:dyDescent="0.35">
      <c r="A9238"/>
    </row>
    <row r="9239" spans="1:1" x14ac:dyDescent="0.35">
      <c r="A9239"/>
    </row>
    <row r="9240" spans="1:1" x14ac:dyDescent="0.35">
      <c r="A9240"/>
    </row>
    <row r="9241" spans="1:1" x14ac:dyDescent="0.35">
      <c r="A9241"/>
    </row>
    <row r="9242" spans="1:1" x14ac:dyDescent="0.35">
      <c r="A9242"/>
    </row>
    <row r="9243" spans="1:1" x14ac:dyDescent="0.35">
      <c r="A9243"/>
    </row>
    <row r="9244" spans="1:1" x14ac:dyDescent="0.35">
      <c r="A9244"/>
    </row>
    <row r="9245" spans="1:1" x14ac:dyDescent="0.35">
      <c r="A9245"/>
    </row>
    <row r="9246" spans="1:1" x14ac:dyDescent="0.35">
      <c r="A9246"/>
    </row>
    <row r="9247" spans="1:1" x14ac:dyDescent="0.35">
      <c r="A9247"/>
    </row>
    <row r="9248" spans="1:1" x14ac:dyDescent="0.35">
      <c r="A9248"/>
    </row>
    <row r="9249" spans="1:1" x14ac:dyDescent="0.35">
      <c r="A9249"/>
    </row>
    <row r="9250" spans="1:1" x14ac:dyDescent="0.35">
      <c r="A9250"/>
    </row>
    <row r="9251" spans="1:1" x14ac:dyDescent="0.35">
      <c r="A9251"/>
    </row>
    <row r="9252" spans="1:1" x14ac:dyDescent="0.35">
      <c r="A9252"/>
    </row>
    <row r="9253" spans="1:1" x14ac:dyDescent="0.35">
      <c r="A9253"/>
    </row>
    <row r="9254" spans="1:1" x14ac:dyDescent="0.35">
      <c r="A9254"/>
    </row>
    <row r="9255" spans="1:1" x14ac:dyDescent="0.35">
      <c r="A9255"/>
    </row>
    <row r="9256" spans="1:1" x14ac:dyDescent="0.35">
      <c r="A9256"/>
    </row>
    <row r="9257" spans="1:1" x14ac:dyDescent="0.35">
      <c r="A9257"/>
    </row>
    <row r="9258" spans="1:1" x14ac:dyDescent="0.35">
      <c r="A9258"/>
    </row>
    <row r="9259" spans="1:1" x14ac:dyDescent="0.35">
      <c r="A9259"/>
    </row>
    <row r="9260" spans="1:1" x14ac:dyDescent="0.35">
      <c r="A9260"/>
    </row>
    <row r="9261" spans="1:1" x14ac:dyDescent="0.35">
      <c r="A9261"/>
    </row>
    <row r="9262" spans="1:1" x14ac:dyDescent="0.35">
      <c r="A9262"/>
    </row>
    <row r="9263" spans="1:1" x14ac:dyDescent="0.35">
      <c r="A9263"/>
    </row>
    <row r="9264" spans="1:1" x14ac:dyDescent="0.35">
      <c r="A9264"/>
    </row>
    <row r="9265" spans="1:1" x14ac:dyDescent="0.35">
      <c r="A9265"/>
    </row>
    <row r="9266" spans="1:1" x14ac:dyDescent="0.35">
      <c r="A9266"/>
    </row>
    <row r="9267" spans="1:1" x14ac:dyDescent="0.35">
      <c r="A9267"/>
    </row>
    <row r="9268" spans="1:1" x14ac:dyDescent="0.35">
      <c r="A9268"/>
    </row>
    <row r="9269" spans="1:1" x14ac:dyDescent="0.35">
      <c r="A9269"/>
    </row>
    <row r="9270" spans="1:1" x14ac:dyDescent="0.35">
      <c r="A9270"/>
    </row>
    <row r="9271" spans="1:1" x14ac:dyDescent="0.35">
      <c r="A9271"/>
    </row>
    <row r="9272" spans="1:1" x14ac:dyDescent="0.35">
      <c r="A9272"/>
    </row>
    <row r="9273" spans="1:1" x14ac:dyDescent="0.35">
      <c r="A9273"/>
    </row>
    <row r="9274" spans="1:1" x14ac:dyDescent="0.35">
      <c r="A9274"/>
    </row>
    <row r="9275" spans="1:1" x14ac:dyDescent="0.35">
      <c r="A9275"/>
    </row>
    <row r="9276" spans="1:1" x14ac:dyDescent="0.35">
      <c r="A9276"/>
    </row>
    <row r="9277" spans="1:1" x14ac:dyDescent="0.35">
      <c r="A9277"/>
    </row>
    <row r="9278" spans="1:1" x14ac:dyDescent="0.35">
      <c r="A9278"/>
    </row>
    <row r="9279" spans="1:1" x14ac:dyDescent="0.35">
      <c r="A9279"/>
    </row>
    <row r="9280" spans="1:1" x14ac:dyDescent="0.35">
      <c r="A9280"/>
    </row>
    <row r="9281" spans="1:1" x14ac:dyDescent="0.35">
      <c r="A9281"/>
    </row>
    <row r="9282" spans="1:1" x14ac:dyDescent="0.35">
      <c r="A9282"/>
    </row>
    <row r="9283" spans="1:1" x14ac:dyDescent="0.35">
      <c r="A9283"/>
    </row>
    <row r="9284" spans="1:1" x14ac:dyDescent="0.35">
      <c r="A9284"/>
    </row>
    <row r="9285" spans="1:1" x14ac:dyDescent="0.35">
      <c r="A9285"/>
    </row>
    <row r="9286" spans="1:1" x14ac:dyDescent="0.35">
      <c r="A9286"/>
    </row>
    <row r="9287" spans="1:1" x14ac:dyDescent="0.35">
      <c r="A9287"/>
    </row>
    <row r="9288" spans="1:1" x14ac:dyDescent="0.35">
      <c r="A9288"/>
    </row>
    <row r="9289" spans="1:1" x14ac:dyDescent="0.35">
      <c r="A9289"/>
    </row>
    <row r="9290" spans="1:1" x14ac:dyDescent="0.35">
      <c r="A9290"/>
    </row>
    <row r="9291" spans="1:1" x14ac:dyDescent="0.35">
      <c r="A9291"/>
    </row>
    <row r="9292" spans="1:1" x14ac:dyDescent="0.35">
      <c r="A9292"/>
    </row>
    <row r="9293" spans="1:1" x14ac:dyDescent="0.35">
      <c r="A9293"/>
    </row>
    <row r="9294" spans="1:1" x14ac:dyDescent="0.35">
      <c r="A9294"/>
    </row>
    <row r="9295" spans="1:1" x14ac:dyDescent="0.35">
      <c r="A9295"/>
    </row>
    <row r="9296" spans="1:1" x14ac:dyDescent="0.35">
      <c r="A9296"/>
    </row>
    <row r="9297" spans="1:1" x14ac:dyDescent="0.35">
      <c r="A9297"/>
    </row>
    <row r="9298" spans="1:1" x14ac:dyDescent="0.35">
      <c r="A9298"/>
    </row>
    <row r="9299" spans="1:1" x14ac:dyDescent="0.35">
      <c r="A9299"/>
    </row>
    <row r="9300" spans="1:1" x14ac:dyDescent="0.35">
      <c r="A9300"/>
    </row>
    <row r="9301" spans="1:1" x14ac:dyDescent="0.35">
      <c r="A9301"/>
    </row>
    <row r="9302" spans="1:1" x14ac:dyDescent="0.35">
      <c r="A9302"/>
    </row>
    <row r="9303" spans="1:1" x14ac:dyDescent="0.35">
      <c r="A9303"/>
    </row>
    <row r="9304" spans="1:1" x14ac:dyDescent="0.35">
      <c r="A9304"/>
    </row>
    <row r="9305" spans="1:1" x14ac:dyDescent="0.35">
      <c r="A9305"/>
    </row>
    <row r="9306" spans="1:1" x14ac:dyDescent="0.35">
      <c r="A9306"/>
    </row>
    <row r="9307" spans="1:1" x14ac:dyDescent="0.35">
      <c r="A9307"/>
    </row>
    <row r="9308" spans="1:1" x14ac:dyDescent="0.35">
      <c r="A9308"/>
    </row>
    <row r="9309" spans="1:1" x14ac:dyDescent="0.35">
      <c r="A9309"/>
    </row>
    <row r="9310" spans="1:1" x14ac:dyDescent="0.35">
      <c r="A9310"/>
    </row>
    <row r="9311" spans="1:1" x14ac:dyDescent="0.35">
      <c r="A9311"/>
    </row>
    <row r="9312" spans="1:1" x14ac:dyDescent="0.35">
      <c r="A9312"/>
    </row>
    <row r="9313" spans="1:1" x14ac:dyDescent="0.35">
      <c r="A9313"/>
    </row>
    <row r="9314" spans="1:1" x14ac:dyDescent="0.35">
      <c r="A9314"/>
    </row>
    <row r="9315" spans="1:1" x14ac:dyDescent="0.35">
      <c r="A9315"/>
    </row>
    <row r="9316" spans="1:1" x14ac:dyDescent="0.35">
      <c r="A9316"/>
    </row>
    <row r="9317" spans="1:1" x14ac:dyDescent="0.35">
      <c r="A9317"/>
    </row>
    <row r="9318" spans="1:1" x14ac:dyDescent="0.35">
      <c r="A9318"/>
    </row>
    <row r="9319" spans="1:1" x14ac:dyDescent="0.35">
      <c r="A9319"/>
    </row>
    <row r="9320" spans="1:1" x14ac:dyDescent="0.35">
      <c r="A9320"/>
    </row>
    <row r="9321" spans="1:1" x14ac:dyDescent="0.35">
      <c r="A9321"/>
    </row>
    <row r="9322" spans="1:1" x14ac:dyDescent="0.35">
      <c r="A9322"/>
    </row>
    <row r="9323" spans="1:1" x14ac:dyDescent="0.35">
      <c r="A9323"/>
    </row>
    <row r="9324" spans="1:1" x14ac:dyDescent="0.35">
      <c r="A9324"/>
    </row>
    <row r="9325" spans="1:1" x14ac:dyDescent="0.35">
      <c r="A9325"/>
    </row>
    <row r="9326" spans="1:1" x14ac:dyDescent="0.35">
      <c r="A9326"/>
    </row>
    <row r="9327" spans="1:1" x14ac:dyDescent="0.35">
      <c r="A9327"/>
    </row>
    <row r="9328" spans="1:1" x14ac:dyDescent="0.35">
      <c r="A9328"/>
    </row>
    <row r="9329" spans="1:1" x14ac:dyDescent="0.35">
      <c r="A9329"/>
    </row>
    <row r="9330" spans="1:1" x14ac:dyDescent="0.35">
      <c r="A9330"/>
    </row>
    <row r="9331" spans="1:1" x14ac:dyDescent="0.35">
      <c r="A9331"/>
    </row>
    <row r="9332" spans="1:1" x14ac:dyDescent="0.35">
      <c r="A9332"/>
    </row>
    <row r="9333" spans="1:1" x14ac:dyDescent="0.35">
      <c r="A9333"/>
    </row>
    <row r="9334" spans="1:1" x14ac:dyDescent="0.35">
      <c r="A9334"/>
    </row>
    <row r="9335" spans="1:1" x14ac:dyDescent="0.35">
      <c r="A9335"/>
    </row>
    <row r="9336" spans="1:1" x14ac:dyDescent="0.35">
      <c r="A9336"/>
    </row>
    <row r="9337" spans="1:1" x14ac:dyDescent="0.35">
      <c r="A9337"/>
    </row>
    <row r="9338" spans="1:1" x14ac:dyDescent="0.35">
      <c r="A9338"/>
    </row>
    <row r="9339" spans="1:1" x14ac:dyDescent="0.35">
      <c r="A9339"/>
    </row>
    <row r="9340" spans="1:1" x14ac:dyDescent="0.35">
      <c r="A9340"/>
    </row>
    <row r="9341" spans="1:1" x14ac:dyDescent="0.35">
      <c r="A9341"/>
    </row>
    <row r="9342" spans="1:1" x14ac:dyDescent="0.35">
      <c r="A9342"/>
    </row>
    <row r="9343" spans="1:1" x14ac:dyDescent="0.35">
      <c r="A9343"/>
    </row>
    <row r="9344" spans="1:1" x14ac:dyDescent="0.35">
      <c r="A9344"/>
    </row>
    <row r="9345" spans="1:1" x14ac:dyDescent="0.35">
      <c r="A9345"/>
    </row>
    <row r="9346" spans="1:1" x14ac:dyDescent="0.35">
      <c r="A9346"/>
    </row>
    <row r="9347" spans="1:1" x14ac:dyDescent="0.35">
      <c r="A9347"/>
    </row>
    <row r="9348" spans="1:1" x14ac:dyDescent="0.35">
      <c r="A9348"/>
    </row>
    <row r="9349" spans="1:1" x14ac:dyDescent="0.35">
      <c r="A9349"/>
    </row>
    <row r="9350" spans="1:1" x14ac:dyDescent="0.35">
      <c r="A9350"/>
    </row>
    <row r="9351" spans="1:1" x14ac:dyDescent="0.35">
      <c r="A9351"/>
    </row>
    <row r="9352" spans="1:1" x14ac:dyDescent="0.35">
      <c r="A9352"/>
    </row>
    <row r="9353" spans="1:1" x14ac:dyDescent="0.35">
      <c r="A9353"/>
    </row>
    <row r="9354" spans="1:1" x14ac:dyDescent="0.35">
      <c r="A9354"/>
    </row>
    <row r="9355" spans="1:1" x14ac:dyDescent="0.35">
      <c r="A9355"/>
    </row>
    <row r="9356" spans="1:1" x14ac:dyDescent="0.35">
      <c r="A9356"/>
    </row>
    <row r="9357" spans="1:1" x14ac:dyDescent="0.35">
      <c r="A9357"/>
    </row>
    <row r="9358" spans="1:1" x14ac:dyDescent="0.35">
      <c r="A9358"/>
    </row>
    <row r="9359" spans="1:1" x14ac:dyDescent="0.35">
      <c r="A9359"/>
    </row>
    <row r="9360" spans="1:1" x14ac:dyDescent="0.35">
      <c r="A9360"/>
    </row>
    <row r="9361" spans="1:1" x14ac:dyDescent="0.35">
      <c r="A9361"/>
    </row>
    <row r="9362" spans="1:1" x14ac:dyDescent="0.35">
      <c r="A9362"/>
    </row>
    <row r="9363" spans="1:1" x14ac:dyDescent="0.35">
      <c r="A9363"/>
    </row>
    <row r="9364" spans="1:1" x14ac:dyDescent="0.35">
      <c r="A9364"/>
    </row>
    <row r="9365" spans="1:1" x14ac:dyDescent="0.35">
      <c r="A9365"/>
    </row>
    <row r="9366" spans="1:1" x14ac:dyDescent="0.35">
      <c r="A9366"/>
    </row>
    <row r="9367" spans="1:1" x14ac:dyDescent="0.35">
      <c r="A9367"/>
    </row>
    <row r="9368" spans="1:1" x14ac:dyDescent="0.35">
      <c r="A9368"/>
    </row>
    <row r="9369" spans="1:1" x14ac:dyDescent="0.35">
      <c r="A9369"/>
    </row>
    <row r="9370" spans="1:1" x14ac:dyDescent="0.35">
      <c r="A9370"/>
    </row>
    <row r="9371" spans="1:1" x14ac:dyDescent="0.35">
      <c r="A9371"/>
    </row>
    <row r="9372" spans="1:1" x14ac:dyDescent="0.35">
      <c r="A9372"/>
    </row>
    <row r="9373" spans="1:1" x14ac:dyDescent="0.35">
      <c r="A9373"/>
    </row>
    <row r="9374" spans="1:1" x14ac:dyDescent="0.35">
      <c r="A9374"/>
    </row>
    <row r="9375" spans="1:1" x14ac:dyDescent="0.35">
      <c r="A9375"/>
    </row>
    <row r="9376" spans="1:1" x14ac:dyDescent="0.35">
      <c r="A9376"/>
    </row>
    <row r="9377" spans="1:1" x14ac:dyDescent="0.35">
      <c r="A9377"/>
    </row>
    <row r="9378" spans="1:1" x14ac:dyDescent="0.35">
      <c r="A9378"/>
    </row>
    <row r="9379" spans="1:1" x14ac:dyDescent="0.35">
      <c r="A9379"/>
    </row>
    <row r="9380" spans="1:1" x14ac:dyDescent="0.35">
      <c r="A9380"/>
    </row>
    <row r="9381" spans="1:1" x14ac:dyDescent="0.35">
      <c r="A9381"/>
    </row>
    <row r="9382" spans="1:1" x14ac:dyDescent="0.35">
      <c r="A9382"/>
    </row>
    <row r="9383" spans="1:1" x14ac:dyDescent="0.35">
      <c r="A9383"/>
    </row>
    <row r="9384" spans="1:1" x14ac:dyDescent="0.35">
      <c r="A9384"/>
    </row>
    <row r="9385" spans="1:1" x14ac:dyDescent="0.35">
      <c r="A9385"/>
    </row>
    <row r="9386" spans="1:1" x14ac:dyDescent="0.35">
      <c r="A9386"/>
    </row>
    <row r="9387" spans="1:1" x14ac:dyDescent="0.35">
      <c r="A9387"/>
    </row>
    <row r="9388" spans="1:1" x14ac:dyDescent="0.35">
      <c r="A9388"/>
    </row>
    <row r="9389" spans="1:1" x14ac:dyDescent="0.35">
      <c r="A9389"/>
    </row>
    <row r="9390" spans="1:1" x14ac:dyDescent="0.35">
      <c r="A9390"/>
    </row>
    <row r="9391" spans="1:1" x14ac:dyDescent="0.35">
      <c r="A9391"/>
    </row>
    <row r="9392" spans="1:1" x14ac:dyDescent="0.35">
      <c r="A9392"/>
    </row>
    <row r="9393" spans="1:1" x14ac:dyDescent="0.35">
      <c r="A9393"/>
    </row>
    <row r="9394" spans="1:1" x14ac:dyDescent="0.35">
      <c r="A9394"/>
    </row>
    <row r="9395" spans="1:1" x14ac:dyDescent="0.35">
      <c r="A9395"/>
    </row>
    <row r="9396" spans="1:1" x14ac:dyDescent="0.35">
      <c r="A9396"/>
    </row>
    <row r="9397" spans="1:1" x14ac:dyDescent="0.35">
      <c r="A9397"/>
    </row>
    <row r="9398" spans="1:1" x14ac:dyDescent="0.35">
      <c r="A9398"/>
    </row>
    <row r="9399" spans="1:1" x14ac:dyDescent="0.35">
      <c r="A9399"/>
    </row>
    <row r="9400" spans="1:1" x14ac:dyDescent="0.35">
      <c r="A9400"/>
    </row>
    <row r="9401" spans="1:1" x14ac:dyDescent="0.35">
      <c r="A9401"/>
    </row>
    <row r="9402" spans="1:1" x14ac:dyDescent="0.35">
      <c r="A9402"/>
    </row>
    <row r="9403" spans="1:1" x14ac:dyDescent="0.35">
      <c r="A9403"/>
    </row>
    <row r="9404" spans="1:1" x14ac:dyDescent="0.35">
      <c r="A9404"/>
    </row>
    <row r="9405" spans="1:1" x14ac:dyDescent="0.35">
      <c r="A9405"/>
    </row>
    <row r="9406" spans="1:1" x14ac:dyDescent="0.35">
      <c r="A9406"/>
    </row>
    <row r="9407" spans="1:1" x14ac:dyDescent="0.35">
      <c r="A9407"/>
    </row>
    <row r="9408" spans="1:1" x14ac:dyDescent="0.35">
      <c r="A9408"/>
    </row>
    <row r="9409" spans="1:1" x14ac:dyDescent="0.35">
      <c r="A9409"/>
    </row>
    <row r="9410" spans="1:1" x14ac:dyDescent="0.35">
      <c r="A9410"/>
    </row>
    <row r="9411" spans="1:1" x14ac:dyDescent="0.35">
      <c r="A9411"/>
    </row>
    <row r="9412" spans="1:1" x14ac:dyDescent="0.35">
      <c r="A9412"/>
    </row>
    <row r="9413" spans="1:1" x14ac:dyDescent="0.35">
      <c r="A9413"/>
    </row>
    <row r="9414" spans="1:1" x14ac:dyDescent="0.35">
      <c r="A9414"/>
    </row>
    <row r="9415" spans="1:1" x14ac:dyDescent="0.35">
      <c r="A9415"/>
    </row>
    <row r="9416" spans="1:1" x14ac:dyDescent="0.35">
      <c r="A9416"/>
    </row>
    <row r="9417" spans="1:1" x14ac:dyDescent="0.35">
      <c r="A9417"/>
    </row>
    <row r="9418" spans="1:1" x14ac:dyDescent="0.35">
      <c r="A9418"/>
    </row>
    <row r="9419" spans="1:1" x14ac:dyDescent="0.35">
      <c r="A9419"/>
    </row>
    <row r="9420" spans="1:1" x14ac:dyDescent="0.35">
      <c r="A9420"/>
    </row>
    <row r="9421" spans="1:1" x14ac:dyDescent="0.35">
      <c r="A9421"/>
    </row>
    <row r="9422" spans="1:1" x14ac:dyDescent="0.35">
      <c r="A9422"/>
    </row>
    <row r="9423" spans="1:1" x14ac:dyDescent="0.35">
      <c r="A9423"/>
    </row>
    <row r="9424" spans="1:1" x14ac:dyDescent="0.35">
      <c r="A9424"/>
    </row>
    <row r="9425" spans="1:1" x14ac:dyDescent="0.35">
      <c r="A9425"/>
    </row>
    <row r="9426" spans="1:1" x14ac:dyDescent="0.35">
      <c r="A9426"/>
    </row>
    <row r="9427" spans="1:1" x14ac:dyDescent="0.35">
      <c r="A9427"/>
    </row>
    <row r="9428" spans="1:1" x14ac:dyDescent="0.35">
      <c r="A9428"/>
    </row>
    <row r="9429" spans="1:1" x14ac:dyDescent="0.35">
      <c r="A9429"/>
    </row>
    <row r="9430" spans="1:1" x14ac:dyDescent="0.35">
      <c r="A9430"/>
    </row>
    <row r="9431" spans="1:1" x14ac:dyDescent="0.35">
      <c r="A9431"/>
    </row>
    <row r="9432" spans="1:1" x14ac:dyDescent="0.35">
      <c r="A9432"/>
    </row>
    <row r="9433" spans="1:1" x14ac:dyDescent="0.35">
      <c r="A9433"/>
    </row>
    <row r="9434" spans="1:1" x14ac:dyDescent="0.35">
      <c r="A9434"/>
    </row>
    <row r="9435" spans="1:1" x14ac:dyDescent="0.35">
      <c r="A9435"/>
    </row>
    <row r="9436" spans="1:1" x14ac:dyDescent="0.35">
      <c r="A9436"/>
    </row>
    <row r="9437" spans="1:1" x14ac:dyDescent="0.35">
      <c r="A9437"/>
    </row>
    <row r="9438" spans="1:1" x14ac:dyDescent="0.35">
      <c r="A9438"/>
    </row>
    <row r="9439" spans="1:1" x14ac:dyDescent="0.35">
      <c r="A9439"/>
    </row>
    <row r="9440" spans="1:1" x14ac:dyDescent="0.35">
      <c r="A9440"/>
    </row>
    <row r="9441" spans="1:1" x14ac:dyDescent="0.35">
      <c r="A9441"/>
    </row>
    <row r="9442" spans="1:1" x14ac:dyDescent="0.35">
      <c r="A9442"/>
    </row>
    <row r="9443" spans="1:1" x14ac:dyDescent="0.35">
      <c r="A9443"/>
    </row>
    <row r="9444" spans="1:1" x14ac:dyDescent="0.35">
      <c r="A9444"/>
    </row>
    <row r="9445" spans="1:1" x14ac:dyDescent="0.35">
      <c r="A9445"/>
    </row>
    <row r="9446" spans="1:1" x14ac:dyDescent="0.35">
      <c r="A9446"/>
    </row>
    <row r="9447" spans="1:1" x14ac:dyDescent="0.35">
      <c r="A9447"/>
    </row>
    <row r="9448" spans="1:1" x14ac:dyDescent="0.35">
      <c r="A9448"/>
    </row>
    <row r="9449" spans="1:1" x14ac:dyDescent="0.35">
      <c r="A9449"/>
    </row>
    <row r="9450" spans="1:1" x14ac:dyDescent="0.35">
      <c r="A9450"/>
    </row>
    <row r="9451" spans="1:1" x14ac:dyDescent="0.35">
      <c r="A9451"/>
    </row>
    <row r="9452" spans="1:1" x14ac:dyDescent="0.35">
      <c r="A9452"/>
    </row>
    <row r="9453" spans="1:1" x14ac:dyDescent="0.35">
      <c r="A9453"/>
    </row>
    <row r="9454" spans="1:1" x14ac:dyDescent="0.35">
      <c r="A9454"/>
    </row>
    <row r="9455" spans="1:1" x14ac:dyDescent="0.35">
      <c r="A9455"/>
    </row>
    <row r="9456" spans="1:1" x14ac:dyDescent="0.35">
      <c r="A9456"/>
    </row>
    <row r="9457" spans="1:1" x14ac:dyDescent="0.35">
      <c r="A9457"/>
    </row>
    <row r="9458" spans="1:1" x14ac:dyDescent="0.35">
      <c r="A9458"/>
    </row>
    <row r="9459" spans="1:1" x14ac:dyDescent="0.35">
      <c r="A9459"/>
    </row>
    <row r="9460" spans="1:1" x14ac:dyDescent="0.35">
      <c r="A9460"/>
    </row>
    <row r="9461" spans="1:1" x14ac:dyDescent="0.35">
      <c r="A9461"/>
    </row>
    <row r="9462" spans="1:1" x14ac:dyDescent="0.35">
      <c r="A9462"/>
    </row>
    <row r="9463" spans="1:1" x14ac:dyDescent="0.35">
      <c r="A9463"/>
    </row>
    <row r="9464" spans="1:1" x14ac:dyDescent="0.35">
      <c r="A9464"/>
    </row>
    <row r="9465" spans="1:1" x14ac:dyDescent="0.35">
      <c r="A9465"/>
    </row>
    <row r="9466" spans="1:1" x14ac:dyDescent="0.35">
      <c r="A9466"/>
    </row>
    <row r="9467" spans="1:1" x14ac:dyDescent="0.35">
      <c r="A9467"/>
    </row>
    <row r="9468" spans="1:1" x14ac:dyDescent="0.35">
      <c r="A9468"/>
    </row>
    <row r="9469" spans="1:1" x14ac:dyDescent="0.35">
      <c r="A9469"/>
    </row>
    <row r="9470" spans="1:1" x14ac:dyDescent="0.35">
      <c r="A9470"/>
    </row>
    <row r="9471" spans="1:1" x14ac:dyDescent="0.35">
      <c r="A9471"/>
    </row>
    <row r="9472" spans="1:1" x14ac:dyDescent="0.35">
      <c r="A9472"/>
    </row>
    <row r="9473" spans="1:1" x14ac:dyDescent="0.35">
      <c r="A9473"/>
    </row>
    <row r="9474" spans="1:1" x14ac:dyDescent="0.35">
      <c r="A9474"/>
    </row>
    <row r="9475" spans="1:1" x14ac:dyDescent="0.35">
      <c r="A9475"/>
    </row>
    <row r="9476" spans="1:1" x14ac:dyDescent="0.35">
      <c r="A9476"/>
    </row>
    <row r="9477" spans="1:1" x14ac:dyDescent="0.35">
      <c r="A9477"/>
    </row>
    <row r="9478" spans="1:1" x14ac:dyDescent="0.35">
      <c r="A9478"/>
    </row>
    <row r="9479" spans="1:1" x14ac:dyDescent="0.35">
      <c r="A9479"/>
    </row>
    <row r="9480" spans="1:1" x14ac:dyDescent="0.35">
      <c r="A9480"/>
    </row>
    <row r="9481" spans="1:1" x14ac:dyDescent="0.35">
      <c r="A9481"/>
    </row>
    <row r="9482" spans="1:1" x14ac:dyDescent="0.35">
      <c r="A9482"/>
    </row>
    <row r="9483" spans="1:1" x14ac:dyDescent="0.35">
      <c r="A9483"/>
    </row>
    <row r="9484" spans="1:1" x14ac:dyDescent="0.35">
      <c r="A9484"/>
    </row>
    <row r="9485" spans="1:1" x14ac:dyDescent="0.35">
      <c r="A9485"/>
    </row>
    <row r="9486" spans="1:1" x14ac:dyDescent="0.35">
      <c r="A9486"/>
    </row>
    <row r="9487" spans="1:1" x14ac:dyDescent="0.35">
      <c r="A9487"/>
    </row>
    <row r="9488" spans="1:1" x14ac:dyDescent="0.35">
      <c r="A9488"/>
    </row>
    <row r="9489" spans="1:1" x14ac:dyDescent="0.35">
      <c r="A9489"/>
    </row>
    <row r="9490" spans="1:1" x14ac:dyDescent="0.35">
      <c r="A9490"/>
    </row>
    <row r="9491" spans="1:1" x14ac:dyDescent="0.35">
      <c r="A9491"/>
    </row>
    <row r="9492" spans="1:1" x14ac:dyDescent="0.35">
      <c r="A9492"/>
    </row>
    <row r="9493" spans="1:1" x14ac:dyDescent="0.35">
      <c r="A9493"/>
    </row>
    <row r="9494" spans="1:1" x14ac:dyDescent="0.35">
      <c r="A9494"/>
    </row>
    <row r="9495" spans="1:1" x14ac:dyDescent="0.35">
      <c r="A9495"/>
    </row>
    <row r="9496" spans="1:1" x14ac:dyDescent="0.35">
      <c r="A9496"/>
    </row>
    <row r="9497" spans="1:1" x14ac:dyDescent="0.35">
      <c r="A9497"/>
    </row>
    <row r="9498" spans="1:1" x14ac:dyDescent="0.35">
      <c r="A9498"/>
    </row>
    <row r="9499" spans="1:1" x14ac:dyDescent="0.35">
      <c r="A9499"/>
    </row>
    <row r="9500" spans="1:1" x14ac:dyDescent="0.35">
      <c r="A9500"/>
    </row>
    <row r="9501" spans="1:1" x14ac:dyDescent="0.35">
      <c r="A9501"/>
    </row>
    <row r="9502" spans="1:1" x14ac:dyDescent="0.35">
      <c r="A9502"/>
    </row>
    <row r="9503" spans="1:1" x14ac:dyDescent="0.35">
      <c r="A9503"/>
    </row>
    <row r="9504" spans="1:1" x14ac:dyDescent="0.35">
      <c r="A9504"/>
    </row>
    <row r="9505" spans="1:1" x14ac:dyDescent="0.35">
      <c r="A9505"/>
    </row>
    <row r="9506" spans="1:1" x14ac:dyDescent="0.35">
      <c r="A9506"/>
    </row>
    <row r="9507" spans="1:1" x14ac:dyDescent="0.35">
      <c r="A9507"/>
    </row>
    <row r="9508" spans="1:1" x14ac:dyDescent="0.35">
      <c r="A9508"/>
    </row>
    <row r="9509" spans="1:1" x14ac:dyDescent="0.35">
      <c r="A9509"/>
    </row>
    <row r="9510" spans="1:1" x14ac:dyDescent="0.35">
      <c r="A9510"/>
    </row>
    <row r="9511" spans="1:1" x14ac:dyDescent="0.35">
      <c r="A9511"/>
    </row>
    <row r="9512" spans="1:1" x14ac:dyDescent="0.35">
      <c r="A9512"/>
    </row>
    <row r="9513" spans="1:1" x14ac:dyDescent="0.35">
      <c r="A9513"/>
    </row>
    <row r="9514" spans="1:1" x14ac:dyDescent="0.35">
      <c r="A9514"/>
    </row>
    <row r="9515" spans="1:1" x14ac:dyDescent="0.35">
      <c r="A9515"/>
    </row>
    <row r="9516" spans="1:1" x14ac:dyDescent="0.35">
      <c r="A9516"/>
    </row>
    <row r="9517" spans="1:1" x14ac:dyDescent="0.35">
      <c r="A9517"/>
    </row>
    <row r="9518" spans="1:1" x14ac:dyDescent="0.35">
      <c r="A9518"/>
    </row>
    <row r="9519" spans="1:1" x14ac:dyDescent="0.35">
      <c r="A9519"/>
    </row>
    <row r="9520" spans="1:1" x14ac:dyDescent="0.35">
      <c r="A9520"/>
    </row>
    <row r="9521" spans="1:1" x14ac:dyDescent="0.35">
      <c r="A9521"/>
    </row>
    <row r="9522" spans="1:1" x14ac:dyDescent="0.35">
      <c r="A9522"/>
    </row>
    <row r="9523" spans="1:1" x14ac:dyDescent="0.35">
      <c r="A9523"/>
    </row>
    <row r="9524" spans="1:1" x14ac:dyDescent="0.35">
      <c r="A9524"/>
    </row>
    <row r="9525" spans="1:1" x14ac:dyDescent="0.35">
      <c r="A9525"/>
    </row>
    <row r="9526" spans="1:1" x14ac:dyDescent="0.35">
      <c r="A9526"/>
    </row>
    <row r="9527" spans="1:1" x14ac:dyDescent="0.35">
      <c r="A9527"/>
    </row>
    <row r="9528" spans="1:1" x14ac:dyDescent="0.35">
      <c r="A9528"/>
    </row>
    <row r="9529" spans="1:1" x14ac:dyDescent="0.35">
      <c r="A9529"/>
    </row>
    <row r="9530" spans="1:1" x14ac:dyDescent="0.35">
      <c r="A9530"/>
    </row>
    <row r="9531" spans="1:1" x14ac:dyDescent="0.35">
      <c r="A9531"/>
    </row>
    <row r="9532" spans="1:1" x14ac:dyDescent="0.35">
      <c r="A9532"/>
    </row>
    <row r="9533" spans="1:1" x14ac:dyDescent="0.35">
      <c r="A9533"/>
    </row>
    <row r="9534" spans="1:1" x14ac:dyDescent="0.35">
      <c r="A9534"/>
    </row>
    <row r="9535" spans="1:1" x14ac:dyDescent="0.35">
      <c r="A9535"/>
    </row>
    <row r="9536" spans="1:1" x14ac:dyDescent="0.35">
      <c r="A9536"/>
    </row>
    <row r="9537" spans="1:1" x14ac:dyDescent="0.35">
      <c r="A9537"/>
    </row>
    <row r="9538" spans="1:1" x14ac:dyDescent="0.35">
      <c r="A9538"/>
    </row>
    <row r="9539" spans="1:1" x14ac:dyDescent="0.35">
      <c r="A9539"/>
    </row>
    <row r="9540" spans="1:1" x14ac:dyDescent="0.35">
      <c r="A9540"/>
    </row>
    <row r="9541" spans="1:1" x14ac:dyDescent="0.35">
      <c r="A9541"/>
    </row>
    <row r="9542" spans="1:1" x14ac:dyDescent="0.35">
      <c r="A9542"/>
    </row>
    <row r="9543" spans="1:1" x14ac:dyDescent="0.35">
      <c r="A9543"/>
    </row>
    <row r="9544" spans="1:1" x14ac:dyDescent="0.35">
      <c r="A9544"/>
    </row>
    <row r="9545" spans="1:1" x14ac:dyDescent="0.35">
      <c r="A9545"/>
    </row>
    <row r="9546" spans="1:1" x14ac:dyDescent="0.35">
      <c r="A9546"/>
    </row>
    <row r="9547" spans="1:1" x14ac:dyDescent="0.35">
      <c r="A9547"/>
    </row>
    <row r="9548" spans="1:1" x14ac:dyDescent="0.35">
      <c r="A9548"/>
    </row>
    <row r="9549" spans="1:1" x14ac:dyDescent="0.35">
      <c r="A9549"/>
    </row>
    <row r="9550" spans="1:1" x14ac:dyDescent="0.35">
      <c r="A9550"/>
    </row>
    <row r="9551" spans="1:1" x14ac:dyDescent="0.35">
      <c r="A9551"/>
    </row>
    <row r="9552" spans="1:1" x14ac:dyDescent="0.35">
      <c r="A9552"/>
    </row>
    <row r="9553" spans="1:1" x14ac:dyDescent="0.35">
      <c r="A9553"/>
    </row>
    <row r="9554" spans="1:1" x14ac:dyDescent="0.35">
      <c r="A9554"/>
    </row>
    <row r="9555" spans="1:1" x14ac:dyDescent="0.35">
      <c r="A9555"/>
    </row>
    <row r="9556" spans="1:1" x14ac:dyDescent="0.35">
      <c r="A9556"/>
    </row>
    <row r="9557" spans="1:1" x14ac:dyDescent="0.35">
      <c r="A9557"/>
    </row>
    <row r="9558" spans="1:1" x14ac:dyDescent="0.35">
      <c r="A9558"/>
    </row>
    <row r="9559" spans="1:1" x14ac:dyDescent="0.35">
      <c r="A9559"/>
    </row>
    <row r="9560" spans="1:1" x14ac:dyDescent="0.35">
      <c r="A9560"/>
    </row>
    <row r="9561" spans="1:1" x14ac:dyDescent="0.35">
      <c r="A9561"/>
    </row>
    <row r="9562" spans="1:1" x14ac:dyDescent="0.35">
      <c r="A9562"/>
    </row>
    <row r="9563" spans="1:1" x14ac:dyDescent="0.35">
      <c r="A9563"/>
    </row>
    <row r="9564" spans="1:1" x14ac:dyDescent="0.35">
      <c r="A9564"/>
    </row>
    <row r="9565" spans="1:1" x14ac:dyDescent="0.35">
      <c r="A9565"/>
    </row>
    <row r="9566" spans="1:1" x14ac:dyDescent="0.35">
      <c r="A9566"/>
    </row>
    <row r="9567" spans="1:1" x14ac:dyDescent="0.35">
      <c r="A9567"/>
    </row>
    <row r="9568" spans="1:1" x14ac:dyDescent="0.35">
      <c r="A9568"/>
    </row>
    <row r="9569" spans="1:1" x14ac:dyDescent="0.35">
      <c r="A9569"/>
    </row>
    <row r="9570" spans="1:1" x14ac:dyDescent="0.35">
      <c r="A9570"/>
    </row>
    <row r="9571" spans="1:1" x14ac:dyDescent="0.35">
      <c r="A9571"/>
    </row>
    <row r="9572" spans="1:1" x14ac:dyDescent="0.35">
      <c r="A9572"/>
    </row>
    <row r="9573" spans="1:1" x14ac:dyDescent="0.35">
      <c r="A9573"/>
    </row>
    <row r="9574" spans="1:1" x14ac:dyDescent="0.35">
      <c r="A9574"/>
    </row>
    <row r="9575" spans="1:1" x14ac:dyDescent="0.35">
      <c r="A9575"/>
    </row>
    <row r="9576" spans="1:1" x14ac:dyDescent="0.35">
      <c r="A9576"/>
    </row>
    <row r="9577" spans="1:1" x14ac:dyDescent="0.35">
      <c r="A9577"/>
    </row>
    <row r="9578" spans="1:1" x14ac:dyDescent="0.35">
      <c r="A9578"/>
    </row>
    <row r="9579" spans="1:1" x14ac:dyDescent="0.35">
      <c r="A9579"/>
    </row>
    <row r="9580" spans="1:1" x14ac:dyDescent="0.35">
      <c r="A9580"/>
    </row>
    <row r="9581" spans="1:1" x14ac:dyDescent="0.35">
      <c r="A9581"/>
    </row>
    <row r="9582" spans="1:1" x14ac:dyDescent="0.35">
      <c r="A9582"/>
    </row>
    <row r="9583" spans="1:1" x14ac:dyDescent="0.35">
      <c r="A9583"/>
    </row>
    <row r="9584" spans="1:1" x14ac:dyDescent="0.35">
      <c r="A9584"/>
    </row>
    <row r="9585" spans="1:1" x14ac:dyDescent="0.35">
      <c r="A9585"/>
    </row>
    <row r="9586" spans="1:1" x14ac:dyDescent="0.35">
      <c r="A9586"/>
    </row>
    <row r="9587" spans="1:1" x14ac:dyDescent="0.35">
      <c r="A9587"/>
    </row>
    <row r="9588" spans="1:1" x14ac:dyDescent="0.35">
      <c r="A9588"/>
    </row>
    <row r="9589" spans="1:1" x14ac:dyDescent="0.35">
      <c r="A9589"/>
    </row>
    <row r="9590" spans="1:1" x14ac:dyDescent="0.35">
      <c r="A9590"/>
    </row>
    <row r="9591" spans="1:1" x14ac:dyDescent="0.35">
      <c r="A9591"/>
    </row>
    <row r="9592" spans="1:1" x14ac:dyDescent="0.35">
      <c r="A9592"/>
    </row>
    <row r="9593" spans="1:1" x14ac:dyDescent="0.35">
      <c r="A9593"/>
    </row>
    <row r="9594" spans="1:1" x14ac:dyDescent="0.35">
      <c r="A9594"/>
    </row>
    <row r="9595" spans="1:1" x14ac:dyDescent="0.35">
      <c r="A9595"/>
    </row>
    <row r="9596" spans="1:1" x14ac:dyDescent="0.35">
      <c r="A9596"/>
    </row>
    <row r="9597" spans="1:1" x14ac:dyDescent="0.35">
      <c r="A9597"/>
    </row>
    <row r="9598" spans="1:1" x14ac:dyDescent="0.35">
      <c r="A9598"/>
    </row>
    <row r="9599" spans="1:1" x14ac:dyDescent="0.35">
      <c r="A9599"/>
    </row>
    <row r="9600" spans="1:1" x14ac:dyDescent="0.35">
      <c r="A9600"/>
    </row>
    <row r="9601" spans="1:1" x14ac:dyDescent="0.35">
      <c r="A9601"/>
    </row>
    <row r="9602" spans="1:1" x14ac:dyDescent="0.35">
      <c r="A9602"/>
    </row>
    <row r="9603" spans="1:1" x14ac:dyDescent="0.35">
      <c r="A9603"/>
    </row>
    <row r="9604" spans="1:1" x14ac:dyDescent="0.35">
      <c r="A9604"/>
    </row>
    <row r="9605" spans="1:1" x14ac:dyDescent="0.35">
      <c r="A9605"/>
    </row>
    <row r="9606" spans="1:1" x14ac:dyDescent="0.35">
      <c r="A9606"/>
    </row>
    <row r="9607" spans="1:1" x14ac:dyDescent="0.35">
      <c r="A9607"/>
    </row>
    <row r="9608" spans="1:1" x14ac:dyDescent="0.35">
      <c r="A9608"/>
    </row>
    <row r="9609" spans="1:1" x14ac:dyDescent="0.35">
      <c r="A9609"/>
    </row>
    <row r="9610" spans="1:1" x14ac:dyDescent="0.35">
      <c r="A9610"/>
    </row>
    <row r="9611" spans="1:1" x14ac:dyDescent="0.35">
      <c r="A9611"/>
    </row>
    <row r="9612" spans="1:1" x14ac:dyDescent="0.35">
      <c r="A9612"/>
    </row>
    <row r="9613" spans="1:1" x14ac:dyDescent="0.35">
      <c r="A9613"/>
    </row>
    <row r="9614" spans="1:1" x14ac:dyDescent="0.35">
      <c r="A9614"/>
    </row>
    <row r="9615" spans="1:1" x14ac:dyDescent="0.35">
      <c r="A9615"/>
    </row>
    <row r="9616" spans="1:1" x14ac:dyDescent="0.35">
      <c r="A9616"/>
    </row>
    <row r="9617" spans="1:1" x14ac:dyDescent="0.35">
      <c r="A9617"/>
    </row>
    <row r="9618" spans="1:1" x14ac:dyDescent="0.35">
      <c r="A9618"/>
    </row>
    <row r="9619" spans="1:1" x14ac:dyDescent="0.35">
      <c r="A9619"/>
    </row>
    <row r="9620" spans="1:1" x14ac:dyDescent="0.35">
      <c r="A9620"/>
    </row>
    <row r="9621" spans="1:1" x14ac:dyDescent="0.35">
      <c r="A9621"/>
    </row>
    <row r="9622" spans="1:1" x14ac:dyDescent="0.35">
      <c r="A9622"/>
    </row>
    <row r="9623" spans="1:1" x14ac:dyDescent="0.35">
      <c r="A9623"/>
    </row>
    <row r="9624" spans="1:1" x14ac:dyDescent="0.35">
      <c r="A9624"/>
    </row>
    <row r="9625" spans="1:1" x14ac:dyDescent="0.35">
      <c r="A9625"/>
    </row>
    <row r="9626" spans="1:1" x14ac:dyDescent="0.35">
      <c r="A9626"/>
    </row>
    <row r="9627" spans="1:1" x14ac:dyDescent="0.35">
      <c r="A9627"/>
    </row>
    <row r="9628" spans="1:1" x14ac:dyDescent="0.35">
      <c r="A9628"/>
    </row>
    <row r="9629" spans="1:1" x14ac:dyDescent="0.35">
      <c r="A9629"/>
    </row>
    <row r="9630" spans="1:1" x14ac:dyDescent="0.35">
      <c r="A9630"/>
    </row>
    <row r="9631" spans="1:1" x14ac:dyDescent="0.35">
      <c r="A9631"/>
    </row>
    <row r="9632" spans="1:1" x14ac:dyDescent="0.35">
      <c r="A9632"/>
    </row>
    <row r="9633" spans="1:1" x14ac:dyDescent="0.35">
      <c r="A9633"/>
    </row>
    <row r="9634" spans="1:1" x14ac:dyDescent="0.35">
      <c r="A9634"/>
    </row>
    <row r="9635" spans="1:1" x14ac:dyDescent="0.35">
      <c r="A9635"/>
    </row>
    <row r="9636" spans="1:1" x14ac:dyDescent="0.35">
      <c r="A9636"/>
    </row>
    <row r="9637" spans="1:1" x14ac:dyDescent="0.35">
      <c r="A9637"/>
    </row>
    <row r="9638" spans="1:1" x14ac:dyDescent="0.35">
      <c r="A9638"/>
    </row>
    <row r="9639" spans="1:1" x14ac:dyDescent="0.35">
      <c r="A9639"/>
    </row>
    <row r="9640" spans="1:1" x14ac:dyDescent="0.35">
      <c r="A9640"/>
    </row>
    <row r="9641" spans="1:1" x14ac:dyDescent="0.35">
      <c r="A9641"/>
    </row>
    <row r="9642" spans="1:1" x14ac:dyDescent="0.35">
      <c r="A9642"/>
    </row>
    <row r="9643" spans="1:1" x14ac:dyDescent="0.35">
      <c r="A9643"/>
    </row>
    <row r="9644" spans="1:1" x14ac:dyDescent="0.35">
      <c r="A9644"/>
    </row>
    <row r="9645" spans="1:1" x14ac:dyDescent="0.35">
      <c r="A9645"/>
    </row>
    <row r="9646" spans="1:1" x14ac:dyDescent="0.35">
      <c r="A9646"/>
    </row>
    <row r="9647" spans="1:1" x14ac:dyDescent="0.35">
      <c r="A9647"/>
    </row>
    <row r="9648" spans="1:1" x14ac:dyDescent="0.35">
      <c r="A9648"/>
    </row>
    <row r="9649" spans="1:1" x14ac:dyDescent="0.35">
      <c r="A9649"/>
    </row>
    <row r="9650" spans="1:1" x14ac:dyDescent="0.35">
      <c r="A9650"/>
    </row>
    <row r="9651" spans="1:1" x14ac:dyDescent="0.35">
      <c r="A9651"/>
    </row>
    <row r="9652" spans="1:1" x14ac:dyDescent="0.35">
      <c r="A9652"/>
    </row>
    <row r="9653" spans="1:1" x14ac:dyDescent="0.35">
      <c r="A9653"/>
    </row>
    <row r="9654" spans="1:1" x14ac:dyDescent="0.35">
      <c r="A9654"/>
    </row>
    <row r="9655" spans="1:1" x14ac:dyDescent="0.35">
      <c r="A9655"/>
    </row>
    <row r="9656" spans="1:1" x14ac:dyDescent="0.35">
      <c r="A9656"/>
    </row>
    <row r="9657" spans="1:1" x14ac:dyDescent="0.35">
      <c r="A9657"/>
    </row>
    <row r="9658" spans="1:1" x14ac:dyDescent="0.35">
      <c r="A9658"/>
    </row>
    <row r="9659" spans="1:1" x14ac:dyDescent="0.35">
      <c r="A9659"/>
    </row>
    <row r="9660" spans="1:1" x14ac:dyDescent="0.35">
      <c r="A9660"/>
    </row>
    <row r="9661" spans="1:1" x14ac:dyDescent="0.35">
      <c r="A9661"/>
    </row>
    <row r="9662" spans="1:1" x14ac:dyDescent="0.35">
      <c r="A9662"/>
    </row>
    <row r="9663" spans="1:1" x14ac:dyDescent="0.35">
      <c r="A9663"/>
    </row>
    <row r="9664" spans="1:1" x14ac:dyDescent="0.35">
      <c r="A9664"/>
    </row>
    <row r="9665" spans="1:1" x14ac:dyDescent="0.35">
      <c r="A9665"/>
    </row>
    <row r="9666" spans="1:1" x14ac:dyDescent="0.35">
      <c r="A9666"/>
    </row>
    <row r="9667" spans="1:1" x14ac:dyDescent="0.35">
      <c r="A9667"/>
    </row>
    <row r="9668" spans="1:1" x14ac:dyDescent="0.35">
      <c r="A9668"/>
    </row>
    <row r="9669" spans="1:1" x14ac:dyDescent="0.35">
      <c r="A9669"/>
    </row>
    <row r="9670" spans="1:1" x14ac:dyDescent="0.35">
      <c r="A9670"/>
    </row>
    <row r="9671" spans="1:1" x14ac:dyDescent="0.35">
      <c r="A9671"/>
    </row>
    <row r="9672" spans="1:1" x14ac:dyDescent="0.35">
      <c r="A9672"/>
    </row>
    <row r="9673" spans="1:1" x14ac:dyDescent="0.35">
      <c r="A9673"/>
    </row>
    <row r="9674" spans="1:1" x14ac:dyDescent="0.35">
      <c r="A9674"/>
    </row>
    <row r="9675" spans="1:1" x14ac:dyDescent="0.35">
      <c r="A9675"/>
    </row>
    <row r="9676" spans="1:1" x14ac:dyDescent="0.35">
      <c r="A9676"/>
    </row>
    <row r="9677" spans="1:1" x14ac:dyDescent="0.35">
      <c r="A9677"/>
    </row>
    <row r="9678" spans="1:1" x14ac:dyDescent="0.35">
      <c r="A9678"/>
    </row>
    <row r="9679" spans="1:1" x14ac:dyDescent="0.35">
      <c r="A9679"/>
    </row>
    <row r="9680" spans="1:1" x14ac:dyDescent="0.35">
      <c r="A9680"/>
    </row>
    <row r="9681" spans="1:1" x14ac:dyDescent="0.35">
      <c r="A9681"/>
    </row>
    <row r="9682" spans="1:1" x14ac:dyDescent="0.35">
      <c r="A9682"/>
    </row>
    <row r="9683" spans="1:1" x14ac:dyDescent="0.35">
      <c r="A9683"/>
    </row>
    <row r="9684" spans="1:1" x14ac:dyDescent="0.35">
      <c r="A9684"/>
    </row>
    <row r="9685" spans="1:1" x14ac:dyDescent="0.35">
      <c r="A9685"/>
    </row>
    <row r="9686" spans="1:1" x14ac:dyDescent="0.35">
      <c r="A9686"/>
    </row>
    <row r="9687" spans="1:1" x14ac:dyDescent="0.35">
      <c r="A9687"/>
    </row>
    <row r="9688" spans="1:1" x14ac:dyDescent="0.35">
      <c r="A9688"/>
    </row>
    <row r="9689" spans="1:1" x14ac:dyDescent="0.35">
      <c r="A9689"/>
    </row>
    <row r="9690" spans="1:1" x14ac:dyDescent="0.35">
      <c r="A9690"/>
    </row>
    <row r="9691" spans="1:1" x14ac:dyDescent="0.35">
      <c r="A9691"/>
    </row>
    <row r="9692" spans="1:1" x14ac:dyDescent="0.35">
      <c r="A9692"/>
    </row>
    <row r="9693" spans="1:1" x14ac:dyDescent="0.35">
      <c r="A9693"/>
    </row>
    <row r="9694" spans="1:1" x14ac:dyDescent="0.35">
      <c r="A9694"/>
    </row>
    <row r="9695" spans="1:1" x14ac:dyDescent="0.35">
      <c r="A9695"/>
    </row>
    <row r="9696" spans="1:1" x14ac:dyDescent="0.35">
      <c r="A9696"/>
    </row>
    <row r="9697" spans="1:1" x14ac:dyDescent="0.35">
      <c r="A9697"/>
    </row>
    <row r="9698" spans="1:1" x14ac:dyDescent="0.35">
      <c r="A9698"/>
    </row>
    <row r="9699" spans="1:1" x14ac:dyDescent="0.35">
      <c r="A9699"/>
    </row>
    <row r="9700" spans="1:1" x14ac:dyDescent="0.35">
      <c r="A9700"/>
    </row>
    <row r="9701" spans="1:1" x14ac:dyDescent="0.35">
      <c r="A9701"/>
    </row>
    <row r="9702" spans="1:1" x14ac:dyDescent="0.35">
      <c r="A9702"/>
    </row>
    <row r="9703" spans="1:1" x14ac:dyDescent="0.35">
      <c r="A9703"/>
    </row>
    <row r="9704" spans="1:1" x14ac:dyDescent="0.35">
      <c r="A9704"/>
    </row>
    <row r="9705" spans="1:1" x14ac:dyDescent="0.35">
      <c r="A9705"/>
    </row>
    <row r="9706" spans="1:1" x14ac:dyDescent="0.35">
      <c r="A9706"/>
    </row>
    <row r="9707" spans="1:1" x14ac:dyDescent="0.35">
      <c r="A9707"/>
    </row>
    <row r="9708" spans="1:1" x14ac:dyDescent="0.35">
      <c r="A9708"/>
    </row>
    <row r="9709" spans="1:1" x14ac:dyDescent="0.35">
      <c r="A9709"/>
    </row>
    <row r="9710" spans="1:1" x14ac:dyDescent="0.35">
      <c r="A9710"/>
    </row>
    <row r="9711" spans="1:1" x14ac:dyDescent="0.35">
      <c r="A9711"/>
    </row>
    <row r="9712" spans="1:1" x14ac:dyDescent="0.35">
      <c r="A9712"/>
    </row>
    <row r="9713" spans="1:1" x14ac:dyDescent="0.35">
      <c r="A9713"/>
    </row>
    <row r="9714" spans="1:1" x14ac:dyDescent="0.35">
      <c r="A9714"/>
    </row>
    <row r="9715" spans="1:1" x14ac:dyDescent="0.35">
      <c r="A9715"/>
    </row>
    <row r="9716" spans="1:1" x14ac:dyDescent="0.35">
      <c r="A9716"/>
    </row>
    <row r="9717" spans="1:1" x14ac:dyDescent="0.35">
      <c r="A9717"/>
    </row>
    <row r="9718" spans="1:1" x14ac:dyDescent="0.35">
      <c r="A9718"/>
    </row>
    <row r="9719" spans="1:1" x14ac:dyDescent="0.35">
      <c r="A9719"/>
    </row>
    <row r="9720" spans="1:1" x14ac:dyDescent="0.35">
      <c r="A9720"/>
    </row>
    <row r="9721" spans="1:1" x14ac:dyDescent="0.35">
      <c r="A9721"/>
    </row>
    <row r="9722" spans="1:1" x14ac:dyDescent="0.35">
      <c r="A9722"/>
    </row>
    <row r="9723" spans="1:1" x14ac:dyDescent="0.35">
      <c r="A9723"/>
    </row>
    <row r="9724" spans="1:1" x14ac:dyDescent="0.35">
      <c r="A9724"/>
    </row>
    <row r="9725" spans="1:1" x14ac:dyDescent="0.35">
      <c r="A9725"/>
    </row>
    <row r="9726" spans="1:1" x14ac:dyDescent="0.35">
      <c r="A9726"/>
    </row>
    <row r="9727" spans="1:1" x14ac:dyDescent="0.35">
      <c r="A9727"/>
    </row>
    <row r="9728" spans="1:1" x14ac:dyDescent="0.35">
      <c r="A9728"/>
    </row>
    <row r="9729" spans="1:1" x14ac:dyDescent="0.35">
      <c r="A9729"/>
    </row>
    <row r="9730" spans="1:1" x14ac:dyDescent="0.35">
      <c r="A9730"/>
    </row>
    <row r="9731" spans="1:1" x14ac:dyDescent="0.35">
      <c r="A9731"/>
    </row>
    <row r="9732" spans="1:1" x14ac:dyDescent="0.35">
      <c r="A9732"/>
    </row>
    <row r="9733" spans="1:1" x14ac:dyDescent="0.35">
      <c r="A9733"/>
    </row>
    <row r="9734" spans="1:1" x14ac:dyDescent="0.35">
      <c r="A9734"/>
    </row>
    <row r="9735" spans="1:1" x14ac:dyDescent="0.35">
      <c r="A9735"/>
    </row>
    <row r="9736" spans="1:1" x14ac:dyDescent="0.35">
      <c r="A9736"/>
    </row>
    <row r="9737" spans="1:1" x14ac:dyDescent="0.35">
      <c r="A9737"/>
    </row>
    <row r="9738" spans="1:1" x14ac:dyDescent="0.35">
      <c r="A9738"/>
    </row>
    <row r="9739" spans="1:1" x14ac:dyDescent="0.35">
      <c r="A9739"/>
    </row>
    <row r="9740" spans="1:1" x14ac:dyDescent="0.35">
      <c r="A9740"/>
    </row>
    <row r="9741" spans="1:1" x14ac:dyDescent="0.35">
      <c r="A9741"/>
    </row>
    <row r="9742" spans="1:1" x14ac:dyDescent="0.35">
      <c r="A9742"/>
    </row>
    <row r="9743" spans="1:1" x14ac:dyDescent="0.35">
      <c r="A9743"/>
    </row>
    <row r="9744" spans="1:1" x14ac:dyDescent="0.35">
      <c r="A9744"/>
    </row>
    <row r="9745" spans="1:1" x14ac:dyDescent="0.35">
      <c r="A9745"/>
    </row>
    <row r="9746" spans="1:1" x14ac:dyDescent="0.35">
      <c r="A9746"/>
    </row>
    <row r="9747" spans="1:1" x14ac:dyDescent="0.35">
      <c r="A9747"/>
    </row>
    <row r="9748" spans="1:1" x14ac:dyDescent="0.35">
      <c r="A9748"/>
    </row>
    <row r="9749" spans="1:1" x14ac:dyDescent="0.35">
      <c r="A9749"/>
    </row>
    <row r="9750" spans="1:1" x14ac:dyDescent="0.35">
      <c r="A9750"/>
    </row>
    <row r="9751" spans="1:1" x14ac:dyDescent="0.35">
      <c r="A9751"/>
    </row>
    <row r="9752" spans="1:1" x14ac:dyDescent="0.35">
      <c r="A9752"/>
    </row>
    <row r="9753" spans="1:1" x14ac:dyDescent="0.35">
      <c r="A9753"/>
    </row>
    <row r="9754" spans="1:1" x14ac:dyDescent="0.35">
      <c r="A9754"/>
    </row>
    <row r="9755" spans="1:1" x14ac:dyDescent="0.35">
      <c r="A9755"/>
    </row>
    <row r="9756" spans="1:1" x14ac:dyDescent="0.35">
      <c r="A9756"/>
    </row>
    <row r="9757" spans="1:1" x14ac:dyDescent="0.35">
      <c r="A9757"/>
    </row>
    <row r="9758" spans="1:1" x14ac:dyDescent="0.35">
      <c r="A9758"/>
    </row>
    <row r="9759" spans="1:1" x14ac:dyDescent="0.35">
      <c r="A9759"/>
    </row>
    <row r="9760" spans="1:1" x14ac:dyDescent="0.35">
      <c r="A9760"/>
    </row>
    <row r="9761" spans="1:1" x14ac:dyDescent="0.35">
      <c r="A9761"/>
    </row>
    <row r="9762" spans="1:1" x14ac:dyDescent="0.35">
      <c r="A9762"/>
    </row>
    <row r="9763" spans="1:1" x14ac:dyDescent="0.35">
      <c r="A9763"/>
    </row>
    <row r="9764" spans="1:1" x14ac:dyDescent="0.35">
      <c r="A9764"/>
    </row>
    <row r="9765" spans="1:1" x14ac:dyDescent="0.35">
      <c r="A9765"/>
    </row>
    <row r="9766" spans="1:1" x14ac:dyDescent="0.35">
      <c r="A9766"/>
    </row>
    <row r="9767" spans="1:1" x14ac:dyDescent="0.35">
      <c r="A9767"/>
    </row>
    <row r="9768" spans="1:1" x14ac:dyDescent="0.35">
      <c r="A9768"/>
    </row>
    <row r="9769" spans="1:1" x14ac:dyDescent="0.35">
      <c r="A9769"/>
    </row>
    <row r="9770" spans="1:1" x14ac:dyDescent="0.35">
      <c r="A9770"/>
    </row>
    <row r="9771" spans="1:1" x14ac:dyDescent="0.35">
      <c r="A9771"/>
    </row>
    <row r="9772" spans="1:1" x14ac:dyDescent="0.35">
      <c r="A9772"/>
    </row>
    <row r="9773" spans="1:1" x14ac:dyDescent="0.35">
      <c r="A9773"/>
    </row>
    <row r="9774" spans="1:1" x14ac:dyDescent="0.35">
      <c r="A9774"/>
    </row>
    <row r="9775" spans="1:1" x14ac:dyDescent="0.35">
      <c r="A9775"/>
    </row>
    <row r="9776" spans="1:1" x14ac:dyDescent="0.35">
      <c r="A9776"/>
    </row>
    <row r="9777" spans="1:1" x14ac:dyDescent="0.35">
      <c r="A9777"/>
    </row>
    <row r="9778" spans="1:1" x14ac:dyDescent="0.35">
      <c r="A9778"/>
    </row>
    <row r="9779" spans="1:1" x14ac:dyDescent="0.35">
      <c r="A9779"/>
    </row>
    <row r="9780" spans="1:1" x14ac:dyDescent="0.35">
      <c r="A9780"/>
    </row>
    <row r="9781" spans="1:1" x14ac:dyDescent="0.35">
      <c r="A9781"/>
    </row>
    <row r="9782" spans="1:1" x14ac:dyDescent="0.35">
      <c r="A9782"/>
    </row>
    <row r="9783" spans="1:1" x14ac:dyDescent="0.35">
      <c r="A9783"/>
    </row>
    <row r="9784" spans="1:1" x14ac:dyDescent="0.35">
      <c r="A9784"/>
    </row>
    <row r="9785" spans="1:1" x14ac:dyDescent="0.35">
      <c r="A9785"/>
    </row>
    <row r="9786" spans="1:1" x14ac:dyDescent="0.35">
      <c r="A9786"/>
    </row>
    <row r="9787" spans="1:1" x14ac:dyDescent="0.35">
      <c r="A9787"/>
    </row>
    <row r="9788" spans="1:1" x14ac:dyDescent="0.35">
      <c r="A9788"/>
    </row>
    <row r="9789" spans="1:1" x14ac:dyDescent="0.35">
      <c r="A9789"/>
    </row>
    <row r="9790" spans="1:1" x14ac:dyDescent="0.35">
      <c r="A9790"/>
    </row>
    <row r="9791" spans="1:1" x14ac:dyDescent="0.35">
      <c r="A9791"/>
    </row>
    <row r="9792" spans="1:1" x14ac:dyDescent="0.35">
      <c r="A9792"/>
    </row>
    <row r="9793" spans="1:1" x14ac:dyDescent="0.35">
      <c r="A9793"/>
    </row>
    <row r="9794" spans="1:1" x14ac:dyDescent="0.35">
      <c r="A9794"/>
    </row>
    <row r="9795" spans="1:1" x14ac:dyDescent="0.35">
      <c r="A9795"/>
    </row>
    <row r="9796" spans="1:1" x14ac:dyDescent="0.35">
      <c r="A9796"/>
    </row>
    <row r="9797" spans="1:1" x14ac:dyDescent="0.35">
      <c r="A9797"/>
    </row>
    <row r="9798" spans="1:1" x14ac:dyDescent="0.35">
      <c r="A9798"/>
    </row>
    <row r="9799" spans="1:1" x14ac:dyDescent="0.35">
      <c r="A9799"/>
    </row>
    <row r="9800" spans="1:1" x14ac:dyDescent="0.35">
      <c r="A9800"/>
    </row>
    <row r="9801" spans="1:1" x14ac:dyDescent="0.35">
      <c r="A9801"/>
    </row>
    <row r="9802" spans="1:1" x14ac:dyDescent="0.35">
      <c r="A9802"/>
    </row>
    <row r="9803" spans="1:1" x14ac:dyDescent="0.35">
      <c r="A9803"/>
    </row>
    <row r="9804" spans="1:1" x14ac:dyDescent="0.35">
      <c r="A9804"/>
    </row>
    <row r="9805" spans="1:1" x14ac:dyDescent="0.35">
      <c r="A9805"/>
    </row>
    <row r="9806" spans="1:1" x14ac:dyDescent="0.35">
      <c r="A9806"/>
    </row>
    <row r="9807" spans="1:1" x14ac:dyDescent="0.35">
      <c r="A9807"/>
    </row>
    <row r="9808" spans="1:1" x14ac:dyDescent="0.35">
      <c r="A9808"/>
    </row>
    <row r="9809" spans="1:1" x14ac:dyDescent="0.35">
      <c r="A9809"/>
    </row>
    <row r="9810" spans="1:1" x14ac:dyDescent="0.35">
      <c r="A9810"/>
    </row>
    <row r="9811" spans="1:1" x14ac:dyDescent="0.35">
      <c r="A9811"/>
    </row>
    <row r="9812" spans="1:1" x14ac:dyDescent="0.35">
      <c r="A9812"/>
    </row>
    <row r="9813" spans="1:1" x14ac:dyDescent="0.35">
      <c r="A9813"/>
    </row>
    <row r="9814" spans="1:1" x14ac:dyDescent="0.35">
      <c r="A9814"/>
    </row>
    <row r="9815" spans="1:1" x14ac:dyDescent="0.35">
      <c r="A9815"/>
    </row>
    <row r="9816" spans="1:1" x14ac:dyDescent="0.35">
      <c r="A9816"/>
    </row>
    <row r="9817" spans="1:1" x14ac:dyDescent="0.35">
      <c r="A9817"/>
    </row>
    <row r="9818" spans="1:1" x14ac:dyDescent="0.35">
      <c r="A9818"/>
    </row>
    <row r="9819" spans="1:1" x14ac:dyDescent="0.35">
      <c r="A9819"/>
    </row>
    <row r="9820" spans="1:1" x14ac:dyDescent="0.35">
      <c r="A9820"/>
    </row>
    <row r="9821" spans="1:1" x14ac:dyDescent="0.35">
      <c r="A9821"/>
    </row>
    <row r="9822" spans="1:1" x14ac:dyDescent="0.35">
      <c r="A9822"/>
    </row>
    <row r="9823" spans="1:1" x14ac:dyDescent="0.35">
      <c r="A9823"/>
    </row>
    <row r="9824" spans="1:1" x14ac:dyDescent="0.35">
      <c r="A9824"/>
    </row>
    <row r="9825" spans="1:1" x14ac:dyDescent="0.35">
      <c r="A9825"/>
    </row>
    <row r="9826" spans="1:1" x14ac:dyDescent="0.35">
      <c r="A9826"/>
    </row>
    <row r="9827" spans="1:1" x14ac:dyDescent="0.35">
      <c r="A9827"/>
    </row>
    <row r="9828" spans="1:1" x14ac:dyDescent="0.35">
      <c r="A9828"/>
    </row>
    <row r="9829" spans="1:1" x14ac:dyDescent="0.35">
      <c r="A9829"/>
    </row>
    <row r="9830" spans="1:1" x14ac:dyDescent="0.35">
      <c r="A9830"/>
    </row>
    <row r="9831" spans="1:1" x14ac:dyDescent="0.35">
      <c r="A9831"/>
    </row>
    <row r="9832" spans="1:1" x14ac:dyDescent="0.35">
      <c r="A9832"/>
    </row>
    <row r="9833" spans="1:1" x14ac:dyDescent="0.35">
      <c r="A9833"/>
    </row>
    <row r="9834" spans="1:1" x14ac:dyDescent="0.35">
      <c r="A9834"/>
    </row>
    <row r="9835" spans="1:1" x14ac:dyDescent="0.35">
      <c r="A9835"/>
    </row>
    <row r="9836" spans="1:1" x14ac:dyDescent="0.35">
      <c r="A9836"/>
    </row>
    <row r="9837" spans="1:1" x14ac:dyDescent="0.35">
      <c r="A9837"/>
    </row>
    <row r="9838" spans="1:1" x14ac:dyDescent="0.35">
      <c r="A9838"/>
    </row>
    <row r="9839" spans="1:1" x14ac:dyDescent="0.35">
      <c r="A9839"/>
    </row>
    <row r="9840" spans="1:1" x14ac:dyDescent="0.35">
      <c r="A9840"/>
    </row>
    <row r="9841" spans="1:1" x14ac:dyDescent="0.35">
      <c r="A9841"/>
    </row>
    <row r="9842" spans="1:1" x14ac:dyDescent="0.35">
      <c r="A9842"/>
    </row>
    <row r="9843" spans="1:1" x14ac:dyDescent="0.35">
      <c r="A9843"/>
    </row>
    <row r="9844" spans="1:1" x14ac:dyDescent="0.35">
      <c r="A9844"/>
    </row>
    <row r="9845" spans="1:1" x14ac:dyDescent="0.35">
      <c r="A9845"/>
    </row>
    <row r="9846" spans="1:1" x14ac:dyDescent="0.35">
      <c r="A9846"/>
    </row>
    <row r="9847" spans="1:1" x14ac:dyDescent="0.35">
      <c r="A9847"/>
    </row>
    <row r="9848" spans="1:1" x14ac:dyDescent="0.35">
      <c r="A9848"/>
    </row>
    <row r="9849" spans="1:1" x14ac:dyDescent="0.35">
      <c r="A9849"/>
    </row>
    <row r="9850" spans="1:1" x14ac:dyDescent="0.35">
      <c r="A9850"/>
    </row>
    <row r="9851" spans="1:1" x14ac:dyDescent="0.35">
      <c r="A9851"/>
    </row>
    <row r="9852" spans="1:1" x14ac:dyDescent="0.35">
      <c r="A9852"/>
    </row>
    <row r="9853" spans="1:1" x14ac:dyDescent="0.35">
      <c r="A9853"/>
    </row>
    <row r="9854" spans="1:1" x14ac:dyDescent="0.35">
      <c r="A9854"/>
    </row>
    <row r="9855" spans="1:1" x14ac:dyDescent="0.35">
      <c r="A9855"/>
    </row>
    <row r="9856" spans="1:1" x14ac:dyDescent="0.35">
      <c r="A9856"/>
    </row>
    <row r="9857" spans="1:1" x14ac:dyDescent="0.35">
      <c r="A9857"/>
    </row>
    <row r="9858" spans="1:1" x14ac:dyDescent="0.35">
      <c r="A9858"/>
    </row>
    <row r="9859" spans="1:1" x14ac:dyDescent="0.35">
      <c r="A9859"/>
    </row>
    <row r="9860" spans="1:1" x14ac:dyDescent="0.35">
      <c r="A9860"/>
    </row>
    <row r="9861" spans="1:1" x14ac:dyDescent="0.35">
      <c r="A9861"/>
    </row>
    <row r="9862" spans="1:1" x14ac:dyDescent="0.35">
      <c r="A9862"/>
    </row>
    <row r="9863" spans="1:1" x14ac:dyDescent="0.35">
      <c r="A9863"/>
    </row>
    <row r="9864" spans="1:1" x14ac:dyDescent="0.35">
      <c r="A9864"/>
    </row>
    <row r="9865" spans="1:1" x14ac:dyDescent="0.35">
      <c r="A9865"/>
    </row>
    <row r="9866" spans="1:1" x14ac:dyDescent="0.35">
      <c r="A9866"/>
    </row>
    <row r="9867" spans="1:1" x14ac:dyDescent="0.35">
      <c r="A9867"/>
    </row>
    <row r="9868" spans="1:1" x14ac:dyDescent="0.35">
      <c r="A9868"/>
    </row>
    <row r="9869" spans="1:1" x14ac:dyDescent="0.35">
      <c r="A9869"/>
    </row>
    <row r="9870" spans="1:1" x14ac:dyDescent="0.35">
      <c r="A9870"/>
    </row>
    <row r="9871" spans="1:1" x14ac:dyDescent="0.35">
      <c r="A9871"/>
    </row>
    <row r="9872" spans="1:1" x14ac:dyDescent="0.35">
      <c r="A9872"/>
    </row>
    <row r="9873" spans="1:1" x14ac:dyDescent="0.35">
      <c r="A9873"/>
    </row>
    <row r="9874" spans="1:1" x14ac:dyDescent="0.35">
      <c r="A9874"/>
    </row>
    <row r="9875" spans="1:1" x14ac:dyDescent="0.35">
      <c r="A9875"/>
    </row>
    <row r="9876" spans="1:1" x14ac:dyDescent="0.35">
      <c r="A9876"/>
    </row>
    <row r="9877" spans="1:1" x14ac:dyDescent="0.35">
      <c r="A9877"/>
    </row>
    <row r="9878" spans="1:1" x14ac:dyDescent="0.35">
      <c r="A9878"/>
    </row>
    <row r="9879" spans="1:1" x14ac:dyDescent="0.35">
      <c r="A9879"/>
    </row>
    <row r="9880" spans="1:1" x14ac:dyDescent="0.35">
      <c r="A9880"/>
    </row>
    <row r="9881" spans="1:1" x14ac:dyDescent="0.35">
      <c r="A9881"/>
    </row>
    <row r="9882" spans="1:1" x14ac:dyDescent="0.35">
      <c r="A9882"/>
    </row>
    <row r="9883" spans="1:1" x14ac:dyDescent="0.35">
      <c r="A9883"/>
    </row>
    <row r="9884" spans="1:1" x14ac:dyDescent="0.35">
      <c r="A9884"/>
    </row>
    <row r="9885" spans="1:1" x14ac:dyDescent="0.35">
      <c r="A9885"/>
    </row>
    <row r="9886" spans="1:1" x14ac:dyDescent="0.35">
      <c r="A9886"/>
    </row>
    <row r="9887" spans="1:1" x14ac:dyDescent="0.35">
      <c r="A9887"/>
    </row>
    <row r="9888" spans="1:1" x14ac:dyDescent="0.35">
      <c r="A9888"/>
    </row>
    <row r="9889" spans="1:1" x14ac:dyDescent="0.35">
      <c r="A9889"/>
    </row>
    <row r="9890" spans="1:1" x14ac:dyDescent="0.35">
      <c r="A9890"/>
    </row>
    <row r="9891" spans="1:1" x14ac:dyDescent="0.35">
      <c r="A9891"/>
    </row>
    <row r="9892" spans="1:1" x14ac:dyDescent="0.35">
      <c r="A9892"/>
    </row>
    <row r="9893" spans="1:1" x14ac:dyDescent="0.35">
      <c r="A9893"/>
    </row>
    <row r="9894" spans="1:1" x14ac:dyDescent="0.35">
      <c r="A9894"/>
    </row>
    <row r="9895" spans="1:1" x14ac:dyDescent="0.35">
      <c r="A9895"/>
    </row>
    <row r="9896" spans="1:1" x14ac:dyDescent="0.35">
      <c r="A9896"/>
    </row>
    <row r="9897" spans="1:1" x14ac:dyDescent="0.35">
      <c r="A9897"/>
    </row>
    <row r="9898" spans="1:1" x14ac:dyDescent="0.35">
      <c r="A9898"/>
    </row>
    <row r="9899" spans="1:1" x14ac:dyDescent="0.35">
      <c r="A9899"/>
    </row>
    <row r="9900" spans="1:1" x14ac:dyDescent="0.35">
      <c r="A9900"/>
    </row>
    <row r="9901" spans="1:1" x14ac:dyDescent="0.35">
      <c r="A9901"/>
    </row>
    <row r="9902" spans="1:1" x14ac:dyDescent="0.35">
      <c r="A9902"/>
    </row>
    <row r="9903" spans="1:1" x14ac:dyDescent="0.35">
      <c r="A9903"/>
    </row>
    <row r="9904" spans="1:1" x14ac:dyDescent="0.35">
      <c r="A9904"/>
    </row>
    <row r="9905" spans="1:1" x14ac:dyDescent="0.35">
      <c r="A9905"/>
    </row>
    <row r="9906" spans="1:1" x14ac:dyDescent="0.35">
      <c r="A9906"/>
    </row>
    <row r="9907" spans="1:1" x14ac:dyDescent="0.35">
      <c r="A9907"/>
    </row>
    <row r="9908" spans="1:1" x14ac:dyDescent="0.35">
      <c r="A9908"/>
    </row>
    <row r="9909" spans="1:1" x14ac:dyDescent="0.35">
      <c r="A9909"/>
    </row>
    <row r="9910" spans="1:1" x14ac:dyDescent="0.35">
      <c r="A9910"/>
    </row>
    <row r="9911" spans="1:1" x14ac:dyDescent="0.35">
      <c r="A9911"/>
    </row>
    <row r="9912" spans="1:1" x14ac:dyDescent="0.35">
      <c r="A9912"/>
    </row>
    <row r="9913" spans="1:1" x14ac:dyDescent="0.35">
      <c r="A9913"/>
    </row>
    <row r="9914" spans="1:1" x14ac:dyDescent="0.35">
      <c r="A9914"/>
    </row>
    <row r="9915" spans="1:1" x14ac:dyDescent="0.35">
      <c r="A9915"/>
    </row>
    <row r="9916" spans="1:1" x14ac:dyDescent="0.35">
      <c r="A9916"/>
    </row>
    <row r="9917" spans="1:1" x14ac:dyDescent="0.35">
      <c r="A9917"/>
    </row>
    <row r="9918" spans="1:1" x14ac:dyDescent="0.35">
      <c r="A9918"/>
    </row>
    <row r="9919" spans="1:1" x14ac:dyDescent="0.35">
      <c r="A9919"/>
    </row>
    <row r="9920" spans="1:1" x14ac:dyDescent="0.35">
      <c r="A9920"/>
    </row>
    <row r="9921" spans="1:1" x14ac:dyDescent="0.35">
      <c r="A9921"/>
    </row>
    <row r="9922" spans="1:1" x14ac:dyDescent="0.35">
      <c r="A9922"/>
    </row>
    <row r="9923" spans="1:1" x14ac:dyDescent="0.35">
      <c r="A9923"/>
    </row>
    <row r="9924" spans="1:1" x14ac:dyDescent="0.35">
      <c r="A9924"/>
    </row>
    <row r="9925" spans="1:1" x14ac:dyDescent="0.35">
      <c r="A9925"/>
    </row>
    <row r="9926" spans="1:1" x14ac:dyDescent="0.35">
      <c r="A9926"/>
    </row>
    <row r="9927" spans="1:1" x14ac:dyDescent="0.35">
      <c r="A9927"/>
    </row>
    <row r="9928" spans="1:1" x14ac:dyDescent="0.35">
      <c r="A9928"/>
    </row>
    <row r="9929" spans="1:1" x14ac:dyDescent="0.35">
      <c r="A9929"/>
    </row>
    <row r="9930" spans="1:1" x14ac:dyDescent="0.35">
      <c r="A9930"/>
    </row>
    <row r="9931" spans="1:1" x14ac:dyDescent="0.35">
      <c r="A9931"/>
    </row>
    <row r="9932" spans="1:1" x14ac:dyDescent="0.35">
      <c r="A9932"/>
    </row>
    <row r="9933" spans="1:1" x14ac:dyDescent="0.35">
      <c r="A9933"/>
    </row>
    <row r="9934" spans="1:1" x14ac:dyDescent="0.35">
      <c r="A9934"/>
    </row>
    <row r="9935" spans="1:1" x14ac:dyDescent="0.35">
      <c r="A9935"/>
    </row>
    <row r="9936" spans="1:1" x14ac:dyDescent="0.35">
      <c r="A9936"/>
    </row>
    <row r="9937" spans="1:1" x14ac:dyDescent="0.35">
      <c r="A9937"/>
    </row>
    <row r="9938" spans="1:1" x14ac:dyDescent="0.35">
      <c r="A9938"/>
    </row>
    <row r="9939" spans="1:1" x14ac:dyDescent="0.35">
      <c r="A9939"/>
    </row>
    <row r="9940" spans="1:1" x14ac:dyDescent="0.35">
      <c r="A9940"/>
    </row>
    <row r="9941" spans="1:1" x14ac:dyDescent="0.35">
      <c r="A9941"/>
    </row>
    <row r="9942" spans="1:1" x14ac:dyDescent="0.35">
      <c r="A9942"/>
    </row>
    <row r="9943" spans="1:1" x14ac:dyDescent="0.35">
      <c r="A9943"/>
    </row>
    <row r="9944" spans="1:1" x14ac:dyDescent="0.35">
      <c r="A9944"/>
    </row>
    <row r="9945" spans="1:1" x14ac:dyDescent="0.35">
      <c r="A9945"/>
    </row>
    <row r="9946" spans="1:1" x14ac:dyDescent="0.35">
      <c r="A9946"/>
    </row>
    <row r="9947" spans="1:1" x14ac:dyDescent="0.35">
      <c r="A9947"/>
    </row>
    <row r="9948" spans="1:1" x14ac:dyDescent="0.35">
      <c r="A9948"/>
    </row>
    <row r="9949" spans="1:1" x14ac:dyDescent="0.35">
      <c r="A9949"/>
    </row>
    <row r="9950" spans="1:1" x14ac:dyDescent="0.35">
      <c r="A9950"/>
    </row>
    <row r="9951" spans="1:1" x14ac:dyDescent="0.35">
      <c r="A9951"/>
    </row>
    <row r="9952" spans="1:1" x14ac:dyDescent="0.35">
      <c r="A9952"/>
    </row>
    <row r="9953" spans="1:1" x14ac:dyDescent="0.35">
      <c r="A9953"/>
    </row>
    <row r="9954" spans="1:1" x14ac:dyDescent="0.35">
      <c r="A9954"/>
    </row>
    <row r="9955" spans="1:1" x14ac:dyDescent="0.35">
      <c r="A9955"/>
    </row>
    <row r="9956" spans="1:1" x14ac:dyDescent="0.35">
      <c r="A9956"/>
    </row>
    <row r="9957" spans="1:1" x14ac:dyDescent="0.35">
      <c r="A9957"/>
    </row>
    <row r="9958" spans="1:1" x14ac:dyDescent="0.35">
      <c r="A9958"/>
    </row>
    <row r="9959" spans="1:1" x14ac:dyDescent="0.35">
      <c r="A9959"/>
    </row>
    <row r="9960" spans="1:1" x14ac:dyDescent="0.35">
      <c r="A9960"/>
    </row>
    <row r="9961" spans="1:1" x14ac:dyDescent="0.35">
      <c r="A9961"/>
    </row>
    <row r="9962" spans="1:1" x14ac:dyDescent="0.35">
      <c r="A9962"/>
    </row>
    <row r="9963" spans="1:1" x14ac:dyDescent="0.35">
      <c r="A9963"/>
    </row>
    <row r="9964" spans="1:1" x14ac:dyDescent="0.35">
      <c r="A9964"/>
    </row>
    <row r="9965" spans="1:1" x14ac:dyDescent="0.35">
      <c r="A9965"/>
    </row>
    <row r="9966" spans="1:1" x14ac:dyDescent="0.35">
      <c r="A9966"/>
    </row>
    <row r="9967" spans="1:1" x14ac:dyDescent="0.35">
      <c r="A9967"/>
    </row>
    <row r="9968" spans="1:1" x14ac:dyDescent="0.35">
      <c r="A9968"/>
    </row>
    <row r="9969" spans="1:1" x14ac:dyDescent="0.35">
      <c r="A9969"/>
    </row>
    <row r="9970" spans="1:1" x14ac:dyDescent="0.35">
      <c r="A9970"/>
    </row>
    <row r="9971" spans="1:1" x14ac:dyDescent="0.35">
      <c r="A9971"/>
    </row>
    <row r="9972" spans="1:1" x14ac:dyDescent="0.35">
      <c r="A9972"/>
    </row>
    <row r="9973" spans="1:1" x14ac:dyDescent="0.35">
      <c r="A9973"/>
    </row>
    <row r="9974" spans="1:1" x14ac:dyDescent="0.35">
      <c r="A9974"/>
    </row>
    <row r="9975" spans="1:1" x14ac:dyDescent="0.35">
      <c r="A9975"/>
    </row>
    <row r="9976" spans="1:1" x14ac:dyDescent="0.35">
      <c r="A9976"/>
    </row>
    <row r="9977" spans="1:1" x14ac:dyDescent="0.35">
      <c r="A9977"/>
    </row>
    <row r="9978" spans="1:1" x14ac:dyDescent="0.35">
      <c r="A9978"/>
    </row>
    <row r="9979" spans="1:1" x14ac:dyDescent="0.35">
      <c r="A9979"/>
    </row>
    <row r="9980" spans="1:1" x14ac:dyDescent="0.35">
      <c r="A9980"/>
    </row>
    <row r="9981" spans="1:1" x14ac:dyDescent="0.35">
      <c r="A9981"/>
    </row>
    <row r="9982" spans="1:1" x14ac:dyDescent="0.35">
      <c r="A9982"/>
    </row>
    <row r="9983" spans="1:1" x14ac:dyDescent="0.35">
      <c r="A9983"/>
    </row>
    <row r="9984" spans="1:1" x14ac:dyDescent="0.35">
      <c r="A9984"/>
    </row>
    <row r="9985" spans="1:1" x14ac:dyDescent="0.35">
      <c r="A9985"/>
    </row>
    <row r="9986" spans="1:1" x14ac:dyDescent="0.35">
      <c r="A9986"/>
    </row>
    <row r="9987" spans="1:1" x14ac:dyDescent="0.35">
      <c r="A9987"/>
    </row>
    <row r="9988" spans="1:1" x14ac:dyDescent="0.35">
      <c r="A9988"/>
    </row>
    <row r="9989" spans="1:1" x14ac:dyDescent="0.35">
      <c r="A9989"/>
    </row>
    <row r="9990" spans="1:1" x14ac:dyDescent="0.35">
      <c r="A9990"/>
    </row>
    <row r="9991" spans="1:1" x14ac:dyDescent="0.35">
      <c r="A9991"/>
    </row>
    <row r="9992" spans="1:1" x14ac:dyDescent="0.35">
      <c r="A9992"/>
    </row>
    <row r="9993" spans="1:1" x14ac:dyDescent="0.35">
      <c r="A9993"/>
    </row>
    <row r="9994" spans="1:1" x14ac:dyDescent="0.35">
      <c r="A9994"/>
    </row>
    <row r="9995" spans="1:1" x14ac:dyDescent="0.35">
      <c r="A9995"/>
    </row>
    <row r="9996" spans="1:1" x14ac:dyDescent="0.35">
      <c r="A9996"/>
    </row>
    <row r="9997" spans="1:1" x14ac:dyDescent="0.35">
      <c r="A9997"/>
    </row>
    <row r="9998" spans="1:1" x14ac:dyDescent="0.35">
      <c r="A9998"/>
    </row>
    <row r="9999" spans="1:1" x14ac:dyDescent="0.35">
      <c r="A9999"/>
    </row>
    <row r="10000" spans="1:1" x14ac:dyDescent="0.35">
      <c r="A10000"/>
    </row>
    <row r="10001" spans="1:1" x14ac:dyDescent="0.35">
      <c r="A10001"/>
    </row>
    <row r="10002" spans="1:1" x14ac:dyDescent="0.35">
      <c r="A10002"/>
    </row>
    <row r="10003" spans="1:1" x14ac:dyDescent="0.35">
      <c r="A10003"/>
    </row>
    <row r="10004" spans="1:1" x14ac:dyDescent="0.35">
      <c r="A10004"/>
    </row>
    <row r="10005" spans="1:1" x14ac:dyDescent="0.35">
      <c r="A10005"/>
    </row>
    <row r="10006" spans="1:1" x14ac:dyDescent="0.35">
      <c r="A10006"/>
    </row>
    <row r="10007" spans="1:1" x14ac:dyDescent="0.35">
      <c r="A10007"/>
    </row>
    <row r="10008" spans="1:1" x14ac:dyDescent="0.35">
      <c r="A10008"/>
    </row>
    <row r="10009" spans="1:1" x14ac:dyDescent="0.35">
      <c r="A10009"/>
    </row>
    <row r="10010" spans="1:1" x14ac:dyDescent="0.35">
      <c r="A10010"/>
    </row>
    <row r="10011" spans="1:1" x14ac:dyDescent="0.35">
      <c r="A10011"/>
    </row>
    <row r="10012" spans="1:1" x14ac:dyDescent="0.35">
      <c r="A10012"/>
    </row>
    <row r="10013" spans="1:1" x14ac:dyDescent="0.35">
      <c r="A10013"/>
    </row>
    <row r="10014" spans="1:1" x14ac:dyDescent="0.35">
      <c r="A10014"/>
    </row>
    <row r="10015" spans="1:1" x14ac:dyDescent="0.35">
      <c r="A10015"/>
    </row>
    <row r="10016" spans="1:1" x14ac:dyDescent="0.35">
      <c r="A10016"/>
    </row>
    <row r="10017" spans="1:1" x14ac:dyDescent="0.35">
      <c r="A10017"/>
    </row>
    <row r="10018" spans="1:1" x14ac:dyDescent="0.35">
      <c r="A10018"/>
    </row>
    <row r="10019" spans="1:1" x14ac:dyDescent="0.35">
      <c r="A10019"/>
    </row>
    <row r="10020" spans="1:1" x14ac:dyDescent="0.35">
      <c r="A10020"/>
    </row>
    <row r="10021" spans="1:1" x14ac:dyDescent="0.35">
      <c r="A10021"/>
    </row>
    <row r="10022" spans="1:1" x14ac:dyDescent="0.35">
      <c r="A10022"/>
    </row>
    <row r="10023" spans="1:1" x14ac:dyDescent="0.35">
      <c r="A10023"/>
    </row>
    <row r="10024" spans="1:1" x14ac:dyDescent="0.35">
      <c r="A10024"/>
    </row>
    <row r="10025" spans="1:1" x14ac:dyDescent="0.35">
      <c r="A10025"/>
    </row>
    <row r="10026" spans="1:1" x14ac:dyDescent="0.35">
      <c r="A10026"/>
    </row>
    <row r="10027" spans="1:1" x14ac:dyDescent="0.35">
      <c r="A10027"/>
    </row>
    <row r="10028" spans="1:1" x14ac:dyDescent="0.35">
      <c r="A10028"/>
    </row>
    <row r="10029" spans="1:1" x14ac:dyDescent="0.35">
      <c r="A10029"/>
    </row>
    <row r="10030" spans="1:1" x14ac:dyDescent="0.35">
      <c r="A10030"/>
    </row>
    <row r="10031" spans="1:1" x14ac:dyDescent="0.35">
      <c r="A10031"/>
    </row>
    <row r="10032" spans="1:1" x14ac:dyDescent="0.35">
      <c r="A10032"/>
    </row>
    <row r="10033" spans="1:1" x14ac:dyDescent="0.35">
      <c r="A10033"/>
    </row>
    <row r="10034" spans="1:1" x14ac:dyDescent="0.35">
      <c r="A10034"/>
    </row>
    <row r="10035" spans="1:1" x14ac:dyDescent="0.35">
      <c r="A10035"/>
    </row>
    <row r="10036" spans="1:1" x14ac:dyDescent="0.35">
      <c r="A10036"/>
    </row>
    <row r="10037" spans="1:1" x14ac:dyDescent="0.35">
      <c r="A10037"/>
    </row>
    <row r="10038" spans="1:1" x14ac:dyDescent="0.35">
      <c r="A10038"/>
    </row>
    <row r="10039" spans="1:1" x14ac:dyDescent="0.35">
      <c r="A10039"/>
    </row>
    <row r="10040" spans="1:1" x14ac:dyDescent="0.35">
      <c r="A10040"/>
    </row>
    <row r="10041" spans="1:1" x14ac:dyDescent="0.35">
      <c r="A10041"/>
    </row>
    <row r="10042" spans="1:1" x14ac:dyDescent="0.35">
      <c r="A10042"/>
    </row>
    <row r="10043" spans="1:1" x14ac:dyDescent="0.35">
      <c r="A10043"/>
    </row>
    <row r="10044" spans="1:1" x14ac:dyDescent="0.35">
      <c r="A10044"/>
    </row>
    <row r="10045" spans="1:1" x14ac:dyDescent="0.35">
      <c r="A10045"/>
    </row>
    <row r="10046" spans="1:1" x14ac:dyDescent="0.35">
      <c r="A10046"/>
    </row>
    <row r="10047" spans="1:1" x14ac:dyDescent="0.35">
      <c r="A10047"/>
    </row>
    <row r="10048" spans="1:1" x14ac:dyDescent="0.35">
      <c r="A10048"/>
    </row>
    <row r="10049" spans="1:1" x14ac:dyDescent="0.35">
      <c r="A10049"/>
    </row>
    <row r="10050" spans="1:1" x14ac:dyDescent="0.35">
      <c r="A10050"/>
    </row>
    <row r="10051" spans="1:1" x14ac:dyDescent="0.35">
      <c r="A10051"/>
    </row>
    <row r="10052" spans="1:1" x14ac:dyDescent="0.35">
      <c r="A10052"/>
    </row>
    <row r="10053" spans="1:1" x14ac:dyDescent="0.35">
      <c r="A10053"/>
    </row>
    <row r="10054" spans="1:1" x14ac:dyDescent="0.35">
      <c r="A10054"/>
    </row>
    <row r="10055" spans="1:1" x14ac:dyDescent="0.35">
      <c r="A10055"/>
    </row>
    <row r="10056" spans="1:1" x14ac:dyDescent="0.35">
      <c r="A10056"/>
    </row>
    <row r="10057" spans="1:1" x14ac:dyDescent="0.35">
      <c r="A10057"/>
    </row>
    <row r="10058" spans="1:1" x14ac:dyDescent="0.35">
      <c r="A10058"/>
    </row>
    <row r="10059" spans="1:1" x14ac:dyDescent="0.35">
      <c r="A10059"/>
    </row>
    <row r="10060" spans="1:1" x14ac:dyDescent="0.35">
      <c r="A10060"/>
    </row>
    <row r="10061" spans="1:1" x14ac:dyDescent="0.35">
      <c r="A10061"/>
    </row>
    <row r="10062" spans="1:1" x14ac:dyDescent="0.35">
      <c r="A10062"/>
    </row>
    <row r="10063" spans="1:1" x14ac:dyDescent="0.35">
      <c r="A10063"/>
    </row>
    <row r="10064" spans="1:1" x14ac:dyDescent="0.35">
      <c r="A10064"/>
    </row>
    <row r="10065" spans="1:1" x14ac:dyDescent="0.35">
      <c r="A10065"/>
    </row>
    <row r="10066" spans="1:1" x14ac:dyDescent="0.35">
      <c r="A10066"/>
    </row>
    <row r="10067" spans="1:1" x14ac:dyDescent="0.35">
      <c r="A10067"/>
    </row>
    <row r="10068" spans="1:1" x14ac:dyDescent="0.35">
      <c r="A10068"/>
    </row>
    <row r="10069" spans="1:1" x14ac:dyDescent="0.35">
      <c r="A10069"/>
    </row>
    <row r="10070" spans="1:1" x14ac:dyDescent="0.35">
      <c r="A10070"/>
    </row>
    <row r="10071" spans="1:1" x14ac:dyDescent="0.35">
      <c r="A10071"/>
    </row>
    <row r="10072" spans="1:1" x14ac:dyDescent="0.35">
      <c r="A10072"/>
    </row>
    <row r="10073" spans="1:1" x14ac:dyDescent="0.35">
      <c r="A10073"/>
    </row>
    <row r="10074" spans="1:1" x14ac:dyDescent="0.35">
      <c r="A10074"/>
    </row>
    <row r="10075" spans="1:1" x14ac:dyDescent="0.35">
      <c r="A10075"/>
    </row>
    <row r="10076" spans="1:1" x14ac:dyDescent="0.35">
      <c r="A10076"/>
    </row>
    <row r="10077" spans="1:1" x14ac:dyDescent="0.35">
      <c r="A10077"/>
    </row>
    <row r="10078" spans="1:1" x14ac:dyDescent="0.35">
      <c r="A10078"/>
    </row>
    <row r="10079" spans="1:1" x14ac:dyDescent="0.35">
      <c r="A10079"/>
    </row>
    <row r="10080" spans="1:1" x14ac:dyDescent="0.35">
      <c r="A10080"/>
    </row>
    <row r="10081" spans="1:1" x14ac:dyDescent="0.35">
      <c r="A10081"/>
    </row>
    <row r="10082" spans="1:1" x14ac:dyDescent="0.35">
      <c r="A10082"/>
    </row>
    <row r="10083" spans="1:1" x14ac:dyDescent="0.35">
      <c r="A10083"/>
    </row>
    <row r="10084" spans="1:1" x14ac:dyDescent="0.35">
      <c r="A10084"/>
    </row>
    <row r="10085" spans="1:1" x14ac:dyDescent="0.35">
      <c r="A10085"/>
    </row>
    <row r="10086" spans="1:1" x14ac:dyDescent="0.35">
      <c r="A10086"/>
    </row>
    <row r="10087" spans="1:1" x14ac:dyDescent="0.35">
      <c r="A10087"/>
    </row>
    <row r="10088" spans="1:1" x14ac:dyDescent="0.35">
      <c r="A10088"/>
    </row>
    <row r="10089" spans="1:1" x14ac:dyDescent="0.35">
      <c r="A10089"/>
    </row>
    <row r="10090" spans="1:1" x14ac:dyDescent="0.35">
      <c r="A10090"/>
    </row>
    <row r="10091" spans="1:1" x14ac:dyDescent="0.35">
      <c r="A10091"/>
    </row>
    <row r="10092" spans="1:1" x14ac:dyDescent="0.35">
      <c r="A10092"/>
    </row>
    <row r="10093" spans="1:1" x14ac:dyDescent="0.35">
      <c r="A10093"/>
    </row>
    <row r="10094" spans="1:1" x14ac:dyDescent="0.35">
      <c r="A10094"/>
    </row>
    <row r="10095" spans="1:1" x14ac:dyDescent="0.35">
      <c r="A10095"/>
    </row>
    <row r="10096" spans="1:1" x14ac:dyDescent="0.35">
      <c r="A10096"/>
    </row>
    <row r="10097" spans="1:1" x14ac:dyDescent="0.35">
      <c r="A10097"/>
    </row>
    <row r="10098" spans="1:1" x14ac:dyDescent="0.35">
      <c r="A10098"/>
    </row>
    <row r="10099" spans="1:1" x14ac:dyDescent="0.35">
      <c r="A10099"/>
    </row>
    <row r="10100" spans="1:1" x14ac:dyDescent="0.35">
      <c r="A10100"/>
    </row>
    <row r="10101" spans="1:1" x14ac:dyDescent="0.35">
      <c r="A10101"/>
    </row>
    <row r="10102" spans="1:1" x14ac:dyDescent="0.35">
      <c r="A10102"/>
    </row>
    <row r="10103" spans="1:1" x14ac:dyDescent="0.35">
      <c r="A10103"/>
    </row>
    <row r="10104" spans="1:1" x14ac:dyDescent="0.35">
      <c r="A10104"/>
    </row>
    <row r="10105" spans="1:1" x14ac:dyDescent="0.35">
      <c r="A10105"/>
    </row>
    <row r="10106" spans="1:1" x14ac:dyDescent="0.35">
      <c r="A10106"/>
    </row>
    <row r="10107" spans="1:1" x14ac:dyDescent="0.35">
      <c r="A10107"/>
    </row>
    <row r="10108" spans="1:1" x14ac:dyDescent="0.35">
      <c r="A10108"/>
    </row>
    <row r="10109" spans="1:1" x14ac:dyDescent="0.35">
      <c r="A10109"/>
    </row>
    <row r="10110" spans="1:1" x14ac:dyDescent="0.35">
      <c r="A10110"/>
    </row>
    <row r="10111" spans="1:1" x14ac:dyDescent="0.35">
      <c r="A10111"/>
    </row>
    <row r="10112" spans="1:1" x14ac:dyDescent="0.35">
      <c r="A10112"/>
    </row>
    <row r="10113" spans="1:1" x14ac:dyDescent="0.35">
      <c r="A10113"/>
    </row>
    <row r="10114" spans="1:1" x14ac:dyDescent="0.35">
      <c r="A10114"/>
    </row>
    <row r="10115" spans="1:1" x14ac:dyDescent="0.35">
      <c r="A10115"/>
    </row>
    <row r="10116" spans="1:1" x14ac:dyDescent="0.35">
      <c r="A10116"/>
    </row>
    <row r="10117" spans="1:1" x14ac:dyDescent="0.35">
      <c r="A10117"/>
    </row>
    <row r="10118" spans="1:1" x14ac:dyDescent="0.35">
      <c r="A10118"/>
    </row>
    <row r="10119" spans="1:1" x14ac:dyDescent="0.35">
      <c r="A10119"/>
    </row>
    <row r="10120" spans="1:1" x14ac:dyDescent="0.35">
      <c r="A10120"/>
    </row>
    <row r="10121" spans="1:1" x14ac:dyDescent="0.35">
      <c r="A10121"/>
    </row>
    <row r="10122" spans="1:1" x14ac:dyDescent="0.35">
      <c r="A10122"/>
    </row>
    <row r="10123" spans="1:1" x14ac:dyDescent="0.35">
      <c r="A10123"/>
    </row>
    <row r="10124" spans="1:1" x14ac:dyDescent="0.35">
      <c r="A10124"/>
    </row>
    <row r="10125" spans="1:1" x14ac:dyDescent="0.35">
      <c r="A10125"/>
    </row>
    <row r="10126" spans="1:1" x14ac:dyDescent="0.35">
      <c r="A10126"/>
    </row>
    <row r="10127" spans="1:1" x14ac:dyDescent="0.35">
      <c r="A10127"/>
    </row>
    <row r="10128" spans="1:1" x14ac:dyDescent="0.35">
      <c r="A10128"/>
    </row>
    <row r="10129" spans="1:1" x14ac:dyDescent="0.35">
      <c r="A10129"/>
    </row>
    <row r="10130" spans="1:1" x14ac:dyDescent="0.35">
      <c r="A10130"/>
    </row>
    <row r="10131" spans="1:1" x14ac:dyDescent="0.35">
      <c r="A10131"/>
    </row>
    <row r="10132" spans="1:1" x14ac:dyDescent="0.35">
      <c r="A10132"/>
    </row>
    <row r="10133" spans="1:1" x14ac:dyDescent="0.35">
      <c r="A10133"/>
    </row>
    <row r="10134" spans="1:1" x14ac:dyDescent="0.35">
      <c r="A10134"/>
    </row>
    <row r="10135" spans="1:1" x14ac:dyDescent="0.35">
      <c r="A10135"/>
    </row>
    <row r="10136" spans="1:1" x14ac:dyDescent="0.35">
      <c r="A10136"/>
    </row>
    <row r="10137" spans="1:1" x14ac:dyDescent="0.35">
      <c r="A10137"/>
    </row>
    <row r="10138" spans="1:1" x14ac:dyDescent="0.35">
      <c r="A10138"/>
    </row>
    <row r="10139" spans="1:1" x14ac:dyDescent="0.35">
      <c r="A10139"/>
    </row>
    <row r="10140" spans="1:1" x14ac:dyDescent="0.35">
      <c r="A10140"/>
    </row>
    <row r="10141" spans="1:1" x14ac:dyDescent="0.35">
      <c r="A10141"/>
    </row>
    <row r="10142" spans="1:1" x14ac:dyDescent="0.35">
      <c r="A10142"/>
    </row>
    <row r="10143" spans="1:1" x14ac:dyDescent="0.35">
      <c r="A10143"/>
    </row>
    <row r="10144" spans="1:1" x14ac:dyDescent="0.35">
      <c r="A10144"/>
    </row>
    <row r="10145" spans="1:1" x14ac:dyDescent="0.35">
      <c r="A10145"/>
    </row>
    <row r="10146" spans="1:1" x14ac:dyDescent="0.35">
      <c r="A10146"/>
    </row>
    <row r="10147" spans="1:1" x14ac:dyDescent="0.35">
      <c r="A10147"/>
    </row>
    <row r="10148" spans="1:1" x14ac:dyDescent="0.35">
      <c r="A10148"/>
    </row>
    <row r="10149" spans="1:1" x14ac:dyDescent="0.35">
      <c r="A10149"/>
    </row>
    <row r="10150" spans="1:1" x14ac:dyDescent="0.35">
      <c r="A10150"/>
    </row>
    <row r="10151" spans="1:1" x14ac:dyDescent="0.35">
      <c r="A10151"/>
    </row>
    <row r="10152" spans="1:1" x14ac:dyDescent="0.35">
      <c r="A10152"/>
    </row>
    <row r="10153" spans="1:1" x14ac:dyDescent="0.35">
      <c r="A10153"/>
    </row>
    <row r="10154" spans="1:1" x14ac:dyDescent="0.35">
      <c r="A10154"/>
    </row>
    <row r="10155" spans="1:1" x14ac:dyDescent="0.35">
      <c r="A10155"/>
    </row>
    <row r="10156" spans="1:1" x14ac:dyDescent="0.35">
      <c r="A10156"/>
    </row>
    <row r="10157" spans="1:1" x14ac:dyDescent="0.35">
      <c r="A10157"/>
    </row>
    <row r="10158" spans="1:1" x14ac:dyDescent="0.35">
      <c r="A10158"/>
    </row>
    <row r="10159" spans="1:1" x14ac:dyDescent="0.35">
      <c r="A10159"/>
    </row>
    <row r="10160" spans="1:1" x14ac:dyDescent="0.35">
      <c r="A10160"/>
    </row>
    <row r="10161" spans="1:1" x14ac:dyDescent="0.35">
      <c r="A10161"/>
    </row>
    <row r="10162" spans="1:1" x14ac:dyDescent="0.35">
      <c r="A10162"/>
    </row>
    <row r="10163" spans="1:1" x14ac:dyDescent="0.35">
      <c r="A10163"/>
    </row>
    <row r="10164" spans="1:1" x14ac:dyDescent="0.35">
      <c r="A10164"/>
    </row>
    <row r="10165" spans="1:1" x14ac:dyDescent="0.35">
      <c r="A10165"/>
    </row>
    <row r="10166" spans="1:1" x14ac:dyDescent="0.35">
      <c r="A10166"/>
    </row>
    <row r="10167" spans="1:1" x14ac:dyDescent="0.35">
      <c r="A10167"/>
    </row>
    <row r="10168" spans="1:1" x14ac:dyDescent="0.35">
      <c r="A10168"/>
    </row>
    <row r="10169" spans="1:1" x14ac:dyDescent="0.35">
      <c r="A10169"/>
    </row>
    <row r="10170" spans="1:1" x14ac:dyDescent="0.35">
      <c r="A10170"/>
    </row>
    <row r="10171" spans="1:1" x14ac:dyDescent="0.35">
      <c r="A10171"/>
    </row>
    <row r="10172" spans="1:1" x14ac:dyDescent="0.35">
      <c r="A10172"/>
    </row>
    <row r="10173" spans="1:1" x14ac:dyDescent="0.35">
      <c r="A10173"/>
    </row>
    <row r="10174" spans="1:1" x14ac:dyDescent="0.35">
      <c r="A10174"/>
    </row>
    <row r="10175" spans="1:1" x14ac:dyDescent="0.35">
      <c r="A10175"/>
    </row>
    <row r="10176" spans="1:1" x14ac:dyDescent="0.35">
      <c r="A10176"/>
    </row>
    <row r="10177" spans="1:1" x14ac:dyDescent="0.35">
      <c r="A10177"/>
    </row>
    <row r="10178" spans="1:1" x14ac:dyDescent="0.35">
      <c r="A10178"/>
    </row>
    <row r="10179" spans="1:1" x14ac:dyDescent="0.35">
      <c r="A10179"/>
    </row>
    <row r="10180" spans="1:1" x14ac:dyDescent="0.35">
      <c r="A10180"/>
    </row>
    <row r="10181" spans="1:1" x14ac:dyDescent="0.35">
      <c r="A10181"/>
    </row>
    <row r="10182" spans="1:1" x14ac:dyDescent="0.35">
      <c r="A10182"/>
    </row>
    <row r="10183" spans="1:1" x14ac:dyDescent="0.35">
      <c r="A10183"/>
    </row>
    <row r="10184" spans="1:1" x14ac:dyDescent="0.35">
      <c r="A10184"/>
    </row>
    <row r="10185" spans="1:1" x14ac:dyDescent="0.35">
      <c r="A10185"/>
    </row>
    <row r="10186" spans="1:1" x14ac:dyDescent="0.35">
      <c r="A10186"/>
    </row>
    <row r="10187" spans="1:1" x14ac:dyDescent="0.35">
      <c r="A10187"/>
    </row>
    <row r="10188" spans="1:1" x14ac:dyDescent="0.35">
      <c r="A10188"/>
    </row>
    <row r="10189" spans="1:1" x14ac:dyDescent="0.35">
      <c r="A10189"/>
    </row>
    <row r="10190" spans="1:1" x14ac:dyDescent="0.35">
      <c r="A10190"/>
    </row>
    <row r="10191" spans="1:1" x14ac:dyDescent="0.35">
      <c r="A10191"/>
    </row>
    <row r="10192" spans="1:1" x14ac:dyDescent="0.35">
      <c r="A10192"/>
    </row>
    <row r="10193" spans="1:1" x14ac:dyDescent="0.35">
      <c r="A10193"/>
    </row>
    <row r="10194" spans="1:1" x14ac:dyDescent="0.35">
      <c r="A10194"/>
    </row>
    <row r="10195" spans="1:1" x14ac:dyDescent="0.35">
      <c r="A10195"/>
    </row>
    <row r="10196" spans="1:1" x14ac:dyDescent="0.35">
      <c r="A10196"/>
    </row>
    <row r="10197" spans="1:1" x14ac:dyDescent="0.35">
      <c r="A10197"/>
    </row>
    <row r="10198" spans="1:1" x14ac:dyDescent="0.35">
      <c r="A10198"/>
    </row>
    <row r="10199" spans="1:1" x14ac:dyDescent="0.35">
      <c r="A10199"/>
    </row>
    <row r="10200" spans="1:1" x14ac:dyDescent="0.35">
      <c r="A10200"/>
    </row>
    <row r="10201" spans="1:1" x14ac:dyDescent="0.35">
      <c r="A10201"/>
    </row>
    <row r="10202" spans="1:1" x14ac:dyDescent="0.35">
      <c r="A10202"/>
    </row>
    <row r="10203" spans="1:1" x14ac:dyDescent="0.35">
      <c r="A10203"/>
    </row>
    <row r="10204" spans="1:1" x14ac:dyDescent="0.35">
      <c r="A10204"/>
    </row>
    <row r="10205" spans="1:1" x14ac:dyDescent="0.35">
      <c r="A10205"/>
    </row>
    <row r="10206" spans="1:1" x14ac:dyDescent="0.35">
      <c r="A10206"/>
    </row>
    <row r="10207" spans="1:1" x14ac:dyDescent="0.35">
      <c r="A10207"/>
    </row>
    <row r="10208" spans="1:1" x14ac:dyDescent="0.35">
      <c r="A10208"/>
    </row>
    <row r="10209" spans="1:1" x14ac:dyDescent="0.35">
      <c r="A10209"/>
    </row>
    <row r="10210" spans="1:1" x14ac:dyDescent="0.35">
      <c r="A10210"/>
    </row>
    <row r="10211" spans="1:1" x14ac:dyDescent="0.35">
      <c r="A10211"/>
    </row>
    <row r="10212" spans="1:1" x14ac:dyDescent="0.35">
      <c r="A10212"/>
    </row>
    <row r="10213" spans="1:1" x14ac:dyDescent="0.35">
      <c r="A10213"/>
    </row>
    <row r="10214" spans="1:1" x14ac:dyDescent="0.35">
      <c r="A10214"/>
    </row>
    <row r="10215" spans="1:1" x14ac:dyDescent="0.35">
      <c r="A10215"/>
    </row>
    <row r="10216" spans="1:1" x14ac:dyDescent="0.35">
      <c r="A10216"/>
    </row>
    <row r="10217" spans="1:1" x14ac:dyDescent="0.35">
      <c r="A10217"/>
    </row>
    <row r="10218" spans="1:1" x14ac:dyDescent="0.35">
      <c r="A10218"/>
    </row>
    <row r="10219" spans="1:1" x14ac:dyDescent="0.35">
      <c r="A10219"/>
    </row>
    <row r="10220" spans="1:1" x14ac:dyDescent="0.35">
      <c r="A10220"/>
    </row>
    <row r="10221" spans="1:1" x14ac:dyDescent="0.35">
      <c r="A10221"/>
    </row>
    <row r="10222" spans="1:1" x14ac:dyDescent="0.35">
      <c r="A10222"/>
    </row>
    <row r="10223" spans="1:1" x14ac:dyDescent="0.35">
      <c r="A10223"/>
    </row>
    <row r="10224" spans="1:1" x14ac:dyDescent="0.35">
      <c r="A10224"/>
    </row>
    <row r="10225" spans="1:1" x14ac:dyDescent="0.35">
      <c r="A10225"/>
    </row>
    <row r="10226" spans="1:1" x14ac:dyDescent="0.35">
      <c r="A10226"/>
    </row>
    <row r="10227" spans="1:1" x14ac:dyDescent="0.35">
      <c r="A10227"/>
    </row>
    <row r="10228" spans="1:1" x14ac:dyDescent="0.35">
      <c r="A10228"/>
    </row>
    <row r="10229" spans="1:1" x14ac:dyDescent="0.35">
      <c r="A10229"/>
    </row>
    <row r="10230" spans="1:1" x14ac:dyDescent="0.35">
      <c r="A10230"/>
    </row>
    <row r="10231" spans="1:1" x14ac:dyDescent="0.35">
      <c r="A10231"/>
    </row>
    <row r="10232" spans="1:1" x14ac:dyDescent="0.35">
      <c r="A10232"/>
    </row>
    <row r="10233" spans="1:1" x14ac:dyDescent="0.35">
      <c r="A10233"/>
    </row>
    <row r="10234" spans="1:1" x14ac:dyDescent="0.35">
      <c r="A10234"/>
    </row>
    <row r="10235" spans="1:1" x14ac:dyDescent="0.35">
      <c r="A10235"/>
    </row>
    <row r="10236" spans="1:1" x14ac:dyDescent="0.35">
      <c r="A10236"/>
    </row>
    <row r="10237" spans="1:1" x14ac:dyDescent="0.35">
      <c r="A10237"/>
    </row>
    <row r="10238" spans="1:1" x14ac:dyDescent="0.35">
      <c r="A10238"/>
    </row>
    <row r="10239" spans="1:1" x14ac:dyDescent="0.35">
      <c r="A10239"/>
    </row>
    <row r="10240" spans="1:1" x14ac:dyDescent="0.35">
      <c r="A10240"/>
    </row>
    <row r="10241" spans="1:1" x14ac:dyDescent="0.35">
      <c r="A10241"/>
    </row>
    <row r="10242" spans="1:1" x14ac:dyDescent="0.35">
      <c r="A10242"/>
    </row>
    <row r="10243" spans="1:1" x14ac:dyDescent="0.35">
      <c r="A10243"/>
    </row>
    <row r="10244" spans="1:1" x14ac:dyDescent="0.35">
      <c r="A10244"/>
    </row>
    <row r="10245" spans="1:1" x14ac:dyDescent="0.35">
      <c r="A10245"/>
    </row>
    <row r="10246" spans="1:1" x14ac:dyDescent="0.35">
      <c r="A10246"/>
    </row>
    <row r="10247" spans="1:1" x14ac:dyDescent="0.35">
      <c r="A10247"/>
    </row>
    <row r="10248" spans="1:1" x14ac:dyDescent="0.35">
      <c r="A10248"/>
    </row>
    <row r="10249" spans="1:1" x14ac:dyDescent="0.35">
      <c r="A10249"/>
    </row>
    <row r="10250" spans="1:1" x14ac:dyDescent="0.35">
      <c r="A10250"/>
    </row>
    <row r="10251" spans="1:1" x14ac:dyDescent="0.35">
      <c r="A10251"/>
    </row>
    <row r="10252" spans="1:1" x14ac:dyDescent="0.35">
      <c r="A10252"/>
    </row>
    <row r="10253" spans="1:1" x14ac:dyDescent="0.35">
      <c r="A10253"/>
    </row>
    <row r="10254" spans="1:1" x14ac:dyDescent="0.35">
      <c r="A10254"/>
    </row>
    <row r="10255" spans="1:1" x14ac:dyDescent="0.35">
      <c r="A10255"/>
    </row>
    <row r="10256" spans="1:1" x14ac:dyDescent="0.35">
      <c r="A10256"/>
    </row>
    <row r="10257" spans="1:1" x14ac:dyDescent="0.35">
      <c r="A10257"/>
    </row>
    <row r="10258" spans="1:1" x14ac:dyDescent="0.35">
      <c r="A10258"/>
    </row>
    <row r="10259" spans="1:1" x14ac:dyDescent="0.35">
      <c r="A10259"/>
    </row>
    <row r="10260" spans="1:1" x14ac:dyDescent="0.35">
      <c r="A10260"/>
    </row>
    <row r="10261" spans="1:1" x14ac:dyDescent="0.35">
      <c r="A10261"/>
    </row>
    <row r="10262" spans="1:1" x14ac:dyDescent="0.35">
      <c r="A10262"/>
    </row>
    <row r="10263" spans="1:1" x14ac:dyDescent="0.35">
      <c r="A10263"/>
    </row>
    <row r="10264" spans="1:1" x14ac:dyDescent="0.35">
      <c r="A10264"/>
    </row>
    <row r="10265" spans="1:1" x14ac:dyDescent="0.35">
      <c r="A10265"/>
    </row>
    <row r="10266" spans="1:1" x14ac:dyDescent="0.35">
      <c r="A10266"/>
    </row>
    <row r="10267" spans="1:1" x14ac:dyDescent="0.35">
      <c r="A10267"/>
    </row>
    <row r="10268" spans="1:1" x14ac:dyDescent="0.35">
      <c r="A10268"/>
    </row>
    <row r="10269" spans="1:1" x14ac:dyDescent="0.35">
      <c r="A10269"/>
    </row>
    <row r="10270" spans="1:1" x14ac:dyDescent="0.35">
      <c r="A10270"/>
    </row>
    <row r="10271" spans="1:1" x14ac:dyDescent="0.35">
      <c r="A10271"/>
    </row>
    <row r="10272" spans="1:1" x14ac:dyDescent="0.35">
      <c r="A10272"/>
    </row>
    <row r="10273" spans="1:1" x14ac:dyDescent="0.35">
      <c r="A10273"/>
    </row>
    <row r="10274" spans="1:1" x14ac:dyDescent="0.35">
      <c r="A10274"/>
    </row>
    <row r="10275" spans="1:1" x14ac:dyDescent="0.35">
      <c r="A10275"/>
    </row>
    <row r="10276" spans="1:1" x14ac:dyDescent="0.35">
      <c r="A10276"/>
    </row>
    <row r="10277" spans="1:1" x14ac:dyDescent="0.35">
      <c r="A10277"/>
    </row>
    <row r="10278" spans="1:1" x14ac:dyDescent="0.35">
      <c r="A10278"/>
    </row>
    <row r="10279" spans="1:1" x14ac:dyDescent="0.35">
      <c r="A10279"/>
    </row>
    <row r="10280" spans="1:1" x14ac:dyDescent="0.35">
      <c r="A10280"/>
    </row>
    <row r="10281" spans="1:1" x14ac:dyDescent="0.35">
      <c r="A10281"/>
    </row>
    <row r="10282" spans="1:1" x14ac:dyDescent="0.35">
      <c r="A10282"/>
    </row>
    <row r="10283" spans="1:1" x14ac:dyDescent="0.35">
      <c r="A10283"/>
    </row>
    <row r="10284" spans="1:1" x14ac:dyDescent="0.35">
      <c r="A10284"/>
    </row>
    <row r="10285" spans="1:1" x14ac:dyDescent="0.35">
      <c r="A10285"/>
    </row>
    <row r="10286" spans="1:1" x14ac:dyDescent="0.35">
      <c r="A10286"/>
    </row>
    <row r="10287" spans="1:1" x14ac:dyDescent="0.35">
      <c r="A10287"/>
    </row>
    <row r="10288" spans="1:1" x14ac:dyDescent="0.35">
      <c r="A10288"/>
    </row>
    <row r="10289" spans="1:1" x14ac:dyDescent="0.35">
      <c r="A10289"/>
    </row>
    <row r="10290" spans="1:1" x14ac:dyDescent="0.35">
      <c r="A10290"/>
    </row>
    <row r="10291" spans="1:1" x14ac:dyDescent="0.35">
      <c r="A10291"/>
    </row>
    <row r="10292" spans="1:1" x14ac:dyDescent="0.35">
      <c r="A10292"/>
    </row>
    <row r="10293" spans="1:1" x14ac:dyDescent="0.35">
      <c r="A10293"/>
    </row>
    <row r="10294" spans="1:1" x14ac:dyDescent="0.35">
      <c r="A10294"/>
    </row>
    <row r="10295" spans="1:1" x14ac:dyDescent="0.35">
      <c r="A10295"/>
    </row>
    <row r="10296" spans="1:1" x14ac:dyDescent="0.35">
      <c r="A10296"/>
    </row>
    <row r="10297" spans="1:1" x14ac:dyDescent="0.35">
      <c r="A10297"/>
    </row>
    <row r="10298" spans="1:1" x14ac:dyDescent="0.35">
      <c r="A10298"/>
    </row>
    <row r="10299" spans="1:1" x14ac:dyDescent="0.35">
      <c r="A10299"/>
    </row>
    <row r="10300" spans="1:1" x14ac:dyDescent="0.35">
      <c r="A10300"/>
    </row>
    <row r="10301" spans="1:1" x14ac:dyDescent="0.35">
      <c r="A10301"/>
    </row>
    <row r="10302" spans="1:1" x14ac:dyDescent="0.35">
      <c r="A10302"/>
    </row>
    <row r="10303" spans="1:1" x14ac:dyDescent="0.35">
      <c r="A10303"/>
    </row>
    <row r="10304" spans="1:1" x14ac:dyDescent="0.35">
      <c r="A10304"/>
    </row>
    <row r="10305" spans="1:1" x14ac:dyDescent="0.35">
      <c r="A10305"/>
    </row>
    <row r="10306" spans="1:1" x14ac:dyDescent="0.35">
      <c r="A10306"/>
    </row>
    <row r="10307" spans="1:1" x14ac:dyDescent="0.35">
      <c r="A10307"/>
    </row>
    <row r="10308" spans="1:1" x14ac:dyDescent="0.35">
      <c r="A10308"/>
    </row>
    <row r="10309" spans="1:1" x14ac:dyDescent="0.35">
      <c r="A10309"/>
    </row>
    <row r="10310" spans="1:1" x14ac:dyDescent="0.35">
      <c r="A10310"/>
    </row>
    <row r="10311" spans="1:1" x14ac:dyDescent="0.35">
      <c r="A10311"/>
    </row>
    <row r="10312" spans="1:1" x14ac:dyDescent="0.35">
      <c r="A10312"/>
    </row>
    <row r="10313" spans="1:1" x14ac:dyDescent="0.35">
      <c r="A10313"/>
    </row>
    <row r="10314" spans="1:1" x14ac:dyDescent="0.35">
      <c r="A10314"/>
    </row>
    <row r="10315" spans="1:1" x14ac:dyDescent="0.35">
      <c r="A10315"/>
    </row>
    <row r="10316" spans="1:1" x14ac:dyDescent="0.35">
      <c r="A10316"/>
    </row>
    <row r="10317" spans="1:1" x14ac:dyDescent="0.35">
      <c r="A10317"/>
    </row>
    <row r="10318" spans="1:1" x14ac:dyDescent="0.35">
      <c r="A10318"/>
    </row>
    <row r="10319" spans="1:1" x14ac:dyDescent="0.35">
      <c r="A10319"/>
    </row>
    <row r="10320" spans="1:1" x14ac:dyDescent="0.35">
      <c r="A10320"/>
    </row>
    <row r="10321" spans="1:1" x14ac:dyDescent="0.35">
      <c r="A10321"/>
    </row>
    <row r="10322" spans="1:1" x14ac:dyDescent="0.35">
      <c r="A10322"/>
    </row>
    <row r="10323" spans="1:1" x14ac:dyDescent="0.35">
      <c r="A10323"/>
    </row>
    <row r="10324" spans="1:1" x14ac:dyDescent="0.35">
      <c r="A10324"/>
    </row>
    <row r="10325" spans="1:1" x14ac:dyDescent="0.35">
      <c r="A10325"/>
    </row>
    <row r="10326" spans="1:1" x14ac:dyDescent="0.35">
      <c r="A10326"/>
    </row>
    <row r="10327" spans="1:1" x14ac:dyDescent="0.35">
      <c r="A10327"/>
    </row>
    <row r="10328" spans="1:1" x14ac:dyDescent="0.35">
      <c r="A10328"/>
    </row>
    <row r="10329" spans="1:1" x14ac:dyDescent="0.35">
      <c r="A10329"/>
    </row>
    <row r="10330" spans="1:1" x14ac:dyDescent="0.35">
      <c r="A10330"/>
    </row>
    <row r="10331" spans="1:1" x14ac:dyDescent="0.35">
      <c r="A10331"/>
    </row>
    <row r="10332" spans="1:1" x14ac:dyDescent="0.35">
      <c r="A10332"/>
    </row>
    <row r="10333" spans="1:1" x14ac:dyDescent="0.35">
      <c r="A10333"/>
    </row>
    <row r="10334" spans="1:1" x14ac:dyDescent="0.35">
      <c r="A10334"/>
    </row>
    <row r="10335" spans="1:1" x14ac:dyDescent="0.35">
      <c r="A10335"/>
    </row>
    <row r="10336" spans="1:1" x14ac:dyDescent="0.35">
      <c r="A10336"/>
    </row>
    <row r="10337" spans="1:1" x14ac:dyDescent="0.35">
      <c r="A10337"/>
    </row>
    <row r="10338" spans="1:1" x14ac:dyDescent="0.35">
      <c r="A10338"/>
    </row>
    <row r="10339" spans="1:1" x14ac:dyDescent="0.35">
      <c r="A10339"/>
    </row>
    <row r="10340" spans="1:1" x14ac:dyDescent="0.35">
      <c r="A10340"/>
    </row>
    <row r="10341" spans="1:1" x14ac:dyDescent="0.35">
      <c r="A10341"/>
    </row>
    <row r="10342" spans="1:1" x14ac:dyDescent="0.35">
      <c r="A10342"/>
    </row>
    <row r="10343" spans="1:1" x14ac:dyDescent="0.35">
      <c r="A10343"/>
    </row>
    <row r="10344" spans="1:1" x14ac:dyDescent="0.35">
      <c r="A10344"/>
    </row>
    <row r="10345" spans="1:1" x14ac:dyDescent="0.35">
      <c r="A10345"/>
    </row>
    <row r="10346" spans="1:1" x14ac:dyDescent="0.35">
      <c r="A10346"/>
    </row>
    <row r="10347" spans="1:1" x14ac:dyDescent="0.35">
      <c r="A10347"/>
    </row>
    <row r="10348" spans="1:1" x14ac:dyDescent="0.35">
      <c r="A10348"/>
    </row>
    <row r="10349" spans="1:1" x14ac:dyDescent="0.35">
      <c r="A10349"/>
    </row>
    <row r="10350" spans="1:1" x14ac:dyDescent="0.35">
      <c r="A10350"/>
    </row>
    <row r="10351" spans="1:1" x14ac:dyDescent="0.35">
      <c r="A10351"/>
    </row>
    <row r="10352" spans="1:1" x14ac:dyDescent="0.35">
      <c r="A10352"/>
    </row>
    <row r="10353" spans="1:1" x14ac:dyDescent="0.35">
      <c r="A10353"/>
    </row>
    <row r="10354" spans="1:1" x14ac:dyDescent="0.35">
      <c r="A10354"/>
    </row>
    <row r="10355" spans="1:1" x14ac:dyDescent="0.35">
      <c r="A10355"/>
    </row>
    <row r="10356" spans="1:1" x14ac:dyDescent="0.35">
      <c r="A10356"/>
    </row>
    <row r="10357" spans="1:1" x14ac:dyDescent="0.35">
      <c r="A10357"/>
    </row>
    <row r="10358" spans="1:1" x14ac:dyDescent="0.35">
      <c r="A10358"/>
    </row>
    <row r="10359" spans="1:1" x14ac:dyDescent="0.35">
      <c r="A10359"/>
    </row>
    <row r="10360" spans="1:1" x14ac:dyDescent="0.35">
      <c r="A10360"/>
    </row>
    <row r="10361" spans="1:1" x14ac:dyDescent="0.35">
      <c r="A10361"/>
    </row>
    <row r="10362" spans="1:1" x14ac:dyDescent="0.35">
      <c r="A10362"/>
    </row>
    <row r="10363" spans="1:1" x14ac:dyDescent="0.35">
      <c r="A10363"/>
    </row>
    <row r="10364" spans="1:1" x14ac:dyDescent="0.35">
      <c r="A10364"/>
    </row>
    <row r="10365" spans="1:1" x14ac:dyDescent="0.35">
      <c r="A10365"/>
    </row>
    <row r="10366" spans="1:1" x14ac:dyDescent="0.35">
      <c r="A10366"/>
    </row>
    <row r="10367" spans="1:1" x14ac:dyDescent="0.35">
      <c r="A10367"/>
    </row>
    <row r="10368" spans="1:1" x14ac:dyDescent="0.35">
      <c r="A10368"/>
    </row>
    <row r="10369" spans="1:1" x14ac:dyDescent="0.35">
      <c r="A10369"/>
    </row>
    <row r="10370" spans="1:1" x14ac:dyDescent="0.35">
      <c r="A10370"/>
    </row>
    <row r="10371" spans="1:1" x14ac:dyDescent="0.35">
      <c r="A10371"/>
    </row>
    <row r="10372" spans="1:1" x14ac:dyDescent="0.35">
      <c r="A10372"/>
    </row>
    <row r="10373" spans="1:1" x14ac:dyDescent="0.35">
      <c r="A10373"/>
    </row>
    <row r="10374" spans="1:1" x14ac:dyDescent="0.35">
      <c r="A10374"/>
    </row>
    <row r="10375" spans="1:1" x14ac:dyDescent="0.35">
      <c r="A10375"/>
    </row>
    <row r="10376" spans="1:1" x14ac:dyDescent="0.35">
      <c r="A10376"/>
    </row>
    <row r="10377" spans="1:1" x14ac:dyDescent="0.35">
      <c r="A10377"/>
    </row>
    <row r="10378" spans="1:1" x14ac:dyDescent="0.35">
      <c r="A10378"/>
    </row>
    <row r="10379" spans="1:1" x14ac:dyDescent="0.35">
      <c r="A10379"/>
    </row>
    <row r="10380" spans="1:1" x14ac:dyDescent="0.35">
      <c r="A10380"/>
    </row>
    <row r="10381" spans="1:1" x14ac:dyDescent="0.35">
      <c r="A10381"/>
    </row>
    <row r="10382" spans="1:1" x14ac:dyDescent="0.35">
      <c r="A10382"/>
    </row>
    <row r="10383" spans="1:1" x14ac:dyDescent="0.35">
      <c r="A10383"/>
    </row>
    <row r="10384" spans="1:1" x14ac:dyDescent="0.35">
      <c r="A10384"/>
    </row>
    <row r="10385" spans="1:1" x14ac:dyDescent="0.35">
      <c r="A10385"/>
    </row>
    <row r="10386" spans="1:1" x14ac:dyDescent="0.35">
      <c r="A10386"/>
    </row>
    <row r="10387" spans="1:1" x14ac:dyDescent="0.35">
      <c r="A10387"/>
    </row>
    <row r="10388" spans="1:1" x14ac:dyDescent="0.35">
      <c r="A10388"/>
    </row>
    <row r="10389" spans="1:1" x14ac:dyDescent="0.35">
      <c r="A10389"/>
    </row>
    <row r="10390" spans="1:1" x14ac:dyDescent="0.35">
      <c r="A10390"/>
    </row>
    <row r="10391" spans="1:1" x14ac:dyDescent="0.35">
      <c r="A10391"/>
    </row>
    <row r="10392" spans="1:1" x14ac:dyDescent="0.35">
      <c r="A10392"/>
    </row>
    <row r="10393" spans="1:1" x14ac:dyDescent="0.35">
      <c r="A10393"/>
    </row>
    <row r="10394" spans="1:1" x14ac:dyDescent="0.35">
      <c r="A10394"/>
    </row>
    <row r="10395" spans="1:1" x14ac:dyDescent="0.35">
      <c r="A10395"/>
    </row>
    <row r="10396" spans="1:1" x14ac:dyDescent="0.35">
      <c r="A10396"/>
    </row>
    <row r="10397" spans="1:1" x14ac:dyDescent="0.35">
      <c r="A10397"/>
    </row>
    <row r="10398" spans="1:1" x14ac:dyDescent="0.35">
      <c r="A10398"/>
    </row>
    <row r="10399" spans="1:1" x14ac:dyDescent="0.35">
      <c r="A10399"/>
    </row>
    <row r="10400" spans="1:1" x14ac:dyDescent="0.35">
      <c r="A10400"/>
    </row>
    <row r="10401" spans="1:1" x14ac:dyDescent="0.35">
      <c r="A10401"/>
    </row>
    <row r="10402" spans="1:1" x14ac:dyDescent="0.35">
      <c r="A10402"/>
    </row>
    <row r="10403" spans="1:1" x14ac:dyDescent="0.35">
      <c r="A10403"/>
    </row>
    <row r="10404" spans="1:1" x14ac:dyDescent="0.35">
      <c r="A10404"/>
    </row>
    <row r="10405" spans="1:1" x14ac:dyDescent="0.35">
      <c r="A10405"/>
    </row>
    <row r="10406" spans="1:1" x14ac:dyDescent="0.35">
      <c r="A10406"/>
    </row>
    <row r="10407" spans="1:1" x14ac:dyDescent="0.35">
      <c r="A10407"/>
    </row>
    <row r="10408" spans="1:1" x14ac:dyDescent="0.35">
      <c r="A10408"/>
    </row>
    <row r="10409" spans="1:1" x14ac:dyDescent="0.35">
      <c r="A10409"/>
    </row>
    <row r="10410" spans="1:1" x14ac:dyDescent="0.35">
      <c r="A10410"/>
    </row>
    <row r="10411" spans="1:1" x14ac:dyDescent="0.35">
      <c r="A10411"/>
    </row>
    <row r="10412" spans="1:1" x14ac:dyDescent="0.35">
      <c r="A10412"/>
    </row>
    <row r="10413" spans="1:1" x14ac:dyDescent="0.35">
      <c r="A10413"/>
    </row>
    <row r="10414" spans="1:1" x14ac:dyDescent="0.35">
      <c r="A10414"/>
    </row>
    <row r="10415" spans="1:1" x14ac:dyDescent="0.35">
      <c r="A10415"/>
    </row>
    <row r="10416" spans="1:1" x14ac:dyDescent="0.35">
      <c r="A10416"/>
    </row>
    <row r="10417" spans="1:1" x14ac:dyDescent="0.35">
      <c r="A10417"/>
    </row>
    <row r="10418" spans="1:1" x14ac:dyDescent="0.35">
      <c r="A10418"/>
    </row>
    <row r="10419" spans="1:1" x14ac:dyDescent="0.35">
      <c r="A10419"/>
    </row>
    <row r="10420" spans="1:1" x14ac:dyDescent="0.35">
      <c r="A10420"/>
    </row>
    <row r="10421" spans="1:1" x14ac:dyDescent="0.35">
      <c r="A10421"/>
    </row>
    <row r="10422" spans="1:1" x14ac:dyDescent="0.35">
      <c r="A10422"/>
    </row>
    <row r="10423" spans="1:1" x14ac:dyDescent="0.35">
      <c r="A10423"/>
    </row>
    <row r="10424" spans="1:1" x14ac:dyDescent="0.35">
      <c r="A10424"/>
    </row>
    <row r="10425" spans="1:1" x14ac:dyDescent="0.35">
      <c r="A10425"/>
    </row>
    <row r="10426" spans="1:1" x14ac:dyDescent="0.35">
      <c r="A10426"/>
    </row>
    <row r="10427" spans="1:1" x14ac:dyDescent="0.35">
      <c r="A10427"/>
    </row>
    <row r="10428" spans="1:1" x14ac:dyDescent="0.35">
      <c r="A10428"/>
    </row>
    <row r="10429" spans="1:1" x14ac:dyDescent="0.35">
      <c r="A10429"/>
    </row>
    <row r="10430" spans="1:1" x14ac:dyDescent="0.35">
      <c r="A10430"/>
    </row>
    <row r="10431" spans="1:1" x14ac:dyDescent="0.35">
      <c r="A10431"/>
    </row>
    <row r="10432" spans="1:1" x14ac:dyDescent="0.35">
      <c r="A10432"/>
    </row>
    <row r="10433" spans="1:1" x14ac:dyDescent="0.35">
      <c r="A10433"/>
    </row>
    <row r="10434" spans="1:1" x14ac:dyDescent="0.35">
      <c r="A10434"/>
    </row>
    <row r="10435" spans="1:1" x14ac:dyDescent="0.35">
      <c r="A10435"/>
    </row>
    <row r="10436" spans="1:1" x14ac:dyDescent="0.35">
      <c r="A10436"/>
    </row>
    <row r="10437" spans="1:1" x14ac:dyDescent="0.35">
      <c r="A10437"/>
    </row>
    <row r="10438" spans="1:1" x14ac:dyDescent="0.35">
      <c r="A10438"/>
    </row>
    <row r="10439" spans="1:1" x14ac:dyDescent="0.35">
      <c r="A10439"/>
    </row>
    <row r="10440" spans="1:1" x14ac:dyDescent="0.35">
      <c r="A10440"/>
    </row>
    <row r="10441" spans="1:1" x14ac:dyDescent="0.35">
      <c r="A10441"/>
    </row>
    <row r="10442" spans="1:1" x14ac:dyDescent="0.35">
      <c r="A10442"/>
    </row>
    <row r="10443" spans="1:1" x14ac:dyDescent="0.35">
      <c r="A10443"/>
    </row>
    <row r="10444" spans="1:1" x14ac:dyDescent="0.35">
      <c r="A10444"/>
    </row>
    <row r="10445" spans="1:1" x14ac:dyDescent="0.35">
      <c r="A10445"/>
    </row>
    <row r="10446" spans="1:1" x14ac:dyDescent="0.35">
      <c r="A10446"/>
    </row>
    <row r="10447" spans="1:1" x14ac:dyDescent="0.35">
      <c r="A10447"/>
    </row>
    <row r="10448" spans="1:1" x14ac:dyDescent="0.35">
      <c r="A10448"/>
    </row>
    <row r="10449" spans="1:1" x14ac:dyDescent="0.35">
      <c r="A10449"/>
    </row>
    <row r="10450" spans="1:1" x14ac:dyDescent="0.35">
      <c r="A10450"/>
    </row>
    <row r="10451" spans="1:1" x14ac:dyDescent="0.35">
      <c r="A10451"/>
    </row>
    <row r="10452" spans="1:1" x14ac:dyDescent="0.35">
      <c r="A10452"/>
    </row>
    <row r="10453" spans="1:1" x14ac:dyDescent="0.35">
      <c r="A10453"/>
    </row>
    <row r="10454" spans="1:1" x14ac:dyDescent="0.35">
      <c r="A10454"/>
    </row>
    <row r="10455" spans="1:1" x14ac:dyDescent="0.35">
      <c r="A10455"/>
    </row>
    <row r="10456" spans="1:1" x14ac:dyDescent="0.35">
      <c r="A10456"/>
    </row>
    <row r="10457" spans="1:1" x14ac:dyDescent="0.35">
      <c r="A10457"/>
    </row>
    <row r="10458" spans="1:1" x14ac:dyDescent="0.35">
      <c r="A10458"/>
    </row>
    <row r="10459" spans="1:1" x14ac:dyDescent="0.35">
      <c r="A10459"/>
    </row>
    <row r="10460" spans="1:1" x14ac:dyDescent="0.35">
      <c r="A10460"/>
    </row>
    <row r="10461" spans="1:1" x14ac:dyDescent="0.35">
      <c r="A10461"/>
    </row>
    <row r="10462" spans="1:1" x14ac:dyDescent="0.35">
      <c r="A10462"/>
    </row>
    <row r="10463" spans="1:1" x14ac:dyDescent="0.35">
      <c r="A10463"/>
    </row>
    <row r="10464" spans="1:1" x14ac:dyDescent="0.35">
      <c r="A10464"/>
    </row>
    <row r="10465" spans="1:1" x14ac:dyDescent="0.35">
      <c r="A10465"/>
    </row>
    <row r="10466" spans="1:1" x14ac:dyDescent="0.35">
      <c r="A10466"/>
    </row>
    <row r="10467" spans="1:1" x14ac:dyDescent="0.35">
      <c r="A10467"/>
    </row>
    <row r="10468" spans="1:1" x14ac:dyDescent="0.35">
      <c r="A10468"/>
    </row>
    <row r="10469" spans="1:1" x14ac:dyDescent="0.35">
      <c r="A10469"/>
    </row>
    <row r="10470" spans="1:1" x14ac:dyDescent="0.35">
      <c r="A10470"/>
    </row>
    <row r="10471" spans="1:1" x14ac:dyDescent="0.35">
      <c r="A10471"/>
    </row>
    <row r="10472" spans="1:1" x14ac:dyDescent="0.35">
      <c r="A10472"/>
    </row>
    <row r="10473" spans="1:1" x14ac:dyDescent="0.35">
      <c r="A10473"/>
    </row>
    <row r="10474" spans="1:1" x14ac:dyDescent="0.35">
      <c r="A10474"/>
    </row>
    <row r="10475" spans="1:1" x14ac:dyDescent="0.35">
      <c r="A10475"/>
    </row>
    <row r="10476" spans="1:1" x14ac:dyDescent="0.35">
      <c r="A10476"/>
    </row>
    <row r="10477" spans="1:1" x14ac:dyDescent="0.35">
      <c r="A10477"/>
    </row>
    <row r="10478" spans="1:1" x14ac:dyDescent="0.35">
      <c r="A10478"/>
    </row>
    <row r="10479" spans="1:1" x14ac:dyDescent="0.35">
      <c r="A10479"/>
    </row>
    <row r="10480" spans="1:1" x14ac:dyDescent="0.35">
      <c r="A10480"/>
    </row>
    <row r="10481" spans="1:1" x14ac:dyDescent="0.35">
      <c r="A10481"/>
    </row>
    <row r="10482" spans="1:1" x14ac:dyDescent="0.35">
      <c r="A10482"/>
    </row>
    <row r="10483" spans="1:1" x14ac:dyDescent="0.35">
      <c r="A10483"/>
    </row>
    <row r="10484" spans="1:1" x14ac:dyDescent="0.35">
      <c r="A10484"/>
    </row>
    <row r="10485" spans="1:1" x14ac:dyDescent="0.35">
      <c r="A10485"/>
    </row>
    <row r="10486" spans="1:1" x14ac:dyDescent="0.35">
      <c r="A10486"/>
    </row>
    <row r="10487" spans="1:1" x14ac:dyDescent="0.35">
      <c r="A10487"/>
    </row>
    <row r="10488" spans="1:1" x14ac:dyDescent="0.35">
      <c r="A10488"/>
    </row>
    <row r="10489" spans="1:1" x14ac:dyDescent="0.35">
      <c r="A10489"/>
    </row>
    <row r="10490" spans="1:1" x14ac:dyDescent="0.35">
      <c r="A10490"/>
    </row>
    <row r="10491" spans="1:1" x14ac:dyDescent="0.35">
      <c r="A10491"/>
    </row>
    <row r="10492" spans="1:1" x14ac:dyDescent="0.35">
      <c r="A10492"/>
    </row>
    <row r="10493" spans="1:1" x14ac:dyDescent="0.35">
      <c r="A10493"/>
    </row>
    <row r="10494" spans="1:1" x14ac:dyDescent="0.35">
      <c r="A10494"/>
    </row>
    <row r="10495" spans="1:1" x14ac:dyDescent="0.35">
      <c r="A10495"/>
    </row>
    <row r="10496" spans="1:1" x14ac:dyDescent="0.35">
      <c r="A10496"/>
    </row>
    <row r="10497" spans="1:1" x14ac:dyDescent="0.35">
      <c r="A10497"/>
    </row>
    <row r="10498" spans="1:1" x14ac:dyDescent="0.35">
      <c r="A10498"/>
    </row>
    <row r="10499" spans="1:1" x14ac:dyDescent="0.35">
      <c r="A10499"/>
    </row>
    <row r="10500" spans="1:1" x14ac:dyDescent="0.35">
      <c r="A10500"/>
    </row>
    <row r="10501" spans="1:1" x14ac:dyDescent="0.35">
      <c r="A10501"/>
    </row>
    <row r="10502" spans="1:1" x14ac:dyDescent="0.35">
      <c r="A10502"/>
    </row>
    <row r="10503" spans="1:1" x14ac:dyDescent="0.35">
      <c r="A10503"/>
    </row>
    <row r="10504" spans="1:1" x14ac:dyDescent="0.35">
      <c r="A10504"/>
    </row>
    <row r="10505" spans="1:1" x14ac:dyDescent="0.35">
      <c r="A10505"/>
    </row>
    <row r="10506" spans="1:1" x14ac:dyDescent="0.35">
      <c r="A10506"/>
    </row>
    <row r="10507" spans="1:1" x14ac:dyDescent="0.35">
      <c r="A10507"/>
    </row>
    <row r="10508" spans="1:1" x14ac:dyDescent="0.35">
      <c r="A10508"/>
    </row>
    <row r="10509" spans="1:1" x14ac:dyDescent="0.35">
      <c r="A10509"/>
    </row>
    <row r="10510" spans="1:1" x14ac:dyDescent="0.35">
      <c r="A10510"/>
    </row>
    <row r="10511" spans="1:1" x14ac:dyDescent="0.35">
      <c r="A10511"/>
    </row>
    <row r="10512" spans="1:1" x14ac:dyDescent="0.35">
      <c r="A10512"/>
    </row>
    <row r="10513" spans="1:1" x14ac:dyDescent="0.35">
      <c r="A10513"/>
    </row>
    <row r="10514" spans="1:1" x14ac:dyDescent="0.35">
      <c r="A10514"/>
    </row>
    <row r="10515" spans="1:1" x14ac:dyDescent="0.35">
      <c r="A10515"/>
    </row>
    <row r="10516" spans="1:1" x14ac:dyDescent="0.35">
      <c r="A10516"/>
    </row>
    <row r="10517" spans="1:1" x14ac:dyDescent="0.35">
      <c r="A10517"/>
    </row>
    <row r="10518" spans="1:1" x14ac:dyDescent="0.35">
      <c r="A10518"/>
    </row>
    <row r="10519" spans="1:1" x14ac:dyDescent="0.35">
      <c r="A10519"/>
    </row>
    <row r="10520" spans="1:1" x14ac:dyDescent="0.35">
      <c r="A10520"/>
    </row>
    <row r="10521" spans="1:1" x14ac:dyDescent="0.35">
      <c r="A10521"/>
    </row>
    <row r="10522" spans="1:1" x14ac:dyDescent="0.35">
      <c r="A10522"/>
    </row>
    <row r="10523" spans="1:1" x14ac:dyDescent="0.35">
      <c r="A10523"/>
    </row>
    <row r="10524" spans="1:1" x14ac:dyDescent="0.35">
      <c r="A10524"/>
    </row>
    <row r="10525" spans="1:1" x14ac:dyDescent="0.35">
      <c r="A10525"/>
    </row>
    <row r="10526" spans="1:1" x14ac:dyDescent="0.35">
      <c r="A10526"/>
    </row>
    <row r="10527" spans="1:1" x14ac:dyDescent="0.35">
      <c r="A10527"/>
    </row>
    <row r="10528" spans="1:1" x14ac:dyDescent="0.35">
      <c r="A10528"/>
    </row>
    <row r="10529" spans="1:1" x14ac:dyDescent="0.35">
      <c r="A10529"/>
    </row>
    <row r="10530" spans="1:1" x14ac:dyDescent="0.35">
      <c r="A10530"/>
    </row>
    <row r="10531" spans="1:1" x14ac:dyDescent="0.35">
      <c r="A10531"/>
    </row>
    <row r="10532" spans="1:1" x14ac:dyDescent="0.35">
      <c r="A10532"/>
    </row>
    <row r="10533" spans="1:1" x14ac:dyDescent="0.35">
      <c r="A10533"/>
    </row>
    <row r="10534" spans="1:1" x14ac:dyDescent="0.35">
      <c r="A10534"/>
    </row>
    <row r="10535" spans="1:1" x14ac:dyDescent="0.35">
      <c r="A10535"/>
    </row>
    <row r="10536" spans="1:1" x14ac:dyDescent="0.35">
      <c r="A10536"/>
    </row>
    <row r="10537" spans="1:1" x14ac:dyDescent="0.35">
      <c r="A10537"/>
    </row>
    <row r="10538" spans="1:1" x14ac:dyDescent="0.35">
      <c r="A10538"/>
    </row>
    <row r="10539" spans="1:1" x14ac:dyDescent="0.35">
      <c r="A10539"/>
    </row>
    <row r="10540" spans="1:1" x14ac:dyDescent="0.35">
      <c r="A10540"/>
    </row>
    <row r="10541" spans="1:1" x14ac:dyDescent="0.35">
      <c r="A10541"/>
    </row>
    <row r="10542" spans="1:1" x14ac:dyDescent="0.35">
      <c r="A10542"/>
    </row>
    <row r="10543" spans="1:1" x14ac:dyDescent="0.35">
      <c r="A10543"/>
    </row>
    <row r="10544" spans="1:1" x14ac:dyDescent="0.35">
      <c r="A10544"/>
    </row>
    <row r="10545" spans="1:1" x14ac:dyDescent="0.35">
      <c r="A10545"/>
    </row>
    <row r="10546" spans="1:1" x14ac:dyDescent="0.35">
      <c r="A10546"/>
    </row>
    <row r="10547" spans="1:1" x14ac:dyDescent="0.35">
      <c r="A10547"/>
    </row>
    <row r="10548" spans="1:1" x14ac:dyDescent="0.35">
      <c r="A10548"/>
    </row>
    <row r="10549" spans="1:1" x14ac:dyDescent="0.35">
      <c r="A10549"/>
    </row>
    <row r="10550" spans="1:1" x14ac:dyDescent="0.35">
      <c r="A10550"/>
    </row>
    <row r="10551" spans="1:1" x14ac:dyDescent="0.35">
      <c r="A10551"/>
    </row>
    <row r="10552" spans="1:1" x14ac:dyDescent="0.35">
      <c r="A10552"/>
    </row>
    <row r="10553" spans="1:1" x14ac:dyDescent="0.35">
      <c r="A10553"/>
    </row>
    <row r="10554" spans="1:1" x14ac:dyDescent="0.35">
      <c r="A10554"/>
    </row>
    <row r="10555" spans="1:1" x14ac:dyDescent="0.35">
      <c r="A10555"/>
    </row>
    <row r="10556" spans="1:1" x14ac:dyDescent="0.35">
      <c r="A10556"/>
    </row>
    <row r="10557" spans="1:1" x14ac:dyDescent="0.35">
      <c r="A10557"/>
    </row>
    <row r="10558" spans="1:1" x14ac:dyDescent="0.35">
      <c r="A10558"/>
    </row>
    <row r="10559" spans="1:1" x14ac:dyDescent="0.35">
      <c r="A10559"/>
    </row>
    <row r="10560" spans="1:1" x14ac:dyDescent="0.35">
      <c r="A10560"/>
    </row>
    <row r="10561" spans="1:1" x14ac:dyDescent="0.35">
      <c r="A10561"/>
    </row>
    <row r="10562" spans="1:1" x14ac:dyDescent="0.35">
      <c r="A10562"/>
    </row>
    <row r="10563" spans="1:1" x14ac:dyDescent="0.35">
      <c r="A10563"/>
    </row>
    <row r="10564" spans="1:1" x14ac:dyDescent="0.35">
      <c r="A10564"/>
    </row>
    <row r="10565" spans="1:1" x14ac:dyDescent="0.35">
      <c r="A10565"/>
    </row>
    <row r="10566" spans="1:1" x14ac:dyDescent="0.35">
      <c r="A10566"/>
    </row>
    <row r="10567" spans="1:1" x14ac:dyDescent="0.35">
      <c r="A10567"/>
    </row>
    <row r="10568" spans="1:1" x14ac:dyDescent="0.35">
      <c r="A10568"/>
    </row>
    <row r="10569" spans="1:1" x14ac:dyDescent="0.35">
      <c r="A10569"/>
    </row>
    <row r="10570" spans="1:1" x14ac:dyDescent="0.35">
      <c r="A10570"/>
    </row>
    <row r="10571" spans="1:1" x14ac:dyDescent="0.35">
      <c r="A10571"/>
    </row>
    <row r="10572" spans="1:1" x14ac:dyDescent="0.35">
      <c r="A10572"/>
    </row>
    <row r="10573" spans="1:1" x14ac:dyDescent="0.35">
      <c r="A10573"/>
    </row>
    <row r="10574" spans="1:1" x14ac:dyDescent="0.35">
      <c r="A10574"/>
    </row>
    <row r="10575" spans="1:1" x14ac:dyDescent="0.35">
      <c r="A10575"/>
    </row>
    <row r="10576" spans="1:1" x14ac:dyDescent="0.35">
      <c r="A10576"/>
    </row>
    <row r="10577" spans="1:1" x14ac:dyDescent="0.35">
      <c r="A10577"/>
    </row>
    <row r="10578" spans="1:1" x14ac:dyDescent="0.35">
      <c r="A10578"/>
    </row>
    <row r="10579" spans="1:1" x14ac:dyDescent="0.35">
      <c r="A10579"/>
    </row>
    <row r="10580" spans="1:1" x14ac:dyDescent="0.35">
      <c r="A10580"/>
    </row>
    <row r="10581" spans="1:1" x14ac:dyDescent="0.35">
      <c r="A10581"/>
    </row>
    <row r="10582" spans="1:1" x14ac:dyDescent="0.35">
      <c r="A10582"/>
    </row>
    <row r="10583" spans="1:1" x14ac:dyDescent="0.35">
      <c r="A10583"/>
    </row>
    <row r="10584" spans="1:1" x14ac:dyDescent="0.35">
      <c r="A10584"/>
    </row>
    <row r="10585" spans="1:1" x14ac:dyDescent="0.35">
      <c r="A10585"/>
    </row>
    <row r="10586" spans="1:1" x14ac:dyDescent="0.35">
      <c r="A10586"/>
    </row>
    <row r="10587" spans="1:1" x14ac:dyDescent="0.35">
      <c r="A10587"/>
    </row>
    <row r="10588" spans="1:1" x14ac:dyDescent="0.35">
      <c r="A10588"/>
    </row>
    <row r="10589" spans="1:1" x14ac:dyDescent="0.35">
      <c r="A10589"/>
    </row>
    <row r="10590" spans="1:1" x14ac:dyDescent="0.35">
      <c r="A10590"/>
    </row>
    <row r="10591" spans="1:1" x14ac:dyDescent="0.35">
      <c r="A10591"/>
    </row>
    <row r="10592" spans="1:1" x14ac:dyDescent="0.35">
      <c r="A10592"/>
    </row>
    <row r="10593" spans="1:1" x14ac:dyDescent="0.35">
      <c r="A10593"/>
    </row>
    <row r="10594" spans="1:1" x14ac:dyDescent="0.35">
      <c r="A10594"/>
    </row>
    <row r="10595" spans="1:1" x14ac:dyDescent="0.35">
      <c r="A10595"/>
    </row>
    <row r="10596" spans="1:1" x14ac:dyDescent="0.35">
      <c r="A10596"/>
    </row>
    <row r="10597" spans="1:1" x14ac:dyDescent="0.35">
      <c r="A10597"/>
    </row>
    <row r="10598" spans="1:1" x14ac:dyDescent="0.35">
      <c r="A10598"/>
    </row>
    <row r="10599" spans="1:1" x14ac:dyDescent="0.35">
      <c r="A10599"/>
    </row>
    <row r="10600" spans="1:1" x14ac:dyDescent="0.35">
      <c r="A10600"/>
    </row>
    <row r="10601" spans="1:1" x14ac:dyDescent="0.35">
      <c r="A10601"/>
    </row>
    <row r="10602" spans="1:1" x14ac:dyDescent="0.35">
      <c r="A10602"/>
    </row>
    <row r="10603" spans="1:1" x14ac:dyDescent="0.35">
      <c r="A10603"/>
    </row>
    <row r="10604" spans="1:1" x14ac:dyDescent="0.35">
      <c r="A10604"/>
    </row>
    <row r="10605" spans="1:1" x14ac:dyDescent="0.35">
      <c r="A10605"/>
    </row>
    <row r="10606" spans="1:1" x14ac:dyDescent="0.35">
      <c r="A10606"/>
    </row>
    <row r="10607" spans="1:1" x14ac:dyDescent="0.35">
      <c r="A10607"/>
    </row>
    <row r="10608" spans="1:1" x14ac:dyDescent="0.35">
      <c r="A10608"/>
    </row>
    <row r="10609" spans="1:1" x14ac:dyDescent="0.35">
      <c r="A10609"/>
    </row>
    <row r="10610" spans="1:1" x14ac:dyDescent="0.35">
      <c r="A10610"/>
    </row>
    <row r="10611" spans="1:1" x14ac:dyDescent="0.35">
      <c r="A10611"/>
    </row>
    <row r="10612" spans="1:1" x14ac:dyDescent="0.35">
      <c r="A10612"/>
    </row>
    <row r="10613" spans="1:1" x14ac:dyDescent="0.35">
      <c r="A10613"/>
    </row>
    <row r="10614" spans="1:1" x14ac:dyDescent="0.35">
      <c r="A10614"/>
    </row>
    <row r="10615" spans="1:1" x14ac:dyDescent="0.35">
      <c r="A10615"/>
    </row>
    <row r="10616" spans="1:1" x14ac:dyDescent="0.35">
      <c r="A10616"/>
    </row>
    <row r="10617" spans="1:1" x14ac:dyDescent="0.35">
      <c r="A10617"/>
    </row>
    <row r="10618" spans="1:1" x14ac:dyDescent="0.35">
      <c r="A10618"/>
    </row>
    <row r="10619" spans="1:1" x14ac:dyDescent="0.35">
      <c r="A10619"/>
    </row>
    <row r="10620" spans="1:1" x14ac:dyDescent="0.35">
      <c r="A10620"/>
    </row>
    <row r="10621" spans="1:1" x14ac:dyDescent="0.35">
      <c r="A10621"/>
    </row>
    <row r="10622" spans="1:1" x14ac:dyDescent="0.35">
      <c r="A10622"/>
    </row>
    <row r="10623" spans="1:1" x14ac:dyDescent="0.35">
      <c r="A10623"/>
    </row>
    <row r="10624" spans="1:1" x14ac:dyDescent="0.35">
      <c r="A10624"/>
    </row>
    <row r="10625" spans="1:1" x14ac:dyDescent="0.35">
      <c r="A10625"/>
    </row>
    <row r="10626" spans="1:1" x14ac:dyDescent="0.35">
      <c r="A10626"/>
    </row>
    <row r="10627" spans="1:1" x14ac:dyDescent="0.35">
      <c r="A10627"/>
    </row>
    <row r="10628" spans="1:1" x14ac:dyDescent="0.35">
      <c r="A10628"/>
    </row>
    <row r="10629" spans="1:1" x14ac:dyDescent="0.35">
      <c r="A10629"/>
    </row>
    <row r="10630" spans="1:1" x14ac:dyDescent="0.35">
      <c r="A10630"/>
    </row>
    <row r="10631" spans="1:1" x14ac:dyDescent="0.35">
      <c r="A10631"/>
    </row>
    <row r="10632" spans="1:1" x14ac:dyDescent="0.35">
      <c r="A10632"/>
    </row>
    <row r="10633" spans="1:1" x14ac:dyDescent="0.35">
      <c r="A10633"/>
    </row>
    <row r="10634" spans="1:1" x14ac:dyDescent="0.35">
      <c r="A10634"/>
    </row>
    <row r="10635" spans="1:1" x14ac:dyDescent="0.35">
      <c r="A10635"/>
    </row>
    <row r="10636" spans="1:1" x14ac:dyDescent="0.35">
      <c r="A10636"/>
    </row>
    <row r="10637" spans="1:1" x14ac:dyDescent="0.35">
      <c r="A10637"/>
    </row>
    <row r="10638" spans="1:1" x14ac:dyDescent="0.35">
      <c r="A10638"/>
    </row>
    <row r="10639" spans="1:1" x14ac:dyDescent="0.35">
      <c r="A10639"/>
    </row>
    <row r="10640" spans="1:1" x14ac:dyDescent="0.35">
      <c r="A10640"/>
    </row>
    <row r="10641" spans="1:1" x14ac:dyDescent="0.35">
      <c r="A10641"/>
    </row>
    <row r="10642" spans="1:1" x14ac:dyDescent="0.35">
      <c r="A10642"/>
    </row>
    <row r="10643" spans="1:1" x14ac:dyDescent="0.35">
      <c r="A10643"/>
    </row>
    <row r="10644" spans="1:1" x14ac:dyDescent="0.35">
      <c r="A10644"/>
    </row>
    <row r="10645" spans="1:1" x14ac:dyDescent="0.35">
      <c r="A10645"/>
    </row>
    <row r="10646" spans="1:1" x14ac:dyDescent="0.35">
      <c r="A10646"/>
    </row>
    <row r="10647" spans="1:1" x14ac:dyDescent="0.35">
      <c r="A10647"/>
    </row>
    <row r="10648" spans="1:1" x14ac:dyDescent="0.35">
      <c r="A10648"/>
    </row>
    <row r="10649" spans="1:1" x14ac:dyDescent="0.35">
      <c r="A10649"/>
    </row>
    <row r="10650" spans="1:1" x14ac:dyDescent="0.35">
      <c r="A10650"/>
    </row>
    <row r="10651" spans="1:1" x14ac:dyDescent="0.35">
      <c r="A10651"/>
    </row>
    <row r="10652" spans="1:1" x14ac:dyDescent="0.35">
      <c r="A10652"/>
    </row>
    <row r="10653" spans="1:1" x14ac:dyDescent="0.35">
      <c r="A10653"/>
    </row>
    <row r="10654" spans="1:1" x14ac:dyDescent="0.35">
      <c r="A10654"/>
    </row>
    <row r="10655" spans="1:1" x14ac:dyDescent="0.35">
      <c r="A10655"/>
    </row>
    <row r="10656" spans="1:1" x14ac:dyDescent="0.35">
      <c r="A10656"/>
    </row>
    <row r="10657" spans="1:1" x14ac:dyDescent="0.35">
      <c r="A10657"/>
    </row>
    <row r="10658" spans="1:1" x14ac:dyDescent="0.35">
      <c r="A10658"/>
    </row>
    <row r="10659" spans="1:1" x14ac:dyDescent="0.35">
      <c r="A10659"/>
    </row>
    <row r="10660" spans="1:1" x14ac:dyDescent="0.35">
      <c r="A10660"/>
    </row>
    <row r="10661" spans="1:1" x14ac:dyDescent="0.35">
      <c r="A10661"/>
    </row>
    <row r="10662" spans="1:1" x14ac:dyDescent="0.35">
      <c r="A10662"/>
    </row>
    <row r="10663" spans="1:1" x14ac:dyDescent="0.35">
      <c r="A10663"/>
    </row>
    <row r="10664" spans="1:1" x14ac:dyDescent="0.35">
      <c r="A10664"/>
    </row>
    <row r="10665" spans="1:1" x14ac:dyDescent="0.35">
      <c r="A10665"/>
    </row>
    <row r="10666" spans="1:1" x14ac:dyDescent="0.35">
      <c r="A10666"/>
    </row>
    <row r="10667" spans="1:1" x14ac:dyDescent="0.35">
      <c r="A10667"/>
    </row>
    <row r="10668" spans="1:1" x14ac:dyDescent="0.35">
      <c r="A10668"/>
    </row>
    <row r="10669" spans="1:1" x14ac:dyDescent="0.35">
      <c r="A10669"/>
    </row>
    <row r="10670" spans="1:1" x14ac:dyDescent="0.35">
      <c r="A10670"/>
    </row>
    <row r="10671" spans="1:1" x14ac:dyDescent="0.35">
      <c r="A10671"/>
    </row>
    <row r="10672" spans="1:1" x14ac:dyDescent="0.35">
      <c r="A10672"/>
    </row>
    <row r="10673" spans="1:1" x14ac:dyDescent="0.35">
      <c r="A10673"/>
    </row>
    <row r="10674" spans="1:1" x14ac:dyDescent="0.35">
      <c r="A10674"/>
    </row>
    <row r="10675" spans="1:1" x14ac:dyDescent="0.35">
      <c r="A10675"/>
    </row>
    <row r="10676" spans="1:1" x14ac:dyDescent="0.35">
      <c r="A10676"/>
    </row>
    <row r="10677" spans="1:1" x14ac:dyDescent="0.35">
      <c r="A10677"/>
    </row>
    <row r="10678" spans="1:1" x14ac:dyDescent="0.35">
      <c r="A10678"/>
    </row>
    <row r="10679" spans="1:1" x14ac:dyDescent="0.35">
      <c r="A10679"/>
    </row>
    <row r="10680" spans="1:1" x14ac:dyDescent="0.35">
      <c r="A10680"/>
    </row>
    <row r="10681" spans="1:1" x14ac:dyDescent="0.35">
      <c r="A10681"/>
    </row>
    <row r="10682" spans="1:1" x14ac:dyDescent="0.35">
      <c r="A10682"/>
    </row>
    <row r="10683" spans="1:1" x14ac:dyDescent="0.35">
      <c r="A10683"/>
    </row>
    <row r="10684" spans="1:1" x14ac:dyDescent="0.35">
      <c r="A10684"/>
    </row>
    <row r="10685" spans="1:1" x14ac:dyDescent="0.35">
      <c r="A10685"/>
    </row>
    <row r="10686" spans="1:1" x14ac:dyDescent="0.35">
      <c r="A10686"/>
    </row>
    <row r="10687" spans="1:1" x14ac:dyDescent="0.35">
      <c r="A10687"/>
    </row>
    <row r="10688" spans="1:1" x14ac:dyDescent="0.35">
      <c r="A10688"/>
    </row>
    <row r="10689" spans="1:1" x14ac:dyDescent="0.35">
      <c r="A10689"/>
    </row>
    <row r="10690" spans="1:1" x14ac:dyDescent="0.35">
      <c r="A10690"/>
    </row>
    <row r="10691" spans="1:1" x14ac:dyDescent="0.35">
      <c r="A10691"/>
    </row>
    <row r="10692" spans="1:1" x14ac:dyDescent="0.35">
      <c r="A10692"/>
    </row>
    <row r="10693" spans="1:1" x14ac:dyDescent="0.35">
      <c r="A10693"/>
    </row>
    <row r="10694" spans="1:1" x14ac:dyDescent="0.35">
      <c r="A10694"/>
    </row>
    <row r="10695" spans="1:1" x14ac:dyDescent="0.35">
      <c r="A10695"/>
    </row>
    <row r="10696" spans="1:1" x14ac:dyDescent="0.35">
      <c r="A10696"/>
    </row>
    <row r="10697" spans="1:1" x14ac:dyDescent="0.35">
      <c r="A10697"/>
    </row>
    <row r="10698" spans="1:1" x14ac:dyDescent="0.35">
      <c r="A10698"/>
    </row>
    <row r="10699" spans="1:1" x14ac:dyDescent="0.35">
      <c r="A10699"/>
    </row>
    <row r="10700" spans="1:1" x14ac:dyDescent="0.35">
      <c r="A10700"/>
    </row>
    <row r="10701" spans="1:1" x14ac:dyDescent="0.35">
      <c r="A10701"/>
    </row>
    <row r="10702" spans="1:1" x14ac:dyDescent="0.35">
      <c r="A10702"/>
    </row>
    <row r="10703" spans="1:1" x14ac:dyDescent="0.35">
      <c r="A10703"/>
    </row>
    <row r="10704" spans="1:1" x14ac:dyDescent="0.35">
      <c r="A10704"/>
    </row>
    <row r="10705" spans="1:1" x14ac:dyDescent="0.35">
      <c r="A10705"/>
    </row>
    <row r="10706" spans="1:1" x14ac:dyDescent="0.35">
      <c r="A10706"/>
    </row>
    <row r="10707" spans="1:1" x14ac:dyDescent="0.35">
      <c r="A10707"/>
    </row>
    <row r="10708" spans="1:1" x14ac:dyDescent="0.35">
      <c r="A10708"/>
    </row>
    <row r="10709" spans="1:1" x14ac:dyDescent="0.35">
      <c r="A10709"/>
    </row>
    <row r="10710" spans="1:1" x14ac:dyDescent="0.35">
      <c r="A10710"/>
    </row>
    <row r="10711" spans="1:1" x14ac:dyDescent="0.35">
      <c r="A10711"/>
    </row>
    <row r="10712" spans="1:1" x14ac:dyDescent="0.35">
      <c r="A10712"/>
    </row>
    <row r="10713" spans="1:1" x14ac:dyDescent="0.35">
      <c r="A10713"/>
    </row>
    <row r="10714" spans="1:1" x14ac:dyDescent="0.35">
      <c r="A10714"/>
    </row>
    <row r="10715" spans="1:1" x14ac:dyDescent="0.35">
      <c r="A10715"/>
    </row>
    <row r="10716" spans="1:1" x14ac:dyDescent="0.35">
      <c r="A10716"/>
    </row>
    <row r="10717" spans="1:1" x14ac:dyDescent="0.35">
      <c r="A10717"/>
    </row>
    <row r="10718" spans="1:1" x14ac:dyDescent="0.35">
      <c r="A10718"/>
    </row>
    <row r="10719" spans="1:1" x14ac:dyDescent="0.35">
      <c r="A10719"/>
    </row>
    <row r="10720" spans="1:1" x14ac:dyDescent="0.35">
      <c r="A10720"/>
    </row>
    <row r="10721" spans="1:1" x14ac:dyDescent="0.35">
      <c r="A10721"/>
    </row>
    <row r="10722" spans="1:1" x14ac:dyDescent="0.35">
      <c r="A10722"/>
    </row>
    <row r="10723" spans="1:1" x14ac:dyDescent="0.35">
      <c r="A10723"/>
    </row>
    <row r="10724" spans="1:1" x14ac:dyDescent="0.35">
      <c r="A10724"/>
    </row>
    <row r="10725" spans="1:1" x14ac:dyDescent="0.35">
      <c r="A10725"/>
    </row>
    <row r="10726" spans="1:1" x14ac:dyDescent="0.35">
      <c r="A10726"/>
    </row>
    <row r="10727" spans="1:1" x14ac:dyDescent="0.35">
      <c r="A10727"/>
    </row>
    <row r="10728" spans="1:1" x14ac:dyDescent="0.35">
      <c r="A10728"/>
    </row>
    <row r="10729" spans="1:1" x14ac:dyDescent="0.35">
      <c r="A10729"/>
    </row>
    <row r="10730" spans="1:1" x14ac:dyDescent="0.35">
      <c r="A10730"/>
    </row>
    <row r="10731" spans="1:1" x14ac:dyDescent="0.35">
      <c r="A10731"/>
    </row>
    <row r="10732" spans="1:1" x14ac:dyDescent="0.35">
      <c r="A10732"/>
    </row>
    <row r="10733" spans="1:1" x14ac:dyDescent="0.35">
      <c r="A10733"/>
    </row>
    <row r="10734" spans="1:1" x14ac:dyDescent="0.35">
      <c r="A10734"/>
    </row>
    <row r="10735" spans="1:1" x14ac:dyDescent="0.35">
      <c r="A10735"/>
    </row>
    <row r="10736" spans="1:1" x14ac:dyDescent="0.35">
      <c r="A10736"/>
    </row>
    <row r="10737" spans="1:1" x14ac:dyDescent="0.35">
      <c r="A10737"/>
    </row>
    <row r="10738" spans="1:1" x14ac:dyDescent="0.35">
      <c r="A10738"/>
    </row>
    <row r="10739" spans="1:1" x14ac:dyDescent="0.35">
      <c r="A10739"/>
    </row>
    <row r="10740" spans="1:1" x14ac:dyDescent="0.35">
      <c r="A10740"/>
    </row>
    <row r="10741" spans="1:1" x14ac:dyDescent="0.35">
      <c r="A10741"/>
    </row>
    <row r="10742" spans="1:1" x14ac:dyDescent="0.35">
      <c r="A10742"/>
    </row>
    <row r="10743" spans="1:1" x14ac:dyDescent="0.35">
      <c r="A10743"/>
    </row>
    <row r="10744" spans="1:1" x14ac:dyDescent="0.35">
      <c r="A10744"/>
    </row>
    <row r="10745" spans="1:1" x14ac:dyDescent="0.35">
      <c r="A10745"/>
    </row>
    <row r="10746" spans="1:1" x14ac:dyDescent="0.35">
      <c r="A10746"/>
    </row>
    <row r="10747" spans="1:1" x14ac:dyDescent="0.35">
      <c r="A10747"/>
    </row>
    <row r="10748" spans="1:1" x14ac:dyDescent="0.35">
      <c r="A10748"/>
    </row>
    <row r="10749" spans="1:1" x14ac:dyDescent="0.35">
      <c r="A10749"/>
    </row>
    <row r="10750" spans="1:1" x14ac:dyDescent="0.35">
      <c r="A10750"/>
    </row>
    <row r="10751" spans="1:1" x14ac:dyDescent="0.35">
      <c r="A10751"/>
    </row>
    <row r="10752" spans="1:1" x14ac:dyDescent="0.35">
      <c r="A10752"/>
    </row>
    <row r="10753" spans="1:1" x14ac:dyDescent="0.35">
      <c r="A10753"/>
    </row>
    <row r="10754" spans="1:1" x14ac:dyDescent="0.35">
      <c r="A10754"/>
    </row>
    <row r="10755" spans="1:1" x14ac:dyDescent="0.35">
      <c r="A10755"/>
    </row>
    <row r="10756" spans="1:1" x14ac:dyDescent="0.35">
      <c r="A10756"/>
    </row>
    <row r="10757" spans="1:1" x14ac:dyDescent="0.35">
      <c r="A10757"/>
    </row>
    <row r="10758" spans="1:1" x14ac:dyDescent="0.35">
      <c r="A10758"/>
    </row>
    <row r="10759" spans="1:1" x14ac:dyDescent="0.35">
      <c r="A10759"/>
    </row>
    <row r="10760" spans="1:1" x14ac:dyDescent="0.35">
      <c r="A10760"/>
    </row>
    <row r="10761" spans="1:1" x14ac:dyDescent="0.35">
      <c r="A10761"/>
    </row>
    <row r="10762" spans="1:1" x14ac:dyDescent="0.35">
      <c r="A10762"/>
    </row>
    <row r="10763" spans="1:1" x14ac:dyDescent="0.35">
      <c r="A10763"/>
    </row>
    <row r="10764" spans="1:1" x14ac:dyDescent="0.35">
      <c r="A10764"/>
    </row>
    <row r="10765" spans="1:1" x14ac:dyDescent="0.35">
      <c r="A10765"/>
    </row>
    <row r="10766" spans="1:1" x14ac:dyDescent="0.35">
      <c r="A10766"/>
    </row>
    <row r="10767" spans="1:1" x14ac:dyDescent="0.35">
      <c r="A10767"/>
    </row>
    <row r="10768" spans="1:1" x14ac:dyDescent="0.35">
      <c r="A10768"/>
    </row>
    <row r="10769" spans="1:1" x14ac:dyDescent="0.35">
      <c r="A10769"/>
    </row>
    <row r="10770" spans="1:1" x14ac:dyDescent="0.35">
      <c r="A10770"/>
    </row>
    <row r="10771" spans="1:1" x14ac:dyDescent="0.35">
      <c r="A10771"/>
    </row>
    <row r="10772" spans="1:1" x14ac:dyDescent="0.35">
      <c r="A10772"/>
    </row>
    <row r="10773" spans="1:1" x14ac:dyDescent="0.35">
      <c r="A10773"/>
    </row>
    <row r="10774" spans="1:1" x14ac:dyDescent="0.35">
      <c r="A10774"/>
    </row>
    <row r="10775" spans="1:1" x14ac:dyDescent="0.35">
      <c r="A10775"/>
    </row>
    <row r="10776" spans="1:1" x14ac:dyDescent="0.35">
      <c r="A10776"/>
    </row>
    <row r="10777" spans="1:1" x14ac:dyDescent="0.35">
      <c r="A10777"/>
    </row>
    <row r="10778" spans="1:1" x14ac:dyDescent="0.35">
      <c r="A10778"/>
    </row>
    <row r="10779" spans="1:1" x14ac:dyDescent="0.35">
      <c r="A10779"/>
    </row>
    <row r="10780" spans="1:1" x14ac:dyDescent="0.35">
      <c r="A10780"/>
    </row>
    <row r="10781" spans="1:1" x14ac:dyDescent="0.35">
      <c r="A10781"/>
    </row>
    <row r="10782" spans="1:1" x14ac:dyDescent="0.35">
      <c r="A10782"/>
    </row>
    <row r="10783" spans="1:1" x14ac:dyDescent="0.35">
      <c r="A10783"/>
    </row>
    <row r="10784" spans="1:1" x14ac:dyDescent="0.35">
      <c r="A10784"/>
    </row>
    <row r="10785" spans="1:1" x14ac:dyDescent="0.35">
      <c r="A10785"/>
    </row>
    <row r="10786" spans="1:1" x14ac:dyDescent="0.35">
      <c r="A10786"/>
    </row>
    <row r="10787" spans="1:1" x14ac:dyDescent="0.35">
      <c r="A10787"/>
    </row>
    <row r="10788" spans="1:1" x14ac:dyDescent="0.35">
      <c r="A10788"/>
    </row>
    <row r="10789" spans="1:1" x14ac:dyDescent="0.35">
      <c r="A10789"/>
    </row>
    <row r="10790" spans="1:1" x14ac:dyDescent="0.35">
      <c r="A10790"/>
    </row>
    <row r="10791" spans="1:1" x14ac:dyDescent="0.35">
      <c r="A10791"/>
    </row>
    <row r="10792" spans="1:1" x14ac:dyDescent="0.35">
      <c r="A10792"/>
    </row>
    <row r="10793" spans="1:1" x14ac:dyDescent="0.35">
      <c r="A10793"/>
    </row>
    <row r="10794" spans="1:1" x14ac:dyDescent="0.35">
      <c r="A10794"/>
    </row>
    <row r="10795" spans="1:1" x14ac:dyDescent="0.35">
      <c r="A10795"/>
    </row>
    <row r="10796" spans="1:1" x14ac:dyDescent="0.35">
      <c r="A10796"/>
    </row>
    <row r="10797" spans="1:1" x14ac:dyDescent="0.35">
      <c r="A10797"/>
    </row>
    <row r="10798" spans="1:1" x14ac:dyDescent="0.35">
      <c r="A10798"/>
    </row>
    <row r="10799" spans="1:1" x14ac:dyDescent="0.35">
      <c r="A10799"/>
    </row>
    <row r="10800" spans="1:1" x14ac:dyDescent="0.35">
      <c r="A10800"/>
    </row>
    <row r="10801" spans="1:1" x14ac:dyDescent="0.35">
      <c r="A10801"/>
    </row>
    <row r="10802" spans="1:1" x14ac:dyDescent="0.35">
      <c r="A10802"/>
    </row>
    <row r="10803" spans="1:1" x14ac:dyDescent="0.35">
      <c r="A10803"/>
    </row>
    <row r="10804" spans="1:1" x14ac:dyDescent="0.35">
      <c r="A10804"/>
    </row>
    <row r="10805" spans="1:1" x14ac:dyDescent="0.35">
      <c r="A10805"/>
    </row>
    <row r="10806" spans="1:1" x14ac:dyDescent="0.35">
      <c r="A10806"/>
    </row>
    <row r="10807" spans="1:1" x14ac:dyDescent="0.35">
      <c r="A10807"/>
    </row>
    <row r="10808" spans="1:1" x14ac:dyDescent="0.35">
      <c r="A10808"/>
    </row>
    <row r="10809" spans="1:1" x14ac:dyDescent="0.35">
      <c r="A10809"/>
    </row>
    <row r="10810" spans="1:1" x14ac:dyDescent="0.35">
      <c r="A10810"/>
    </row>
    <row r="10811" spans="1:1" x14ac:dyDescent="0.35">
      <c r="A10811"/>
    </row>
    <row r="10812" spans="1:1" x14ac:dyDescent="0.35">
      <c r="A10812"/>
    </row>
    <row r="10813" spans="1:1" x14ac:dyDescent="0.35">
      <c r="A10813"/>
    </row>
    <row r="10814" spans="1:1" x14ac:dyDescent="0.35">
      <c r="A10814"/>
    </row>
    <row r="10815" spans="1:1" x14ac:dyDescent="0.35">
      <c r="A10815"/>
    </row>
    <row r="10816" spans="1:1" x14ac:dyDescent="0.35">
      <c r="A10816"/>
    </row>
    <row r="10817" spans="1:1" x14ac:dyDescent="0.35">
      <c r="A10817"/>
    </row>
    <row r="10818" spans="1:1" x14ac:dyDescent="0.35">
      <c r="A10818"/>
    </row>
    <row r="10819" spans="1:1" x14ac:dyDescent="0.35">
      <c r="A10819"/>
    </row>
    <row r="10820" spans="1:1" x14ac:dyDescent="0.35">
      <c r="A10820"/>
    </row>
    <row r="10821" spans="1:1" x14ac:dyDescent="0.35">
      <c r="A10821"/>
    </row>
    <row r="10822" spans="1:1" x14ac:dyDescent="0.35">
      <c r="A10822"/>
    </row>
    <row r="10823" spans="1:1" x14ac:dyDescent="0.35">
      <c r="A10823"/>
    </row>
    <row r="10824" spans="1:1" x14ac:dyDescent="0.35">
      <c r="A10824"/>
    </row>
    <row r="10825" spans="1:1" x14ac:dyDescent="0.35">
      <c r="A10825"/>
    </row>
    <row r="10826" spans="1:1" x14ac:dyDescent="0.35">
      <c r="A10826"/>
    </row>
    <row r="10827" spans="1:1" x14ac:dyDescent="0.35">
      <c r="A10827"/>
    </row>
    <row r="10828" spans="1:1" x14ac:dyDescent="0.35">
      <c r="A10828"/>
    </row>
    <row r="10829" spans="1:1" x14ac:dyDescent="0.35">
      <c r="A10829"/>
    </row>
    <row r="10830" spans="1:1" x14ac:dyDescent="0.35">
      <c r="A10830"/>
    </row>
    <row r="10831" spans="1:1" x14ac:dyDescent="0.35">
      <c r="A10831"/>
    </row>
    <row r="10832" spans="1:1" x14ac:dyDescent="0.35">
      <c r="A10832"/>
    </row>
    <row r="10833" spans="1:1" x14ac:dyDescent="0.35">
      <c r="A10833"/>
    </row>
    <row r="10834" spans="1:1" x14ac:dyDescent="0.35">
      <c r="A10834"/>
    </row>
    <row r="10835" spans="1:1" x14ac:dyDescent="0.35">
      <c r="A10835"/>
    </row>
    <row r="10836" spans="1:1" x14ac:dyDescent="0.35">
      <c r="A10836"/>
    </row>
    <row r="10837" spans="1:1" x14ac:dyDescent="0.35">
      <c r="A10837"/>
    </row>
    <row r="10838" spans="1:1" x14ac:dyDescent="0.35">
      <c r="A10838"/>
    </row>
    <row r="10839" spans="1:1" x14ac:dyDescent="0.35">
      <c r="A10839"/>
    </row>
    <row r="10840" spans="1:1" x14ac:dyDescent="0.35">
      <c r="A10840"/>
    </row>
    <row r="10841" spans="1:1" x14ac:dyDescent="0.35">
      <c r="A10841"/>
    </row>
    <row r="10842" spans="1:1" x14ac:dyDescent="0.35">
      <c r="A10842"/>
    </row>
    <row r="10843" spans="1:1" x14ac:dyDescent="0.35">
      <c r="A10843"/>
    </row>
    <row r="10844" spans="1:1" x14ac:dyDescent="0.35">
      <c r="A10844"/>
    </row>
    <row r="10845" spans="1:1" x14ac:dyDescent="0.35">
      <c r="A10845"/>
    </row>
    <row r="10846" spans="1:1" x14ac:dyDescent="0.35">
      <c r="A10846"/>
    </row>
    <row r="10847" spans="1:1" x14ac:dyDescent="0.35">
      <c r="A10847"/>
    </row>
    <row r="10848" spans="1:1" x14ac:dyDescent="0.35">
      <c r="A10848"/>
    </row>
    <row r="10849" spans="1:1" x14ac:dyDescent="0.35">
      <c r="A10849"/>
    </row>
    <row r="10850" spans="1:1" x14ac:dyDescent="0.35">
      <c r="A10850"/>
    </row>
    <row r="10851" spans="1:1" x14ac:dyDescent="0.35">
      <c r="A10851"/>
    </row>
    <row r="10852" spans="1:1" x14ac:dyDescent="0.35">
      <c r="A10852"/>
    </row>
    <row r="10853" spans="1:1" x14ac:dyDescent="0.35">
      <c r="A10853"/>
    </row>
    <row r="10854" spans="1:1" x14ac:dyDescent="0.35">
      <c r="A10854"/>
    </row>
    <row r="10855" spans="1:1" x14ac:dyDescent="0.35">
      <c r="A10855"/>
    </row>
    <row r="10856" spans="1:1" x14ac:dyDescent="0.35">
      <c r="A10856"/>
    </row>
    <row r="10857" spans="1:1" x14ac:dyDescent="0.35">
      <c r="A10857"/>
    </row>
    <row r="10858" spans="1:1" x14ac:dyDescent="0.35">
      <c r="A10858"/>
    </row>
    <row r="10859" spans="1:1" x14ac:dyDescent="0.35">
      <c r="A10859"/>
    </row>
    <row r="10860" spans="1:1" x14ac:dyDescent="0.35">
      <c r="A10860"/>
    </row>
    <row r="10861" spans="1:1" x14ac:dyDescent="0.35">
      <c r="A10861"/>
    </row>
    <row r="10862" spans="1:1" x14ac:dyDescent="0.35">
      <c r="A10862"/>
    </row>
    <row r="10863" spans="1:1" x14ac:dyDescent="0.35">
      <c r="A10863"/>
    </row>
    <row r="10864" spans="1:1" x14ac:dyDescent="0.35">
      <c r="A10864"/>
    </row>
    <row r="10865" spans="1:1" x14ac:dyDescent="0.35">
      <c r="A10865"/>
    </row>
    <row r="10866" spans="1:1" x14ac:dyDescent="0.35">
      <c r="A10866"/>
    </row>
    <row r="10867" spans="1:1" x14ac:dyDescent="0.35">
      <c r="A10867"/>
    </row>
    <row r="10868" spans="1:1" x14ac:dyDescent="0.35">
      <c r="A10868"/>
    </row>
    <row r="10869" spans="1:1" x14ac:dyDescent="0.35">
      <c r="A10869"/>
    </row>
    <row r="10870" spans="1:1" x14ac:dyDescent="0.35">
      <c r="A10870"/>
    </row>
    <row r="10871" spans="1:1" x14ac:dyDescent="0.35">
      <c r="A10871"/>
    </row>
    <row r="10872" spans="1:1" x14ac:dyDescent="0.35">
      <c r="A10872"/>
    </row>
    <row r="10873" spans="1:1" x14ac:dyDescent="0.35">
      <c r="A10873"/>
    </row>
    <row r="10874" spans="1:1" x14ac:dyDescent="0.35">
      <c r="A10874"/>
    </row>
    <row r="10875" spans="1:1" x14ac:dyDescent="0.35">
      <c r="A10875"/>
    </row>
    <row r="10876" spans="1:1" x14ac:dyDescent="0.35">
      <c r="A10876"/>
    </row>
    <row r="10877" spans="1:1" x14ac:dyDescent="0.35">
      <c r="A10877"/>
    </row>
    <row r="10878" spans="1:1" x14ac:dyDescent="0.35">
      <c r="A10878"/>
    </row>
    <row r="10879" spans="1:1" x14ac:dyDescent="0.35">
      <c r="A10879"/>
    </row>
    <row r="10880" spans="1:1" x14ac:dyDescent="0.35">
      <c r="A10880"/>
    </row>
    <row r="10881" spans="1:1" x14ac:dyDescent="0.35">
      <c r="A10881"/>
    </row>
    <row r="10882" spans="1:1" x14ac:dyDescent="0.35">
      <c r="A10882"/>
    </row>
    <row r="10883" spans="1:1" x14ac:dyDescent="0.35">
      <c r="A10883"/>
    </row>
    <row r="10884" spans="1:1" x14ac:dyDescent="0.35">
      <c r="A10884"/>
    </row>
    <row r="10885" spans="1:1" x14ac:dyDescent="0.35">
      <c r="A10885"/>
    </row>
    <row r="10886" spans="1:1" x14ac:dyDescent="0.35">
      <c r="A10886"/>
    </row>
    <row r="10887" spans="1:1" x14ac:dyDescent="0.35">
      <c r="A10887"/>
    </row>
    <row r="10888" spans="1:1" x14ac:dyDescent="0.35">
      <c r="A10888"/>
    </row>
    <row r="10889" spans="1:1" x14ac:dyDescent="0.35">
      <c r="A10889"/>
    </row>
    <row r="10890" spans="1:1" x14ac:dyDescent="0.35">
      <c r="A10890"/>
    </row>
    <row r="10891" spans="1:1" x14ac:dyDescent="0.35">
      <c r="A10891"/>
    </row>
    <row r="10892" spans="1:1" x14ac:dyDescent="0.35">
      <c r="A10892"/>
    </row>
    <row r="10893" spans="1:1" x14ac:dyDescent="0.35">
      <c r="A10893"/>
    </row>
    <row r="10894" spans="1:1" x14ac:dyDescent="0.35">
      <c r="A10894"/>
    </row>
    <row r="10895" spans="1:1" x14ac:dyDescent="0.35">
      <c r="A10895"/>
    </row>
    <row r="10896" spans="1:1" x14ac:dyDescent="0.35">
      <c r="A10896"/>
    </row>
    <row r="10897" spans="1:1" x14ac:dyDescent="0.35">
      <c r="A10897"/>
    </row>
    <row r="10898" spans="1:1" x14ac:dyDescent="0.35">
      <c r="A10898"/>
    </row>
    <row r="10899" spans="1:1" x14ac:dyDescent="0.35">
      <c r="A10899"/>
    </row>
    <row r="10900" spans="1:1" x14ac:dyDescent="0.35">
      <c r="A10900"/>
    </row>
    <row r="10901" spans="1:1" x14ac:dyDescent="0.35">
      <c r="A10901"/>
    </row>
    <row r="10902" spans="1:1" x14ac:dyDescent="0.35">
      <c r="A10902"/>
    </row>
    <row r="10903" spans="1:1" x14ac:dyDescent="0.35">
      <c r="A10903"/>
    </row>
    <row r="10904" spans="1:1" x14ac:dyDescent="0.35">
      <c r="A10904"/>
    </row>
    <row r="10905" spans="1:1" x14ac:dyDescent="0.35">
      <c r="A10905"/>
    </row>
    <row r="10906" spans="1:1" x14ac:dyDescent="0.35">
      <c r="A10906"/>
    </row>
    <row r="10907" spans="1:1" x14ac:dyDescent="0.35">
      <c r="A10907"/>
    </row>
    <row r="10908" spans="1:1" x14ac:dyDescent="0.35">
      <c r="A10908"/>
    </row>
    <row r="10909" spans="1:1" x14ac:dyDescent="0.35">
      <c r="A10909"/>
    </row>
    <row r="10910" spans="1:1" x14ac:dyDescent="0.35">
      <c r="A10910"/>
    </row>
    <row r="10911" spans="1:1" x14ac:dyDescent="0.35">
      <c r="A10911"/>
    </row>
    <row r="10912" spans="1:1" x14ac:dyDescent="0.35">
      <c r="A10912"/>
    </row>
    <row r="10913" spans="1:1" x14ac:dyDescent="0.35">
      <c r="A10913"/>
    </row>
    <row r="10914" spans="1:1" x14ac:dyDescent="0.35">
      <c r="A10914"/>
    </row>
    <row r="10915" spans="1:1" x14ac:dyDescent="0.35">
      <c r="A10915"/>
    </row>
    <row r="10916" spans="1:1" x14ac:dyDescent="0.35">
      <c r="A10916"/>
    </row>
    <row r="10917" spans="1:1" x14ac:dyDescent="0.35">
      <c r="A10917"/>
    </row>
    <row r="10918" spans="1:1" x14ac:dyDescent="0.35">
      <c r="A10918"/>
    </row>
    <row r="10919" spans="1:1" x14ac:dyDescent="0.35">
      <c r="A10919"/>
    </row>
    <row r="10920" spans="1:1" x14ac:dyDescent="0.35">
      <c r="A10920"/>
    </row>
    <row r="10921" spans="1:1" x14ac:dyDescent="0.35">
      <c r="A10921"/>
    </row>
    <row r="10922" spans="1:1" x14ac:dyDescent="0.35">
      <c r="A10922"/>
    </row>
    <row r="10923" spans="1:1" x14ac:dyDescent="0.35">
      <c r="A10923"/>
    </row>
    <row r="10924" spans="1:1" x14ac:dyDescent="0.35">
      <c r="A10924"/>
    </row>
    <row r="10925" spans="1:1" x14ac:dyDescent="0.35">
      <c r="A10925"/>
    </row>
    <row r="10926" spans="1:1" x14ac:dyDescent="0.35">
      <c r="A10926"/>
    </row>
    <row r="10927" spans="1:1" x14ac:dyDescent="0.35">
      <c r="A10927"/>
    </row>
    <row r="10928" spans="1:1" x14ac:dyDescent="0.35">
      <c r="A10928"/>
    </row>
    <row r="10929" spans="1:1" x14ac:dyDescent="0.35">
      <c r="A10929"/>
    </row>
    <row r="10930" spans="1:1" x14ac:dyDescent="0.35">
      <c r="A10930"/>
    </row>
    <row r="10931" spans="1:1" x14ac:dyDescent="0.35">
      <c r="A10931"/>
    </row>
    <row r="10932" spans="1:1" x14ac:dyDescent="0.35">
      <c r="A10932"/>
    </row>
    <row r="10933" spans="1:1" x14ac:dyDescent="0.35">
      <c r="A10933"/>
    </row>
    <row r="10934" spans="1:1" x14ac:dyDescent="0.35">
      <c r="A10934"/>
    </row>
    <row r="10935" spans="1:1" x14ac:dyDescent="0.35">
      <c r="A10935"/>
    </row>
    <row r="10936" spans="1:1" x14ac:dyDescent="0.35">
      <c r="A10936"/>
    </row>
    <row r="10937" spans="1:1" x14ac:dyDescent="0.35">
      <c r="A10937"/>
    </row>
    <row r="10938" spans="1:1" x14ac:dyDescent="0.35">
      <c r="A10938"/>
    </row>
    <row r="10939" spans="1:1" x14ac:dyDescent="0.35">
      <c r="A10939"/>
    </row>
    <row r="10940" spans="1:1" x14ac:dyDescent="0.35">
      <c r="A10940"/>
    </row>
    <row r="10941" spans="1:1" x14ac:dyDescent="0.35">
      <c r="A10941"/>
    </row>
    <row r="10942" spans="1:1" x14ac:dyDescent="0.35">
      <c r="A10942"/>
    </row>
    <row r="10943" spans="1:1" x14ac:dyDescent="0.35">
      <c r="A10943"/>
    </row>
    <row r="10944" spans="1:1" x14ac:dyDescent="0.35">
      <c r="A10944"/>
    </row>
    <row r="10945" spans="1:1" x14ac:dyDescent="0.35">
      <c r="A10945"/>
    </row>
    <row r="10946" spans="1:1" x14ac:dyDescent="0.35">
      <c r="A10946"/>
    </row>
    <row r="10947" spans="1:1" x14ac:dyDescent="0.35">
      <c r="A10947"/>
    </row>
    <row r="10948" spans="1:1" x14ac:dyDescent="0.35">
      <c r="A10948"/>
    </row>
    <row r="10949" spans="1:1" x14ac:dyDescent="0.35">
      <c r="A10949"/>
    </row>
    <row r="10950" spans="1:1" x14ac:dyDescent="0.35">
      <c r="A10950"/>
    </row>
    <row r="10951" spans="1:1" x14ac:dyDescent="0.35">
      <c r="A10951"/>
    </row>
    <row r="10952" spans="1:1" x14ac:dyDescent="0.35">
      <c r="A10952"/>
    </row>
    <row r="10953" spans="1:1" x14ac:dyDescent="0.35">
      <c r="A10953"/>
    </row>
    <row r="10954" spans="1:1" x14ac:dyDescent="0.35">
      <c r="A10954"/>
    </row>
    <row r="10955" spans="1:1" x14ac:dyDescent="0.35">
      <c r="A10955"/>
    </row>
    <row r="10956" spans="1:1" x14ac:dyDescent="0.35">
      <c r="A10956"/>
    </row>
    <row r="10957" spans="1:1" x14ac:dyDescent="0.35">
      <c r="A10957"/>
    </row>
    <row r="10958" spans="1:1" x14ac:dyDescent="0.35">
      <c r="A10958"/>
    </row>
    <row r="10959" spans="1:1" x14ac:dyDescent="0.35">
      <c r="A10959"/>
    </row>
    <row r="10960" spans="1:1" x14ac:dyDescent="0.35">
      <c r="A10960"/>
    </row>
    <row r="10961" spans="1:1" x14ac:dyDescent="0.35">
      <c r="A10961"/>
    </row>
    <row r="10962" spans="1:1" x14ac:dyDescent="0.35">
      <c r="A10962"/>
    </row>
    <row r="10963" spans="1:1" x14ac:dyDescent="0.35">
      <c r="A10963"/>
    </row>
    <row r="10964" spans="1:1" x14ac:dyDescent="0.35">
      <c r="A10964"/>
    </row>
    <row r="10965" spans="1:1" x14ac:dyDescent="0.35">
      <c r="A10965"/>
    </row>
    <row r="10966" spans="1:1" x14ac:dyDescent="0.35">
      <c r="A10966"/>
    </row>
    <row r="10967" spans="1:1" x14ac:dyDescent="0.35">
      <c r="A10967"/>
    </row>
    <row r="10968" spans="1:1" x14ac:dyDescent="0.35">
      <c r="A10968"/>
    </row>
    <row r="10969" spans="1:1" x14ac:dyDescent="0.35">
      <c r="A10969"/>
    </row>
    <row r="10970" spans="1:1" x14ac:dyDescent="0.35">
      <c r="A10970"/>
    </row>
    <row r="10971" spans="1:1" x14ac:dyDescent="0.35">
      <c r="A10971"/>
    </row>
    <row r="10972" spans="1:1" x14ac:dyDescent="0.35">
      <c r="A10972"/>
    </row>
    <row r="10973" spans="1:1" x14ac:dyDescent="0.35">
      <c r="A10973"/>
    </row>
    <row r="10974" spans="1:1" x14ac:dyDescent="0.35">
      <c r="A10974"/>
    </row>
    <row r="10975" spans="1:1" x14ac:dyDescent="0.35">
      <c r="A10975"/>
    </row>
    <row r="10976" spans="1:1" x14ac:dyDescent="0.35">
      <c r="A10976"/>
    </row>
    <row r="10977" spans="1:1" x14ac:dyDescent="0.35">
      <c r="A10977"/>
    </row>
    <row r="10978" spans="1:1" x14ac:dyDescent="0.35">
      <c r="A10978"/>
    </row>
    <row r="10979" spans="1:1" x14ac:dyDescent="0.35">
      <c r="A10979"/>
    </row>
    <row r="10980" spans="1:1" x14ac:dyDescent="0.35">
      <c r="A10980"/>
    </row>
    <row r="10981" spans="1:1" x14ac:dyDescent="0.35">
      <c r="A10981"/>
    </row>
    <row r="10982" spans="1:1" x14ac:dyDescent="0.35">
      <c r="A10982"/>
    </row>
    <row r="10983" spans="1:1" x14ac:dyDescent="0.35">
      <c r="A10983"/>
    </row>
    <row r="10984" spans="1:1" x14ac:dyDescent="0.35">
      <c r="A10984"/>
    </row>
    <row r="10985" spans="1:1" x14ac:dyDescent="0.35">
      <c r="A10985"/>
    </row>
    <row r="10986" spans="1:1" x14ac:dyDescent="0.35">
      <c r="A10986"/>
    </row>
    <row r="10987" spans="1:1" x14ac:dyDescent="0.35">
      <c r="A10987"/>
    </row>
    <row r="10988" spans="1:1" x14ac:dyDescent="0.35">
      <c r="A10988"/>
    </row>
    <row r="10989" spans="1:1" x14ac:dyDescent="0.35">
      <c r="A10989"/>
    </row>
    <row r="10990" spans="1:1" x14ac:dyDescent="0.35">
      <c r="A10990"/>
    </row>
    <row r="10991" spans="1:1" x14ac:dyDescent="0.35">
      <c r="A10991"/>
    </row>
    <row r="10992" spans="1:1" x14ac:dyDescent="0.35">
      <c r="A10992"/>
    </row>
    <row r="10993" spans="1:1" x14ac:dyDescent="0.35">
      <c r="A10993"/>
    </row>
    <row r="10994" spans="1:1" x14ac:dyDescent="0.35">
      <c r="A10994"/>
    </row>
    <row r="10995" spans="1:1" x14ac:dyDescent="0.35">
      <c r="A10995"/>
    </row>
    <row r="10996" spans="1:1" x14ac:dyDescent="0.35">
      <c r="A10996"/>
    </row>
    <row r="10997" spans="1:1" x14ac:dyDescent="0.35">
      <c r="A10997"/>
    </row>
    <row r="10998" spans="1:1" x14ac:dyDescent="0.35">
      <c r="A10998"/>
    </row>
    <row r="10999" spans="1:1" x14ac:dyDescent="0.35">
      <c r="A10999"/>
    </row>
    <row r="11000" spans="1:1" x14ac:dyDescent="0.35">
      <c r="A11000"/>
    </row>
    <row r="11001" spans="1:1" x14ac:dyDescent="0.35">
      <c r="A11001"/>
    </row>
    <row r="11002" spans="1:1" x14ac:dyDescent="0.35">
      <c r="A11002"/>
    </row>
    <row r="11003" spans="1:1" x14ac:dyDescent="0.35">
      <c r="A11003"/>
    </row>
    <row r="11004" spans="1:1" x14ac:dyDescent="0.35">
      <c r="A11004"/>
    </row>
    <row r="11005" spans="1:1" x14ac:dyDescent="0.35">
      <c r="A11005"/>
    </row>
    <row r="11006" spans="1:1" x14ac:dyDescent="0.35">
      <c r="A11006"/>
    </row>
    <row r="11007" spans="1:1" x14ac:dyDescent="0.35">
      <c r="A11007"/>
    </row>
    <row r="11008" spans="1:1" x14ac:dyDescent="0.35">
      <c r="A11008"/>
    </row>
    <row r="11009" spans="1:1" x14ac:dyDescent="0.35">
      <c r="A11009"/>
    </row>
    <row r="11010" spans="1:1" x14ac:dyDescent="0.35">
      <c r="A11010"/>
    </row>
    <row r="11011" spans="1:1" x14ac:dyDescent="0.35">
      <c r="A11011"/>
    </row>
    <row r="11012" spans="1:1" x14ac:dyDescent="0.35">
      <c r="A11012"/>
    </row>
    <row r="11013" spans="1:1" x14ac:dyDescent="0.35">
      <c r="A11013"/>
    </row>
    <row r="11014" spans="1:1" x14ac:dyDescent="0.35">
      <c r="A11014"/>
    </row>
    <row r="11015" spans="1:1" x14ac:dyDescent="0.35">
      <c r="A11015"/>
    </row>
    <row r="11016" spans="1:1" x14ac:dyDescent="0.35">
      <c r="A11016"/>
    </row>
    <row r="11017" spans="1:1" x14ac:dyDescent="0.35">
      <c r="A11017"/>
    </row>
    <row r="11018" spans="1:1" x14ac:dyDescent="0.35">
      <c r="A11018"/>
    </row>
    <row r="11019" spans="1:1" x14ac:dyDescent="0.35">
      <c r="A11019"/>
    </row>
    <row r="11020" spans="1:1" x14ac:dyDescent="0.35">
      <c r="A11020"/>
    </row>
    <row r="11021" spans="1:1" x14ac:dyDescent="0.35">
      <c r="A11021"/>
    </row>
    <row r="11022" spans="1:1" x14ac:dyDescent="0.35">
      <c r="A11022"/>
    </row>
    <row r="11023" spans="1:1" x14ac:dyDescent="0.35">
      <c r="A11023"/>
    </row>
    <row r="11024" spans="1:1" x14ac:dyDescent="0.35">
      <c r="A11024"/>
    </row>
    <row r="11025" spans="1:1" x14ac:dyDescent="0.35">
      <c r="A11025"/>
    </row>
    <row r="11026" spans="1:1" x14ac:dyDescent="0.35">
      <c r="A11026"/>
    </row>
    <row r="11027" spans="1:1" x14ac:dyDescent="0.35">
      <c r="A11027"/>
    </row>
    <row r="11028" spans="1:1" x14ac:dyDescent="0.35">
      <c r="A11028"/>
    </row>
    <row r="11029" spans="1:1" x14ac:dyDescent="0.35">
      <c r="A11029"/>
    </row>
    <row r="11030" spans="1:1" x14ac:dyDescent="0.35">
      <c r="A11030"/>
    </row>
    <row r="11031" spans="1:1" x14ac:dyDescent="0.35">
      <c r="A11031"/>
    </row>
    <row r="11032" spans="1:1" x14ac:dyDescent="0.35">
      <c r="A11032"/>
    </row>
    <row r="11033" spans="1:1" x14ac:dyDescent="0.35">
      <c r="A11033"/>
    </row>
    <row r="11034" spans="1:1" x14ac:dyDescent="0.35">
      <c r="A11034"/>
    </row>
    <row r="11035" spans="1:1" x14ac:dyDescent="0.35">
      <c r="A11035"/>
    </row>
    <row r="11036" spans="1:1" x14ac:dyDescent="0.35">
      <c r="A11036"/>
    </row>
    <row r="11037" spans="1:1" x14ac:dyDescent="0.35">
      <c r="A11037"/>
    </row>
    <row r="11038" spans="1:1" x14ac:dyDescent="0.35">
      <c r="A11038"/>
    </row>
    <row r="11039" spans="1:1" x14ac:dyDescent="0.35">
      <c r="A11039"/>
    </row>
    <row r="11040" spans="1:1" x14ac:dyDescent="0.35">
      <c r="A11040"/>
    </row>
    <row r="11041" spans="1:1" x14ac:dyDescent="0.35">
      <c r="A11041"/>
    </row>
    <row r="11042" spans="1:1" x14ac:dyDescent="0.35">
      <c r="A11042"/>
    </row>
    <row r="11043" spans="1:1" x14ac:dyDescent="0.35">
      <c r="A11043"/>
    </row>
    <row r="11044" spans="1:1" x14ac:dyDescent="0.35">
      <c r="A11044"/>
    </row>
    <row r="11045" spans="1:1" x14ac:dyDescent="0.35">
      <c r="A11045"/>
    </row>
    <row r="11046" spans="1:1" x14ac:dyDescent="0.35">
      <c r="A11046"/>
    </row>
    <row r="11047" spans="1:1" x14ac:dyDescent="0.35">
      <c r="A11047"/>
    </row>
    <row r="11048" spans="1:1" x14ac:dyDescent="0.35">
      <c r="A11048"/>
    </row>
    <row r="11049" spans="1:1" x14ac:dyDescent="0.35">
      <c r="A11049"/>
    </row>
    <row r="11050" spans="1:1" x14ac:dyDescent="0.35">
      <c r="A11050"/>
    </row>
    <row r="11051" spans="1:1" x14ac:dyDescent="0.35">
      <c r="A11051"/>
    </row>
    <row r="11052" spans="1:1" x14ac:dyDescent="0.35">
      <c r="A11052"/>
    </row>
    <row r="11053" spans="1:1" x14ac:dyDescent="0.35">
      <c r="A11053"/>
    </row>
    <row r="11054" spans="1:1" x14ac:dyDescent="0.35">
      <c r="A11054"/>
    </row>
    <row r="11055" spans="1:1" x14ac:dyDescent="0.35">
      <c r="A11055"/>
    </row>
    <row r="11056" spans="1:1" x14ac:dyDescent="0.35">
      <c r="A11056"/>
    </row>
    <row r="11057" spans="1:1" x14ac:dyDescent="0.35">
      <c r="A11057"/>
    </row>
    <row r="11058" spans="1:1" x14ac:dyDescent="0.35">
      <c r="A11058"/>
    </row>
    <row r="11059" spans="1:1" x14ac:dyDescent="0.35">
      <c r="A11059"/>
    </row>
    <row r="11060" spans="1:1" x14ac:dyDescent="0.35">
      <c r="A11060"/>
    </row>
    <row r="11061" spans="1:1" x14ac:dyDescent="0.35">
      <c r="A11061"/>
    </row>
    <row r="11062" spans="1:1" x14ac:dyDescent="0.35">
      <c r="A11062"/>
    </row>
    <row r="11063" spans="1:1" x14ac:dyDescent="0.35">
      <c r="A11063"/>
    </row>
    <row r="11064" spans="1:1" x14ac:dyDescent="0.35">
      <c r="A11064"/>
    </row>
    <row r="11065" spans="1:1" x14ac:dyDescent="0.35">
      <c r="A11065"/>
    </row>
    <row r="11066" spans="1:1" x14ac:dyDescent="0.35">
      <c r="A11066"/>
    </row>
    <row r="11067" spans="1:1" x14ac:dyDescent="0.35">
      <c r="A11067"/>
    </row>
    <row r="11068" spans="1:1" x14ac:dyDescent="0.35">
      <c r="A11068"/>
    </row>
    <row r="11069" spans="1:1" x14ac:dyDescent="0.35">
      <c r="A11069"/>
    </row>
    <row r="11070" spans="1:1" x14ac:dyDescent="0.35">
      <c r="A11070"/>
    </row>
    <row r="11071" spans="1:1" x14ac:dyDescent="0.35">
      <c r="A11071"/>
    </row>
    <row r="11072" spans="1:1" x14ac:dyDescent="0.35">
      <c r="A11072"/>
    </row>
    <row r="11073" spans="1:1" x14ac:dyDescent="0.35">
      <c r="A11073"/>
    </row>
    <row r="11074" spans="1:1" x14ac:dyDescent="0.35">
      <c r="A11074"/>
    </row>
    <row r="11075" spans="1:1" x14ac:dyDescent="0.35">
      <c r="A11075"/>
    </row>
    <row r="11076" spans="1:1" x14ac:dyDescent="0.35">
      <c r="A11076"/>
    </row>
    <row r="11077" spans="1:1" x14ac:dyDescent="0.35">
      <c r="A11077"/>
    </row>
    <row r="11078" spans="1:1" x14ac:dyDescent="0.35">
      <c r="A11078"/>
    </row>
    <row r="11079" spans="1:1" x14ac:dyDescent="0.35">
      <c r="A11079"/>
    </row>
    <row r="11080" spans="1:1" x14ac:dyDescent="0.35">
      <c r="A11080"/>
    </row>
    <row r="11081" spans="1:1" x14ac:dyDescent="0.35">
      <c r="A11081"/>
    </row>
    <row r="11082" spans="1:1" x14ac:dyDescent="0.35">
      <c r="A11082"/>
    </row>
    <row r="11083" spans="1:1" x14ac:dyDescent="0.35">
      <c r="A11083"/>
    </row>
    <row r="11084" spans="1:1" x14ac:dyDescent="0.35">
      <c r="A11084"/>
    </row>
    <row r="11085" spans="1:1" x14ac:dyDescent="0.35">
      <c r="A11085"/>
    </row>
    <row r="11086" spans="1:1" x14ac:dyDescent="0.35">
      <c r="A11086"/>
    </row>
    <row r="11087" spans="1:1" x14ac:dyDescent="0.35">
      <c r="A11087"/>
    </row>
    <row r="11088" spans="1:1" x14ac:dyDescent="0.35">
      <c r="A11088"/>
    </row>
    <row r="11089" spans="1:1" x14ac:dyDescent="0.35">
      <c r="A11089"/>
    </row>
    <row r="11090" spans="1:1" x14ac:dyDescent="0.35">
      <c r="A11090"/>
    </row>
    <row r="11091" spans="1:1" x14ac:dyDescent="0.35">
      <c r="A11091"/>
    </row>
    <row r="11092" spans="1:1" x14ac:dyDescent="0.35">
      <c r="A11092"/>
    </row>
    <row r="11093" spans="1:1" x14ac:dyDescent="0.35">
      <c r="A11093"/>
    </row>
    <row r="11094" spans="1:1" x14ac:dyDescent="0.35">
      <c r="A11094"/>
    </row>
    <row r="11095" spans="1:1" x14ac:dyDescent="0.35">
      <c r="A11095"/>
    </row>
    <row r="11096" spans="1:1" x14ac:dyDescent="0.35">
      <c r="A11096"/>
    </row>
    <row r="11097" spans="1:1" x14ac:dyDescent="0.35">
      <c r="A11097"/>
    </row>
    <row r="11098" spans="1:1" x14ac:dyDescent="0.35">
      <c r="A11098"/>
    </row>
    <row r="11099" spans="1:1" x14ac:dyDescent="0.35">
      <c r="A11099"/>
    </row>
    <row r="11100" spans="1:1" x14ac:dyDescent="0.35">
      <c r="A11100"/>
    </row>
    <row r="11101" spans="1:1" x14ac:dyDescent="0.35">
      <c r="A11101"/>
    </row>
    <row r="11102" spans="1:1" x14ac:dyDescent="0.35">
      <c r="A11102"/>
    </row>
    <row r="11103" spans="1:1" x14ac:dyDescent="0.35">
      <c r="A11103"/>
    </row>
    <row r="11104" spans="1:1" x14ac:dyDescent="0.35">
      <c r="A11104"/>
    </row>
    <row r="11105" spans="1:1" x14ac:dyDescent="0.35">
      <c r="A11105"/>
    </row>
    <row r="11106" spans="1:1" x14ac:dyDescent="0.35">
      <c r="A11106"/>
    </row>
    <row r="11107" spans="1:1" x14ac:dyDescent="0.35">
      <c r="A11107"/>
    </row>
    <row r="11108" spans="1:1" x14ac:dyDescent="0.35">
      <c r="A11108"/>
    </row>
    <row r="11109" spans="1:1" x14ac:dyDescent="0.35">
      <c r="A11109"/>
    </row>
    <row r="11110" spans="1:1" x14ac:dyDescent="0.35">
      <c r="A11110"/>
    </row>
    <row r="11111" spans="1:1" x14ac:dyDescent="0.35">
      <c r="A11111"/>
    </row>
    <row r="11112" spans="1:1" x14ac:dyDescent="0.35">
      <c r="A11112"/>
    </row>
    <row r="11113" spans="1:1" x14ac:dyDescent="0.35">
      <c r="A11113"/>
    </row>
    <row r="11114" spans="1:1" x14ac:dyDescent="0.35">
      <c r="A11114"/>
    </row>
    <row r="11115" spans="1:1" x14ac:dyDescent="0.35">
      <c r="A11115"/>
    </row>
    <row r="11116" spans="1:1" x14ac:dyDescent="0.35">
      <c r="A11116"/>
    </row>
    <row r="11117" spans="1:1" x14ac:dyDescent="0.35">
      <c r="A11117"/>
    </row>
    <row r="11118" spans="1:1" x14ac:dyDescent="0.35">
      <c r="A11118"/>
    </row>
    <row r="11119" spans="1:1" x14ac:dyDescent="0.35">
      <c r="A11119"/>
    </row>
    <row r="11120" spans="1:1" x14ac:dyDescent="0.35">
      <c r="A11120"/>
    </row>
    <row r="11121" spans="1:1" x14ac:dyDescent="0.35">
      <c r="A11121"/>
    </row>
    <row r="11122" spans="1:1" x14ac:dyDescent="0.35">
      <c r="A11122"/>
    </row>
    <row r="11123" spans="1:1" x14ac:dyDescent="0.35">
      <c r="A11123"/>
    </row>
    <row r="11124" spans="1:1" x14ac:dyDescent="0.35">
      <c r="A11124"/>
    </row>
    <row r="11125" spans="1:1" x14ac:dyDescent="0.35">
      <c r="A11125"/>
    </row>
    <row r="11126" spans="1:1" x14ac:dyDescent="0.35">
      <c r="A11126"/>
    </row>
    <row r="11127" spans="1:1" x14ac:dyDescent="0.35">
      <c r="A11127"/>
    </row>
    <row r="11128" spans="1:1" x14ac:dyDescent="0.35">
      <c r="A11128"/>
    </row>
    <row r="11129" spans="1:1" x14ac:dyDescent="0.35">
      <c r="A11129"/>
    </row>
    <row r="11130" spans="1:1" x14ac:dyDescent="0.35">
      <c r="A11130"/>
    </row>
    <row r="11131" spans="1:1" x14ac:dyDescent="0.35">
      <c r="A11131"/>
    </row>
    <row r="11132" spans="1:1" x14ac:dyDescent="0.35">
      <c r="A11132"/>
    </row>
    <row r="11133" spans="1:1" x14ac:dyDescent="0.35">
      <c r="A11133"/>
    </row>
    <row r="11134" spans="1:1" x14ac:dyDescent="0.35">
      <c r="A11134"/>
    </row>
    <row r="11135" spans="1:1" x14ac:dyDescent="0.35">
      <c r="A11135"/>
    </row>
    <row r="11136" spans="1:1" x14ac:dyDescent="0.35">
      <c r="A11136"/>
    </row>
    <row r="11137" spans="1:1" x14ac:dyDescent="0.35">
      <c r="A11137"/>
    </row>
    <row r="11138" spans="1:1" x14ac:dyDescent="0.35">
      <c r="A11138"/>
    </row>
    <row r="11139" spans="1:1" x14ac:dyDescent="0.35">
      <c r="A11139"/>
    </row>
    <row r="11140" spans="1:1" x14ac:dyDescent="0.35">
      <c r="A11140"/>
    </row>
    <row r="11141" spans="1:1" x14ac:dyDescent="0.35">
      <c r="A11141"/>
    </row>
    <row r="11142" spans="1:1" x14ac:dyDescent="0.35">
      <c r="A11142"/>
    </row>
    <row r="11143" spans="1:1" x14ac:dyDescent="0.35">
      <c r="A11143"/>
    </row>
    <row r="11144" spans="1:1" x14ac:dyDescent="0.35">
      <c r="A11144"/>
    </row>
    <row r="11145" spans="1:1" x14ac:dyDescent="0.35">
      <c r="A11145"/>
    </row>
    <row r="11146" spans="1:1" x14ac:dyDescent="0.35">
      <c r="A11146"/>
    </row>
    <row r="11147" spans="1:1" x14ac:dyDescent="0.35">
      <c r="A11147"/>
    </row>
    <row r="11148" spans="1:1" x14ac:dyDescent="0.35">
      <c r="A11148"/>
    </row>
    <row r="11149" spans="1:1" x14ac:dyDescent="0.35">
      <c r="A11149"/>
    </row>
    <row r="11150" spans="1:1" x14ac:dyDescent="0.35">
      <c r="A11150"/>
    </row>
    <row r="11151" spans="1:1" x14ac:dyDescent="0.35">
      <c r="A11151"/>
    </row>
    <row r="11152" spans="1:1" x14ac:dyDescent="0.35">
      <c r="A11152"/>
    </row>
    <row r="11153" spans="1:1" x14ac:dyDescent="0.35">
      <c r="A11153"/>
    </row>
    <row r="11154" spans="1:1" x14ac:dyDescent="0.35">
      <c r="A11154"/>
    </row>
    <row r="11155" spans="1:1" x14ac:dyDescent="0.35">
      <c r="A11155"/>
    </row>
    <row r="11156" spans="1:1" x14ac:dyDescent="0.35">
      <c r="A11156"/>
    </row>
    <row r="11157" spans="1:1" x14ac:dyDescent="0.35">
      <c r="A11157"/>
    </row>
    <row r="11158" spans="1:1" x14ac:dyDescent="0.35">
      <c r="A11158"/>
    </row>
    <row r="11159" spans="1:1" x14ac:dyDescent="0.35">
      <c r="A11159"/>
    </row>
    <row r="11160" spans="1:1" x14ac:dyDescent="0.35">
      <c r="A11160"/>
    </row>
    <row r="11161" spans="1:1" x14ac:dyDescent="0.35">
      <c r="A11161"/>
    </row>
    <row r="11162" spans="1:1" x14ac:dyDescent="0.35">
      <c r="A11162"/>
    </row>
    <row r="11163" spans="1:1" x14ac:dyDescent="0.35">
      <c r="A11163"/>
    </row>
    <row r="11164" spans="1:1" x14ac:dyDescent="0.35">
      <c r="A11164"/>
    </row>
    <row r="11165" spans="1:1" x14ac:dyDescent="0.35">
      <c r="A11165"/>
    </row>
    <row r="11166" spans="1:1" x14ac:dyDescent="0.35">
      <c r="A11166"/>
    </row>
    <row r="11167" spans="1:1" x14ac:dyDescent="0.35">
      <c r="A11167"/>
    </row>
    <row r="11168" spans="1:1" x14ac:dyDescent="0.35">
      <c r="A11168"/>
    </row>
    <row r="11169" spans="1:1" x14ac:dyDescent="0.35">
      <c r="A11169"/>
    </row>
    <row r="11170" spans="1:1" x14ac:dyDescent="0.35">
      <c r="A11170"/>
    </row>
    <row r="11171" spans="1:1" x14ac:dyDescent="0.35">
      <c r="A11171"/>
    </row>
    <row r="11172" spans="1:1" x14ac:dyDescent="0.35">
      <c r="A11172"/>
    </row>
    <row r="11173" spans="1:1" x14ac:dyDescent="0.35">
      <c r="A11173"/>
    </row>
    <row r="11174" spans="1:1" x14ac:dyDescent="0.35">
      <c r="A11174"/>
    </row>
    <row r="11175" spans="1:1" x14ac:dyDescent="0.35">
      <c r="A11175"/>
    </row>
    <row r="11176" spans="1:1" x14ac:dyDescent="0.35">
      <c r="A11176"/>
    </row>
    <row r="11177" spans="1:1" x14ac:dyDescent="0.35">
      <c r="A11177"/>
    </row>
    <row r="11178" spans="1:1" x14ac:dyDescent="0.35">
      <c r="A11178"/>
    </row>
    <row r="11179" spans="1:1" x14ac:dyDescent="0.35">
      <c r="A11179"/>
    </row>
    <row r="11180" spans="1:1" x14ac:dyDescent="0.35">
      <c r="A11180"/>
    </row>
    <row r="11181" spans="1:1" x14ac:dyDescent="0.35">
      <c r="A11181"/>
    </row>
    <row r="11182" spans="1:1" x14ac:dyDescent="0.35">
      <c r="A11182"/>
    </row>
    <row r="11183" spans="1:1" x14ac:dyDescent="0.35">
      <c r="A11183"/>
    </row>
    <row r="11184" spans="1:1" x14ac:dyDescent="0.35">
      <c r="A11184"/>
    </row>
    <row r="11185" spans="1:1" x14ac:dyDescent="0.35">
      <c r="A11185"/>
    </row>
    <row r="11186" spans="1:1" x14ac:dyDescent="0.35">
      <c r="A11186"/>
    </row>
    <row r="11187" spans="1:1" x14ac:dyDescent="0.35">
      <c r="A11187"/>
    </row>
    <row r="11188" spans="1:1" x14ac:dyDescent="0.35">
      <c r="A11188"/>
    </row>
    <row r="11189" spans="1:1" x14ac:dyDescent="0.35">
      <c r="A11189"/>
    </row>
    <row r="11190" spans="1:1" x14ac:dyDescent="0.35">
      <c r="A11190"/>
    </row>
    <row r="11191" spans="1:1" x14ac:dyDescent="0.35">
      <c r="A11191"/>
    </row>
    <row r="11192" spans="1:1" x14ac:dyDescent="0.35">
      <c r="A11192"/>
    </row>
    <row r="11193" spans="1:1" x14ac:dyDescent="0.35">
      <c r="A11193"/>
    </row>
    <row r="11194" spans="1:1" x14ac:dyDescent="0.35">
      <c r="A11194"/>
    </row>
    <row r="11195" spans="1:1" x14ac:dyDescent="0.35">
      <c r="A11195"/>
    </row>
    <row r="11196" spans="1:1" x14ac:dyDescent="0.35">
      <c r="A11196"/>
    </row>
    <row r="11197" spans="1:1" x14ac:dyDescent="0.35">
      <c r="A11197"/>
    </row>
    <row r="11198" spans="1:1" x14ac:dyDescent="0.35">
      <c r="A11198"/>
    </row>
    <row r="11199" spans="1:1" x14ac:dyDescent="0.35">
      <c r="A11199"/>
    </row>
    <row r="11200" spans="1:1" x14ac:dyDescent="0.35">
      <c r="A11200"/>
    </row>
    <row r="11201" spans="1:1" x14ac:dyDescent="0.35">
      <c r="A11201"/>
    </row>
    <row r="11202" spans="1:1" x14ac:dyDescent="0.35">
      <c r="A11202"/>
    </row>
    <row r="11203" spans="1:1" x14ac:dyDescent="0.35">
      <c r="A11203"/>
    </row>
    <row r="11204" spans="1:1" x14ac:dyDescent="0.35">
      <c r="A11204"/>
    </row>
    <row r="11205" spans="1:1" x14ac:dyDescent="0.35">
      <c r="A11205"/>
    </row>
    <row r="11206" spans="1:1" x14ac:dyDescent="0.35">
      <c r="A11206"/>
    </row>
    <row r="11207" spans="1:1" x14ac:dyDescent="0.35">
      <c r="A11207"/>
    </row>
    <row r="11208" spans="1:1" x14ac:dyDescent="0.35">
      <c r="A11208"/>
    </row>
    <row r="11209" spans="1:1" x14ac:dyDescent="0.35">
      <c r="A11209"/>
    </row>
    <row r="11210" spans="1:1" x14ac:dyDescent="0.35">
      <c r="A11210"/>
    </row>
    <row r="11211" spans="1:1" x14ac:dyDescent="0.35">
      <c r="A11211"/>
    </row>
    <row r="11212" spans="1:1" x14ac:dyDescent="0.35">
      <c r="A11212"/>
    </row>
    <row r="11213" spans="1:1" x14ac:dyDescent="0.35">
      <c r="A11213"/>
    </row>
    <row r="11214" spans="1:1" x14ac:dyDescent="0.35">
      <c r="A11214"/>
    </row>
    <row r="11215" spans="1:1" x14ac:dyDescent="0.35">
      <c r="A11215"/>
    </row>
    <row r="11216" spans="1:1" x14ac:dyDescent="0.35">
      <c r="A11216"/>
    </row>
    <row r="11217" spans="1:1" x14ac:dyDescent="0.35">
      <c r="A11217"/>
    </row>
    <row r="11218" spans="1:1" x14ac:dyDescent="0.35">
      <c r="A11218"/>
    </row>
    <row r="11219" spans="1:1" x14ac:dyDescent="0.35">
      <c r="A11219"/>
    </row>
    <row r="11220" spans="1:1" x14ac:dyDescent="0.35">
      <c r="A11220"/>
    </row>
    <row r="11221" spans="1:1" x14ac:dyDescent="0.35">
      <c r="A11221"/>
    </row>
    <row r="11222" spans="1:1" x14ac:dyDescent="0.35">
      <c r="A11222"/>
    </row>
    <row r="11223" spans="1:1" x14ac:dyDescent="0.35">
      <c r="A11223"/>
    </row>
    <row r="11224" spans="1:1" x14ac:dyDescent="0.35">
      <c r="A11224"/>
    </row>
    <row r="11225" spans="1:1" x14ac:dyDescent="0.35">
      <c r="A11225"/>
    </row>
    <row r="11226" spans="1:1" x14ac:dyDescent="0.35">
      <c r="A11226"/>
    </row>
    <row r="11227" spans="1:1" x14ac:dyDescent="0.35">
      <c r="A11227"/>
    </row>
    <row r="11228" spans="1:1" x14ac:dyDescent="0.35">
      <c r="A11228"/>
    </row>
    <row r="11229" spans="1:1" x14ac:dyDescent="0.35">
      <c r="A11229"/>
    </row>
    <row r="11230" spans="1:1" x14ac:dyDescent="0.35">
      <c r="A11230"/>
    </row>
    <row r="11231" spans="1:1" x14ac:dyDescent="0.35">
      <c r="A11231"/>
    </row>
    <row r="11232" spans="1:1" x14ac:dyDescent="0.35">
      <c r="A11232"/>
    </row>
    <row r="11233" spans="1:1" x14ac:dyDescent="0.35">
      <c r="A11233"/>
    </row>
    <row r="11234" spans="1:1" x14ac:dyDescent="0.35">
      <c r="A11234"/>
    </row>
    <row r="11235" spans="1:1" x14ac:dyDescent="0.35">
      <c r="A11235"/>
    </row>
    <row r="11236" spans="1:1" x14ac:dyDescent="0.35">
      <c r="A11236"/>
    </row>
    <row r="11237" spans="1:1" x14ac:dyDescent="0.35">
      <c r="A11237"/>
    </row>
    <row r="11238" spans="1:1" x14ac:dyDescent="0.35">
      <c r="A11238"/>
    </row>
    <row r="11239" spans="1:1" x14ac:dyDescent="0.35">
      <c r="A11239"/>
    </row>
    <row r="11240" spans="1:1" x14ac:dyDescent="0.35">
      <c r="A11240"/>
    </row>
    <row r="11241" spans="1:1" x14ac:dyDescent="0.35">
      <c r="A11241"/>
    </row>
    <row r="11242" spans="1:1" x14ac:dyDescent="0.35">
      <c r="A11242"/>
    </row>
    <row r="11243" spans="1:1" x14ac:dyDescent="0.35">
      <c r="A11243"/>
    </row>
    <row r="11244" spans="1:1" x14ac:dyDescent="0.35">
      <c r="A11244"/>
    </row>
    <row r="11245" spans="1:1" x14ac:dyDescent="0.35">
      <c r="A11245"/>
    </row>
    <row r="11246" spans="1:1" x14ac:dyDescent="0.35">
      <c r="A11246"/>
    </row>
    <row r="11247" spans="1:1" x14ac:dyDescent="0.35">
      <c r="A11247"/>
    </row>
    <row r="11248" spans="1:1" x14ac:dyDescent="0.35">
      <c r="A11248"/>
    </row>
    <row r="11249" spans="1:1" x14ac:dyDescent="0.35">
      <c r="A11249"/>
    </row>
    <row r="11250" spans="1:1" x14ac:dyDescent="0.35">
      <c r="A11250"/>
    </row>
    <row r="11251" spans="1:1" x14ac:dyDescent="0.35">
      <c r="A11251"/>
    </row>
    <row r="11252" spans="1:1" x14ac:dyDescent="0.35">
      <c r="A11252"/>
    </row>
    <row r="11253" spans="1:1" x14ac:dyDescent="0.35">
      <c r="A11253"/>
    </row>
    <row r="11254" spans="1:1" x14ac:dyDescent="0.35">
      <c r="A11254"/>
    </row>
    <row r="11255" spans="1:1" x14ac:dyDescent="0.35">
      <c r="A11255"/>
    </row>
    <row r="11256" spans="1:1" x14ac:dyDescent="0.35">
      <c r="A11256"/>
    </row>
    <row r="11257" spans="1:1" x14ac:dyDescent="0.35">
      <c r="A11257"/>
    </row>
    <row r="11258" spans="1:1" x14ac:dyDescent="0.35">
      <c r="A11258"/>
    </row>
    <row r="11259" spans="1:1" x14ac:dyDescent="0.35">
      <c r="A11259"/>
    </row>
    <row r="11260" spans="1:1" x14ac:dyDescent="0.35">
      <c r="A11260"/>
    </row>
    <row r="11261" spans="1:1" x14ac:dyDescent="0.35">
      <c r="A11261"/>
    </row>
    <row r="11262" spans="1:1" x14ac:dyDescent="0.35">
      <c r="A11262"/>
    </row>
    <row r="11263" spans="1:1" x14ac:dyDescent="0.35">
      <c r="A11263"/>
    </row>
    <row r="11264" spans="1:1" x14ac:dyDescent="0.35">
      <c r="A11264"/>
    </row>
    <row r="11265" spans="1:1" x14ac:dyDescent="0.35">
      <c r="A11265"/>
    </row>
    <row r="11266" spans="1:1" x14ac:dyDescent="0.35">
      <c r="A11266"/>
    </row>
    <row r="11267" spans="1:1" x14ac:dyDescent="0.35">
      <c r="A11267"/>
    </row>
    <row r="11268" spans="1:1" x14ac:dyDescent="0.35">
      <c r="A11268"/>
    </row>
    <row r="11269" spans="1:1" x14ac:dyDescent="0.35">
      <c r="A11269"/>
    </row>
    <row r="11270" spans="1:1" x14ac:dyDescent="0.35">
      <c r="A11270"/>
    </row>
    <row r="11271" spans="1:1" x14ac:dyDescent="0.35">
      <c r="A11271"/>
    </row>
    <row r="11272" spans="1:1" x14ac:dyDescent="0.35">
      <c r="A11272"/>
    </row>
    <row r="11273" spans="1:1" x14ac:dyDescent="0.35">
      <c r="A11273"/>
    </row>
    <row r="11274" spans="1:1" x14ac:dyDescent="0.35">
      <c r="A11274"/>
    </row>
    <row r="11275" spans="1:1" x14ac:dyDescent="0.35">
      <c r="A11275"/>
    </row>
    <row r="11276" spans="1:1" x14ac:dyDescent="0.35">
      <c r="A11276"/>
    </row>
    <row r="11277" spans="1:1" x14ac:dyDescent="0.35">
      <c r="A11277"/>
    </row>
    <row r="11278" spans="1:1" x14ac:dyDescent="0.35">
      <c r="A11278"/>
    </row>
    <row r="11279" spans="1:1" x14ac:dyDescent="0.35">
      <c r="A11279"/>
    </row>
    <row r="11280" spans="1:1" x14ac:dyDescent="0.35">
      <c r="A11280"/>
    </row>
    <row r="11281" spans="1:1" x14ac:dyDescent="0.35">
      <c r="A11281"/>
    </row>
    <row r="11282" spans="1:1" x14ac:dyDescent="0.35">
      <c r="A11282"/>
    </row>
    <row r="11283" spans="1:1" x14ac:dyDescent="0.35">
      <c r="A11283"/>
    </row>
    <row r="11284" spans="1:1" x14ac:dyDescent="0.35">
      <c r="A11284"/>
    </row>
    <row r="11285" spans="1:1" x14ac:dyDescent="0.35">
      <c r="A11285"/>
    </row>
    <row r="11286" spans="1:1" x14ac:dyDescent="0.35">
      <c r="A11286"/>
    </row>
    <row r="11287" spans="1:1" x14ac:dyDescent="0.35">
      <c r="A11287"/>
    </row>
    <row r="11288" spans="1:1" x14ac:dyDescent="0.35">
      <c r="A11288"/>
    </row>
    <row r="11289" spans="1:1" x14ac:dyDescent="0.35">
      <c r="A11289"/>
    </row>
    <row r="11290" spans="1:1" x14ac:dyDescent="0.35">
      <c r="A11290"/>
    </row>
    <row r="11291" spans="1:1" x14ac:dyDescent="0.35">
      <c r="A11291"/>
    </row>
    <row r="11292" spans="1:1" x14ac:dyDescent="0.35">
      <c r="A11292"/>
    </row>
    <row r="11293" spans="1:1" x14ac:dyDescent="0.35">
      <c r="A11293"/>
    </row>
    <row r="11294" spans="1:1" x14ac:dyDescent="0.35">
      <c r="A11294"/>
    </row>
    <row r="11295" spans="1:1" x14ac:dyDescent="0.35">
      <c r="A11295"/>
    </row>
    <row r="11296" spans="1:1" x14ac:dyDescent="0.35">
      <c r="A11296"/>
    </row>
    <row r="11297" spans="1:1" x14ac:dyDescent="0.35">
      <c r="A11297"/>
    </row>
    <row r="11298" spans="1:1" x14ac:dyDescent="0.35">
      <c r="A11298"/>
    </row>
    <row r="11299" spans="1:1" x14ac:dyDescent="0.35">
      <c r="A11299"/>
    </row>
    <row r="11300" spans="1:1" x14ac:dyDescent="0.35">
      <c r="A11300"/>
    </row>
    <row r="11301" spans="1:1" x14ac:dyDescent="0.35">
      <c r="A11301"/>
    </row>
    <row r="11302" spans="1:1" x14ac:dyDescent="0.35">
      <c r="A11302"/>
    </row>
    <row r="11303" spans="1:1" x14ac:dyDescent="0.35">
      <c r="A11303"/>
    </row>
    <row r="11304" spans="1:1" x14ac:dyDescent="0.35">
      <c r="A11304"/>
    </row>
    <row r="11305" spans="1:1" x14ac:dyDescent="0.35">
      <c r="A11305"/>
    </row>
    <row r="11306" spans="1:1" x14ac:dyDescent="0.35">
      <c r="A11306"/>
    </row>
    <row r="11307" spans="1:1" x14ac:dyDescent="0.35">
      <c r="A11307"/>
    </row>
    <row r="11308" spans="1:1" x14ac:dyDescent="0.35">
      <c r="A11308"/>
    </row>
    <row r="11309" spans="1:1" x14ac:dyDescent="0.35">
      <c r="A11309"/>
    </row>
    <row r="11310" spans="1:1" x14ac:dyDescent="0.35">
      <c r="A11310"/>
    </row>
    <row r="11311" spans="1:1" x14ac:dyDescent="0.35">
      <c r="A11311"/>
    </row>
    <row r="11312" spans="1:1" x14ac:dyDescent="0.35">
      <c r="A11312"/>
    </row>
    <row r="11313" spans="1:1" x14ac:dyDescent="0.35">
      <c r="A11313"/>
    </row>
    <row r="11314" spans="1:1" x14ac:dyDescent="0.35">
      <c r="A11314"/>
    </row>
    <row r="11315" spans="1:1" x14ac:dyDescent="0.35">
      <c r="A11315"/>
    </row>
    <row r="11316" spans="1:1" x14ac:dyDescent="0.35">
      <c r="A11316"/>
    </row>
    <row r="11317" spans="1:1" x14ac:dyDescent="0.35">
      <c r="A11317"/>
    </row>
    <row r="11318" spans="1:1" x14ac:dyDescent="0.35">
      <c r="A11318"/>
    </row>
    <row r="11319" spans="1:1" x14ac:dyDescent="0.35">
      <c r="A11319"/>
    </row>
    <row r="11320" spans="1:1" x14ac:dyDescent="0.35">
      <c r="A11320"/>
    </row>
    <row r="11321" spans="1:1" x14ac:dyDescent="0.35">
      <c r="A11321"/>
    </row>
    <row r="11322" spans="1:1" x14ac:dyDescent="0.35">
      <c r="A11322"/>
    </row>
    <row r="11323" spans="1:1" x14ac:dyDescent="0.35">
      <c r="A11323"/>
    </row>
    <row r="11324" spans="1:1" x14ac:dyDescent="0.35">
      <c r="A11324"/>
    </row>
    <row r="11325" spans="1:1" x14ac:dyDescent="0.35">
      <c r="A11325"/>
    </row>
    <row r="11326" spans="1:1" x14ac:dyDescent="0.35">
      <c r="A11326"/>
    </row>
    <row r="11327" spans="1:1" x14ac:dyDescent="0.35">
      <c r="A11327"/>
    </row>
    <row r="11328" spans="1:1" x14ac:dyDescent="0.35">
      <c r="A11328"/>
    </row>
    <row r="11329" spans="1:1" x14ac:dyDescent="0.35">
      <c r="A11329"/>
    </row>
    <row r="11330" spans="1:1" x14ac:dyDescent="0.35">
      <c r="A11330"/>
    </row>
    <row r="11331" spans="1:1" x14ac:dyDescent="0.35">
      <c r="A11331"/>
    </row>
    <row r="11332" spans="1:1" x14ac:dyDescent="0.35">
      <c r="A11332"/>
    </row>
    <row r="11333" spans="1:1" x14ac:dyDescent="0.35">
      <c r="A11333"/>
    </row>
    <row r="11334" spans="1:1" x14ac:dyDescent="0.35">
      <c r="A11334"/>
    </row>
    <row r="11335" spans="1:1" x14ac:dyDescent="0.35">
      <c r="A11335"/>
    </row>
    <row r="11336" spans="1:1" x14ac:dyDescent="0.35">
      <c r="A11336"/>
    </row>
    <row r="11337" spans="1:1" x14ac:dyDescent="0.35">
      <c r="A11337"/>
    </row>
    <row r="11338" spans="1:1" x14ac:dyDescent="0.35">
      <c r="A11338"/>
    </row>
    <row r="11339" spans="1:1" x14ac:dyDescent="0.35">
      <c r="A11339"/>
    </row>
    <row r="11340" spans="1:1" x14ac:dyDescent="0.35">
      <c r="A11340"/>
    </row>
    <row r="11341" spans="1:1" x14ac:dyDescent="0.35">
      <c r="A11341"/>
    </row>
    <row r="11342" spans="1:1" x14ac:dyDescent="0.35">
      <c r="A11342"/>
    </row>
    <row r="11343" spans="1:1" x14ac:dyDescent="0.35">
      <c r="A11343"/>
    </row>
    <row r="11344" spans="1:1" x14ac:dyDescent="0.35">
      <c r="A11344"/>
    </row>
    <row r="11345" spans="1:1" x14ac:dyDescent="0.35">
      <c r="A11345"/>
    </row>
    <row r="11346" spans="1:1" x14ac:dyDescent="0.35">
      <c r="A11346"/>
    </row>
    <row r="11347" spans="1:1" x14ac:dyDescent="0.35">
      <c r="A11347"/>
    </row>
    <row r="11348" spans="1:1" x14ac:dyDescent="0.35">
      <c r="A11348"/>
    </row>
    <row r="11349" spans="1:1" x14ac:dyDescent="0.35">
      <c r="A11349"/>
    </row>
    <row r="11350" spans="1:1" x14ac:dyDescent="0.35">
      <c r="A11350"/>
    </row>
    <row r="11351" spans="1:1" x14ac:dyDescent="0.35">
      <c r="A11351"/>
    </row>
    <row r="11352" spans="1:1" x14ac:dyDescent="0.35">
      <c r="A11352"/>
    </row>
    <row r="11353" spans="1:1" x14ac:dyDescent="0.35">
      <c r="A11353"/>
    </row>
    <row r="11354" spans="1:1" x14ac:dyDescent="0.35">
      <c r="A11354"/>
    </row>
    <row r="11355" spans="1:1" x14ac:dyDescent="0.35">
      <c r="A11355"/>
    </row>
    <row r="11356" spans="1:1" x14ac:dyDescent="0.35">
      <c r="A11356"/>
    </row>
    <row r="11357" spans="1:1" x14ac:dyDescent="0.35">
      <c r="A11357"/>
    </row>
    <row r="11358" spans="1:1" x14ac:dyDescent="0.35">
      <c r="A11358"/>
    </row>
    <row r="11359" spans="1:1" x14ac:dyDescent="0.35">
      <c r="A11359"/>
    </row>
    <row r="11360" spans="1:1" x14ac:dyDescent="0.35">
      <c r="A11360"/>
    </row>
    <row r="11361" spans="1:1" x14ac:dyDescent="0.35">
      <c r="A11361"/>
    </row>
    <row r="11362" spans="1:1" x14ac:dyDescent="0.35">
      <c r="A11362"/>
    </row>
    <row r="11363" spans="1:1" x14ac:dyDescent="0.35">
      <c r="A11363"/>
    </row>
    <row r="11364" spans="1:1" x14ac:dyDescent="0.35">
      <c r="A11364"/>
    </row>
    <row r="11365" spans="1:1" x14ac:dyDescent="0.35">
      <c r="A11365"/>
    </row>
    <row r="11366" spans="1:1" x14ac:dyDescent="0.35">
      <c r="A11366"/>
    </row>
    <row r="11367" spans="1:1" x14ac:dyDescent="0.35">
      <c r="A11367"/>
    </row>
    <row r="11368" spans="1:1" x14ac:dyDescent="0.35">
      <c r="A11368"/>
    </row>
    <row r="11369" spans="1:1" x14ac:dyDescent="0.35">
      <c r="A11369"/>
    </row>
    <row r="11370" spans="1:1" x14ac:dyDescent="0.35">
      <c r="A11370"/>
    </row>
    <row r="11371" spans="1:1" x14ac:dyDescent="0.35">
      <c r="A11371"/>
    </row>
    <row r="11372" spans="1:1" x14ac:dyDescent="0.35">
      <c r="A11372"/>
    </row>
    <row r="11373" spans="1:1" x14ac:dyDescent="0.35">
      <c r="A11373"/>
    </row>
    <row r="11374" spans="1:1" x14ac:dyDescent="0.35">
      <c r="A11374"/>
    </row>
    <row r="11375" spans="1:1" x14ac:dyDescent="0.35">
      <c r="A11375"/>
    </row>
    <row r="11376" spans="1:1" x14ac:dyDescent="0.35">
      <c r="A11376"/>
    </row>
    <row r="11377" spans="1:1" x14ac:dyDescent="0.35">
      <c r="A11377"/>
    </row>
    <row r="11378" spans="1:1" x14ac:dyDescent="0.35">
      <c r="A11378"/>
    </row>
    <row r="11379" spans="1:1" x14ac:dyDescent="0.35">
      <c r="A11379"/>
    </row>
    <row r="11380" spans="1:1" x14ac:dyDescent="0.35">
      <c r="A11380"/>
    </row>
    <row r="11381" spans="1:1" x14ac:dyDescent="0.35">
      <c r="A11381"/>
    </row>
    <row r="11382" spans="1:1" x14ac:dyDescent="0.35">
      <c r="A11382"/>
    </row>
    <row r="11383" spans="1:1" x14ac:dyDescent="0.35">
      <c r="A11383"/>
    </row>
    <row r="11384" spans="1:1" x14ac:dyDescent="0.35">
      <c r="A11384"/>
    </row>
    <row r="11385" spans="1:1" x14ac:dyDescent="0.35">
      <c r="A11385"/>
    </row>
    <row r="11386" spans="1:1" x14ac:dyDescent="0.35">
      <c r="A11386"/>
    </row>
    <row r="11387" spans="1:1" x14ac:dyDescent="0.35">
      <c r="A11387"/>
    </row>
    <row r="11388" spans="1:1" x14ac:dyDescent="0.35">
      <c r="A11388"/>
    </row>
    <row r="11389" spans="1:1" x14ac:dyDescent="0.35">
      <c r="A11389"/>
    </row>
    <row r="11390" spans="1:1" x14ac:dyDescent="0.35">
      <c r="A11390"/>
    </row>
    <row r="11391" spans="1:1" x14ac:dyDescent="0.35">
      <c r="A11391"/>
    </row>
    <row r="11392" spans="1:1" x14ac:dyDescent="0.35">
      <c r="A11392"/>
    </row>
    <row r="11393" spans="1:1" x14ac:dyDescent="0.35">
      <c r="A11393"/>
    </row>
    <row r="11394" spans="1:1" x14ac:dyDescent="0.35">
      <c r="A11394"/>
    </row>
    <row r="11395" spans="1:1" x14ac:dyDescent="0.35">
      <c r="A11395"/>
    </row>
    <row r="11396" spans="1:1" x14ac:dyDescent="0.35">
      <c r="A11396"/>
    </row>
    <row r="11397" spans="1:1" x14ac:dyDescent="0.35">
      <c r="A11397"/>
    </row>
    <row r="11398" spans="1:1" x14ac:dyDescent="0.35">
      <c r="A11398"/>
    </row>
    <row r="11399" spans="1:1" x14ac:dyDescent="0.35">
      <c r="A11399"/>
    </row>
    <row r="11400" spans="1:1" x14ac:dyDescent="0.35">
      <c r="A11400"/>
    </row>
    <row r="11401" spans="1:1" x14ac:dyDescent="0.35">
      <c r="A11401"/>
    </row>
    <row r="11402" spans="1:1" x14ac:dyDescent="0.35">
      <c r="A11402"/>
    </row>
    <row r="11403" spans="1:1" x14ac:dyDescent="0.35">
      <c r="A11403"/>
    </row>
    <row r="11404" spans="1:1" x14ac:dyDescent="0.35">
      <c r="A11404"/>
    </row>
    <row r="11405" spans="1:1" x14ac:dyDescent="0.35">
      <c r="A11405"/>
    </row>
    <row r="11406" spans="1:1" x14ac:dyDescent="0.35">
      <c r="A11406"/>
    </row>
    <row r="11407" spans="1:1" x14ac:dyDescent="0.35">
      <c r="A11407"/>
    </row>
    <row r="11408" spans="1:1" x14ac:dyDescent="0.35">
      <c r="A11408"/>
    </row>
    <row r="11409" spans="1:1" x14ac:dyDescent="0.35">
      <c r="A11409"/>
    </row>
    <row r="11410" spans="1:1" x14ac:dyDescent="0.35">
      <c r="A11410"/>
    </row>
    <row r="11411" spans="1:1" x14ac:dyDescent="0.35">
      <c r="A11411"/>
    </row>
    <row r="11412" spans="1:1" x14ac:dyDescent="0.35">
      <c r="A11412"/>
    </row>
    <row r="11413" spans="1:1" x14ac:dyDescent="0.35">
      <c r="A11413"/>
    </row>
    <row r="11414" spans="1:1" x14ac:dyDescent="0.35">
      <c r="A11414"/>
    </row>
    <row r="11415" spans="1:1" x14ac:dyDescent="0.35">
      <c r="A11415"/>
    </row>
    <row r="11416" spans="1:1" x14ac:dyDescent="0.35">
      <c r="A11416"/>
    </row>
    <row r="11417" spans="1:1" x14ac:dyDescent="0.35">
      <c r="A11417"/>
    </row>
    <row r="11418" spans="1:1" x14ac:dyDescent="0.35">
      <c r="A11418"/>
    </row>
    <row r="11419" spans="1:1" x14ac:dyDescent="0.35">
      <c r="A11419"/>
    </row>
    <row r="11420" spans="1:1" x14ac:dyDescent="0.35">
      <c r="A11420"/>
    </row>
    <row r="11421" spans="1:1" x14ac:dyDescent="0.35">
      <c r="A11421"/>
    </row>
    <row r="11422" spans="1:1" x14ac:dyDescent="0.35">
      <c r="A11422"/>
    </row>
    <row r="11423" spans="1:1" x14ac:dyDescent="0.35">
      <c r="A11423"/>
    </row>
    <row r="11424" spans="1:1" x14ac:dyDescent="0.35">
      <c r="A11424"/>
    </row>
    <row r="11425" spans="1:1" x14ac:dyDescent="0.35">
      <c r="A11425"/>
    </row>
    <row r="11426" spans="1:1" x14ac:dyDescent="0.35">
      <c r="A11426"/>
    </row>
    <row r="11427" spans="1:1" x14ac:dyDescent="0.35">
      <c r="A11427"/>
    </row>
    <row r="11428" spans="1:1" x14ac:dyDescent="0.35">
      <c r="A11428"/>
    </row>
    <row r="11429" spans="1:1" x14ac:dyDescent="0.35">
      <c r="A11429"/>
    </row>
    <row r="11430" spans="1:1" x14ac:dyDescent="0.35">
      <c r="A11430"/>
    </row>
    <row r="11431" spans="1:1" x14ac:dyDescent="0.35">
      <c r="A11431"/>
    </row>
    <row r="11432" spans="1:1" x14ac:dyDescent="0.35">
      <c r="A11432"/>
    </row>
    <row r="11433" spans="1:1" x14ac:dyDescent="0.35">
      <c r="A11433"/>
    </row>
    <row r="11434" spans="1:1" x14ac:dyDescent="0.35">
      <c r="A11434"/>
    </row>
    <row r="11435" spans="1:1" x14ac:dyDescent="0.35">
      <c r="A11435"/>
    </row>
    <row r="11436" spans="1:1" x14ac:dyDescent="0.35">
      <c r="A11436"/>
    </row>
    <row r="11437" spans="1:1" x14ac:dyDescent="0.35">
      <c r="A11437"/>
    </row>
    <row r="11438" spans="1:1" x14ac:dyDescent="0.35">
      <c r="A11438"/>
    </row>
    <row r="11439" spans="1:1" x14ac:dyDescent="0.35">
      <c r="A11439"/>
    </row>
    <row r="11440" spans="1:1" x14ac:dyDescent="0.35">
      <c r="A11440"/>
    </row>
    <row r="11441" spans="1:1" x14ac:dyDescent="0.35">
      <c r="A11441"/>
    </row>
    <row r="11442" spans="1:1" x14ac:dyDescent="0.35">
      <c r="A11442"/>
    </row>
    <row r="11443" spans="1:1" x14ac:dyDescent="0.35">
      <c r="A11443"/>
    </row>
    <row r="11444" spans="1:1" x14ac:dyDescent="0.35">
      <c r="A11444"/>
    </row>
    <row r="11445" spans="1:1" x14ac:dyDescent="0.35">
      <c r="A11445"/>
    </row>
    <row r="11446" spans="1:1" x14ac:dyDescent="0.35">
      <c r="A11446"/>
    </row>
    <row r="11447" spans="1:1" x14ac:dyDescent="0.35">
      <c r="A11447"/>
    </row>
    <row r="11448" spans="1:1" x14ac:dyDescent="0.35">
      <c r="A11448"/>
    </row>
    <row r="11449" spans="1:1" x14ac:dyDescent="0.35">
      <c r="A11449"/>
    </row>
    <row r="11450" spans="1:1" x14ac:dyDescent="0.35">
      <c r="A11450"/>
    </row>
    <row r="11451" spans="1:1" x14ac:dyDescent="0.35">
      <c r="A11451"/>
    </row>
    <row r="11452" spans="1:1" x14ac:dyDescent="0.35">
      <c r="A11452"/>
    </row>
    <row r="11453" spans="1:1" x14ac:dyDescent="0.35">
      <c r="A11453"/>
    </row>
    <row r="11454" spans="1:1" x14ac:dyDescent="0.35">
      <c r="A11454"/>
    </row>
    <row r="11455" spans="1:1" x14ac:dyDescent="0.35">
      <c r="A11455"/>
    </row>
    <row r="11456" spans="1:1" x14ac:dyDescent="0.35">
      <c r="A11456"/>
    </row>
    <row r="11457" spans="1:1" x14ac:dyDescent="0.35">
      <c r="A11457"/>
    </row>
    <row r="11458" spans="1:1" x14ac:dyDescent="0.35">
      <c r="A11458"/>
    </row>
    <row r="11459" spans="1:1" x14ac:dyDescent="0.35">
      <c r="A11459"/>
    </row>
    <row r="11460" spans="1:1" x14ac:dyDescent="0.35">
      <c r="A11460"/>
    </row>
    <row r="11461" spans="1:1" x14ac:dyDescent="0.35">
      <c r="A11461"/>
    </row>
    <row r="11462" spans="1:1" x14ac:dyDescent="0.35">
      <c r="A11462"/>
    </row>
    <row r="11463" spans="1:1" x14ac:dyDescent="0.35">
      <c r="A11463"/>
    </row>
    <row r="11464" spans="1:1" x14ac:dyDescent="0.35">
      <c r="A11464"/>
    </row>
    <row r="11465" spans="1:1" x14ac:dyDescent="0.35">
      <c r="A11465"/>
    </row>
    <row r="11466" spans="1:1" x14ac:dyDescent="0.35">
      <c r="A11466"/>
    </row>
    <row r="11467" spans="1:1" x14ac:dyDescent="0.35">
      <c r="A11467"/>
    </row>
    <row r="11468" spans="1:1" x14ac:dyDescent="0.35">
      <c r="A11468"/>
    </row>
    <row r="11469" spans="1:1" x14ac:dyDescent="0.35">
      <c r="A11469"/>
    </row>
    <row r="11470" spans="1:1" x14ac:dyDescent="0.35">
      <c r="A11470"/>
    </row>
    <row r="11471" spans="1:1" x14ac:dyDescent="0.35">
      <c r="A11471"/>
    </row>
    <row r="11472" spans="1:1" x14ac:dyDescent="0.35">
      <c r="A11472"/>
    </row>
    <row r="11473" spans="1:1" x14ac:dyDescent="0.35">
      <c r="A11473"/>
    </row>
    <row r="11474" spans="1:1" x14ac:dyDescent="0.35">
      <c r="A11474"/>
    </row>
    <row r="11475" spans="1:1" x14ac:dyDescent="0.35">
      <c r="A11475"/>
    </row>
    <row r="11476" spans="1:1" x14ac:dyDescent="0.35">
      <c r="A11476"/>
    </row>
    <row r="11477" spans="1:1" x14ac:dyDescent="0.35">
      <c r="A11477"/>
    </row>
    <row r="11478" spans="1:1" x14ac:dyDescent="0.35">
      <c r="A11478"/>
    </row>
    <row r="11479" spans="1:1" x14ac:dyDescent="0.35">
      <c r="A11479"/>
    </row>
    <row r="11480" spans="1:1" x14ac:dyDescent="0.35">
      <c r="A11480"/>
    </row>
    <row r="11481" spans="1:1" x14ac:dyDescent="0.35">
      <c r="A11481"/>
    </row>
    <row r="11482" spans="1:1" x14ac:dyDescent="0.35">
      <c r="A11482"/>
    </row>
    <row r="11483" spans="1:1" x14ac:dyDescent="0.35">
      <c r="A11483"/>
    </row>
    <row r="11484" spans="1:1" x14ac:dyDescent="0.35">
      <c r="A11484"/>
    </row>
    <row r="11485" spans="1:1" x14ac:dyDescent="0.35">
      <c r="A11485"/>
    </row>
    <row r="11486" spans="1:1" x14ac:dyDescent="0.35">
      <c r="A11486"/>
    </row>
    <row r="11487" spans="1:1" x14ac:dyDescent="0.35">
      <c r="A11487"/>
    </row>
    <row r="11488" spans="1:1" x14ac:dyDescent="0.35">
      <c r="A11488"/>
    </row>
    <row r="11489" spans="1:1" x14ac:dyDescent="0.35">
      <c r="A11489"/>
    </row>
    <row r="11490" spans="1:1" x14ac:dyDescent="0.35">
      <c r="A11490"/>
    </row>
    <row r="11491" spans="1:1" x14ac:dyDescent="0.35">
      <c r="A11491"/>
    </row>
    <row r="11492" spans="1:1" x14ac:dyDescent="0.35">
      <c r="A11492"/>
    </row>
    <row r="11493" spans="1:1" x14ac:dyDescent="0.35">
      <c r="A11493"/>
    </row>
    <row r="11494" spans="1:1" x14ac:dyDescent="0.35">
      <c r="A11494"/>
    </row>
    <row r="11495" spans="1:1" x14ac:dyDescent="0.35">
      <c r="A11495"/>
    </row>
    <row r="11496" spans="1:1" x14ac:dyDescent="0.35">
      <c r="A11496"/>
    </row>
    <row r="11497" spans="1:1" x14ac:dyDescent="0.35">
      <c r="A11497"/>
    </row>
    <row r="11498" spans="1:1" x14ac:dyDescent="0.35">
      <c r="A11498"/>
    </row>
    <row r="11499" spans="1:1" x14ac:dyDescent="0.35">
      <c r="A11499"/>
    </row>
    <row r="11500" spans="1:1" x14ac:dyDescent="0.35">
      <c r="A11500"/>
    </row>
    <row r="11501" spans="1:1" x14ac:dyDescent="0.35">
      <c r="A11501"/>
    </row>
    <row r="11502" spans="1:1" x14ac:dyDescent="0.35">
      <c r="A11502"/>
    </row>
    <row r="11503" spans="1:1" x14ac:dyDescent="0.35">
      <c r="A11503"/>
    </row>
    <row r="11504" spans="1:1" x14ac:dyDescent="0.35">
      <c r="A11504"/>
    </row>
    <row r="11505" spans="1:1" x14ac:dyDescent="0.35">
      <c r="A11505"/>
    </row>
    <row r="11506" spans="1:1" x14ac:dyDescent="0.35">
      <c r="A11506"/>
    </row>
    <row r="11507" spans="1:1" x14ac:dyDescent="0.35">
      <c r="A11507"/>
    </row>
    <row r="11508" spans="1:1" x14ac:dyDescent="0.35">
      <c r="A11508"/>
    </row>
    <row r="11509" spans="1:1" x14ac:dyDescent="0.35">
      <c r="A11509"/>
    </row>
    <row r="11510" spans="1:1" x14ac:dyDescent="0.35">
      <c r="A11510"/>
    </row>
    <row r="11511" spans="1:1" x14ac:dyDescent="0.35">
      <c r="A11511"/>
    </row>
    <row r="11512" spans="1:1" x14ac:dyDescent="0.35">
      <c r="A11512"/>
    </row>
    <row r="11513" spans="1:1" x14ac:dyDescent="0.35">
      <c r="A11513"/>
    </row>
    <row r="11514" spans="1:1" x14ac:dyDescent="0.35">
      <c r="A11514"/>
    </row>
    <row r="11515" spans="1:1" x14ac:dyDescent="0.35">
      <c r="A11515"/>
    </row>
    <row r="11516" spans="1:1" x14ac:dyDescent="0.35">
      <c r="A11516"/>
    </row>
    <row r="11517" spans="1:1" x14ac:dyDescent="0.35">
      <c r="A11517"/>
    </row>
    <row r="11518" spans="1:1" x14ac:dyDescent="0.35">
      <c r="A11518"/>
    </row>
    <row r="11519" spans="1:1" x14ac:dyDescent="0.35">
      <c r="A11519"/>
    </row>
    <row r="11520" spans="1:1" x14ac:dyDescent="0.35">
      <c r="A11520"/>
    </row>
    <row r="11521" spans="1:1" x14ac:dyDescent="0.35">
      <c r="A11521"/>
    </row>
    <row r="11522" spans="1:1" x14ac:dyDescent="0.35">
      <c r="A11522"/>
    </row>
    <row r="11523" spans="1:1" x14ac:dyDescent="0.35">
      <c r="A11523"/>
    </row>
    <row r="11524" spans="1:1" x14ac:dyDescent="0.35">
      <c r="A11524"/>
    </row>
    <row r="11525" spans="1:1" x14ac:dyDescent="0.35">
      <c r="A11525"/>
    </row>
    <row r="11526" spans="1:1" x14ac:dyDescent="0.35">
      <c r="A11526"/>
    </row>
    <row r="11527" spans="1:1" x14ac:dyDescent="0.35">
      <c r="A11527"/>
    </row>
    <row r="11528" spans="1:1" x14ac:dyDescent="0.35">
      <c r="A11528"/>
    </row>
    <row r="11529" spans="1:1" x14ac:dyDescent="0.35">
      <c r="A11529"/>
    </row>
    <row r="11530" spans="1:1" x14ac:dyDescent="0.35">
      <c r="A11530"/>
    </row>
    <row r="11531" spans="1:1" x14ac:dyDescent="0.35">
      <c r="A11531"/>
    </row>
    <row r="11532" spans="1:1" x14ac:dyDescent="0.35">
      <c r="A11532"/>
    </row>
    <row r="11533" spans="1:1" x14ac:dyDescent="0.35">
      <c r="A11533"/>
    </row>
    <row r="11534" spans="1:1" x14ac:dyDescent="0.35">
      <c r="A11534"/>
    </row>
    <row r="11535" spans="1:1" x14ac:dyDescent="0.35">
      <c r="A11535"/>
    </row>
    <row r="11536" spans="1:1" x14ac:dyDescent="0.35">
      <c r="A11536"/>
    </row>
    <row r="11537" spans="1:1" x14ac:dyDescent="0.35">
      <c r="A11537"/>
    </row>
    <row r="11538" spans="1:1" x14ac:dyDescent="0.35">
      <c r="A11538"/>
    </row>
    <row r="11539" spans="1:1" x14ac:dyDescent="0.35">
      <c r="A11539"/>
    </row>
    <row r="11540" spans="1:1" x14ac:dyDescent="0.35">
      <c r="A11540"/>
    </row>
    <row r="11541" spans="1:1" x14ac:dyDescent="0.35">
      <c r="A11541"/>
    </row>
    <row r="11542" spans="1:1" x14ac:dyDescent="0.35">
      <c r="A11542"/>
    </row>
    <row r="11543" spans="1:1" x14ac:dyDescent="0.35">
      <c r="A11543"/>
    </row>
    <row r="11544" spans="1:1" x14ac:dyDescent="0.35">
      <c r="A11544"/>
    </row>
    <row r="11545" spans="1:1" x14ac:dyDescent="0.35">
      <c r="A11545"/>
    </row>
    <row r="11546" spans="1:1" x14ac:dyDescent="0.35">
      <c r="A11546"/>
    </row>
    <row r="11547" spans="1:1" x14ac:dyDescent="0.35">
      <c r="A11547"/>
    </row>
    <row r="11548" spans="1:1" x14ac:dyDescent="0.35">
      <c r="A11548"/>
    </row>
    <row r="11549" spans="1:1" x14ac:dyDescent="0.35">
      <c r="A11549"/>
    </row>
    <row r="11550" spans="1:1" x14ac:dyDescent="0.35">
      <c r="A11550"/>
    </row>
    <row r="11551" spans="1:1" x14ac:dyDescent="0.35">
      <c r="A11551"/>
    </row>
    <row r="11552" spans="1:1" x14ac:dyDescent="0.35">
      <c r="A11552"/>
    </row>
    <row r="11553" spans="1:1" x14ac:dyDescent="0.35">
      <c r="A11553"/>
    </row>
    <row r="11554" spans="1:1" x14ac:dyDescent="0.35">
      <c r="A11554"/>
    </row>
    <row r="11555" spans="1:1" x14ac:dyDescent="0.35">
      <c r="A11555"/>
    </row>
    <row r="11556" spans="1:1" x14ac:dyDescent="0.35">
      <c r="A11556"/>
    </row>
    <row r="11557" spans="1:1" x14ac:dyDescent="0.35">
      <c r="A11557"/>
    </row>
    <row r="11558" spans="1:1" x14ac:dyDescent="0.35">
      <c r="A11558"/>
    </row>
    <row r="11559" spans="1:1" x14ac:dyDescent="0.35">
      <c r="A11559"/>
    </row>
    <row r="11560" spans="1:1" x14ac:dyDescent="0.35">
      <c r="A11560"/>
    </row>
    <row r="11561" spans="1:1" x14ac:dyDescent="0.35">
      <c r="A11561"/>
    </row>
    <row r="11562" spans="1:1" x14ac:dyDescent="0.35">
      <c r="A11562"/>
    </row>
    <row r="11563" spans="1:1" x14ac:dyDescent="0.35">
      <c r="A11563"/>
    </row>
    <row r="11564" spans="1:1" x14ac:dyDescent="0.35">
      <c r="A11564"/>
    </row>
    <row r="11565" spans="1:1" x14ac:dyDescent="0.35">
      <c r="A11565"/>
    </row>
    <row r="11566" spans="1:1" x14ac:dyDescent="0.35">
      <c r="A11566"/>
    </row>
    <row r="11567" spans="1:1" x14ac:dyDescent="0.35">
      <c r="A11567"/>
    </row>
    <row r="11568" spans="1:1" x14ac:dyDescent="0.35">
      <c r="A11568"/>
    </row>
    <row r="11569" spans="1:1" x14ac:dyDescent="0.35">
      <c r="A11569"/>
    </row>
    <row r="11570" spans="1:1" x14ac:dyDescent="0.35">
      <c r="A11570"/>
    </row>
    <row r="11571" spans="1:1" x14ac:dyDescent="0.35">
      <c r="A11571"/>
    </row>
    <row r="11572" spans="1:1" x14ac:dyDescent="0.35">
      <c r="A11572"/>
    </row>
    <row r="11573" spans="1:1" x14ac:dyDescent="0.35">
      <c r="A11573"/>
    </row>
    <row r="11574" spans="1:1" x14ac:dyDescent="0.35">
      <c r="A11574"/>
    </row>
    <row r="11575" spans="1:1" x14ac:dyDescent="0.35">
      <c r="A11575"/>
    </row>
    <row r="11576" spans="1:1" x14ac:dyDescent="0.35">
      <c r="A11576"/>
    </row>
    <row r="11577" spans="1:1" x14ac:dyDescent="0.35">
      <c r="A11577"/>
    </row>
    <row r="11578" spans="1:1" x14ac:dyDescent="0.35">
      <c r="A11578"/>
    </row>
    <row r="11579" spans="1:1" x14ac:dyDescent="0.35">
      <c r="A11579"/>
    </row>
    <row r="11580" spans="1:1" x14ac:dyDescent="0.35">
      <c r="A11580"/>
    </row>
    <row r="11581" spans="1:1" x14ac:dyDescent="0.35">
      <c r="A11581"/>
    </row>
    <row r="11582" spans="1:1" x14ac:dyDescent="0.35">
      <c r="A11582"/>
    </row>
    <row r="11583" spans="1:1" x14ac:dyDescent="0.35">
      <c r="A11583"/>
    </row>
    <row r="11584" spans="1:1" x14ac:dyDescent="0.35">
      <c r="A11584"/>
    </row>
    <row r="11585" spans="1:1" x14ac:dyDescent="0.35">
      <c r="A11585"/>
    </row>
    <row r="11586" spans="1:1" x14ac:dyDescent="0.35">
      <c r="A11586"/>
    </row>
    <row r="11587" spans="1:1" x14ac:dyDescent="0.35">
      <c r="A11587"/>
    </row>
    <row r="11588" spans="1:1" x14ac:dyDescent="0.35">
      <c r="A11588"/>
    </row>
    <row r="11589" spans="1:1" x14ac:dyDescent="0.35">
      <c r="A11589"/>
    </row>
    <row r="11590" spans="1:1" x14ac:dyDescent="0.35">
      <c r="A11590"/>
    </row>
    <row r="11591" spans="1:1" x14ac:dyDescent="0.35">
      <c r="A11591"/>
    </row>
    <row r="11592" spans="1:1" x14ac:dyDescent="0.35">
      <c r="A11592"/>
    </row>
    <row r="11593" spans="1:1" x14ac:dyDescent="0.35">
      <c r="A11593"/>
    </row>
    <row r="11594" spans="1:1" x14ac:dyDescent="0.35">
      <c r="A11594"/>
    </row>
    <row r="11595" spans="1:1" x14ac:dyDescent="0.35">
      <c r="A11595"/>
    </row>
    <row r="11596" spans="1:1" x14ac:dyDescent="0.35">
      <c r="A11596"/>
    </row>
    <row r="11597" spans="1:1" x14ac:dyDescent="0.35">
      <c r="A11597"/>
    </row>
    <row r="11598" spans="1:1" x14ac:dyDescent="0.35">
      <c r="A11598"/>
    </row>
    <row r="11599" spans="1:1" x14ac:dyDescent="0.35">
      <c r="A11599"/>
    </row>
    <row r="11600" spans="1:1" x14ac:dyDescent="0.35">
      <c r="A11600"/>
    </row>
    <row r="11601" spans="1:1" x14ac:dyDescent="0.35">
      <c r="A11601"/>
    </row>
    <row r="11602" spans="1:1" x14ac:dyDescent="0.35">
      <c r="A11602"/>
    </row>
    <row r="11603" spans="1:1" x14ac:dyDescent="0.35">
      <c r="A11603"/>
    </row>
    <row r="11604" spans="1:1" x14ac:dyDescent="0.35">
      <c r="A11604"/>
    </row>
    <row r="11605" spans="1:1" x14ac:dyDescent="0.35">
      <c r="A11605"/>
    </row>
    <row r="11606" spans="1:1" x14ac:dyDescent="0.35">
      <c r="A11606"/>
    </row>
    <row r="11607" spans="1:1" x14ac:dyDescent="0.35">
      <c r="A11607"/>
    </row>
    <row r="11608" spans="1:1" x14ac:dyDescent="0.35">
      <c r="A11608"/>
    </row>
    <row r="11609" spans="1:1" x14ac:dyDescent="0.35">
      <c r="A11609"/>
    </row>
    <row r="11610" spans="1:1" x14ac:dyDescent="0.35">
      <c r="A11610"/>
    </row>
    <row r="11611" spans="1:1" x14ac:dyDescent="0.35">
      <c r="A11611"/>
    </row>
    <row r="11612" spans="1:1" x14ac:dyDescent="0.35">
      <c r="A11612"/>
    </row>
    <row r="11613" spans="1:1" x14ac:dyDescent="0.35">
      <c r="A11613"/>
    </row>
    <row r="11614" spans="1:1" x14ac:dyDescent="0.35">
      <c r="A11614"/>
    </row>
    <row r="11615" spans="1:1" x14ac:dyDescent="0.35">
      <c r="A11615"/>
    </row>
    <row r="11616" spans="1:1" x14ac:dyDescent="0.35">
      <c r="A11616"/>
    </row>
    <row r="11617" spans="1:1" x14ac:dyDescent="0.35">
      <c r="A11617"/>
    </row>
    <row r="11618" spans="1:1" x14ac:dyDescent="0.35">
      <c r="A11618"/>
    </row>
    <row r="11619" spans="1:1" x14ac:dyDescent="0.35">
      <c r="A11619"/>
    </row>
    <row r="11620" spans="1:1" x14ac:dyDescent="0.35">
      <c r="A11620"/>
    </row>
    <row r="11621" spans="1:1" x14ac:dyDescent="0.35">
      <c r="A11621"/>
    </row>
    <row r="11622" spans="1:1" x14ac:dyDescent="0.35">
      <c r="A11622"/>
    </row>
    <row r="11623" spans="1:1" x14ac:dyDescent="0.35">
      <c r="A11623"/>
    </row>
    <row r="11624" spans="1:1" x14ac:dyDescent="0.35">
      <c r="A11624"/>
    </row>
    <row r="11625" spans="1:1" x14ac:dyDescent="0.35">
      <c r="A11625"/>
    </row>
    <row r="11626" spans="1:1" x14ac:dyDescent="0.35">
      <c r="A11626"/>
    </row>
    <row r="11627" spans="1:1" x14ac:dyDescent="0.35">
      <c r="A11627"/>
    </row>
    <row r="11628" spans="1:1" x14ac:dyDescent="0.35">
      <c r="A11628"/>
    </row>
    <row r="11629" spans="1:1" x14ac:dyDescent="0.35">
      <c r="A11629"/>
    </row>
    <row r="11630" spans="1:1" x14ac:dyDescent="0.35">
      <c r="A11630"/>
    </row>
    <row r="11631" spans="1:1" x14ac:dyDescent="0.35">
      <c r="A11631"/>
    </row>
    <row r="11632" spans="1:1" x14ac:dyDescent="0.35">
      <c r="A11632"/>
    </row>
    <row r="11633" spans="1:1" x14ac:dyDescent="0.35">
      <c r="A11633"/>
    </row>
    <row r="11634" spans="1:1" x14ac:dyDescent="0.35">
      <c r="A11634"/>
    </row>
    <row r="11635" spans="1:1" x14ac:dyDescent="0.35">
      <c r="A11635"/>
    </row>
    <row r="11636" spans="1:1" x14ac:dyDescent="0.35">
      <c r="A11636"/>
    </row>
    <row r="11637" spans="1:1" x14ac:dyDescent="0.35">
      <c r="A11637"/>
    </row>
    <row r="11638" spans="1:1" x14ac:dyDescent="0.35">
      <c r="A11638"/>
    </row>
    <row r="11639" spans="1:1" x14ac:dyDescent="0.35">
      <c r="A11639"/>
    </row>
    <row r="11640" spans="1:1" x14ac:dyDescent="0.35">
      <c r="A11640"/>
    </row>
    <row r="11641" spans="1:1" x14ac:dyDescent="0.35">
      <c r="A11641"/>
    </row>
    <row r="11642" spans="1:1" x14ac:dyDescent="0.35">
      <c r="A11642"/>
    </row>
    <row r="11643" spans="1:1" x14ac:dyDescent="0.35">
      <c r="A11643"/>
    </row>
    <row r="11644" spans="1:1" x14ac:dyDescent="0.35">
      <c r="A11644"/>
    </row>
    <row r="11645" spans="1:1" x14ac:dyDescent="0.35">
      <c r="A11645"/>
    </row>
    <row r="11646" spans="1:1" x14ac:dyDescent="0.35">
      <c r="A11646"/>
    </row>
    <row r="11647" spans="1:1" x14ac:dyDescent="0.35">
      <c r="A11647"/>
    </row>
    <row r="11648" spans="1:1" x14ac:dyDescent="0.35">
      <c r="A11648"/>
    </row>
    <row r="11649" spans="1:1" x14ac:dyDescent="0.35">
      <c r="A11649"/>
    </row>
    <row r="11650" spans="1:1" x14ac:dyDescent="0.35">
      <c r="A11650"/>
    </row>
    <row r="11651" spans="1:1" x14ac:dyDescent="0.35">
      <c r="A11651"/>
    </row>
    <row r="11652" spans="1:1" x14ac:dyDescent="0.35">
      <c r="A11652"/>
    </row>
    <row r="11653" spans="1:1" x14ac:dyDescent="0.35">
      <c r="A11653"/>
    </row>
    <row r="11654" spans="1:1" x14ac:dyDescent="0.35">
      <c r="A11654"/>
    </row>
    <row r="11655" spans="1:1" x14ac:dyDescent="0.35">
      <c r="A11655"/>
    </row>
    <row r="11656" spans="1:1" x14ac:dyDescent="0.35">
      <c r="A11656"/>
    </row>
    <row r="11657" spans="1:1" x14ac:dyDescent="0.35">
      <c r="A11657"/>
    </row>
    <row r="11658" spans="1:1" x14ac:dyDescent="0.35">
      <c r="A11658"/>
    </row>
    <row r="11659" spans="1:1" x14ac:dyDescent="0.35">
      <c r="A11659"/>
    </row>
    <row r="11660" spans="1:1" x14ac:dyDescent="0.35">
      <c r="A11660"/>
    </row>
    <row r="11661" spans="1:1" x14ac:dyDescent="0.35">
      <c r="A11661"/>
    </row>
    <row r="11662" spans="1:1" x14ac:dyDescent="0.35">
      <c r="A11662"/>
    </row>
    <row r="11663" spans="1:1" x14ac:dyDescent="0.35">
      <c r="A11663"/>
    </row>
    <row r="11664" spans="1:1" x14ac:dyDescent="0.35">
      <c r="A11664"/>
    </row>
    <row r="11665" spans="1:1" x14ac:dyDescent="0.35">
      <c r="A11665"/>
    </row>
    <row r="11666" spans="1:1" x14ac:dyDescent="0.35">
      <c r="A11666"/>
    </row>
    <row r="11667" spans="1:1" x14ac:dyDescent="0.35">
      <c r="A11667"/>
    </row>
    <row r="11668" spans="1:1" x14ac:dyDescent="0.35">
      <c r="A11668"/>
    </row>
    <row r="11669" spans="1:1" x14ac:dyDescent="0.35">
      <c r="A11669"/>
    </row>
    <row r="11670" spans="1:1" x14ac:dyDescent="0.35">
      <c r="A11670"/>
    </row>
    <row r="11671" spans="1:1" x14ac:dyDescent="0.35">
      <c r="A11671"/>
    </row>
    <row r="11672" spans="1:1" x14ac:dyDescent="0.35">
      <c r="A11672"/>
    </row>
    <row r="11673" spans="1:1" x14ac:dyDescent="0.35">
      <c r="A11673"/>
    </row>
    <row r="11674" spans="1:1" x14ac:dyDescent="0.35">
      <c r="A11674"/>
    </row>
    <row r="11675" spans="1:1" x14ac:dyDescent="0.35">
      <c r="A11675"/>
    </row>
    <row r="11676" spans="1:1" x14ac:dyDescent="0.35">
      <c r="A11676"/>
    </row>
    <row r="11677" spans="1:1" x14ac:dyDescent="0.35">
      <c r="A11677"/>
    </row>
    <row r="11678" spans="1:1" x14ac:dyDescent="0.35">
      <c r="A11678"/>
    </row>
    <row r="11679" spans="1:1" x14ac:dyDescent="0.35">
      <c r="A11679"/>
    </row>
    <row r="11680" spans="1:1" x14ac:dyDescent="0.35">
      <c r="A11680"/>
    </row>
    <row r="11681" spans="1:1" x14ac:dyDescent="0.35">
      <c r="A11681"/>
    </row>
    <row r="11682" spans="1:1" x14ac:dyDescent="0.35">
      <c r="A11682"/>
    </row>
    <row r="11683" spans="1:1" x14ac:dyDescent="0.35">
      <c r="A11683"/>
    </row>
    <row r="11684" spans="1:1" x14ac:dyDescent="0.35">
      <c r="A11684"/>
    </row>
    <row r="11685" spans="1:1" x14ac:dyDescent="0.35">
      <c r="A11685"/>
    </row>
    <row r="11686" spans="1:1" x14ac:dyDescent="0.35">
      <c r="A11686"/>
    </row>
    <row r="11687" spans="1:1" x14ac:dyDescent="0.35">
      <c r="A11687"/>
    </row>
    <row r="11688" spans="1:1" x14ac:dyDescent="0.35">
      <c r="A11688"/>
    </row>
    <row r="11689" spans="1:1" x14ac:dyDescent="0.35">
      <c r="A11689"/>
    </row>
    <row r="11690" spans="1:1" x14ac:dyDescent="0.35">
      <c r="A11690"/>
    </row>
    <row r="11691" spans="1:1" x14ac:dyDescent="0.35">
      <c r="A11691"/>
    </row>
    <row r="11692" spans="1:1" x14ac:dyDescent="0.35">
      <c r="A11692"/>
    </row>
    <row r="11693" spans="1:1" x14ac:dyDescent="0.35">
      <c r="A11693"/>
    </row>
    <row r="11694" spans="1:1" x14ac:dyDescent="0.35">
      <c r="A11694"/>
    </row>
    <row r="11695" spans="1:1" x14ac:dyDescent="0.35">
      <c r="A11695"/>
    </row>
    <row r="11696" spans="1:1" x14ac:dyDescent="0.35">
      <c r="A11696"/>
    </row>
    <row r="11697" spans="1:1" x14ac:dyDescent="0.35">
      <c r="A11697"/>
    </row>
    <row r="11698" spans="1:1" x14ac:dyDescent="0.35">
      <c r="A11698"/>
    </row>
    <row r="11699" spans="1:1" x14ac:dyDescent="0.35">
      <c r="A11699"/>
    </row>
    <row r="11700" spans="1:1" x14ac:dyDescent="0.35">
      <c r="A11700"/>
    </row>
    <row r="11701" spans="1:1" x14ac:dyDescent="0.35">
      <c r="A11701"/>
    </row>
    <row r="11702" spans="1:1" x14ac:dyDescent="0.35">
      <c r="A11702"/>
    </row>
    <row r="11703" spans="1:1" x14ac:dyDescent="0.35">
      <c r="A11703"/>
    </row>
    <row r="11704" spans="1:1" x14ac:dyDescent="0.35">
      <c r="A11704"/>
    </row>
    <row r="11705" spans="1:1" x14ac:dyDescent="0.35">
      <c r="A11705"/>
    </row>
    <row r="11706" spans="1:1" x14ac:dyDescent="0.35">
      <c r="A11706"/>
    </row>
    <row r="11707" spans="1:1" x14ac:dyDescent="0.35">
      <c r="A11707"/>
    </row>
    <row r="11708" spans="1:1" x14ac:dyDescent="0.35">
      <c r="A11708"/>
    </row>
    <row r="11709" spans="1:1" x14ac:dyDescent="0.35">
      <c r="A11709"/>
    </row>
    <row r="11710" spans="1:1" x14ac:dyDescent="0.35">
      <c r="A11710"/>
    </row>
    <row r="11711" spans="1:1" x14ac:dyDescent="0.35">
      <c r="A11711"/>
    </row>
    <row r="11712" spans="1:1" x14ac:dyDescent="0.35">
      <c r="A11712"/>
    </row>
    <row r="11713" spans="1:1" x14ac:dyDescent="0.35">
      <c r="A11713"/>
    </row>
    <row r="11714" spans="1:1" x14ac:dyDescent="0.35">
      <c r="A11714"/>
    </row>
    <row r="11715" spans="1:1" x14ac:dyDescent="0.35">
      <c r="A11715"/>
    </row>
    <row r="11716" spans="1:1" x14ac:dyDescent="0.35">
      <c r="A11716"/>
    </row>
    <row r="11717" spans="1:1" x14ac:dyDescent="0.35">
      <c r="A11717"/>
    </row>
    <row r="11718" spans="1:1" x14ac:dyDescent="0.35">
      <c r="A11718"/>
    </row>
    <row r="11719" spans="1:1" x14ac:dyDescent="0.35">
      <c r="A11719"/>
    </row>
    <row r="11720" spans="1:1" x14ac:dyDescent="0.35">
      <c r="A11720"/>
    </row>
    <row r="11721" spans="1:1" x14ac:dyDescent="0.35">
      <c r="A11721"/>
    </row>
    <row r="11722" spans="1:1" x14ac:dyDescent="0.35">
      <c r="A11722"/>
    </row>
    <row r="11723" spans="1:1" x14ac:dyDescent="0.35">
      <c r="A11723"/>
    </row>
    <row r="11724" spans="1:1" x14ac:dyDescent="0.35">
      <c r="A11724"/>
    </row>
    <row r="11725" spans="1:1" x14ac:dyDescent="0.35">
      <c r="A11725"/>
    </row>
    <row r="11726" spans="1:1" x14ac:dyDescent="0.35">
      <c r="A11726"/>
    </row>
    <row r="11727" spans="1:1" x14ac:dyDescent="0.35">
      <c r="A11727"/>
    </row>
    <row r="11728" spans="1:1" x14ac:dyDescent="0.35">
      <c r="A11728"/>
    </row>
    <row r="11729" spans="1:1" x14ac:dyDescent="0.35">
      <c r="A11729"/>
    </row>
    <row r="11730" spans="1:1" x14ac:dyDescent="0.35">
      <c r="A11730"/>
    </row>
    <row r="11731" spans="1:1" x14ac:dyDescent="0.35">
      <c r="A11731"/>
    </row>
    <row r="11732" spans="1:1" x14ac:dyDescent="0.35">
      <c r="A11732"/>
    </row>
    <row r="11733" spans="1:1" x14ac:dyDescent="0.35">
      <c r="A11733"/>
    </row>
    <row r="11734" spans="1:1" x14ac:dyDescent="0.35">
      <c r="A11734"/>
    </row>
    <row r="11735" spans="1:1" x14ac:dyDescent="0.35">
      <c r="A11735"/>
    </row>
    <row r="11736" spans="1:1" x14ac:dyDescent="0.35">
      <c r="A11736"/>
    </row>
    <row r="11737" spans="1:1" x14ac:dyDescent="0.35">
      <c r="A11737"/>
    </row>
    <row r="11738" spans="1:1" x14ac:dyDescent="0.35">
      <c r="A11738"/>
    </row>
    <row r="11739" spans="1:1" x14ac:dyDescent="0.35">
      <c r="A11739"/>
    </row>
    <row r="11740" spans="1:1" x14ac:dyDescent="0.35">
      <c r="A11740"/>
    </row>
    <row r="11741" spans="1:1" x14ac:dyDescent="0.35">
      <c r="A11741"/>
    </row>
    <row r="11742" spans="1:1" x14ac:dyDescent="0.35">
      <c r="A11742"/>
    </row>
    <row r="11743" spans="1:1" x14ac:dyDescent="0.35">
      <c r="A11743"/>
    </row>
    <row r="11744" spans="1:1" x14ac:dyDescent="0.35">
      <c r="A11744"/>
    </row>
    <row r="11745" spans="1:1" x14ac:dyDescent="0.35">
      <c r="A11745"/>
    </row>
    <row r="11746" spans="1:1" x14ac:dyDescent="0.35">
      <c r="A11746"/>
    </row>
    <row r="11747" spans="1:1" x14ac:dyDescent="0.35">
      <c r="A11747"/>
    </row>
    <row r="11748" spans="1:1" x14ac:dyDescent="0.35">
      <c r="A11748"/>
    </row>
    <row r="11749" spans="1:1" x14ac:dyDescent="0.35">
      <c r="A11749"/>
    </row>
    <row r="11750" spans="1:1" x14ac:dyDescent="0.35">
      <c r="A11750"/>
    </row>
    <row r="11751" spans="1:1" x14ac:dyDescent="0.35">
      <c r="A11751"/>
    </row>
    <row r="11752" spans="1:1" x14ac:dyDescent="0.35">
      <c r="A11752"/>
    </row>
    <row r="11753" spans="1:1" x14ac:dyDescent="0.35">
      <c r="A11753"/>
    </row>
    <row r="11754" spans="1:1" x14ac:dyDescent="0.35">
      <c r="A11754"/>
    </row>
    <row r="11755" spans="1:1" x14ac:dyDescent="0.35">
      <c r="A11755"/>
    </row>
    <row r="11756" spans="1:1" x14ac:dyDescent="0.35">
      <c r="A11756"/>
    </row>
    <row r="11757" spans="1:1" x14ac:dyDescent="0.35">
      <c r="A11757"/>
    </row>
    <row r="11758" spans="1:1" x14ac:dyDescent="0.35">
      <c r="A11758"/>
    </row>
    <row r="11759" spans="1:1" x14ac:dyDescent="0.35">
      <c r="A11759"/>
    </row>
    <row r="11760" spans="1:1" x14ac:dyDescent="0.35">
      <c r="A11760"/>
    </row>
    <row r="11761" spans="1:1" x14ac:dyDescent="0.35">
      <c r="A11761"/>
    </row>
    <row r="11762" spans="1:1" x14ac:dyDescent="0.35">
      <c r="A11762"/>
    </row>
    <row r="11763" spans="1:1" x14ac:dyDescent="0.35">
      <c r="A11763"/>
    </row>
    <row r="11764" spans="1:1" x14ac:dyDescent="0.35">
      <c r="A11764"/>
    </row>
    <row r="11765" spans="1:1" x14ac:dyDescent="0.35">
      <c r="A11765"/>
    </row>
    <row r="11766" spans="1:1" x14ac:dyDescent="0.35">
      <c r="A11766"/>
    </row>
    <row r="11767" spans="1:1" x14ac:dyDescent="0.35">
      <c r="A11767"/>
    </row>
    <row r="11768" spans="1:1" x14ac:dyDescent="0.35">
      <c r="A11768"/>
    </row>
    <row r="11769" spans="1:1" x14ac:dyDescent="0.35">
      <c r="A11769"/>
    </row>
    <row r="11770" spans="1:1" x14ac:dyDescent="0.35">
      <c r="A11770"/>
    </row>
    <row r="11771" spans="1:1" x14ac:dyDescent="0.35">
      <c r="A11771"/>
    </row>
    <row r="11772" spans="1:1" x14ac:dyDescent="0.35">
      <c r="A11772"/>
    </row>
    <row r="11773" spans="1:1" x14ac:dyDescent="0.35">
      <c r="A11773"/>
    </row>
    <row r="11774" spans="1:1" x14ac:dyDescent="0.35">
      <c r="A11774"/>
    </row>
    <row r="11775" spans="1:1" x14ac:dyDescent="0.35">
      <c r="A11775"/>
    </row>
    <row r="11776" spans="1:1" x14ac:dyDescent="0.35">
      <c r="A11776"/>
    </row>
    <row r="11777" spans="1:1" x14ac:dyDescent="0.35">
      <c r="A11777"/>
    </row>
    <row r="11778" spans="1:1" x14ac:dyDescent="0.35">
      <c r="A11778"/>
    </row>
    <row r="11779" spans="1:1" x14ac:dyDescent="0.35">
      <c r="A11779"/>
    </row>
    <row r="11780" spans="1:1" x14ac:dyDescent="0.35">
      <c r="A11780"/>
    </row>
    <row r="11781" spans="1:1" x14ac:dyDescent="0.35">
      <c r="A11781"/>
    </row>
    <row r="11782" spans="1:1" x14ac:dyDescent="0.35">
      <c r="A11782"/>
    </row>
    <row r="11783" spans="1:1" x14ac:dyDescent="0.35">
      <c r="A11783"/>
    </row>
    <row r="11784" spans="1:1" x14ac:dyDescent="0.35">
      <c r="A11784"/>
    </row>
    <row r="11785" spans="1:1" x14ac:dyDescent="0.35">
      <c r="A11785"/>
    </row>
    <row r="11786" spans="1:1" x14ac:dyDescent="0.35">
      <c r="A11786"/>
    </row>
    <row r="11787" spans="1:1" x14ac:dyDescent="0.35">
      <c r="A11787"/>
    </row>
    <row r="11788" spans="1:1" x14ac:dyDescent="0.35">
      <c r="A11788"/>
    </row>
    <row r="11789" spans="1:1" x14ac:dyDescent="0.35">
      <c r="A11789"/>
    </row>
    <row r="11790" spans="1:1" x14ac:dyDescent="0.35">
      <c r="A11790"/>
    </row>
    <row r="11791" spans="1:1" x14ac:dyDescent="0.35">
      <c r="A11791"/>
    </row>
    <row r="11792" spans="1:1" x14ac:dyDescent="0.35">
      <c r="A11792"/>
    </row>
    <row r="11793" spans="1:1" x14ac:dyDescent="0.35">
      <c r="A11793"/>
    </row>
    <row r="11794" spans="1:1" x14ac:dyDescent="0.35">
      <c r="A11794"/>
    </row>
    <row r="11795" spans="1:1" x14ac:dyDescent="0.35">
      <c r="A11795"/>
    </row>
    <row r="11796" spans="1:1" x14ac:dyDescent="0.35">
      <c r="A11796"/>
    </row>
    <row r="11797" spans="1:1" x14ac:dyDescent="0.35">
      <c r="A11797"/>
    </row>
    <row r="11798" spans="1:1" x14ac:dyDescent="0.35">
      <c r="A11798"/>
    </row>
    <row r="11799" spans="1:1" x14ac:dyDescent="0.35">
      <c r="A11799"/>
    </row>
    <row r="11800" spans="1:1" x14ac:dyDescent="0.35">
      <c r="A11800"/>
    </row>
    <row r="11801" spans="1:1" x14ac:dyDescent="0.35">
      <c r="A11801"/>
    </row>
    <row r="11802" spans="1:1" x14ac:dyDescent="0.35">
      <c r="A11802"/>
    </row>
    <row r="11803" spans="1:1" x14ac:dyDescent="0.35">
      <c r="A11803"/>
    </row>
    <row r="11804" spans="1:1" x14ac:dyDescent="0.35">
      <c r="A11804"/>
    </row>
    <row r="11805" spans="1:1" x14ac:dyDescent="0.35">
      <c r="A11805"/>
    </row>
    <row r="11806" spans="1:1" x14ac:dyDescent="0.35">
      <c r="A11806"/>
    </row>
    <row r="11807" spans="1:1" x14ac:dyDescent="0.35">
      <c r="A11807"/>
    </row>
    <row r="11808" spans="1:1" x14ac:dyDescent="0.35">
      <c r="A11808"/>
    </row>
    <row r="11809" spans="1:1" x14ac:dyDescent="0.35">
      <c r="A11809"/>
    </row>
    <row r="11810" spans="1:1" x14ac:dyDescent="0.35">
      <c r="A11810"/>
    </row>
    <row r="11811" spans="1:1" x14ac:dyDescent="0.35">
      <c r="A11811"/>
    </row>
    <row r="11812" spans="1:1" x14ac:dyDescent="0.35">
      <c r="A11812"/>
    </row>
    <row r="11813" spans="1:1" x14ac:dyDescent="0.35">
      <c r="A11813"/>
    </row>
    <row r="11814" spans="1:1" x14ac:dyDescent="0.35">
      <c r="A11814"/>
    </row>
    <row r="11815" spans="1:1" x14ac:dyDescent="0.35">
      <c r="A11815"/>
    </row>
    <row r="11816" spans="1:1" x14ac:dyDescent="0.35">
      <c r="A11816"/>
    </row>
    <row r="11817" spans="1:1" x14ac:dyDescent="0.35">
      <c r="A11817"/>
    </row>
    <row r="11818" spans="1:1" x14ac:dyDescent="0.35">
      <c r="A11818"/>
    </row>
    <row r="11819" spans="1:1" x14ac:dyDescent="0.35">
      <c r="A11819"/>
    </row>
    <row r="11820" spans="1:1" x14ac:dyDescent="0.35">
      <c r="A11820"/>
    </row>
    <row r="11821" spans="1:1" x14ac:dyDescent="0.35">
      <c r="A11821"/>
    </row>
    <row r="11822" spans="1:1" x14ac:dyDescent="0.35">
      <c r="A11822"/>
    </row>
    <row r="11823" spans="1:1" x14ac:dyDescent="0.35">
      <c r="A11823"/>
    </row>
    <row r="11824" spans="1:1" x14ac:dyDescent="0.35">
      <c r="A11824"/>
    </row>
    <row r="11825" spans="1:1" x14ac:dyDescent="0.35">
      <c r="A11825"/>
    </row>
    <row r="11826" spans="1:1" x14ac:dyDescent="0.35">
      <c r="A11826"/>
    </row>
    <row r="11827" spans="1:1" x14ac:dyDescent="0.35">
      <c r="A11827"/>
    </row>
    <row r="11828" spans="1:1" x14ac:dyDescent="0.35">
      <c r="A11828"/>
    </row>
    <row r="11829" spans="1:1" x14ac:dyDescent="0.35">
      <c r="A11829"/>
    </row>
    <row r="11830" spans="1:1" x14ac:dyDescent="0.35">
      <c r="A11830"/>
    </row>
    <row r="11831" spans="1:1" x14ac:dyDescent="0.35">
      <c r="A11831"/>
    </row>
    <row r="11832" spans="1:1" x14ac:dyDescent="0.35">
      <c r="A11832"/>
    </row>
    <row r="11833" spans="1:1" x14ac:dyDescent="0.35">
      <c r="A11833"/>
    </row>
    <row r="11834" spans="1:1" x14ac:dyDescent="0.35">
      <c r="A11834"/>
    </row>
    <row r="11835" spans="1:1" x14ac:dyDescent="0.35">
      <c r="A11835"/>
    </row>
    <row r="11836" spans="1:1" x14ac:dyDescent="0.35">
      <c r="A11836"/>
    </row>
    <row r="11837" spans="1:1" x14ac:dyDescent="0.35">
      <c r="A11837"/>
    </row>
    <row r="11838" spans="1:1" x14ac:dyDescent="0.35">
      <c r="A11838"/>
    </row>
    <row r="11839" spans="1:1" x14ac:dyDescent="0.35">
      <c r="A11839"/>
    </row>
    <row r="11840" spans="1:1" x14ac:dyDescent="0.35">
      <c r="A11840"/>
    </row>
    <row r="11841" spans="1:1" x14ac:dyDescent="0.35">
      <c r="A11841"/>
    </row>
    <row r="11842" spans="1:1" x14ac:dyDescent="0.35">
      <c r="A11842"/>
    </row>
    <row r="11843" spans="1:1" x14ac:dyDescent="0.35">
      <c r="A11843"/>
    </row>
    <row r="11844" spans="1:1" x14ac:dyDescent="0.35">
      <c r="A11844"/>
    </row>
    <row r="11845" spans="1:1" x14ac:dyDescent="0.35">
      <c r="A11845"/>
    </row>
    <row r="11846" spans="1:1" x14ac:dyDescent="0.35">
      <c r="A11846"/>
    </row>
    <row r="11847" spans="1:1" x14ac:dyDescent="0.35">
      <c r="A11847"/>
    </row>
    <row r="11848" spans="1:1" x14ac:dyDescent="0.35">
      <c r="A11848"/>
    </row>
    <row r="11849" spans="1:1" x14ac:dyDescent="0.35">
      <c r="A11849"/>
    </row>
    <row r="11850" spans="1:1" x14ac:dyDescent="0.35">
      <c r="A11850"/>
    </row>
    <row r="11851" spans="1:1" x14ac:dyDescent="0.35">
      <c r="A11851"/>
    </row>
    <row r="11852" spans="1:1" x14ac:dyDescent="0.35">
      <c r="A11852"/>
    </row>
    <row r="11853" spans="1:1" x14ac:dyDescent="0.35">
      <c r="A11853"/>
    </row>
    <row r="11854" spans="1:1" x14ac:dyDescent="0.35">
      <c r="A11854"/>
    </row>
    <row r="11855" spans="1:1" x14ac:dyDescent="0.35">
      <c r="A11855"/>
    </row>
    <row r="11856" spans="1:1" x14ac:dyDescent="0.35">
      <c r="A11856"/>
    </row>
    <row r="11857" spans="1:1" x14ac:dyDescent="0.35">
      <c r="A11857"/>
    </row>
    <row r="11858" spans="1:1" x14ac:dyDescent="0.35">
      <c r="A11858"/>
    </row>
    <row r="11859" spans="1:1" x14ac:dyDescent="0.35">
      <c r="A11859"/>
    </row>
    <row r="11860" spans="1:1" x14ac:dyDescent="0.35">
      <c r="A11860"/>
    </row>
    <row r="11861" spans="1:1" x14ac:dyDescent="0.35">
      <c r="A11861"/>
    </row>
    <row r="11862" spans="1:1" x14ac:dyDescent="0.35">
      <c r="A11862"/>
    </row>
    <row r="11863" spans="1:1" x14ac:dyDescent="0.35">
      <c r="A11863"/>
    </row>
    <row r="11864" spans="1:1" x14ac:dyDescent="0.35">
      <c r="A11864"/>
    </row>
    <row r="11865" spans="1:1" x14ac:dyDescent="0.35">
      <c r="A11865"/>
    </row>
    <row r="11866" spans="1:1" x14ac:dyDescent="0.35">
      <c r="A11866"/>
    </row>
    <row r="11867" spans="1:1" x14ac:dyDescent="0.35">
      <c r="A11867"/>
    </row>
    <row r="11868" spans="1:1" x14ac:dyDescent="0.35">
      <c r="A11868"/>
    </row>
    <row r="11869" spans="1:1" x14ac:dyDescent="0.35">
      <c r="A11869"/>
    </row>
    <row r="11870" spans="1:1" x14ac:dyDescent="0.35">
      <c r="A11870"/>
    </row>
    <row r="11871" spans="1:1" x14ac:dyDescent="0.35">
      <c r="A11871"/>
    </row>
    <row r="11872" spans="1:1" x14ac:dyDescent="0.35">
      <c r="A11872"/>
    </row>
    <row r="11873" spans="1:1" x14ac:dyDescent="0.35">
      <c r="A11873"/>
    </row>
    <row r="11874" spans="1:1" x14ac:dyDescent="0.35">
      <c r="A11874"/>
    </row>
    <row r="11875" spans="1:1" x14ac:dyDescent="0.35">
      <c r="A11875"/>
    </row>
    <row r="11876" spans="1:1" x14ac:dyDescent="0.35">
      <c r="A11876"/>
    </row>
    <row r="11877" spans="1:1" x14ac:dyDescent="0.35">
      <c r="A11877"/>
    </row>
    <row r="11878" spans="1:1" x14ac:dyDescent="0.35">
      <c r="A11878"/>
    </row>
    <row r="11879" spans="1:1" x14ac:dyDescent="0.35">
      <c r="A11879"/>
    </row>
    <row r="11880" spans="1:1" x14ac:dyDescent="0.35">
      <c r="A11880"/>
    </row>
    <row r="11881" spans="1:1" x14ac:dyDescent="0.35">
      <c r="A11881"/>
    </row>
    <row r="11882" spans="1:1" x14ac:dyDescent="0.35">
      <c r="A11882"/>
    </row>
    <row r="11883" spans="1:1" x14ac:dyDescent="0.35">
      <c r="A11883"/>
    </row>
    <row r="11884" spans="1:1" x14ac:dyDescent="0.35">
      <c r="A11884"/>
    </row>
    <row r="11885" spans="1:1" x14ac:dyDescent="0.35">
      <c r="A11885"/>
    </row>
    <row r="11886" spans="1:1" x14ac:dyDescent="0.35">
      <c r="A11886"/>
    </row>
    <row r="11887" spans="1:1" x14ac:dyDescent="0.35">
      <c r="A11887"/>
    </row>
    <row r="11888" spans="1:1" x14ac:dyDescent="0.35">
      <c r="A11888"/>
    </row>
    <row r="11889" spans="1:1" x14ac:dyDescent="0.35">
      <c r="A11889"/>
    </row>
    <row r="11890" spans="1:1" x14ac:dyDescent="0.35">
      <c r="A11890"/>
    </row>
    <row r="11891" spans="1:1" x14ac:dyDescent="0.35">
      <c r="A11891"/>
    </row>
    <row r="11892" spans="1:1" x14ac:dyDescent="0.35">
      <c r="A11892"/>
    </row>
    <row r="11893" spans="1:1" x14ac:dyDescent="0.35">
      <c r="A11893"/>
    </row>
    <row r="11894" spans="1:1" x14ac:dyDescent="0.35">
      <c r="A11894"/>
    </row>
    <row r="11895" spans="1:1" x14ac:dyDescent="0.35">
      <c r="A11895"/>
    </row>
    <row r="11896" spans="1:1" x14ac:dyDescent="0.35">
      <c r="A11896"/>
    </row>
    <row r="11897" spans="1:1" x14ac:dyDescent="0.35">
      <c r="A11897"/>
    </row>
    <row r="11898" spans="1:1" x14ac:dyDescent="0.35">
      <c r="A11898"/>
    </row>
    <row r="11899" spans="1:1" x14ac:dyDescent="0.35">
      <c r="A11899"/>
    </row>
    <row r="11900" spans="1:1" x14ac:dyDescent="0.35">
      <c r="A11900"/>
    </row>
    <row r="11901" spans="1:1" x14ac:dyDescent="0.35">
      <c r="A11901"/>
    </row>
    <row r="11902" spans="1:1" x14ac:dyDescent="0.35">
      <c r="A11902"/>
    </row>
    <row r="11903" spans="1:1" x14ac:dyDescent="0.35">
      <c r="A11903"/>
    </row>
    <row r="11904" spans="1:1" x14ac:dyDescent="0.35">
      <c r="A11904"/>
    </row>
    <row r="11905" spans="1:1" x14ac:dyDescent="0.35">
      <c r="A11905"/>
    </row>
    <row r="11906" spans="1:1" x14ac:dyDescent="0.35">
      <c r="A11906"/>
    </row>
    <row r="11907" spans="1:1" x14ac:dyDescent="0.35">
      <c r="A11907"/>
    </row>
    <row r="11908" spans="1:1" x14ac:dyDescent="0.35">
      <c r="A11908"/>
    </row>
    <row r="11909" spans="1:1" x14ac:dyDescent="0.35">
      <c r="A11909"/>
    </row>
    <row r="11910" spans="1:1" x14ac:dyDescent="0.35">
      <c r="A11910"/>
    </row>
    <row r="11911" spans="1:1" x14ac:dyDescent="0.35">
      <c r="A11911"/>
    </row>
    <row r="11912" spans="1:1" x14ac:dyDescent="0.35">
      <c r="A11912"/>
    </row>
    <row r="11913" spans="1:1" x14ac:dyDescent="0.35">
      <c r="A11913"/>
    </row>
    <row r="11914" spans="1:1" x14ac:dyDescent="0.35">
      <c r="A11914"/>
    </row>
    <row r="11915" spans="1:1" x14ac:dyDescent="0.35">
      <c r="A11915"/>
    </row>
    <row r="11916" spans="1:1" x14ac:dyDescent="0.35">
      <c r="A11916"/>
    </row>
    <row r="11917" spans="1:1" x14ac:dyDescent="0.35">
      <c r="A11917"/>
    </row>
    <row r="11918" spans="1:1" x14ac:dyDescent="0.35">
      <c r="A11918"/>
    </row>
    <row r="11919" spans="1:1" x14ac:dyDescent="0.35">
      <c r="A11919"/>
    </row>
    <row r="11920" spans="1:1" x14ac:dyDescent="0.35">
      <c r="A11920"/>
    </row>
    <row r="11921" spans="1:1" x14ac:dyDescent="0.35">
      <c r="A11921"/>
    </row>
    <row r="11922" spans="1:1" x14ac:dyDescent="0.35">
      <c r="A11922"/>
    </row>
    <row r="11923" spans="1:1" x14ac:dyDescent="0.35">
      <c r="A11923"/>
    </row>
    <row r="11924" spans="1:1" x14ac:dyDescent="0.35">
      <c r="A11924"/>
    </row>
    <row r="11925" spans="1:1" x14ac:dyDescent="0.35">
      <c r="A11925"/>
    </row>
    <row r="11926" spans="1:1" x14ac:dyDescent="0.35">
      <c r="A11926"/>
    </row>
    <row r="11927" spans="1:1" x14ac:dyDescent="0.35">
      <c r="A11927"/>
    </row>
    <row r="11928" spans="1:1" x14ac:dyDescent="0.35">
      <c r="A11928"/>
    </row>
    <row r="11929" spans="1:1" x14ac:dyDescent="0.35">
      <c r="A11929"/>
    </row>
    <row r="11930" spans="1:1" x14ac:dyDescent="0.35">
      <c r="A11930"/>
    </row>
    <row r="11931" spans="1:1" x14ac:dyDescent="0.35">
      <c r="A11931"/>
    </row>
    <row r="11932" spans="1:1" x14ac:dyDescent="0.35">
      <c r="A11932"/>
    </row>
    <row r="11933" spans="1:1" x14ac:dyDescent="0.35">
      <c r="A11933"/>
    </row>
    <row r="11934" spans="1:1" x14ac:dyDescent="0.35">
      <c r="A11934"/>
    </row>
    <row r="11935" spans="1:1" x14ac:dyDescent="0.35">
      <c r="A11935"/>
    </row>
    <row r="11936" spans="1:1" x14ac:dyDescent="0.35">
      <c r="A11936"/>
    </row>
    <row r="11937" spans="1:1" x14ac:dyDescent="0.35">
      <c r="A11937"/>
    </row>
    <row r="11938" spans="1:1" x14ac:dyDescent="0.35">
      <c r="A11938"/>
    </row>
    <row r="11939" spans="1:1" x14ac:dyDescent="0.35">
      <c r="A11939"/>
    </row>
    <row r="11940" spans="1:1" x14ac:dyDescent="0.35">
      <c r="A11940"/>
    </row>
    <row r="11941" spans="1:1" x14ac:dyDescent="0.35">
      <c r="A11941"/>
    </row>
    <row r="11942" spans="1:1" x14ac:dyDescent="0.35">
      <c r="A11942"/>
    </row>
    <row r="11943" spans="1:1" x14ac:dyDescent="0.35">
      <c r="A11943"/>
    </row>
    <row r="11944" spans="1:1" x14ac:dyDescent="0.35">
      <c r="A11944"/>
    </row>
    <row r="11945" spans="1:1" x14ac:dyDescent="0.35">
      <c r="A11945"/>
    </row>
    <row r="11946" spans="1:1" x14ac:dyDescent="0.35">
      <c r="A11946"/>
    </row>
    <row r="11947" spans="1:1" x14ac:dyDescent="0.35">
      <c r="A11947"/>
    </row>
    <row r="11948" spans="1:1" x14ac:dyDescent="0.35">
      <c r="A11948"/>
    </row>
    <row r="11949" spans="1:1" x14ac:dyDescent="0.35">
      <c r="A11949"/>
    </row>
    <row r="11950" spans="1:1" x14ac:dyDescent="0.35">
      <c r="A11950"/>
    </row>
    <row r="11951" spans="1:1" x14ac:dyDescent="0.35">
      <c r="A11951"/>
    </row>
    <row r="11952" spans="1:1" x14ac:dyDescent="0.35">
      <c r="A11952"/>
    </row>
    <row r="11953" spans="1:1" x14ac:dyDescent="0.35">
      <c r="A11953"/>
    </row>
    <row r="11954" spans="1:1" x14ac:dyDescent="0.35">
      <c r="A11954"/>
    </row>
    <row r="11955" spans="1:1" x14ac:dyDescent="0.35">
      <c r="A11955"/>
    </row>
    <row r="11956" spans="1:1" x14ac:dyDescent="0.35">
      <c r="A11956"/>
    </row>
    <row r="11957" spans="1:1" x14ac:dyDescent="0.35">
      <c r="A11957"/>
    </row>
    <row r="11958" spans="1:1" x14ac:dyDescent="0.35">
      <c r="A11958"/>
    </row>
    <row r="11959" spans="1:1" x14ac:dyDescent="0.35">
      <c r="A11959"/>
    </row>
    <row r="11960" spans="1:1" x14ac:dyDescent="0.35">
      <c r="A11960"/>
    </row>
    <row r="11961" spans="1:1" x14ac:dyDescent="0.35">
      <c r="A11961"/>
    </row>
    <row r="11962" spans="1:1" x14ac:dyDescent="0.35">
      <c r="A11962"/>
    </row>
    <row r="11963" spans="1:1" x14ac:dyDescent="0.35">
      <c r="A11963"/>
    </row>
    <row r="11964" spans="1:1" x14ac:dyDescent="0.35">
      <c r="A11964"/>
    </row>
    <row r="11965" spans="1:1" x14ac:dyDescent="0.35">
      <c r="A11965"/>
    </row>
    <row r="11966" spans="1:1" x14ac:dyDescent="0.35">
      <c r="A11966"/>
    </row>
    <row r="11967" spans="1:1" x14ac:dyDescent="0.35">
      <c r="A11967"/>
    </row>
    <row r="11968" spans="1:1" x14ac:dyDescent="0.35">
      <c r="A11968"/>
    </row>
    <row r="11969" spans="1:1" x14ac:dyDescent="0.35">
      <c r="A11969"/>
    </row>
    <row r="11970" spans="1:1" x14ac:dyDescent="0.35">
      <c r="A11970"/>
    </row>
    <row r="11971" spans="1:1" x14ac:dyDescent="0.35">
      <c r="A11971"/>
    </row>
    <row r="11972" spans="1:1" x14ac:dyDescent="0.35">
      <c r="A11972"/>
    </row>
    <row r="11973" spans="1:1" x14ac:dyDescent="0.35">
      <c r="A11973"/>
    </row>
    <row r="11974" spans="1:1" x14ac:dyDescent="0.35">
      <c r="A11974"/>
    </row>
    <row r="11975" spans="1:1" x14ac:dyDescent="0.35">
      <c r="A11975"/>
    </row>
    <row r="11976" spans="1:1" x14ac:dyDescent="0.35">
      <c r="A11976"/>
    </row>
    <row r="11977" spans="1:1" x14ac:dyDescent="0.35">
      <c r="A11977"/>
    </row>
    <row r="11978" spans="1:1" x14ac:dyDescent="0.35">
      <c r="A11978"/>
    </row>
    <row r="11979" spans="1:1" x14ac:dyDescent="0.35">
      <c r="A11979"/>
    </row>
    <row r="11980" spans="1:1" x14ac:dyDescent="0.35">
      <c r="A11980"/>
    </row>
    <row r="11981" spans="1:1" x14ac:dyDescent="0.35">
      <c r="A11981"/>
    </row>
    <row r="11982" spans="1:1" x14ac:dyDescent="0.35">
      <c r="A11982"/>
    </row>
    <row r="11983" spans="1:1" x14ac:dyDescent="0.35">
      <c r="A11983"/>
    </row>
    <row r="11984" spans="1:1" x14ac:dyDescent="0.35">
      <c r="A11984"/>
    </row>
    <row r="11985" spans="1:1" x14ac:dyDescent="0.35">
      <c r="A11985"/>
    </row>
    <row r="11986" spans="1:1" x14ac:dyDescent="0.35">
      <c r="A11986"/>
    </row>
    <row r="11987" spans="1:1" x14ac:dyDescent="0.35">
      <c r="A11987"/>
    </row>
    <row r="11988" spans="1:1" x14ac:dyDescent="0.35">
      <c r="A11988"/>
    </row>
    <row r="11989" spans="1:1" x14ac:dyDescent="0.35">
      <c r="A11989"/>
    </row>
    <row r="11990" spans="1:1" x14ac:dyDescent="0.35">
      <c r="A11990"/>
    </row>
    <row r="11991" spans="1:1" x14ac:dyDescent="0.35">
      <c r="A11991"/>
    </row>
    <row r="11992" spans="1:1" x14ac:dyDescent="0.35">
      <c r="A11992"/>
    </row>
    <row r="11993" spans="1:1" x14ac:dyDescent="0.35">
      <c r="A11993"/>
    </row>
    <row r="11994" spans="1:1" x14ac:dyDescent="0.35">
      <c r="A11994"/>
    </row>
    <row r="11995" spans="1:1" x14ac:dyDescent="0.35">
      <c r="A11995"/>
    </row>
    <row r="11996" spans="1:1" x14ac:dyDescent="0.35">
      <c r="A11996"/>
    </row>
    <row r="11997" spans="1:1" x14ac:dyDescent="0.35">
      <c r="A11997"/>
    </row>
    <row r="11998" spans="1:1" x14ac:dyDescent="0.35">
      <c r="A11998"/>
    </row>
    <row r="11999" spans="1:1" x14ac:dyDescent="0.35">
      <c r="A11999"/>
    </row>
    <row r="12000" spans="1:1" x14ac:dyDescent="0.35">
      <c r="A12000"/>
    </row>
    <row r="12001" spans="1:1" x14ac:dyDescent="0.35">
      <c r="A12001"/>
    </row>
    <row r="12002" spans="1:1" x14ac:dyDescent="0.35">
      <c r="A12002"/>
    </row>
    <row r="12003" spans="1:1" x14ac:dyDescent="0.35">
      <c r="A12003"/>
    </row>
    <row r="12004" spans="1:1" x14ac:dyDescent="0.35">
      <c r="A12004"/>
    </row>
    <row r="12005" spans="1:1" x14ac:dyDescent="0.35">
      <c r="A12005"/>
    </row>
    <row r="12006" spans="1:1" x14ac:dyDescent="0.35">
      <c r="A12006"/>
    </row>
    <row r="12007" spans="1:1" x14ac:dyDescent="0.35">
      <c r="A12007"/>
    </row>
    <row r="12008" spans="1:1" x14ac:dyDescent="0.35">
      <c r="A12008"/>
    </row>
    <row r="12009" spans="1:1" x14ac:dyDescent="0.35">
      <c r="A12009"/>
    </row>
    <row r="12010" spans="1:1" x14ac:dyDescent="0.35">
      <c r="A12010"/>
    </row>
    <row r="12011" spans="1:1" x14ac:dyDescent="0.35">
      <c r="A12011"/>
    </row>
    <row r="12012" spans="1:1" x14ac:dyDescent="0.35">
      <c r="A12012"/>
    </row>
    <row r="12013" spans="1:1" x14ac:dyDescent="0.35">
      <c r="A12013"/>
    </row>
    <row r="12014" spans="1:1" x14ac:dyDescent="0.35">
      <c r="A12014"/>
    </row>
    <row r="12015" spans="1:1" x14ac:dyDescent="0.35">
      <c r="A12015"/>
    </row>
    <row r="12016" spans="1:1" x14ac:dyDescent="0.35">
      <c r="A12016"/>
    </row>
    <row r="12017" spans="1:1" x14ac:dyDescent="0.35">
      <c r="A12017"/>
    </row>
    <row r="12018" spans="1:1" x14ac:dyDescent="0.35">
      <c r="A12018"/>
    </row>
    <row r="12019" spans="1:1" x14ac:dyDescent="0.35">
      <c r="A12019"/>
    </row>
    <row r="12020" spans="1:1" x14ac:dyDescent="0.35">
      <c r="A12020"/>
    </row>
    <row r="12021" spans="1:1" x14ac:dyDescent="0.35">
      <c r="A12021"/>
    </row>
    <row r="12022" spans="1:1" x14ac:dyDescent="0.35">
      <c r="A12022"/>
    </row>
    <row r="12023" spans="1:1" x14ac:dyDescent="0.35">
      <c r="A12023"/>
    </row>
    <row r="12024" spans="1:1" x14ac:dyDescent="0.35">
      <c r="A12024"/>
    </row>
    <row r="12025" spans="1:1" x14ac:dyDescent="0.35">
      <c r="A12025"/>
    </row>
    <row r="12026" spans="1:1" x14ac:dyDescent="0.35">
      <c r="A12026"/>
    </row>
    <row r="12027" spans="1:1" x14ac:dyDescent="0.35">
      <c r="A12027"/>
    </row>
    <row r="12028" spans="1:1" x14ac:dyDescent="0.35">
      <c r="A12028"/>
    </row>
    <row r="12029" spans="1:1" x14ac:dyDescent="0.35">
      <c r="A12029"/>
    </row>
    <row r="12030" spans="1:1" x14ac:dyDescent="0.35">
      <c r="A12030"/>
    </row>
    <row r="12031" spans="1:1" x14ac:dyDescent="0.35">
      <c r="A12031"/>
    </row>
    <row r="12032" spans="1:1" x14ac:dyDescent="0.35">
      <c r="A12032"/>
    </row>
    <row r="12033" spans="1:1" x14ac:dyDescent="0.35">
      <c r="A12033"/>
    </row>
    <row r="12034" spans="1:1" x14ac:dyDescent="0.35">
      <c r="A12034"/>
    </row>
    <row r="12035" spans="1:1" x14ac:dyDescent="0.35">
      <c r="A12035"/>
    </row>
    <row r="12036" spans="1:1" x14ac:dyDescent="0.35">
      <c r="A12036"/>
    </row>
    <row r="12037" spans="1:1" x14ac:dyDescent="0.35">
      <c r="A12037"/>
    </row>
    <row r="12038" spans="1:1" x14ac:dyDescent="0.35">
      <c r="A12038"/>
    </row>
    <row r="12039" spans="1:1" x14ac:dyDescent="0.35">
      <c r="A12039"/>
    </row>
    <row r="12040" spans="1:1" x14ac:dyDescent="0.35">
      <c r="A12040"/>
    </row>
    <row r="12041" spans="1:1" x14ac:dyDescent="0.35">
      <c r="A12041"/>
    </row>
    <row r="12042" spans="1:1" x14ac:dyDescent="0.35">
      <c r="A12042"/>
    </row>
    <row r="12043" spans="1:1" x14ac:dyDescent="0.35">
      <c r="A12043"/>
    </row>
    <row r="12044" spans="1:1" x14ac:dyDescent="0.35">
      <c r="A12044"/>
    </row>
    <row r="12045" spans="1:1" x14ac:dyDescent="0.35">
      <c r="A12045"/>
    </row>
    <row r="12046" spans="1:1" x14ac:dyDescent="0.35">
      <c r="A12046"/>
    </row>
    <row r="12047" spans="1:1" x14ac:dyDescent="0.35">
      <c r="A12047"/>
    </row>
    <row r="12048" spans="1:1" x14ac:dyDescent="0.35">
      <c r="A12048"/>
    </row>
    <row r="12049" spans="1:1" x14ac:dyDescent="0.35">
      <c r="A12049"/>
    </row>
    <row r="12050" spans="1:1" x14ac:dyDescent="0.35">
      <c r="A12050"/>
    </row>
    <row r="12051" spans="1:1" x14ac:dyDescent="0.35">
      <c r="A12051"/>
    </row>
    <row r="12052" spans="1:1" x14ac:dyDescent="0.35">
      <c r="A12052"/>
    </row>
    <row r="12053" spans="1:1" x14ac:dyDescent="0.35">
      <c r="A12053"/>
    </row>
    <row r="12054" spans="1:1" x14ac:dyDescent="0.35">
      <c r="A12054"/>
    </row>
    <row r="12055" spans="1:1" x14ac:dyDescent="0.35">
      <c r="A12055"/>
    </row>
    <row r="12056" spans="1:1" x14ac:dyDescent="0.35">
      <c r="A12056"/>
    </row>
    <row r="12057" spans="1:1" x14ac:dyDescent="0.35">
      <c r="A12057"/>
    </row>
    <row r="12058" spans="1:1" x14ac:dyDescent="0.35">
      <c r="A12058"/>
    </row>
    <row r="12059" spans="1:1" x14ac:dyDescent="0.35">
      <c r="A12059"/>
    </row>
    <row r="12060" spans="1:1" x14ac:dyDescent="0.35">
      <c r="A12060"/>
    </row>
    <row r="12061" spans="1:1" x14ac:dyDescent="0.35">
      <c r="A12061"/>
    </row>
    <row r="12062" spans="1:1" x14ac:dyDescent="0.35">
      <c r="A12062"/>
    </row>
    <row r="12063" spans="1:1" x14ac:dyDescent="0.35">
      <c r="A12063"/>
    </row>
    <row r="12064" spans="1:1" x14ac:dyDescent="0.35">
      <c r="A12064"/>
    </row>
    <row r="12065" spans="1:1" x14ac:dyDescent="0.35">
      <c r="A12065"/>
    </row>
    <row r="12066" spans="1:1" x14ac:dyDescent="0.35">
      <c r="A12066"/>
    </row>
    <row r="12067" spans="1:1" x14ac:dyDescent="0.35">
      <c r="A12067"/>
    </row>
    <row r="12068" spans="1:1" x14ac:dyDescent="0.35">
      <c r="A12068"/>
    </row>
    <row r="12069" spans="1:1" x14ac:dyDescent="0.35">
      <c r="A12069"/>
    </row>
    <row r="12070" spans="1:1" x14ac:dyDescent="0.35">
      <c r="A12070"/>
    </row>
    <row r="12071" spans="1:1" x14ac:dyDescent="0.35">
      <c r="A12071"/>
    </row>
    <row r="12072" spans="1:1" x14ac:dyDescent="0.35">
      <c r="A12072"/>
    </row>
    <row r="12073" spans="1:1" x14ac:dyDescent="0.35">
      <c r="A12073"/>
    </row>
    <row r="12074" spans="1:1" x14ac:dyDescent="0.35">
      <c r="A12074"/>
    </row>
    <row r="12075" spans="1:1" x14ac:dyDescent="0.35">
      <c r="A12075"/>
    </row>
    <row r="12076" spans="1:1" x14ac:dyDescent="0.35">
      <c r="A12076"/>
    </row>
    <row r="12077" spans="1:1" x14ac:dyDescent="0.35">
      <c r="A12077"/>
    </row>
    <row r="12078" spans="1:1" x14ac:dyDescent="0.35">
      <c r="A12078"/>
    </row>
    <row r="12079" spans="1:1" x14ac:dyDescent="0.35">
      <c r="A12079"/>
    </row>
    <row r="12080" spans="1:1" x14ac:dyDescent="0.35">
      <c r="A12080"/>
    </row>
    <row r="12081" spans="1:1" x14ac:dyDescent="0.35">
      <c r="A12081"/>
    </row>
    <row r="12082" spans="1:1" x14ac:dyDescent="0.35">
      <c r="A12082"/>
    </row>
    <row r="12083" spans="1:1" x14ac:dyDescent="0.35">
      <c r="A12083"/>
    </row>
    <row r="12084" spans="1:1" x14ac:dyDescent="0.35">
      <c r="A12084"/>
    </row>
    <row r="12085" spans="1:1" x14ac:dyDescent="0.35">
      <c r="A12085"/>
    </row>
    <row r="12086" spans="1:1" x14ac:dyDescent="0.35">
      <c r="A12086"/>
    </row>
    <row r="12087" spans="1:1" x14ac:dyDescent="0.35">
      <c r="A12087"/>
    </row>
    <row r="12088" spans="1:1" x14ac:dyDescent="0.35">
      <c r="A12088"/>
    </row>
    <row r="12089" spans="1:1" x14ac:dyDescent="0.35">
      <c r="A12089"/>
    </row>
    <row r="12090" spans="1:1" x14ac:dyDescent="0.35">
      <c r="A12090"/>
    </row>
    <row r="12091" spans="1:1" x14ac:dyDescent="0.35">
      <c r="A12091"/>
    </row>
    <row r="12092" spans="1:1" x14ac:dyDescent="0.35">
      <c r="A12092"/>
    </row>
    <row r="12093" spans="1:1" x14ac:dyDescent="0.35">
      <c r="A12093"/>
    </row>
    <row r="12094" spans="1:1" x14ac:dyDescent="0.35">
      <c r="A12094"/>
    </row>
    <row r="12095" spans="1:1" x14ac:dyDescent="0.35">
      <c r="A12095"/>
    </row>
    <row r="12096" spans="1:1" x14ac:dyDescent="0.35">
      <c r="A12096"/>
    </row>
    <row r="12097" spans="1:1" x14ac:dyDescent="0.35">
      <c r="A12097"/>
    </row>
    <row r="12098" spans="1:1" x14ac:dyDescent="0.35">
      <c r="A12098"/>
    </row>
    <row r="12099" spans="1:1" x14ac:dyDescent="0.35">
      <c r="A12099"/>
    </row>
    <row r="12100" spans="1:1" x14ac:dyDescent="0.35">
      <c r="A12100"/>
    </row>
    <row r="12101" spans="1:1" x14ac:dyDescent="0.35">
      <c r="A12101"/>
    </row>
    <row r="12102" spans="1:1" x14ac:dyDescent="0.35">
      <c r="A12102"/>
    </row>
    <row r="12103" spans="1:1" x14ac:dyDescent="0.35">
      <c r="A12103"/>
    </row>
    <row r="12104" spans="1:1" x14ac:dyDescent="0.35">
      <c r="A12104"/>
    </row>
    <row r="12105" spans="1:1" x14ac:dyDescent="0.35">
      <c r="A12105"/>
    </row>
    <row r="12106" spans="1:1" x14ac:dyDescent="0.35">
      <c r="A12106"/>
    </row>
    <row r="12107" spans="1:1" x14ac:dyDescent="0.35">
      <c r="A12107"/>
    </row>
    <row r="12108" spans="1:1" x14ac:dyDescent="0.35">
      <c r="A12108"/>
    </row>
    <row r="12109" spans="1:1" x14ac:dyDescent="0.35">
      <c r="A12109"/>
    </row>
    <row r="12110" spans="1:1" x14ac:dyDescent="0.35">
      <c r="A12110"/>
    </row>
    <row r="12111" spans="1:1" x14ac:dyDescent="0.35">
      <c r="A12111"/>
    </row>
    <row r="12112" spans="1:1" x14ac:dyDescent="0.35">
      <c r="A12112"/>
    </row>
    <row r="12113" spans="1:1" x14ac:dyDescent="0.35">
      <c r="A12113"/>
    </row>
    <row r="12114" spans="1:1" x14ac:dyDescent="0.35">
      <c r="A12114"/>
    </row>
    <row r="12115" spans="1:1" x14ac:dyDescent="0.35">
      <c r="A12115"/>
    </row>
    <row r="12116" spans="1:1" x14ac:dyDescent="0.35">
      <c r="A12116"/>
    </row>
    <row r="12117" spans="1:1" x14ac:dyDescent="0.35">
      <c r="A12117"/>
    </row>
    <row r="12118" spans="1:1" x14ac:dyDescent="0.35">
      <c r="A12118"/>
    </row>
    <row r="12119" spans="1:1" x14ac:dyDescent="0.35">
      <c r="A12119"/>
    </row>
    <row r="12120" spans="1:1" x14ac:dyDescent="0.35">
      <c r="A12120"/>
    </row>
    <row r="12121" spans="1:1" x14ac:dyDescent="0.35">
      <c r="A12121"/>
    </row>
    <row r="12122" spans="1:1" x14ac:dyDescent="0.35">
      <c r="A12122"/>
    </row>
    <row r="12123" spans="1:1" x14ac:dyDescent="0.35">
      <c r="A12123"/>
    </row>
    <row r="12124" spans="1:1" x14ac:dyDescent="0.35">
      <c r="A12124"/>
    </row>
    <row r="12125" spans="1:1" x14ac:dyDescent="0.35">
      <c r="A12125"/>
    </row>
    <row r="12126" spans="1:1" x14ac:dyDescent="0.35">
      <c r="A12126"/>
    </row>
    <row r="12127" spans="1:1" x14ac:dyDescent="0.35">
      <c r="A12127"/>
    </row>
    <row r="12128" spans="1:1" x14ac:dyDescent="0.35">
      <c r="A12128"/>
    </row>
    <row r="12129" spans="1:1" x14ac:dyDescent="0.35">
      <c r="A12129"/>
    </row>
    <row r="12130" spans="1:1" x14ac:dyDescent="0.35">
      <c r="A12130"/>
    </row>
    <row r="12131" spans="1:1" x14ac:dyDescent="0.35">
      <c r="A12131"/>
    </row>
    <row r="12132" spans="1:1" x14ac:dyDescent="0.35">
      <c r="A12132"/>
    </row>
    <row r="12133" spans="1:1" x14ac:dyDescent="0.35">
      <c r="A12133"/>
    </row>
    <row r="12134" spans="1:1" x14ac:dyDescent="0.35">
      <c r="A12134"/>
    </row>
    <row r="12135" spans="1:1" x14ac:dyDescent="0.35">
      <c r="A12135"/>
    </row>
    <row r="12136" spans="1:1" x14ac:dyDescent="0.35">
      <c r="A12136"/>
    </row>
    <row r="12137" spans="1:1" x14ac:dyDescent="0.35">
      <c r="A12137"/>
    </row>
    <row r="12138" spans="1:1" x14ac:dyDescent="0.35">
      <c r="A12138"/>
    </row>
    <row r="12139" spans="1:1" x14ac:dyDescent="0.35">
      <c r="A12139"/>
    </row>
    <row r="12140" spans="1:1" x14ac:dyDescent="0.35">
      <c r="A12140"/>
    </row>
    <row r="12141" spans="1:1" x14ac:dyDescent="0.35">
      <c r="A12141"/>
    </row>
    <row r="12142" spans="1:1" x14ac:dyDescent="0.35">
      <c r="A12142"/>
    </row>
    <row r="12143" spans="1:1" x14ac:dyDescent="0.35">
      <c r="A12143"/>
    </row>
    <row r="12144" spans="1:1" x14ac:dyDescent="0.35">
      <c r="A12144"/>
    </row>
    <row r="12145" spans="1:1" x14ac:dyDescent="0.35">
      <c r="A12145"/>
    </row>
    <row r="12146" spans="1:1" x14ac:dyDescent="0.35">
      <c r="A12146"/>
    </row>
    <row r="12147" spans="1:1" x14ac:dyDescent="0.35">
      <c r="A12147"/>
    </row>
    <row r="12148" spans="1:1" x14ac:dyDescent="0.35">
      <c r="A12148"/>
    </row>
    <row r="12149" spans="1:1" x14ac:dyDescent="0.35">
      <c r="A12149"/>
    </row>
    <row r="12150" spans="1:1" x14ac:dyDescent="0.35">
      <c r="A12150"/>
    </row>
    <row r="12151" spans="1:1" x14ac:dyDescent="0.35">
      <c r="A12151"/>
    </row>
    <row r="12152" spans="1:1" x14ac:dyDescent="0.35">
      <c r="A12152"/>
    </row>
    <row r="12153" spans="1:1" x14ac:dyDescent="0.35">
      <c r="A12153"/>
    </row>
    <row r="12154" spans="1:1" x14ac:dyDescent="0.35">
      <c r="A12154"/>
    </row>
    <row r="12155" spans="1:1" x14ac:dyDescent="0.35">
      <c r="A12155"/>
    </row>
    <row r="12156" spans="1:1" x14ac:dyDescent="0.35">
      <c r="A12156"/>
    </row>
    <row r="12157" spans="1:1" x14ac:dyDescent="0.35">
      <c r="A12157"/>
    </row>
    <row r="12158" spans="1:1" x14ac:dyDescent="0.35">
      <c r="A12158"/>
    </row>
    <row r="12159" spans="1:1" x14ac:dyDescent="0.35">
      <c r="A12159"/>
    </row>
    <row r="12160" spans="1:1" x14ac:dyDescent="0.35">
      <c r="A12160"/>
    </row>
    <row r="12161" spans="1:1" x14ac:dyDescent="0.35">
      <c r="A12161"/>
    </row>
    <row r="12162" spans="1:1" x14ac:dyDescent="0.35">
      <c r="A12162"/>
    </row>
    <row r="12163" spans="1:1" x14ac:dyDescent="0.35">
      <c r="A12163"/>
    </row>
    <row r="12164" spans="1:1" x14ac:dyDescent="0.35">
      <c r="A12164"/>
    </row>
    <row r="12165" spans="1:1" x14ac:dyDescent="0.35">
      <c r="A12165"/>
    </row>
    <row r="12166" spans="1:1" x14ac:dyDescent="0.35">
      <c r="A12166"/>
    </row>
    <row r="12167" spans="1:1" x14ac:dyDescent="0.35">
      <c r="A12167"/>
    </row>
    <row r="12168" spans="1:1" x14ac:dyDescent="0.35">
      <c r="A12168"/>
    </row>
    <row r="12169" spans="1:1" x14ac:dyDescent="0.35">
      <c r="A12169"/>
    </row>
    <row r="12170" spans="1:1" x14ac:dyDescent="0.35">
      <c r="A12170"/>
    </row>
    <row r="12171" spans="1:1" x14ac:dyDescent="0.35">
      <c r="A12171"/>
    </row>
    <row r="12172" spans="1:1" x14ac:dyDescent="0.35">
      <c r="A12172"/>
    </row>
    <row r="12173" spans="1:1" x14ac:dyDescent="0.35">
      <c r="A12173"/>
    </row>
    <row r="12174" spans="1:1" x14ac:dyDescent="0.35">
      <c r="A12174"/>
    </row>
    <row r="12175" spans="1:1" x14ac:dyDescent="0.35">
      <c r="A12175"/>
    </row>
    <row r="12176" spans="1:1" x14ac:dyDescent="0.35">
      <c r="A12176"/>
    </row>
    <row r="12177" spans="1:1" x14ac:dyDescent="0.35">
      <c r="A12177"/>
    </row>
    <row r="12178" spans="1:1" x14ac:dyDescent="0.35">
      <c r="A12178"/>
    </row>
    <row r="12179" spans="1:1" x14ac:dyDescent="0.35">
      <c r="A12179"/>
    </row>
    <row r="12180" spans="1:1" x14ac:dyDescent="0.35">
      <c r="A12180"/>
    </row>
    <row r="12181" spans="1:1" x14ac:dyDescent="0.35">
      <c r="A12181"/>
    </row>
    <row r="12182" spans="1:1" x14ac:dyDescent="0.35">
      <c r="A12182"/>
    </row>
    <row r="12183" spans="1:1" x14ac:dyDescent="0.35">
      <c r="A12183"/>
    </row>
    <row r="12184" spans="1:1" x14ac:dyDescent="0.35">
      <c r="A12184"/>
    </row>
    <row r="12185" spans="1:1" x14ac:dyDescent="0.35">
      <c r="A12185"/>
    </row>
    <row r="12186" spans="1:1" x14ac:dyDescent="0.35">
      <c r="A12186"/>
    </row>
    <row r="12187" spans="1:1" x14ac:dyDescent="0.35">
      <c r="A12187"/>
    </row>
    <row r="12188" spans="1:1" x14ac:dyDescent="0.35">
      <c r="A12188"/>
    </row>
    <row r="12189" spans="1:1" x14ac:dyDescent="0.35">
      <c r="A12189"/>
    </row>
    <row r="12190" spans="1:1" x14ac:dyDescent="0.35">
      <c r="A12190"/>
    </row>
    <row r="12191" spans="1:1" x14ac:dyDescent="0.35">
      <c r="A12191"/>
    </row>
    <row r="12192" spans="1:1" x14ac:dyDescent="0.35">
      <c r="A12192"/>
    </row>
    <row r="12193" spans="1:1" x14ac:dyDescent="0.35">
      <c r="A12193"/>
    </row>
    <row r="12194" spans="1:1" x14ac:dyDescent="0.35">
      <c r="A12194"/>
    </row>
    <row r="12195" spans="1:1" x14ac:dyDescent="0.35">
      <c r="A12195"/>
    </row>
    <row r="12196" spans="1:1" x14ac:dyDescent="0.35">
      <c r="A12196"/>
    </row>
    <row r="12197" spans="1:1" x14ac:dyDescent="0.35">
      <c r="A12197"/>
    </row>
    <row r="12198" spans="1:1" x14ac:dyDescent="0.35">
      <c r="A12198"/>
    </row>
    <row r="12199" spans="1:1" x14ac:dyDescent="0.35">
      <c r="A12199"/>
    </row>
    <row r="12200" spans="1:1" x14ac:dyDescent="0.35">
      <c r="A12200"/>
    </row>
    <row r="12201" spans="1:1" x14ac:dyDescent="0.35">
      <c r="A12201"/>
    </row>
    <row r="12202" spans="1:1" x14ac:dyDescent="0.35">
      <c r="A12202"/>
    </row>
    <row r="12203" spans="1:1" x14ac:dyDescent="0.35">
      <c r="A12203"/>
    </row>
    <row r="12204" spans="1:1" x14ac:dyDescent="0.35">
      <c r="A12204"/>
    </row>
    <row r="12205" spans="1:1" x14ac:dyDescent="0.35">
      <c r="A12205"/>
    </row>
    <row r="12206" spans="1:1" x14ac:dyDescent="0.35">
      <c r="A12206"/>
    </row>
    <row r="12207" spans="1:1" x14ac:dyDescent="0.35">
      <c r="A12207"/>
    </row>
    <row r="12208" spans="1:1" x14ac:dyDescent="0.35">
      <c r="A12208"/>
    </row>
    <row r="12209" spans="1:1" x14ac:dyDescent="0.35">
      <c r="A12209"/>
    </row>
    <row r="12210" spans="1:1" x14ac:dyDescent="0.35">
      <c r="A12210"/>
    </row>
    <row r="12211" spans="1:1" x14ac:dyDescent="0.35">
      <c r="A12211"/>
    </row>
    <row r="12212" spans="1:1" x14ac:dyDescent="0.35">
      <c r="A12212"/>
    </row>
    <row r="12213" spans="1:1" x14ac:dyDescent="0.35">
      <c r="A12213"/>
    </row>
    <row r="12214" spans="1:1" x14ac:dyDescent="0.35">
      <c r="A12214"/>
    </row>
    <row r="12215" spans="1:1" x14ac:dyDescent="0.35">
      <c r="A12215"/>
    </row>
    <row r="12216" spans="1:1" x14ac:dyDescent="0.35">
      <c r="A12216"/>
    </row>
    <row r="12217" spans="1:1" x14ac:dyDescent="0.35">
      <c r="A12217"/>
    </row>
    <row r="12218" spans="1:1" x14ac:dyDescent="0.35">
      <c r="A12218"/>
    </row>
    <row r="12219" spans="1:1" x14ac:dyDescent="0.35">
      <c r="A12219"/>
    </row>
    <row r="12220" spans="1:1" x14ac:dyDescent="0.35">
      <c r="A12220"/>
    </row>
    <row r="12221" spans="1:1" x14ac:dyDescent="0.35">
      <c r="A12221"/>
    </row>
    <row r="12222" spans="1:1" x14ac:dyDescent="0.35">
      <c r="A12222"/>
    </row>
    <row r="12223" spans="1:1" x14ac:dyDescent="0.35">
      <c r="A12223"/>
    </row>
    <row r="12224" spans="1:1" x14ac:dyDescent="0.35">
      <c r="A12224"/>
    </row>
    <row r="12225" spans="1:1" x14ac:dyDescent="0.35">
      <c r="A12225"/>
    </row>
    <row r="12226" spans="1:1" x14ac:dyDescent="0.35">
      <c r="A12226"/>
    </row>
    <row r="12227" spans="1:1" x14ac:dyDescent="0.35">
      <c r="A12227"/>
    </row>
    <row r="12228" spans="1:1" x14ac:dyDescent="0.35">
      <c r="A12228"/>
    </row>
    <row r="12229" spans="1:1" x14ac:dyDescent="0.35">
      <c r="A12229"/>
    </row>
    <row r="12230" spans="1:1" x14ac:dyDescent="0.35">
      <c r="A12230"/>
    </row>
    <row r="12231" spans="1:1" x14ac:dyDescent="0.35">
      <c r="A12231"/>
    </row>
    <row r="12232" spans="1:1" x14ac:dyDescent="0.35">
      <c r="A12232"/>
    </row>
    <row r="12233" spans="1:1" x14ac:dyDescent="0.35">
      <c r="A12233"/>
    </row>
    <row r="12234" spans="1:1" x14ac:dyDescent="0.35">
      <c r="A12234"/>
    </row>
    <row r="12235" spans="1:1" x14ac:dyDescent="0.35">
      <c r="A12235"/>
    </row>
    <row r="12236" spans="1:1" x14ac:dyDescent="0.35">
      <c r="A12236"/>
    </row>
    <row r="12237" spans="1:1" x14ac:dyDescent="0.35">
      <c r="A12237"/>
    </row>
    <row r="12238" spans="1:1" x14ac:dyDescent="0.35">
      <c r="A12238"/>
    </row>
    <row r="12239" spans="1:1" x14ac:dyDescent="0.35">
      <c r="A12239"/>
    </row>
    <row r="12240" spans="1:1" x14ac:dyDescent="0.35">
      <c r="A12240"/>
    </row>
    <row r="12241" spans="1:1" x14ac:dyDescent="0.35">
      <c r="A12241"/>
    </row>
    <row r="12242" spans="1:1" x14ac:dyDescent="0.35">
      <c r="A12242"/>
    </row>
    <row r="12243" spans="1:1" x14ac:dyDescent="0.35">
      <c r="A12243"/>
    </row>
    <row r="12244" spans="1:1" x14ac:dyDescent="0.35">
      <c r="A12244"/>
    </row>
    <row r="12245" spans="1:1" x14ac:dyDescent="0.35">
      <c r="A12245"/>
    </row>
    <row r="12246" spans="1:1" x14ac:dyDescent="0.35">
      <c r="A12246"/>
    </row>
    <row r="12247" spans="1:1" x14ac:dyDescent="0.35">
      <c r="A12247"/>
    </row>
    <row r="12248" spans="1:1" x14ac:dyDescent="0.35">
      <c r="A12248"/>
    </row>
    <row r="12249" spans="1:1" x14ac:dyDescent="0.35">
      <c r="A12249"/>
    </row>
    <row r="12250" spans="1:1" x14ac:dyDescent="0.35">
      <c r="A12250"/>
    </row>
    <row r="12251" spans="1:1" x14ac:dyDescent="0.35">
      <c r="A12251"/>
    </row>
    <row r="12252" spans="1:1" x14ac:dyDescent="0.35">
      <c r="A12252"/>
    </row>
    <row r="12253" spans="1:1" x14ac:dyDescent="0.35">
      <c r="A12253"/>
    </row>
    <row r="12254" spans="1:1" x14ac:dyDescent="0.35">
      <c r="A12254"/>
    </row>
    <row r="12255" spans="1:1" x14ac:dyDescent="0.35">
      <c r="A12255"/>
    </row>
    <row r="12256" spans="1:1" x14ac:dyDescent="0.35">
      <c r="A12256"/>
    </row>
    <row r="12257" spans="1:1" x14ac:dyDescent="0.35">
      <c r="A12257"/>
    </row>
    <row r="12258" spans="1:1" x14ac:dyDescent="0.35">
      <c r="A12258"/>
    </row>
    <row r="12259" spans="1:1" x14ac:dyDescent="0.35">
      <c r="A12259"/>
    </row>
    <row r="12260" spans="1:1" x14ac:dyDescent="0.35">
      <c r="A12260"/>
    </row>
    <row r="12261" spans="1:1" x14ac:dyDescent="0.35">
      <c r="A12261"/>
    </row>
    <row r="12262" spans="1:1" x14ac:dyDescent="0.35">
      <c r="A12262"/>
    </row>
    <row r="12263" spans="1:1" x14ac:dyDescent="0.35">
      <c r="A12263"/>
    </row>
    <row r="12264" spans="1:1" x14ac:dyDescent="0.35">
      <c r="A12264"/>
    </row>
    <row r="12265" spans="1:1" x14ac:dyDescent="0.35">
      <c r="A12265"/>
    </row>
    <row r="12266" spans="1:1" x14ac:dyDescent="0.35">
      <c r="A12266"/>
    </row>
    <row r="12267" spans="1:1" x14ac:dyDescent="0.35">
      <c r="A12267"/>
    </row>
    <row r="12268" spans="1:1" x14ac:dyDescent="0.35">
      <c r="A12268"/>
    </row>
    <row r="12269" spans="1:1" x14ac:dyDescent="0.35">
      <c r="A12269"/>
    </row>
    <row r="12270" spans="1:1" x14ac:dyDescent="0.35">
      <c r="A12270"/>
    </row>
    <row r="12271" spans="1:1" x14ac:dyDescent="0.35">
      <c r="A12271"/>
    </row>
    <row r="12272" spans="1:1" x14ac:dyDescent="0.35">
      <c r="A12272"/>
    </row>
    <row r="12273" spans="1:1" x14ac:dyDescent="0.35">
      <c r="A12273"/>
    </row>
    <row r="12274" spans="1:1" x14ac:dyDescent="0.35">
      <c r="A12274"/>
    </row>
    <row r="12275" spans="1:1" x14ac:dyDescent="0.35">
      <c r="A12275"/>
    </row>
    <row r="12276" spans="1:1" x14ac:dyDescent="0.35">
      <c r="A12276"/>
    </row>
    <row r="12277" spans="1:1" x14ac:dyDescent="0.35">
      <c r="A12277"/>
    </row>
    <row r="12278" spans="1:1" x14ac:dyDescent="0.35">
      <c r="A12278"/>
    </row>
    <row r="12279" spans="1:1" x14ac:dyDescent="0.35">
      <c r="A12279"/>
    </row>
    <row r="12280" spans="1:1" x14ac:dyDescent="0.35">
      <c r="A12280"/>
    </row>
    <row r="12281" spans="1:1" x14ac:dyDescent="0.35">
      <c r="A12281"/>
    </row>
    <row r="12282" spans="1:1" x14ac:dyDescent="0.35">
      <c r="A12282"/>
    </row>
    <row r="12283" spans="1:1" x14ac:dyDescent="0.35">
      <c r="A12283"/>
    </row>
    <row r="12284" spans="1:1" x14ac:dyDescent="0.35">
      <c r="A12284"/>
    </row>
    <row r="12285" spans="1:1" x14ac:dyDescent="0.35">
      <c r="A12285"/>
    </row>
    <row r="12286" spans="1:1" x14ac:dyDescent="0.35">
      <c r="A12286"/>
    </row>
    <row r="12287" spans="1:1" x14ac:dyDescent="0.35">
      <c r="A12287"/>
    </row>
    <row r="12288" spans="1:1" x14ac:dyDescent="0.35">
      <c r="A12288"/>
    </row>
    <row r="12289" spans="1:1" x14ac:dyDescent="0.35">
      <c r="A12289"/>
    </row>
    <row r="12290" spans="1:1" x14ac:dyDescent="0.35">
      <c r="A12290"/>
    </row>
    <row r="12291" spans="1:1" x14ac:dyDescent="0.35">
      <c r="A12291"/>
    </row>
    <row r="12292" spans="1:1" x14ac:dyDescent="0.35">
      <c r="A12292"/>
    </row>
    <row r="12293" spans="1:1" x14ac:dyDescent="0.35">
      <c r="A12293"/>
    </row>
    <row r="12294" spans="1:1" x14ac:dyDescent="0.35">
      <c r="A12294"/>
    </row>
    <row r="12295" spans="1:1" x14ac:dyDescent="0.35">
      <c r="A12295"/>
    </row>
    <row r="12296" spans="1:1" x14ac:dyDescent="0.35">
      <c r="A12296"/>
    </row>
    <row r="12297" spans="1:1" x14ac:dyDescent="0.35">
      <c r="A12297"/>
    </row>
    <row r="12298" spans="1:1" x14ac:dyDescent="0.35">
      <c r="A12298"/>
    </row>
    <row r="12299" spans="1:1" x14ac:dyDescent="0.35">
      <c r="A12299"/>
    </row>
    <row r="12300" spans="1:1" x14ac:dyDescent="0.35">
      <c r="A12300"/>
    </row>
    <row r="12301" spans="1:1" x14ac:dyDescent="0.35">
      <c r="A12301"/>
    </row>
    <row r="12302" spans="1:1" x14ac:dyDescent="0.35">
      <c r="A12302"/>
    </row>
    <row r="12303" spans="1:1" x14ac:dyDescent="0.35">
      <c r="A12303"/>
    </row>
    <row r="12304" spans="1:1" x14ac:dyDescent="0.35">
      <c r="A12304"/>
    </row>
    <row r="12305" spans="1:1" x14ac:dyDescent="0.35">
      <c r="A12305"/>
    </row>
    <row r="12306" spans="1:1" x14ac:dyDescent="0.35">
      <c r="A12306"/>
    </row>
    <row r="12307" spans="1:1" x14ac:dyDescent="0.35">
      <c r="A12307"/>
    </row>
    <row r="12308" spans="1:1" x14ac:dyDescent="0.35">
      <c r="A12308"/>
    </row>
    <row r="12309" spans="1:1" x14ac:dyDescent="0.35">
      <c r="A12309"/>
    </row>
    <row r="12310" spans="1:1" x14ac:dyDescent="0.35">
      <c r="A12310"/>
    </row>
    <row r="12311" spans="1:1" x14ac:dyDescent="0.35">
      <c r="A12311"/>
    </row>
    <row r="12312" spans="1:1" x14ac:dyDescent="0.35">
      <c r="A12312"/>
    </row>
    <row r="12313" spans="1:1" x14ac:dyDescent="0.35">
      <c r="A12313"/>
    </row>
    <row r="12314" spans="1:1" x14ac:dyDescent="0.35">
      <c r="A12314"/>
    </row>
    <row r="12315" spans="1:1" x14ac:dyDescent="0.35">
      <c r="A12315"/>
    </row>
    <row r="12316" spans="1:1" x14ac:dyDescent="0.35">
      <c r="A12316"/>
    </row>
    <row r="12317" spans="1:1" x14ac:dyDescent="0.35">
      <c r="A12317"/>
    </row>
    <row r="12318" spans="1:1" x14ac:dyDescent="0.35">
      <c r="A12318"/>
    </row>
    <row r="12319" spans="1:1" x14ac:dyDescent="0.35">
      <c r="A12319"/>
    </row>
    <row r="12320" spans="1:1" x14ac:dyDescent="0.35">
      <c r="A12320"/>
    </row>
    <row r="12321" spans="1:1" x14ac:dyDescent="0.35">
      <c r="A12321"/>
    </row>
    <row r="12322" spans="1:1" x14ac:dyDescent="0.35">
      <c r="A12322"/>
    </row>
    <row r="12323" spans="1:1" x14ac:dyDescent="0.35">
      <c r="A12323"/>
    </row>
    <row r="12324" spans="1:1" x14ac:dyDescent="0.35">
      <c r="A12324"/>
    </row>
    <row r="12325" spans="1:1" x14ac:dyDescent="0.35">
      <c r="A12325"/>
    </row>
    <row r="12326" spans="1:1" x14ac:dyDescent="0.35">
      <c r="A12326"/>
    </row>
    <row r="12327" spans="1:1" x14ac:dyDescent="0.35">
      <c r="A12327"/>
    </row>
    <row r="12328" spans="1:1" x14ac:dyDescent="0.35">
      <c r="A12328"/>
    </row>
    <row r="12329" spans="1:1" x14ac:dyDescent="0.35">
      <c r="A12329"/>
    </row>
    <row r="12330" spans="1:1" x14ac:dyDescent="0.35">
      <c r="A12330"/>
    </row>
    <row r="12331" spans="1:1" x14ac:dyDescent="0.35">
      <c r="A12331"/>
    </row>
    <row r="12332" spans="1:1" x14ac:dyDescent="0.35">
      <c r="A12332"/>
    </row>
    <row r="12333" spans="1:1" x14ac:dyDescent="0.35">
      <c r="A12333"/>
    </row>
    <row r="12334" spans="1:1" x14ac:dyDescent="0.35">
      <c r="A12334"/>
    </row>
    <row r="12335" spans="1:1" x14ac:dyDescent="0.35">
      <c r="A12335"/>
    </row>
    <row r="12336" spans="1:1" x14ac:dyDescent="0.35">
      <c r="A12336"/>
    </row>
    <row r="12337" spans="1:1" x14ac:dyDescent="0.35">
      <c r="A12337"/>
    </row>
    <row r="12338" spans="1:1" x14ac:dyDescent="0.35">
      <c r="A12338"/>
    </row>
    <row r="12339" spans="1:1" x14ac:dyDescent="0.35">
      <c r="A12339"/>
    </row>
    <row r="12340" spans="1:1" x14ac:dyDescent="0.35">
      <c r="A12340"/>
    </row>
    <row r="12341" spans="1:1" x14ac:dyDescent="0.35">
      <c r="A12341"/>
    </row>
    <row r="12342" spans="1:1" x14ac:dyDescent="0.35">
      <c r="A12342"/>
    </row>
    <row r="12343" spans="1:1" x14ac:dyDescent="0.35">
      <c r="A12343"/>
    </row>
    <row r="12344" spans="1:1" x14ac:dyDescent="0.35">
      <c r="A12344"/>
    </row>
    <row r="12345" spans="1:1" x14ac:dyDescent="0.35">
      <c r="A12345"/>
    </row>
    <row r="12346" spans="1:1" x14ac:dyDescent="0.35">
      <c r="A12346"/>
    </row>
    <row r="12347" spans="1:1" x14ac:dyDescent="0.35">
      <c r="A12347"/>
    </row>
    <row r="12348" spans="1:1" x14ac:dyDescent="0.35">
      <c r="A12348"/>
    </row>
    <row r="12349" spans="1:1" x14ac:dyDescent="0.35">
      <c r="A12349"/>
    </row>
    <row r="12350" spans="1:1" x14ac:dyDescent="0.35">
      <c r="A12350"/>
    </row>
    <row r="12351" spans="1:1" x14ac:dyDescent="0.35">
      <c r="A12351"/>
    </row>
    <row r="12352" spans="1:1" x14ac:dyDescent="0.35">
      <c r="A12352"/>
    </row>
    <row r="12353" spans="1:1" x14ac:dyDescent="0.35">
      <c r="A12353"/>
    </row>
    <row r="12354" spans="1:1" x14ac:dyDescent="0.35">
      <c r="A12354"/>
    </row>
    <row r="12355" spans="1:1" x14ac:dyDescent="0.35">
      <c r="A12355"/>
    </row>
    <row r="12356" spans="1:1" x14ac:dyDescent="0.35">
      <c r="A12356"/>
    </row>
    <row r="12357" spans="1:1" x14ac:dyDescent="0.35">
      <c r="A12357"/>
    </row>
    <row r="12358" spans="1:1" x14ac:dyDescent="0.35">
      <c r="A12358"/>
    </row>
    <row r="12359" spans="1:1" x14ac:dyDescent="0.35">
      <c r="A12359"/>
    </row>
    <row r="12360" spans="1:1" x14ac:dyDescent="0.35">
      <c r="A12360"/>
    </row>
    <row r="12361" spans="1:1" x14ac:dyDescent="0.35">
      <c r="A12361"/>
    </row>
    <row r="12362" spans="1:1" x14ac:dyDescent="0.35">
      <c r="A12362"/>
    </row>
    <row r="12363" spans="1:1" x14ac:dyDescent="0.35">
      <c r="A12363"/>
    </row>
    <row r="12364" spans="1:1" x14ac:dyDescent="0.35">
      <c r="A12364"/>
    </row>
    <row r="12365" spans="1:1" x14ac:dyDescent="0.35">
      <c r="A12365"/>
    </row>
    <row r="12366" spans="1:1" x14ac:dyDescent="0.35">
      <c r="A12366"/>
    </row>
    <row r="12367" spans="1:1" x14ac:dyDescent="0.35">
      <c r="A12367"/>
    </row>
    <row r="12368" spans="1:1" x14ac:dyDescent="0.35">
      <c r="A12368"/>
    </row>
    <row r="12369" spans="1:1" x14ac:dyDescent="0.35">
      <c r="A12369"/>
    </row>
    <row r="12370" spans="1:1" x14ac:dyDescent="0.35">
      <c r="A12370"/>
    </row>
    <row r="12371" spans="1:1" x14ac:dyDescent="0.35">
      <c r="A12371"/>
    </row>
    <row r="12372" spans="1:1" x14ac:dyDescent="0.35">
      <c r="A12372"/>
    </row>
    <row r="12373" spans="1:1" x14ac:dyDescent="0.35">
      <c r="A12373"/>
    </row>
    <row r="12374" spans="1:1" x14ac:dyDescent="0.35">
      <c r="A12374"/>
    </row>
    <row r="12375" spans="1:1" x14ac:dyDescent="0.35">
      <c r="A12375"/>
    </row>
    <row r="12376" spans="1:1" x14ac:dyDescent="0.35">
      <c r="A12376"/>
    </row>
    <row r="12377" spans="1:1" x14ac:dyDescent="0.35">
      <c r="A12377"/>
    </row>
    <row r="12378" spans="1:1" x14ac:dyDescent="0.35">
      <c r="A12378"/>
    </row>
    <row r="12379" spans="1:1" x14ac:dyDescent="0.35">
      <c r="A12379"/>
    </row>
    <row r="12380" spans="1:1" x14ac:dyDescent="0.35">
      <c r="A12380"/>
    </row>
    <row r="12381" spans="1:1" x14ac:dyDescent="0.35">
      <c r="A12381"/>
    </row>
    <row r="12382" spans="1:1" x14ac:dyDescent="0.35">
      <c r="A12382"/>
    </row>
    <row r="12383" spans="1:1" x14ac:dyDescent="0.35">
      <c r="A12383"/>
    </row>
    <row r="12384" spans="1:1" x14ac:dyDescent="0.35">
      <c r="A12384"/>
    </row>
    <row r="12385" spans="1:1" x14ac:dyDescent="0.35">
      <c r="A12385"/>
    </row>
    <row r="12386" spans="1:1" x14ac:dyDescent="0.35">
      <c r="A12386"/>
    </row>
    <row r="12387" spans="1:1" x14ac:dyDescent="0.35">
      <c r="A12387"/>
    </row>
    <row r="12388" spans="1:1" x14ac:dyDescent="0.35">
      <c r="A12388"/>
    </row>
    <row r="12389" spans="1:1" x14ac:dyDescent="0.35">
      <c r="A12389"/>
    </row>
    <row r="12390" spans="1:1" x14ac:dyDescent="0.35">
      <c r="A12390"/>
    </row>
    <row r="12391" spans="1:1" x14ac:dyDescent="0.35">
      <c r="A12391"/>
    </row>
    <row r="12392" spans="1:1" x14ac:dyDescent="0.35">
      <c r="A12392"/>
    </row>
    <row r="12393" spans="1:1" x14ac:dyDescent="0.35">
      <c r="A12393"/>
    </row>
    <row r="12394" spans="1:1" x14ac:dyDescent="0.35">
      <c r="A12394"/>
    </row>
    <row r="12395" spans="1:1" x14ac:dyDescent="0.35">
      <c r="A12395"/>
    </row>
    <row r="12396" spans="1:1" x14ac:dyDescent="0.35">
      <c r="A12396"/>
    </row>
    <row r="12397" spans="1:1" x14ac:dyDescent="0.35">
      <c r="A12397"/>
    </row>
    <row r="12398" spans="1:1" x14ac:dyDescent="0.35">
      <c r="A12398"/>
    </row>
    <row r="12399" spans="1:1" x14ac:dyDescent="0.35">
      <c r="A12399"/>
    </row>
    <row r="12400" spans="1:1" x14ac:dyDescent="0.35">
      <c r="A12400"/>
    </row>
    <row r="12401" spans="1:1" x14ac:dyDescent="0.35">
      <c r="A12401"/>
    </row>
    <row r="12402" spans="1:1" x14ac:dyDescent="0.35">
      <c r="A12402"/>
    </row>
    <row r="12403" spans="1:1" x14ac:dyDescent="0.35">
      <c r="A12403"/>
    </row>
    <row r="12404" spans="1:1" x14ac:dyDescent="0.35">
      <c r="A12404"/>
    </row>
    <row r="12405" spans="1:1" x14ac:dyDescent="0.35">
      <c r="A12405"/>
    </row>
    <row r="12406" spans="1:1" x14ac:dyDescent="0.35">
      <c r="A12406"/>
    </row>
    <row r="12407" spans="1:1" x14ac:dyDescent="0.35">
      <c r="A12407"/>
    </row>
    <row r="12408" spans="1:1" x14ac:dyDescent="0.35">
      <c r="A12408"/>
    </row>
    <row r="12409" spans="1:1" x14ac:dyDescent="0.35">
      <c r="A12409"/>
    </row>
    <row r="12410" spans="1:1" x14ac:dyDescent="0.35">
      <c r="A12410"/>
    </row>
    <row r="12411" spans="1:1" x14ac:dyDescent="0.35">
      <c r="A12411"/>
    </row>
    <row r="12412" spans="1:1" x14ac:dyDescent="0.35">
      <c r="A12412"/>
    </row>
    <row r="12413" spans="1:1" x14ac:dyDescent="0.35">
      <c r="A12413"/>
    </row>
    <row r="12414" spans="1:1" x14ac:dyDescent="0.35">
      <c r="A12414"/>
    </row>
    <row r="12415" spans="1:1" x14ac:dyDescent="0.35">
      <c r="A12415"/>
    </row>
    <row r="12416" spans="1:1" x14ac:dyDescent="0.35">
      <c r="A12416"/>
    </row>
    <row r="12417" spans="1:1" x14ac:dyDescent="0.35">
      <c r="A12417"/>
    </row>
    <row r="12418" spans="1:1" x14ac:dyDescent="0.35">
      <c r="A12418"/>
    </row>
    <row r="12419" spans="1:1" x14ac:dyDescent="0.35">
      <c r="A12419"/>
    </row>
    <row r="12420" spans="1:1" x14ac:dyDescent="0.35">
      <c r="A12420"/>
    </row>
    <row r="12421" spans="1:1" x14ac:dyDescent="0.35">
      <c r="A12421"/>
    </row>
    <row r="12422" spans="1:1" x14ac:dyDescent="0.35">
      <c r="A12422"/>
    </row>
    <row r="12423" spans="1:1" x14ac:dyDescent="0.35">
      <c r="A12423"/>
    </row>
    <row r="12424" spans="1:1" x14ac:dyDescent="0.35">
      <c r="A12424"/>
    </row>
    <row r="12425" spans="1:1" x14ac:dyDescent="0.35">
      <c r="A12425"/>
    </row>
    <row r="12426" spans="1:1" x14ac:dyDescent="0.35">
      <c r="A12426"/>
    </row>
    <row r="12427" spans="1:1" x14ac:dyDescent="0.35">
      <c r="A12427"/>
    </row>
    <row r="12428" spans="1:1" x14ac:dyDescent="0.35">
      <c r="A12428"/>
    </row>
    <row r="12429" spans="1:1" x14ac:dyDescent="0.35">
      <c r="A12429"/>
    </row>
    <row r="12430" spans="1:1" x14ac:dyDescent="0.35">
      <c r="A12430"/>
    </row>
    <row r="12431" spans="1:1" x14ac:dyDescent="0.35">
      <c r="A12431"/>
    </row>
    <row r="12432" spans="1:1" x14ac:dyDescent="0.35">
      <c r="A12432"/>
    </row>
    <row r="12433" spans="1:1" x14ac:dyDescent="0.35">
      <c r="A12433"/>
    </row>
    <row r="12434" spans="1:1" x14ac:dyDescent="0.35">
      <c r="A12434"/>
    </row>
    <row r="12435" spans="1:1" x14ac:dyDescent="0.35">
      <c r="A12435"/>
    </row>
    <row r="12436" spans="1:1" x14ac:dyDescent="0.35">
      <c r="A12436"/>
    </row>
    <row r="12437" spans="1:1" x14ac:dyDescent="0.35">
      <c r="A12437"/>
    </row>
    <row r="12438" spans="1:1" x14ac:dyDescent="0.35">
      <c r="A12438"/>
    </row>
    <row r="12439" spans="1:1" x14ac:dyDescent="0.35">
      <c r="A12439"/>
    </row>
    <row r="12440" spans="1:1" x14ac:dyDescent="0.35">
      <c r="A12440"/>
    </row>
    <row r="12441" spans="1:1" x14ac:dyDescent="0.35">
      <c r="A12441"/>
    </row>
    <row r="12442" spans="1:1" x14ac:dyDescent="0.35">
      <c r="A12442"/>
    </row>
    <row r="12443" spans="1:1" x14ac:dyDescent="0.35">
      <c r="A12443"/>
    </row>
    <row r="12444" spans="1:1" x14ac:dyDescent="0.35">
      <c r="A12444"/>
    </row>
    <row r="12445" spans="1:1" x14ac:dyDescent="0.35">
      <c r="A12445"/>
    </row>
    <row r="12446" spans="1:1" x14ac:dyDescent="0.35">
      <c r="A12446"/>
    </row>
    <row r="12447" spans="1:1" x14ac:dyDescent="0.35">
      <c r="A12447"/>
    </row>
    <row r="12448" spans="1:1" x14ac:dyDescent="0.35">
      <c r="A12448"/>
    </row>
    <row r="12449" spans="1:1" x14ac:dyDescent="0.35">
      <c r="A12449"/>
    </row>
    <row r="12450" spans="1:1" x14ac:dyDescent="0.35">
      <c r="A12450"/>
    </row>
    <row r="12451" spans="1:1" x14ac:dyDescent="0.35">
      <c r="A12451"/>
    </row>
    <row r="12452" spans="1:1" x14ac:dyDescent="0.35">
      <c r="A12452"/>
    </row>
    <row r="12453" spans="1:1" x14ac:dyDescent="0.35">
      <c r="A12453"/>
    </row>
    <row r="12454" spans="1:1" x14ac:dyDescent="0.35">
      <c r="A12454"/>
    </row>
    <row r="12455" spans="1:1" x14ac:dyDescent="0.35">
      <c r="A12455"/>
    </row>
    <row r="12456" spans="1:1" x14ac:dyDescent="0.35">
      <c r="A12456"/>
    </row>
    <row r="12457" spans="1:1" x14ac:dyDescent="0.35">
      <c r="A12457"/>
    </row>
    <row r="12458" spans="1:1" x14ac:dyDescent="0.35">
      <c r="A12458"/>
    </row>
    <row r="12459" spans="1:1" x14ac:dyDescent="0.35">
      <c r="A12459"/>
    </row>
    <row r="12460" spans="1:1" x14ac:dyDescent="0.35">
      <c r="A12460"/>
    </row>
    <row r="12461" spans="1:1" x14ac:dyDescent="0.35">
      <c r="A12461"/>
    </row>
    <row r="12462" spans="1:1" x14ac:dyDescent="0.35">
      <c r="A12462"/>
    </row>
    <row r="12463" spans="1:1" x14ac:dyDescent="0.35">
      <c r="A12463"/>
    </row>
    <row r="12464" spans="1:1" x14ac:dyDescent="0.35">
      <c r="A12464"/>
    </row>
    <row r="12465" spans="1:1" x14ac:dyDescent="0.35">
      <c r="A12465"/>
    </row>
    <row r="12466" spans="1:1" x14ac:dyDescent="0.35">
      <c r="A12466"/>
    </row>
    <row r="12467" spans="1:1" x14ac:dyDescent="0.35">
      <c r="A12467"/>
    </row>
    <row r="12468" spans="1:1" x14ac:dyDescent="0.35">
      <c r="A12468"/>
    </row>
    <row r="12469" spans="1:1" x14ac:dyDescent="0.35">
      <c r="A12469"/>
    </row>
    <row r="12470" spans="1:1" x14ac:dyDescent="0.35">
      <c r="A12470"/>
    </row>
    <row r="12471" spans="1:1" x14ac:dyDescent="0.35">
      <c r="A12471"/>
    </row>
    <row r="12472" spans="1:1" x14ac:dyDescent="0.35">
      <c r="A12472"/>
    </row>
    <row r="12473" spans="1:1" x14ac:dyDescent="0.35">
      <c r="A12473"/>
    </row>
    <row r="12474" spans="1:1" x14ac:dyDescent="0.35">
      <c r="A12474"/>
    </row>
    <row r="12475" spans="1:1" x14ac:dyDescent="0.35">
      <c r="A12475"/>
    </row>
    <row r="12476" spans="1:1" x14ac:dyDescent="0.35">
      <c r="A12476"/>
    </row>
    <row r="12477" spans="1:1" x14ac:dyDescent="0.35">
      <c r="A12477"/>
    </row>
    <row r="12478" spans="1:1" x14ac:dyDescent="0.35">
      <c r="A12478"/>
    </row>
    <row r="12479" spans="1:1" x14ac:dyDescent="0.35">
      <c r="A12479"/>
    </row>
    <row r="12480" spans="1:1" x14ac:dyDescent="0.35">
      <c r="A12480"/>
    </row>
    <row r="12481" spans="1:1" x14ac:dyDescent="0.35">
      <c r="A12481"/>
    </row>
    <row r="12482" spans="1:1" x14ac:dyDescent="0.35">
      <c r="A12482"/>
    </row>
    <row r="12483" spans="1:1" x14ac:dyDescent="0.35">
      <c r="A12483"/>
    </row>
    <row r="12484" spans="1:1" x14ac:dyDescent="0.35">
      <c r="A12484"/>
    </row>
    <row r="12485" spans="1:1" x14ac:dyDescent="0.35">
      <c r="A12485"/>
    </row>
    <row r="12486" spans="1:1" x14ac:dyDescent="0.35">
      <c r="A12486"/>
    </row>
    <row r="12487" spans="1:1" x14ac:dyDescent="0.35">
      <c r="A12487"/>
    </row>
    <row r="12488" spans="1:1" x14ac:dyDescent="0.35">
      <c r="A12488"/>
    </row>
    <row r="12489" spans="1:1" x14ac:dyDescent="0.35">
      <c r="A12489"/>
    </row>
    <row r="12490" spans="1:1" x14ac:dyDescent="0.35">
      <c r="A12490"/>
    </row>
    <row r="12491" spans="1:1" x14ac:dyDescent="0.35">
      <c r="A12491"/>
    </row>
    <row r="12492" spans="1:1" x14ac:dyDescent="0.35">
      <c r="A12492"/>
    </row>
    <row r="12493" spans="1:1" x14ac:dyDescent="0.35">
      <c r="A12493"/>
    </row>
    <row r="12494" spans="1:1" x14ac:dyDescent="0.35">
      <c r="A12494"/>
    </row>
    <row r="12495" spans="1:1" x14ac:dyDescent="0.35">
      <c r="A12495"/>
    </row>
    <row r="12496" spans="1:1" x14ac:dyDescent="0.35">
      <c r="A12496"/>
    </row>
    <row r="12497" spans="1:1" x14ac:dyDescent="0.35">
      <c r="A12497"/>
    </row>
    <row r="12498" spans="1:1" x14ac:dyDescent="0.35">
      <c r="A12498"/>
    </row>
    <row r="12499" spans="1:1" x14ac:dyDescent="0.35">
      <c r="A12499"/>
    </row>
    <row r="12500" spans="1:1" x14ac:dyDescent="0.35">
      <c r="A12500"/>
    </row>
    <row r="12501" spans="1:1" x14ac:dyDescent="0.35">
      <c r="A12501"/>
    </row>
    <row r="12502" spans="1:1" x14ac:dyDescent="0.35">
      <c r="A12502"/>
    </row>
    <row r="12503" spans="1:1" x14ac:dyDescent="0.35">
      <c r="A12503"/>
    </row>
    <row r="12504" spans="1:1" x14ac:dyDescent="0.35">
      <c r="A12504"/>
    </row>
    <row r="12505" spans="1:1" x14ac:dyDescent="0.35">
      <c r="A12505"/>
    </row>
    <row r="12506" spans="1:1" x14ac:dyDescent="0.35">
      <c r="A12506"/>
    </row>
    <row r="12507" spans="1:1" x14ac:dyDescent="0.35">
      <c r="A12507"/>
    </row>
    <row r="12508" spans="1:1" x14ac:dyDescent="0.35">
      <c r="A12508"/>
    </row>
    <row r="12509" spans="1:1" x14ac:dyDescent="0.35">
      <c r="A12509"/>
    </row>
    <row r="12510" spans="1:1" x14ac:dyDescent="0.35">
      <c r="A12510"/>
    </row>
    <row r="12511" spans="1:1" x14ac:dyDescent="0.35">
      <c r="A12511"/>
    </row>
    <row r="12512" spans="1:1" x14ac:dyDescent="0.35">
      <c r="A12512"/>
    </row>
    <row r="12513" spans="1:1" x14ac:dyDescent="0.35">
      <c r="A12513"/>
    </row>
    <row r="12514" spans="1:1" x14ac:dyDescent="0.35">
      <c r="A12514"/>
    </row>
    <row r="12515" spans="1:1" x14ac:dyDescent="0.35">
      <c r="A12515"/>
    </row>
    <row r="12516" spans="1:1" x14ac:dyDescent="0.35">
      <c r="A12516"/>
    </row>
    <row r="12517" spans="1:1" x14ac:dyDescent="0.35">
      <c r="A12517"/>
    </row>
    <row r="12518" spans="1:1" x14ac:dyDescent="0.35">
      <c r="A12518"/>
    </row>
    <row r="12519" spans="1:1" x14ac:dyDescent="0.35">
      <c r="A12519"/>
    </row>
    <row r="12520" spans="1:1" x14ac:dyDescent="0.35">
      <c r="A12520"/>
    </row>
    <row r="12521" spans="1:1" x14ac:dyDescent="0.35">
      <c r="A12521"/>
    </row>
    <row r="12522" spans="1:1" x14ac:dyDescent="0.35">
      <c r="A12522"/>
    </row>
    <row r="12523" spans="1:1" x14ac:dyDescent="0.35">
      <c r="A12523"/>
    </row>
    <row r="12524" spans="1:1" x14ac:dyDescent="0.35">
      <c r="A12524"/>
    </row>
    <row r="12525" spans="1:1" x14ac:dyDescent="0.35">
      <c r="A12525"/>
    </row>
    <row r="12526" spans="1:1" x14ac:dyDescent="0.35">
      <c r="A12526"/>
    </row>
    <row r="12527" spans="1:1" x14ac:dyDescent="0.35">
      <c r="A12527"/>
    </row>
    <row r="12528" spans="1:1" x14ac:dyDescent="0.35">
      <c r="A12528"/>
    </row>
    <row r="12529" spans="1:1" x14ac:dyDescent="0.35">
      <c r="A12529"/>
    </row>
    <row r="12530" spans="1:1" x14ac:dyDescent="0.35">
      <c r="A12530"/>
    </row>
    <row r="12531" spans="1:1" x14ac:dyDescent="0.35">
      <c r="A12531"/>
    </row>
    <row r="12532" spans="1:1" x14ac:dyDescent="0.35">
      <c r="A12532"/>
    </row>
    <row r="12533" spans="1:1" x14ac:dyDescent="0.35">
      <c r="A12533"/>
    </row>
    <row r="12534" spans="1:1" x14ac:dyDescent="0.35">
      <c r="A12534"/>
    </row>
    <row r="12535" spans="1:1" x14ac:dyDescent="0.35">
      <c r="A12535"/>
    </row>
    <row r="12536" spans="1:1" x14ac:dyDescent="0.35">
      <c r="A12536"/>
    </row>
    <row r="12537" spans="1:1" x14ac:dyDescent="0.35">
      <c r="A12537"/>
    </row>
    <row r="12538" spans="1:1" x14ac:dyDescent="0.35">
      <c r="A12538"/>
    </row>
    <row r="12539" spans="1:1" x14ac:dyDescent="0.35">
      <c r="A12539"/>
    </row>
    <row r="12540" spans="1:1" x14ac:dyDescent="0.35">
      <c r="A12540"/>
    </row>
    <row r="12541" spans="1:1" x14ac:dyDescent="0.35">
      <c r="A12541"/>
    </row>
    <row r="12542" spans="1:1" x14ac:dyDescent="0.35">
      <c r="A12542"/>
    </row>
    <row r="12543" spans="1:1" x14ac:dyDescent="0.35">
      <c r="A12543"/>
    </row>
    <row r="12544" spans="1:1" x14ac:dyDescent="0.35">
      <c r="A12544"/>
    </row>
    <row r="12545" spans="1:1" x14ac:dyDescent="0.35">
      <c r="A12545"/>
    </row>
    <row r="12546" spans="1:1" x14ac:dyDescent="0.35">
      <c r="A12546"/>
    </row>
    <row r="12547" spans="1:1" x14ac:dyDescent="0.35">
      <c r="A12547"/>
    </row>
    <row r="12548" spans="1:1" x14ac:dyDescent="0.35">
      <c r="A12548"/>
    </row>
    <row r="12549" spans="1:1" x14ac:dyDescent="0.35">
      <c r="A12549"/>
    </row>
    <row r="12550" spans="1:1" x14ac:dyDescent="0.35">
      <c r="A12550"/>
    </row>
    <row r="12551" spans="1:1" x14ac:dyDescent="0.35">
      <c r="A12551"/>
    </row>
    <row r="12552" spans="1:1" x14ac:dyDescent="0.35">
      <c r="A12552"/>
    </row>
    <row r="12553" spans="1:1" x14ac:dyDescent="0.35">
      <c r="A12553"/>
    </row>
    <row r="12554" spans="1:1" x14ac:dyDescent="0.35">
      <c r="A12554"/>
    </row>
    <row r="12555" spans="1:1" x14ac:dyDescent="0.35">
      <c r="A12555"/>
    </row>
    <row r="12556" spans="1:1" x14ac:dyDescent="0.35">
      <c r="A12556"/>
    </row>
    <row r="12557" spans="1:1" x14ac:dyDescent="0.35">
      <c r="A12557"/>
    </row>
    <row r="12558" spans="1:1" x14ac:dyDescent="0.35">
      <c r="A12558"/>
    </row>
    <row r="12559" spans="1:1" x14ac:dyDescent="0.35">
      <c r="A12559"/>
    </row>
    <row r="12560" spans="1:1" x14ac:dyDescent="0.35">
      <c r="A12560"/>
    </row>
    <row r="12561" spans="1:1" x14ac:dyDescent="0.35">
      <c r="A12561"/>
    </row>
    <row r="12562" spans="1:1" x14ac:dyDescent="0.35">
      <c r="A12562"/>
    </row>
    <row r="12563" spans="1:1" x14ac:dyDescent="0.35">
      <c r="A12563"/>
    </row>
    <row r="12564" spans="1:1" x14ac:dyDescent="0.35">
      <c r="A12564"/>
    </row>
    <row r="12565" spans="1:1" x14ac:dyDescent="0.35">
      <c r="A12565"/>
    </row>
    <row r="12566" spans="1:1" x14ac:dyDescent="0.35">
      <c r="A12566"/>
    </row>
    <row r="12567" spans="1:1" x14ac:dyDescent="0.35">
      <c r="A12567"/>
    </row>
    <row r="12568" spans="1:1" x14ac:dyDescent="0.35">
      <c r="A12568"/>
    </row>
    <row r="12569" spans="1:1" x14ac:dyDescent="0.35">
      <c r="A12569"/>
    </row>
    <row r="12570" spans="1:1" x14ac:dyDescent="0.35">
      <c r="A12570"/>
    </row>
    <row r="12571" spans="1:1" x14ac:dyDescent="0.35">
      <c r="A12571"/>
    </row>
    <row r="12572" spans="1:1" x14ac:dyDescent="0.35">
      <c r="A12572"/>
    </row>
    <row r="12573" spans="1:1" x14ac:dyDescent="0.35">
      <c r="A12573"/>
    </row>
    <row r="12574" spans="1:1" x14ac:dyDescent="0.35">
      <c r="A12574"/>
    </row>
    <row r="12575" spans="1:1" x14ac:dyDescent="0.35">
      <c r="A12575"/>
    </row>
    <row r="12576" spans="1:1" x14ac:dyDescent="0.35">
      <c r="A12576"/>
    </row>
    <row r="12577" spans="1:1" x14ac:dyDescent="0.35">
      <c r="A12577"/>
    </row>
    <row r="12578" spans="1:1" x14ac:dyDescent="0.35">
      <c r="A12578"/>
    </row>
    <row r="12579" spans="1:1" x14ac:dyDescent="0.35">
      <c r="A12579"/>
    </row>
    <row r="12580" spans="1:1" x14ac:dyDescent="0.35">
      <c r="A12580"/>
    </row>
    <row r="12581" spans="1:1" x14ac:dyDescent="0.35">
      <c r="A12581"/>
    </row>
    <row r="12582" spans="1:1" x14ac:dyDescent="0.35">
      <c r="A12582"/>
    </row>
    <row r="12583" spans="1:1" x14ac:dyDescent="0.35">
      <c r="A12583"/>
    </row>
    <row r="12584" spans="1:1" x14ac:dyDescent="0.35">
      <c r="A12584"/>
    </row>
    <row r="12585" spans="1:1" x14ac:dyDescent="0.35">
      <c r="A12585"/>
    </row>
    <row r="12586" spans="1:1" x14ac:dyDescent="0.35">
      <c r="A12586"/>
    </row>
    <row r="12587" spans="1:1" x14ac:dyDescent="0.35">
      <c r="A12587"/>
    </row>
    <row r="12588" spans="1:1" x14ac:dyDescent="0.35">
      <c r="A12588"/>
    </row>
    <row r="12589" spans="1:1" x14ac:dyDescent="0.35">
      <c r="A12589"/>
    </row>
    <row r="12590" spans="1:1" x14ac:dyDescent="0.35">
      <c r="A12590"/>
    </row>
    <row r="12591" spans="1:1" x14ac:dyDescent="0.35">
      <c r="A12591"/>
    </row>
    <row r="12592" spans="1:1" x14ac:dyDescent="0.35">
      <c r="A12592"/>
    </row>
    <row r="12593" spans="1:1" x14ac:dyDescent="0.35">
      <c r="A12593"/>
    </row>
    <row r="12594" spans="1:1" x14ac:dyDescent="0.35">
      <c r="A12594"/>
    </row>
    <row r="12595" spans="1:1" x14ac:dyDescent="0.35">
      <c r="A12595"/>
    </row>
    <row r="12596" spans="1:1" x14ac:dyDescent="0.35">
      <c r="A12596"/>
    </row>
    <row r="12597" spans="1:1" x14ac:dyDescent="0.35">
      <c r="A12597"/>
    </row>
    <row r="12598" spans="1:1" x14ac:dyDescent="0.35">
      <c r="A12598"/>
    </row>
    <row r="12599" spans="1:1" x14ac:dyDescent="0.35">
      <c r="A12599"/>
    </row>
    <row r="12600" spans="1:1" x14ac:dyDescent="0.35">
      <c r="A12600"/>
    </row>
    <row r="12601" spans="1:1" x14ac:dyDescent="0.35">
      <c r="A12601"/>
    </row>
    <row r="12602" spans="1:1" x14ac:dyDescent="0.35">
      <c r="A12602"/>
    </row>
    <row r="12603" spans="1:1" x14ac:dyDescent="0.35">
      <c r="A12603"/>
    </row>
    <row r="12604" spans="1:1" x14ac:dyDescent="0.35">
      <c r="A12604"/>
    </row>
    <row r="12605" spans="1:1" x14ac:dyDescent="0.35">
      <c r="A12605"/>
    </row>
    <row r="12606" spans="1:1" x14ac:dyDescent="0.35">
      <c r="A12606"/>
    </row>
    <row r="12607" spans="1:1" x14ac:dyDescent="0.35">
      <c r="A12607"/>
    </row>
    <row r="12608" spans="1:1" x14ac:dyDescent="0.35">
      <c r="A12608"/>
    </row>
    <row r="12609" spans="1:1" x14ac:dyDescent="0.35">
      <c r="A12609"/>
    </row>
    <row r="12610" spans="1:1" x14ac:dyDescent="0.35">
      <c r="A12610"/>
    </row>
    <row r="12611" spans="1:1" x14ac:dyDescent="0.35">
      <c r="A12611"/>
    </row>
    <row r="12612" spans="1:1" x14ac:dyDescent="0.35">
      <c r="A12612"/>
    </row>
    <row r="12613" spans="1:1" x14ac:dyDescent="0.35">
      <c r="A12613"/>
    </row>
    <row r="12614" spans="1:1" x14ac:dyDescent="0.35">
      <c r="A12614"/>
    </row>
    <row r="12615" spans="1:1" x14ac:dyDescent="0.35">
      <c r="A12615"/>
    </row>
    <row r="12616" spans="1:1" x14ac:dyDescent="0.35">
      <c r="A12616"/>
    </row>
    <row r="12617" spans="1:1" x14ac:dyDescent="0.35">
      <c r="A12617"/>
    </row>
    <row r="12618" spans="1:1" x14ac:dyDescent="0.35">
      <c r="A12618"/>
    </row>
    <row r="12619" spans="1:1" x14ac:dyDescent="0.35">
      <c r="A12619"/>
    </row>
    <row r="12620" spans="1:1" x14ac:dyDescent="0.35">
      <c r="A12620"/>
    </row>
    <row r="12621" spans="1:1" x14ac:dyDescent="0.35">
      <c r="A12621"/>
    </row>
    <row r="12622" spans="1:1" x14ac:dyDescent="0.35">
      <c r="A12622"/>
    </row>
    <row r="12623" spans="1:1" x14ac:dyDescent="0.35">
      <c r="A12623"/>
    </row>
    <row r="12624" spans="1:1" x14ac:dyDescent="0.35">
      <c r="A12624"/>
    </row>
    <row r="12625" spans="1:1" x14ac:dyDescent="0.35">
      <c r="A12625"/>
    </row>
    <row r="12626" spans="1:1" x14ac:dyDescent="0.35">
      <c r="A12626"/>
    </row>
    <row r="12627" spans="1:1" x14ac:dyDescent="0.35">
      <c r="A12627"/>
    </row>
    <row r="12628" spans="1:1" x14ac:dyDescent="0.35">
      <c r="A12628"/>
    </row>
    <row r="12629" spans="1:1" x14ac:dyDescent="0.35">
      <c r="A12629"/>
    </row>
    <row r="12630" spans="1:1" x14ac:dyDescent="0.35">
      <c r="A12630"/>
    </row>
    <row r="12631" spans="1:1" x14ac:dyDescent="0.35">
      <c r="A12631"/>
    </row>
    <row r="12632" spans="1:1" x14ac:dyDescent="0.35">
      <c r="A12632"/>
    </row>
    <row r="12633" spans="1:1" x14ac:dyDescent="0.35">
      <c r="A12633"/>
    </row>
    <row r="12634" spans="1:1" x14ac:dyDescent="0.35">
      <c r="A12634"/>
    </row>
    <row r="12635" spans="1:1" x14ac:dyDescent="0.35">
      <c r="A12635"/>
    </row>
    <row r="12636" spans="1:1" x14ac:dyDescent="0.35">
      <c r="A12636"/>
    </row>
    <row r="12637" spans="1:1" x14ac:dyDescent="0.35">
      <c r="A12637"/>
    </row>
    <row r="12638" spans="1:1" x14ac:dyDescent="0.35">
      <c r="A12638"/>
    </row>
    <row r="12639" spans="1:1" x14ac:dyDescent="0.35">
      <c r="A12639"/>
    </row>
    <row r="12640" spans="1:1" x14ac:dyDescent="0.35">
      <c r="A12640"/>
    </row>
    <row r="12641" spans="1:1" x14ac:dyDescent="0.35">
      <c r="A12641"/>
    </row>
    <row r="12642" spans="1:1" x14ac:dyDescent="0.35">
      <c r="A12642"/>
    </row>
    <row r="12643" spans="1:1" x14ac:dyDescent="0.35">
      <c r="A12643"/>
    </row>
    <row r="12644" spans="1:1" x14ac:dyDescent="0.35">
      <c r="A12644"/>
    </row>
    <row r="12645" spans="1:1" x14ac:dyDescent="0.35">
      <c r="A12645"/>
    </row>
    <row r="12646" spans="1:1" x14ac:dyDescent="0.35">
      <c r="A12646"/>
    </row>
    <row r="12647" spans="1:1" x14ac:dyDescent="0.35">
      <c r="A12647"/>
    </row>
    <row r="12648" spans="1:1" x14ac:dyDescent="0.35">
      <c r="A12648"/>
    </row>
    <row r="12649" spans="1:1" x14ac:dyDescent="0.35">
      <c r="A12649"/>
    </row>
    <row r="12650" spans="1:1" x14ac:dyDescent="0.35">
      <c r="A12650"/>
    </row>
    <row r="12651" spans="1:1" x14ac:dyDescent="0.35">
      <c r="A12651"/>
    </row>
    <row r="12652" spans="1:1" x14ac:dyDescent="0.35">
      <c r="A12652"/>
    </row>
    <row r="12653" spans="1:1" x14ac:dyDescent="0.35">
      <c r="A12653"/>
    </row>
    <row r="12654" spans="1:1" x14ac:dyDescent="0.35">
      <c r="A12654"/>
    </row>
    <row r="12655" spans="1:1" x14ac:dyDescent="0.35">
      <c r="A12655"/>
    </row>
    <row r="12656" spans="1:1" x14ac:dyDescent="0.35">
      <c r="A12656"/>
    </row>
    <row r="12657" spans="1:1" x14ac:dyDescent="0.35">
      <c r="A12657"/>
    </row>
    <row r="12658" spans="1:1" x14ac:dyDescent="0.35">
      <c r="A12658"/>
    </row>
    <row r="12659" spans="1:1" x14ac:dyDescent="0.35">
      <c r="A12659"/>
    </row>
    <row r="12660" spans="1:1" x14ac:dyDescent="0.35">
      <c r="A12660"/>
    </row>
    <row r="12661" spans="1:1" x14ac:dyDescent="0.35">
      <c r="A12661"/>
    </row>
    <row r="12662" spans="1:1" x14ac:dyDescent="0.35">
      <c r="A12662"/>
    </row>
    <row r="12663" spans="1:1" x14ac:dyDescent="0.35">
      <c r="A12663"/>
    </row>
    <row r="12664" spans="1:1" x14ac:dyDescent="0.35">
      <c r="A12664"/>
    </row>
    <row r="12665" spans="1:1" x14ac:dyDescent="0.35">
      <c r="A12665"/>
    </row>
    <row r="12666" spans="1:1" x14ac:dyDescent="0.35">
      <c r="A12666"/>
    </row>
    <row r="12667" spans="1:1" x14ac:dyDescent="0.35">
      <c r="A12667"/>
    </row>
    <row r="12668" spans="1:1" x14ac:dyDescent="0.35">
      <c r="A12668"/>
    </row>
    <row r="12669" spans="1:1" x14ac:dyDescent="0.35">
      <c r="A12669"/>
    </row>
    <row r="12670" spans="1:1" x14ac:dyDescent="0.35">
      <c r="A12670"/>
    </row>
    <row r="12671" spans="1:1" x14ac:dyDescent="0.35">
      <c r="A12671"/>
    </row>
    <row r="12672" spans="1:1" x14ac:dyDescent="0.35">
      <c r="A12672"/>
    </row>
    <row r="12673" spans="1:1" x14ac:dyDescent="0.35">
      <c r="A12673"/>
    </row>
    <row r="12674" spans="1:1" x14ac:dyDescent="0.35">
      <c r="A12674"/>
    </row>
    <row r="12675" spans="1:1" x14ac:dyDescent="0.35">
      <c r="A12675"/>
    </row>
    <row r="12676" spans="1:1" x14ac:dyDescent="0.35">
      <c r="A12676"/>
    </row>
    <row r="12677" spans="1:1" x14ac:dyDescent="0.35">
      <c r="A12677"/>
    </row>
    <row r="12678" spans="1:1" x14ac:dyDescent="0.35">
      <c r="A12678"/>
    </row>
    <row r="12679" spans="1:1" x14ac:dyDescent="0.35">
      <c r="A12679"/>
    </row>
    <row r="12680" spans="1:1" x14ac:dyDescent="0.35">
      <c r="A12680"/>
    </row>
    <row r="12681" spans="1:1" x14ac:dyDescent="0.35">
      <c r="A12681"/>
    </row>
    <row r="12682" spans="1:1" x14ac:dyDescent="0.35">
      <c r="A12682"/>
    </row>
    <row r="12683" spans="1:1" x14ac:dyDescent="0.35">
      <c r="A12683"/>
    </row>
    <row r="12684" spans="1:1" x14ac:dyDescent="0.35">
      <c r="A12684"/>
    </row>
    <row r="12685" spans="1:1" x14ac:dyDescent="0.35">
      <c r="A12685"/>
    </row>
    <row r="12686" spans="1:1" x14ac:dyDescent="0.35">
      <c r="A12686"/>
    </row>
    <row r="12687" spans="1:1" x14ac:dyDescent="0.35">
      <c r="A12687"/>
    </row>
    <row r="12688" spans="1:1" x14ac:dyDescent="0.35">
      <c r="A12688"/>
    </row>
    <row r="12689" spans="1:1" x14ac:dyDescent="0.35">
      <c r="A12689"/>
    </row>
    <row r="12690" spans="1:1" x14ac:dyDescent="0.35">
      <c r="A12690"/>
    </row>
    <row r="12691" spans="1:1" x14ac:dyDescent="0.35">
      <c r="A12691"/>
    </row>
    <row r="12692" spans="1:1" x14ac:dyDescent="0.35">
      <c r="A12692"/>
    </row>
    <row r="12693" spans="1:1" x14ac:dyDescent="0.35">
      <c r="A12693"/>
    </row>
    <row r="12694" spans="1:1" x14ac:dyDescent="0.35">
      <c r="A12694"/>
    </row>
    <row r="12695" spans="1:1" x14ac:dyDescent="0.35">
      <c r="A12695"/>
    </row>
    <row r="12696" spans="1:1" x14ac:dyDescent="0.35">
      <c r="A12696"/>
    </row>
    <row r="12697" spans="1:1" x14ac:dyDescent="0.35">
      <c r="A12697"/>
    </row>
    <row r="12698" spans="1:1" x14ac:dyDescent="0.35">
      <c r="A12698"/>
    </row>
    <row r="12699" spans="1:1" x14ac:dyDescent="0.35">
      <c r="A12699"/>
    </row>
    <row r="12700" spans="1:1" x14ac:dyDescent="0.35">
      <c r="A12700"/>
    </row>
    <row r="12701" spans="1:1" x14ac:dyDescent="0.35">
      <c r="A12701"/>
    </row>
    <row r="12702" spans="1:1" x14ac:dyDescent="0.35">
      <c r="A12702"/>
    </row>
    <row r="12703" spans="1:1" x14ac:dyDescent="0.35">
      <c r="A12703"/>
    </row>
    <row r="12704" spans="1:1" x14ac:dyDescent="0.35">
      <c r="A12704"/>
    </row>
    <row r="12705" spans="1:1" x14ac:dyDescent="0.35">
      <c r="A12705"/>
    </row>
    <row r="12706" spans="1:1" x14ac:dyDescent="0.35">
      <c r="A12706"/>
    </row>
    <row r="12707" spans="1:1" x14ac:dyDescent="0.35">
      <c r="A12707"/>
    </row>
    <row r="12708" spans="1:1" x14ac:dyDescent="0.35">
      <c r="A12708"/>
    </row>
    <row r="12709" spans="1:1" x14ac:dyDescent="0.35">
      <c r="A12709"/>
    </row>
    <row r="12710" spans="1:1" x14ac:dyDescent="0.35">
      <c r="A12710"/>
    </row>
    <row r="12711" spans="1:1" x14ac:dyDescent="0.35">
      <c r="A12711"/>
    </row>
    <row r="12712" spans="1:1" x14ac:dyDescent="0.35">
      <c r="A12712"/>
    </row>
    <row r="12713" spans="1:1" x14ac:dyDescent="0.35">
      <c r="A12713"/>
    </row>
    <row r="12714" spans="1:1" x14ac:dyDescent="0.35">
      <c r="A12714"/>
    </row>
    <row r="12715" spans="1:1" x14ac:dyDescent="0.35">
      <c r="A12715"/>
    </row>
    <row r="12716" spans="1:1" x14ac:dyDescent="0.35">
      <c r="A12716"/>
    </row>
    <row r="12717" spans="1:1" x14ac:dyDescent="0.35">
      <c r="A12717"/>
    </row>
    <row r="12718" spans="1:1" x14ac:dyDescent="0.35">
      <c r="A12718"/>
    </row>
    <row r="12719" spans="1:1" x14ac:dyDescent="0.35">
      <c r="A12719"/>
    </row>
    <row r="12720" spans="1:1" x14ac:dyDescent="0.35">
      <c r="A12720"/>
    </row>
    <row r="12721" spans="1:1" x14ac:dyDescent="0.35">
      <c r="A12721"/>
    </row>
    <row r="12722" spans="1:1" x14ac:dyDescent="0.35">
      <c r="A12722"/>
    </row>
    <row r="12723" spans="1:1" x14ac:dyDescent="0.35">
      <c r="A12723"/>
    </row>
    <row r="12724" spans="1:1" x14ac:dyDescent="0.35">
      <c r="A12724"/>
    </row>
    <row r="12725" spans="1:1" x14ac:dyDescent="0.35">
      <c r="A12725"/>
    </row>
    <row r="12726" spans="1:1" x14ac:dyDescent="0.35">
      <c r="A12726"/>
    </row>
    <row r="12727" spans="1:1" x14ac:dyDescent="0.35">
      <c r="A12727"/>
    </row>
    <row r="12728" spans="1:1" x14ac:dyDescent="0.35">
      <c r="A12728"/>
    </row>
    <row r="12729" spans="1:1" x14ac:dyDescent="0.35">
      <c r="A12729"/>
    </row>
    <row r="12730" spans="1:1" x14ac:dyDescent="0.35">
      <c r="A12730"/>
    </row>
    <row r="12731" spans="1:1" x14ac:dyDescent="0.35">
      <c r="A12731"/>
    </row>
    <row r="12732" spans="1:1" x14ac:dyDescent="0.35">
      <c r="A12732"/>
    </row>
    <row r="12733" spans="1:1" x14ac:dyDescent="0.35">
      <c r="A12733"/>
    </row>
    <row r="12734" spans="1:1" x14ac:dyDescent="0.35">
      <c r="A12734"/>
    </row>
    <row r="12735" spans="1:1" x14ac:dyDescent="0.35">
      <c r="A12735"/>
    </row>
    <row r="12736" spans="1:1" x14ac:dyDescent="0.35">
      <c r="A12736"/>
    </row>
    <row r="12737" spans="1:1" x14ac:dyDescent="0.35">
      <c r="A12737"/>
    </row>
    <row r="12738" spans="1:1" x14ac:dyDescent="0.35">
      <c r="A12738"/>
    </row>
    <row r="12739" spans="1:1" x14ac:dyDescent="0.35">
      <c r="A12739"/>
    </row>
    <row r="12740" spans="1:1" x14ac:dyDescent="0.35">
      <c r="A12740"/>
    </row>
    <row r="12741" spans="1:1" x14ac:dyDescent="0.35">
      <c r="A12741"/>
    </row>
    <row r="12742" spans="1:1" x14ac:dyDescent="0.35">
      <c r="A12742"/>
    </row>
    <row r="12743" spans="1:1" x14ac:dyDescent="0.35">
      <c r="A12743"/>
    </row>
    <row r="12744" spans="1:1" x14ac:dyDescent="0.35">
      <c r="A12744"/>
    </row>
    <row r="12745" spans="1:1" x14ac:dyDescent="0.35">
      <c r="A12745"/>
    </row>
    <row r="12746" spans="1:1" x14ac:dyDescent="0.35">
      <c r="A12746"/>
    </row>
    <row r="12747" spans="1:1" x14ac:dyDescent="0.35">
      <c r="A12747"/>
    </row>
    <row r="12748" spans="1:1" x14ac:dyDescent="0.35">
      <c r="A12748"/>
    </row>
    <row r="12749" spans="1:1" x14ac:dyDescent="0.35">
      <c r="A12749"/>
    </row>
    <row r="12750" spans="1:1" x14ac:dyDescent="0.35">
      <c r="A12750"/>
    </row>
    <row r="12751" spans="1:1" x14ac:dyDescent="0.35">
      <c r="A12751"/>
    </row>
    <row r="12752" spans="1:1" x14ac:dyDescent="0.35">
      <c r="A12752"/>
    </row>
    <row r="12753" spans="1:1" x14ac:dyDescent="0.35">
      <c r="A12753"/>
    </row>
    <row r="12754" spans="1:1" x14ac:dyDescent="0.35">
      <c r="A12754"/>
    </row>
    <row r="12755" spans="1:1" x14ac:dyDescent="0.35">
      <c r="A12755"/>
    </row>
    <row r="12756" spans="1:1" x14ac:dyDescent="0.35">
      <c r="A12756"/>
    </row>
    <row r="12757" spans="1:1" x14ac:dyDescent="0.35">
      <c r="A12757"/>
    </row>
    <row r="12758" spans="1:1" x14ac:dyDescent="0.35">
      <c r="A12758"/>
    </row>
    <row r="12759" spans="1:1" x14ac:dyDescent="0.35">
      <c r="A12759"/>
    </row>
    <row r="12760" spans="1:1" x14ac:dyDescent="0.35">
      <c r="A12760"/>
    </row>
    <row r="12761" spans="1:1" x14ac:dyDescent="0.35">
      <c r="A12761"/>
    </row>
    <row r="12762" spans="1:1" x14ac:dyDescent="0.35">
      <c r="A12762"/>
    </row>
    <row r="12763" spans="1:1" x14ac:dyDescent="0.35">
      <c r="A12763"/>
    </row>
    <row r="12764" spans="1:1" x14ac:dyDescent="0.35">
      <c r="A12764"/>
    </row>
    <row r="12765" spans="1:1" x14ac:dyDescent="0.35">
      <c r="A12765"/>
    </row>
    <row r="12766" spans="1:1" x14ac:dyDescent="0.35">
      <c r="A12766"/>
    </row>
    <row r="12767" spans="1:1" x14ac:dyDescent="0.35">
      <c r="A12767"/>
    </row>
    <row r="12768" spans="1:1" x14ac:dyDescent="0.35">
      <c r="A12768"/>
    </row>
    <row r="12769" spans="1:1" x14ac:dyDescent="0.35">
      <c r="A12769"/>
    </row>
    <row r="12770" spans="1:1" x14ac:dyDescent="0.35">
      <c r="A12770"/>
    </row>
    <row r="12771" spans="1:1" x14ac:dyDescent="0.35">
      <c r="A12771"/>
    </row>
    <row r="12772" spans="1:1" x14ac:dyDescent="0.35">
      <c r="A12772"/>
    </row>
    <row r="12773" spans="1:1" x14ac:dyDescent="0.35">
      <c r="A12773"/>
    </row>
    <row r="12774" spans="1:1" x14ac:dyDescent="0.35">
      <c r="A12774"/>
    </row>
    <row r="12775" spans="1:1" x14ac:dyDescent="0.35">
      <c r="A12775"/>
    </row>
    <row r="12776" spans="1:1" x14ac:dyDescent="0.35">
      <c r="A12776"/>
    </row>
    <row r="12777" spans="1:1" x14ac:dyDescent="0.35">
      <c r="A12777"/>
    </row>
    <row r="12778" spans="1:1" x14ac:dyDescent="0.35">
      <c r="A12778"/>
    </row>
    <row r="12779" spans="1:1" x14ac:dyDescent="0.35">
      <c r="A12779"/>
    </row>
    <row r="12780" spans="1:1" x14ac:dyDescent="0.35">
      <c r="A12780"/>
    </row>
    <row r="12781" spans="1:1" x14ac:dyDescent="0.35">
      <c r="A12781"/>
    </row>
    <row r="12782" spans="1:1" x14ac:dyDescent="0.35">
      <c r="A12782"/>
    </row>
    <row r="12783" spans="1:1" x14ac:dyDescent="0.35">
      <c r="A12783"/>
    </row>
    <row r="12784" spans="1:1" x14ac:dyDescent="0.35">
      <c r="A12784"/>
    </row>
    <row r="12785" spans="1:1" x14ac:dyDescent="0.35">
      <c r="A12785"/>
    </row>
    <row r="12786" spans="1:1" x14ac:dyDescent="0.35">
      <c r="A12786"/>
    </row>
    <row r="12787" spans="1:1" x14ac:dyDescent="0.35">
      <c r="A12787"/>
    </row>
    <row r="12788" spans="1:1" x14ac:dyDescent="0.35">
      <c r="A12788"/>
    </row>
    <row r="12789" spans="1:1" x14ac:dyDescent="0.35">
      <c r="A12789"/>
    </row>
    <row r="12790" spans="1:1" x14ac:dyDescent="0.35">
      <c r="A12790"/>
    </row>
    <row r="12791" spans="1:1" x14ac:dyDescent="0.35">
      <c r="A12791"/>
    </row>
    <row r="12792" spans="1:1" x14ac:dyDescent="0.35">
      <c r="A12792"/>
    </row>
    <row r="12793" spans="1:1" x14ac:dyDescent="0.35">
      <c r="A12793"/>
    </row>
    <row r="12794" spans="1:1" x14ac:dyDescent="0.35">
      <c r="A12794"/>
    </row>
    <row r="12795" spans="1:1" x14ac:dyDescent="0.35">
      <c r="A12795"/>
    </row>
    <row r="12796" spans="1:1" x14ac:dyDescent="0.35">
      <c r="A12796"/>
    </row>
    <row r="12797" spans="1:1" x14ac:dyDescent="0.35">
      <c r="A12797"/>
    </row>
    <row r="12798" spans="1:1" x14ac:dyDescent="0.35">
      <c r="A12798"/>
    </row>
    <row r="12799" spans="1:1" x14ac:dyDescent="0.35">
      <c r="A12799"/>
    </row>
    <row r="12800" spans="1:1" x14ac:dyDescent="0.35">
      <c r="A12800"/>
    </row>
    <row r="12801" spans="1:1" x14ac:dyDescent="0.35">
      <c r="A12801"/>
    </row>
    <row r="12802" spans="1:1" x14ac:dyDescent="0.35">
      <c r="A12802"/>
    </row>
    <row r="12803" spans="1:1" x14ac:dyDescent="0.35">
      <c r="A12803"/>
    </row>
    <row r="12804" spans="1:1" x14ac:dyDescent="0.35">
      <c r="A12804"/>
    </row>
    <row r="12805" spans="1:1" x14ac:dyDescent="0.35">
      <c r="A12805"/>
    </row>
    <row r="12806" spans="1:1" x14ac:dyDescent="0.35">
      <c r="A12806"/>
    </row>
    <row r="12807" spans="1:1" x14ac:dyDescent="0.35">
      <c r="A12807"/>
    </row>
    <row r="12808" spans="1:1" x14ac:dyDescent="0.35">
      <c r="A12808"/>
    </row>
    <row r="12809" spans="1:1" x14ac:dyDescent="0.35">
      <c r="A12809"/>
    </row>
    <row r="12810" spans="1:1" x14ac:dyDescent="0.35">
      <c r="A12810"/>
    </row>
    <row r="12811" spans="1:1" x14ac:dyDescent="0.35">
      <c r="A12811"/>
    </row>
    <row r="12812" spans="1:1" x14ac:dyDescent="0.35">
      <c r="A12812"/>
    </row>
    <row r="12813" spans="1:1" x14ac:dyDescent="0.35">
      <c r="A12813"/>
    </row>
    <row r="12814" spans="1:1" x14ac:dyDescent="0.35">
      <c r="A12814"/>
    </row>
    <row r="12815" spans="1:1" x14ac:dyDescent="0.35">
      <c r="A12815"/>
    </row>
    <row r="12816" spans="1:1" x14ac:dyDescent="0.35">
      <c r="A12816"/>
    </row>
    <row r="12817" spans="1:1" x14ac:dyDescent="0.35">
      <c r="A12817"/>
    </row>
    <row r="12818" spans="1:1" x14ac:dyDescent="0.35">
      <c r="A12818"/>
    </row>
    <row r="12819" spans="1:1" x14ac:dyDescent="0.35">
      <c r="A12819"/>
    </row>
    <row r="12820" spans="1:1" x14ac:dyDescent="0.35">
      <c r="A12820"/>
    </row>
    <row r="12821" spans="1:1" x14ac:dyDescent="0.35">
      <c r="A12821"/>
    </row>
    <row r="12822" spans="1:1" x14ac:dyDescent="0.35">
      <c r="A12822"/>
    </row>
    <row r="12823" spans="1:1" x14ac:dyDescent="0.35">
      <c r="A12823"/>
    </row>
    <row r="12824" spans="1:1" x14ac:dyDescent="0.35">
      <c r="A12824"/>
    </row>
    <row r="12825" spans="1:1" x14ac:dyDescent="0.35">
      <c r="A12825"/>
    </row>
    <row r="12826" spans="1:1" x14ac:dyDescent="0.35">
      <c r="A12826"/>
    </row>
    <row r="12827" spans="1:1" x14ac:dyDescent="0.35">
      <c r="A12827"/>
    </row>
    <row r="12828" spans="1:1" x14ac:dyDescent="0.35">
      <c r="A12828"/>
    </row>
    <row r="12829" spans="1:1" x14ac:dyDescent="0.35">
      <c r="A12829"/>
    </row>
    <row r="12830" spans="1:1" x14ac:dyDescent="0.35">
      <c r="A12830"/>
    </row>
    <row r="12831" spans="1:1" x14ac:dyDescent="0.35">
      <c r="A12831"/>
    </row>
    <row r="12832" spans="1:1" x14ac:dyDescent="0.35">
      <c r="A12832"/>
    </row>
    <row r="12833" spans="1:1" x14ac:dyDescent="0.35">
      <c r="A12833"/>
    </row>
    <row r="12834" spans="1:1" x14ac:dyDescent="0.35">
      <c r="A12834"/>
    </row>
    <row r="12835" spans="1:1" x14ac:dyDescent="0.35">
      <c r="A12835"/>
    </row>
    <row r="12836" spans="1:1" x14ac:dyDescent="0.35">
      <c r="A12836"/>
    </row>
    <row r="12837" spans="1:1" x14ac:dyDescent="0.35">
      <c r="A12837"/>
    </row>
    <row r="12838" spans="1:1" x14ac:dyDescent="0.35">
      <c r="A12838"/>
    </row>
    <row r="12839" spans="1:1" x14ac:dyDescent="0.35">
      <c r="A12839"/>
    </row>
    <row r="12840" spans="1:1" x14ac:dyDescent="0.35">
      <c r="A12840"/>
    </row>
    <row r="12841" spans="1:1" x14ac:dyDescent="0.35">
      <c r="A12841"/>
    </row>
    <row r="12842" spans="1:1" x14ac:dyDescent="0.35">
      <c r="A12842"/>
    </row>
    <row r="12843" spans="1:1" x14ac:dyDescent="0.35">
      <c r="A12843"/>
    </row>
    <row r="12844" spans="1:1" x14ac:dyDescent="0.35">
      <c r="A12844"/>
    </row>
    <row r="12845" spans="1:1" x14ac:dyDescent="0.35">
      <c r="A12845"/>
    </row>
    <row r="12846" spans="1:1" x14ac:dyDescent="0.35">
      <c r="A12846"/>
    </row>
    <row r="12847" spans="1:1" x14ac:dyDescent="0.35">
      <c r="A12847"/>
    </row>
    <row r="12848" spans="1:1" x14ac:dyDescent="0.35">
      <c r="A12848"/>
    </row>
    <row r="12849" spans="1:1" x14ac:dyDescent="0.35">
      <c r="A12849"/>
    </row>
    <row r="12850" spans="1:1" x14ac:dyDescent="0.35">
      <c r="A12850"/>
    </row>
    <row r="12851" spans="1:1" x14ac:dyDescent="0.35">
      <c r="A12851"/>
    </row>
    <row r="12852" spans="1:1" x14ac:dyDescent="0.35">
      <c r="A12852"/>
    </row>
    <row r="12853" spans="1:1" x14ac:dyDescent="0.35">
      <c r="A12853"/>
    </row>
    <row r="12854" spans="1:1" x14ac:dyDescent="0.35">
      <c r="A12854"/>
    </row>
    <row r="12855" spans="1:1" x14ac:dyDescent="0.35">
      <c r="A12855"/>
    </row>
    <row r="12856" spans="1:1" x14ac:dyDescent="0.35">
      <c r="A12856"/>
    </row>
    <row r="12857" spans="1:1" x14ac:dyDescent="0.35">
      <c r="A12857"/>
    </row>
    <row r="12858" spans="1:1" x14ac:dyDescent="0.35">
      <c r="A12858"/>
    </row>
    <row r="12859" spans="1:1" x14ac:dyDescent="0.35">
      <c r="A12859"/>
    </row>
    <row r="12860" spans="1:1" x14ac:dyDescent="0.35">
      <c r="A12860"/>
    </row>
    <row r="12861" spans="1:1" x14ac:dyDescent="0.35">
      <c r="A12861"/>
    </row>
    <row r="12862" spans="1:1" x14ac:dyDescent="0.35">
      <c r="A12862"/>
    </row>
    <row r="12863" spans="1:1" x14ac:dyDescent="0.35">
      <c r="A12863"/>
    </row>
    <row r="12864" spans="1:1" x14ac:dyDescent="0.35">
      <c r="A12864"/>
    </row>
    <row r="12865" spans="1:1" x14ac:dyDescent="0.35">
      <c r="A12865"/>
    </row>
    <row r="12866" spans="1:1" x14ac:dyDescent="0.35">
      <c r="A12866"/>
    </row>
    <row r="12867" spans="1:1" x14ac:dyDescent="0.35">
      <c r="A12867"/>
    </row>
    <row r="12868" spans="1:1" x14ac:dyDescent="0.35">
      <c r="A12868"/>
    </row>
    <row r="12869" spans="1:1" x14ac:dyDescent="0.35">
      <c r="A12869"/>
    </row>
    <row r="12870" spans="1:1" x14ac:dyDescent="0.35">
      <c r="A12870"/>
    </row>
    <row r="12871" spans="1:1" x14ac:dyDescent="0.35">
      <c r="A12871"/>
    </row>
    <row r="12872" spans="1:1" x14ac:dyDescent="0.35">
      <c r="A12872"/>
    </row>
    <row r="12873" spans="1:1" x14ac:dyDescent="0.35">
      <c r="A12873"/>
    </row>
    <row r="12874" spans="1:1" x14ac:dyDescent="0.35">
      <c r="A12874"/>
    </row>
    <row r="12875" spans="1:1" x14ac:dyDescent="0.35">
      <c r="A12875"/>
    </row>
    <row r="12876" spans="1:1" x14ac:dyDescent="0.35">
      <c r="A12876"/>
    </row>
    <row r="12877" spans="1:1" x14ac:dyDescent="0.35">
      <c r="A12877"/>
    </row>
    <row r="12878" spans="1:1" x14ac:dyDescent="0.35">
      <c r="A12878"/>
    </row>
    <row r="12879" spans="1:1" x14ac:dyDescent="0.35">
      <c r="A12879"/>
    </row>
    <row r="12880" spans="1:1" x14ac:dyDescent="0.35">
      <c r="A12880"/>
    </row>
    <row r="12881" spans="1:1" x14ac:dyDescent="0.35">
      <c r="A12881"/>
    </row>
    <row r="12882" spans="1:1" x14ac:dyDescent="0.35">
      <c r="A12882"/>
    </row>
    <row r="12883" spans="1:1" x14ac:dyDescent="0.35">
      <c r="A12883"/>
    </row>
    <row r="12884" spans="1:1" x14ac:dyDescent="0.35">
      <c r="A12884"/>
    </row>
    <row r="12885" spans="1:1" x14ac:dyDescent="0.35">
      <c r="A12885"/>
    </row>
    <row r="12886" spans="1:1" x14ac:dyDescent="0.35">
      <c r="A12886"/>
    </row>
    <row r="12887" spans="1:1" x14ac:dyDescent="0.35">
      <c r="A12887"/>
    </row>
    <row r="12888" spans="1:1" x14ac:dyDescent="0.35">
      <c r="A12888"/>
    </row>
    <row r="12889" spans="1:1" x14ac:dyDescent="0.35">
      <c r="A12889"/>
    </row>
    <row r="12890" spans="1:1" x14ac:dyDescent="0.35">
      <c r="A12890"/>
    </row>
    <row r="12891" spans="1:1" x14ac:dyDescent="0.35">
      <c r="A12891"/>
    </row>
    <row r="12892" spans="1:1" x14ac:dyDescent="0.35">
      <c r="A12892"/>
    </row>
    <row r="12893" spans="1:1" x14ac:dyDescent="0.35">
      <c r="A12893"/>
    </row>
    <row r="12894" spans="1:1" x14ac:dyDescent="0.35">
      <c r="A12894"/>
    </row>
    <row r="12895" spans="1:1" x14ac:dyDescent="0.35">
      <c r="A12895"/>
    </row>
    <row r="12896" spans="1:1" x14ac:dyDescent="0.35">
      <c r="A12896"/>
    </row>
    <row r="12897" spans="1:1" x14ac:dyDescent="0.35">
      <c r="A12897"/>
    </row>
    <row r="12898" spans="1:1" x14ac:dyDescent="0.35">
      <c r="A12898"/>
    </row>
    <row r="12899" spans="1:1" x14ac:dyDescent="0.35">
      <c r="A12899"/>
    </row>
    <row r="12900" spans="1:1" x14ac:dyDescent="0.35">
      <c r="A12900"/>
    </row>
    <row r="12901" spans="1:1" x14ac:dyDescent="0.35">
      <c r="A12901"/>
    </row>
    <row r="12902" spans="1:1" x14ac:dyDescent="0.35">
      <c r="A12902"/>
    </row>
    <row r="12903" spans="1:1" x14ac:dyDescent="0.35">
      <c r="A12903"/>
    </row>
    <row r="12904" spans="1:1" x14ac:dyDescent="0.35">
      <c r="A12904"/>
    </row>
    <row r="12905" spans="1:1" x14ac:dyDescent="0.35">
      <c r="A12905"/>
    </row>
    <row r="12906" spans="1:1" x14ac:dyDescent="0.35">
      <c r="A12906"/>
    </row>
    <row r="12907" spans="1:1" x14ac:dyDescent="0.35">
      <c r="A12907"/>
    </row>
    <row r="12908" spans="1:1" x14ac:dyDescent="0.35">
      <c r="A12908"/>
    </row>
    <row r="12909" spans="1:1" x14ac:dyDescent="0.35">
      <c r="A12909"/>
    </row>
    <row r="12910" spans="1:1" x14ac:dyDescent="0.35">
      <c r="A12910"/>
    </row>
    <row r="12911" spans="1:1" x14ac:dyDescent="0.35">
      <c r="A12911"/>
    </row>
    <row r="12912" spans="1:1" x14ac:dyDescent="0.35">
      <c r="A12912"/>
    </row>
    <row r="12913" spans="1:1" x14ac:dyDescent="0.35">
      <c r="A12913"/>
    </row>
    <row r="12914" spans="1:1" x14ac:dyDescent="0.35">
      <c r="A12914"/>
    </row>
    <row r="12915" spans="1:1" x14ac:dyDescent="0.35">
      <c r="A12915"/>
    </row>
    <row r="12916" spans="1:1" x14ac:dyDescent="0.35">
      <c r="A12916"/>
    </row>
    <row r="12917" spans="1:1" x14ac:dyDescent="0.35">
      <c r="A12917"/>
    </row>
    <row r="12918" spans="1:1" x14ac:dyDescent="0.35">
      <c r="A12918"/>
    </row>
    <row r="12919" spans="1:1" x14ac:dyDescent="0.35">
      <c r="A12919"/>
    </row>
    <row r="12920" spans="1:1" x14ac:dyDescent="0.35">
      <c r="A12920"/>
    </row>
    <row r="12921" spans="1:1" x14ac:dyDescent="0.35">
      <c r="A12921"/>
    </row>
    <row r="12922" spans="1:1" x14ac:dyDescent="0.35">
      <c r="A12922"/>
    </row>
    <row r="12923" spans="1:1" x14ac:dyDescent="0.35">
      <c r="A12923"/>
    </row>
    <row r="12924" spans="1:1" x14ac:dyDescent="0.35">
      <c r="A12924"/>
    </row>
    <row r="12925" spans="1:1" x14ac:dyDescent="0.35">
      <c r="A12925"/>
    </row>
    <row r="12926" spans="1:1" x14ac:dyDescent="0.35">
      <c r="A12926"/>
    </row>
    <row r="12927" spans="1:1" x14ac:dyDescent="0.35">
      <c r="A12927"/>
    </row>
    <row r="12928" spans="1:1" x14ac:dyDescent="0.35">
      <c r="A12928"/>
    </row>
    <row r="12929" spans="1:1" x14ac:dyDescent="0.35">
      <c r="A12929"/>
    </row>
    <row r="12930" spans="1:1" x14ac:dyDescent="0.35">
      <c r="A12930"/>
    </row>
    <row r="12931" spans="1:1" x14ac:dyDescent="0.35">
      <c r="A12931"/>
    </row>
    <row r="12932" spans="1:1" x14ac:dyDescent="0.35">
      <c r="A12932"/>
    </row>
    <row r="12933" spans="1:1" x14ac:dyDescent="0.35">
      <c r="A12933"/>
    </row>
    <row r="12934" spans="1:1" x14ac:dyDescent="0.35">
      <c r="A12934"/>
    </row>
    <row r="12935" spans="1:1" x14ac:dyDescent="0.35">
      <c r="A12935"/>
    </row>
    <row r="12936" spans="1:1" x14ac:dyDescent="0.35">
      <c r="A12936"/>
    </row>
    <row r="12937" spans="1:1" x14ac:dyDescent="0.35">
      <c r="A12937"/>
    </row>
    <row r="12938" spans="1:1" x14ac:dyDescent="0.35">
      <c r="A12938"/>
    </row>
    <row r="12939" spans="1:1" x14ac:dyDescent="0.35">
      <c r="A12939"/>
    </row>
    <row r="12940" spans="1:1" x14ac:dyDescent="0.35">
      <c r="A12940"/>
    </row>
    <row r="12941" spans="1:1" x14ac:dyDescent="0.35">
      <c r="A12941"/>
    </row>
    <row r="12942" spans="1:1" x14ac:dyDescent="0.35">
      <c r="A12942"/>
    </row>
    <row r="12943" spans="1:1" x14ac:dyDescent="0.35">
      <c r="A12943"/>
    </row>
    <row r="12944" spans="1:1" x14ac:dyDescent="0.35">
      <c r="A12944"/>
    </row>
    <row r="12945" spans="1:1" x14ac:dyDescent="0.35">
      <c r="A12945"/>
    </row>
    <row r="12946" spans="1:1" x14ac:dyDescent="0.35">
      <c r="A12946"/>
    </row>
    <row r="12947" spans="1:1" x14ac:dyDescent="0.35">
      <c r="A12947"/>
    </row>
    <row r="12948" spans="1:1" x14ac:dyDescent="0.35">
      <c r="A12948"/>
    </row>
    <row r="12949" spans="1:1" x14ac:dyDescent="0.35">
      <c r="A12949"/>
    </row>
    <row r="12950" spans="1:1" x14ac:dyDescent="0.35">
      <c r="A12950"/>
    </row>
    <row r="12951" spans="1:1" x14ac:dyDescent="0.35">
      <c r="A12951"/>
    </row>
    <row r="12952" spans="1:1" x14ac:dyDescent="0.35">
      <c r="A12952"/>
    </row>
    <row r="12953" spans="1:1" x14ac:dyDescent="0.35">
      <c r="A12953"/>
    </row>
    <row r="12954" spans="1:1" x14ac:dyDescent="0.35">
      <c r="A12954"/>
    </row>
    <row r="12955" spans="1:1" x14ac:dyDescent="0.35">
      <c r="A12955"/>
    </row>
    <row r="12956" spans="1:1" x14ac:dyDescent="0.35">
      <c r="A12956"/>
    </row>
    <row r="12957" spans="1:1" x14ac:dyDescent="0.35">
      <c r="A12957"/>
    </row>
    <row r="12958" spans="1:1" x14ac:dyDescent="0.35">
      <c r="A12958"/>
    </row>
    <row r="12959" spans="1:1" x14ac:dyDescent="0.35">
      <c r="A12959"/>
    </row>
    <row r="12960" spans="1:1" x14ac:dyDescent="0.35">
      <c r="A12960"/>
    </row>
    <row r="12961" spans="1:1" x14ac:dyDescent="0.35">
      <c r="A12961"/>
    </row>
    <row r="12962" spans="1:1" x14ac:dyDescent="0.35">
      <c r="A12962"/>
    </row>
    <row r="12963" spans="1:1" x14ac:dyDescent="0.35">
      <c r="A12963"/>
    </row>
    <row r="12964" spans="1:1" x14ac:dyDescent="0.35">
      <c r="A12964"/>
    </row>
    <row r="12965" spans="1:1" x14ac:dyDescent="0.35">
      <c r="A12965"/>
    </row>
    <row r="12966" spans="1:1" x14ac:dyDescent="0.35">
      <c r="A12966"/>
    </row>
    <row r="12967" spans="1:1" x14ac:dyDescent="0.35">
      <c r="A12967"/>
    </row>
    <row r="12968" spans="1:1" x14ac:dyDescent="0.35">
      <c r="A12968"/>
    </row>
    <row r="12969" spans="1:1" x14ac:dyDescent="0.35">
      <c r="A12969"/>
    </row>
    <row r="12970" spans="1:1" x14ac:dyDescent="0.35">
      <c r="A12970"/>
    </row>
    <row r="12971" spans="1:1" x14ac:dyDescent="0.35">
      <c r="A12971"/>
    </row>
    <row r="12972" spans="1:1" x14ac:dyDescent="0.35">
      <c r="A12972"/>
    </row>
    <row r="12973" spans="1:1" x14ac:dyDescent="0.35">
      <c r="A12973"/>
    </row>
    <row r="12974" spans="1:1" x14ac:dyDescent="0.35">
      <c r="A12974"/>
    </row>
    <row r="12975" spans="1:1" x14ac:dyDescent="0.35">
      <c r="A12975"/>
    </row>
    <row r="12976" spans="1:1" x14ac:dyDescent="0.35">
      <c r="A12976"/>
    </row>
    <row r="12977" spans="1:1" x14ac:dyDescent="0.35">
      <c r="A12977"/>
    </row>
    <row r="12978" spans="1:1" x14ac:dyDescent="0.35">
      <c r="A12978"/>
    </row>
    <row r="12979" spans="1:1" x14ac:dyDescent="0.35">
      <c r="A12979"/>
    </row>
    <row r="12980" spans="1:1" x14ac:dyDescent="0.35">
      <c r="A12980"/>
    </row>
    <row r="12981" spans="1:1" x14ac:dyDescent="0.35">
      <c r="A12981"/>
    </row>
    <row r="12982" spans="1:1" x14ac:dyDescent="0.35">
      <c r="A12982"/>
    </row>
    <row r="12983" spans="1:1" x14ac:dyDescent="0.35">
      <c r="A12983"/>
    </row>
    <row r="12984" spans="1:1" x14ac:dyDescent="0.35">
      <c r="A12984"/>
    </row>
    <row r="12985" spans="1:1" x14ac:dyDescent="0.35">
      <c r="A12985"/>
    </row>
    <row r="12986" spans="1:1" x14ac:dyDescent="0.35">
      <c r="A12986"/>
    </row>
    <row r="12987" spans="1:1" x14ac:dyDescent="0.35">
      <c r="A12987"/>
    </row>
    <row r="12988" spans="1:1" x14ac:dyDescent="0.35">
      <c r="A12988"/>
    </row>
    <row r="12989" spans="1:1" x14ac:dyDescent="0.35">
      <c r="A12989"/>
    </row>
    <row r="12990" spans="1:1" x14ac:dyDescent="0.35">
      <c r="A12990"/>
    </row>
    <row r="12991" spans="1:1" x14ac:dyDescent="0.35">
      <c r="A12991"/>
    </row>
    <row r="12992" spans="1:1" x14ac:dyDescent="0.35">
      <c r="A12992"/>
    </row>
    <row r="12993" spans="1:1" x14ac:dyDescent="0.35">
      <c r="A12993"/>
    </row>
    <row r="12994" spans="1:1" x14ac:dyDescent="0.35">
      <c r="A12994"/>
    </row>
    <row r="12995" spans="1:1" x14ac:dyDescent="0.35">
      <c r="A12995"/>
    </row>
    <row r="12996" spans="1:1" x14ac:dyDescent="0.35">
      <c r="A12996"/>
    </row>
    <row r="12997" spans="1:1" x14ac:dyDescent="0.35">
      <c r="A12997"/>
    </row>
    <row r="12998" spans="1:1" x14ac:dyDescent="0.35">
      <c r="A12998"/>
    </row>
    <row r="12999" spans="1:1" x14ac:dyDescent="0.35">
      <c r="A12999"/>
    </row>
    <row r="13000" spans="1:1" x14ac:dyDescent="0.35">
      <c r="A13000"/>
    </row>
    <row r="13001" spans="1:1" x14ac:dyDescent="0.35">
      <c r="A13001"/>
    </row>
    <row r="13002" spans="1:1" x14ac:dyDescent="0.35">
      <c r="A13002"/>
    </row>
    <row r="13003" spans="1:1" x14ac:dyDescent="0.35">
      <c r="A13003"/>
    </row>
    <row r="13004" spans="1:1" x14ac:dyDescent="0.35">
      <c r="A13004"/>
    </row>
    <row r="13005" spans="1:1" x14ac:dyDescent="0.35">
      <c r="A13005"/>
    </row>
    <row r="13006" spans="1:1" x14ac:dyDescent="0.35">
      <c r="A13006"/>
    </row>
    <row r="13007" spans="1:1" x14ac:dyDescent="0.35">
      <c r="A13007"/>
    </row>
    <row r="13008" spans="1:1" x14ac:dyDescent="0.35">
      <c r="A13008"/>
    </row>
    <row r="13009" spans="1:1" x14ac:dyDescent="0.35">
      <c r="A13009"/>
    </row>
    <row r="13010" spans="1:1" x14ac:dyDescent="0.35">
      <c r="A13010"/>
    </row>
    <row r="13011" spans="1:1" x14ac:dyDescent="0.35">
      <c r="A13011"/>
    </row>
    <row r="13012" spans="1:1" x14ac:dyDescent="0.35">
      <c r="A13012"/>
    </row>
    <row r="13013" spans="1:1" x14ac:dyDescent="0.35">
      <c r="A13013"/>
    </row>
    <row r="13014" spans="1:1" x14ac:dyDescent="0.35">
      <c r="A13014"/>
    </row>
    <row r="13015" spans="1:1" x14ac:dyDescent="0.35">
      <c r="A13015"/>
    </row>
    <row r="13016" spans="1:1" x14ac:dyDescent="0.35">
      <c r="A13016"/>
    </row>
    <row r="13017" spans="1:1" x14ac:dyDescent="0.35">
      <c r="A13017"/>
    </row>
    <row r="13018" spans="1:1" x14ac:dyDescent="0.35">
      <c r="A13018"/>
    </row>
    <row r="13019" spans="1:1" x14ac:dyDescent="0.35">
      <c r="A13019"/>
    </row>
    <row r="13020" spans="1:1" x14ac:dyDescent="0.35">
      <c r="A13020"/>
    </row>
    <row r="13021" spans="1:1" x14ac:dyDescent="0.35">
      <c r="A13021"/>
    </row>
    <row r="13022" spans="1:1" x14ac:dyDescent="0.35">
      <c r="A13022"/>
    </row>
    <row r="13023" spans="1:1" x14ac:dyDescent="0.35">
      <c r="A13023"/>
    </row>
    <row r="13024" spans="1:1" x14ac:dyDescent="0.35">
      <c r="A13024"/>
    </row>
    <row r="13025" spans="1:1" x14ac:dyDescent="0.35">
      <c r="A13025"/>
    </row>
    <row r="13026" spans="1:1" x14ac:dyDescent="0.35">
      <c r="A13026"/>
    </row>
    <row r="13027" spans="1:1" x14ac:dyDescent="0.35">
      <c r="A13027"/>
    </row>
    <row r="13028" spans="1:1" x14ac:dyDescent="0.35">
      <c r="A13028"/>
    </row>
    <row r="13029" spans="1:1" x14ac:dyDescent="0.35">
      <c r="A13029"/>
    </row>
    <row r="13030" spans="1:1" x14ac:dyDescent="0.35">
      <c r="A13030"/>
    </row>
    <row r="13031" spans="1:1" x14ac:dyDescent="0.35">
      <c r="A13031"/>
    </row>
    <row r="13032" spans="1:1" x14ac:dyDescent="0.35">
      <c r="A13032"/>
    </row>
    <row r="13033" spans="1:1" x14ac:dyDescent="0.35">
      <c r="A13033"/>
    </row>
    <row r="13034" spans="1:1" x14ac:dyDescent="0.35">
      <c r="A13034"/>
    </row>
    <row r="13035" spans="1:1" x14ac:dyDescent="0.35">
      <c r="A13035"/>
    </row>
    <row r="13036" spans="1:1" x14ac:dyDescent="0.35">
      <c r="A13036"/>
    </row>
    <row r="13037" spans="1:1" x14ac:dyDescent="0.35">
      <c r="A13037"/>
    </row>
    <row r="13038" spans="1:1" x14ac:dyDescent="0.35">
      <c r="A13038"/>
    </row>
    <row r="13039" spans="1:1" x14ac:dyDescent="0.35">
      <c r="A13039"/>
    </row>
    <row r="13040" spans="1:1" x14ac:dyDescent="0.35">
      <c r="A13040"/>
    </row>
    <row r="13041" spans="1:1" x14ac:dyDescent="0.35">
      <c r="A13041"/>
    </row>
    <row r="13042" spans="1:1" x14ac:dyDescent="0.35">
      <c r="A13042"/>
    </row>
    <row r="13043" spans="1:1" x14ac:dyDescent="0.35">
      <c r="A13043"/>
    </row>
    <row r="13044" spans="1:1" x14ac:dyDescent="0.35">
      <c r="A13044"/>
    </row>
    <row r="13045" spans="1:1" x14ac:dyDescent="0.35">
      <c r="A13045"/>
    </row>
    <row r="13046" spans="1:1" x14ac:dyDescent="0.35">
      <c r="A13046"/>
    </row>
    <row r="13047" spans="1:1" x14ac:dyDescent="0.35">
      <c r="A13047"/>
    </row>
    <row r="13048" spans="1:1" x14ac:dyDescent="0.35">
      <c r="A13048"/>
    </row>
    <row r="13049" spans="1:1" x14ac:dyDescent="0.35">
      <c r="A13049"/>
    </row>
    <row r="13050" spans="1:1" x14ac:dyDescent="0.35">
      <c r="A13050"/>
    </row>
    <row r="13051" spans="1:1" x14ac:dyDescent="0.35">
      <c r="A13051"/>
    </row>
    <row r="13052" spans="1:1" x14ac:dyDescent="0.35">
      <c r="A13052"/>
    </row>
    <row r="13053" spans="1:1" x14ac:dyDescent="0.35">
      <c r="A13053"/>
    </row>
    <row r="13054" spans="1:1" x14ac:dyDescent="0.35">
      <c r="A13054"/>
    </row>
    <row r="13055" spans="1:1" x14ac:dyDescent="0.35">
      <c r="A13055"/>
    </row>
    <row r="13056" spans="1:1" x14ac:dyDescent="0.35">
      <c r="A13056"/>
    </row>
    <row r="13057" spans="1:1" x14ac:dyDescent="0.35">
      <c r="A13057"/>
    </row>
    <row r="13058" spans="1:1" x14ac:dyDescent="0.35">
      <c r="A13058"/>
    </row>
    <row r="13059" spans="1:1" x14ac:dyDescent="0.35">
      <c r="A13059"/>
    </row>
    <row r="13060" spans="1:1" x14ac:dyDescent="0.35">
      <c r="A13060"/>
    </row>
    <row r="13061" spans="1:1" x14ac:dyDescent="0.35">
      <c r="A13061"/>
    </row>
    <row r="13062" spans="1:1" x14ac:dyDescent="0.35">
      <c r="A13062"/>
    </row>
    <row r="13063" spans="1:1" x14ac:dyDescent="0.35">
      <c r="A13063"/>
    </row>
    <row r="13064" spans="1:1" x14ac:dyDescent="0.35">
      <c r="A13064"/>
    </row>
    <row r="13065" spans="1:1" x14ac:dyDescent="0.35">
      <c r="A13065"/>
    </row>
    <row r="13066" spans="1:1" x14ac:dyDescent="0.35">
      <c r="A13066"/>
    </row>
    <row r="13067" spans="1:1" x14ac:dyDescent="0.35">
      <c r="A13067"/>
    </row>
    <row r="13068" spans="1:1" x14ac:dyDescent="0.35">
      <c r="A13068"/>
    </row>
    <row r="13069" spans="1:1" x14ac:dyDescent="0.35">
      <c r="A13069"/>
    </row>
    <row r="13070" spans="1:1" x14ac:dyDescent="0.35">
      <c r="A13070"/>
    </row>
    <row r="13071" spans="1:1" x14ac:dyDescent="0.35">
      <c r="A13071"/>
    </row>
    <row r="13072" spans="1:1" x14ac:dyDescent="0.35">
      <c r="A13072"/>
    </row>
    <row r="13073" spans="1:1" x14ac:dyDescent="0.35">
      <c r="A13073"/>
    </row>
    <row r="13074" spans="1:1" x14ac:dyDescent="0.35">
      <c r="A13074"/>
    </row>
    <row r="13075" spans="1:1" x14ac:dyDescent="0.35">
      <c r="A13075"/>
    </row>
    <row r="13076" spans="1:1" x14ac:dyDescent="0.35">
      <c r="A13076"/>
    </row>
    <row r="13077" spans="1:1" x14ac:dyDescent="0.35">
      <c r="A13077"/>
    </row>
    <row r="13078" spans="1:1" x14ac:dyDescent="0.35">
      <c r="A13078"/>
    </row>
    <row r="13079" spans="1:1" x14ac:dyDescent="0.35">
      <c r="A13079"/>
    </row>
    <row r="13080" spans="1:1" x14ac:dyDescent="0.35">
      <c r="A13080"/>
    </row>
    <row r="13081" spans="1:1" x14ac:dyDescent="0.35">
      <c r="A13081"/>
    </row>
    <row r="13082" spans="1:1" x14ac:dyDescent="0.35">
      <c r="A13082"/>
    </row>
    <row r="13083" spans="1:1" x14ac:dyDescent="0.35">
      <c r="A13083"/>
    </row>
    <row r="13084" spans="1:1" x14ac:dyDescent="0.35">
      <c r="A13084"/>
    </row>
    <row r="13085" spans="1:1" x14ac:dyDescent="0.35">
      <c r="A13085"/>
    </row>
    <row r="13086" spans="1:1" x14ac:dyDescent="0.35">
      <c r="A13086"/>
    </row>
    <row r="13087" spans="1:1" x14ac:dyDescent="0.35">
      <c r="A13087"/>
    </row>
    <row r="13088" spans="1:1" x14ac:dyDescent="0.35">
      <c r="A13088"/>
    </row>
    <row r="13089" spans="1:1" x14ac:dyDescent="0.35">
      <c r="A13089"/>
    </row>
    <row r="13090" spans="1:1" x14ac:dyDescent="0.35">
      <c r="A13090"/>
    </row>
    <row r="13091" spans="1:1" x14ac:dyDescent="0.35">
      <c r="A13091"/>
    </row>
    <row r="13092" spans="1:1" x14ac:dyDescent="0.35">
      <c r="A13092"/>
    </row>
    <row r="13093" spans="1:1" x14ac:dyDescent="0.35">
      <c r="A13093"/>
    </row>
    <row r="13094" spans="1:1" x14ac:dyDescent="0.35">
      <c r="A13094"/>
    </row>
    <row r="13095" spans="1:1" x14ac:dyDescent="0.35">
      <c r="A13095"/>
    </row>
    <row r="13096" spans="1:1" x14ac:dyDescent="0.35">
      <c r="A13096"/>
    </row>
    <row r="13097" spans="1:1" x14ac:dyDescent="0.35">
      <c r="A13097"/>
    </row>
    <row r="13098" spans="1:1" x14ac:dyDescent="0.35">
      <c r="A13098"/>
    </row>
    <row r="13099" spans="1:1" x14ac:dyDescent="0.35">
      <c r="A13099"/>
    </row>
    <row r="13100" spans="1:1" x14ac:dyDescent="0.35">
      <c r="A13100"/>
    </row>
    <row r="13101" spans="1:1" x14ac:dyDescent="0.35">
      <c r="A13101"/>
    </row>
    <row r="13102" spans="1:1" x14ac:dyDescent="0.35">
      <c r="A13102"/>
    </row>
    <row r="13103" spans="1:1" x14ac:dyDescent="0.35">
      <c r="A13103"/>
    </row>
    <row r="13104" spans="1:1" x14ac:dyDescent="0.35">
      <c r="A13104"/>
    </row>
    <row r="13105" spans="1:1" x14ac:dyDescent="0.35">
      <c r="A13105"/>
    </row>
    <row r="13106" spans="1:1" x14ac:dyDescent="0.35">
      <c r="A13106"/>
    </row>
    <row r="13107" spans="1:1" x14ac:dyDescent="0.35">
      <c r="A13107"/>
    </row>
    <row r="13108" spans="1:1" x14ac:dyDescent="0.35">
      <c r="A13108"/>
    </row>
    <row r="13109" spans="1:1" x14ac:dyDescent="0.35">
      <c r="A13109"/>
    </row>
    <row r="13110" spans="1:1" x14ac:dyDescent="0.35">
      <c r="A13110"/>
    </row>
    <row r="13111" spans="1:1" x14ac:dyDescent="0.35">
      <c r="A13111"/>
    </row>
    <row r="13112" spans="1:1" x14ac:dyDescent="0.35">
      <c r="A13112"/>
    </row>
    <row r="13113" spans="1:1" x14ac:dyDescent="0.35">
      <c r="A13113"/>
    </row>
    <row r="13114" spans="1:1" x14ac:dyDescent="0.35">
      <c r="A13114"/>
    </row>
    <row r="13115" spans="1:1" x14ac:dyDescent="0.35">
      <c r="A13115"/>
    </row>
    <row r="13116" spans="1:1" x14ac:dyDescent="0.35">
      <c r="A13116"/>
    </row>
    <row r="13117" spans="1:1" x14ac:dyDescent="0.35">
      <c r="A13117"/>
    </row>
    <row r="13118" spans="1:1" x14ac:dyDescent="0.35">
      <c r="A13118"/>
    </row>
    <row r="13119" spans="1:1" x14ac:dyDescent="0.35">
      <c r="A13119"/>
    </row>
    <row r="13120" spans="1:1" x14ac:dyDescent="0.35">
      <c r="A13120"/>
    </row>
    <row r="13121" spans="1:1" x14ac:dyDescent="0.35">
      <c r="A13121"/>
    </row>
    <row r="13122" spans="1:1" x14ac:dyDescent="0.35">
      <c r="A13122"/>
    </row>
    <row r="13123" spans="1:1" x14ac:dyDescent="0.35">
      <c r="A13123"/>
    </row>
    <row r="13124" spans="1:1" x14ac:dyDescent="0.35">
      <c r="A13124"/>
    </row>
    <row r="13125" spans="1:1" x14ac:dyDescent="0.35">
      <c r="A13125"/>
    </row>
    <row r="13126" spans="1:1" x14ac:dyDescent="0.35">
      <c r="A13126"/>
    </row>
    <row r="13127" spans="1:1" x14ac:dyDescent="0.35">
      <c r="A13127"/>
    </row>
    <row r="13128" spans="1:1" x14ac:dyDescent="0.35">
      <c r="A13128"/>
    </row>
    <row r="13129" spans="1:1" x14ac:dyDescent="0.35">
      <c r="A13129"/>
    </row>
    <row r="13130" spans="1:1" x14ac:dyDescent="0.35">
      <c r="A13130"/>
    </row>
    <row r="13131" spans="1:1" x14ac:dyDescent="0.35">
      <c r="A13131"/>
    </row>
    <row r="13132" spans="1:1" x14ac:dyDescent="0.35">
      <c r="A13132"/>
    </row>
    <row r="13133" spans="1:1" x14ac:dyDescent="0.35">
      <c r="A13133"/>
    </row>
    <row r="13134" spans="1:1" x14ac:dyDescent="0.35">
      <c r="A13134"/>
    </row>
    <row r="13135" spans="1:1" x14ac:dyDescent="0.35">
      <c r="A13135"/>
    </row>
    <row r="13136" spans="1:1" x14ac:dyDescent="0.35">
      <c r="A13136"/>
    </row>
    <row r="13137" spans="1:1" x14ac:dyDescent="0.35">
      <c r="A13137"/>
    </row>
    <row r="13138" spans="1:1" x14ac:dyDescent="0.35">
      <c r="A13138"/>
    </row>
    <row r="13139" spans="1:1" x14ac:dyDescent="0.35">
      <c r="A13139"/>
    </row>
    <row r="13140" spans="1:1" x14ac:dyDescent="0.35">
      <c r="A13140"/>
    </row>
    <row r="13141" spans="1:1" x14ac:dyDescent="0.35">
      <c r="A13141"/>
    </row>
    <row r="13142" spans="1:1" x14ac:dyDescent="0.35">
      <c r="A13142"/>
    </row>
    <row r="13143" spans="1:1" x14ac:dyDescent="0.35">
      <c r="A13143"/>
    </row>
    <row r="13144" spans="1:1" x14ac:dyDescent="0.35">
      <c r="A13144"/>
    </row>
    <row r="13145" spans="1:1" x14ac:dyDescent="0.35">
      <c r="A13145"/>
    </row>
    <row r="13146" spans="1:1" x14ac:dyDescent="0.35">
      <c r="A13146"/>
    </row>
    <row r="13147" spans="1:1" x14ac:dyDescent="0.35">
      <c r="A13147"/>
    </row>
    <row r="13148" spans="1:1" x14ac:dyDescent="0.35">
      <c r="A13148"/>
    </row>
    <row r="13149" spans="1:1" x14ac:dyDescent="0.35">
      <c r="A13149"/>
    </row>
    <row r="13150" spans="1:1" x14ac:dyDescent="0.35">
      <c r="A13150"/>
    </row>
    <row r="13151" spans="1:1" x14ac:dyDescent="0.35">
      <c r="A13151"/>
    </row>
    <row r="13152" spans="1:1" x14ac:dyDescent="0.35">
      <c r="A13152"/>
    </row>
    <row r="13153" spans="1:1" x14ac:dyDescent="0.35">
      <c r="A13153"/>
    </row>
    <row r="13154" spans="1:1" x14ac:dyDescent="0.35">
      <c r="A13154"/>
    </row>
    <row r="13155" spans="1:1" x14ac:dyDescent="0.35">
      <c r="A13155"/>
    </row>
    <row r="13156" spans="1:1" x14ac:dyDescent="0.35">
      <c r="A13156"/>
    </row>
    <row r="13157" spans="1:1" x14ac:dyDescent="0.35">
      <c r="A13157"/>
    </row>
    <row r="13158" spans="1:1" x14ac:dyDescent="0.35">
      <c r="A13158"/>
    </row>
    <row r="13159" spans="1:1" x14ac:dyDescent="0.35">
      <c r="A13159"/>
    </row>
    <row r="13160" spans="1:1" x14ac:dyDescent="0.35">
      <c r="A13160"/>
    </row>
    <row r="13161" spans="1:1" x14ac:dyDescent="0.35">
      <c r="A13161"/>
    </row>
    <row r="13162" spans="1:1" x14ac:dyDescent="0.35">
      <c r="A13162"/>
    </row>
    <row r="13163" spans="1:1" x14ac:dyDescent="0.35">
      <c r="A13163"/>
    </row>
    <row r="13164" spans="1:1" x14ac:dyDescent="0.35">
      <c r="A13164"/>
    </row>
    <row r="13165" spans="1:1" x14ac:dyDescent="0.35">
      <c r="A13165"/>
    </row>
    <row r="13166" spans="1:1" x14ac:dyDescent="0.35">
      <c r="A13166"/>
    </row>
    <row r="13167" spans="1:1" x14ac:dyDescent="0.35">
      <c r="A13167"/>
    </row>
    <row r="13168" spans="1:1" x14ac:dyDescent="0.35">
      <c r="A13168"/>
    </row>
    <row r="13169" spans="1:1" x14ac:dyDescent="0.35">
      <c r="A13169"/>
    </row>
    <row r="13170" spans="1:1" x14ac:dyDescent="0.35">
      <c r="A13170"/>
    </row>
    <row r="13171" spans="1:1" x14ac:dyDescent="0.35">
      <c r="A13171"/>
    </row>
    <row r="13172" spans="1:1" x14ac:dyDescent="0.35">
      <c r="A13172"/>
    </row>
    <row r="13173" spans="1:1" x14ac:dyDescent="0.35">
      <c r="A13173"/>
    </row>
    <row r="13174" spans="1:1" x14ac:dyDescent="0.35">
      <c r="A13174"/>
    </row>
    <row r="13175" spans="1:1" x14ac:dyDescent="0.35">
      <c r="A13175"/>
    </row>
    <row r="13176" spans="1:1" x14ac:dyDescent="0.35">
      <c r="A13176"/>
    </row>
    <row r="13177" spans="1:1" x14ac:dyDescent="0.35">
      <c r="A13177"/>
    </row>
    <row r="13178" spans="1:1" x14ac:dyDescent="0.35">
      <c r="A13178"/>
    </row>
    <row r="13179" spans="1:1" x14ac:dyDescent="0.35">
      <c r="A13179"/>
    </row>
    <row r="13180" spans="1:1" x14ac:dyDescent="0.35">
      <c r="A13180"/>
    </row>
    <row r="13181" spans="1:1" x14ac:dyDescent="0.35">
      <c r="A13181"/>
    </row>
    <row r="13182" spans="1:1" x14ac:dyDescent="0.35">
      <c r="A13182"/>
    </row>
    <row r="13183" spans="1:1" x14ac:dyDescent="0.35">
      <c r="A13183"/>
    </row>
    <row r="13184" spans="1:1" x14ac:dyDescent="0.35">
      <c r="A13184"/>
    </row>
    <row r="13185" spans="1:1" x14ac:dyDescent="0.35">
      <c r="A13185"/>
    </row>
    <row r="13186" spans="1:1" x14ac:dyDescent="0.35">
      <c r="A13186"/>
    </row>
    <row r="13187" spans="1:1" x14ac:dyDescent="0.35">
      <c r="A13187"/>
    </row>
    <row r="13188" spans="1:1" x14ac:dyDescent="0.35">
      <c r="A13188"/>
    </row>
    <row r="13189" spans="1:1" x14ac:dyDescent="0.35">
      <c r="A13189"/>
    </row>
    <row r="13190" spans="1:1" x14ac:dyDescent="0.35">
      <c r="A13190"/>
    </row>
    <row r="13191" spans="1:1" x14ac:dyDescent="0.35">
      <c r="A13191"/>
    </row>
    <row r="13192" spans="1:1" x14ac:dyDescent="0.35">
      <c r="A13192"/>
    </row>
    <row r="13193" spans="1:1" x14ac:dyDescent="0.35">
      <c r="A13193"/>
    </row>
    <row r="13194" spans="1:1" x14ac:dyDescent="0.35">
      <c r="A13194"/>
    </row>
    <row r="13195" spans="1:1" x14ac:dyDescent="0.35">
      <c r="A13195"/>
    </row>
    <row r="13196" spans="1:1" x14ac:dyDescent="0.35">
      <c r="A13196"/>
    </row>
    <row r="13197" spans="1:1" x14ac:dyDescent="0.35">
      <c r="A13197"/>
    </row>
    <row r="13198" spans="1:1" x14ac:dyDescent="0.35">
      <c r="A13198"/>
    </row>
    <row r="13199" spans="1:1" x14ac:dyDescent="0.35">
      <c r="A13199"/>
    </row>
    <row r="13200" spans="1:1" x14ac:dyDescent="0.35">
      <c r="A13200"/>
    </row>
    <row r="13201" spans="1:1" x14ac:dyDescent="0.35">
      <c r="A13201"/>
    </row>
    <row r="13202" spans="1:1" x14ac:dyDescent="0.35">
      <c r="A13202"/>
    </row>
    <row r="13203" spans="1:1" x14ac:dyDescent="0.35">
      <c r="A13203"/>
    </row>
    <row r="13204" spans="1:1" x14ac:dyDescent="0.35">
      <c r="A13204"/>
    </row>
    <row r="13205" spans="1:1" x14ac:dyDescent="0.35">
      <c r="A13205"/>
    </row>
    <row r="13206" spans="1:1" x14ac:dyDescent="0.35">
      <c r="A13206"/>
    </row>
    <row r="13207" spans="1:1" x14ac:dyDescent="0.35">
      <c r="A13207"/>
    </row>
    <row r="13208" spans="1:1" x14ac:dyDescent="0.35">
      <c r="A13208"/>
    </row>
    <row r="13209" spans="1:1" x14ac:dyDescent="0.35">
      <c r="A13209"/>
    </row>
    <row r="13210" spans="1:1" x14ac:dyDescent="0.35">
      <c r="A13210"/>
    </row>
    <row r="13211" spans="1:1" x14ac:dyDescent="0.35">
      <c r="A13211"/>
    </row>
    <row r="13212" spans="1:1" x14ac:dyDescent="0.35">
      <c r="A13212"/>
    </row>
    <row r="13213" spans="1:1" x14ac:dyDescent="0.35">
      <c r="A13213"/>
    </row>
    <row r="13214" spans="1:1" x14ac:dyDescent="0.35">
      <c r="A13214"/>
    </row>
    <row r="13215" spans="1:1" x14ac:dyDescent="0.35">
      <c r="A13215"/>
    </row>
    <row r="13216" spans="1:1" x14ac:dyDescent="0.35">
      <c r="A13216"/>
    </row>
    <row r="13217" spans="1:1" x14ac:dyDescent="0.35">
      <c r="A13217"/>
    </row>
    <row r="13218" spans="1:1" x14ac:dyDescent="0.35">
      <c r="A13218"/>
    </row>
    <row r="13219" spans="1:1" x14ac:dyDescent="0.35">
      <c r="A13219"/>
    </row>
    <row r="13220" spans="1:1" x14ac:dyDescent="0.35">
      <c r="A13220"/>
    </row>
    <row r="13221" spans="1:1" x14ac:dyDescent="0.35">
      <c r="A13221"/>
    </row>
    <row r="13222" spans="1:1" x14ac:dyDescent="0.35">
      <c r="A13222"/>
    </row>
    <row r="13223" spans="1:1" x14ac:dyDescent="0.35">
      <c r="A13223"/>
    </row>
    <row r="13224" spans="1:1" x14ac:dyDescent="0.35">
      <c r="A13224"/>
    </row>
    <row r="13225" spans="1:1" x14ac:dyDescent="0.35">
      <c r="A13225"/>
    </row>
    <row r="13226" spans="1:1" x14ac:dyDescent="0.35">
      <c r="A13226"/>
    </row>
    <row r="13227" spans="1:1" x14ac:dyDescent="0.35">
      <c r="A13227"/>
    </row>
    <row r="13228" spans="1:1" x14ac:dyDescent="0.35">
      <c r="A13228"/>
    </row>
    <row r="13229" spans="1:1" x14ac:dyDescent="0.35">
      <c r="A13229"/>
    </row>
    <row r="13230" spans="1:1" x14ac:dyDescent="0.35">
      <c r="A13230"/>
    </row>
    <row r="13231" spans="1:1" x14ac:dyDescent="0.35">
      <c r="A13231"/>
    </row>
    <row r="13232" spans="1:1" x14ac:dyDescent="0.35">
      <c r="A13232"/>
    </row>
    <row r="13233" spans="1:1" x14ac:dyDescent="0.35">
      <c r="A13233"/>
    </row>
    <row r="13234" spans="1:1" x14ac:dyDescent="0.35">
      <c r="A13234"/>
    </row>
    <row r="13235" spans="1:1" x14ac:dyDescent="0.35">
      <c r="A13235"/>
    </row>
    <row r="13236" spans="1:1" x14ac:dyDescent="0.35">
      <c r="A13236"/>
    </row>
    <row r="13237" spans="1:1" x14ac:dyDescent="0.35">
      <c r="A13237"/>
    </row>
    <row r="13238" spans="1:1" x14ac:dyDescent="0.35">
      <c r="A13238"/>
    </row>
    <row r="13239" spans="1:1" x14ac:dyDescent="0.35">
      <c r="A13239"/>
    </row>
    <row r="13240" spans="1:1" x14ac:dyDescent="0.35">
      <c r="A13240"/>
    </row>
    <row r="13241" spans="1:1" x14ac:dyDescent="0.35">
      <c r="A13241"/>
    </row>
    <row r="13242" spans="1:1" x14ac:dyDescent="0.35">
      <c r="A13242"/>
    </row>
    <row r="13243" spans="1:1" x14ac:dyDescent="0.35">
      <c r="A13243"/>
    </row>
    <row r="13244" spans="1:1" x14ac:dyDescent="0.35">
      <c r="A13244"/>
    </row>
  </sheetData>
  <autoFilter ref="A1:P86" xr:uid="{54A29892-D3D2-4C34-84D1-12CA7097E5CA}"/>
  <mergeCells count="9">
    <mergeCell ref="L33:L35"/>
    <mergeCell ref="M33:M35"/>
    <mergeCell ref="N33:N35"/>
    <mergeCell ref="O33:O35"/>
    <mergeCell ref="G33:G35"/>
    <mergeCell ref="H33:H35"/>
    <mergeCell ref="I33:I35"/>
    <mergeCell ref="J33:J35"/>
    <mergeCell ref="K33:K35"/>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AE30-DAED-40E3-AA44-541646E3CAA6}">
  <dimension ref="B2:AJ59"/>
  <sheetViews>
    <sheetView showGridLines="0" workbookViewId="0">
      <pane xSplit="8" ySplit="3" topLeftCell="Q4" activePane="bottomRight" state="frozen"/>
      <selection pane="topRight" activeCell="F126" sqref="F126"/>
      <selection pane="bottomLeft" activeCell="F126" sqref="F126"/>
      <selection pane="bottomRight" activeCell="S59" sqref="S59"/>
    </sheetView>
  </sheetViews>
  <sheetFormatPr defaultColWidth="8.81640625" defaultRowHeight="14.5" x14ac:dyDescent="0.35"/>
  <cols>
    <col min="1" max="1" width="4.453125" customWidth="1"/>
    <col min="2" max="5" width="10" customWidth="1"/>
    <col min="6" max="6" width="34.26953125" customWidth="1"/>
    <col min="7" max="7" width="28.453125" bestFit="1" customWidth="1"/>
    <col min="8" max="8" width="9.453125" bestFit="1" customWidth="1"/>
    <col min="9" max="9" width="12.1796875" bestFit="1" customWidth="1"/>
    <col min="10" max="10" width="13.26953125" bestFit="1" customWidth="1"/>
    <col min="11" max="11" width="12.1796875" bestFit="1" customWidth="1"/>
    <col min="12" max="12" width="13.26953125" bestFit="1" customWidth="1"/>
    <col min="13" max="13" width="12.453125" bestFit="1" customWidth="1"/>
    <col min="14" max="14" width="13.26953125" bestFit="1" customWidth="1"/>
    <col min="15" max="15" width="12.1796875" bestFit="1" customWidth="1"/>
    <col min="16" max="16" width="13.26953125" bestFit="1" customWidth="1"/>
    <col min="17" max="17" width="13.26953125" customWidth="1"/>
    <col min="18" max="18" width="12.1796875" bestFit="1" customWidth="1"/>
    <col min="19" max="19" width="13.26953125" bestFit="1" customWidth="1"/>
    <col min="20" max="20" width="12.1796875" bestFit="1" customWidth="1"/>
    <col min="21" max="21" width="13.26953125" bestFit="1" customWidth="1"/>
    <col min="22" max="22" width="12.1796875" bestFit="1" customWidth="1"/>
    <col min="23" max="23" width="13.26953125" bestFit="1" customWidth="1"/>
    <col min="24" max="24" width="12.1796875" bestFit="1" customWidth="1"/>
    <col min="25" max="25" width="13.26953125" bestFit="1" customWidth="1"/>
    <col min="26" max="26" width="12.1796875" bestFit="1" customWidth="1"/>
    <col min="27" max="27" width="13.26953125" bestFit="1" customWidth="1"/>
    <col min="28" max="28" width="12.1796875" bestFit="1" customWidth="1"/>
    <col min="29" max="29" width="13.26953125" bestFit="1" customWidth="1"/>
    <col min="30" max="30" width="12.1796875" bestFit="1" customWidth="1"/>
    <col min="31" max="31" width="13.26953125" bestFit="1" customWidth="1"/>
    <col min="32" max="32" width="12.1796875" bestFit="1" customWidth="1"/>
    <col min="33" max="34" width="20" customWidth="1"/>
    <col min="35" max="35" width="19.453125" style="495" customWidth="1"/>
  </cols>
  <sheetData>
    <row r="2" spans="2:36" x14ac:dyDescent="0.35">
      <c r="B2" s="757" t="s">
        <v>576</v>
      </c>
      <c r="C2" s="539" t="s">
        <v>853</v>
      </c>
      <c r="D2" s="539"/>
      <c r="E2" s="539"/>
      <c r="F2" s="586"/>
      <c r="G2" s="586"/>
      <c r="H2" s="757" t="s">
        <v>9</v>
      </c>
      <c r="I2" s="756">
        <v>46023</v>
      </c>
      <c r="J2" s="757"/>
      <c r="K2" s="756">
        <v>46054</v>
      </c>
      <c r="L2" s="757"/>
      <c r="M2" s="756">
        <v>46082</v>
      </c>
      <c r="N2" s="757"/>
      <c r="O2" s="756">
        <v>46113</v>
      </c>
      <c r="P2" s="757"/>
      <c r="Q2" s="492"/>
      <c r="R2" s="756">
        <v>46143</v>
      </c>
      <c r="S2" s="757"/>
      <c r="T2" s="756">
        <v>46174</v>
      </c>
      <c r="U2" s="757"/>
      <c r="V2" s="756">
        <v>46204</v>
      </c>
      <c r="W2" s="757"/>
      <c r="X2" s="756">
        <v>46235</v>
      </c>
      <c r="Y2" s="757"/>
      <c r="Z2" s="756">
        <v>46266</v>
      </c>
      <c r="AA2" s="757"/>
      <c r="AB2" s="756">
        <v>46296</v>
      </c>
      <c r="AC2" s="757"/>
      <c r="AD2" s="756">
        <v>46327</v>
      </c>
      <c r="AE2" s="757"/>
      <c r="AF2" s="756">
        <v>46357</v>
      </c>
      <c r="AG2" s="757"/>
      <c r="AH2" s="757" t="s">
        <v>854</v>
      </c>
      <c r="AI2" s="757" t="s">
        <v>855</v>
      </c>
      <c r="AJ2" s="14"/>
    </row>
    <row r="3" spans="2:36" x14ac:dyDescent="0.35">
      <c r="B3" s="757"/>
      <c r="C3" s="539" t="s">
        <v>856</v>
      </c>
      <c r="D3" s="539" t="s">
        <v>857</v>
      </c>
      <c r="E3" s="539" t="s">
        <v>858</v>
      </c>
      <c r="F3" s="586" t="s">
        <v>836</v>
      </c>
      <c r="G3" s="586" t="s">
        <v>5</v>
      </c>
      <c r="H3" s="757"/>
      <c r="I3" s="492" t="s">
        <v>859</v>
      </c>
      <c r="J3" s="492" t="s">
        <v>398</v>
      </c>
      <c r="K3" s="492" t="s">
        <v>859</v>
      </c>
      <c r="L3" s="492" t="s">
        <v>398</v>
      </c>
      <c r="M3" s="492" t="s">
        <v>859</v>
      </c>
      <c r="N3" s="492" t="s">
        <v>398</v>
      </c>
      <c r="O3" s="492" t="s">
        <v>859</v>
      </c>
      <c r="P3" s="492" t="s">
        <v>398</v>
      </c>
      <c r="Q3" s="492"/>
      <c r="R3" s="492" t="s">
        <v>859</v>
      </c>
      <c r="S3" s="492" t="s">
        <v>398</v>
      </c>
      <c r="T3" s="492" t="s">
        <v>859</v>
      </c>
      <c r="U3" s="492" t="s">
        <v>398</v>
      </c>
      <c r="V3" s="492" t="s">
        <v>859</v>
      </c>
      <c r="W3" s="492" t="s">
        <v>398</v>
      </c>
      <c r="X3" s="492" t="s">
        <v>859</v>
      </c>
      <c r="Y3" s="492" t="s">
        <v>398</v>
      </c>
      <c r="Z3" s="492" t="s">
        <v>859</v>
      </c>
      <c r="AA3" s="492" t="s">
        <v>398</v>
      </c>
      <c r="AB3" s="492" t="s">
        <v>859</v>
      </c>
      <c r="AC3" s="492" t="s">
        <v>398</v>
      </c>
      <c r="AD3" s="492" t="s">
        <v>859</v>
      </c>
      <c r="AE3" s="492" t="s">
        <v>398</v>
      </c>
      <c r="AF3" s="492" t="s">
        <v>859</v>
      </c>
      <c r="AG3" s="492" t="s">
        <v>398</v>
      </c>
      <c r="AH3" s="757"/>
      <c r="AI3" s="757"/>
      <c r="AJ3" s="14"/>
    </row>
    <row r="4" spans="2:36" x14ac:dyDescent="0.35">
      <c r="B4" s="542" t="s">
        <v>117</v>
      </c>
      <c r="C4" s="542" t="s">
        <v>860</v>
      </c>
      <c r="D4" s="542" t="s">
        <v>41</v>
      </c>
      <c r="E4" s="542" t="s">
        <v>861</v>
      </c>
      <c r="F4" s="542" t="s">
        <v>790</v>
      </c>
      <c r="G4" s="542" t="s">
        <v>791</v>
      </c>
      <c r="H4" s="543">
        <v>4.3E-3</v>
      </c>
      <c r="I4" s="544">
        <v>550000</v>
      </c>
      <c r="J4" s="545">
        <f t="shared" ref="J4:J38" si="0">I4*$H4</f>
        <v>2365</v>
      </c>
      <c r="K4" s="544">
        <v>550000</v>
      </c>
      <c r="L4" s="545">
        <f>K4*$H4</f>
        <v>2365</v>
      </c>
      <c r="M4" s="544">
        <v>570000</v>
      </c>
      <c r="N4" s="545">
        <f>M4*$H4</f>
        <v>2451</v>
      </c>
      <c r="O4" s="544">
        <v>600000</v>
      </c>
      <c r="P4" s="545">
        <f>O4*$H4</f>
        <v>2580</v>
      </c>
      <c r="Q4" s="545">
        <f>P4-S4</f>
        <v>215</v>
      </c>
      <c r="R4" s="544">
        <v>550000</v>
      </c>
      <c r="S4" s="545">
        <f>R4*$H4</f>
        <v>2365</v>
      </c>
      <c r="T4" s="544">
        <v>600000</v>
      </c>
      <c r="U4" s="545">
        <f>T4*$H4</f>
        <v>2580</v>
      </c>
      <c r="V4" s="544">
        <v>600000</v>
      </c>
      <c r="W4" s="545">
        <f>V4*$H4</f>
        <v>2580</v>
      </c>
      <c r="X4" s="544">
        <v>600000</v>
      </c>
      <c r="Y4" s="545">
        <f>X4*$H4</f>
        <v>2580</v>
      </c>
      <c r="Z4" s="544">
        <v>600000</v>
      </c>
      <c r="AA4" s="545">
        <f>Z4*$H4</f>
        <v>2580</v>
      </c>
      <c r="AB4" s="544">
        <v>600000</v>
      </c>
      <c r="AC4" s="545">
        <f>AB4*$H4</f>
        <v>2580</v>
      </c>
      <c r="AD4" s="544">
        <v>600000</v>
      </c>
      <c r="AE4" s="545">
        <f>AD4*$H4</f>
        <v>2580</v>
      </c>
      <c r="AF4" s="544">
        <v>600000</v>
      </c>
      <c r="AG4" s="545">
        <f>AF4*$H4</f>
        <v>2580</v>
      </c>
      <c r="AH4" s="493">
        <f t="shared" ref="AH4:AH16" si="1">SUM(I4,K4,M4,O4,R4,T4,V4,X4,Z4,AB4,AD4,AF4)</f>
        <v>7020000</v>
      </c>
      <c r="AI4" s="493">
        <f t="shared" ref="AI4:AI16" si="2">SUM(J4,L4,N4,P4,S4,U4,W4,Y4,AA4,AC4,AE4,AG4)</f>
        <v>30186</v>
      </c>
      <c r="AJ4" s="14"/>
    </row>
    <row r="5" spans="2:36" x14ac:dyDescent="0.35">
      <c r="B5" s="542" t="s">
        <v>117</v>
      </c>
      <c r="C5" s="542" t="s">
        <v>860</v>
      </c>
      <c r="D5" s="542" t="s">
        <v>41</v>
      </c>
      <c r="E5" s="542" t="s">
        <v>861</v>
      </c>
      <c r="F5" s="542" t="s">
        <v>790</v>
      </c>
      <c r="G5" s="542" t="s">
        <v>792</v>
      </c>
      <c r="H5" s="543">
        <v>2.5499999999999998E-2</v>
      </c>
      <c r="I5" s="544">
        <v>300000</v>
      </c>
      <c r="J5" s="545">
        <f t="shared" si="0"/>
        <v>7649.9999999999991</v>
      </c>
      <c r="K5" s="544">
        <v>300000</v>
      </c>
      <c r="L5" s="545">
        <f t="shared" ref="L5:N6" si="3">K5*$H5</f>
        <v>7649.9999999999991</v>
      </c>
      <c r="M5" s="544">
        <v>330000</v>
      </c>
      <c r="N5" s="545">
        <f t="shared" si="3"/>
        <v>8415</v>
      </c>
      <c r="O5" s="544">
        <v>350000</v>
      </c>
      <c r="P5" s="545">
        <f t="shared" ref="P5:S6" si="4">O5*$H5</f>
        <v>8925</v>
      </c>
      <c r="Q5" s="545">
        <f t="shared" ref="Q5:Q58" si="5">P5-S5</f>
        <v>1275.0000000000009</v>
      </c>
      <c r="R5" s="544">
        <v>300000</v>
      </c>
      <c r="S5" s="545">
        <f t="shared" si="4"/>
        <v>7649.9999999999991</v>
      </c>
      <c r="T5" s="544">
        <v>350000</v>
      </c>
      <c r="U5" s="545">
        <f t="shared" ref="U5:U6" si="6">T5*$H5</f>
        <v>8925</v>
      </c>
      <c r="V5" s="544">
        <v>350000</v>
      </c>
      <c r="W5" s="545">
        <f t="shared" ref="W5:W6" si="7">V5*$H5</f>
        <v>8925</v>
      </c>
      <c r="X5" s="544">
        <v>350000</v>
      </c>
      <c r="Y5" s="545">
        <f t="shared" ref="Y5:Y6" si="8">X5*$H5</f>
        <v>8925</v>
      </c>
      <c r="Z5" s="544">
        <v>350000</v>
      </c>
      <c r="AA5" s="545">
        <f t="shared" ref="AA5:AA6" si="9">Z5*$H5</f>
        <v>8925</v>
      </c>
      <c r="AB5" s="544">
        <v>350000</v>
      </c>
      <c r="AC5" s="545">
        <f t="shared" ref="AC5:AC6" si="10">AB5*$H5</f>
        <v>8925</v>
      </c>
      <c r="AD5" s="544">
        <v>350000</v>
      </c>
      <c r="AE5" s="545">
        <f t="shared" ref="AE5:AE6" si="11">AD5*$H5</f>
        <v>8925</v>
      </c>
      <c r="AF5" s="544">
        <v>350000</v>
      </c>
      <c r="AG5" s="545">
        <f t="shared" ref="AG5:AG6" si="12">AF5*$H5</f>
        <v>8925</v>
      </c>
      <c r="AH5" s="493">
        <f t="shared" si="1"/>
        <v>4030000</v>
      </c>
      <c r="AI5" s="493">
        <f t="shared" si="2"/>
        <v>102765</v>
      </c>
      <c r="AJ5" s="14"/>
    </row>
    <row r="6" spans="2:36" x14ac:dyDescent="0.35">
      <c r="B6" s="542" t="s">
        <v>117</v>
      </c>
      <c r="C6" s="542" t="s">
        <v>860</v>
      </c>
      <c r="D6" s="542" t="s">
        <v>41</v>
      </c>
      <c r="E6" s="542" t="s">
        <v>861</v>
      </c>
      <c r="F6" s="542" t="s">
        <v>790</v>
      </c>
      <c r="G6" s="542" t="s">
        <v>59</v>
      </c>
      <c r="H6" s="543">
        <v>6.4000000000000003E-3</v>
      </c>
      <c r="I6" s="544">
        <v>40000</v>
      </c>
      <c r="J6" s="545">
        <f t="shared" si="0"/>
        <v>256</v>
      </c>
      <c r="K6" s="544">
        <v>40000</v>
      </c>
      <c r="L6" s="545">
        <f t="shared" si="3"/>
        <v>256</v>
      </c>
      <c r="M6" s="544">
        <v>45000</v>
      </c>
      <c r="N6" s="545">
        <f t="shared" si="3"/>
        <v>288</v>
      </c>
      <c r="O6" s="544">
        <v>50000</v>
      </c>
      <c r="P6" s="545">
        <f t="shared" si="4"/>
        <v>320</v>
      </c>
      <c r="Q6" s="545">
        <f t="shared" si="5"/>
        <v>64</v>
      </c>
      <c r="R6" s="544">
        <v>40000</v>
      </c>
      <c r="S6" s="545">
        <f t="shared" si="4"/>
        <v>256</v>
      </c>
      <c r="T6" s="544">
        <v>50000</v>
      </c>
      <c r="U6" s="545">
        <f t="shared" si="6"/>
        <v>320</v>
      </c>
      <c r="V6" s="544">
        <v>50000</v>
      </c>
      <c r="W6" s="545">
        <f t="shared" si="7"/>
        <v>320</v>
      </c>
      <c r="X6" s="544">
        <v>50000</v>
      </c>
      <c r="Y6" s="545">
        <f t="shared" si="8"/>
        <v>320</v>
      </c>
      <c r="Z6" s="544">
        <v>50000</v>
      </c>
      <c r="AA6" s="545">
        <f t="shared" si="9"/>
        <v>320</v>
      </c>
      <c r="AB6" s="544">
        <v>50000</v>
      </c>
      <c r="AC6" s="545">
        <f t="shared" si="10"/>
        <v>320</v>
      </c>
      <c r="AD6" s="544">
        <v>50000</v>
      </c>
      <c r="AE6" s="545">
        <f t="shared" si="11"/>
        <v>320</v>
      </c>
      <c r="AF6" s="544">
        <v>50000</v>
      </c>
      <c r="AG6" s="545">
        <f t="shared" si="12"/>
        <v>320</v>
      </c>
      <c r="AH6" s="493">
        <f t="shared" si="1"/>
        <v>565000</v>
      </c>
      <c r="AI6" s="493">
        <f t="shared" si="2"/>
        <v>3616</v>
      </c>
      <c r="AJ6" s="14"/>
    </row>
    <row r="7" spans="2:36" x14ac:dyDescent="0.35">
      <c r="B7" s="542" t="s">
        <v>117</v>
      </c>
      <c r="C7" s="542" t="s">
        <v>860</v>
      </c>
      <c r="D7" s="542" t="s">
        <v>62</v>
      </c>
      <c r="E7" s="542" t="s">
        <v>862</v>
      </c>
      <c r="F7" s="542" t="s">
        <v>782</v>
      </c>
      <c r="G7" s="542" t="s">
        <v>87</v>
      </c>
      <c r="H7" s="546">
        <v>0.55000000000000004</v>
      </c>
      <c r="I7" s="542">
        <v>840</v>
      </c>
      <c r="J7" s="545">
        <f t="shared" si="0"/>
        <v>462.00000000000006</v>
      </c>
      <c r="K7" s="542">
        <v>840</v>
      </c>
      <c r="L7" s="545">
        <f>K7*$H7</f>
        <v>462.00000000000006</v>
      </c>
      <c r="M7" s="542">
        <v>840</v>
      </c>
      <c r="N7" s="545">
        <f>M7*$H7</f>
        <v>462.00000000000006</v>
      </c>
      <c r="O7" s="542">
        <v>840</v>
      </c>
      <c r="P7" s="545">
        <f>O7*$H7</f>
        <v>462.00000000000006</v>
      </c>
      <c r="Q7" s="545">
        <f t="shared" si="5"/>
        <v>0</v>
      </c>
      <c r="R7" s="542">
        <v>840</v>
      </c>
      <c r="S7" s="545">
        <f>R7*$H7</f>
        <v>462.00000000000006</v>
      </c>
      <c r="T7" s="542">
        <v>840</v>
      </c>
      <c r="U7" s="545">
        <f>T7*$H7</f>
        <v>462.00000000000006</v>
      </c>
      <c r="V7" s="542">
        <v>840</v>
      </c>
      <c r="W7" s="545">
        <f>V7*$H7</f>
        <v>462.00000000000006</v>
      </c>
      <c r="X7" s="542">
        <v>840</v>
      </c>
      <c r="Y7" s="545">
        <f>X7*$H7</f>
        <v>462.00000000000006</v>
      </c>
      <c r="Z7" s="542">
        <v>840</v>
      </c>
      <c r="AA7" s="545">
        <f>Z7*$H7</f>
        <v>462.00000000000006</v>
      </c>
      <c r="AB7" s="542">
        <v>840</v>
      </c>
      <c r="AC7" s="545">
        <f>AB7*$H7</f>
        <v>462.00000000000006</v>
      </c>
      <c r="AD7" s="542">
        <v>840</v>
      </c>
      <c r="AE7" s="545">
        <f>AD7*$H7</f>
        <v>462.00000000000006</v>
      </c>
      <c r="AF7" s="542">
        <v>840</v>
      </c>
      <c r="AG7" s="545">
        <f>AF7*$H7</f>
        <v>462.00000000000006</v>
      </c>
      <c r="AH7" s="493">
        <f t="shared" si="1"/>
        <v>10080</v>
      </c>
      <c r="AI7" s="493">
        <f t="shared" si="2"/>
        <v>5544.0000000000009</v>
      </c>
      <c r="AJ7" s="14"/>
    </row>
    <row r="8" spans="2:36" x14ac:dyDescent="0.35">
      <c r="B8" s="542" t="s">
        <v>117</v>
      </c>
      <c r="C8" s="542" t="s">
        <v>860</v>
      </c>
      <c r="D8" s="542" t="s">
        <v>62</v>
      </c>
      <c r="E8" s="542" t="s">
        <v>862</v>
      </c>
      <c r="F8" s="542" t="s">
        <v>782</v>
      </c>
      <c r="G8" s="542" t="s">
        <v>86</v>
      </c>
      <c r="H8" s="546">
        <v>0.27</v>
      </c>
      <c r="I8" s="542">
        <v>6000</v>
      </c>
      <c r="J8" s="545">
        <f t="shared" si="0"/>
        <v>1620</v>
      </c>
      <c r="K8" s="542">
        <v>5900</v>
      </c>
      <c r="L8" s="545">
        <f t="shared" ref="L8:Y24" si="13">K8*$H8</f>
        <v>1593</v>
      </c>
      <c r="M8" s="542">
        <v>6337</v>
      </c>
      <c r="N8" s="545">
        <f t="shared" ref="N8:N18" si="14">M8*$H8</f>
        <v>1710.99</v>
      </c>
      <c r="O8" s="542">
        <v>6337</v>
      </c>
      <c r="P8" s="545">
        <f t="shared" ref="P8:P18" si="15">O8*$H8</f>
        <v>1710.99</v>
      </c>
      <c r="Q8" s="545">
        <f t="shared" si="5"/>
        <v>117.99000000000001</v>
      </c>
      <c r="R8" s="542">
        <v>5900</v>
      </c>
      <c r="S8" s="545">
        <f t="shared" ref="S8:S18" si="16">R8*$H8</f>
        <v>1593</v>
      </c>
      <c r="T8" s="542">
        <v>6337</v>
      </c>
      <c r="U8" s="545">
        <f t="shared" ref="U8:U18" si="17">T8*$H8</f>
        <v>1710.99</v>
      </c>
      <c r="V8" s="542">
        <v>6337</v>
      </c>
      <c r="W8" s="545">
        <f t="shared" ref="W8:W18" si="18">V8*$H8</f>
        <v>1710.99</v>
      </c>
      <c r="X8" s="542">
        <v>6000</v>
      </c>
      <c r="Y8" s="545">
        <f t="shared" ref="Y8:Y18" si="19">X8*$H8</f>
        <v>1620</v>
      </c>
      <c r="Z8" s="542">
        <v>6000</v>
      </c>
      <c r="AA8" s="545">
        <f t="shared" ref="AA8:AG24" si="20">Z8*$H8</f>
        <v>1620</v>
      </c>
      <c r="AB8" s="542">
        <v>6337</v>
      </c>
      <c r="AC8" s="545">
        <f t="shared" ref="AC8:AC18" si="21">AB8*$H8</f>
        <v>1710.99</v>
      </c>
      <c r="AD8" s="542">
        <v>5900</v>
      </c>
      <c r="AE8" s="545">
        <f t="shared" ref="AE8:AE18" si="22">AD8*$H8</f>
        <v>1593</v>
      </c>
      <c r="AF8" s="542">
        <v>6337</v>
      </c>
      <c r="AG8" s="545">
        <f t="shared" ref="AG8:AG18" si="23">AF8*$H8</f>
        <v>1710.99</v>
      </c>
      <c r="AH8" s="493">
        <f t="shared" si="1"/>
        <v>73722</v>
      </c>
      <c r="AI8" s="493">
        <f t="shared" si="2"/>
        <v>19904.940000000002</v>
      </c>
      <c r="AJ8" s="14"/>
    </row>
    <row r="9" spans="2:36" x14ac:dyDescent="0.35">
      <c r="B9" s="542" t="s">
        <v>117</v>
      </c>
      <c r="C9" s="542" t="s">
        <v>860</v>
      </c>
      <c r="D9" s="542" t="s">
        <v>62</v>
      </c>
      <c r="E9" s="542" t="s">
        <v>862</v>
      </c>
      <c r="F9" s="542" t="s">
        <v>782</v>
      </c>
      <c r="G9" s="542" t="s">
        <v>783</v>
      </c>
      <c r="H9" s="546">
        <v>0.54</v>
      </c>
      <c r="I9" s="542">
        <v>828</v>
      </c>
      <c r="J9" s="545">
        <f t="shared" si="0"/>
        <v>447.12</v>
      </c>
      <c r="K9" s="542">
        <v>800</v>
      </c>
      <c r="L9" s="545">
        <f t="shared" si="13"/>
        <v>432</v>
      </c>
      <c r="M9" s="542">
        <v>828</v>
      </c>
      <c r="N9" s="545">
        <f t="shared" si="14"/>
        <v>447.12</v>
      </c>
      <c r="O9" s="542">
        <v>828</v>
      </c>
      <c r="P9" s="545">
        <f t="shared" si="15"/>
        <v>447.12</v>
      </c>
      <c r="Q9" s="545">
        <f t="shared" si="5"/>
        <v>15.120000000000005</v>
      </c>
      <c r="R9" s="542">
        <v>800</v>
      </c>
      <c r="S9" s="545">
        <f t="shared" si="16"/>
        <v>432</v>
      </c>
      <c r="T9" s="542">
        <v>828</v>
      </c>
      <c r="U9" s="545">
        <f t="shared" si="17"/>
        <v>447.12</v>
      </c>
      <c r="V9" s="542">
        <v>828</v>
      </c>
      <c r="W9" s="545">
        <f t="shared" si="18"/>
        <v>447.12</v>
      </c>
      <c r="X9" s="542">
        <v>780</v>
      </c>
      <c r="Y9" s="545">
        <f t="shared" si="19"/>
        <v>421.20000000000005</v>
      </c>
      <c r="Z9" s="542">
        <v>780</v>
      </c>
      <c r="AA9" s="545">
        <f t="shared" si="20"/>
        <v>421.20000000000005</v>
      </c>
      <c r="AB9" s="542">
        <v>828</v>
      </c>
      <c r="AC9" s="545">
        <f t="shared" si="21"/>
        <v>447.12</v>
      </c>
      <c r="AD9" s="542">
        <v>800</v>
      </c>
      <c r="AE9" s="545">
        <f t="shared" si="22"/>
        <v>432</v>
      </c>
      <c r="AF9" s="542">
        <v>828</v>
      </c>
      <c r="AG9" s="545">
        <f t="shared" si="23"/>
        <v>447.12</v>
      </c>
      <c r="AH9" s="493">
        <f t="shared" si="1"/>
        <v>9756</v>
      </c>
      <c r="AI9" s="493">
        <f t="shared" si="2"/>
        <v>5268.24</v>
      </c>
      <c r="AJ9" s="14"/>
    </row>
    <row r="10" spans="2:36" x14ac:dyDescent="0.35">
      <c r="B10" s="542" t="s">
        <v>117</v>
      </c>
      <c r="C10" s="542" t="s">
        <v>860</v>
      </c>
      <c r="D10" s="542" t="s">
        <v>62</v>
      </c>
      <c r="E10" s="542" t="s">
        <v>862</v>
      </c>
      <c r="F10" s="542" t="s">
        <v>782</v>
      </c>
      <c r="G10" s="542" t="s">
        <v>784</v>
      </c>
      <c r="H10" s="546">
        <v>0.25</v>
      </c>
      <c r="I10" s="542">
        <v>6000</v>
      </c>
      <c r="J10" s="545">
        <f t="shared" si="0"/>
        <v>1500</v>
      </c>
      <c r="K10" s="542">
        <v>6000</v>
      </c>
      <c r="L10" s="545">
        <f t="shared" si="13"/>
        <v>1500</v>
      </c>
      <c r="M10" s="542">
        <v>6229</v>
      </c>
      <c r="N10" s="545">
        <f t="shared" si="14"/>
        <v>1557.25</v>
      </c>
      <c r="O10" s="542">
        <v>6229</v>
      </c>
      <c r="P10" s="545">
        <f t="shared" si="15"/>
        <v>1557.25</v>
      </c>
      <c r="Q10" s="545">
        <f t="shared" si="5"/>
        <v>57.25</v>
      </c>
      <c r="R10" s="542">
        <v>6000</v>
      </c>
      <c r="S10" s="545">
        <f t="shared" si="16"/>
        <v>1500</v>
      </c>
      <c r="T10" s="542">
        <v>6229</v>
      </c>
      <c r="U10" s="545">
        <f t="shared" si="17"/>
        <v>1557.25</v>
      </c>
      <c r="V10" s="542">
        <v>6229</v>
      </c>
      <c r="W10" s="545">
        <f t="shared" si="18"/>
        <v>1557.25</v>
      </c>
      <c r="X10" s="542">
        <v>6000</v>
      </c>
      <c r="Y10" s="545">
        <f t="shared" si="19"/>
        <v>1500</v>
      </c>
      <c r="Z10" s="542">
        <v>6000</v>
      </c>
      <c r="AA10" s="545">
        <f t="shared" si="20"/>
        <v>1500</v>
      </c>
      <c r="AB10" s="542">
        <v>6229</v>
      </c>
      <c r="AC10" s="545">
        <f t="shared" si="21"/>
        <v>1557.25</v>
      </c>
      <c r="AD10" s="542">
        <v>6000</v>
      </c>
      <c r="AE10" s="545">
        <f t="shared" si="22"/>
        <v>1500</v>
      </c>
      <c r="AF10" s="542">
        <v>6229</v>
      </c>
      <c r="AG10" s="545">
        <f t="shared" si="23"/>
        <v>1557.25</v>
      </c>
      <c r="AH10" s="493">
        <f t="shared" si="1"/>
        <v>73374</v>
      </c>
      <c r="AI10" s="493">
        <f t="shared" si="2"/>
        <v>18343.5</v>
      </c>
      <c r="AJ10" s="14"/>
    </row>
    <row r="11" spans="2:36" x14ac:dyDescent="0.35">
      <c r="B11" s="542" t="s">
        <v>117</v>
      </c>
      <c r="C11" s="542" t="s">
        <v>860</v>
      </c>
      <c r="D11" s="542" t="s">
        <v>62</v>
      </c>
      <c r="E11" s="542" t="s">
        <v>861</v>
      </c>
      <c r="F11" s="542" t="s">
        <v>782</v>
      </c>
      <c r="G11" s="542" t="s">
        <v>101</v>
      </c>
      <c r="H11" s="546">
        <v>1</v>
      </c>
      <c r="I11" s="542">
        <v>9000</v>
      </c>
      <c r="J11" s="545">
        <f t="shared" si="0"/>
        <v>9000</v>
      </c>
      <c r="K11" s="542">
        <v>8000</v>
      </c>
      <c r="L11" s="545">
        <f t="shared" si="13"/>
        <v>8000</v>
      </c>
      <c r="M11" s="542">
        <v>10000</v>
      </c>
      <c r="N11" s="545">
        <f t="shared" si="14"/>
        <v>10000</v>
      </c>
      <c r="O11" s="542">
        <v>10000</v>
      </c>
      <c r="P11" s="545">
        <f t="shared" si="15"/>
        <v>10000</v>
      </c>
      <c r="Q11" s="545">
        <f t="shared" si="5"/>
        <v>2000</v>
      </c>
      <c r="R11" s="542">
        <v>8000</v>
      </c>
      <c r="S11" s="545">
        <f t="shared" si="16"/>
        <v>8000</v>
      </c>
      <c r="T11" s="542">
        <v>10000</v>
      </c>
      <c r="U11" s="545">
        <f t="shared" si="17"/>
        <v>10000</v>
      </c>
      <c r="V11" s="542">
        <v>10000</v>
      </c>
      <c r="W11" s="545">
        <f t="shared" si="18"/>
        <v>10000</v>
      </c>
      <c r="X11" s="542">
        <v>9000</v>
      </c>
      <c r="Y11" s="545">
        <f t="shared" si="19"/>
        <v>9000</v>
      </c>
      <c r="Z11" s="542">
        <v>9000</v>
      </c>
      <c r="AA11" s="545">
        <f t="shared" si="20"/>
        <v>9000</v>
      </c>
      <c r="AB11" s="542">
        <v>10000</v>
      </c>
      <c r="AC11" s="545">
        <f t="shared" si="21"/>
        <v>10000</v>
      </c>
      <c r="AD11" s="542">
        <v>8000</v>
      </c>
      <c r="AE11" s="545">
        <f t="shared" si="22"/>
        <v>8000</v>
      </c>
      <c r="AF11" s="542">
        <v>10000</v>
      </c>
      <c r="AG11" s="545">
        <f t="shared" si="23"/>
        <v>10000</v>
      </c>
      <c r="AH11" s="493">
        <f t="shared" si="1"/>
        <v>111000</v>
      </c>
      <c r="AI11" s="493">
        <f t="shared" si="2"/>
        <v>111000</v>
      </c>
      <c r="AJ11" s="14"/>
    </row>
    <row r="12" spans="2:36" x14ac:dyDescent="0.35">
      <c r="B12" s="542" t="s">
        <v>117</v>
      </c>
      <c r="C12" s="542" t="s">
        <v>860</v>
      </c>
      <c r="D12" s="542" t="s">
        <v>62</v>
      </c>
      <c r="E12" s="542" t="s">
        <v>862</v>
      </c>
      <c r="F12" s="542" t="s">
        <v>782</v>
      </c>
      <c r="G12" s="542" t="s">
        <v>786</v>
      </c>
      <c r="H12" s="546">
        <v>0.14000000000000001</v>
      </c>
      <c r="I12" s="542">
        <v>41000</v>
      </c>
      <c r="J12" s="545">
        <f t="shared" si="0"/>
        <v>5740.0000000000009</v>
      </c>
      <c r="K12" s="542">
        <v>40000</v>
      </c>
      <c r="L12" s="545">
        <f t="shared" si="13"/>
        <v>5600.0000000000009</v>
      </c>
      <c r="M12" s="542">
        <v>43000</v>
      </c>
      <c r="N12" s="545">
        <f t="shared" si="14"/>
        <v>6020.0000000000009</v>
      </c>
      <c r="O12" s="542">
        <v>43000</v>
      </c>
      <c r="P12" s="545">
        <f t="shared" si="15"/>
        <v>6020.0000000000009</v>
      </c>
      <c r="Q12" s="545">
        <f t="shared" si="5"/>
        <v>420</v>
      </c>
      <c r="R12" s="542">
        <v>40000</v>
      </c>
      <c r="S12" s="545">
        <f t="shared" si="16"/>
        <v>5600.0000000000009</v>
      </c>
      <c r="T12" s="542">
        <v>43000</v>
      </c>
      <c r="U12" s="545">
        <f t="shared" si="17"/>
        <v>6020.0000000000009</v>
      </c>
      <c r="V12" s="542">
        <v>43000</v>
      </c>
      <c r="W12" s="545">
        <f t="shared" si="18"/>
        <v>6020.0000000000009</v>
      </c>
      <c r="X12" s="542">
        <v>41000</v>
      </c>
      <c r="Y12" s="545">
        <f t="shared" si="19"/>
        <v>5740.0000000000009</v>
      </c>
      <c r="Z12" s="542">
        <v>41000</v>
      </c>
      <c r="AA12" s="545">
        <f t="shared" si="20"/>
        <v>5740.0000000000009</v>
      </c>
      <c r="AB12" s="542">
        <v>43000</v>
      </c>
      <c r="AC12" s="545">
        <f t="shared" si="21"/>
        <v>6020.0000000000009</v>
      </c>
      <c r="AD12" s="542">
        <v>40000</v>
      </c>
      <c r="AE12" s="545">
        <f t="shared" si="22"/>
        <v>5600.0000000000009</v>
      </c>
      <c r="AF12" s="542">
        <v>43000</v>
      </c>
      <c r="AG12" s="545">
        <f t="shared" si="23"/>
        <v>6020.0000000000009</v>
      </c>
      <c r="AH12" s="493">
        <f t="shared" si="1"/>
        <v>501000</v>
      </c>
      <c r="AI12" s="493">
        <f t="shared" si="2"/>
        <v>70140.000000000015</v>
      </c>
      <c r="AJ12" s="14"/>
    </row>
    <row r="13" spans="2:36" x14ac:dyDescent="0.35">
      <c r="B13" s="542" t="s">
        <v>117</v>
      </c>
      <c r="C13" s="542" t="s">
        <v>860</v>
      </c>
      <c r="D13" s="542" t="s">
        <v>62</v>
      </c>
      <c r="E13" s="542" t="s">
        <v>862</v>
      </c>
      <c r="F13" s="542" t="s">
        <v>782</v>
      </c>
      <c r="G13" s="542" t="s">
        <v>840</v>
      </c>
      <c r="H13" s="549">
        <v>2.5999999999999999E-2</v>
      </c>
      <c r="I13" s="542">
        <v>38000</v>
      </c>
      <c r="J13" s="545">
        <f t="shared" si="0"/>
        <v>988</v>
      </c>
      <c r="K13" s="542">
        <v>36000</v>
      </c>
      <c r="L13" s="545">
        <f t="shared" si="13"/>
        <v>936</v>
      </c>
      <c r="M13" s="542">
        <v>40000</v>
      </c>
      <c r="N13" s="545">
        <f t="shared" si="14"/>
        <v>1040</v>
      </c>
      <c r="O13" s="542">
        <v>40000</v>
      </c>
      <c r="P13" s="545">
        <f t="shared" si="15"/>
        <v>1040</v>
      </c>
      <c r="Q13" s="545">
        <f t="shared" si="5"/>
        <v>104</v>
      </c>
      <c r="R13" s="542">
        <v>36000</v>
      </c>
      <c r="S13" s="545">
        <f t="shared" si="16"/>
        <v>936</v>
      </c>
      <c r="T13" s="542">
        <v>40000</v>
      </c>
      <c r="U13" s="545">
        <f t="shared" si="17"/>
        <v>1040</v>
      </c>
      <c r="V13" s="542">
        <v>40000</v>
      </c>
      <c r="W13" s="545">
        <f t="shared" si="18"/>
        <v>1040</v>
      </c>
      <c r="X13" s="542">
        <v>38000</v>
      </c>
      <c r="Y13" s="545">
        <f t="shared" si="19"/>
        <v>988</v>
      </c>
      <c r="Z13" s="542">
        <v>38000</v>
      </c>
      <c r="AA13" s="545">
        <f t="shared" si="20"/>
        <v>988</v>
      </c>
      <c r="AB13" s="542">
        <v>40000</v>
      </c>
      <c r="AC13" s="545">
        <f t="shared" si="21"/>
        <v>1040</v>
      </c>
      <c r="AD13" s="542">
        <v>36000</v>
      </c>
      <c r="AE13" s="545">
        <f t="shared" si="22"/>
        <v>936</v>
      </c>
      <c r="AF13" s="542">
        <v>40000</v>
      </c>
      <c r="AG13" s="545">
        <f t="shared" si="23"/>
        <v>1040</v>
      </c>
      <c r="AH13" s="493">
        <f t="shared" si="1"/>
        <v>462000</v>
      </c>
      <c r="AI13" s="493">
        <f t="shared" si="2"/>
        <v>12012</v>
      </c>
      <c r="AJ13" s="14"/>
    </row>
    <row r="14" spans="2:36" x14ac:dyDescent="0.35">
      <c r="B14" s="542" t="s">
        <v>117</v>
      </c>
      <c r="C14" s="542" t="s">
        <v>860</v>
      </c>
      <c r="D14" s="542" t="s">
        <v>62</v>
      </c>
      <c r="E14" s="542" t="s">
        <v>862</v>
      </c>
      <c r="F14" s="542" t="s">
        <v>782</v>
      </c>
      <c r="G14" s="542" t="s">
        <v>841</v>
      </c>
      <c r="H14" s="546">
        <v>0.16</v>
      </c>
      <c r="I14" s="542">
        <v>18000</v>
      </c>
      <c r="J14" s="545">
        <f t="shared" si="0"/>
        <v>2880</v>
      </c>
      <c r="K14" s="542">
        <v>17000</v>
      </c>
      <c r="L14" s="545">
        <f t="shared" si="13"/>
        <v>2720</v>
      </c>
      <c r="M14" s="542">
        <v>19000</v>
      </c>
      <c r="N14" s="545">
        <f t="shared" si="14"/>
        <v>3040</v>
      </c>
      <c r="O14" s="542">
        <v>19000</v>
      </c>
      <c r="P14" s="545">
        <f t="shared" si="15"/>
        <v>3040</v>
      </c>
      <c r="Q14" s="545">
        <f t="shared" si="5"/>
        <v>320</v>
      </c>
      <c r="R14" s="542">
        <v>17000</v>
      </c>
      <c r="S14" s="545">
        <f t="shared" si="16"/>
        <v>2720</v>
      </c>
      <c r="T14" s="542">
        <v>19000</v>
      </c>
      <c r="U14" s="545">
        <f t="shared" si="17"/>
        <v>3040</v>
      </c>
      <c r="V14" s="542">
        <v>19000</v>
      </c>
      <c r="W14" s="545">
        <f t="shared" si="18"/>
        <v>3040</v>
      </c>
      <c r="X14" s="542">
        <v>18000</v>
      </c>
      <c r="Y14" s="545">
        <f t="shared" si="19"/>
        <v>2880</v>
      </c>
      <c r="Z14" s="542">
        <v>18000</v>
      </c>
      <c r="AA14" s="545">
        <f t="shared" si="20"/>
        <v>2880</v>
      </c>
      <c r="AB14" s="542">
        <v>19000</v>
      </c>
      <c r="AC14" s="545">
        <f t="shared" si="21"/>
        <v>3040</v>
      </c>
      <c r="AD14" s="542">
        <v>17000</v>
      </c>
      <c r="AE14" s="545">
        <f t="shared" si="22"/>
        <v>2720</v>
      </c>
      <c r="AF14" s="542">
        <v>19000</v>
      </c>
      <c r="AG14" s="545">
        <f t="shared" si="23"/>
        <v>3040</v>
      </c>
      <c r="AH14" s="493">
        <f t="shared" si="1"/>
        <v>219000</v>
      </c>
      <c r="AI14" s="493">
        <f t="shared" si="2"/>
        <v>35040</v>
      </c>
      <c r="AJ14" s="14"/>
    </row>
    <row r="15" spans="2:36" x14ac:dyDescent="0.35">
      <c r="B15" s="542" t="s">
        <v>117</v>
      </c>
      <c r="C15" s="542" t="s">
        <v>860</v>
      </c>
      <c r="D15" s="542" t="s">
        <v>62</v>
      </c>
      <c r="E15" s="542" t="s">
        <v>862</v>
      </c>
      <c r="F15" s="542" t="s">
        <v>782</v>
      </c>
      <c r="G15" s="542" t="s">
        <v>34</v>
      </c>
      <c r="H15" s="546">
        <v>0.3</v>
      </c>
      <c r="I15" s="542">
        <v>350</v>
      </c>
      <c r="J15" s="545">
        <f t="shared" si="0"/>
        <v>105</v>
      </c>
      <c r="K15" s="542">
        <v>350</v>
      </c>
      <c r="L15" s="545">
        <f t="shared" si="13"/>
        <v>105</v>
      </c>
      <c r="M15" s="542">
        <v>350</v>
      </c>
      <c r="N15" s="545">
        <f t="shared" si="14"/>
        <v>105</v>
      </c>
      <c r="O15" s="542">
        <v>350</v>
      </c>
      <c r="P15" s="545">
        <f t="shared" si="15"/>
        <v>105</v>
      </c>
      <c r="Q15" s="545">
        <f t="shared" si="5"/>
        <v>0</v>
      </c>
      <c r="R15" s="542">
        <v>350</v>
      </c>
      <c r="S15" s="545">
        <f t="shared" si="16"/>
        <v>105</v>
      </c>
      <c r="T15" s="542">
        <v>350</v>
      </c>
      <c r="U15" s="545">
        <f t="shared" si="17"/>
        <v>105</v>
      </c>
      <c r="V15" s="542">
        <v>350</v>
      </c>
      <c r="W15" s="545">
        <f t="shared" si="18"/>
        <v>105</v>
      </c>
      <c r="X15" s="542">
        <v>350</v>
      </c>
      <c r="Y15" s="545">
        <f t="shared" si="19"/>
        <v>105</v>
      </c>
      <c r="Z15" s="542">
        <v>350</v>
      </c>
      <c r="AA15" s="545">
        <f t="shared" si="20"/>
        <v>105</v>
      </c>
      <c r="AB15" s="542">
        <v>350</v>
      </c>
      <c r="AC15" s="545">
        <f t="shared" si="21"/>
        <v>105</v>
      </c>
      <c r="AD15" s="542">
        <v>350</v>
      </c>
      <c r="AE15" s="545">
        <f t="shared" si="22"/>
        <v>105</v>
      </c>
      <c r="AF15" s="542">
        <v>350</v>
      </c>
      <c r="AG15" s="545">
        <f t="shared" si="23"/>
        <v>105</v>
      </c>
      <c r="AH15" s="493">
        <f t="shared" si="1"/>
        <v>4200</v>
      </c>
      <c r="AI15" s="493">
        <f t="shared" si="2"/>
        <v>1260</v>
      </c>
      <c r="AJ15" s="14"/>
    </row>
    <row r="16" spans="2:36" x14ac:dyDescent="0.35">
      <c r="B16" s="542" t="s">
        <v>117</v>
      </c>
      <c r="C16" s="542" t="s">
        <v>860</v>
      </c>
      <c r="D16" s="542" t="s">
        <v>43</v>
      </c>
      <c r="E16" s="542" t="s">
        <v>861</v>
      </c>
      <c r="F16" s="542" t="s">
        <v>782</v>
      </c>
      <c r="G16" s="542" t="s">
        <v>788</v>
      </c>
      <c r="H16" s="550">
        <v>1300</v>
      </c>
      <c r="I16" s="542">
        <v>1</v>
      </c>
      <c r="J16" s="545">
        <f t="shared" si="0"/>
        <v>1300</v>
      </c>
      <c r="K16" s="542">
        <v>1</v>
      </c>
      <c r="L16" s="545">
        <f t="shared" si="13"/>
        <v>1300</v>
      </c>
      <c r="M16" s="542">
        <v>1</v>
      </c>
      <c r="N16" s="545">
        <f t="shared" si="14"/>
        <v>1300</v>
      </c>
      <c r="O16" s="542">
        <v>1</v>
      </c>
      <c r="P16" s="545">
        <f t="shared" si="15"/>
        <v>1300</v>
      </c>
      <c r="Q16" s="545">
        <f t="shared" si="5"/>
        <v>0</v>
      </c>
      <c r="R16" s="542">
        <v>1</v>
      </c>
      <c r="S16" s="545">
        <f t="shared" si="16"/>
        <v>1300</v>
      </c>
      <c r="T16" s="542">
        <v>1</v>
      </c>
      <c r="U16" s="545">
        <f t="shared" si="17"/>
        <v>1300</v>
      </c>
      <c r="V16" s="542">
        <v>1</v>
      </c>
      <c r="W16" s="545">
        <f t="shared" si="18"/>
        <v>1300</v>
      </c>
      <c r="X16" s="542">
        <v>1</v>
      </c>
      <c r="Y16" s="545">
        <f t="shared" si="19"/>
        <v>1300</v>
      </c>
      <c r="Z16" s="542">
        <v>1</v>
      </c>
      <c r="AA16" s="545">
        <f t="shared" si="20"/>
        <v>1300</v>
      </c>
      <c r="AB16" s="542">
        <v>1</v>
      </c>
      <c r="AC16" s="545">
        <f t="shared" si="21"/>
        <v>1300</v>
      </c>
      <c r="AD16" s="542">
        <v>1</v>
      </c>
      <c r="AE16" s="545">
        <f t="shared" si="22"/>
        <v>1300</v>
      </c>
      <c r="AF16" s="542">
        <v>1</v>
      </c>
      <c r="AG16" s="545">
        <f t="shared" si="23"/>
        <v>1300</v>
      </c>
      <c r="AH16" s="493">
        <f t="shared" si="1"/>
        <v>12</v>
      </c>
      <c r="AI16" s="493">
        <f t="shared" si="2"/>
        <v>15600</v>
      </c>
      <c r="AJ16" s="14"/>
    </row>
    <row r="17" spans="2:36" x14ac:dyDescent="0.35">
      <c r="B17" s="554" t="s">
        <v>1665</v>
      </c>
      <c r="C17" s="554" t="s">
        <v>860</v>
      </c>
      <c r="D17" s="554" t="s">
        <v>43</v>
      </c>
      <c r="E17" s="554" t="s">
        <v>861</v>
      </c>
      <c r="F17" s="554" t="s">
        <v>782</v>
      </c>
      <c r="G17" s="554" t="s">
        <v>1302</v>
      </c>
      <c r="H17" s="550">
        <v>1350</v>
      </c>
      <c r="I17" s="542"/>
      <c r="J17" s="545"/>
      <c r="K17" s="542">
        <f>2*0.75</f>
        <v>1.5</v>
      </c>
      <c r="L17" s="545">
        <f t="shared" si="13"/>
        <v>2025</v>
      </c>
      <c r="M17" s="542">
        <v>2</v>
      </c>
      <c r="N17" s="545">
        <f t="shared" si="14"/>
        <v>2700</v>
      </c>
      <c r="O17" s="542">
        <v>2</v>
      </c>
      <c r="P17" s="545">
        <f t="shared" si="15"/>
        <v>2700</v>
      </c>
      <c r="Q17" s="545">
        <f t="shared" si="5"/>
        <v>0</v>
      </c>
      <c r="R17" s="542">
        <v>2</v>
      </c>
      <c r="S17" s="545">
        <f t="shared" si="16"/>
        <v>2700</v>
      </c>
      <c r="T17" s="542">
        <v>2</v>
      </c>
      <c r="U17" s="545">
        <f t="shared" si="17"/>
        <v>2700</v>
      </c>
      <c r="V17" s="542">
        <v>2</v>
      </c>
      <c r="W17" s="545">
        <f t="shared" si="18"/>
        <v>2700</v>
      </c>
      <c r="X17" s="542">
        <v>2</v>
      </c>
      <c r="Y17" s="545">
        <f t="shared" si="19"/>
        <v>2700</v>
      </c>
      <c r="Z17" s="542">
        <v>2</v>
      </c>
      <c r="AA17" s="545">
        <f t="shared" si="20"/>
        <v>2700</v>
      </c>
      <c r="AB17" s="542">
        <v>2</v>
      </c>
      <c r="AC17" s="545">
        <f t="shared" si="21"/>
        <v>2700</v>
      </c>
      <c r="AD17" s="542">
        <v>2</v>
      </c>
      <c r="AE17" s="545">
        <f t="shared" si="22"/>
        <v>2700</v>
      </c>
      <c r="AF17" s="542">
        <v>2</v>
      </c>
      <c r="AG17" s="545">
        <f t="shared" si="23"/>
        <v>2700</v>
      </c>
      <c r="AH17" s="493">
        <f t="shared" ref="AH17:AH18" si="24">SUM(I17,K17,M17,O17,R17,T17,V17,X17,Z17,AB17,AD17,AF17)</f>
        <v>21.5</v>
      </c>
      <c r="AI17" s="493">
        <f t="shared" ref="AI17:AI18" si="25">SUM(J17,L17,N17,P17,S17,U17,W17,Y17,AA17,AC17,AE17,AG17)</f>
        <v>29025</v>
      </c>
      <c r="AJ17" s="14"/>
    </row>
    <row r="18" spans="2:36" x14ac:dyDescent="0.35">
      <c r="B18" s="554" t="s">
        <v>1665</v>
      </c>
      <c r="C18" s="554" t="s">
        <v>860</v>
      </c>
      <c r="D18" s="554" t="s">
        <v>43</v>
      </c>
      <c r="E18" s="554" t="s">
        <v>861</v>
      </c>
      <c r="F18" s="554" t="s">
        <v>782</v>
      </c>
      <c r="G18" s="554" t="s">
        <v>1662</v>
      </c>
      <c r="H18" s="550">
        <v>1350</v>
      </c>
      <c r="I18" s="542"/>
      <c r="J18" s="545"/>
      <c r="K18" s="542">
        <f>3*0.5</f>
        <v>1.5</v>
      </c>
      <c r="L18" s="545">
        <f t="shared" si="13"/>
        <v>2025</v>
      </c>
      <c r="M18" s="542">
        <v>3</v>
      </c>
      <c r="N18" s="545">
        <f t="shared" si="14"/>
        <v>4050</v>
      </c>
      <c r="O18" s="542">
        <v>3</v>
      </c>
      <c r="P18" s="545">
        <f t="shared" si="15"/>
        <v>4050</v>
      </c>
      <c r="Q18" s="545">
        <f t="shared" si="5"/>
        <v>0</v>
      </c>
      <c r="R18" s="542">
        <v>3</v>
      </c>
      <c r="S18" s="545">
        <f t="shared" si="16"/>
        <v>4050</v>
      </c>
      <c r="T18" s="542">
        <v>3</v>
      </c>
      <c r="U18" s="545">
        <f t="shared" si="17"/>
        <v>4050</v>
      </c>
      <c r="V18" s="542">
        <v>3</v>
      </c>
      <c r="W18" s="545">
        <f t="shared" si="18"/>
        <v>4050</v>
      </c>
      <c r="X18" s="542">
        <v>3</v>
      </c>
      <c r="Y18" s="545">
        <f t="shared" si="19"/>
        <v>4050</v>
      </c>
      <c r="Z18" s="542">
        <v>3</v>
      </c>
      <c r="AA18" s="545">
        <f t="shared" si="20"/>
        <v>4050</v>
      </c>
      <c r="AB18" s="542">
        <v>3</v>
      </c>
      <c r="AC18" s="545">
        <f t="shared" si="21"/>
        <v>4050</v>
      </c>
      <c r="AD18" s="542">
        <v>3</v>
      </c>
      <c r="AE18" s="545">
        <f t="shared" si="22"/>
        <v>4050</v>
      </c>
      <c r="AF18" s="542">
        <v>3</v>
      </c>
      <c r="AG18" s="545">
        <f t="shared" si="23"/>
        <v>4050</v>
      </c>
      <c r="AH18" s="493">
        <f t="shared" si="24"/>
        <v>31.5</v>
      </c>
      <c r="AI18" s="493">
        <f t="shared" si="25"/>
        <v>42525</v>
      </c>
      <c r="AJ18" s="14"/>
    </row>
    <row r="19" spans="2:36" x14ac:dyDescent="0.35">
      <c r="B19" s="542" t="s">
        <v>117</v>
      </c>
      <c r="C19" s="542" t="s">
        <v>860</v>
      </c>
      <c r="D19" s="542" t="s">
        <v>41</v>
      </c>
      <c r="E19" s="542" t="s">
        <v>863</v>
      </c>
      <c r="F19" s="542" t="s">
        <v>802</v>
      </c>
      <c r="G19" s="1" t="s">
        <v>93</v>
      </c>
      <c r="H19" s="543">
        <v>0.03</v>
      </c>
      <c r="I19" s="545">
        <v>290000</v>
      </c>
      <c r="J19" s="545">
        <f t="shared" si="0"/>
        <v>8700</v>
      </c>
      <c r="K19" s="545">
        <v>290000</v>
      </c>
      <c r="L19" s="545">
        <f t="shared" si="13"/>
        <v>8700</v>
      </c>
      <c r="M19" s="545">
        <v>290000</v>
      </c>
      <c r="N19" s="545">
        <f t="shared" si="13"/>
        <v>8700</v>
      </c>
      <c r="O19" s="545">
        <v>290000</v>
      </c>
      <c r="P19" s="545">
        <f t="shared" si="13"/>
        <v>8700</v>
      </c>
      <c r="Q19" s="545">
        <f t="shared" si="5"/>
        <v>0</v>
      </c>
      <c r="R19" s="545">
        <v>290000</v>
      </c>
      <c r="S19" s="545">
        <f t="shared" si="13"/>
        <v>8700</v>
      </c>
      <c r="T19" s="545">
        <v>290000</v>
      </c>
      <c r="U19" s="545">
        <f t="shared" si="13"/>
        <v>8700</v>
      </c>
      <c r="V19" s="545">
        <v>290000</v>
      </c>
      <c r="W19" s="545">
        <f t="shared" si="13"/>
        <v>8700</v>
      </c>
      <c r="X19" s="545">
        <v>290000</v>
      </c>
      <c r="Y19" s="545">
        <f t="shared" si="13"/>
        <v>8700</v>
      </c>
      <c r="Z19" s="545">
        <v>290000</v>
      </c>
      <c r="AA19" s="545">
        <f t="shared" si="20"/>
        <v>8700</v>
      </c>
      <c r="AB19" s="545">
        <v>290000</v>
      </c>
      <c r="AC19" s="545">
        <f t="shared" si="20"/>
        <v>8700</v>
      </c>
      <c r="AD19" s="545">
        <v>290000</v>
      </c>
      <c r="AE19" s="545">
        <f t="shared" si="20"/>
        <v>8700</v>
      </c>
      <c r="AF19" s="545">
        <v>290000</v>
      </c>
      <c r="AG19" s="545">
        <f t="shared" si="20"/>
        <v>8700</v>
      </c>
      <c r="AH19" s="493">
        <f t="shared" ref="AH19:AH33" si="26">SUM(I19,K19,M19,O19,R19,T19,V19,X19,Z19,AB19,AD19,AF19)</f>
        <v>3480000</v>
      </c>
      <c r="AI19" s="493">
        <f t="shared" ref="AI19:AI33" si="27">SUM(J19,L19,N19,P19,S19,U19,W19,Y19,AA19,AC19,AE19,AG19)</f>
        <v>104400</v>
      </c>
      <c r="AJ19" s="14"/>
    </row>
    <row r="20" spans="2:36" x14ac:dyDescent="0.35">
      <c r="B20" s="542" t="s">
        <v>117</v>
      </c>
      <c r="C20" s="542" t="s">
        <v>860</v>
      </c>
      <c r="D20" s="542" t="s">
        <v>43</v>
      </c>
      <c r="E20" s="542" t="s">
        <v>864</v>
      </c>
      <c r="F20" s="542" t="s">
        <v>798</v>
      </c>
      <c r="G20" s="542" t="s">
        <v>44</v>
      </c>
      <c r="H20" s="550">
        <v>1280</v>
      </c>
      <c r="I20" s="548">
        <v>2</v>
      </c>
      <c r="J20" s="545">
        <f t="shared" si="0"/>
        <v>2560</v>
      </c>
      <c r="K20" s="548">
        <v>2</v>
      </c>
      <c r="L20" s="545">
        <f t="shared" si="13"/>
        <v>2560</v>
      </c>
      <c r="M20" s="548">
        <v>2</v>
      </c>
      <c r="N20" s="545">
        <f t="shared" si="13"/>
        <v>2560</v>
      </c>
      <c r="O20" s="548">
        <v>2</v>
      </c>
      <c r="P20" s="545">
        <f t="shared" si="13"/>
        <v>2560</v>
      </c>
      <c r="Q20" s="545">
        <f t="shared" si="5"/>
        <v>0</v>
      </c>
      <c r="R20" s="548">
        <v>2</v>
      </c>
      <c r="S20" s="545">
        <f t="shared" si="13"/>
        <v>2560</v>
      </c>
      <c r="T20" s="548">
        <v>2</v>
      </c>
      <c r="U20" s="545">
        <f t="shared" si="13"/>
        <v>2560</v>
      </c>
      <c r="V20" s="548">
        <v>2</v>
      </c>
      <c r="W20" s="545">
        <f t="shared" si="13"/>
        <v>2560</v>
      </c>
      <c r="X20" s="548">
        <v>2</v>
      </c>
      <c r="Y20" s="545">
        <f t="shared" si="13"/>
        <v>2560</v>
      </c>
      <c r="Z20" s="548">
        <v>2</v>
      </c>
      <c r="AA20" s="545">
        <f t="shared" si="20"/>
        <v>2560</v>
      </c>
      <c r="AB20" s="548">
        <v>2</v>
      </c>
      <c r="AC20" s="545">
        <f t="shared" si="20"/>
        <v>2560</v>
      </c>
      <c r="AD20" s="548">
        <v>2</v>
      </c>
      <c r="AE20" s="545">
        <f t="shared" si="20"/>
        <v>2560</v>
      </c>
      <c r="AF20" s="548">
        <v>2</v>
      </c>
      <c r="AG20" s="545">
        <f t="shared" si="20"/>
        <v>2560</v>
      </c>
      <c r="AH20" s="493">
        <f t="shared" si="26"/>
        <v>24</v>
      </c>
      <c r="AI20" s="493">
        <f t="shared" si="27"/>
        <v>30720</v>
      </c>
      <c r="AJ20" s="14"/>
    </row>
    <row r="21" spans="2:36" x14ac:dyDescent="0.35">
      <c r="B21" s="542" t="s">
        <v>117</v>
      </c>
      <c r="C21" s="542" t="s">
        <v>860</v>
      </c>
      <c r="D21" s="542" t="s">
        <v>43</v>
      </c>
      <c r="E21" s="542" t="s">
        <v>861</v>
      </c>
      <c r="F21" s="542" t="s">
        <v>764</v>
      </c>
      <c r="G21" s="542" t="s">
        <v>101</v>
      </c>
      <c r="H21" s="550">
        <v>1440</v>
      </c>
      <c r="I21" s="548">
        <v>2</v>
      </c>
      <c r="J21" s="545">
        <f t="shared" si="0"/>
        <v>2880</v>
      </c>
      <c r="K21" s="548">
        <v>2</v>
      </c>
      <c r="L21" s="545">
        <f t="shared" si="13"/>
        <v>2880</v>
      </c>
      <c r="M21" s="548">
        <v>2</v>
      </c>
      <c r="N21" s="545">
        <f t="shared" si="13"/>
        <v>2880</v>
      </c>
      <c r="O21" s="548">
        <v>2</v>
      </c>
      <c r="P21" s="545">
        <f t="shared" si="13"/>
        <v>2880</v>
      </c>
      <c r="Q21" s="545">
        <f t="shared" si="5"/>
        <v>0</v>
      </c>
      <c r="R21" s="548">
        <v>2</v>
      </c>
      <c r="S21" s="545">
        <f t="shared" si="13"/>
        <v>2880</v>
      </c>
      <c r="T21" s="548">
        <v>2</v>
      </c>
      <c r="U21" s="545">
        <f t="shared" si="13"/>
        <v>2880</v>
      </c>
      <c r="V21" s="548">
        <v>2</v>
      </c>
      <c r="W21" s="545">
        <f t="shared" si="13"/>
        <v>2880</v>
      </c>
      <c r="X21" s="548">
        <v>2</v>
      </c>
      <c r="Y21" s="545">
        <f t="shared" si="13"/>
        <v>2880</v>
      </c>
      <c r="Z21" s="548">
        <v>2</v>
      </c>
      <c r="AA21" s="545">
        <f t="shared" si="20"/>
        <v>2880</v>
      </c>
      <c r="AB21" s="548">
        <v>2</v>
      </c>
      <c r="AC21" s="545">
        <f t="shared" si="20"/>
        <v>2880</v>
      </c>
      <c r="AD21" s="548">
        <v>2</v>
      </c>
      <c r="AE21" s="545">
        <f t="shared" si="20"/>
        <v>2880</v>
      </c>
      <c r="AF21" s="548">
        <v>2</v>
      </c>
      <c r="AG21" s="545">
        <f t="shared" si="20"/>
        <v>2880</v>
      </c>
      <c r="AH21" s="493">
        <f t="shared" si="26"/>
        <v>24</v>
      </c>
      <c r="AI21" s="493">
        <f t="shared" si="27"/>
        <v>34560</v>
      </c>
      <c r="AJ21" s="14"/>
    </row>
    <row r="22" spans="2:36" x14ac:dyDescent="0.35">
      <c r="B22" s="542" t="s">
        <v>117</v>
      </c>
      <c r="C22" s="542" t="s">
        <v>860</v>
      </c>
      <c r="D22" s="551" t="s">
        <v>41</v>
      </c>
      <c r="E22" s="551" t="s">
        <v>861</v>
      </c>
      <c r="F22" s="542" t="s">
        <v>794</v>
      </c>
      <c r="G22" s="542" t="s">
        <v>842</v>
      </c>
      <c r="H22" s="543">
        <v>0.06</v>
      </c>
      <c r="I22" s="545">
        <v>120000</v>
      </c>
      <c r="J22" s="545">
        <f t="shared" si="0"/>
        <v>7200</v>
      </c>
      <c r="K22" s="545">
        <v>120000</v>
      </c>
      <c r="L22" s="545">
        <f t="shared" si="13"/>
        <v>7200</v>
      </c>
      <c r="M22" s="545">
        <v>120000</v>
      </c>
      <c r="N22" s="545">
        <f t="shared" si="13"/>
        <v>7200</v>
      </c>
      <c r="O22" s="545">
        <v>120000</v>
      </c>
      <c r="P22" s="545">
        <f t="shared" si="13"/>
        <v>7200</v>
      </c>
      <c r="Q22" s="545">
        <f t="shared" si="5"/>
        <v>0</v>
      </c>
      <c r="R22" s="545">
        <v>120000</v>
      </c>
      <c r="S22" s="545">
        <f t="shared" si="13"/>
        <v>7200</v>
      </c>
      <c r="T22" s="545">
        <v>120000</v>
      </c>
      <c r="U22" s="545">
        <f t="shared" si="13"/>
        <v>7200</v>
      </c>
      <c r="V22" s="545">
        <v>120000</v>
      </c>
      <c r="W22" s="545">
        <f t="shared" si="13"/>
        <v>7200</v>
      </c>
      <c r="X22" s="545">
        <v>120000</v>
      </c>
      <c r="Y22" s="545">
        <f t="shared" si="13"/>
        <v>7200</v>
      </c>
      <c r="Z22" s="545">
        <v>120000</v>
      </c>
      <c r="AA22" s="545">
        <f t="shared" si="20"/>
        <v>7200</v>
      </c>
      <c r="AB22" s="545">
        <v>120000</v>
      </c>
      <c r="AC22" s="545">
        <f t="shared" si="20"/>
        <v>7200</v>
      </c>
      <c r="AD22" s="545">
        <v>120000</v>
      </c>
      <c r="AE22" s="545">
        <f t="shared" si="20"/>
        <v>7200</v>
      </c>
      <c r="AF22" s="545">
        <v>120000</v>
      </c>
      <c r="AG22" s="545">
        <f t="shared" si="20"/>
        <v>7200</v>
      </c>
      <c r="AH22" s="493">
        <f t="shared" si="26"/>
        <v>1440000</v>
      </c>
      <c r="AI22" s="493">
        <f t="shared" si="27"/>
        <v>86400</v>
      </c>
      <c r="AJ22" s="14"/>
    </row>
    <row r="23" spans="2:36" x14ac:dyDescent="0.35">
      <c r="B23" s="542" t="s">
        <v>117</v>
      </c>
      <c r="C23" s="542" t="s">
        <v>860</v>
      </c>
      <c r="D23" s="551" t="s">
        <v>43</v>
      </c>
      <c r="E23" s="542" t="s">
        <v>863</v>
      </c>
      <c r="F23" s="542" t="s">
        <v>91</v>
      </c>
      <c r="G23" s="542" t="s">
        <v>74</v>
      </c>
      <c r="H23" s="550">
        <v>1300</v>
      </c>
      <c r="I23" s="542">
        <v>10</v>
      </c>
      <c r="J23" s="545">
        <f t="shared" si="0"/>
        <v>13000</v>
      </c>
      <c r="K23" s="542">
        <v>10</v>
      </c>
      <c r="L23" s="545">
        <f t="shared" si="13"/>
        <v>13000</v>
      </c>
      <c r="M23" s="542">
        <v>10</v>
      </c>
      <c r="N23" s="545">
        <f t="shared" si="13"/>
        <v>13000</v>
      </c>
      <c r="O23" s="542">
        <v>10</v>
      </c>
      <c r="P23" s="545">
        <f t="shared" si="13"/>
        <v>13000</v>
      </c>
      <c r="Q23" s="545">
        <f t="shared" si="5"/>
        <v>0</v>
      </c>
      <c r="R23" s="542">
        <v>10</v>
      </c>
      <c r="S23" s="545">
        <f t="shared" si="13"/>
        <v>13000</v>
      </c>
      <c r="T23" s="542">
        <v>10</v>
      </c>
      <c r="U23" s="545">
        <f t="shared" si="13"/>
        <v>13000</v>
      </c>
      <c r="V23" s="542">
        <v>10</v>
      </c>
      <c r="W23" s="545">
        <f t="shared" si="13"/>
        <v>13000</v>
      </c>
      <c r="X23" s="542">
        <v>10</v>
      </c>
      <c r="Y23" s="545">
        <f t="shared" si="13"/>
        <v>13000</v>
      </c>
      <c r="Z23" s="542">
        <v>10</v>
      </c>
      <c r="AA23" s="545">
        <f t="shared" si="20"/>
        <v>13000</v>
      </c>
      <c r="AB23" s="542">
        <v>10</v>
      </c>
      <c r="AC23" s="545">
        <f t="shared" si="20"/>
        <v>13000</v>
      </c>
      <c r="AD23" s="542">
        <v>10</v>
      </c>
      <c r="AE23" s="545">
        <f t="shared" si="20"/>
        <v>13000</v>
      </c>
      <c r="AF23" s="542">
        <v>10</v>
      </c>
      <c r="AG23" s="545">
        <f t="shared" si="20"/>
        <v>13000</v>
      </c>
      <c r="AH23" s="493">
        <f t="shared" si="26"/>
        <v>120</v>
      </c>
      <c r="AI23" s="493">
        <f t="shared" si="27"/>
        <v>156000</v>
      </c>
      <c r="AJ23" s="14"/>
    </row>
    <row r="24" spans="2:36" x14ac:dyDescent="0.35">
      <c r="B24" s="542" t="s">
        <v>117</v>
      </c>
      <c r="C24" s="542" t="s">
        <v>860</v>
      </c>
      <c r="D24" s="551" t="s">
        <v>43</v>
      </c>
      <c r="E24" s="542" t="s">
        <v>863</v>
      </c>
      <c r="F24" s="542" t="s">
        <v>91</v>
      </c>
      <c r="G24" s="542" t="s">
        <v>775</v>
      </c>
      <c r="H24" s="550">
        <v>1400</v>
      </c>
      <c r="I24" s="542">
        <v>9</v>
      </c>
      <c r="J24" s="545">
        <f t="shared" si="0"/>
        <v>12600</v>
      </c>
      <c r="K24" s="542">
        <v>9</v>
      </c>
      <c r="L24" s="545">
        <f t="shared" si="13"/>
        <v>12600</v>
      </c>
      <c r="M24" s="542">
        <v>9</v>
      </c>
      <c r="N24" s="545">
        <f t="shared" si="13"/>
        <v>12600</v>
      </c>
      <c r="O24" s="542">
        <v>9</v>
      </c>
      <c r="P24" s="545">
        <f t="shared" si="13"/>
        <v>12600</v>
      </c>
      <c r="Q24" s="545">
        <f t="shared" si="5"/>
        <v>0</v>
      </c>
      <c r="R24" s="542">
        <v>9</v>
      </c>
      <c r="S24" s="545">
        <f t="shared" si="13"/>
        <v>12600</v>
      </c>
      <c r="T24" s="542">
        <v>9</v>
      </c>
      <c r="U24" s="545">
        <f t="shared" si="13"/>
        <v>12600</v>
      </c>
      <c r="V24" s="542">
        <v>9</v>
      </c>
      <c r="W24" s="545">
        <f t="shared" si="13"/>
        <v>12600</v>
      </c>
      <c r="X24" s="542">
        <v>9</v>
      </c>
      <c r="Y24" s="545">
        <f t="shared" si="13"/>
        <v>12600</v>
      </c>
      <c r="Z24" s="542">
        <v>9</v>
      </c>
      <c r="AA24" s="545">
        <f t="shared" si="20"/>
        <v>12600</v>
      </c>
      <c r="AB24" s="542">
        <v>9</v>
      </c>
      <c r="AC24" s="545">
        <f t="shared" si="20"/>
        <v>12600</v>
      </c>
      <c r="AD24" s="542">
        <v>9</v>
      </c>
      <c r="AE24" s="545">
        <f t="shared" si="20"/>
        <v>12600</v>
      </c>
      <c r="AF24" s="542">
        <v>9</v>
      </c>
      <c r="AG24" s="545">
        <f t="shared" si="20"/>
        <v>12600</v>
      </c>
      <c r="AH24" s="493">
        <f t="shared" si="26"/>
        <v>108</v>
      </c>
      <c r="AI24" s="493">
        <f t="shared" si="27"/>
        <v>151200</v>
      </c>
      <c r="AJ24" s="14"/>
    </row>
    <row r="25" spans="2:36" x14ac:dyDescent="0.35">
      <c r="B25" s="542" t="s">
        <v>117</v>
      </c>
      <c r="C25" s="542" t="s">
        <v>860</v>
      </c>
      <c r="D25" s="551" t="s">
        <v>43</v>
      </c>
      <c r="E25" s="542" t="s">
        <v>863</v>
      </c>
      <c r="F25" s="542" t="s">
        <v>91</v>
      </c>
      <c r="G25" s="542" t="s">
        <v>776</v>
      </c>
      <c r="H25" s="550">
        <v>1400</v>
      </c>
      <c r="I25" s="542">
        <v>6</v>
      </c>
      <c r="J25" s="545">
        <f t="shared" si="0"/>
        <v>8400</v>
      </c>
      <c r="K25" s="542">
        <v>6</v>
      </c>
      <c r="L25" s="545">
        <f t="shared" ref="L25:Y30" si="28">K25*$H25</f>
        <v>8400</v>
      </c>
      <c r="M25" s="542">
        <v>6</v>
      </c>
      <c r="N25" s="545">
        <f t="shared" si="28"/>
        <v>8400</v>
      </c>
      <c r="O25" s="542">
        <v>6</v>
      </c>
      <c r="P25" s="545">
        <f t="shared" si="28"/>
        <v>8400</v>
      </c>
      <c r="Q25" s="545">
        <f t="shared" si="5"/>
        <v>0</v>
      </c>
      <c r="R25" s="542">
        <v>6</v>
      </c>
      <c r="S25" s="545">
        <f t="shared" si="28"/>
        <v>8400</v>
      </c>
      <c r="T25" s="542">
        <v>6</v>
      </c>
      <c r="U25" s="545">
        <f t="shared" si="28"/>
        <v>8400</v>
      </c>
      <c r="V25" s="542">
        <v>6</v>
      </c>
      <c r="W25" s="545">
        <f t="shared" si="28"/>
        <v>8400</v>
      </c>
      <c r="X25" s="542">
        <v>6</v>
      </c>
      <c r="Y25" s="545">
        <f t="shared" si="28"/>
        <v>8400</v>
      </c>
      <c r="Z25" s="542">
        <v>6</v>
      </c>
      <c r="AA25" s="545">
        <f t="shared" ref="AA25:AG43" si="29">Z25*$H25</f>
        <v>8400</v>
      </c>
      <c r="AB25" s="542">
        <v>6</v>
      </c>
      <c r="AC25" s="545">
        <f t="shared" si="29"/>
        <v>8400</v>
      </c>
      <c r="AD25" s="542">
        <v>6</v>
      </c>
      <c r="AE25" s="545">
        <f t="shared" si="29"/>
        <v>8400</v>
      </c>
      <c r="AF25" s="542">
        <v>6</v>
      </c>
      <c r="AG25" s="545">
        <f t="shared" si="29"/>
        <v>8400</v>
      </c>
      <c r="AH25" s="493">
        <f t="shared" si="26"/>
        <v>72</v>
      </c>
      <c r="AI25" s="493">
        <f t="shared" si="27"/>
        <v>100800</v>
      </c>
      <c r="AJ25" s="14"/>
    </row>
    <row r="26" spans="2:36" x14ac:dyDescent="0.35">
      <c r="B26" s="542" t="s">
        <v>117</v>
      </c>
      <c r="C26" s="542" t="s">
        <v>860</v>
      </c>
      <c r="D26" s="551" t="s">
        <v>43</v>
      </c>
      <c r="E26" s="542" t="s">
        <v>863</v>
      </c>
      <c r="F26" s="542" t="s">
        <v>91</v>
      </c>
      <c r="G26" s="542" t="s">
        <v>777</v>
      </c>
      <c r="H26" s="550">
        <v>1400</v>
      </c>
      <c r="I26" s="542">
        <v>6</v>
      </c>
      <c r="J26" s="545">
        <f t="shared" si="0"/>
        <v>8400</v>
      </c>
      <c r="K26" s="542">
        <v>6</v>
      </c>
      <c r="L26" s="545">
        <f t="shared" si="28"/>
        <v>8400</v>
      </c>
      <c r="M26" s="542">
        <v>6</v>
      </c>
      <c r="N26" s="545">
        <f t="shared" si="28"/>
        <v>8400</v>
      </c>
      <c r="O26" s="542">
        <v>6</v>
      </c>
      <c r="P26" s="545">
        <f t="shared" si="28"/>
        <v>8400</v>
      </c>
      <c r="Q26" s="545">
        <f t="shared" si="5"/>
        <v>0</v>
      </c>
      <c r="R26" s="542">
        <v>6</v>
      </c>
      <c r="S26" s="545">
        <f t="shared" si="28"/>
        <v>8400</v>
      </c>
      <c r="T26" s="542">
        <v>6</v>
      </c>
      <c r="U26" s="545">
        <f t="shared" si="28"/>
        <v>8400</v>
      </c>
      <c r="V26" s="542">
        <v>6</v>
      </c>
      <c r="W26" s="545">
        <f t="shared" si="28"/>
        <v>8400</v>
      </c>
      <c r="X26" s="542">
        <v>6</v>
      </c>
      <c r="Y26" s="545">
        <f t="shared" si="28"/>
        <v>8400</v>
      </c>
      <c r="Z26" s="542">
        <v>6</v>
      </c>
      <c r="AA26" s="545">
        <f t="shared" si="29"/>
        <v>8400</v>
      </c>
      <c r="AB26" s="542">
        <v>6</v>
      </c>
      <c r="AC26" s="545">
        <f t="shared" si="29"/>
        <v>8400</v>
      </c>
      <c r="AD26" s="542">
        <v>6</v>
      </c>
      <c r="AE26" s="545">
        <f t="shared" si="29"/>
        <v>8400</v>
      </c>
      <c r="AF26" s="542">
        <v>6</v>
      </c>
      <c r="AG26" s="545">
        <f t="shared" si="29"/>
        <v>8400</v>
      </c>
      <c r="AH26" s="493">
        <f t="shared" si="26"/>
        <v>72</v>
      </c>
      <c r="AI26" s="493">
        <f t="shared" si="27"/>
        <v>100800</v>
      </c>
      <c r="AJ26" s="14"/>
    </row>
    <row r="27" spans="2:36" x14ac:dyDescent="0.35">
      <c r="B27" s="542" t="s">
        <v>117</v>
      </c>
      <c r="C27" s="542" t="s">
        <v>860</v>
      </c>
      <c r="D27" s="551" t="s">
        <v>43</v>
      </c>
      <c r="E27" s="542" t="s">
        <v>863</v>
      </c>
      <c r="F27" s="542" t="s">
        <v>91</v>
      </c>
      <c r="G27" s="542" t="s">
        <v>778</v>
      </c>
      <c r="H27" s="550">
        <v>1400</v>
      </c>
      <c r="I27" s="542">
        <v>1</v>
      </c>
      <c r="J27" s="545">
        <f t="shared" si="0"/>
        <v>1400</v>
      </c>
      <c r="K27" s="542">
        <v>1</v>
      </c>
      <c r="L27" s="545">
        <f t="shared" ref="L27:Y45" si="30">K27*$H27</f>
        <v>1400</v>
      </c>
      <c r="M27" s="542">
        <v>1</v>
      </c>
      <c r="N27" s="545">
        <f t="shared" si="28"/>
        <v>1400</v>
      </c>
      <c r="O27" s="542">
        <v>1</v>
      </c>
      <c r="P27" s="545">
        <f t="shared" si="28"/>
        <v>1400</v>
      </c>
      <c r="Q27" s="545">
        <f t="shared" si="5"/>
        <v>0</v>
      </c>
      <c r="R27" s="542">
        <v>1</v>
      </c>
      <c r="S27" s="545">
        <f t="shared" si="28"/>
        <v>1400</v>
      </c>
      <c r="T27" s="542">
        <v>1</v>
      </c>
      <c r="U27" s="545">
        <f t="shared" si="28"/>
        <v>1400</v>
      </c>
      <c r="V27" s="542">
        <v>1</v>
      </c>
      <c r="W27" s="545">
        <f t="shared" si="28"/>
        <v>1400</v>
      </c>
      <c r="X27" s="542">
        <v>1</v>
      </c>
      <c r="Y27" s="545">
        <f t="shared" si="28"/>
        <v>1400</v>
      </c>
      <c r="Z27" s="542">
        <v>1</v>
      </c>
      <c r="AA27" s="545">
        <f t="shared" si="29"/>
        <v>1400</v>
      </c>
      <c r="AB27" s="542">
        <v>1</v>
      </c>
      <c r="AC27" s="545">
        <f t="shared" si="29"/>
        <v>1400</v>
      </c>
      <c r="AD27" s="542">
        <v>1</v>
      </c>
      <c r="AE27" s="545">
        <f t="shared" si="29"/>
        <v>1400</v>
      </c>
      <c r="AF27" s="542">
        <v>1</v>
      </c>
      <c r="AG27" s="545">
        <f t="shared" si="29"/>
        <v>1400</v>
      </c>
      <c r="AH27" s="493">
        <f t="shared" si="26"/>
        <v>12</v>
      </c>
      <c r="AI27" s="493">
        <f t="shared" si="27"/>
        <v>16800</v>
      </c>
      <c r="AJ27" s="14"/>
    </row>
    <row r="28" spans="2:36" x14ac:dyDescent="0.35">
      <c r="B28" s="542" t="s">
        <v>117</v>
      </c>
      <c r="C28" s="542" t="s">
        <v>860</v>
      </c>
      <c r="D28" s="551" t="s">
        <v>43</v>
      </c>
      <c r="E28" s="542" t="s">
        <v>863</v>
      </c>
      <c r="F28" s="542" t="s">
        <v>91</v>
      </c>
      <c r="G28" s="542" t="s">
        <v>772</v>
      </c>
      <c r="H28" s="550">
        <v>1300</v>
      </c>
      <c r="I28" s="542">
        <v>1</v>
      </c>
      <c r="J28" s="545">
        <f t="shared" si="0"/>
        <v>1300</v>
      </c>
      <c r="K28" s="542">
        <v>1</v>
      </c>
      <c r="L28" s="545">
        <f t="shared" si="30"/>
        <v>1300</v>
      </c>
      <c r="M28" s="542">
        <v>1</v>
      </c>
      <c r="N28" s="545">
        <f t="shared" si="28"/>
        <v>1300</v>
      </c>
      <c r="O28" s="542">
        <v>1</v>
      </c>
      <c r="P28" s="545">
        <f t="shared" si="28"/>
        <v>1300</v>
      </c>
      <c r="Q28" s="545">
        <f t="shared" si="5"/>
        <v>0</v>
      </c>
      <c r="R28" s="542">
        <v>1</v>
      </c>
      <c r="S28" s="545">
        <f t="shared" si="28"/>
        <v>1300</v>
      </c>
      <c r="T28" s="542">
        <v>1</v>
      </c>
      <c r="U28" s="545">
        <f t="shared" si="28"/>
        <v>1300</v>
      </c>
      <c r="V28" s="542">
        <v>1</v>
      </c>
      <c r="W28" s="545">
        <f t="shared" si="28"/>
        <v>1300</v>
      </c>
      <c r="X28" s="542">
        <v>1</v>
      </c>
      <c r="Y28" s="545">
        <f t="shared" si="28"/>
        <v>1300</v>
      </c>
      <c r="Z28" s="542">
        <v>1</v>
      </c>
      <c r="AA28" s="545">
        <f t="shared" si="29"/>
        <v>1300</v>
      </c>
      <c r="AB28" s="542">
        <v>1</v>
      </c>
      <c r="AC28" s="545">
        <f t="shared" si="29"/>
        <v>1300</v>
      </c>
      <c r="AD28" s="542">
        <v>1</v>
      </c>
      <c r="AE28" s="545">
        <f t="shared" si="29"/>
        <v>1300</v>
      </c>
      <c r="AF28" s="542">
        <v>1</v>
      </c>
      <c r="AG28" s="545">
        <f t="shared" si="29"/>
        <v>1300</v>
      </c>
      <c r="AH28" s="493">
        <f t="shared" si="26"/>
        <v>12</v>
      </c>
      <c r="AI28" s="493">
        <f t="shared" si="27"/>
        <v>15600</v>
      </c>
      <c r="AJ28" s="14"/>
    </row>
    <row r="29" spans="2:36" x14ac:dyDescent="0.35">
      <c r="B29" s="542" t="s">
        <v>117</v>
      </c>
      <c r="C29" s="542" t="s">
        <v>860</v>
      </c>
      <c r="D29" s="551" t="s">
        <v>43</v>
      </c>
      <c r="E29" s="542" t="s">
        <v>863</v>
      </c>
      <c r="F29" s="542" t="s">
        <v>91</v>
      </c>
      <c r="G29" s="542" t="s">
        <v>774</v>
      </c>
      <c r="H29" s="550">
        <v>1400</v>
      </c>
      <c r="I29" s="542">
        <v>1</v>
      </c>
      <c r="J29" s="545">
        <f t="shared" si="0"/>
        <v>1400</v>
      </c>
      <c r="K29" s="542">
        <v>1</v>
      </c>
      <c r="L29" s="545">
        <f t="shared" si="30"/>
        <v>1400</v>
      </c>
      <c r="M29" s="542">
        <v>1</v>
      </c>
      <c r="N29" s="545">
        <f t="shared" si="28"/>
        <v>1400</v>
      </c>
      <c r="O29" s="542">
        <v>1</v>
      </c>
      <c r="P29" s="545">
        <f t="shared" si="28"/>
        <v>1400</v>
      </c>
      <c r="Q29" s="545">
        <f t="shared" si="5"/>
        <v>0</v>
      </c>
      <c r="R29" s="542">
        <v>1</v>
      </c>
      <c r="S29" s="545">
        <f t="shared" si="28"/>
        <v>1400</v>
      </c>
      <c r="T29" s="542">
        <v>1</v>
      </c>
      <c r="U29" s="545">
        <f t="shared" si="28"/>
        <v>1400</v>
      </c>
      <c r="V29" s="542">
        <v>1</v>
      </c>
      <c r="W29" s="545">
        <f t="shared" si="28"/>
        <v>1400</v>
      </c>
      <c r="X29" s="542">
        <v>1</v>
      </c>
      <c r="Y29" s="545">
        <f t="shared" si="28"/>
        <v>1400</v>
      </c>
      <c r="Z29" s="542">
        <v>1</v>
      </c>
      <c r="AA29" s="545">
        <f t="shared" si="29"/>
        <v>1400</v>
      </c>
      <c r="AB29" s="542">
        <v>1</v>
      </c>
      <c r="AC29" s="545">
        <f t="shared" si="29"/>
        <v>1400</v>
      </c>
      <c r="AD29" s="542">
        <v>1</v>
      </c>
      <c r="AE29" s="545">
        <f t="shared" si="29"/>
        <v>1400</v>
      </c>
      <c r="AF29" s="542">
        <v>1</v>
      </c>
      <c r="AG29" s="545">
        <f t="shared" si="29"/>
        <v>1400</v>
      </c>
      <c r="AH29" s="493">
        <f t="shared" si="26"/>
        <v>12</v>
      </c>
      <c r="AI29" s="493">
        <f t="shared" si="27"/>
        <v>16800</v>
      </c>
      <c r="AJ29" s="14"/>
    </row>
    <row r="30" spans="2:36" x14ac:dyDescent="0.35">
      <c r="B30" s="542" t="s">
        <v>117</v>
      </c>
      <c r="C30" s="542" t="s">
        <v>860</v>
      </c>
      <c r="D30" s="551" t="s">
        <v>43</v>
      </c>
      <c r="E30" s="542" t="s">
        <v>863</v>
      </c>
      <c r="F30" s="542" t="s">
        <v>91</v>
      </c>
      <c r="G30" s="542" t="s">
        <v>845</v>
      </c>
      <c r="H30" s="550">
        <v>1400</v>
      </c>
      <c r="I30" s="542">
        <v>2</v>
      </c>
      <c r="J30" s="545">
        <f t="shared" si="0"/>
        <v>2800</v>
      </c>
      <c r="K30" s="542">
        <v>2</v>
      </c>
      <c r="L30" s="545">
        <f t="shared" si="30"/>
        <v>2800</v>
      </c>
      <c r="M30" s="542">
        <v>2</v>
      </c>
      <c r="N30" s="545">
        <f t="shared" si="28"/>
        <v>2800</v>
      </c>
      <c r="O30" s="542">
        <v>2</v>
      </c>
      <c r="P30" s="545">
        <f t="shared" si="28"/>
        <v>2800</v>
      </c>
      <c r="Q30" s="545">
        <f t="shared" si="5"/>
        <v>0</v>
      </c>
      <c r="R30" s="542">
        <v>2</v>
      </c>
      <c r="S30" s="545">
        <f t="shared" si="28"/>
        <v>2800</v>
      </c>
      <c r="T30" s="542">
        <v>2</v>
      </c>
      <c r="U30" s="545">
        <f t="shared" si="28"/>
        <v>2800</v>
      </c>
      <c r="V30" s="542">
        <v>2</v>
      </c>
      <c r="W30" s="545">
        <f t="shared" si="28"/>
        <v>2800</v>
      </c>
      <c r="X30" s="542">
        <v>2</v>
      </c>
      <c r="Y30" s="545">
        <f t="shared" si="28"/>
        <v>2800</v>
      </c>
      <c r="Z30" s="542">
        <v>2</v>
      </c>
      <c r="AA30" s="545">
        <f t="shared" si="29"/>
        <v>2800</v>
      </c>
      <c r="AB30" s="542">
        <v>2</v>
      </c>
      <c r="AC30" s="545">
        <f t="shared" si="29"/>
        <v>2800</v>
      </c>
      <c r="AD30" s="542">
        <v>2</v>
      </c>
      <c r="AE30" s="545">
        <f t="shared" si="29"/>
        <v>2800</v>
      </c>
      <c r="AF30" s="542">
        <v>2</v>
      </c>
      <c r="AG30" s="545">
        <f t="shared" si="29"/>
        <v>2800</v>
      </c>
      <c r="AH30" s="493">
        <f t="shared" si="26"/>
        <v>24</v>
      </c>
      <c r="AI30" s="493">
        <f t="shared" si="27"/>
        <v>33600</v>
      </c>
      <c r="AJ30" s="14"/>
    </row>
    <row r="31" spans="2:36" x14ac:dyDescent="0.35">
      <c r="B31" s="542" t="s">
        <v>117</v>
      </c>
      <c r="C31" s="542" t="s">
        <v>860</v>
      </c>
      <c r="D31" s="551" t="s">
        <v>43</v>
      </c>
      <c r="E31" s="542" t="s">
        <v>863</v>
      </c>
      <c r="F31" s="542" t="s">
        <v>91</v>
      </c>
      <c r="G31" s="542" t="s">
        <v>846</v>
      </c>
      <c r="H31" s="550">
        <v>1400</v>
      </c>
      <c r="I31" s="542">
        <v>2</v>
      </c>
      <c r="J31" s="545">
        <f t="shared" si="0"/>
        <v>2800</v>
      </c>
      <c r="K31" s="542">
        <v>2</v>
      </c>
      <c r="L31" s="545">
        <f t="shared" si="30"/>
        <v>2800</v>
      </c>
      <c r="M31" s="542">
        <v>2</v>
      </c>
      <c r="N31" s="545">
        <f t="shared" si="30"/>
        <v>2800</v>
      </c>
      <c r="O31" s="542">
        <v>2</v>
      </c>
      <c r="P31" s="545">
        <f t="shared" si="30"/>
        <v>2800</v>
      </c>
      <c r="Q31" s="545">
        <f t="shared" si="5"/>
        <v>0</v>
      </c>
      <c r="R31" s="542">
        <v>2</v>
      </c>
      <c r="S31" s="545">
        <f t="shared" si="30"/>
        <v>2800</v>
      </c>
      <c r="T31" s="542">
        <v>2</v>
      </c>
      <c r="U31" s="545">
        <f t="shared" si="30"/>
        <v>2800</v>
      </c>
      <c r="V31" s="542">
        <v>2</v>
      </c>
      <c r="W31" s="545">
        <f t="shared" si="30"/>
        <v>2800</v>
      </c>
      <c r="X31" s="542">
        <v>2</v>
      </c>
      <c r="Y31" s="545">
        <f t="shared" si="30"/>
        <v>2800</v>
      </c>
      <c r="Z31" s="542">
        <v>2</v>
      </c>
      <c r="AA31" s="545">
        <f t="shared" si="29"/>
        <v>2800</v>
      </c>
      <c r="AB31" s="542">
        <v>2</v>
      </c>
      <c r="AC31" s="545">
        <f t="shared" si="29"/>
        <v>2800</v>
      </c>
      <c r="AD31" s="542">
        <v>2</v>
      </c>
      <c r="AE31" s="545">
        <f t="shared" si="29"/>
        <v>2800</v>
      </c>
      <c r="AF31" s="542">
        <v>2</v>
      </c>
      <c r="AG31" s="545">
        <f t="shared" si="29"/>
        <v>2800</v>
      </c>
      <c r="AH31" s="493">
        <f t="shared" si="26"/>
        <v>24</v>
      </c>
      <c r="AI31" s="493">
        <f t="shared" si="27"/>
        <v>33600</v>
      </c>
      <c r="AJ31" s="14"/>
    </row>
    <row r="32" spans="2:36" x14ac:dyDescent="0.35">
      <c r="B32" s="542" t="s">
        <v>117</v>
      </c>
      <c r="C32" s="542" t="s">
        <v>860</v>
      </c>
      <c r="D32" s="551" t="s">
        <v>43</v>
      </c>
      <c r="E32" s="542" t="s">
        <v>863</v>
      </c>
      <c r="F32" s="542" t="s">
        <v>91</v>
      </c>
      <c r="G32" s="542" t="s">
        <v>847</v>
      </c>
      <c r="H32" s="550">
        <v>1400</v>
      </c>
      <c r="I32" s="542">
        <v>1</v>
      </c>
      <c r="J32" s="545">
        <f t="shared" si="0"/>
        <v>1400</v>
      </c>
      <c r="K32" s="542">
        <v>1</v>
      </c>
      <c r="L32" s="545">
        <f t="shared" si="30"/>
        <v>1400</v>
      </c>
      <c r="M32" s="542">
        <v>1</v>
      </c>
      <c r="N32" s="545">
        <f t="shared" si="30"/>
        <v>1400</v>
      </c>
      <c r="O32" s="542">
        <v>1</v>
      </c>
      <c r="P32" s="545">
        <f t="shared" si="30"/>
        <v>1400</v>
      </c>
      <c r="Q32" s="545">
        <f t="shared" si="5"/>
        <v>0</v>
      </c>
      <c r="R32" s="542">
        <v>1</v>
      </c>
      <c r="S32" s="545">
        <f t="shared" si="30"/>
        <v>1400</v>
      </c>
      <c r="T32" s="542">
        <v>1</v>
      </c>
      <c r="U32" s="545">
        <f t="shared" si="30"/>
        <v>1400</v>
      </c>
      <c r="V32" s="542">
        <v>1</v>
      </c>
      <c r="W32" s="545">
        <f t="shared" si="30"/>
        <v>1400</v>
      </c>
      <c r="X32" s="542">
        <v>1</v>
      </c>
      <c r="Y32" s="545">
        <f t="shared" si="30"/>
        <v>1400</v>
      </c>
      <c r="Z32" s="542">
        <v>1</v>
      </c>
      <c r="AA32" s="545">
        <f t="shared" si="29"/>
        <v>1400</v>
      </c>
      <c r="AB32" s="542">
        <v>1</v>
      </c>
      <c r="AC32" s="545">
        <f t="shared" si="29"/>
        <v>1400</v>
      </c>
      <c r="AD32" s="542">
        <v>1</v>
      </c>
      <c r="AE32" s="545">
        <f t="shared" si="29"/>
        <v>1400</v>
      </c>
      <c r="AF32" s="542">
        <v>1</v>
      </c>
      <c r="AG32" s="545">
        <f t="shared" si="29"/>
        <v>1400</v>
      </c>
      <c r="AH32" s="493">
        <f t="shared" si="26"/>
        <v>12</v>
      </c>
      <c r="AI32" s="493">
        <f t="shared" si="27"/>
        <v>16800</v>
      </c>
      <c r="AJ32" s="14"/>
    </row>
    <row r="33" spans="2:36" x14ac:dyDescent="0.35">
      <c r="B33" s="542" t="s">
        <v>117</v>
      </c>
      <c r="C33" s="542" t="s">
        <v>860</v>
      </c>
      <c r="D33" s="551" t="s">
        <v>43</v>
      </c>
      <c r="E33" s="542" t="s">
        <v>863</v>
      </c>
      <c r="F33" s="542" t="s">
        <v>91</v>
      </c>
      <c r="G33" s="1" t="s">
        <v>848</v>
      </c>
      <c r="H33" s="550">
        <v>1400</v>
      </c>
      <c r="I33" s="542">
        <v>1</v>
      </c>
      <c r="J33" s="545">
        <f t="shared" si="0"/>
        <v>1400</v>
      </c>
      <c r="K33" s="542">
        <v>1</v>
      </c>
      <c r="L33" s="545">
        <f t="shared" si="30"/>
        <v>1400</v>
      </c>
      <c r="M33" s="542">
        <v>1</v>
      </c>
      <c r="N33" s="545">
        <f t="shared" si="30"/>
        <v>1400</v>
      </c>
      <c r="O33" s="542">
        <v>1</v>
      </c>
      <c r="P33" s="545">
        <f t="shared" si="30"/>
        <v>1400</v>
      </c>
      <c r="Q33" s="545">
        <f t="shared" si="5"/>
        <v>0</v>
      </c>
      <c r="R33" s="542">
        <v>1</v>
      </c>
      <c r="S33" s="545">
        <f t="shared" si="30"/>
        <v>1400</v>
      </c>
      <c r="T33" s="542">
        <v>1</v>
      </c>
      <c r="U33" s="545">
        <f t="shared" si="30"/>
        <v>1400</v>
      </c>
      <c r="V33" s="542">
        <v>1</v>
      </c>
      <c r="W33" s="545">
        <f t="shared" si="30"/>
        <v>1400</v>
      </c>
      <c r="X33" s="542">
        <v>1</v>
      </c>
      <c r="Y33" s="545">
        <f t="shared" si="30"/>
        <v>1400</v>
      </c>
      <c r="Z33" s="542">
        <v>1</v>
      </c>
      <c r="AA33" s="545">
        <f t="shared" si="29"/>
        <v>1400</v>
      </c>
      <c r="AB33" s="542">
        <v>1</v>
      </c>
      <c r="AC33" s="545">
        <f t="shared" si="29"/>
        <v>1400</v>
      </c>
      <c r="AD33" s="542">
        <v>1</v>
      </c>
      <c r="AE33" s="545">
        <f t="shared" si="29"/>
        <v>1400</v>
      </c>
      <c r="AF33" s="542">
        <v>1</v>
      </c>
      <c r="AG33" s="545">
        <f t="shared" si="29"/>
        <v>1400</v>
      </c>
      <c r="AH33" s="493">
        <f t="shared" si="26"/>
        <v>12</v>
      </c>
      <c r="AI33" s="493">
        <f t="shared" si="27"/>
        <v>16800</v>
      </c>
      <c r="AJ33" s="14"/>
    </row>
    <row r="34" spans="2:36" x14ac:dyDescent="0.35">
      <c r="B34" s="554" t="s">
        <v>1665</v>
      </c>
      <c r="C34" s="554" t="s">
        <v>860</v>
      </c>
      <c r="D34" s="554" t="s">
        <v>43</v>
      </c>
      <c r="E34" s="554" t="s">
        <v>863</v>
      </c>
      <c r="F34" s="554" t="s">
        <v>91</v>
      </c>
      <c r="G34" s="712" t="s">
        <v>1660</v>
      </c>
      <c r="H34" s="550">
        <v>1350</v>
      </c>
      <c r="I34" s="542"/>
      <c r="J34" s="545">
        <f t="shared" si="0"/>
        <v>0</v>
      </c>
      <c r="K34" s="542"/>
      <c r="L34" s="545"/>
      <c r="M34" s="542">
        <v>8</v>
      </c>
      <c r="N34" s="545">
        <f t="shared" si="30"/>
        <v>10800</v>
      </c>
      <c r="O34" s="542">
        <v>8</v>
      </c>
      <c r="P34" s="545">
        <f t="shared" ref="P34:P36" si="31">O34*$H34</f>
        <v>10800</v>
      </c>
      <c r="Q34" s="545">
        <f t="shared" si="5"/>
        <v>0</v>
      </c>
      <c r="R34" s="542">
        <v>8</v>
      </c>
      <c r="S34" s="545">
        <f t="shared" ref="S34:S36" si="32">R34*$H34</f>
        <v>10800</v>
      </c>
      <c r="T34" s="542">
        <v>8</v>
      </c>
      <c r="U34" s="545">
        <f t="shared" ref="U34:U36" si="33">T34*$H34</f>
        <v>10800</v>
      </c>
      <c r="V34" s="542">
        <v>8</v>
      </c>
      <c r="W34" s="545">
        <f t="shared" ref="W34:W36" si="34">V34*$H34</f>
        <v>10800</v>
      </c>
      <c r="X34" s="542">
        <v>8</v>
      </c>
      <c r="Y34" s="545">
        <f t="shared" ref="Y34:Y36" si="35">X34*$H34</f>
        <v>10800</v>
      </c>
      <c r="Z34" s="542">
        <v>8</v>
      </c>
      <c r="AA34" s="545">
        <f t="shared" si="29"/>
        <v>10800</v>
      </c>
      <c r="AB34" s="542">
        <v>8</v>
      </c>
      <c r="AC34" s="545">
        <f t="shared" si="29"/>
        <v>10800</v>
      </c>
      <c r="AD34" s="542">
        <v>8</v>
      </c>
      <c r="AE34" s="545">
        <f t="shared" si="29"/>
        <v>10800</v>
      </c>
      <c r="AF34" s="542">
        <v>8</v>
      </c>
      <c r="AG34" s="545">
        <f t="shared" si="29"/>
        <v>10800</v>
      </c>
      <c r="AH34" s="493">
        <f t="shared" ref="AH34:AH35" si="36">SUM(I34,K34,M34,O34,R34,T34,V34,X34,Z34,AB34,AD34,AF34)</f>
        <v>80</v>
      </c>
      <c r="AI34" s="493">
        <f t="shared" ref="AI34:AI35" si="37">SUM(J34,L34,N34,P34,S34,U34,W34,Y34,AA34,AC34,AE34,AG34)</f>
        <v>108000</v>
      </c>
      <c r="AJ34" s="14"/>
    </row>
    <row r="35" spans="2:36" x14ac:dyDescent="0.35">
      <c r="B35" s="554" t="s">
        <v>1665</v>
      </c>
      <c r="C35" s="554" t="s">
        <v>860</v>
      </c>
      <c r="D35" s="554" t="s">
        <v>43</v>
      </c>
      <c r="E35" s="554" t="s">
        <v>863</v>
      </c>
      <c r="F35" s="554" t="s">
        <v>91</v>
      </c>
      <c r="G35" s="712" t="s">
        <v>1661</v>
      </c>
      <c r="H35" s="550">
        <v>1600</v>
      </c>
      <c r="I35" s="542"/>
      <c r="J35" s="545">
        <f t="shared" si="0"/>
        <v>0</v>
      </c>
      <c r="K35" s="542">
        <v>1</v>
      </c>
      <c r="L35" s="545">
        <f t="shared" si="30"/>
        <v>1600</v>
      </c>
      <c r="M35" s="542">
        <v>1</v>
      </c>
      <c r="N35" s="545">
        <f t="shared" ref="N35:N36" si="38">M35*$H35</f>
        <v>1600</v>
      </c>
      <c r="O35" s="542">
        <v>1</v>
      </c>
      <c r="P35" s="545">
        <f t="shared" si="31"/>
        <v>1600</v>
      </c>
      <c r="Q35" s="545">
        <f t="shared" si="5"/>
        <v>0</v>
      </c>
      <c r="R35" s="542">
        <v>1</v>
      </c>
      <c r="S35" s="545">
        <f t="shared" si="32"/>
        <v>1600</v>
      </c>
      <c r="T35" s="542">
        <v>1</v>
      </c>
      <c r="U35" s="545">
        <f t="shared" si="33"/>
        <v>1600</v>
      </c>
      <c r="V35" s="542">
        <v>1</v>
      </c>
      <c r="W35" s="545">
        <f t="shared" si="34"/>
        <v>1600</v>
      </c>
      <c r="X35" s="542">
        <v>1</v>
      </c>
      <c r="Y35" s="545">
        <f t="shared" si="35"/>
        <v>1600</v>
      </c>
      <c r="Z35" s="542">
        <v>1</v>
      </c>
      <c r="AA35" s="545">
        <f t="shared" si="29"/>
        <v>1600</v>
      </c>
      <c r="AB35" s="542">
        <v>1</v>
      </c>
      <c r="AC35" s="545">
        <f t="shared" si="29"/>
        <v>1600</v>
      </c>
      <c r="AD35" s="542">
        <v>1</v>
      </c>
      <c r="AE35" s="545">
        <f t="shared" si="29"/>
        <v>1600</v>
      </c>
      <c r="AF35" s="542">
        <v>1</v>
      </c>
      <c r="AG35" s="545">
        <f t="shared" si="29"/>
        <v>1600</v>
      </c>
      <c r="AH35" s="493">
        <f t="shared" si="36"/>
        <v>11</v>
      </c>
      <c r="AI35" s="493">
        <f t="shared" si="37"/>
        <v>17600</v>
      </c>
      <c r="AJ35" s="14"/>
    </row>
    <row r="36" spans="2:36" x14ac:dyDescent="0.35">
      <c r="B36" s="554" t="s">
        <v>1665</v>
      </c>
      <c r="C36" s="554" t="s">
        <v>860</v>
      </c>
      <c r="D36" s="554" t="s">
        <v>43</v>
      </c>
      <c r="E36" s="554" t="s">
        <v>863</v>
      </c>
      <c r="F36" s="554" t="s">
        <v>1663</v>
      </c>
      <c r="G36" s="712" t="s">
        <v>1664</v>
      </c>
      <c r="H36" s="550">
        <v>1350</v>
      </c>
      <c r="I36" s="542"/>
      <c r="J36" s="545">
        <f t="shared" si="0"/>
        <v>0</v>
      </c>
      <c r="K36" s="542">
        <v>0</v>
      </c>
      <c r="L36" s="545">
        <f t="shared" si="30"/>
        <v>0</v>
      </c>
      <c r="M36" s="542">
        <v>1</v>
      </c>
      <c r="N36" s="545">
        <f t="shared" si="38"/>
        <v>1350</v>
      </c>
      <c r="O36" s="542">
        <v>1</v>
      </c>
      <c r="P36" s="545">
        <f t="shared" si="31"/>
        <v>1350</v>
      </c>
      <c r="Q36" s="545">
        <f t="shared" si="5"/>
        <v>0</v>
      </c>
      <c r="R36" s="542">
        <v>1</v>
      </c>
      <c r="S36" s="545">
        <f t="shared" si="32"/>
        <v>1350</v>
      </c>
      <c r="T36" s="542">
        <v>1</v>
      </c>
      <c r="U36" s="545">
        <f t="shared" si="33"/>
        <v>1350</v>
      </c>
      <c r="V36" s="542">
        <v>1</v>
      </c>
      <c r="W36" s="545">
        <f t="shared" si="34"/>
        <v>1350</v>
      </c>
      <c r="X36" s="542">
        <v>1</v>
      </c>
      <c r="Y36" s="545">
        <f t="shared" si="35"/>
        <v>1350</v>
      </c>
      <c r="Z36" s="542">
        <v>1</v>
      </c>
      <c r="AA36" s="545">
        <f t="shared" si="29"/>
        <v>1350</v>
      </c>
      <c r="AB36" s="542">
        <v>1</v>
      </c>
      <c r="AC36" s="545">
        <f t="shared" si="29"/>
        <v>1350</v>
      </c>
      <c r="AD36" s="542">
        <v>1</v>
      </c>
      <c r="AE36" s="545">
        <f t="shared" si="29"/>
        <v>1350</v>
      </c>
      <c r="AF36" s="542">
        <v>1</v>
      </c>
      <c r="AG36" s="545">
        <f t="shared" si="29"/>
        <v>1350</v>
      </c>
      <c r="AH36" s="493">
        <f t="shared" ref="AH36" si="39">SUM(I36,K36,M36,O36,R36,T36,V36,X36,Z36,AB36,AD36,AF36)</f>
        <v>10</v>
      </c>
      <c r="AI36" s="493">
        <f t="shared" ref="AI36" si="40">SUM(J36,L36,N36,P36,S36,U36,W36,Y36,AA36,AC36,AE36,AG36)</f>
        <v>13500</v>
      </c>
      <c r="AJ36" s="14"/>
    </row>
    <row r="37" spans="2:36" x14ac:dyDescent="0.35">
      <c r="B37" s="542" t="s">
        <v>117</v>
      </c>
      <c r="C37" s="542" t="s">
        <v>860</v>
      </c>
      <c r="D37" s="551" t="s">
        <v>41</v>
      </c>
      <c r="E37" s="551" t="s">
        <v>865</v>
      </c>
      <c r="F37" s="542" t="s">
        <v>804</v>
      </c>
      <c r="G37" s="542" t="s">
        <v>93</v>
      </c>
      <c r="H37" s="543">
        <v>5.5E-2</v>
      </c>
      <c r="I37" s="545">
        <v>820000</v>
      </c>
      <c r="J37" s="545">
        <f t="shared" si="0"/>
        <v>45100</v>
      </c>
      <c r="K37" s="545">
        <v>775000</v>
      </c>
      <c r="L37" s="545">
        <f t="shared" si="30"/>
        <v>42625</v>
      </c>
      <c r="M37" s="545">
        <v>553000</v>
      </c>
      <c r="N37" s="545">
        <f t="shared" si="30"/>
        <v>30415</v>
      </c>
      <c r="O37" s="545"/>
      <c r="P37" s="545">
        <f t="shared" si="30"/>
        <v>0</v>
      </c>
      <c r="Q37" s="545">
        <f t="shared" si="5"/>
        <v>0</v>
      </c>
      <c r="R37" s="545"/>
      <c r="S37" s="545">
        <f t="shared" si="30"/>
        <v>0</v>
      </c>
      <c r="T37" s="545"/>
      <c r="U37" s="545">
        <f t="shared" si="30"/>
        <v>0</v>
      </c>
      <c r="V37" s="545"/>
      <c r="W37" s="545">
        <f t="shared" si="30"/>
        <v>0</v>
      </c>
      <c r="X37" s="545"/>
      <c r="Y37" s="545">
        <f t="shared" si="30"/>
        <v>0</v>
      </c>
      <c r="Z37" s="545"/>
      <c r="AA37" s="545">
        <f t="shared" si="29"/>
        <v>0</v>
      </c>
      <c r="AB37" s="545"/>
      <c r="AC37" s="545">
        <f t="shared" si="29"/>
        <v>0</v>
      </c>
      <c r="AD37" s="545"/>
      <c r="AE37" s="545">
        <f t="shared" si="29"/>
        <v>0</v>
      </c>
      <c r="AF37" s="545"/>
      <c r="AG37" s="545">
        <f t="shared" si="29"/>
        <v>0</v>
      </c>
      <c r="AH37" s="493">
        <f t="shared" ref="AH37:AH50" si="41">SUM(I37,K37,M37,O37,R37,T37,V37,X37,Z37,AB37,AD37,AF37)</f>
        <v>2148000</v>
      </c>
      <c r="AI37" s="493">
        <f t="shared" ref="AI37:AI50" si="42">SUM(J37,L37,N37,P37,S37,U37,W37,Y37,AA37,AC37,AE37,AG37)</f>
        <v>118140</v>
      </c>
      <c r="AJ37" s="14"/>
    </row>
    <row r="38" spans="2:36" x14ac:dyDescent="0.35">
      <c r="B38" s="542" t="s">
        <v>117</v>
      </c>
      <c r="C38" s="542" t="s">
        <v>860</v>
      </c>
      <c r="D38" s="551" t="s">
        <v>43</v>
      </c>
      <c r="E38" s="551" t="s">
        <v>865</v>
      </c>
      <c r="F38" s="542" t="s">
        <v>804</v>
      </c>
      <c r="G38" s="542" t="s">
        <v>849</v>
      </c>
      <c r="H38" s="550">
        <v>1750</v>
      </c>
      <c r="I38" s="542">
        <v>2</v>
      </c>
      <c r="J38" s="545">
        <f t="shared" si="0"/>
        <v>3500</v>
      </c>
      <c r="K38" s="542"/>
      <c r="L38" s="545">
        <f t="shared" si="30"/>
        <v>0</v>
      </c>
      <c r="M38" s="545"/>
      <c r="N38" s="545">
        <f t="shared" si="30"/>
        <v>0</v>
      </c>
      <c r="O38" s="545"/>
      <c r="P38" s="545">
        <f t="shared" si="30"/>
        <v>0</v>
      </c>
      <c r="Q38" s="545">
        <f t="shared" si="5"/>
        <v>0</v>
      </c>
      <c r="R38" s="542"/>
      <c r="S38" s="545">
        <f t="shared" si="30"/>
        <v>0</v>
      </c>
      <c r="T38" s="542"/>
      <c r="U38" s="545">
        <f t="shared" si="30"/>
        <v>0</v>
      </c>
      <c r="V38" s="542"/>
      <c r="W38" s="545">
        <f t="shared" si="30"/>
        <v>0</v>
      </c>
      <c r="X38" s="542"/>
      <c r="Y38" s="545">
        <f t="shared" si="30"/>
        <v>0</v>
      </c>
      <c r="Z38" s="542"/>
      <c r="AA38" s="545">
        <f t="shared" si="29"/>
        <v>0</v>
      </c>
      <c r="AB38" s="542"/>
      <c r="AC38" s="545">
        <f t="shared" si="29"/>
        <v>0</v>
      </c>
      <c r="AD38" s="542"/>
      <c r="AE38" s="545">
        <f t="shared" si="29"/>
        <v>0</v>
      </c>
      <c r="AF38" s="542"/>
      <c r="AG38" s="545">
        <f t="shared" si="29"/>
        <v>0</v>
      </c>
      <c r="AH38" s="493">
        <f t="shared" si="41"/>
        <v>2</v>
      </c>
      <c r="AI38" s="493">
        <f t="shared" si="42"/>
        <v>3500</v>
      </c>
      <c r="AJ38" s="14"/>
    </row>
    <row r="39" spans="2:36" x14ac:dyDescent="0.35">
      <c r="B39" s="542" t="s">
        <v>117</v>
      </c>
      <c r="C39" s="542" t="s">
        <v>860</v>
      </c>
      <c r="D39" s="551" t="s">
        <v>41</v>
      </c>
      <c r="E39" s="551" t="s">
        <v>865</v>
      </c>
      <c r="F39" s="542" t="s">
        <v>804</v>
      </c>
      <c r="G39" s="542" t="s">
        <v>850</v>
      </c>
      <c r="H39" s="550">
        <v>1350</v>
      </c>
      <c r="I39" s="542">
        <v>1</v>
      </c>
      <c r="J39" s="545">
        <f t="shared" ref="J39:J58" si="43">I39*$H39</f>
        <v>1350</v>
      </c>
      <c r="K39" s="542"/>
      <c r="L39" s="545">
        <f t="shared" si="30"/>
        <v>0</v>
      </c>
      <c r="M39" s="545"/>
      <c r="N39" s="545">
        <f t="shared" si="30"/>
        <v>0</v>
      </c>
      <c r="O39" s="545"/>
      <c r="P39" s="545">
        <f t="shared" si="30"/>
        <v>0</v>
      </c>
      <c r="Q39" s="545">
        <f t="shared" si="5"/>
        <v>0</v>
      </c>
      <c r="R39" s="542"/>
      <c r="S39" s="545">
        <f t="shared" si="30"/>
        <v>0</v>
      </c>
      <c r="T39" s="542"/>
      <c r="U39" s="545">
        <f t="shared" si="30"/>
        <v>0</v>
      </c>
      <c r="V39" s="542"/>
      <c r="W39" s="545">
        <f t="shared" si="30"/>
        <v>0</v>
      </c>
      <c r="X39" s="542"/>
      <c r="Y39" s="545">
        <f t="shared" si="30"/>
        <v>0</v>
      </c>
      <c r="Z39" s="542"/>
      <c r="AA39" s="545">
        <f t="shared" si="29"/>
        <v>0</v>
      </c>
      <c r="AB39" s="542"/>
      <c r="AC39" s="545">
        <f t="shared" si="29"/>
        <v>0</v>
      </c>
      <c r="AD39" s="542"/>
      <c r="AE39" s="545">
        <f t="shared" si="29"/>
        <v>0</v>
      </c>
      <c r="AF39" s="542"/>
      <c r="AG39" s="545">
        <f t="shared" si="29"/>
        <v>0</v>
      </c>
      <c r="AH39" s="493">
        <f t="shared" si="41"/>
        <v>1</v>
      </c>
      <c r="AI39" s="493">
        <f t="shared" si="42"/>
        <v>1350</v>
      </c>
      <c r="AJ39" s="14"/>
    </row>
    <row r="40" spans="2:36" x14ac:dyDescent="0.35">
      <c r="B40" s="542" t="s">
        <v>117</v>
      </c>
      <c r="C40" s="542" t="s">
        <v>860</v>
      </c>
      <c r="D40" s="551" t="s">
        <v>62</v>
      </c>
      <c r="E40" s="542" t="s">
        <v>863</v>
      </c>
      <c r="F40" s="542" t="s">
        <v>799</v>
      </c>
      <c r="G40" s="542" t="s">
        <v>47</v>
      </c>
      <c r="H40" s="546">
        <v>4.5</v>
      </c>
      <c r="I40" s="548">
        <v>550</v>
      </c>
      <c r="J40" s="545">
        <f t="shared" si="43"/>
        <v>2475</v>
      </c>
      <c r="K40" s="548">
        <v>550</v>
      </c>
      <c r="L40" s="545">
        <f t="shared" si="30"/>
        <v>2475</v>
      </c>
      <c r="M40" s="548">
        <v>550</v>
      </c>
      <c r="N40" s="545">
        <f t="shared" si="30"/>
        <v>2475</v>
      </c>
      <c r="O40" s="548">
        <v>550</v>
      </c>
      <c r="P40" s="545">
        <f t="shared" si="30"/>
        <v>2475</v>
      </c>
      <c r="Q40" s="545">
        <f t="shared" si="5"/>
        <v>0</v>
      </c>
      <c r="R40" s="548">
        <v>550</v>
      </c>
      <c r="S40" s="545">
        <f t="shared" si="30"/>
        <v>2475</v>
      </c>
      <c r="T40" s="548">
        <v>550</v>
      </c>
      <c r="U40" s="545">
        <f t="shared" si="30"/>
        <v>2475</v>
      </c>
      <c r="V40" s="548">
        <v>550</v>
      </c>
      <c r="W40" s="545">
        <f t="shared" si="30"/>
        <v>2475</v>
      </c>
      <c r="X40" s="548">
        <v>550</v>
      </c>
      <c r="Y40" s="545">
        <f t="shared" si="30"/>
        <v>2475</v>
      </c>
      <c r="Z40" s="542">
        <v>550</v>
      </c>
      <c r="AA40" s="545">
        <f t="shared" si="29"/>
        <v>2475</v>
      </c>
      <c r="AB40" s="548">
        <v>550</v>
      </c>
      <c r="AC40" s="545">
        <f t="shared" si="29"/>
        <v>2475</v>
      </c>
      <c r="AD40" s="542">
        <v>550</v>
      </c>
      <c r="AE40" s="545">
        <f t="shared" si="29"/>
        <v>2475</v>
      </c>
      <c r="AF40" s="548">
        <v>550</v>
      </c>
      <c r="AG40" s="545">
        <f t="shared" si="29"/>
        <v>2475</v>
      </c>
      <c r="AH40" s="493">
        <f t="shared" si="41"/>
        <v>6600</v>
      </c>
      <c r="AI40" s="493">
        <f t="shared" si="42"/>
        <v>29700</v>
      </c>
      <c r="AJ40" s="14"/>
    </row>
    <row r="41" spans="2:36" x14ac:dyDescent="0.35">
      <c r="B41" s="542" t="s">
        <v>117</v>
      </c>
      <c r="C41" s="542" t="s">
        <v>860</v>
      </c>
      <c r="D41" s="542" t="s">
        <v>41</v>
      </c>
      <c r="E41" s="542" t="s">
        <v>863</v>
      </c>
      <c r="F41" s="542" t="s">
        <v>810</v>
      </c>
      <c r="G41" s="542" t="s">
        <v>93</v>
      </c>
      <c r="H41" s="552">
        <v>0.03</v>
      </c>
      <c r="I41" s="545">
        <v>40000</v>
      </c>
      <c r="J41" s="545">
        <f t="shared" si="43"/>
        <v>1200</v>
      </c>
      <c r="K41" s="545">
        <v>40000</v>
      </c>
      <c r="L41" s="545">
        <f t="shared" si="30"/>
        <v>1200</v>
      </c>
      <c r="M41" s="545">
        <v>40000</v>
      </c>
      <c r="N41" s="545">
        <f t="shared" si="30"/>
        <v>1200</v>
      </c>
      <c r="O41" s="545">
        <v>40000</v>
      </c>
      <c r="P41" s="545">
        <f t="shared" si="30"/>
        <v>1200</v>
      </c>
      <c r="Q41" s="545">
        <f t="shared" si="5"/>
        <v>0</v>
      </c>
      <c r="R41" s="545">
        <v>40000</v>
      </c>
      <c r="S41" s="545">
        <f t="shared" si="30"/>
        <v>1200</v>
      </c>
      <c r="T41" s="545">
        <v>40000</v>
      </c>
      <c r="U41" s="545">
        <f t="shared" si="30"/>
        <v>1200</v>
      </c>
      <c r="V41" s="545">
        <v>40000</v>
      </c>
      <c r="W41" s="545">
        <f t="shared" si="30"/>
        <v>1200</v>
      </c>
      <c r="X41" s="545">
        <v>40000</v>
      </c>
      <c r="Y41" s="545">
        <f t="shared" si="30"/>
        <v>1200</v>
      </c>
      <c r="Z41" s="545">
        <v>40000</v>
      </c>
      <c r="AA41" s="545">
        <f t="shared" si="29"/>
        <v>1200</v>
      </c>
      <c r="AB41" s="545">
        <v>40000</v>
      </c>
      <c r="AC41" s="545">
        <f t="shared" si="29"/>
        <v>1200</v>
      </c>
      <c r="AD41" s="545">
        <v>40000</v>
      </c>
      <c r="AE41" s="545">
        <f t="shared" si="29"/>
        <v>1200</v>
      </c>
      <c r="AF41" s="545">
        <v>40000</v>
      </c>
      <c r="AG41" s="545">
        <f t="shared" si="29"/>
        <v>1200</v>
      </c>
      <c r="AH41" s="493">
        <f t="shared" si="41"/>
        <v>480000</v>
      </c>
      <c r="AI41" s="493">
        <f t="shared" si="42"/>
        <v>14400</v>
      </c>
      <c r="AJ41" s="14"/>
    </row>
    <row r="42" spans="2:36" x14ac:dyDescent="0.35">
      <c r="B42" s="542" t="s">
        <v>117</v>
      </c>
      <c r="C42" s="542" t="s">
        <v>860</v>
      </c>
      <c r="D42" s="542" t="s">
        <v>43</v>
      </c>
      <c r="E42" s="542" t="s">
        <v>863</v>
      </c>
      <c r="F42" s="542" t="s">
        <v>811</v>
      </c>
      <c r="G42" s="542" t="s">
        <v>101</v>
      </c>
      <c r="H42" s="546">
        <v>1600</v>
      </c>
      <c r="I42" s="548">
        <v>3</v>
      </c>
      <c r="J42" s="545">
        <f t="shared" si="43"/>
        <v>4800</v>
      </c>
      <c r="K42" s="548">
        <v>3</v>
      </c>
      <c r="L42" s="545">
        <f t="shared" si="30"/>
        <v>4800</v>
      </c>
      <c r="M42" s="548">
        <v>3</v>
      </c>
      <c r="N42" s="545">
        <f t="shared" si="30"/>
        <v>4800</v>
      </c>
      <c r="O42" s="548">
        <v>3</v>
      </c>
      <c r="P42" s="545">
        <f t="shared" si="30"/>
        <v>4800</v>
      </c>
      <c r="Q42" s="545">
        <f t="shared" si="5"/>
        <v>0</v>
      </c>
      <c r="R42" s="548">
        <v>3</v>
      </c>
      <c r="S42" s="545">
        <f t="shared" si="30"/>
        <v>4800</v>
      </c>
      <c r="T42" s="548">
        <v>3</v>
      </c>
      <c r="U42" s="545">
        <f t="shared" si="30"/>
        <v>4800</v>
      </c>
      <c r="V42" s="548">
        <v>3</v>
      </c>
      <c r="W42" s="545">
        <f t="shared" si="30"/>
        <v>4800</v>
      </c>
      <c r="X42" s="548">
        <v>3</v>
      </c>
      <c r="Y42" s="545">
        <f t="shared" si="30"/>
        <v>4800</v>
      </c>
      <c r="Z42" s="548">
        <v>3</v>
      </c>
      <c r="AA42" s="545">
        <f t="shared" si="29"/>
        <v>4800</v>
      </c>
      <c r="AB42" s="548">
        <v>3</v>
      </c>
      <c r="AC42" s="545">
        <f t="shared" si="29"/>
        <v>4800</v>
      </c>
      <c r="AD42" s="548">
        <v>3</v>
      </c>
      <c r="AE42" s="545">
        <f t="shared" si="29"/>
        <v>4800</v>
      </c>
      <c r="AF42" s="548">
        <v>3</v>
      </c>
      <c r="AG42" s="545">
        <f t="shared" si="29"/>
        <v>4800</v>
      </c>
      <c r="AH42" s="493">
        <f t="shared" si="41"/>
        <v>36</v>
      </c>
      <c r="AI42" s="493">
        <f t="shared" si="42"/>
        <v>57600</v>
      </c>
      <c r="AJ42" s="14"/>
    </row>
    <row r="43" spans="2:36" x14ac:dyDescent="0.35">
      <c r="B43" s="542" t="s">
        <v>117</v>
      </c>
      <c r="C43" s="542" t="s">
        <v>860</v>
      </c>
      <c r="D43" s="542" t="s">
        <v>62</v>
      </c>
      <c r="E43" s="542" t="s">
        <v>863</v>
      </c>
      <c r="F43" s="542" t="s">
        <v>811</v>
      </c>
      <c r="G43" s="542" t="s">
        <v>47</v>
      </c>
      <c r="H43" s="546">
        <v>4.5</v>
      </c>
      <c r="I43" s="548">
        <v>100</v>
      </c>
      <c r="J43" s="545">
        <f t="shared" si="43"/>
        <v>450</v>
      </c>
      <c r="K43" s="548">
        <v>100</v>
      </c>
      <c r="L43" s="545">
        <f t="shared" si="30"/>
        <v>450</v>
      </c>
      <c r="M43" s="548">
        <v>100</v>
      </c>
      <c r="N43" s="545">
        <f t="shared" si="30"/>
        <v>450</v>
      </c>
      <c r="O43" s="548">
        <v>100</v>
      </c>
      <c r="P43" s="545">
        <f t="shared" si="30"/>
        <v>450</v>
      </c>
      <c r="Q43" s="545">
        <f t="shared" si="5"/>
        <v>0</v>
      </c>
      <c r="R43" s="548">
        <v>100</v>
      </c>
      <c r="S43" s="545">
        <f t="shared" si="30"/>
        <v>450</v>
      </c>
      <c r="T43" s="548">
        <v>100</v>
      </c>
      <c r="U43" s="545">
        <f t="shared" si="30"/>
        <v>450</v>
      </c>
      <c r="V43" s="548">
        <v>100</v>
      </c>
      <c r="W43" s="545">
        <f t="shared" si="30"/>
        <v>450</v>
      </c>
      <c r="X43" s="548">
        <v>100</v>
      </c>
      <c r="Y43" s="545">
        <f t="shared" si="30"/>
        <v>450</v>
      </c>
      <c r="Z43" s="542">
        <v>100</v>
      </c>
      <c r="AA43" s="545">
        <f t="shared" si="29"/>
        <v>450</v>
      </c>
      <c r="AB43" s="548">
        <v>100</v>
      </c>
      <c r="AC43" s="545">
        <f t="shared" si="29"/>
        <v>450</v>
      </c>
      <c r="AD43" s="542">
        <v>100</v>
      </c>
      <c r="AE43" s="545">
        <f t="shared" si="29"/>
        <v>450</v>
      </c>
      <c r="AF43" s="548">
        <v>100</v>
      </c>
      <c r="AG43" s="545">
        <f t="shared" si="29"/>
        <v>450</v>
      </c>
      <c r="AH43" s="493">
        <f t="shared" si="41"/>
        <v>1200</v>
      </c>
      <c r="AI43" s="493">
        <f t="shared" si="42"/>
        <v>5400</v>
      </c>
      <c r="AJ43" s="14"/>
    </row>
    <row r="44" spans="2:36" x14ac:dyDescent="0.35">
      <c r="B44" s="542" t="s">
        <v>117</v>
      </c>
      <c r="C44" s="542" t="s">
        <v>860</v>
      </c>
      <c r="D44" s="542" t="s">
        <v>43</v>
      </c>
      <c r="E44" s="542" t="s">
        <v>863</v>
      </c>
      <c r="F44" s="542" t="s">
        <v>809</v>
      </c>
      <c r="G44" s="542" t="s">
        <v>101</v>
      </c>
      <c r="H44" s="546">
        <v>1750</v>
      </c>
      <c r="I44" s="548">
        <v>1</v>
      </c>
      <c r="J44" s="545">
        <f t="shared" si="43"/>
        <v>1750</v>
      </c>
      <c r="K44" s="548">
        <v>1</v>
      </c>
      <c r="L44" s="545">
        <f t="shared" si="30"/>
        <v>1750</v>
      </c>
      <c r="M44" s="548">
        <v>1</v>
      </c>
      <c r="N44" s="545">
        <f t="shared" si="30"/>
        <v>1750</v>
      </c>
      <c r="O44" s="548">
        <v>1</v>
      </c>
      <c r="P44" s="545">
        <f t="shared" si="30"/>
        <v>1750</v>
      </c>
      <c r="Q44" s="545">
        <f t="shared" si="5"/>
        <v>0</v>
      </c>
      <c r="R44" s="548">
        <v>1</v>
      </c>
      <c r="S44" s="545">
        <f t="shared" si="30"/>
        <v>1750</v>
      </c>
      <c r="T44" s="548">
        <v>1</v>
      </c>
      <c r="U44" s="545">
        <f t="shared" si="30"/>
        <v>1750</v>
      </c>
      <c r="V44" s="548">
        <v>1</v>
      </c>
      <c r="W44" s="545">
        <f t="shared" si="30"/>
        <v>1750</v>
      </c>
      <c r="X44" s="548">
        <v>1</v>
      </c>
      <c r="Y44" s="545">
        <f t="shared" si="30"/>
        <v>1750</v>
      </c>
      <c r="Z44" s="548">
        <v>1</v>
      </c>
      <c r="AA44" s="545">
        <f t="shared" ref="AA44:AG45" si="44">Z44*$H44</f>
        <v>1750</v>
      </c>
      <c r="AB44" s="548">
        <v>1</v>
      </c>
      <c r="AC44" s="545">
        <f t="shared" si="44"/>
        <v>1750</v>
      </c>
      <c r="AD44" s="548">
        <v>1</v>
      </c>
      <c r="AE44" s="545">
        <f t="shared" si="44"/>
        <v>1750</v>
      </c>
      <c r="AF44" s="548">
        <v>1</v>
      </c>
      <c r="AG44" s="545">
        <f t="shared" si="44"/>
        <v>1750</v>
      </c>
      <c r="AH44" s="493">
        <f t="shared" si="41"/>
        <v>12</v>
      </c>
      <c r="AI44" s="493">
        <f t="shared" si="42"/>
        <v>21000</v>
      </c>
      <c r="AJ44" s="14"/>
    </row>
    <row r="45" spans="2:36" x14ac:dyDescent="0.35">
      <c r="B45" s="542" t="s">
        <v>117</v>
      </c>
      <c r="C45" s="542" t="s">
        <v>860</v>
      </c>
      <c r="D45" s="542" t="s">
        <v>41</v>
      </c>
      <c r="E45" s="542" t="s">
        <v>863</v>
      </c>
      <c r="F45" s="542" t="s">
        <v>809</v>
      </c>
      <c r="G45" s="542" t="s">
        <v>93</v>
      </c>
      <c r="H45" s="552">
        <v>0.05</v>
      </c>
      <c r="I45" s="545">
        <v>100000</v>
      </c>
      <c r="J45" s="545">
        <f t="shared" si="43"/>
        <v>5000</v>
      </c>
      <c r="K45" s="545">
        <v>100000</v>
      </c>
      <c r="L45" s="545">
        <f t="shared" si="30"/>
        <v>5000</v>
      </c>
      <c r="M45" s="545">
        <v>100000</v>
      </c>
      <c r="N45" s="545">
        <f t="shared" si="30"/>
        <v>5000</v>
      </c>
      <c r="O45" s="545">
        <v>100000</v>
      </c>
      <c r="P45" s="545">
        <f t="shared" si="30"/>
        <v>5000</v>
      </c>
      <c r="Q45" s="545">
        <f t="shared" si="5"/>
        <v>0</v>
      </c>
      <c r="R45" s="545">
        <v>100000</v>
      </c>
      <c r="S45" s="545">
        <f t="shared" si="30"/>
        <v>5000</v>
      </c>
      <c r="T45" s="545">
        <v>100000</v>
      </c>
      <c r="U45" s="545">
        <f t="shared" si="30"/>
        <v>5000</v>
      </c>
      <c r="V45" s="545">
        <v>100000</v>
      </c>
      <c r="W45" s="545">
        <f t="shared" si="30"/>
        <v>5000</v>
      </c>
      <c r="X45" s="545">
        <v>100000</v>
      </c>
      <c r="Y45" s="545">
        <f t="shared" si="30"/>
        <v>5000</v>
      </c>
      <c r="Z45" s="545">
        <v>100000</v>
      </c>
      <c r="AA45" s="545">
        <f t="shared" si="44"/>
        <v>5000</v>
      </c>
      <c r="AB45" s="545">
        <v>100000</v>
      </c>
      <c r="AC45" s="545">
        <f t="shared" si="44"/>
        <v>5000</v>
      </c>
      <c r="AD45" s="545">
        <v>100000</v>
      </c>
      <c r="AE45" s="545">
        <f t="shared" si="44"/>
        <v>5000</v>
      </c>
      <c r="AF45" s="545">
        <v>100000</v>
      </c>
      <c r="AG45" s="545">
        <f t="shared" si="44"/>
        <v>5000</v>
      </c>
      <c r="AH45" s="493">
        <f t="shared" si="41"/>
        <v>1200000</v>
      </c>
      <c r="AI45" s="493">
        <f t="shared" si="42"/>
        <v>60000</v>
      </c>
      <c r="AJ45" s="14"/>
    </row>
    <row r="46" spans="2:36" x14ac:dyDescent="0.35">
      <c r="B46" s="542" t="s">
        <v>117</v>
      </c>
      <c r="C46" s="542" t="s">
        <v>860</v>
      </c>
      <c r="D46" s="542" t="s">
        <v>43</v>
      </c>
      <c r="E46" s="542" t="s">
        <v>866</v>
      </c>
      <c r="F46" s="542" t="s">
        <v>812</v>
      </c>
      <c r="G46" s="542" t="s">
        <v>851</v>
      </c>
      <c r="H46" s="546">
        <v>2500</v>
      </c>
      <c r="I46" s="548">
        <v>10</v>
      </c>
      <c r="J46" s="545">
        <f t="shared" si="43"/>
        <v>25000</v>
      </c>
      <c r="K46" s="548">
        <v>10</v>
      </c>
      <c r="L46" s="545">
        <f t="shared" ref="L46:AG56" si="45">K46*$H46</f>
        <v>25000</v>
      </c>
      <c r="M46" s="548">
        <v>9</v>
      </c>
      <c r="N46" s="545">
        <f t="shared" si="45"/>
        <v>22500</v>
      </c>
      <c r="O46" s="548">
        <v>8</v>
      </c>
      <c r="P46" s="545">
        <f t="shared" si="45"/>
        <v>20000</v>
      </c>
      <c r="Q46" s="545">
        <f t="shared" si="5"/>
        <v>0</v>
      </c>
      <c r="R46" s="548">
        <v>8</v>
      </c>
      <c r="S46" s="545">
        <f t="shared" si="45"/>
        <v>20000</v>
      </c>
      <c r="T46" s="548">
        <v>8</v>
      </c>
      <c r="U46" s="545">
        <f t="shared" si="45"/>
        <v>20000</v>
      </c>
      <c r="V46" s="548">
        <v>8</v>
      </c>
      <c r="W46" s="545">
        <f t="shared" si="45"/>
        <v>20000</v>
      </c>
      <c r="X46" s="548">
        <v>8</v>
      </c>
      <c r="Y46" s="545">
        <f t="shared" si="45"/>
        <v>20000</v>
      </c>
      <c r="Z46" s="548">
        <v>8</v>
      </c>
      <c r="AA46" s="545">
        <f t="shared" si="45"/>
        <v>20000</v>
      </c>
      <c r="AB46" s="548">
        <v>8</v>
      </c>
      <c r="AC46" s="545">
        <f t="shared" si="45"/>
        <v>20000</v>
      </c>
      <c r="AD46" s="548">
        <v>8</v>
      </c>
      <c r="AE46" s="545">
        <f t="shared" si="45"/>
        <v>20000</v>
      </c>
      <c r="AF46" s="548">
        <v>8</v>
      </c>
      <c r="AG46" s="545">
        <f t="shared" si="45"/>
        <v>20000</v>
      </c>
      <c r="AH46" s="493">
        <f t="shared" si="41"/>
        <v>101</v>
      </c>
      <c r="AI46" s="493">
        <f t="shared" si="42"/>
        <v>252500</v>
      </c>
      <c r="AJ46" s="14"/>
    </row>
    <row r="47" spans="2:36" x14ac:dyDescent="0.35">
      <c r="B47" s="542" t="s">
        <v>117</v>
      </c>
      <c r="C47" s="542" t="s">
        <v>860</v>
      </c>
      <c r="D47" s="542" t="s">
        <v>43</v>
      </c>
      <c r="E47" s="542" t="s">
        <v>861</v>
      </c>
      <c r="F47" s="542" t="s">
        <v>793</v>
      </c>
      <c r="G47" s="542" t="s">
        <v>101</v>
      </c>
      <c r="H47" s="550">
        <v>1450</v>
      </c>
      <c r="I47" s="548">
        <v>1</v>
      </c>
      <c r="J47" s="545">
        <f t="shared" si="43"/>
        <v>1450</v>
      </c>
      <c r="K47" s="548">
        <v>1</v>
      </c>
      <c r="L47" s="545">
        <f t="shared" si="45"/>
        <v>1450</v>
      </c>
      <c r="M47" s="548">
        <v>1</v>
      </c>
      <c r="N47" s="545">
        <f t="shared" si="45"/>
        <v>1450</v>
      </c>
      <c r="O47" s="548">
        <v>1</v>
      </c>
      <c r="P47" s="545">
        <f t="shared" si="45"/>
        <v>1450</v>
      </c>
      <c r="Q47" s="545">
        <f t="shared" si="5"/>
        <v>0</v>
      </c>
      <c r="R47" s="548">
        <v>1</v>
      </c>
      <c r="S47" s="545">
        <f t="shared" si="45"/>
        <v>1450</v>
      </c>
      <c r="T47" s="548">
        <v>1</v>
      </c>
      <c r="U47" s="545">
        <f t="shared" si="45"/>
        <v>1450</v>
      </c>
      <c r="V47" s="548">
        <v>1</v>
      </c>
      <c r="W47" s="545">
        <f t="shared" si="45"/>
        <v>1450</v>
      </c>
      <c r="X47" s="548">
        <v>1</v>
      </c>
      <c r="Y47" s="545">
        <f t="shared" si="45"/>
        <v>1450</v>
      </c>
      <c r="Z47" s="548">
        <v>1</v>
      </c>
      <c r="AA47" s="545">
        <f t="shared" si="45"/>
        <v>1450</v>
      </c>
      <c r="AB47" s="548">
        <v>1</v>
      </c>
      <c r="AC47" s="545">
        <f t="shared" si="45"/>
        <v>1450</v>
      </c>
      <c r="AD47" s="548">
        <v>1</v>
      </c>
      <c r="AE47" s="545">
        <f t="shared" si="45"/>
        <v>1450</v>
      </c>
      <c r="AF47" s="548">
        <v>1</v>
      </c>
      <c r="AG47" s="545">
        <f t="shared" si="45"/>
        <v>1450</v>
      </c>
      <c r="AH47" s="493">
        <f t="shared" si="41"/>
        <v>12</v>
      </c>
      <c r="AI47" s="493">
        <f t="shared" si="42"/>
        <v>17400</v>
      </c>
      <c r="AJ47" s="14"/>
    </row>
    <row r="48" spans="2:36" x14ac:dyDescent="0.35">
      <c r="B48" s="542" t="s">
        <v>117</v>
      </c>
      <c r="C48" s="542" t="s">
        <v>860</v>
      </c>
      <c r="D48" s="542" t="s">
        <v>43</v>
      </c>
      <c r="E48" s="542" t="s">
        <v>862</v>
      </c>
      <c r="F48" s="542" t="s">
        <v>813</v>
      </c>
      <c r="G48" s="542" t="s">
        <v>814</v>
      </c>
      <c r="H48" s="550">
        <v>18</v>
      </c>
      <c r="I48" s="548">
        <v>352</v>
      </c>
      <c r="J48" s="545">
        <f t="shared" si="43"/>
        <v>6336</v>
      </c>
      <c r="K48" s="548">
        <v>352</v>
      </c>
      <c r="L48" s="545">
        <f t="shared" si="45"/>
        <v>6336</v>
      </c>
      <c r="M48" s="548">
        <v>352</v>
      </c>
      <c r="N48" s="545">
        <f t="shared" si="45"/>
        <v>6336</v>
      </c>
      <c r="O48" s="548">
        <v>352</v>
      </c>
      <c r="P48" s="545">
        <f t="shared" si="45"/>
        <v>6336</v>
      </c>
      <c r="Q48" s="545">
        <f t="shared" si="5"/>
        <v>0</v>
      </c>
      <c r="R48" s="548">
        <v>352</v>
      </c>
      <c r="S48" s="545">
        <f t="shared" si="45"/>
        <v>6336</v>
      </c>
      <c r="T48" s="548">
        <v>352</v>
      </c>
      <c r="U48" s="545">
        <f t="shared" si="45"/>
        <v>6336</v>
      </c>
      <c r="V48" s="548">
        <v>352</v>
      </c>
      <c r="W48" s="545">
        <f t="shared" si="45"/>
        <v>6336</v>
      </c>
      <c r="X48" s="548">
        <v>352</v>
      </c>
      <c r="Y48" s="545">
        <f t="shared" si="45"/>
        <v>6336</v>
      </c>
      <c r="Z48" s="548">
        <v>352</v>
      </c>
      <c r="AA48" s="545">
        <f t="shared" si="45"/>
        <v>6336</v>
      </c>
      <c r="AB48" s="548">
        <v>352</v>
      </c>
      <c r="AC48" s="545">
        <f t="shared" si="45"/>
        <v>6336</v>
      </c>
      <c r="AD48" s="548">
        <v>352</v>
      </c>
      <c r="AE48" s="545">
        <f t="shared" si="45"/>
        <v>6336</v>
      </c>
      <c r="AF48" s="548">
        <v>352</v>
      </c>
      <c r="AG48" s="545">
        <f t="shared" si="45"/>
        <v>6336</v>
      </c>
      <c r="AH48" s="493">
        <f t="shared" si="41"/>
        <v>4224</v>
      </c>
      <c r="AI48" s="493">
        <f t="shared" si="42"/>
        <v>76032</v>
      </c>
      <c r="AJ48" s="14"/>
    </row>
    <row r="49" spans="2:36" x14ac:dyDescent="0.35">
      <c r="B49" s="542" t="s">
        <v>117</v>
      </c>
      <c r="C49" s="542" t="s">
        <v>860</v>
      </c>
      <c r="D49" s="542" t="s">
        <v>62</v>
      </c>
      <c r="E49" s="542" t="s">
        <v>862</v>
      </c>
      <c r="F49" s="542" t="s">
        <v>815</v>
      </c>
      <c r="G49" s="542" t="s">
        <v>121</v>
      </c>
      <c r="H49" s="546">
        <v>1.35</v>
      </c>
      <c r="I49" s="548">
        <v>3500</v>
      </c>
      <c r="J49" s="545">
        <f t="shared" si="43"/>
        <v>4725</v>
      </c>
      <c r="K49" s="548">
        <v>3500</v>
      </c>
      <c r="L49" s="545">
        <f>K49*$H49</f>
        <v>4725</v>
      </c>
      <c r="M49" s="548">
        <v>3500</v>
      </c>
      <c r="N49" s="545">
        <f>M49*$H49</f>
        <v>4725</v>
      </c>
      <c r="O49" s="548">
        <v>3500</v>
      </c>
      <c r="P49" s="545">
        <f>O49*$H49</f>
        <v>4725</v>
      </c>
      <c r="Q49" s="545">
        <f t="shared" si="5"/>
        <v>0</v>
      </c>
      <c r="R49" s="548">
        <v>3500</v>
      </c>
      <c r="S49" s="545">
        <f>R49*$H49</f>
        <v>4725</v>
      </c>
      <c r="T49" s="548">
        <v>3500</v>
      </c>
      <c r="U49" s="545">
        <f>T49*$H49</f>
        <v>4725</v>
      </c>
      <c r="V49" s="548">
        <v>3500</v>
      </c>
      <c r="W49" s="545">
        <f>V49*$H49</f>
        <v>4725</v>
      </c>
      <c r="X49" s="548">
        <v>3500</v>
      </c>
      <c r="Y49" s="545">
        <f>X49*$H49</f>
        <v>4725</v>
      </c>
      <c r="Z49" s="548">
        <v>3500</v>
      </c>
      <c r="AA49" s="545">
        <f>Z49*$H49</f>
        <v>4725</v>
      </c>
      <c r="AB49" s="548">
        <v>3500</v>
      </c>
      <c r="AC49" s="545">
        <f>AB49*$H49</f>
        <v>4725</v>
      </c>
      <c r="AD49" s="548">
        <v>3500</v>
      </c>
      <c r="AE49" s="545">
        <f>AD49*$H49</f>
        <v>4725</v>
      </c>
      <c r="AF49" s="548">
        <v>3500</v>
      </c>
      <c r="AG49" s="545">
        <f>AF49*$H49</f>
        <v>4725</v>
      </c>
      <c r="AH49" s="493">
        <f t="shared" si="41"/>
        <v>42000</v>
      </c>
      <c r="AI49" s="493">
        <f t="shared" si="42"/>
        <v>56700</v>
      </c>
      <c r="AJ49" s="14"/>
    </row>
    <row r="50" spans="2:36" x14ac:dyDescent="0.35">
      <c r="B50" s="542" t="s">
        <v>117</v>
      </c>
      <c r="C50" s="542" t="s">
        <v>860</v>
      </c>
      <c r="D50" s="542" t="s">
        <v>43</v>
      </c>
      <c r="E50" s="542" t="s">
        <v>867</v>
      </c>
      <c r="F50" s="542" t="s">
        <v>781</v>
      </c>
      <c r="G50" s="542" t="s">
        <v>93</v>
      </c>
      <c r="H50" s="546">
        <v>0.38</v>
      </c>
      <c r="I50" s="548"/>
      <c r="J50" s="545">
        <f t="shared" si="43"/>
        <v>0</v>
      </c>
      <c r="K50" s="548">
        <v>30975</v>
      </c>
      <c r="L50" s="545">
        <f t="shared" si="45"/>
        <v>11770.5</v>
      </c>
      <c r="M50" s="548">
        <v>30975</v>
      </c>
      <c r="N50" s="545">
        <f t="shared" si="45"/>
        <v>11770.5</v>
      </c>
      <c r="O50" s="548">
        <v>30975</v>
      </c>
      <c r="P50" s="545">
        <f t="shared" si="45"/>
        <v>11770.5</v>
      </c>
      <c r="Q50" s="545">
        <f t="shared" si="5"/>
        <v>0</v>
      </c>
      <c r="R50" s="548">
        <v>30975</v>
      </c>
      <c r="S50" s="545">
        <f t="shared" si="45"/>
        <v>11770.5</v>
      </c>
      <c r="T50" s="548">
        <v>30975</v>
      </c>
      <c r="U50" s="545">
        <f t="shared" si="45"/>
        <v>11770.5</v>
      </c>
      <c r="V50" s="548">
        <v>30975</v>
      </c>
      <c r="W50" s="545">
        <f t="shared" si="45"/>
        <v>11770.5</v>
      </c>
      <c r="X50" s="548">
        <v>30975</v>
      </c>
      <c r="Y50" s="545">
        <f t="shared" si="45"/>
        <v>11770.5</v>
      </c>
      <c r="Z50" s="548">
        <v>30975</v>
      </c>
      <c r="AA50" s="545">
        <f t="shared" si="45"/>
        <v>11770.5</v>
      </c>
      <c r="AB50" s="548">
        <v>30975</v>
      </c>
      <c r="AC50" s="545">
        <f t="shared" si="45"/>
        <v>11770.5</v>
      </c>
      <c r="AD50" s="548">
        <v>30975</v>
      </c>
      <c r="AE50" s="545">
        <f t="shared" si="45"/>
        <v>11770.5</v>
      </c>
      <c r="AF50" s="548">
        <v>30975</v>
      </c>
      <c r="AG50" s="545">
        <f t="shared" si="45"/>
        <v>11770.5</v>
      </c>
      <c r="AH50" s="493">
        <f t="shared" si="41"/>
        <v>340725</v>
      </c>
      <c r="AI50" s="493">
        <f t="shared" si="42"/>
        <v>129475.5</v>
      </c>
      <c r="AJ50" s="14"/>
    </row>
    <row r="51" spans="2:36" x14ac:dyDescent="0.35">
      <c r="B51" s="542" t="s">
        <v>117</v>
      </c>
      <c r="C51" s="542" t="s">
        <v>860</v>
      </c>
      <c r="D51" s="542" t="s">
        <v>43</v>
      </c>
      <c r="E51" s="542" t="s">
        <v>867</v>
      </c>
      <c r="F51" s="542" t="s">
        <v>781</v>
      </c>
      <c r="G51" s="542" t="s">
        <v>43</v>
      </c>
      <c r="H51" s="546">
        <v>1250</v>
      </c>
      <c r="I51" s="548">
        <v>4</v>
      </c>
      <c r="J51" s="545">
        <f t="shared" si="43"/>
        <v>5000</v>
      </c>
      <c r="K51" s="548">
        <v>4</v>
      </c>
      <c r="L51" s="545">
        <f t="shared" si="45"/>
        <v>5000</v>
      </c>
      <c r="M51" s="548">
        <v>4</v>
      </c>
      <c r="N51" s="545">
        <f t="shared" ref="N51" si="46">M51*$H51</f>
        <v>5000</v>
      </c>
      <c r="O51" s="548">
        <v>4</v>
      </c>
      <c r="P51" s="545">
        <f t="shared" ref="P51" si="47">O51*$H51</f>
        <v>5000</v>
      </c>
      <c r="Q51" s="545">
        <f t="shared" si="5"/>
        <v>0</v>
      </c>
      <c r="R51" s="548">
        <v>4</v>
      </c>
      <c r="S51" s="545">
        <f t="shared" ref="S51" si="48">R51*$H51</f>
        <v>5000</v>
      </c>
      <c r="T51" s="548"/>
      <c r="U51" s="545">
        <f t="shared" ref="U51" si="49">T51*$H51</f>
        <v>0</v>
      </c>
      <c r="V51" s="548"/>
      <c r="W51" s="545"/>
      <c r="X51" s="548"/>
      <c r="Y51" s="545"/>
      <c r="Z51" s="548"/>
      <c r="AA51" s="545"/>
      <c r="AB51" s="548"/>
      <c r="AC51" s="545"/>
      <c r="AD51" s="548"/>
      <c r="AE51" s="545"/>
      <c r="AF51" s="548"/>
      <c r="AG51" s="545"/>
      <c r="AH51" s="493">
        <f t="shared" ref="AH51" si="50">SUM(I51,K51,M51,O51,R51,T51,V51,X51,Z51,AB51,AD51,AF51)</f>
        <v>20</v>
      </c>
      <c r="AI51" s="493">
        <f t="shared" ref="AI51" si="51">SUM(J51,L51,N51,P51,S51,U51,W51,Y51,AA51,AC51,AE51,AG51)</f>
        <v>25000</v>
      </c>
      <c r="AJ51" s="14"/>
    </row>
    <row r="52" spans="2:36" x14ac:dyDescent="0.35">
      <c r="B52" s="542" t="s">
        <v>117</v>
      </c>
      <c r="C52" s="542" t="s">
        <v>860</v>
      </c>
      <c r="D52" s="542" t="s">
        <v>62</v>
      </c>
      <c r="E52" s="542" t="s">
        <v>863</v>
      </c>
      <c r="F52" s="542" t="s">
        <v>781</v>
      </c>
      <c r="G52" s="553" t="s">
        <v>852</v>
      </c>
      <c r="H52" s="550">
        <v>1675</v>
      </c>
      <c r="I52" s="548">
        <v>1</v>
      </c>
      <c r="J52" s="545">
        <f t="shared" si="43"/>
        <v>1675</v>
      </c>
      <c r="K52" s="548"/>
      <c r="L52" s="545">
        <f t="shared" si="45"/>
        <v>0</v>
      </c>
      <c r="M52" s="548"/>
      <c r="N52" s="545">
        <f t="shared" si="45"/>
        <v>0</v>
      </c>
      <c r="O52" s="548"/>
      <c r="P52" s="545">
        <f t="shared" si="45"/>
        <v>0</v>
      </c>
      <c r="Q52" s="545">
        <f t="shared" si="5"/>
        <v>0</v>
      </c>
      <c r="R52" s="548"/>
      <c r="S52" s="545">
        <f t="shared" si="45"/>
        <v>0</v>
      </c>
      <c r="T52" s="548"/>
      <c r="U52" s="545">
        <f t="shared" si="45"/>
        <v>0</v>
      </c>
      <c r="V52" s="548"/>
      <c r="W52" s="545">
        <f t="shared" si="45"/>
        <v>0</v>
      </c>
      <c r="X52" s="548"/>
      <c r="Y52" s="545">
        <f t="shared" si="45"/>
        <v>0</v>
      </c>
      <c r="Z52" s="548"/>
      <c r="AA52" s="545">
        <f t="shared" si="45"/>
        <v>0</v>
      </c>
      <c r="AB52" s="548"/>
      <c r="AC52" s="545">
        <f t="shared" si="45"/>
        <v>0</v>
      </c>
      <c r="AD52" s="548"/>
      <c r="AE52" s="545">
        <f t="shared" si="45"/>
        <v>0</v>
      </c>
      <c r="AF52" s="548"/>
      <c r="AG52" s="545">
        <f t="shared" si="45"/>
        <v>0</v>
      </c>
      <c r="AH52" s="493">
        <f>SUM(I52,K52,M52,O52,R52,T52,V52,X52,Z52,AB52,AD52,AF52)</f>
        <v>1</v>
      </c>
      <c r="AI52" s="493">
        <f>SUM(J52,L52,N52,P52,S52,U52,W52,Y52,AA52,AC52,AE52,AG52)</f>
        <v>1675</v>
      </c>
      <c r="AJ52" s="14"/>
    </row>
    <row r="53" spans="2:36" x14ac:dyDescent="0.35">
      <c r="B53" s="554" t="s">
        <v>1665</v>
      </c>
      <c r="C53" s="554" t="s">
        <v>860</v>
      </c>
      <c r="D53" s="554" t="s">
        <v>62</v>
      </c>
      <c r="E53" s="554" t="s">
        <v>863</v>
      </c>
      <c r="F53" s="554" t="s">
        <v>781</v>
      </c>
      <c r="G53" s="554" t="s">
        <v>1667</v>
      </c>
      <c r="H53" s="713">
        <v>1</v>
      </c>
      <c r="I53" s="548"/>
      <c r="J53" s="545"/>
      <c r="K53" s="548">
        <v>800</v>
      </c>
      <c r="L53" s="545">
        <f t="shared" si="45"/>
        <v>800</v>
      </c>
      <c r="M53" s="548">
        <v>800</v>
      </c>
      <c r="N53" s="545">
        <f t="shared" si="45"/>
        <v>800</v>
      </c>
      <c r="O53" s="548">
        <v>800</v>
      </c>
      <c r="P53" s="545">
        <f t="shared" si="45"/>
        <v>800</v>
      </c>
      <c r="Q53" s="545">
        <f t="shared" si="5"/>
        <v>0</v>
      </c>
      <c r="R53" s="548">
        <v>800</v>
      </c>
      <c r="S53" s="545">
        <f t="shared" si="45"/>
        <v>800</v>
      </c>
      <c r="T53" s="548">
        <v>800</v>
      </c>
      <c r="U53" s="545">
        <f t="shared" si="45"/>
        <v>800</v>
      </c>
      <c r="V53" s="548">
        <v>800</v>
      </c>
      <c r="W53" s="545">
        <f t="shared" si="45"/>
        <v>800</v>
      </c>
      <c r="X53" s="548">
        <v>800</v>
      </c>
      <c r="Y53" s="545">
        <f t="shared" si="45"/>
        <v>800</v>
      </c>
      <c r="Z53" s="548">
        <v>800</v>
      </c>
      <c r="AA53" s="545">
        <f t="shared" si="45"/>
        <v>800</v>
      </c>
      <c r="AB53" s="548">
        <v>800</v>
      </c>
      <c r="AC53" s="545">
        <f t="shared" si="45"/>
        <v>800</v>
      </c>
      <c r="AD53" s="548">
        <v>800</v>
      </c>
      <c r="AE53" s="545">
        <f t="shared" si="45"/>
        <v>800</v>
      </c>
      <c r="AF53" s="548">
        <v>800</v>
      </c>
      <c r="AG53" s="545">
        <f t="shared" si="45"/>
        <v>800</v>
      </c>
      <c r="AH53" s="493">
        <f t="shared" ref="AH53" si="52">SUM(I53,K53,M53,O53,R53,T53,V53,X53,Z53,AB53,AD53,AF53)</f>
        <v>8800</v>
      </c>
      <c r="AI53" s="493">
        <f t="shared" ref="AI53" si="53">SUM(J53,L53,N53,P53,S53,U53,W53,Y53,AA53,AC53,AE53,AG53)</f>
        <v>8800</v>
      </c>
      <c r="AJ53" s="14"/>
    </row>
    <row r="54" spans="2:36" x14ac:dyDescent="0.35">
      <c r="B54" s="554" t="s">
        <v>1665</v>
      </c>
      <c r="C54" s="554" t="s">
        <v>860</v>
      </c>
      <c r="D54" s="554" t="s">
        <v>62</v>
      </c>
      <c r="E54" s="554" t="s">
        <v>863</v>
      </c>
      <c r="F54" s="554" t="s">
        <v>781</v>
      </c>
      <c r="G54" s="554" t="s">
        <v>1668</v>
      </c>
      <c r="H54" s="713">
        <v>1250</v>
      </c>
      <c r="I54" s="548"/>
      <c r="J54" s="545"/>
      <c r="K54" s="548">
        <v>5</v>
      </c>
      <c r="L54" s="545">
        <f t="shared" si="45"/>
        <v>6250</v>
      </c>
      <c r="M54" s="548">
        <v>3</v>
      </c>
      <c r="N54" s="545">
        <f t="shared" si="45"/>
        <v>3750</v>
      </c>
      <c r="O54" s="548"/>
      <c r="P54" s="545">
        <f t="shared" si="45"/>
        <v>0</v>
      </c>
      <c r="Q54" s="545">
        <f t="shared" si="5"/>
        <v>0</v>
      </c>
      <c r="R54" s="548"/>
      <c r="S54" s="545">
        <f t="shared" si="45"/>
        <v>0</v>
      </c>
      <c r="T54" s="548"/>
      <c r="U54" s="545">
        <f t="shared" si="45"/>
        <v>0</v>
      </c>
      <c r="V54" s="548"/>
      <c r="W54" s="545">
        <f t="shared" si="45"/>
        <v>0</v>
      </c>
      <c r="X54" s="548"/>
      <c r="Y54" s="545">
        <f t="shared" si="45"/>
        <v>0</v>
      </c>
      <c r="Z54" s="548"/>
      <c r="AA54" s="545">
        <f t="shared" si="45"/>
        <v>0</v>
      </c>
      <c r="AB54" s="548"/>
      <c r="AC54" s="545">
        <f t="shared" si="45"/>
        <v>0</v>
      </c>
      <c r="AD54" s="548"/>
      <c r="AE54" s="545">
        <f t="shared" si="45"/>
        <v>0</v>
      </c>
      <c r="AF54" s="548"/>
      <c r="AG54" s="545">
        <f t="shared" si="45"/>
        <v>0</v>
      </c>
      <c r="AH54" s="493"/>
      <c r="AI54" s="493"/>
      <c r="AJ54" s="14"/>
    </row>
    <row r="55" spans="2:36" x14ac:dyDescent="0.35">
      <c r="B55" s="542" t="s">
        <v>117</v>
      </c>
      <c r="C55" s="542" t="s">
        <v>860</v>
      </c>
      <c r="D55" s="551" t="s">
        <v>43</v>
      </c>
      <c r="E55" s="551" t="s">
        <v>868</v>
      </c>
      <c r="F55" s="551" t="s">
        <v>817</v>
      </c>
      <c r="G55" s="542" t="s">
        <v>101</v>
      </c>
      <c r="H55" s="550">
        <v>1300</v>
      </c>
      <c r="I55" s="548">
        <v>2</v>
      </c>
      <c r="J55" s="545">
        <f t="shared" si="43"/>
        <v>2600</v>
      </c>
      <c r="K55" s="548">
        <v>2</v>
      </c>
      <c r="L55" s="545">
        <f t="shared" si="45"/>
        <v>2600</v>
      </c>
      <c r="M55" s="548">
        <v>2</v>
      </c>
      <c r="N55" s="545">
        <f t="shared" si="45"/>
        <v>2600</v>
      </c>
      <c r="O55" s="548">
        <v>2</v>
      </c>
      <c r="P55" s="545">
        <f t="shared" si="45"/>
        <v>2600</v>
      </c>
      <c r="Q55" s="545">
        <f t="shared" si="5"/>
        <v>0</v>
      </c>
      <c r="R55" s="548">
        <v>2</v>
      </c>
      <c r="S55" s="545">
        <f t="shared" si="45"/>
        <v>2600</v>
      </c>
      <c r="T55" s="548">
        <v>2</v>
      </c>
      <c r="U55" s="545">
        <f t="shared" si="45"/>
        <v>2600</v>
      </c>
      <c r="V55" s="548">
        <v>2</v>
      </c>
      <c r="W55" s="545">
        <f t="shared" si="45"/>
        <v>2600</v>
      </c>
      <c r="X55" s="548">
        <v>2</v>
      </c>
      <c r="Y55" s="545">
        <f t="shared" si="45"/>
        <v>2600</v>
      </c>
      <c r="Z55" s="548">
        <v>2</v>
      </c>
      <c r="AA55" s="545">
        <f t="shared" si="45"/>
        <v>2600</v>
      </c>
      <c r="AB55" s="548">
        <v>2</v>
      </c>
      <c r="AC55" s="545">
        <f t="shared" si="45"/>
        <v>2600</v>
      </c>
      <c r="AD55" s="548">
        <v>2</v>
      </c>
      <c r="AE55" s="545">
        <f t="shared" si="45"/>
        <v>2600</v>
      </c>
      <c r="AF55" s="548">
        <v>2</v>
      </c>
      <c r="AG55" s="545">
        <f t="shared" si="45"/>
        <v>2600</v>
      </c>
      <c r="AH55" s="493">
        <f t="shared" ref="AH55:AI58" si="54">SUM(I55,K55,M55,O55,R55,T55,V55,X55,Z55,AB55,AD55,AF55)</f>
        <v>24</v>
      </c>
      <c r="AI55" s="493">
        <f t="shared" si="54"/>
        <v>31200</v>
      </c>
      <c r="AJ55" s="14"/>
    </row>
    <row r="56" spans="2:36" x14ac:dyDescent="0.35">
      <c r="B56" s="542" t="s">
        <v>117</v>
      </c>
      <c r="C56" s="542" t="s">
        <v>860</v>
      </c>
      <c r="D56" s="551"/>
      <c r="E56" s="551" t="s">
        <v>864</v>
      </c>
      <c r="F56" s="551" t="s">
        <v>817</v>
      </c>
      <c r="G56" s="542" t="s">
        <v>818</v>
      </c>
      <c r="H56" s="550">
        <v>200</v>
      </c>
      <c r="I56" s="548">
        <v>5</v>
      </c>
      <c r="J56" s="545">
        <f t="shared" si="43"/>
        <v>1000</v>
      </c>
      <c r="K56" s="548">
        <v>5</v>
      </c>
      <c r="L56" s="545">
        <f t="shared" si="45"/>
        <v>1000</v>
      </c>
      <c r="M56" s="548">
        <v>5</v>
      </c>
      <c r="N56" s="545">
        <f t="shared" si="45"/>
        <v>1000</v>
      </c>
      <c r="O56" s="548">
        <v>5</v>
      </c>
      <c r="P56" s="545">
        <f t="shared" si="45"/>
        <v>1000</v>
      </c>
      <c r="Q56" s="545">
        <f t="shared" si="5"/>
        <v>0</v>
      </c>
      <c r="R56" s="548">
        <v>5</v>
      </c>
      <c r="S56" s="545">
        <f t="shared" si="45"/>
        <v>1000</v>
      </c>
      <c r="T56" s="548">
        <v>5</v>
      </c>
      <c r="U56" s="545">
        <f t="shared" si="45"/>
        <v>1000</v>
      </c>
      <c r="V56" s="548">
        <v>5</v>
      </c>
      <c r="W56" s="545">
        <f t="shared" si="45"/>
        <v>1000</v>
      </c>
      <c r="X56" s="548">
        <v>5</v>
      </c>
      <c r="Y56" s="545">
        <f t="shared" si="45"/>
        <v>1000</v>
      </c>
      <c r="Z56" s="548">
        <v>5</v>
      </c>
      <c r="AA56" s="545">
        <f t="shared" si="45"/>
        <v>1000</v>
      </c>
      <c r="AB56" s="548">
        <v>5</v>
      </c>
      <c r="AC56" s="545">
        <f t="shared" si="45"/>
        <v>1000</v>
      </c>
      <c r="AD56" s="548">
        <v>5</v>
      </c>
      <c r="AE56" s="545">
        <f t="shared" si="45"/>
        <v>1000</v>
      </c>
      <c r="AF56" s="548">
        <v>5</v>
      </c>
      <c r="AG56" s="545">
        <f t="shared" si="45"/>
        <v>1000</v>
      </c>
      <c r="AH56" s="493">
        <f t="shared" si="54"/>
        <v>60</v>
      </c>
      <c r="AI56" s="493">
        <f t="shared" si="54"/>
        <v>12000</v>
      </c>
      <c r="AJ56" s="14"/>
    </row>
    <row r="57" spans="2:36" x14ac:dyDescent="0.35">
      <c r="B57" s="542" t="s">
        <v>117</v>
      </c>
      <c r="C57" s="542" t="s">
        <v>860</v>
      </c>
      <c r="D57" s="551" t="s">
        <v>43</v>
      </c>
      <c r="E57" s="551" t="s">
        <v>868</v>
      </c>
      <c r="F57" s="551" t="s">
        <v>799</v>
      </c>
      <c r="G57" s="542" t="s">
        <v>801</v>
      </c>
      <c r="H57" s="550">
        <v>1450</v>
      </c>
      <c r="I57" s="548">
        <v>1</v>
      </c>
      <c r="J57" s="545">
        <f t="shared" si="43"/>
        <v>1450</v>
      </c>
      <c r="K57" s="548">
        <v>0.5</v>
      </c>
      <c r="L57" s="545">
        <f>K57*$H57</f>
        <v>725</v>
      </c>
      <c r="M57" s="548">
        <v>0</v>
      </c>
      <c r="N57" s="545">
        <f>M57*$H57</f>
        <v>0</v>
      </c>
      <c r="O57" s="548">
        <v>0</v>
      </c>
      <c r="P57" s="545">
        <f>O57*$H57</f>
        <v>0</v>
      </c>
      <c r="Q57" s="545">
        <f t="shared" si="5"/>
        <v>0</v>
      </c>
      <c r="R57" s="548">
        <v>0</v>
      </c>
      <c r="S57" s="545">
        <f>R57*$H57</f>
        <v>0</v>
      </c>
      <c r="T57" s="548">
        <v>0</v>
      </c>
      <c r="U57" s="545">
        <f>T57*$H57</f>
        <v>0</v>
      </c>
      <c r="V57" s="548">
        <v>0</v>
      </c>
      <c r="W57" s="545">
        <f>V57*$H57</f>
        <v>0</v>
      </c>
      <c r="X57" s="548">
        <v>0</v>
      </c>
      <c r="Y57" s="545">
        <f>X57*$H57</f>
        <v>0</v>
      </c>
      <c r="Z57" s="548">
        <v>0</v>
      </c>
      <c r="AA57" s="545">
        <f>Z57*$H57</f>
        <v>0</v>
      </c>
      <c r="AB57" s="548">
        <v>0</v>
      </c>
      <c r="AC57" s="545">
        <f>AB57*$H57</f>
        <v>0</v>
      </c>
      <c r="AD57" s="548">
        <v>0</v>
      </c>
      <c r="AE57" s="545">
        <f>AD57*$H57</f>
        <v>0</v>
      </c>
      <c r="AF57" s="548">
        <v>0</v>
      </c>
      <c r="AG57" s="545">
        <f>AF57*$H57</f>
        <v>0</v>
      </c>
      <c r="AH57" s="493">
        <f t="shared" si="54"/>
        <v>1.5</v>
      </c>
      <c r="AI57" s="493">
        <f t="shared" si="54"/>
        <v>2175</v>
      </c>
      <c r="AJ57" s="14"/>
    </row>
    <row r="58" spans="2:36" x14ac:dyDescent="0.35">
      <c r="B58" s="542" t="s">
        <v>117</v>
      </c>
      <c r="C58" s="542" t="s">
        <v>860</v>
      </c>
      <c r="D58" s="542"/>
      <c r="E58" s="542" t="s">
        <v>864</v>
      </c>
      <c r="F58" s="542" t="s">
        <v>843</v>
      </c>
      <c r="G58" s="542" t="s">
        <v>818</v>
      </c>
      <c r="H58" s="550">
        <v>200</v>
      </c>
      <c r="I58" s="548">
        <v>0</v>
      </c>
      <c r="J58" s="545">
        <f t="shared" si="43"/>
        <v>0</v>
      </c>
      <c r="K58" s="548">
        <v>0</v>
      </c>
      <c r="L58" s="545"/>
      <c r="M58" s="548">
        <v>0</v>
      </c>
      <c r="N58" s="545"/>
      <c r="O58" s="548">
        <v>0</v>
      </c>
      <c r="P58" s="545"/>
      <c r="Q58" s="545">
        <f t="shared" si="5"/>
        <v>0</v>
      </c>
      <c r="R58" s="548">
        <v>0</v>
      </c>
      <c r="S58" s="545"/>
      <c r="T58" s="548">
        <v>0</v>
      </c>
      <c r="U58" s="545"/>
      <c r="V58" s="548">
        <v>0</v>
      </c>
      <c r="W58" s="545"/>
      <c r="X58" s="548">
        <v>0</v>
      </c>
      <c r="Y58" s="545"/>
      <c r="Z58" s="548">
        <v>0</v>
      </c>
      <c r="AA58" s="545"/>
      <c r="AB58" s="548">
        <v>0</v>
      </c>
      <c r="AC58" s="545"/>
      <c r="AD58" s="548">
        <v>0</v>
      </c>
      <c r="AE58" s="545"/>
      <c r="AF58" s="548">
        <v>0</v>
      </c>
      <c r="AG58" s="545"/>
      <c r="AH58" s="493">
        <f t="shared" si="54"/>
        <v>0</v>
      </c>
      <c r="AI58" s="493">
        <f t="shared" si="54"/>
        <v>0</v>
      </c>
    </row>
    <row r="59" spans="2:36" x14ac:dyDescent="0.35">
      <c r="J59" s="494">
        <f>SUM(J4:J58)</f>
        <v>225414.12</v>
      </c>
      <c r="L59" s="494">
        <f>SUM(L4:L58)</f>
        <v>238765.5</v>
      </c>
      <c r="N59" s="494">
        <f>SUM(N4:N58)</f>
        <v>239597.86</v>
      </c>
      <c r="P59" s="494">
        <f>SUM(P4:P58)</f>
        <v>203603.86</v>
      </c>
      <c r="Q59" s="494"/>
      <c r="S59" s="494">
        <f>SUM(S4:S58)</f>
        <v>199015.5</v>
      </c>
      <c r="U59" s="494">
        <f>SUM(U4:U58)</f>
        <v>198603.86</v>
      </c>
      <c r="W59" s="494">
        <f>SUM(W4:W58)</f>
        <v>198603.86</v>
      </c>
      <c r="Y59" s="494">
        <f>SUM(Y4:Y58)</f>
        <v>196937.7</v>
      </c>
      <c r="AA59" s="494">
        <f>SUM(AA4:AA58)</f>
        <v>196937.7</v>
      </c>
      <c r="AC59" s="494">
        <f>SUM(AC4:AC58)</f>
        <v>198603.86</v>
      </c>
      <c r="AE59" s="494">
        <f>SUM(AE4:AE58)</f>
        <v>195569.5</v>
      </c>
      <c r="AG59" s="494">
        <f>SUM(AG4:AG58)</f>
        <v>198603.86</v>
      </c>
      <c r="AH59" s="494">
        <f>SUM(AH4:AH58)</f>
        <v>22231645.5</v>
      </c>
      <c r="AI59" s="494">
        <f>SUM(AI4:AI58)</f>
        <v>2480257.1799999997</v>
      </c>
    </row>
  </sheetData>
  <autoFilter ref="B2:AI59" xr:uid="{8114AE30-DAED-40E3-AA44-541646E3CAA6}">
    <filterColumn colId="7" showButton="0"/>
    <filterColumn colId="9" showButton="0"/>
    <filterColumn colId="11" showButton="0"/>
    <filterColumn colId="13" showButton="0"/>
    <filterColumn colId="16" showButton="0"/>
    <filterColumn colId="18" showButton="0"/>
    <filterColumn colId="20" showButton="0"/>
    <filterColumn colId="22" showButton="0"/>
    <filterColumn colId="24" showButton="0"/>
    <filterColumn colId="26" showButton="0"/>
    <filterColumn colId="28" showButton="0"/>
    <filterColumn colId="30" showButton="0"/>
  </autoFilter>
  <mergeCells count="16">
    <mergeCell ref="K2:L2"/>
    <mergeCell ref="B2:B3"/>
    <mergeCell ref="H2:H3"/>
    <mergeCell ref="I2:J2"/>
    <mergeCell ref="AI2:AI3"/>
    <mergeCell ref="M2:N2"/>
    <mergeCell ref="O2:P2"/>
    <mergeCell ref="R2:S2"/>
    <mergeCell ref="T2:U2"/>
    <mergeCell ref="V2:W2"/>
    <mergeCell ref="X2:Y2"/>
    <mergeCell ref="Z2:AA2"/>
    <mergeCell ref="AB2:AC2"/>
    <mergeCell ref="AD2:AE2"/>
    <mergeCell ref="AF2:AG2"/>
    <mergeCell ref="AH2:AH3"/>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65933-DBCA-4343-8862-DB6FF255BDD1}">
  <dimension ref="A1:AK32"/>
  <sheetViews>
    <sheetView showGridLines="0" zoomScale="80" zoomScaleNormal="80" workbookViewId="0">
      <pane xSplit="2" ySplit="4" topLeftCell="H12" activePane="bottomRight" state="frozen"/>
      <selection pane="topRight" activeCell="J13" sqref="J13"/>
      <selection pane="bottomLeft" activeCell="J13" sqref="J13"/>
      <selection pane="bottomRight" activeCell="U28" sqref="U28"/>
    </sheetView>
  </sheetViews>
  <sheetFormatPr defaultRowHeight="14.5" outlineLevelCol="1" x14ac:dyDescent="0.35"/>
  <cols>
    <col min="1" max="1" width="13.7265625" customWidth="1"/>
    <col min="2" max="2" width="35.1796875" customWidth="1"/>
    <col min="3" max="3" width="13.26953125" customWidth="1"/>
    <col min="4" max="4" width="10.453125" bestFit="1" customWidth="1"/>
    <col min="5" max="8" width="10.1796875" customWidth="1" outlineLevel="1"/>
    <col min="9" max="9" width="15.453125" customWidth="1"/>
    <col min="10" max="10" width="12.7265625" customWidth="1"/>
    <col min="11" max="11" width="7.81640625" customWidth="1" outlineLevel="1"/>
    <col min="12" max="12" width="12.453125" customWidth="1" outlineLevel="1"/>
    <col min="13" max="13" width="8.81640625" bestFit="1" customWidth="1"/>
    <col min="14" max="14" width="13.453125" customWidth="1"/>
    <col min="15" max="15" width="8.54296875" bestFit="1" customWidth="1"/>
    <col min="16" max="16" width="12" customWidth="1"/>
    <col min="17" max="17" width="10.453125" customWidth="1"/>
    <col min="18" max="18" width="10.1796875" customWidth="1"/>
    <col min="19" max="19" width="10.81640625" customWidth="1"/>
    <col min="20" max="20" width="10.7265625" customWidth="1"/>
    <col min="21" max="21" width="11.81640625" customWidth="1"/>
    <col min="22" max="22" width="9.26953125" customWidth="1"/>
    <col min="23" max="23" width="9.1796875" hidden="1" customWidth="1"/>
    <col min="24" max="24" width="10.7265625" hidden="1" customWidth="1"/>
    <col min="25" max="25" width="9.1796875" customWidth="1"/>
    <col min="26" max="26" width="11.453125" customWidth="1"/>
    <col min="27" max="27" width="10.453125" bestFit="1" customWidth="1"/>
    <col min="28" max="28" width="10" bestFit="1" customWidth="1"/>
    <col min="29" max="29" width="9.1796875" customWidth="1"/>
    <col min="30" max="30" width="11.81640625" bestFit="1" customWidth="1"/>
    <col min="31" max="32" width="9.1796875" customWidth="1"/>
    <col min="33" max="33" width="12.26953125" bestFit="1" customWidth="1"/>
    <col min="34" max="38" width="9.1796875" customWidth="1"/>
  </cols>
  <sheetData>
    <row r="1" spans="1:37" ht="15.5" x14ac:dyDescent="0.35">
      <c r="A1" s="624" t="s">
        <v>869</v>
      </c>
      <c r="B1" s="654">
        <v>2026</v>
      </c>
      <c r="C1" s="625"/>
      <c r="D1" s="625"/>
      <c r="E1" s="625"/>
      <c r="F1" s="625"/>
      <c r="G1" s="625"/>
      <c r="H1" s="625"/>
      <c r="I1" s="625" t="s">
        <v>436</v>
      </c>
      <c r="J1" s="625"/>
      <c r="K1" s="625"/>
      <c r="L1" s="625"/>
      <c r="M1" s="625"/>
      <c r="N1" s="625"/>
      <c r="O1" s="625"/>
      <c r="P1" s="625"/>
      <c r="Q1" s="625"/>
      <c r="R1" s="625"/>
      <c r="S1" s="625"/>
      <c r="T1" s="625"/>
      <c r="U1" s="625"/>
      <c r="V1" s="626"/>
      <c r="X1" s="625"/>
    </row>
    <row r="2" spans="1:37" ht="15.5" x14ac:dyDescent="0.35">
      <c r="A2" s="624" t="s">
        <v>870</v>
      </c>
      <c r="B2" s="627"/>
      <c r="C2" s="627"/>
      <c r="D2" s="628"/>
      <c r="E2" s="628"/>
      <c r="F2" s="628"/>
      <c r="G2" s="628"/>
      <c r="H2" s="628"/>
      <c r="I2" s="629"/>
      <c r="J2" s="731"/>
      <c r="K2" s="629"/>
      <c r="L2" s="629"/>
      <c r="M2" s="629"/>
      <c r="N2" s="629"/>
      <c r="O2" s="629"/>
      <c r="P2" s="629"/>
      <c r="Q2" s="629"/>
      <c r="R2" s="629"/>
      <c r="S2" s="629"/>
      <c r="T2" s="628"/>
      <c r="U2" s="630" t="s">
        <v>871</v>
      </c>
      <c r="V2" s="626">
        <v>92</v>
      </c>
      <c r="X2" s="628"/>
      <c r="AD2">
        <f>Z3</f>
        <v>177</v>
      </c>
      <c r="AG2" s="68">
        <f>D28</f>
        <v>201.73930839305129</v>
      </c>
    </row>
    <row r="3" spans="1:37" ht="15.5" x14ac:dyDescent="0.35">
      <c r="A3" s="631"/>
      <c r="B3" s="631"/>
      <c r="C3" s="631" t="s">
        <v>1684</v>
      </c>
      <c r="D3" s="631"/>
      <c r="E3" s="631"/>
      <c r="F3" s="631"/>
      <c r="G3" s="631"/>
      <c r="H3" s="631"/>
      <c r="I3" s="632">
        <f>370*120%</f>
        <v>444</v>
      </c>
      <c r="J3" s="631">
        <f>560*120%</f>
        <v>672</v>
      </c>
      <c r="K3" s="631"/>
      <c r="L3" s="631"/>
      <c r="M3" s="631"/>
      <c r="N3" s="631"/>
      <c r="O3" s="631"/>
      <c r="P3" s="631"/>
      <c r="Q3" s="631"/>
      <c r="R3" s="631"/>
      <c r="S3" s="631"/>
      <c r="T3" s="631"/>
      <c r="U3" s="631"/>
      <c r="V3" s="631"/>
      <c r="X3" s="631"/>
      <c r="Z3">
        <v>177</v>
      </c>
      <c r="AD3" t="s">
        <v>118</v>
      </c>
      <c r="AG3" t="s">
        <v>872</v>
      </c>
    </row>
    <row r="4" spans="1:37" ht="33" customHeight="1" x14ac:dyDescent="0.35">
      <c r="A4" s="633"/>
      <c r="B4" s="633" t="s">
        <v>126</v>
      </c>
      <c r="C4" s="634" t="s">
        <v>398</v>
      </c>
      <c r="D4" s="634" t="s">
        <v>281</v>
      </c>
      <c r="E4" s="634" t="s">
        <v>873</v>
      </c>
      <c r="F4" s="634" t="s">
        <v>874</v>
      </c>
      <c r="G4" s="634" t="s">
        <v>314</v>
      </c>
      <c r="H4" s="634" t="s">
        <v>875</v>
      </c>
      <c r="I4" s="634" t="s">
        <v>876</v>
      </c>
      <c r="J4" s="634" t="s">
        <v>877</v>
      </c>
      <c r="K4" s="634" t="s">
        <v>878</v>
      </c>
      <c r="L4" s="634" t="s">
        <v>879</v>
      </c>
      <c r="M4" s="634" t="s">
        <v>148</v>
      </c>
      <c r="N4" s="634" t="s">
        <v>880</v>
      </c>
      <c r="O4" s="634" t="s">
        <v>881</v>
      </c>
      <c r="P4" s="635" t="s">
        <v>882</v>
      </c>
      <c r="Q4" s="634" t="s">
        <v>146</v>
      </c>
      <c r="R4" s="634" t="s">
        <v>147</v>
      </c>
      <c r="S4" s="634" t="s">
        <v>510</v>
      </c>
      <c r="T4" s="634" t="s">
        <v>883</v>
      </c>
      <c r="U4" s="634" t="s">
        <v>150</v>
      </c>
      <c r="V4" s="634" t="s">
        <v>394</v>
      </c>
      <c r="X4" s="634" t="s">
        <v>423</v>
      </c>
      <c r="Z4" s="636" t="s">
        <v>884</v>
      </c>
      <c r="AA4" s="636" t="s">
        <v>885</v>
      </c>
      <c r="AB4" s="636" t="s">
        <v>886</v>
      </c>
      <c r="AD4" s="637" t="s">
        <v>300</v>
      </c>
      <c r="AE4" s="637" t="s">
        <v>301</v>
      </c>
      <c r="AG4" s="637" t="s">
        <v>300</v>
      </c>
      <c r="AH4" s="637" t="s">
        <v>301</v>
      </c>
    </row>
    <row r="5" spans="1:37" ht="15.5" x14ac:dyDescent="0.35">
      <c r="A5" s="14"/>
      <c r="B5" s="638" t="s">
        <v>817</v>
      </c>
      <c r="C5" s="639">
        <v>3600</v>
      </c>
      <c r="D5" s="640">
        <f t="shared" ref="D5:D28" si="0">SUM(E5:H5)</f>
        <v>4.539262774853019</v>
      </c>
      <c r="E5" s="641">
        <f>SUMIF('Base Revenue'!$C$6:$C$60,'Clientwise Profitability'!B5,'Base Revenue'!$AO$6:$AO$60)</f>
        <v>3.4375</v>
      </c>
      <c r="F5" s="641">
        <f>SUMIFS('2. Headcount Buildup'!$F$36:$F$46,'2. Headcount Buildup'!$C$36:$C$46,'Clientwise Profitability'!F$4)*C5/$C$28</f>
        <v>3.5362849852777579E-2</v>
      </c>
      <c r="G5" s="641">
        <f>SUMIFS('Base Revenue'!$BH$6:$BH$60,'Base Revenue'!$C$6:$C$60,'Clientwise Profitability'!$B5)</f>
        <v>0.72264992500024139</v>
      </c>
      <c r="H5" s="641">
        <f>E5/'2. Headcount Buildup'!$D$42</f>
        <v>0.34375</v>
      </c>
      <c r="I5" s="642">
        <f>E5*$I$3</f>
        <v>1526.25</v>
      </c>
      <c r="J5" s="642">
        <f>(F5+G5+H5)*$J$3</f>
        <v>740.38458470122873</v>
      </c>
      <c r="K5" s="642"/>
      <c r="L5" s="642"/>
      <c r="M5" s="642">
        <f t="shared" ref="M5:M22" si="1">3034*C5/$C$28</f>
        <v>53.645443226663588</v>
      </c>
      <c r="N5" s="642">
        <f t="shared" ref="N5:N22" si="2">C5-I5-L5-M5-J5</f>
        <v>1279.7199720721076</v>
      </c>
      <c r="O5" s="643">
        <f t="shared" ref="O5:O28" si="3">IFERROR(N5/C5,0)</f>
        <v>0.35547777002002989</v>
      </c>
      <c r="P5" s="642"/>
      <c r="Q5" s="642">
        <f t="shared" ref="Q5:S22" si="4">$D5*Q$32</f>
        <v>372.40650039010421</v>
      </c>
      <c r="R5" s="642">
        <f t="shared" si="4"/>
        <v>152.46906843036729</v>
      </c>
      <c r="S5" s="642">
        <f t="shared" si="4"/>
        <v>352.84952160463411</v>
      </c>
      <c r="T5" s="642">
        <f t="shared" ref="T5:T22" si="5">Q5+R5+P5+S5</f>
        <v>877.72509042510558</v>
      </c>
      <c r="U5" s="642">
        <f t="shared" ref="U5:U22" si="6">N5-T5</f>
        <v>401.99488164700199</v>
      </c>
      <c r="V5" s="645">
        <f t="shared" ref="V5:V22" si="7">IFERROR(U5/C5,0)</f>
        <v>0.111665244901945</v>
      </c>
      <c r="X5" s="642">
        <f t="shared" ref="X5:X18" si="8">C5/E5</f>
        <v>1047.2727272727273</v>
      </c>
      <c r="Z5" s="623">
        <f>D5</f>
        <v>4.539262774853019</v>
      </c>
      <c r="AA5" s="67">
        <f>C5/Z5</f>
        <v>793.08032571799458</v>
      </c>
      <c r="AB5" s="405">
        <f>C5/D5</f>
        <v>793.08032571799458</v>
      </c>
      <c r="AD5" s="623">
        <f>IFERROR(VLOOKUP(A5,[1]Pivot!$B$5:$D$28,2,0),)</f>
        <v>0</v>
      </c>
      <c r="AE5" s="623">
        <f>IFERROR(VLOOKUP(A5,[1]Pivot!$B$5:$D$28,3,0),)</f>
        <v>0</v>
      </c>
      <c r="AG5" s="623">
        <f>IFERROR(VLOOKUP($A5,[1]Pivot!$B$39:$D$61,2,0),)</f>
        <v>0</v>
      </c>
      <c r="AH5" s="623">
        <f>IFERROR(VLOOKUP($A5,[1]Pivot!$B$39:$D$61,3,0),)</f>
        <v>0</v>
      </c>
      <c r="AJ5" s="98">
        <f t="shared" ref="AJ5:AJ27" si="9">IFERROR(AG5/AD5,0)</f>
        <v>0</v>
      </c>
      <c r="AK5" s="98">
        <f t="shared" ref="AK5:AK27" si="10">IFERROR(AH5/AE5,0)</f>
        <v>0</v>
      </c>
    </row>
    <row r="6" spans="1:37" ht="15.5" x14ac:dyDescent="0.35">
      <c r="A6" s="14"/>
      <c r="B6" s="638" t="s">
        <v>811</v>
      </c>
      <c r="C6" s="639">
        <v>5250</v>
      </c>
      <c r="D6" s="640">
        <f t="shared" si="0"/>
        <v>5.1598902181567867</v>
      </c>
      <c r="E6" s="641">
        <f>SUMIF('Base Revenue'!$C$6:$C$60,'Clientwise Profitability'!B6,'Base Revenue'!$AO$6:$AO$60)</f>
        <v>3.8988095238095237</v>
      </c>
      <c r="F6" s="641">
        <f>SUMIFS('2. Headcount Buildup'!$F$36:$F$46,'2. Headcount Buildup'!$C$36:$C$46,'Clientwise Profitability'!F$4)*C6/$C$28</f>
        <v>5.1570822701967306E-2</v>
      </c>
      <c r="G6" s="641">
        <f>SUMIFS('Base Revenue'!$BH$6:$BH$60,'Base Revenue'!$C$6:$C$60,'Clientwise Profitability'!$B6)</f>
        <v>0.819628919264343</v>
      </c>
      <c r="H6" s="641">
        <f>E6/'2. Headcount Buildup'!$D$42</f>
        <v>0.38988095238095238</v>
      </c>
      <c r="I6" s="642">
        <f t="shared" ref="I6:I22" si="11">E6*$I$3</f>
        <v>1731.0714285714284</v>
      </c>
      <c r="J6" s="642">
        <f t="shared" ref="J6:J22" si="12">(F6+G6+H6)*$J$3</f>
        <v>847.44622660136054</v>
      </c>
      <c r="K6" s="642"/>
      <c r="L6" s="642"/>
      <c r="M6" s="642">
        <f t="shared" si="1"/>
        <v>78.232938038884399</v>
      </c>
      <c r="N6" s="642">
        <f t="shared" si="2"/>
        <v>2593.2494067883267</v>
      </c>
      <c r="O6" s="643">
        <f t="shared" si="3"/>
        <v>0.49395226795968128</v>
      </c>
      <c r="P6" s="642"/>
      <c r="Q6" s="642">
        <f t="shared" si="4"/>
        <v>423.32351173547579</v>
      </c>
      <c r="R6" s="642">
        <f t="shared" si="4"/>
        <v>173.31529232537193</v>
      </c>
      <c r="S6" s="642">
        <f t="shared" si="4"/>
        <v>401.09261906918493</v>
      </c>
      <c r="T6" s="642">
        <f t="shared" si="5"/>
        <v>997.73142313003268</v>
      </c>
      <c r="U6" s="642">
        <f t="shared" si="6"/>
        <v>1595.517983658294</v>
      </c>
      <c r="V6" s="645">
        <f t="shared" si="7"/>
        <v>0.30390818736348457</v>
      </c>
      <c r="X6" s="642"/>
      <c r="Z6" s="623">
        <f t="shared" ref="Z6:Z22" si="13">D6</f>
        <v>5.1598902181567867</v>
      </c>
      <c r="AA6" s="67">
        <f t="shared" ref="AA6:AA28" si="14">C6/Z6</f>
        <v>1017.4635075618726</v>
      </c>
      <c r="AB6" s="405">
        <f>C6/D6</f>
        <v>1017.4635075618726</v>
      </c>
      <c r="AD6" s="623">
        <f>IFERROR(VLOOKUP(A6,[1]Pivot!$B$5:$D$28,2,0),)</f>
        <v>0</v>
      </c>
      <c r="AE6" s="623">
        <f>IFERROR(VLOOKUP(A6,[1]Pivot!$B$5:$D$28,3,0),)</f>
        <v>0</v>
      </c>
      <c r="AG6" s="623">
        <f>IFERROR(VLOOKUP($A6,[1]Pivot!$B$39:$D$61,2,0),)</f>
        <v>0</v>
      </c>
      <c r="AH6" s="623">
        <f>IFERROR(VLOOKUP($A6,[1]Pivot!$B$39:$D$61,3,0),)</f>
        <v>0</v>
      </c>
      <c r="AJ6" s="98">
        <f t="shared" si="9"/>
        <v>0</v>
      </c>
      <c r="AK6" s="98">
        <f t="shared" si="10"/>
        <v>0</v>
      </c>
    </row>
    <row r="7" spans="1:37" ht="15.5" x14ac:dyDescent="0.35">
      <c r="A7" s="14"/>
      <c r="B7" s="638" t="s">
        <v>1663</v>
      </c>
      <c r="C7" s="639">
        <v>1350</v>
      </c>
      <c r="D7" s="640">
        <f t="shared" si="0"/>
        <v>1.618195135740323</v>
      </c>
      <c r="E7" s="641">
        <f>SUMIF('Base Revenue'!$C$6:$C$60,'Clientwise Profitability'!B7,'Base Revenue'!$AO$6:$AO$60)</f>
        <v>1.25</v>
      </c>
      <c r="F7" s="641">
        <f>SUMIFS('2. Headcount Buildup'!$F$36:$F$46,'2. Headcount Buildup'!$C$36:$C$46,'Clientwise Profitability'!F$4)*C7/$C$28</f>
        <v>1.3261068694791593E-2</v>
      </c>
      <c r="G7" s="641">
        <f>SUMIFS('Base Revenue'!$BH$6:$BH$60,'Base Revenue'!$C$6:$C$60,'Clientwise Profitability'!$B7)</f>
        <v>0.22993406704553135</v>
      </c>
      <c r="H7" s="641">
        <f>E7/'2. Headcount Buildup'!$D$42</f>
        <v>0.125</v>
      </c>
      <c r="I7" s="642">
        <f t="shared" si="11"/>
        <v>555</v>
      </c>
      <c r="J7" s="642">
        <f t="shared" si="12"/>
        <v>247.42713121749699</v>
      </c>
      <c r="K7" s="642"/>
      <c r="L7" s="642"/>
      <c r="M7" s="642">
        <f t="shared" si="1"/>
        <v>20.117041209998845</v>
      </c>
      <c r="N7" s="642">
        <f t="shared" si="2"/>
        <v>527.45582757250418</v>
      </c>
      <c r="O7" s="643">
        <f t="shared" si="3"/>
        <v>0.39070802042407715</v>
      </c>
      <c r="P7" s="642"/>
      <c r="Q7" s="642">
        <f t="shared" si="4"/>
        <v>132.75864767905099</v>
      </c>
      <c r="R7" s="642">
        <f t="shared" si="4"/>
        <v>54.35347480910437</v>
      </c>
      <c r="S7" s="642">
        <f t="shared" si="4"/>
        <v>125.78680896644218</v>
      </c>
      <c r="T7" s="642">
        <f t="shared" si="5"/>
        <v>312.89893145459757</v>
      </c>
      <c r="U7" s="639">
        <f t="shared" si="6"/>
        <v>214.5568961179066</v>
      </c>
      <c r="V7" s="645">
        <f t="shared" si="7"/>
        <v>0.1589310341614123</v>
      </c>
      <c r="X7" s="642">
        <f t="shared" si="8"/>
        <v>1080</v>
      </c>
      <c r="Z7" s="623">
        <f t="shared" si="13"/>
        <v>1.618195135740323</v>
      </c>
      <c r="AA7" s="67">
        <f t="shared" si="14"/>
        <v>834.26279697866971</v>
      </c>
      <c r="AB7" s="405">
        <f t="shared" ref="AB7:AB28" si="15">C7/D7</f>
        <v>834.26279697866971</v>
      </c>
      <c r="AD7" s="623">
        <f>IFERROR(VLOOKUP(A7,[1]Pivot!$B$5:$D$28,2,0),)</f>
        <v>0</v>
      </c>
      <c r="AE7" s="623">
        <f>IFERROR(VLOOKUP(A7,[1]Pivot!$B$5:$D$28,3,0),)</f>
        <v>0</v>
      </c>
      <c r="AG7" s="623">
        <f>IFERROR(VLOOKUP($A7,[1]Pivot!$B$39:$D$61,2,0),)</f>
        <v>0</v>
      </c>
      <c r="AH7" s="623">
        <f>IFERROR(VLOOKUP($A7,[1]Pivot!$B$39:$D$61,3,0),)</f>
        <v>0</v>
      </c>
      <c r="AJ7" s="98">
        <f t="shared" si="9"/>
        <v>0</v>
      </c>
      <c r="AK7" s="98">
        <f t="shared" si="10"/>
        <v>0</v>
      </c>
    </row>
    <row r="8" spans="1:37" ht="15.5" x14ac:dyDescent="0.35">
      <c r="A8" s="14"/>
      <c r="B8" s="638" t="s">
        <v>91</v>
      </c>
      <c r="C8" s="639">
        <v>67300</v>
      </c>
      <c r="D8" s="640">
        <f t="shared" si="0"/>
        <v>77.352152731216435</v>
      </c>
      <c r="E8" s="641">
        <f>SUMIF('Base Revenue'!$C$6:$C$60,'Clientwise Profitability'!B8,'Base Revenue'!$AO$6:$AO$60)</f>
        <v>58.75</v>
      </c>
      <c r="F8" s="641">
        <f>SUMIFS('2. Headcount Buildup'!$F$36:$F$46,'2. Headcount Buildup'!$C$36:$C$46,'Clientwise Profitability'!F$4)*C8/$C$28</f>
        <v>0.66108883196998092</v>
      </c>
      <c r="G8" s="641">
        <f>SUMIFS('Base Revenue'!$BH$6:$BH$60,'Base Revenue'!$C$6:$C$60,'Clientwise Profitability'!$B8)</f>
        <v>12.066063899246453</v>
      </c>
      <c r="H8" s="641">
        <f>E8/'2. Headcount Buildup'!$D$42</f>
        <v>5.875</v>
      </c>
      <c r="I8" s="642">
        <f t="shared" si="11"/>
        <v>26085</v>
      </c>
      <c r="J8" s="642">
        <f t="shared" si="12"/>
        <v>12500.646635377445</v>
      </c>
      <c r="K8" s="642"/>
      <c r="L8" s="642"/>
      <c r="M8" s="642">
        <f t="shared" si="1"/>
        <v>1002.871758098461</v>
      </c>
      <c r="N8" s="642">
        <f t="shared" si="2"/>
        <v>27711.481606524096</v>
      </c>
      <c r="O8" s="643">
        <f t="shared" si="3"/>
        <v>0.41176049935399844</v>
      </c>
      <c r="P8" s="642"/>
      <c r="Q8" s="642">
        <f t="shared" si="4"/>
        <v>6346.0623288560128</v>
      </c>
      <c r="R8" s="642">
        <f t="shared" si="4"/>
        <v>2598.1775572342676</v>
      </c>
      <c r="S8" s="642">
        <f t="shared" si="4"/>
        <v>6012.7979894669306</v>
      </c>
      <c r="T8" s="642">
        <f t="shared" si="5"/>
        <v>14957.037875557209</v>
      </c>
      <c r="U8" s="642">
        <f t="shared" si="6"/>
        <v>12754.443730966887</v>
      </c>
      <c r="V8" s="645">
        <f t="shared" si="7"/>
        <v>0.18951625157454513</v>
      </c>
      <c r="X8" s="642">
        <f t="shared" si="8"/>
        <v>1145.5319148936171</v>
      </c>
      <c r="Z8" s="623">
        <f t="shared" si="13"/>
        <v>77.352152731216435</v>
      </c>
      <c r="AA8" s="67">
        <f t="shared" si="14"/>
        <v>870.04689105233183</v>
      </c>
      <c r="AB8" s="405">
        <f t="shared" si="15"/>
        <v>870.04689105233183</v>
      </c>
      <c r="AD8" s="623">
        <f>IFERROR(VLOOKUP(A8,[1]Pivot!$B$5:$D$28,2,0),)</f>
        <v>0</v>
      </c>
      <c r="AE8" s="623">
        <f>IFERROR(VLOOKUP(A8,[1]Pivot!$B$5:$D$28,3,0),)</f>
        <v>0</v>
      </c>
      <c r="AG8" s="623">
        <f>IFERROR(VLOOKUP($A8,[1]Pivot!$B$39:$D$61,2,0),)</f>
        <v>0</v>
      </c>
      <c r="AH8" s="623">
        <f>IFERROR(VLOOKUP($A8,[1]Pivot!$B$39:$D$61,3,0),)</f>
        <v>0</v>
      </c>
      <c r="AJ8" s="98">
        <f t="shared" si="9"/>
        <v>0</v>
      </c>
      <c r="AK8" s="98">
        <f t="shared" si="10"/>
        <v>0</v>
      </c>
    </row>
    <row r="9" spans="1:37" ht="15.5" x14ac:dyDescent="0.35">
      <c r="A9" s="14"/>
      <c r="B9" s="638" t="s">
        <v>782</v>
      </c>
      <c r="C9" s="639">
        <v>32432</v>
      </c>
      <c r="D9" s="640">
        <f t="shared" si="0"/>
        <v>47.717344730647746</v>
      </c>
      <c r="E9" s="641">
        <f>SUMIF('Base Revenue'!$C$6:$C$60,'Clientwise Profitability'!B9,'Base Revenue'!$AO$6:$AO$60)</f>
        <v>36.293032432271154</v>
      </c>
      <c r="F9" s="641">
        <f>SUMIFS('2. Headcount Buildup'!$F$36:$F$46,'2. Headcount Buildup'!$C$36:$C$46,'Clientwise Profitability'!F$4)*C9/$C$28</f>
        <v>0.31857998511813401</v>
      </c>
      <c r="G9" s="641">
        <f>SUMIFS('Base Revenue'!$BH$6:$BH$60,'Base Revenue'!$C$6:$C$60,'Clientwise Profitability'!$B9)</f>
        <v>7.4764290700313421</v>
      </c>
      <c r="H9" s="641">
        <f>E9/'2. Headcount Buildup'!$D$42</f>
        <v>3.6293032432271155</v>
      </c>
      <c r="I9" s="642">
        <f t="shared" si="11"/>
        <v>16114.106399928392</v>
      </c>
      <c r="J9" s="642">
        <f t="shared" si="12"/>
        <v>7677.1378645090699</v>
      </c>
      <c r="K9" s="642"/>
      <c r="L9" s="642"/>
      <c r="M9" s="642">
        <f t="shared" si="1"/>
        <v>483.28583742420932</v>
      </c>
      <c r="N9" s="642">
        <f t="shared" si="2"/>
        <v>8157.4698981383281</v>
      </c>
      <c r="O9" s="643">
        <f t="shared" si="3"/>
        <v>0.25152534219716105</v>
      </c>
      <c r="P9" s="642"/>
      <c r="Q9" s="642">
        <f t="shared" si="4"/>
        <v>3914.7875416012034</v>
      </c>
      <c r="R9" s="642">
        <f t="shared" si="4"/>
        <v>1602.7754857809778</v>
      </c>
      <c r="S9" s="642">
        <f t="shared" si="4"/>
        <v>3709.2019333464668</v>
      </c>
      <c r="T9" s="642">
        <f t="shared" si="5"/>
        <v>9226.7649607286476</v>
      </c>
      <c r="U9" s="642">
        <f t="shared" si="6"/>
        <v>-1069.2950625903195</v>
      </c>
      <c r="V9" s="645">
        <f t="shared" si="7"/>
        <v>-3.2970370701477535E-2</v>
      </c>
      <c r="X9" s="642">
        <f t="shared" si="8"/>
        <v>893.61505023101927</v>
      </c>
      <c r="Z9" s="623">
        <f t="shared" si="13"/>
        <v>47.717344730647746</v>
      </c>
      <c r="AA9" s="67">
        <f t="shared" si="14"/>
        <v>679.66900050852325</v>
      </c>
      <c r="AB9" s="405">
        <f t="shared" si="15"/>
        <v>679.66900050852325</v>
      </c>
      <c r="AD9" s="623">
        <f>IFERROR(VLOOKUP(A9,[1]Pivot!$B$5:$D$28,2,0),)</f>
        <v>0</v>
      </c>
      <c r="AE9" s="623">
        <f>IFERROR(VLOOKUP(A9,[1]Pivot!$B$5:$D$28,3,0),)</f>
        <v>0</v>
      </c>
      <c r="AG9" s="623">
        <f>IFERROR(VLOOKUP($A9,[1]Pivot!$B$39:$D$61,2,0),)</f>
        <v>0</v>
      </c>
      <c r="AH9" s="623">
        <f>IFERROR(VLOOKUP($A9,[1]Pivot!$B$39:$D$61,3,0),)</f>
        <v>0</v>
      </c>
      <c r="AJ9" s="98">
        <f t="shared" si="9"/>
        <v>0</v>
      </c>
      <c r="AK9" s="98">
        <f t="shared" si="10"/>
        <v>0</v>
      </c>
    </row>
    <row r="10" spans="1:37" ht="15.5" x14ac:dyDescent="0.35">
      <c r="A10" s="14"/>
      <c r="B10" s="638" t="s">
        <v>790</v>
      </c>
      <c r="C10" s="639">
        <v>11825</v>
      </c>
      <c r="D10" s="640">
        <f t="shared" si="0"/>
        <v>3.8596583751163624</v>
      </c>
      <c r="E10" s="641">
        <f>SUMIF('Base Revenue'!$C$6:$C$60,'Clientwise Profitability'!B10,'Base Revenue'!$AO$6:$AO$60)</f>
        <v>2.8571428571428568</v>
      </c>
      <c r="F10" s="641">
        <f>SUMIFS('2. Headcount Buildup'!$F$36:$F$46,'2. Headcount Buildup'!$C$36:$C$46,'Clientwise Profitability'!F$4)*C10/$C$28</f>
        <v>0.11615713875252635</v>
      </c>
      <c r="G10" s="641">
        <f>SUMIFS('Base Revenue'!$BH$6:$BH$60,'Base Revenue'!$C$6:$C$60,'Clientwise Profitability'!$B10)</f>
        <v>0.60064409350669412</v>
      </c>
      <c r="H10" s="641">
        <f>E10/'2. Headcount Buildup'!$D$42</f>
        <v>0.2857142857142857</v>
      </c>
      <c r="I10" s="642">
        <f t="shared" si="11"/>
        <v>1268.5714285714284</v>
      </c>
      <c r="J10" s="642">
        <f t="shared" si="12"/>
        <v>673.69042807819608</v>
      </c>
      <c r="K10" s="642"/>
      <c r="L10" s="642"/>
      <c r="M10" s="642">
        <f t="shared" si="1"/>
        <v>176.21037948758249</v>
      </c>
      <c r="N10" s="642">
        <f t="shared" si="2"/>
        <v>9706.527763862794</v>
      </c>
      <c r="O10" s="643">
        <f t="shared" si="3"/>
        <v>0.82084801385731876</v>
      </c>
      <c r="P10" s="642"/>
      <c r="Q10" s="642">
        <f t="shared" si="4"/>
        <v>316.65094960821745</v>
      </c>
      <c r="R10" s="642">
        <f t="shared" si="4"/>
        <v>129.6418705199352</v>
      </c>
      <c r="S10" s="642">
        <f t="shared" si="4"/>
        <v>300.02198127012497</v>
      </c>
      <c r="T10" s="642">
        <f t="shared" si="5"/>
        <v>746.31480139827761</v>
      </c>
      <c r="U10" s="642">
        <f t="shared" si="6"/>
        <v>8960.2129624645167</v>
      </c>
      <c r="V10" s="645">
        <f t="shared" si="7"/>
        <v>0.7577347114134898</v>
      </c>
      <c r="X10" s="642">
        <f t="shared" si="8"/>
        <v>4138.7500000000009</v>
      </c>
      <c r="Z10" s="623">
        <f t="shared" si="13"/>
        <v>3.8596583751163624</v>
      </c>
      <c r="AA10" s="67">
        <f t="shared" si="14"/>
        <v>3063.7426556290739</v>
      </c>
      <c r="AB10" s="405">
        <f t="shared" si="15"/>
        <v>3063.7426556290739</v>
      </c>
      <c r="AD10" s="623">
        <f>IFERROR(VLOOKUP(A10,[1]Pivot!$B$5:$D$28,2,0),)</f>
        <v>0</v>
      </c>
      <c r="AE10" s="623">
        <f>IFERROR(VLOOKUP(A10,[1]Pivot!$B$5:$D$28,3,0),)</f>
        <v>0</v>
      </c>
      <c r="AG10" s="623">
        <f>IFERROR(VLOOKUP($A10,[1]Pivot!$B$39:$D$61,2,0),)</f>
        <v>0</v>
      </c>
      <c r="AH10" s="623">
        <f>IFERROR(VLOOKUP($A10,[1]Pivot!$B$39:$D$61,3,0),)</f>
        <v>0</v>
      </c>
      <c r="AJ10" s="98">
        <f t="shared" si="9"/>
        <v>0</v>
      </c>
      <c r="AK10" s="98">
        <f t="shared" si="10"/>
        <v>0</v>
      </c>
    </row>
    <row r="11" spans="1:37" ht="15.5" x14ac:dyDescent="0.35">
      <c r="A11" s="14"/>
      <c r="B11" s="638" t="s">
        <v>812</v>
      </c>
      <c r="C11" s="639">
        <v>20000</v>
      </c>
      <c r="D11" s="640">
        <f t="shared" si="0"/>
        <v>16.574278186051664</v>
      </c>
      <c r="E11" s="641">
        <f>SUMIF('Base Revenue'!$C$6:$C$60,'Clientwise Profitability'!B11,'Base Revenue'!$AO$6:$AO$60)</f>
        <v>12.5</v>
      </c>
      <c r="F11" s="641">
        <f>SUMIFS('2. Headcount Buildup'!$F$36:$F$46,'2. Headcount Buildup'!$C$36:$C$46,'Clientwise Profitability'!F$4)*C11/$C$28</f>
        <v>0.19646027695987545</v>
      </c>
      <c r="G11" s="641">
        <f>SUMIFS('Base Revenue'!$BH$6:$BH$60,'Base Revenue'!$C$6:$C$60,'Clientwise Profitability'!$B11)</f>
        <v>2.627817909091787</v>
      </c>
      <c r="H11" s="641">
        <f>E11/'2. Headcount Buildup'!$D$42</f>
        <v>1.25</v>
      </c>
      <c r="I11" s="642">
        <f t="shared" si="11"/>
        <v>5550</v>
      </c>
      <c r="J11" s="642">
        <f t="shared" si="12"/>
        <v>2737.9149410267173</v>
      </c>
      <c r="K11" s="642"/>
      <c r="L11" s="642"/>
      <c r="M11" s="642">
        <f t="shared" si="1"/>
        <v>298.03024014813104</v>
      </c>
      <c r="N11" s="642">
        <f t="shared" si="2"/>
        <v>11414.054818825152</v>
      </c>
      <c r="O11" s="643">
        <f t="shared" si="3"/>
        <v>0.57070274094125761</v>
      </c>
      <c r="P11" s="642"/>
      <c r="Q11" s="642">
        <f t="shared" si="4"/>
        <v>1359.7734350066144</v>
      </c>
      <c r="R11" s="642">
        <f t="shared" si="4"/>
        <v>556.71259415354757</v>
      </c>
      <c r="S11" s="642">
        <f t="shared" si="4"/>
        <v>1288.3647453258129</v>
      </c>
      <c r="T11" s="642">
        <f t="shared" si="5"/>
        <v>3204.8507744859749</v>
      </c>
      <c r="U11" s="642">
        <f t="shared" si="6"/>
        <v>8209.2040443391779</v>
      </c>
      <c r="V11" s="645">
        <f t="shared" si="7"/>
        <v>0.41046020221695889</v>
      </c>
      <c r="X11" s="642">
        <f t="shared" si="8"/>
        <v>1600</v>
      </c>
      <c r="Z11" s="623">
        <f t="shared" si="13"/>
        <v>16.574278186051664</v>
      </c>
      <c r="AA11" s="67">
        <f t="shared" si="14"/>
        <v>1206.6890500746695</v>
      </c>
      <c r="AB11" s="405">
        <f t="shared" si="15"/>
        <v>1206.6890500746695</v>
      </c>
      <c r="AD11" s="623">
        <f>IFERROR(VLOOKUP(A11,[1]Pivot!$B$5:$D$28,2,0),)</f>
        <v>0</v>
      </c>
      <c r="AE11" s="623">
        <f>IFERROR(VLOOKUP(A11,[1]Pivot!$B$5:$D$28,3,0),)</f>
        <v>0</v>
      </c>
      <c r="AG11" s="623">
        <f>IFERROR(VLOOKUP($A11,[1]Pivot!$B$39:$D$61,2,0),)</f>
        <v>0</v>
      </c>
      <c r="AH11" s="623">
        <f>IFERROR(VLOOKUP($A11,[1]Pivot!$B$39:$D$61,3,0),)</f>
        <v>0</v>
      </c>
      <c r="AJ11" s="98">
        <f t="shared" si="9"/>
        <v>0</v>
      </c>
      <c r="AK11" s="98">
        <f t="shared" si="10"/>
        <v>0</v>
      </c>
    </row>
    <row r="12" spans="1:37" ht="15.5" x14ac:dyDescent="0.35">
      <c r="A12" s="14"/>
      <c r="B12" s="638" t="s">
        <v>781</v>
      </c>
      <c r="C12" s="639">
        <v>17570.5</v>
      </c>
      <c r="D12" s="640">
        <f t="shared" si="0"/>
        <v>8.3834027019378325</v>
      </c>
      <c r="E12" s="641">
        <f>SUMIF('Base Revenue'!$C$6:$C$60,'Clientwise Profitability'!B12,'Base Revenue'!$AO$6:$AO$60)</f>
        <v>6.25</v>
      </c>
      <c r="F12" s="641">
        <f>SUMIFS('2. Headcount Buildup'!$F$36:$F$46,'2. Headcount Buildup'!$C$36:$C$46,'Clientwise Profitability'!F$4)*C12/$C$28</f>
        <v>0.17259526481617457</v>
      </c>
      <c r="G12" s="641">
        <f>SUMIFS('Base Revenue'!$BH$6:$BH$60,'Base Revenue'!$C$6:$C$60,'Clientwise Profitability'!$B12)</f>
        <v>1.3358074371216584</v>
      </c>
      <c r="H12" s="641">
        <f>E12/'2. Headcount Buildup'!$D$42</f>
        <v>0.625</v>
      </c>
      <c r="I12" s="642">
        <f t="shared" si="11"/>
        <v>2775</v>
      </c>
      <c r="J12" s="642">
        <f t="shared" si="12"/>
        <v>1433.6466157022237</v>
      </c>
      <c r="K12" s="642"/>
      <c r="L12" s="642"/>
      <c r="M12" s="642">
        <f t="shared" si="1"/>
        <v>261.82701672613683</v>
      </c>
      <c r="N12" s="642">
        <f t="shared" si="2"/>
        <v>13100.02636757164</v>
      </c>
      <c r="O12" s="643">
        <f t="shared" si="3"/>
        <v>0.74556935588467255</v>
      </c>
      <c r="P12" s="642"/>
      <c r="Q12" s="642">
        <f t="shared" si="4"/>
        <v>687.78429812112029</v>
      </c>
      <c r="R12" s="642">
        <f t="shared" si="4"/>
        <v>281.58969058196323</v>
      </c>
      <c r="S12" s="642">
        <f t="shared" si="4"/>
        <v>651.66521074417062</v>
      </c>
      <c r="T12" s="642">
        <f t="shared" si="5"/>
        <v>1621.0391994472543</v>
      </c>
      <c r="U12" s="642">
        <f t="shared" si="6"/>
        <v>11478.987168124386</v>
      </c>
      <c r="V12" s="645">
        <f t="shared" si="7"/>
        <v>0.6533102170185473</v>
      </c>
      <c r="X12" s="642">
        <f t="shared" si="8"/>
        <v>2811.28</v>
      </c>
      <c r="Z12" s="623">
        <f t="shared" si="13"/>
        <v>8.3834027019378325</v>
      </c>
      <c r="AA12" s="67">
        <f t="shared" si="14"/>
        <v>2095.8673494163127</v>
      </c>
      <c r="AB12" s="405">
        <f t="shared" si="15"/>
        <v>2095.8673494163127</v>
      </c>
      <c r="AD12" s="623">
        <f>IFERROR(VLOOKUP(A12,[1]Pivot!$B$5:$D$28,2,0),)</f>
        <v>0</v>
      </c>
      <c r="AE12" s="623">
        <f>IFERROR(VLOOKUP(A12,[1]Pivot!$B$5:$D$28,3,0),)</f>
        <v>0</v>
      </c>
      <c r="AG12" s="623">
        <f>IFERROR(VLOOKUP($A12,[1]Pivot!$B$39:$D$61,2,0),)</f>
        <v>0</v>
      </c>
      <c r="AH12" s="623">
        <f>IFERROR(VLOOKUP($A12,[1]Pivot!$B$39:$D$61,3,0),)</f>
        <v>0</v>
      </c>
      <c r="AJ12" s="98">
        <f t="shared" si="9"/>
        <v>0</v>
      </c>
      <c r="AK12" s="98">
        <f t="shared" si="10"/>
        <v>0</v>
      </c>
    </row>
    <row r="13" spans="1:37" ht="15.5" x14ac:dyDescent="0.35">
      <c r="A13" s="14"/>
      <c r="B13" s="638" t="s">
        <v>815</v>
      </c>
      <c r="C13" s="639">
        <v>4725</v>
      </c>
      <c r="D13" s="640">
        <f t="shared" si="0"/>
        <v>3.9458941949774333</v>
      </c>
      <c r="E13" s="641">
        <f>SUMIF('Base Revenue'!$C$6:$C$60,'Clientwise Profitability'!B13,'Base Revenue'!$AO$6:$AO$60)</f>
        <v>2.9761904761904758</v>
      </c>
      <c r="F13" s="641">
        <f>SUMIFS('2. Headcount Buildup'!$F$36:$F$46,'2. Headcount Buildup'!$C$36:$C$46,'Clientwise Profitability'!F$4)*C13/$C$28</f>
        <v>4.6413740431770573E-2</v>
      </c>
      <c r="G13" s="641">
        <f>SUMIFS('Base Revenue'!$BH$6:$BH$60,'Base Revenue'!$C$6:$C$60,'Clientwise Profitability'!$B13)</f>
        <v>0.62567093073613944</v>
      </c>
      <c r="H13" s="641">
        <f>E13/'2. Headcount Buildup'!$D$42</f>
        <v>0.29761904761904756</v>
      </c>
      <c r="I13" s="642">
        <f t="shared" si="11"/>
        <v>1321.4285714285713</v>
      </c>
      <c r="J13" s="642">
        <f t="shared" si="12"/>
        <v>651.64089902483556</v>
      </c>
      <c r="K13" s="642"/>
      <c r="L13" s="642"/>
      <c r="M13" s="642">
        <f t="shared" si="1"/>
        <v>70.409644234995966</v>
      </c>
      <c r="N13" s="642">
        <f t="shared" si="2"/>
        <v>2681.5208853115969</v>
      </c>
      <c r="O13" s="643">
        <f t="shared" si="3"/>
        <v>0.56751764768499402</v>
      </c>
      <c r="P13" s="642"/>
      <c r="Q13" s="642">
        <f t="shared" si="4"/>
        <v>323.72583852203957</v>
      </c>
      <c r="R13" s="642">
        <f t="shared" si="4"/>
        <v>132.53844112439248</v>
      </c>
      <c r="S13" s="642">
        <f t="shared" si="4"/>
        <v>306.72533141582073</v>
      </c>
      <c r="T13" s="642">
        <f t="shared" si="5"/>
        <v>762.98961106225283</v>
      </c>
      <c r="U13" s="642">
        <f t="shared" si="6"/>
        <v>1918.5312742493441</v>
      </c>
      <c r="V13" s="645">
        <f t="shared" si="7"/>
        <v>0.40603836492049611</v>
      </c>
      <c r="X13" s="642">
        <f t="shared" si="8"/>
        <v>1587.6000000000001</v>
      </c>
      <c r="Z13" s="623">
        <f t="shared" si="13"/>
        <v>3.9458941949774333</v>
      </c>
      <c r="AA13" s="67">
        <f t="shared" si="14"/>
        <v>1197.4472113353313</v>
      </c>
      <c r="AB13" s="405">
        <f t="shared" si="15"/>
        <v>1197.4472113353313</v>
      </c>
      <c r="AD13" s="623">
        <f>IFERROR(VLOOKUP(A13,[1]Pivot!$B$5:$D$28,2,0),)</f>
        <v>0</v>
      </c>
      <c r="AE13" s="623">
        <f>IFERROR(VLOOKUP(A13,[1]Pivot!$B$5:$D$28,3,0),)</f>
        <v>0</v>
      </c>
      <c r="AG13" s="623">
        <f>IFERROR(VLOOKUP($A13,[1]Pivot!$B$39:$D$61,2,0),)</f>
        <v>0</v>
      </c>
      <c r="AH13" s="623">
        <f>IFERROR(VLOOKUP($A13,[1]Pivot!$B$39:$D$61,3,0),)</f>
        <v>0</v>
      </c>
      <c r="AJ13" s="98">
        <f t="shared" si="9"/>
        <v>0</v>
      </c>
      <c r="AK13" s="98">
        <f t="shared" si="10"/>
        <v>0</v>
      </c>
    </row>
    <row r="14" spans="1:37" ht="15.5" x14ac:dyDescent="0.35">
      <c r="A14" s="14"/>
      <c r="B14" s="638" t="s">
        <v>813</v>
      </c>
      <c r="C14" s="639">
        <v>6336</v>
      </c>
      <c r="D14" s="640">
        <f t="shared" si="0"/>
        <v>0.11839113428634609</v>
      </c>
      <c r="E14" s="641">
        <f>SUMIF('Base Revenue'!$C$6:$C$60,'Clientwise Profitability'!B14,'Base Revenue'!$AO$6:$AO$60)</f>
        <v>4.2857142857142858E-2</v>
      </c>
      <c r="F14" s="641">
        <f>SUMIFS('2. Headcount Buildup'!$F$36:$F$46,'2. Headcount Buildup'!$C$36:$C$46,'Clientwise Profitability'!F$4)*C14/$C$28</f>
        <v>6.2238615740888542E-2</v>
      </c>
      <c r="G14" s="641">
        <f>SUMIFS('Base Revenue'!$BH$6:$BH$60,'Base Revenue'!$C$6:$C$60,'Clientwise Profitability'!$B14)</f>
        <v>9.0096614026004135E-3</v>
      </c>
      <c r="H14" s="641">
        <f>E14/'2. Headcount Buildup'!$D$42</f>
        <v>4.2857142857142859E-3</v>
      </c>
      <c r="I14" s="642">
        <f t="shared" si="11"/>
        <v>19.028571428571428</v>
      </c>
      <c r="J14" s="642">
        <f t="shared" si="12"/>
        <v>50.758842240424578</v>
      </c>
      <c r="K14" s="642"/>
      <c r="L14" s="642"/>
      <c r="M14" s="642">
        <f t="shared" si="1"/>
        <v>94.415980078927916</v>
      </c>
      <c r="N14" s="642">
        <f t="shared" si="2"/>
        <v>6171.7966062520773</v>
      </c>
      <c r="O14" s="643">
        <f t="shared" si="3"/>
        <v>0.97408406033018891</v>
      </c>
      <c r="P14" s="642"/>
      <c r="Q14" s="642">
        <f t="shared" si="4"/>
        <v>9.7129490368005076</v>
      </c>
      <c r="R14" s="642">
        <f t="shared" si="4"/>
        <v>3.9766338391013711</v>
      </c>
      <c r="S14" s="642">
        <f t="shared" si="4"/>
        <v>9.2028721770838349</v>
      </c>
      <c r="T14" s="642">
        <f t="shared" si="5"/>
        <v>22.892455052985714</v>
      </c>
      <c r="U14" s="642">
        <f t="shared" si="6"/>
        <v>6148.9041511990918</v>
      </c>
      <c r="V14" s="645">
        <f t="shared" si="7"/>
        <v>0.9704709834594526</v>
      </c>
      <c r="X14" s="642">
        <f t="shared" si="8"/>
        <v>147840</v>
      </c>
      <c r="Z14" s="623">
        <f t="shared" si="13"/>
        <v>0.11839113428634609</v>
      </c>
      <c r="AA14" s="67">
        <f t="shared" si="14"/>
        <v>53517.520870063352</v>
      </c>
      <c r="AB14" s="405">
        <f t="shared" si="15"/>
        <v>53517.520870063352</v>
      </c>
      <c r="AD14" s="623">
        <f>IFERROR(VLOOKUP(A14,[1]Pivot!$B$5:$D$28,2,0),)</f>
        <v>0</v>
      </c>
      <c r="AE14" s="623">
        <f>IFERROR(VLOOKUP(A14,[1]Pivot!$B$5:$D$28,3,0),)</f>
        <v>0</v>
      </c>
      <c r="AG14" s="623">
        <f>IFERROR(VLOOKUP($A14,[1]Pivot!$B$39:$D$61,2,0),)</f>
        <v>0</v>
      </c>
      <c r="AH14" s="623">
        <f>IFERROR(VLOOKUP($A14,[1]Pivot!$B$39:$D$61,3,0),)</f>
        <v>0</v>
      </c>
      <c r="AJ14" s="98">
        <f t="shared" si="9"/>
        <v>0</v>
      </c>
      <c r="AK14" s="98">
        <f t="shared" si="10"/>
        <v>0</v>
      </c>
    </row>
    <row r="15" spans="1:37" ht="15.5" x14ac:dyDescent="0.35">
      <c r="A15" s="14"/>
      <c r="B15" s="638" t="s">
        <v>793</v>
      </c>
      <c r="C15" s="639">
        <v>1450</v>
      </c>
      <c r="D15" s="640">
        <f t="shared" si="0"/>
        <v>1.6520251609887697</v>
      </c>
      <c r="E15" s="641">
        <f>SUMIF('Base Revenue'!$C$6:$C$60,'Clientwise Profitability'!B15,'Base Revenue'!$AO$6:$AO$60)</f>
        <v>1.25</v>
      </c>
      <c r="F15" s="641">
        <f>SUMIFS('2. Headcount Buildup'!$F$36:$F$46,'2. Headcount Buildup'!$C$36:$C$46,'Clientwise Profitability'!F$4)*C15/$C$28</f>
        <v>1.4243370079590969E-2</v>
      </c>
      <c r="G15" s="641">
        <f>SUMIFS('Base Revenue'!$BH$6:$BH$60,'Base Revenue'!$C$6:$C$60,'Clientwise Profitability'!$B15)</f>
        <v>0.26278179090917869</v>
      </c>
      <c r="H15" s="641">
        <f>E15/'2. Headcount Buildup'!$D$42</f>
        <v>0.125</v>
      </c>
      <c r="I15" s="642">
        <f t="shared" si="11"/>
        <v>555</v>
      </c>
      <c r="J15" s="642">
        <f t="shared" si="12"/>
        <v>270.16090818445321</v>
      </c>
      <c r="K15" s="642"/>
      <c r="L15" s="642"/>
      <c r="M15" s="642">
        <f t="shared" si="1"/>
        <v>21.607192410739501</v>
      </c>
      <c r="N15" s="642">
        <f t="shared" si="2"/>
        <v>603.23189940480734</v>
      </c>
      <c r="O15" s="643">
        <f t="shared" si="3"/>
        <v>0.4160219995895223</v>
      </c>
      <c r="P15" s="642"/>
      <c r="Q15" s="642">
        <f t="shared" si="4"/>
        <v>135.53410306371771</v>
      </c>
      <c r="R15" s="642">
        <f t="shared" si="4"/>
        <v>55.489789821132618</v>
      </c>
      <c r="S15" s="642">
        <f t="shared" si="4"/>
        <v>128.41651092838106</v>
      </c>
      <c r="T15" s="642">
        <f t="shared" si="5"/>
        <v>319.4404038132314</v>
      </c>
      <c r="U15" s="642">
        <f t="shared" si="6"/>
        <v>283.79149559157594</v>
      </c>
      <c r="V15" s="645">
        <f t="shared" si="7"/>
        <v>0.19571827282177651</v>
      </c>
      <c r="X15" s="642"/>
      <c r="Z15" s="623">
        <f t="shared" si="13"/>
        <v>1.6520251609887697</v>
      </c>
      <c r="AA15" s="67">
        <f t="shared" si="14"/>
        <v>877.71060286524107</v>
      </c>
      <c r="AB15" s="405">
        <f t="shared" si="15"/>
        <v>877.71060286524107</v>
      </c>
      <c r="AD15" s="623">
        <f>IFERROR(VLOOKUP(A15,[1]Pivot!$B$5:$D$28,2,0),)</f>
        <v>0</v>
      </c>
      <c r="AE15" s="623">
        <f>IFERROR(VLOOKUP(A15,[1]Pivot!$B$5:$D$28,3,0),)</f>
        <v>0</v>
      </c>
      <c r="AG15" s="623">
        <f>IFERROR(VLOOKUP($A15,[1]Pivot!$B$39:$D$61,2,0),)</f>
        <v>0</v>
      </c>
      <c r="AH15" s="623">
        <f>IFERROR(VLOOKUP($A15,[1]Pivot!$B$39:$D$61,3,0),)</f>
        <v>0</v>
      </c>
      <c r="AJ15" s="98">
        <f t="shared" si="9"/>
        <v>0</v>
      </c>
      <c r="AK15" s="98">
        <f t="shared" si="10"/>
        <v>0</v>
      </c>
    </row>
    <row r="16" spans="1:37" ht="15.5" x14ac:dyDescent="0.35">
      <c r="A16" s="14"/>
      <c r="B16" s="638" t="s">
        <v>809</v>
      </c>
      <c r="C16" s="639">
        <v>6750</v>
      </c>
      <c r="D16" s="640">
        <f t="shared" si="0"/>
        <v>2.3139658774740779</v>
      </c>
      <c r="E16" s="641">
        <f>SUMIF('Base Revenue'!$C$6:$C$60,'Clientwise Profitability'!B16,'Base Revenue'!$AO$6:$AO$60)</f>
        <v>1.7154761904761904</v>
      </c>
      <c r="F16" s="641">
        <f>SUMIFS('2. Headcount Buildup'!$F$36:$F$46,'2. Headcount Buildup'!$C$36:$C$46,'Clientwise Profitability'!F$4)*C16/$C$28</f>
        <v>6.6305343473957959E-2</v>
      </c>
      <c r="G16" s="641">
        <f>SUMIFS('Base Revenue'!$BH$6:$BH$60,'Base Revenue'!$C$6:$C$60,'Clientwise Profitability'!$B16)</f>
        <v>0.3606367244763109</v>
      </c>
      <c r="H16" s="641">
        <f>E16/'2. Headcount Buildup'!$D$42</f>
        <v>0.17154761904761903</v>
      </c>
      <c r="I16" s="642">
        <f t="shared" si="11"/>
        <v>761.67142857142858</v>
      </c>
      <c r="J16" s="642">
        <f t="shared" si="12"/>
        <v>402.18506966258064</v>
      </c>
      <c r="K16" s="642"/>
      <c r="L16" s="642"/>
      <c r="M16" s="642">
        <f t="shared" si="1"/>
        <v>100.58520604999423</v>
      </c>
      <c r="N16" s="642">
        <f t="shared" si="2"/>
        <v>5485.5582957159959</v>
      </c>
      <c r="O16" s="643">
        <f t="shared" si="3"/>
        <v>0.81267530306903646</v>
      </c>
      <c r="P16" s="642"/>
      <c r="Q16" s="642">
        <f t="shared" si="4"/>
        <v>189.84050432730038</v>
      </c>
      <c r="R16" s="642">
        <f t="shared" si="4"/>
        <v>77.723683165611391</v>
      </c>
      <c r="S16" s="642">
        <f t="shared" si="4"/>
        <v>179.87100403162128</v>
      </c>
      <c r="T16" s="642">
        <f t="shared" si="5"/>
        <v>447.43519152453302</v>
      </c>
      <c r="U16" s="642">
        <f t="shared" si="6"/>
        <v>5038.1231041914625</v>
      </c>
      <c r="V16" s="645">
        <f t="shared" si="7"/>
        <v>0.74638860802836482</v>
      </c>
      <c r="X16" s="642">
        <f t="shared" si="8"/>
        <v>3934.7675225537823</v>
      </c>
      <c r="Z16" s="623">
        <f t="shared" si="13"/>
        <v>2.3139658774740779</v>
      </c>
      <c r="AA16" s="67">
        <f t="shared" si="14"/>
        <v>2917.0698088980857</v>
      </c>
      <c r="AB16" s="405">
        <f t="shared" si="15"/>
        <v>2917.0698088980857</v>
      </c>
      <c r="AD16" s="623">
        <f>IFERROR(VLOOKUP(A16,[1]Pivot!$B$5:$D$28,2,0),)</f>
        <v>0</v>
      </c>
      <c r="AE16" s="623">
        <f>IFERROR(VLOOKUP(A16,[1]Pivot!$B$5:$D$28,3,0),)</f>
        <v>0</v>
      </c>
      <c r="AG16" s="623">
        <f>IFERROR(VLOOKUP($A16,[1]Pivot!$B$39:$D$61,2,0),)</f>
        <v>0</v>
      </c>
      <c r="AH16" s="623">
        <f>IFERROR(VLOOKUP($A16,[1]Pivot!$B$39:$D$61,3,0),)</f>
        <v>0</v>
      </c>
      <c r="AJ16" s="98">
        <f t="shared" si="9"/>
        <v>0</v>
      </c>
      <c r="AK16" s="98">
        <f t="shared" si="10"/>
        <v>0</v>
      </c>
    </row>
    <row r="17" spans="1:37" ht="15.5" x14ac:dyDescent="0.35">
      <c r="A17" s="14"/>
      <c r="B17" s="638" t="s">
        <v>794</v>
      </c>
      <c r="C17" s="639">
        <v>7200</v>
      </c>
      <c r="D17" s="640">
        <f t="shared" si="0"/>
        <v>3.3752754195693679</v>
      </c>
      <c r="E17" s="641">
        <f>SUMIF('Base Revenue'!$C$6:$C$60,'Clientwise Profitability'!B17,'Base Revenue'!$AO$6:$AO$60)</f>
        <v>2.5221230158730155</v>
      </c>
      <c r="F17" s="641">
        <f>SUMIFS('2. Headcount Buildup'!$F$36:$F$46,'2. Headcount Buildup'!$C$36:$C$46,'Clientwise Profitability'!F$4)*C17/$C$28</f>
        <v>7.0725699705555159E-2</v>
      </c>
      <c r="G17" s="641">
        <f>SUMIFS('Base Revenue'!$BH$6:$BH$60,'Base Revenue'!$C$6:$C$60,'Clientwise Profitability'!$B17)</f>
        <v>0.53021440240349593</v>
      </c>
      <c r="H17" s="641">
        <f>E17/'2. Headcount Buildup'!$D$42</f>
        <v>0.25221230158730157</v>
      </c>
      <c r="I17" s="642">
        <f t="shared" si="11"/>
        <v>1119.8226190476189</v>
      </c>
      <c r="J17" s="642">
        <f t="shared" si="12"/>
        <v>573.31841528394898</v>
      </c>
      <c r="K17" s="642"/>
      <c r="L17" s="642"/>
      <c r="M17" s="642">
        <f t="shared" si="1"/>
        <v>107.29088645332718</v>
      </c>
      <c r="N17" s="642">
        <f t="shared" si="2"/>
        <v>5399.5680792151052</v>
      </c>
      <c r="O17" s="643">
        <f t="shared" si="3"/>
        <v>0.74994001100209795</v>
      </c>
      <c r="P17" s="642"/>
      <c r="Q17" s="642">
        <f t="shared" si="4"/>
        <v>276.91159758762143</v>
      </c>
      <c r="R17" s="642">
        <f t="shared" si="4"/>
        <v>113.37195585340883</v>
      </c>
      <c r="S17" s="642">
        <f t="shared" si="4"/>
        <v>262.36954680763012</v>
      </c>
      <c r="T17" s="642">
        <f t="shared" si="5"/>
        <v>652.65310024866039</v>
      </c>
      <c r="U17" s="642">
        <f t="shared" si="6"/>
        <v>4746.9149789664443</v>
      </c>
      <c r="V17" s="645">
        <f t="shared" si="7"/>
        <v>0.65929374707867283</v>
      </c>
      <c r="X17" s="642">
        <f t="shared" si="8"/>
        <v>2854.7378358179608</v>
      </c>
      <c r="Z17" s="623">
        <f t="shared" si="13"/>
        <v>3.3752754195693679</v>
      </c>
      <c r="AA17" s="67">
        <f t="shared" si="14"/>
        <v>2133.1592551693475</v>
      </c>
      <c r="AB17" s="405">
        <f t="shared" si="15"/>
        <v>2133.1592551693475</v>
      </c>
      <c r="AD17" s="623">
        <f>IFERROR(VLOOKUP(A17,[1]Pivot!$B$5:$D$28,2,0),)</f>
        <v>0</v>
      </c>
      <c r="AE17" s="623">
        <f>IFERROR(VLOOKUP(A17,[1]Pivot!$B$5:$D$28,3,0),)</f>
        <v>0</v>
      </c>
      <c r="AG17" s="623">
        <f>IFERROR(VLOOKUP($A17,[1]Pivot!$B$39:$D$61,2,0),)</f>
        <v>0</v>
      </c>
      <c r="AH17" s="623">
        <f>IFERROR(VLOOKUP($A17,[1]Pivot!$B$39:$D$61,3,0),)</f>
        <v>0</v>
      </c>
      <c r="AJ17" s="98">
        <f t="shared" si="9"/>
        <v>0</v>
      </c>
      <c r="AK17" s="98">
        <f t="shared" si="10"/>
        <v>0</v>
      </c>
    </row>
    <row r="18" spans="1:37" ht="15.5" x14ac:dyDescent="0.35">
      <c r="A18" s="14"/>
      <c r="B18" s="638" t="s">
        <v>810</v>
      </c>
      <c r="C18" s="639">
        <v>1200</v>
      </c>
      <c r="D18" s="640">
        <f t="shared" si="0"/>
        <v>2.0882609586631582</v>
      </c>
      <c r="E18" s="641">
        <f>SUMIF('Base Revenue'!$C$6:$C$60,'Clientwise Profitability'!B18,'Base Revenue'!$AO$6:$AO$60)</f>
        <v>1.5848214285714284</v>
      </c>
      <c r="F18" s="641">
        <f>SUMIFS('2. Headcount Buildup'!$F$36:$F$46,'2. Headcount Buildup'!$C$36:$C$46,'Clientwise Profitability'!F$4)*C18/$C$28</f>
        <v>1.1787616617592526E-2</v>
      </c>
      <c r="G18" s="641">
        <f>SUMIFS('Base Revenue'!$BH$6:$BH$60,'Base Revenue'!$C$6:$C$60,'Clientwise Profitability'!$B18)</f>
        <v>0.33316977061699443</v>
      </c>
      <c r="H18" s="641">
        <f>E18/'2. Headcount Buildup'!$D$42</f>
        <v>0.15848214285714285</v>
      </c>
      <c r="I18" s="642">
        <f t="shared" si="11"/>
        <v>703.66071428571422</v>
      </c>
      <c r="J18" s="642">
        <f t="shared" si="12"/>
        <v>338.31136422164241</v>
      </c>
      <c r="K18" s="642"/>
      <c r="L18" s="642"/>
      <c r="M18" s="642">
        <f t="shared" si="1"/>
        <v>17.881814408887863</v>
      </c>
      <c r="N18" s="642">
        <f t="shared" si="2"/>
        <v>140.14610708375551</v>
      </c>
      <c r="O18" s="643">
        <f t="shared" si="3"/>
        <v>0.11678842256979625</v>
      </c>
      <c r="P18" s="642"/>
      <c r="Q18" s="642">
        <f t="shared" si="4"/>
        <v>171.32340516290384</v>
      </c>
      <c r="R18" s="642">
        <f t="shared" si="4"/>
        <v>70.14249202992815</v>
      </c>
      <c r="S18" s="642">
        <f t="shared" si="4"/>
        <v>162.326332886465</v>
      </c>
      <c r="T18" s="642">
        <f t="shared" si="5"/>
        <v>403.79223007929698</v>
      </c>
      <c r="U18" s="642">
        <f t="shared" si="6"/>
        <v>-263.64612299554148</v>
      </c>
      <c r="V18" s="645">
        <f t="shared" si="7"/>
        <v>-0.21970510249628455</v>
      </c>
      <c r="X18" s="642">
        <f t="shared" si="8"/>
        <v>757.18309859154942</v>
      </c>
      <c r="Z18" s="623">
        <f t="shared" si="13"/>
        <v>2.0882609586631582</v>
      </c>
      <c r="AA18" s="67">
        <f t="shared" si="14"/>
        <v>574.64082495140065</v>
      </c>
      <c r="AB18" s="405">
        <f t="shared" si="15"/>
        <v>574.64082495140065</v>
      </c>
      <c r="AD18" s="623">
        <f>IFERROR(VLOOKUP(A18,[1]Pivot!$B$5:$D$28,2,0),)</f>
        <v>0</v>
      </c>
      <c r="AE18" s="623">
        <f>IFERROR(VLOOKUP(A18,[1]Pivot!$B$5:$D$28,3,0),)</f>
        <v>0</v>
      </c>
      <c r="AG18" s="623">
        <f>IFERROR(VLOOKUP($A18,[1]Pivot!$B$39:$D$61,2,0),)</f>
        <v>0</v>
      </c>
      <c r="AH18" s="623">
        <f>IFERROR(VLOOKUP($A18,[1]Pivot!$B$39:$D$61,3,0),)</f>
        <v>0</v>
      </c>
      <c r="AJ18" s="98">
        <f t="shared" si="9"/>
        <v>0</v>
      </c>
      <c r="AK18" s="98">
        <f t="shared" si="10"/>
        <v>0</v>
      </c>
    </row>
    <row r="19" spans="1:37" ht="15.5" x14ac:dyDescent="0.35">
      <c r="A19" s="14"/>
      <c r="B19" s="638" t="s">
        <v>764</v>
      </c>
      <c r="C19" s="639">
        <v>2880</v>
      </c>
      <c r="D19" s="640">
        <f t="shared" si="0"/>
        <v>3.3038538617005795</v>
      </c>
      <c r="E19" s="641">
        <f>SUMIF('Base Revenue'!$C$6:$C$60,'Clientwise Profitability'!B19,'Base Revenue'!$AO$6:$AO$60)</f>
        <v>2.5</v>
      </c>
      <c r="F19" s="641">
        <f>SUMIFS('2. Headcount Buildup'!$F$36:$F$46,'2. Headcount Buildup'!$C$36:$C$46,'Clientwise Profitability'!F$4)*C19/$C$28</f>
        <v>2.8290279882222064E-2</v>
      </c>
      <c r="G19" s="641">
        <f>SUMIFS('Base Revenue'!$BH$6:$BH$60,'Base Revenue'!$C$6:$C$60,'Clientwise Profitability'!$B19)</f>
        <v>0.52556358181835738</v>
      </c>
      <c r="H19" s="641">
        <f>E19/'2. Headcount Buildup'!$D$42</f>
        <v>0.25</v>
      </c>
      <c r="I19" s="642">
        <f t="shared" si="11"/>
        <v>1110</v>
      </c>
      <c r="J19" s="642">
        <f t="shared" si="12"/>
        <v>540.18979506278947</v>
      </c>
      <c r="K19" s="642"/>
      <c r="L19" s="642"/>
      <c r="M19" s="642">
        <f t="shared" si="1"/>
        <v>42.916354581330872</v>
      </c>
      <c r="N19" s="642">
        <f t="shared" si="2"/>
        <v>1186.8938503558797</v>
      </c>
      <c r="O19" s="643">
        <f t="shared" si="3"/>
        <v>0.41211592026245825</v>
      </c>
      <c r="P19" s="642"/>
      <c r="Q19" s="642">
        <f t="shared" si="4"/>
        <v>271.0520882933647</v>
      </c>
      <c r="R19" s="642">
        <f t="shared" si="4"/>
        <v>110.97298074792988</v>
      </c>
      <c r="S19" s="642">
        <f t="shared" si="4"/>
        <v>256.81775045297303</v>
      </c>
      <c r="T19" s="642">
        <f t="shared" si="5"/>
        <v>638.84281949426759</v>
      </c>
      <c r="U19" s="642">
        <f t="shared" si="6"/>
        <v>548.05103086161216</v>
      </c>
      <c r="V19" s="645">
        <f t="shared" si="7"/>
        <v>0.19029549682694866</v>
      </c>
      <c r="X19" s="642"/>
      <c r="Z19" s="623">
        <f t="shared" si="13"/>
        <v>3.3038538617005795</v>
      </c>
      <c r="AA19" s="67">
        <f t="shared" si="14"/>
        <v>871.7092585074538</v>
      </c>
      <c r="AB19" s="405">
        <f t="shared" si="15"/>
        <v>871.7092585074538</v>
      </c>
      <c r="AD19" s="623">
        <f>IFERROR(VLOOKUP(A19,[1]Pivot!$B$5:$D$28,2,0),)</f>
        <v>0</v>
      </c>
      <c r="AE19" s="623">
        <f>IFERROR(VLOOKUP(A19,[1]Pivot!$B$5:$D$28,3,0),)</f>
        <v>0</v>
      </c>
      <c r="AG19" s="623">
        <f>IFERROR(VLOOKUP($A19,[1]Pivot!$B$39:$D$61,2,0),)</f>
        <v>0</v>
      </c>
      <c r="AH19" s="623">
        <f>IFERROR(VLOOKUP($A19,[1]Pivot!$B$39:$D$61,3,0),)</f>
        <v>0</v>
      </c>
      <c r="AJ19" s="98">
        <f t="shared" si="9"/>
        <v>0</v>
      </c>
      <c r="AK19" s="98">
        <f t="shared" si="10"/>
        <v>0</v>
      </c>
    </row>
    <row r="20" spans="1:37" ht="15.5" x14ac:dyDescent="0.35">
      <c r="A20" s="14"/>
      <c r="B20" s="638" t="s">
        <v>798</v>
      </c>
      <c r="C20" s="639">
        <v>2560</v>
      </c>
      <c r="D20" s="640">
        <f t="shared" si="0"/>
        <v>3.3007104972692214</v>
      </c>
      <c r="E20" s="641">
        <f>SUMIF('Base Revenue'!$C$6:$C$60,'Clientwise Profitability'!B20,'Base Revenue'!$AO$6:$AO$60)</f>
        <v>2.5</v>
      </c>
      <c r="F20" s="641">
        <f>SUMIFS('2. Headcount Buildup'!$F$36:$F$46,'2. Headcount Buildup'!$C$36:$C$46,'Clientwise Profitability'!F$4)*C20/$C$28</f>
        <v>2.5146915450864057E-2</v>
      </c>
      <c r="G20" s="641">
        <f>SUMIFS('Base Revenue'!$BH$6:$BH$60,'Base Revenue'!$C$6:$C$60,'Clientwise Profitability'!$B20)</f>
        <v>0.52556358181835738</v>
      </c>
      <c r="H20" s="641">
        <f>E20/'2. Headcount Buildup'!$D$42</f>
        <v>0.25</v>
      </c>
      <c r="I20" s="642">
        <f t="shared" si="11"/>
        <v>1110</v>
      </c>
      <c r="J20" s="642">
        <f t="shared" si="12"/>
        <v>538.07745416491673</v>
      </c>
      <c r="K20" s="642"/>
      <c r="L20" s="642"/>
      <c r="M20" s="642">
        <f t="shared" si="1"/>
        <v>38.147870738960776</v>
      </c>
      <c r="N20" s="642">
        <f t="shared" si="2"/>
        <v>873.77467509612245</v>
      </c>
      <c r="O20" s="643">
        <f t="shared" si="3"/>
        <v>0.34131823245942283</v>
      </c>
      <c r="P20" s="642"/>
      <c r="Q20" s="642">
        <f t="shared" si="4"/>
        <v>270.79420294823382</v>
      </c>
      <c r="R20" s="642">
        <f t="shared" si="4"/>
        <v>110.86739843856428</v>
      </c>
      <c r="S20" s="642">
        <f t="shared" si="4"/>
        <v>256.57340799234743</v>
      </c>
      <c r="T20" s="642">
        <f t="shared" si="5"/>
        <v>638.23500937914559</v>
      </c>
      <c r="U20" s="642">
        <f t="shared" si="6"/>
        <v>235.53966571697686</v>
      </c>
      <c r="V20" s="645">
        <f t="shared" si="7"/>
        <v>9.2007681920694084E-2</v>
      </c>
      <c r="X20" s="642"/>
      <c r="Z20" s="623">
        <f t="shared" si="13"/>
        <v>3.3007104972692214</v>
      </c>
      <c r="AA20" s="67">
        <f t="shared" si="14"/>
        <v>775.59058939521242</v>
      </c>
      <c r="AB20" s="405">
        <f t="shared" si="15"/>
        <v>775.59058939521242</v>
      </c>
      <c r="AD20" s="623">
        <f>IFERROR(VLOOKUP(A20,[1]Pivot!$B$5:$D$28,2,0),)</f>
        <v>0</v>
      </c>
      <c r="AE20" s="623">
        <f>IFERROR(VLOOKUP(A20,[1]Pivot!$B$5:$D$28,3,0),)</f>
        <v>0</v>
      </c>
      <c r="AG20" s="623">
        <f>IFERROR(VLOOKUP($A20,[1]Pivot!$B$39:$D$61,2,0),)</f>
        <v>0</v>
      </c>
      <c r="AH20" s="623">
        <f>IFERROR(VLOOKUP($A20,[1]Pivot!$B$39:$D$61,3,0),)</f>
        <v>0</v>
      </c>
      <c r="AJ20" s="98">
        <f t="shared" si="9"/>
        <v>0</v>
      </c>
      <c r="AK20" s="98">
        <f t="shared" si="10"/>
        <v>0</v>
      </c>
    </row>
    <row r="21" spans="1:37" ht="15.5" x14ac:dyDescent="0.35">
      <c r="A21" s="14"/>
      <c r="B21" s="638" t="s">
        <v>799</v>
      </c>
      <c r="C21" s="639">
        <v>2475</v>
      </c>
      <c r="D21" s="640">
        <f t="shared" si="0"/>
        <v>4.3722326660921995</v>
      </c>
      <c r="E21" s="641">
        <f>SUMIF('Base Revenue'!$C$6:$C$60,'Clientwise Profitability'!B21,'Base Revenue'!$AO$6:$AO$60)</f>
        <v>3.3184523809523809</v>
      </c>
      <c r="F21" s="641">
        <f>SUMIFS('2. Headcount Buildup'!$F$36:$F$46,'2. Headcount Buildup'!$C$36:$C$46,'Clientwise Profitability'!F$4)*C21/$C$28</f>
        <v>2.4311959273784586E-2</v>
      </c>
      <c r="G21" s="641">
        <f>SUMIFS('Base Revenue'!$BH$6:$BH$60,'Base Revenue'!$C$6:$C$60,'Clientwise Profitability'!$B21)</f>
        <v>0.69762308777079585</v>
      </c>
      <c r="H21" s="641">
        <f>E21/'2. Headcount Buildup'!$D$42</f>
        <v>0.33184523809523808</v>
      </c>
      <c r="I21" s="642">
        <f t="shared" si="11"/>
        <v>1473.3928571428571</v>
      </c>
      <c r="J21" s="642">
        <f t="shared" si="12"/>
        <v>708.14035161395805</v>
      </c>
      <c r="K21" s="642"/>
      <c r="L21" s="642"/>
      <c r="M21" s="642">
        <f t="shared" si="1"/>
        <v>36.881242218331217</v>
      </c>
      <c r="N21" s="642">
        <f t="shared" si="2"/>
        <v>256.58554902485366</v>
      </c>
      <c r="O21" s="643">
        <f t="shared" si="3"/>
        <v>0.10367092889893077</v>
      </c>
      <c r="P21" s="642"/>
      <c r="Q21" s="642">
        <f t="shared" si="4"/>
        <v>358.70315221471481</v>
      </c>
      <c r="R21" s="642">
        <f t="shared" si="4"/>
        <v>146.8587025304972</v>
      </c>
      <c r="S21" s="642">
        <f t="shared" si="4"/>
        <v>339.86580665067146</v>
      </c>
      <c r="T21" s="642">
        <f t="shared" si="5"/>
        <v>845.42766139588343</v>
      </c>
      <c r="U21" s="642">
        <f t="shared" si="6"/>
        <v>-588.84211237102977</v>
      </c>
      <c r="V21" s="645">
        <f t="shared" si="7"/>
        <v>-0.23791600499839588</v>
      </c>
      <c r="X21" s="642"/>
      <c r="Z21" s="623">
        <f t="shared" si="13"/>
        <v>4.3722326660921995</v>
      </c>
      <c r="AA21" s="67">
        <f t="shared" si="14"/>
        <v>566.07234541616879</v>
      </c>
      <c r="AB21" s="405">
        <f t="shared" si="15"/>
        <v>566.07234541616879</v>
      </c>
      <c r="AD21" s="623">
        <f>IFERROR(VLOOKUP(A21,[1]Pivot!$B$5:$D$28,2,0),)</f>
        <v>0</v>
      </c>
      <c r="AE21" s="623">
        <f>IFERROR(VLOOKUP(A21,[1]Pivot!$B$5:$D$28,3,0),)</f>
        <v>0</v>
      </c>
      <c r="AG21" s="623">
        <f>IFERROR(VLOOKUP($A21,[1]Pivot!$B$39:$D$61,2,0),)</f>
        <v>0</v>
      </c>
      <c r="AH21" s="623">
        <f>IFERROR(VLOOKUP($A21,[1]Pivot!$B$39:$D$61,3,0),)</f>
        <v>0</v>
      </c>
      <c r="AJ21" s="98">
        <f t="shared" si="9"/>
        <v>0</v>
      </c>
      <c r="AK21" s="98">
        <f t="shared" si="10"/>
        <v>0</v>
      </c>
    </row>
    <row r="22" spans="1:37" ht="15.5" x14ac:dyDescent="0.35">
      <c r="A22" s="14"/>
      <c r="B22" s="638" t="s">
        <v>802</v>
      </c>
      <c r="C22" s="639">
        <v>8700</v>
      </c>
      <c r="D22" s="640">
        <f t="shared" si="0"/>
        <v>12.064513768310004</v>
      </c>
      <c r="E22" s="641">
        <f>SUMIF('Base Revenue'!$C$6:$C$60,'Clientwise Profitability'!B22,'Base Revenue'!$AO$6:$AO$60)</f>
        <v>9.1427423469387747</v>
      </c>
      <c r="F22" s="641">
        <f>SUMIFS('2. Headcount Buildup'!$F$36:$F$46,'2. Headcount Buildup'!$C$36:$C$46,'Clientwise Profitability'!F$4)*C22/$C$28</f>
        <v>8.5460220477545812E-2</v>
      </c>
      <c r="G22" s="641">
        <f>SUMIFS('Base Revenue'!$BH$6:$BH$60,'Base Revenue'!$C$6:$C$60,'Clientwise Profitability'!$B22)</f>
        <v>1.9220369661998069</v>
      </c>
      <c r="H22" s="641">
        <f>E22/'2. Headcount Buildup'!$D$42</f>
        <v>0.91427423469387747</v>
      </c>
      <c r="I22" s="642">
        <f t="shared" si="11"/>
        <v>4059.3776020408159</v>
      </c>
      <c r="J22" s="642">
        <f t="shared" si="12"/>
        <v>1963.4303951614665</v>
      </c>
      <c r="K22" s="642"/>
      <c r="L22" s="642"/>
      <c r="M22" s="642">
        <f t="shared" si="1"/>
        <v>129.643154464437</v>
      </c>
      <c r="N22" s="642">
        <f t="shared" si="2"/>
        <v>2547.5488483332801</v>
      </c>
      <c r="O22" s="643">
        <f t="shared" si="3"/>
        <v>0.2928217067049747</v>
      </c>
      <c r="P22" s="642"/>
      <c r="Q22" s="642">
        <f t="shared" si="4"/>
        <v>989.78701481102007</v>
      </c>
      <c r="R22" s="642">
        <f t="shared" si="4"/>
        <v>405.23434455259707</v>
      </c>
      <c r="S22" s="642">
        <f t="shared" si="4"/>
        <v>937.80821307013809</v>
      </c>
      <c r="T22" s="642">
        <f t="shared" si="5"/>
        <v>2332.8295724337554</v>
      </c>
      <c r="U22" s="642">
        <f t="shared" si="6"/>
        <v>214.71927589952475</v>
      </c>
      <c r="V22" s="645">
        <f t="shared" si="7"/>
        <v>2.4680376540175259E-2</v>
      </c>
      <c r="X22" s="642"/>
      <c r="Z22" s="623">
        <f t="shared" si="13"/>
        <v>12.064513768310004</v>
      </c>
      <c r="AA22" s="67">
        <f t="shared" si="14"/>
        <v>721.12313575806013</v>
      </c>
      <c r="AB22" s="405">
        <f t="shared" si="15"/>
        <v>721.12313575806013</v>
      </c>
      <c r="AD22" s="623">
        <f>IFERROR(VLOOKUP(A22,[1]Pivot!$B$5:$D$28,2,0),)</f>
        <v>0</v>
      </c>
      <c r="AE22" s="623">
        <f>IFERROR(VLOOKUP(A22,[1]Pivot!$B$5:$D$28,3,0),)</f>
        <v>0</v>
      </c>
      <c r="AG22" s="623">
        <f>IFERROR(VLOOKUP($A22,[1]Pivot!$B$39:$D$61,2,0),)</f>
        <v>0</v>
      </c>
      <c r="AH22" s="623">
        <f>IFERROR(VLOOKUP($A22,[1]Pivot!$B$39:$D$61,3,0),)</f>
        <v>0</v>
      </c>
      <c r="AJ22" s="98">
        <f t="shared" si="9"/>
        <v>0</v>
      </c>
      <c r="AK22" s="98">
        <f t="shared" si="10"/>
        <v>0</v>
      </c>
    </row>
    <row r="23" spans="1:37" ht="15.5" x14ac:dyDescent="0.35">
      <c r="A23" s="14"/>
      <c r="B23" s="638"/>
      <c r="C23" s="639"/>
      <c r="D23" s="640"/>
      <c r="E23" s="641"/>
      <c r="F23" s="642"/>
      <c r="G23" s="642"/>
      <c r="H23" s="642"/>
      <c r="I23" s="642"/>
      <c r="J23" s="642"/>
      <c r="K23" s="642"/>
      <c r="L23" s="642"/>
      <c r="M23" s="642"/>
      <c r="N23" s="642"/>
      <c r="O23" s="643"/>
      <c r="P23" s="644"/>
      <c r="Q23" s="642"/>
      <c r="R23" s="642"/>
      <c r="S23" s="642"/>
      <c r="T23" s="642"/>
      <c r="U23" s="642"/>
      <c r="V23" s="645"/>
      <c r="X23" s="642"/>
      <c r="Z23" s="623" t="e">
        <f>SUMIF('[1]Step - 1 Pivot Dump'!$A$1625:$T$1917,'Clientwise Profitability'!$A23,'[1]Step - 1 Pivot Dump'!$P$1625:$P$1917)</f>
        <v>#VALUE!</v>
      </c>
      <c r="AA23" s="67" t="e">
        <f t="shared" si="14"/>
        <v>#VALUE!</v>
      </c>
      <c r="AB23" s="405">
        <f t="shared" ref="AB23:AB27" si="16">IFERROR(C23/D23,0)</f>
        <v>0</v>
      </c>
      <c r="AD23" s="623">
        <f>IFERROR(VLOOKUP(A23,[1]Pivot!$B$5:$D$28,2,0),)</f>
        <v>0</v>
      </c>
      <c r="AE23" s="623">
        <f>IFERROR(VLOOKUP(A23,[1]Pivot!$B$5:$D$28,3,0),)</f>
        <v>0</v>
      </c>
      <c r="AG23" s="623">
        <f>IFERROR(VLOOKUP($A23,[1]Pivot!$B$39:$D$61,2,0),)</f>
        <v>0</v>
      </c>
      <c r="AH23" s="623">
        <f>IFERROR(VLOOKUP($A23,[1]Pivot!$B$39:$D$61,3,0),)</f>
        <v>0</v>
      </c>
      <c r="AJ23" s="98">
        <f t="shared" si="9"/>
        <v>0</v>
      </c>
      <c r="AK23" s="98">
        <f t="shared" si="10"/>
        <v>0</v>
      </c>
    </row>
    <row r="24" spans="1:37" ht="15.5" x14ac:dyDescent="0.35">
      <c r="A24" s="14"/>
      <c r="B24" s="638"/>
      <c r="C24" s="639"/>
      <c r="D24" s="640"/>
      <c r="E24" s="641"/>
      <c r="F24" s="642"/>
      <c r="G24" s="642"/>
      <c r="H24" s="642"/>
      <c r="I24" s="642"/>
      <c r="J24" s="642"/>
      <c r="K24" s="642"/>
      <c r="L24" s="642"/>
      <c r="M24" s="642"/>
      <c r="N24" s="642"/>
      <c r="O24" s="643"/>
      <c r="P24" s="644"/>
      <c r="Q24" s="642"/>
      <c r="R24" s="642"/>
      <c r="S24" s="642"/>
      <c r="T24" s="642"/>
      <c r="U24" s="642"/>
      <c r="V24" s="645"/>
      <c r="X24" s="642">
        <f>IFERROR(C24/E24,0)</f>
        <v>0</v>
      </c>
      <c r="Z24" s="623" t="e">
        <f>SUMIF('[1]Step - 1 Pivot Dump'!$A$1625:$T$1917,'Clientwise Profitability'!$A24,'[1]Step - 1 Pivot Dump'!$P$1625:$P$1917)</f>
        <v>#VALUE!</v>
      </c>
      <c r="AA24" s="67" t="e">
        <f t="shared" si="14"/>
        <v>#VALUE!</v>
      </c>
      <c r="AB24" s="405">
        <f t="shared" si="16"/>
        <v>0</v>
      </c>
      <c r="AD24" s="623">
        <f>IFERROR(VLOOKUP(A24,[1]Pivot!$B$5:$D$28,2,0),)</f>
        <v>0</v>
      </c>
      <c r="AE24" s="623">
        <f>IFERROR(VLOOKUP(A24,[1]Pivot!$B$5:$D$28,3,0),)</f>
        <v>0</v>
      </c>
      <c r="AG24" s="623">
        <f>IFERROR(VLOOKUP($A24,[1]Pivot!$B$39:$D$61,2,0),)</f>
        <v>0</v>
      </c>
      <c r="AH24" s="623">
        <f>IFERROR(VLOOKUP($A24,[1]Pivot!$B$39:$D$61,3,0),)</f>
        <v>0</v>
      </c>
      <c r="AJ24" s="98">
        <f t="shared" si="9"/>
        <v>0</v>
      </c>
      <c r="AK24" s="98">
        <f t="shared" si="10"/>
        <v>0</v>
      </c>
    </row>
    <row r="25" spans="1:37" ht="15.5" x14ac:dyDescent="0.35">
      <c r="A25" s="14"/>
      <c r="B25" s="638"/>
      <c r="C25" s="639"/>
      <c r="D25" s="640"/>
      <c r="E25" s="641"/>
      <c r="F25" s="642"/>
      <c r="G25" s="642"/>
      <c r="H25" s="642"/>
      <c r="I25" s="642"/>
      <c r="J25" s="642"/>
      <c r="K25" s="642"/>
      <c r="L25" s="642"/>
      <c r="M25" s="642"/>
      <c r="N25" s="642"/>
      <c r="O25" s="643"/>
      <c r="P25" s="644"/>
      <c r="Q25" s="642"/>
      <c r="R25" s="642"/>
      <c r="S25" s="642"/>
      <c r="T25" s="642"/>
      <c r="U25" s="642"/>
      <c r="V25" s="645"/>
      <c r="X25" s="642">
        <f>IFERROR(C25/E25,0)</f>
        <v>0</v>
      </c>
      <c r="Z25" s="623" t="e">
        <f>SUMIF('[1]Step - 1 Pivot Dump'!$A$1625:$T$1917,'Clientwise Profitability'!$A25,'[1]Step - 1 Pivot Dump'!$P$1625:$P$1917)</f>
        <v>#VALUE!</v>
      </c>
      <c r="AA25" s="67" t="e">
        <f t="shared" si="14"/>
        <v>#VALUE!</v>
      </c>
      <c r="AB25" s="405">
        <f t="shared" si="16"/>
        <v>0</v>
      </c>
      <c r="AD25" s="623">
        <f>IFERROR(VLOOKUP(A25,[1]Pivot!$B$5:$D$28,2,0),)</f>
        <v>0</v>
      </c>
      <c r="AE25" s="623">
        <f>IFERROR(VLOOKUP(A25,[1]Pivot!$B$5:$D$28,3,0),)</f>
        <v>0</v>
      </c>
      <c r="AG25" s="623">
        <f>IFERROR(VLOOKUP($A25,[1]Pivot!$B$39:$D$61,2,0),)</f>
        <v>0</v>
      </c>
      <c r="AH25" s="623">
        <f>IFERROR(VLOOKUP($A25,[1]Pivot!$B$39:$D$61,3,0),)</f>
        <v>0</v>
      </c>
      <c r="AJ25" s="98">
        <f t="shared" si="9"/>
        <v>0</v>
      </c>
      <c r="AK25" s="98">
        <f t="shared" si="10"/>
        <v>0</v>
      </c>
    </row>
    <row r="26" spans="1:37" ht="15.5" x14ac:dyDescent="0.35">
      <c r="A26" s="14"/>
      <c r="B26" s="638"/>
      <c r="C26" s="639"/>
      <c r="D26" s="640"/>
      <c r="E26" s="641"/>
      <c r="F26" s="642"/>
      <c r="G26" s="642"/>
      <c r="H26" s="642"/>
      <c r="I26" s="642"/>
      <c r="J26" s="642"/>
      <c r="K26" s="642"/>
      <c r="L26" s="642"/>
      <c r="M26" s="642"/>
      <c r="N26" s="642"/>
      <c r="O26" s="643"/>
      <c r="P26" s="644"/>
      <c r="Q26" s="642"/>
      <c r="R26" s="642"/>
      <c r="S26" s="642"/>
      <c r="T26" s="642"/>
      <c r="U26" s="642"/>
      <c r="V26" s="645"/>
      <c r="X26" s="642">
        <f>IFERROR(C26/E26,0)</f>
        <v>0</v>
      </c>
      <c r="Z26" s="623" t="e">
        <f>SUMIF('[1]Step - 1 Pivot Dump'!$A$1625:$T$1917,'Clientwise Profitability'!$A26,'[1]Step - 1 Pivot Dump'!$P$1625:$P$1917)</f>
        <v>#VALUE!</v>
      </c>
      <c r="AA26" s="67" t="e">
        <f t="shared" si="14"/>
        <v>#VALUE!</v>
      </c>
      <c r="AB26" s="405">
        <f t="shared" si="16"/>
        <v>0</v>
      </c>
      <c r="AD26" s="623">
        <f>IFERROR(VLOOKUP(A26,[1]Pivot!$B$5:$D$28,2,0),)</f>
        <v>0</v>
      </c>
      <c r="AE26" s="623">
        <f>IFERROR(VLOOKUP(A26,[1]Pivot!$B$5:$D$28,3,0),)</f>
        <v>0</v>
      </c>
      <c r="AG26" s="623">
        <f>IFERROR(VLOOKUP($A26,[1]Pivot!$B$39:$D$61,2,0),)</f>
        <v>0</v>
      </c>
      <c r="AH26" s="623">
        <f>IFERROR(VLOOKUP($A26,[1]Pivot!$B$39:$D$61,3,0),)</f>
        <v>0</v>
      </c>
      <c r="AJ26" s="98">
        <f t="shared" si="9"/>
        <v>0</v>
      </c>
      <c r="AK26" s="98">
        <f t="shared" si="10"/>
        <v>0</v>
      </c>
    </row>
    <row r="27" spans="1:37" ht="15.5" x14ac:dyDescent="0.35">
      <c r="A27" s="14"/>
      <c r="B27" s="638"/>
      <c r="C27" s="639"/>
      <c r="D27" s="640"/>
      <c r="E27" s="641"/>
      <c r="F27" s="642"/>
      <c r="G27" s="642"/>
      <c r="H27" s="642"/>
      <c r="I27" s="642"/>
      <c r="J27" s="642"/>
      <c r="K27" s="642"/>
      <c r="L27" s="642"/>
      <c r="M27" s="642"/>
      <c r="N27" s="642"/>
      <c r="O27" s="643"/>
      <c r="P27" s="644"/>
      <c r="Q27" s="642"/>
      <c r="R27" s="642"/>
      <c r="S27" s="642"/>
      <c r="T27" s="642"/>
      <c r="U27" s="642"/>
      <c r="V27" s="645"/>
      <c r="X27" s="642">
        <f>IFERROR(C27/E27,0)</f>
        <v>0</v>
      </c>
      <c r="Z27" s="623" t="e">
        <f>SUMIF('[1]Step - 1 Pivot Dump'!$A$1625:$T$1917,'Clientwise Profitability'!$A27,'[1]Step - 1 Pivot Dump'!$P$1625:$P$1917)</f>
        <v>#VALUE!</v>
      </c>
      <c r="AA27" s="67" t="e">
        <f t="shared" si="14"/>
        <v>#VALUE!</v>
      </c>
      <c r="AB27" s="405">
        <f t="shared" si="16"/>
        <v>0</v>
      </c>
      <c r="AD27" s="623">
        <f>IFERROR(VLOOKUP(A27,[1]Pivot!$B$5:$D$28,2,0),)</f>
        <v>0</v>
      </c>
      <c r="AE27" s="623">
        <f>IFERROR(VLOOKUP(A27,[1]Pivot!$B$5:$D$28,3,0),)</f>
        <v>0</v>
      </c>
      <c r="AG27" s="623">
        <f>IFERROR(VLOOKUP($A27,[1]Pivot!$B$39:$D$61,2,0),)</f>
        <v>0</v>
      </c>
      <c r="AH27" s="623">
        <f>IFERROR(VLOOKUP($A27,[1]Pivot!$B$39:$D$61,3,0),)</f>
        <v>0</v>
      </c>
      <c r="AJ27" s="98">
        <f t="shared" si="9"/>
        <v>0</v>
      </c>
      <c r="AK27" s="98">
        <f t="shared" si="10"/>
        <v>0</v>
      </c>
    </row>
    <row r="28" spans="1:37" s="100" customFormat="1" ht="15.5" x14ac:dyDescent="0.35">
      <c r="A28" s="151"/>
      <c r="B28" s="151" t="s">
        <v>174</v>
      </c>
      <c r="C28" s="646">
        <f>SUM(C5:C27)</f>
        <v>203603.5</v>
      </c>
      <c r="D28" s="647">
        <f t="shared" si="0"/>
        <v>201.73930839305129</v>
      </c>
      <c r="E28" s="661">
        <f t="shared" ref="E28:N28" si="17">SUM(E5:E27)</f>
        <v>152.78914779508293</v>
      </c>
      <c r="F28" s="646">
        <f t="shared" si="17"/>
        <v>2</v>
      </c>
      <c r="G28" s="646">
        <f t="shared" si="17"/>
        <v>31.67124581846009</v>
      </c>
      <c r="H28" s="646">
        <f t="shared" si="17"/>
        <v>15.278914779508293</v>
      </c>
      <c r="I28" s="646">
        <f t="shared" si="17"/>
        <v>67838.38162101683</v>
      </c>
      <c r="J28" s="646">
        <f t="shared" si="17"/>
        <v>32894.507921834753</v>
      </c>
      <c r="K28" s="646">
        <f t="shared" si="17"/>
        <v>0</v>
      </c>
      <c r="L28" s="646">
        <f t="shared" si="17"/>
        <v>0</v>
      </c>
      <c r="M28" s="646">
        <f t="shared" si="17"/>
        <v>3033.9999999999995</v>
      </c>
      <c r="N28" s="646">
        <f t="shared" si="17"/>
        <v>99836.610457148403</v>
      </c>
      <c r="O28" s="648">
        <f t="shared" si="3"/>
        <v>0.49034820352866432</v>
      </c>
      <c r="P28" s="646">
        <f t="shared" ref="P28:U28" si="18">SUM(P5:P27)</f>
        <v>0</v>
      </c>
      <c r="Q28" s="646">
        <f t="shared" si="18"/>
        <v>16550.932068965518</v>
      </c>
      <c r="R28" s="646">
        <f t="shared" si="18"/>
        <v>6776.2114559386964</v>
      </c>
      <c r="S28" s="646">
        <f t="shared" si="18"/>
        <v>15681.757586206901</v>
      </c>
      <c r="T28" s="646">
        <f t="shared" si="18"/>
        <v>39008.901111111125</v>
      </c>
      <c r="U28" s="646">
        <f t="shared" si="18"/>
        <v>60827.709346037314</v>
      </c>
      <c r="V28" s="649">
        <f>U28/C28</f>
        <v>0.29875571562393238</v>
      </c>
      <c r="X28" s="646"/>
      <c r="Z28" s="100" t="e">
        <f>SUM(Z5:Z27)</f>
        <v>#VALUE!</v>
      </c>
      <c r="AA28" s="171" t="e">
        <f t="shared" si="14"/>
        <v>#VALUE!</v>
      </c>
      <c r="AB28" s="650">
        <f t="shared" si="15"/>
        <v>1009.2405967969152</v>
      </c>
      <c r="AD28" s="100">
        <f>SUM(AD5:AD27)</f>
        <v>0</v>
      </c>
      <c r="AE28" s="100">
        <f>SUM(AE5:AE27)</f>
        <v>0</v>
      </c>
      <c r="AG28" s="651">
        <f>SUM(AG5:AG27)</f>
        <v>0</v>
      </c>
      <c r="AH28" s="651">
        <f>SUM(AH5:AH27)</f>
        <v>0</v>
      </c>
    </row>
    <row r="29" spans="1:37" ht="15.5" x14ac:dyDescent="0.35">
      <c r="C29" s="68"/>
      <c r="D29" s="652">
        <f>D28/Z3</f>
        <v>1.1397701039155439</v>
      </c>
    </row>
    <row r="30" spans="1:37" ht="15.5" x14ac:dyDescent="0.35">
      <c r="B30" s="653"/>
      <c r="C30" s="67"/>
    </row>
    <row r="31" spans="1:37" x14ac:dyDescent="0.35">
      <c r="A31" t="s">
        <v>887</v>
      </c>
      <c r="M31" s="405">
        <f>'3. P&amp;L Summary Ideal'!B10</f>
        <v>2361.0725927798021</v>
      </c>
      <c r="N31" s="405"/>
      <c r="O31" s="405"/>
      <c r="P31" s="405">
        <f>377926/$V$2</f>
        <v>4107.891304347826</v>
      </c>
      <c r="Q31" s="405">
        <f>'3. P&amp;L Summary'!D8+'3. P&amp;L Summary'!D30</f>
        <v>16550.932068965514</v>
      </c>
      <c r="R31" s="405">
        <f>'3. P&amp;L Summary'!D9+'3. P&amp;L Summary'!D31</f>
        <v>6776.2114559386973</v>
      </c>
      <c r="S31" s="405">
        <f>'3. P&amp;L Summary'!D11+'3. P&amp;L Summary'!D33</f>
        <v>15681.757586206897</v>
      </c>
    </row>
    <row r="32" spans="1:37" x14ac:dyDescent="0.35">
      <c r="A32" t="s">
        <v>425</v>
      </c>
      <c r="D32" s="68"/>
      <c r="M32" s="405">
        <f>M31/$D$28</f>
        <v>11.703582269548054</v>
      </c>
      <c r="N32" s="405"/>
      <c r="O32" s="405"/>
      <c r="P32" s="405">
        <f>P31/$D$28</f>
        <v>20.362374279306881</v>
      </c>
      <c r="Q32" s="405">
        <f>Q31/$D$28</f>
        <v>82.04118573024509</v>
      </c>
      <c r="R32" s="405">
        <f>R31/$D$28</f>
        <v>33.588949570187467</v>
      </c>
      <c r="S32" s="405">
        <f>S31/$D$28</f>
        <v>77.732781534344937</v>
      </c>
    </row>
  </sheetData>
  <conditionalFormatting sqref="V5:V27">
    <cfRule type="cellIs" dxfId="4" priority="1" operator="lessThan">
      <formula>0.4</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60425-6D88-4779-8CE2-B6E60D2BAF07}">
  <dimension ref="B1:F71"/>
  <sheetViews>
    <sheetView workbookViewId="0">
      <selection activeCell="F126" sqref="F126"/>
    </sheetView>
  </sheetViews>
  <sheetFormatPr defaultColWidth="8.81640625" defaultRowHeight="14.5" x14ac:dyDescent="0.35"/>
  <cols>
    <col min="2" max="2" width="10" customWidth="1"/>
    <col min="3" max="3" width="33.453125" bestFit="1" customWidth="1"/>
    <col min="4" max="4" width="28.453125" bestFit="1" customWidth="1"/>
    <col min="5" max="5" width="14.81640625" customWidth="1"/>
    <col min="6" max="6" width="17.54296875" bestFit="1" customWidth="1"/>
  </cols>
  <sheetData>
    <row r="1" spans="2:6" ht="15" thickBot="1" x14ac:dyDescent="0.4"/>
    <row r="2" spans="2:6" ht="27.65" customHeight="1" x14ac:dyDescent="0.35">
      <c r="B2" s="758" t="s">
        <v>857</v>
      </c>
      <c r="C2" s="760" t="s">
        <v>836</v>
      </c>
      <c r="D2" s="760" t="s">
        <v>5</v>
      </c>
      <c r="E2" s="762" t="s">
        <v>888</v>
      </c>
      <c r="F2" s="764" t="s">
        <v>889</v>
      </c>
    </row>
    <row r="3" spans="2:6" ht="27.65" customHeight="1" thickBot="1" x14ac:dyDescent="0.4">
      <c r="B3" s="759"/>
      <c r="C3" s="761"/>
      <c r="D3" s="761"/>
      <c r="E3" s="763"/>
      <c r="F3" s="765"/>
    </row>
    <row r="4" spans="2:6" x14ac:dyDescent="0.35">
      <c r="B4" s="779" t="s">
        <v>117</v>
      </c>
      <c r="C4" s="780" t="s">
        <v>790</v>
      </c>
      <c r="D4" s="496" t="s">
        <v>890</v>
      </c>
      <c r="E4" s="497">
        <v>676</v>
      </c>
      <c r="F4" s="498">
        <v>40</v>
      </c>
    </row>
    <row r="5" spans="2:6" x14ac:dyDescent="0.35">
      <c r="B5" s="767"/>
      <c r="C5" s="781"/>
      <c r="D5" s="499" t="s">
        <v>891</v>
      </c>
      <c r="E5" s="497">
        <v>1715</v>
      </c>
      <c r="F5" s="498">
        <v>90</v>
      </c>
    </row>
    <row r="6" spans="2:6" x14ac:dyDescent="0.35">
      <c r="B6" s="767"/>
      <c r="C6" s="781"/>
      <c r="D6" s="499" t="s">
        <v>113</v>
      </c>
      <c r="E6" s="497">
        <v>596</v>
      </c>
      <c r="F6" s="498">
        <v>100</v>
      </c>
    </row>
    <row r="7" spans="2:6" x14ac:dyDescent="0.35">
      <c r="B7" s="767"/>
      <c r="C7" s="781"/>
      <c r="D7" s="499" t="s">
        <v>892</v>
      </c>
      <c r="E7" s="497">
        <v>2119</v>
      </c>
      <c r="F7" s="498">
        <v>175</v>
      </c>
    </row>
    <row r="8" spans="2:6" x14ac:dyDescent="0.35">
      <c r="B8" s="767"/>
      <c r="C8" s="781"/>
      <c r="D8" s="499" t="s">
        <v>893</v>
      </c>
      <c r="E8" s="497">
        <v>210</v>
      </c>
      <c r="F8" s="498">
        <v>120</v>
      </c>
    </row>
    <row r="9" spans="2:6" x14ac:dyDescent="0.35">
      <c r="B9" s="768"/>
      <c r="C9" s="782"/>
      <c r="D9" s="499" t="s">
        <v>82</v>
      </c>
      <c r="E9" s="497">
        <v>87</v>
      </c>
      <c r="F9" s="498">
        <v>90</v>
      </c>
    </row>
    <row r="10" spans="2:6" x14ac:dyDescent="0.35">
      <c r="B10" s="500" t="s">
        <v>117</v>
      </c>
      <c r="C10" s="501" t="s">
        <v>782</v>
      </c>
      <c r="D10" s="501" t="s">
        <v>87</v>
      </c>
      <c r="E10" s="497">
        <v>750</v>
      </c>
      <c r="F10" s="498">
        <v>120</v>
      </c>
    </row>
    <row r="11" spans="2:6" x14ac:dyDescent="0.35">
      <c r="B11" s="500" t="s">
        <v>117</v>
      </c>
      <c r="C11" s="501" t="s">
        <v>782</v>
      </c>
      <c r="D11" s="501" t="s">
        <v>86</v>
      </c>
      <c r="E11" s="497">
        <v>6150</v>
      </c>
      <c r="F11" s="498">
        <v>140</v>
      </c>
    </row>
    <row r="12" spans="2:6" x14ac:dyDescent="0.35">
      <c r="B12" s="500" t="s">
        <v>117</v>
      </c>
      <c r="C12" s="501" t="s">
        <v>782</v>
      </c>
      <c r="D12" s="501" t="s">
        <v>783</v>
      </c>
      <c r="E12" s="497">
        <v>750</v>
      </c>
      <c r="F12" s="498">
        <v>120</v>
      </c>
    </row>
    <row r="13" spans="2:6" x14ac:dyDescent="0.35">
      <c r="B13" s="500" t="s">
        <v>117</v>
      </c>
      <c r="C13" s="501" t="s">
        <v>782</v>
      </c>
      <c r="D13" s="501" t="s">
        <v>784</v>
      </c>
      <c r="E13" s="497">
        <v>6175</v>
      </c>
      <c r="F13" s="498">
        <v>140</v>
      </c>
    </row>
    <row r="14" spans="2:6" x14ac:dyDescent="0.35">
      <c r="B14" s="500" t="s">
        <v>117</v>
      </c>
      <c r="C14" s="501" t="s">
        <v>782</v>
      </c>
      <c r="D14" s="501" t="s">
        <v>101</v>
      </c>
      <c r="E14" s="497">
        <v>1090</v>
      </c>
      <c r="F14" s="498">
        <v>40</v>
      </c>
    </row>
    <row r="15" spans="2:6" x14ac:dyDescent="0.35">
      <c r="B15" s="500"/>
      <c r="C15" s="501" t="s">
        <v>782</v>
      </c>
      <c r="D15" s="501" t="s">
        <v>35</v>
      </c>
      <c r="E15" s="497">
        <v>9037</v>
      </c>
      <c r="F15" s="498">
        <v>64</v>
      </c>
    </row>
    <row r="16" spans="2:6" x14ac:dyDescent="0.35">
      <c r="B16" s="500" t="s">
        <v>117</v>
      </c>
      <c r="C16" s="501" t="s">
        <v>782</v>
      </c>
      <c r="D16" s="501" t="s">
        <v>786</v>
      </c>
      <c r="E16" s="497">
        <v>18710</v>
      </c>
      <c r="F16" s="498">
        <v>150</v>
      </c>
    </row>
    <row r="17" spans="2:6" x14ac:dyDescent="0.35">
      <c r="B17" s="500" t="s">
        <v>117</v>
      </c>
      <c r="C17" s="501" t="s">
        <v>782</v>
      </c>
      <c r="D17" s="501" t="s">
        <v>840</v>
      </c>
      <c r="E17" s="497">
        <v>39500</v>
      </c>
      <c r="F17" s="498">
        <v>800</v>
      </c>
    </row>
    <row r="18" spans="2:6" x14ac:dyDescent="0.35">
      <c r="B18" s="500" t="s">
        <v>117</v>
      </c>
      <c r="C18" s="501" t="s">
        <v>782</v>
      </c>
      <c r="D18" s="501" t="s">
        <v>841</v>
      </c>
      <c r="E18" s="497">
        <v>18700</v>
      </c>
      <c r="F18" s="498">
        <v>350</v>
      </c>
    </row>
    <row r="19" spans="2:6" x14ac:dyDescent="0.35">
      <c r="B19" s="500" t="s">
        <v>117</v>
      </c>
      <c r="C19" s="501" t="s">
        <v>782</v>
      </c>
      <c r="D19" s="501" t="s">
        <v>34</v>
      </c>
      <c r="E19" s="497">
        <v>350</v>
      </c>
      <c r="F19" s="498">
        <v>40</v>
      </c>
    </row>
    <row r="20" spans="2:6" x14ac:dyDescent="0.35">
      <c r="B20" s="500" t="s">
        <v>117</v>
      </c>
      <c r="C20" s="501" t="s">
        <v>782</v>
      </c>
      <c r="D20" s="501" t="s">
        <v>788</v>
      </c>
      <c r="E20" s="497">
        <v>4</v>
      </c>
      <c r="F20" s="498">
        <v>40</v>
      </c>
    </row>
    <row r="21" spans="2:6" x14ac:dyDescent="0.35">
      <c r="B21" s="766" t="s">
        <v>117</v>
      </c>
      <c r="C21" s="769" t="s">
        <v>894</v>
      </c>
      <c r="D21" s="502" t="s">
        <v>99</v>
      </c>
      <c r="E21" s="497">
        <v>1</v>
      </c>
      <c r="F21" s="498">
        <v>35</v>
      </c>
    </row>
    <row r="22" spans="2:6" x14ac:dyDescent="0.35">
      <c r="B22" s="767"/>
      <c r="C22" s="770"/>
      <c r="D22" s="502" t="s">
        <v>895</v>
      </c>
      <c r="E22" s="497">
        <v>2</v>
      </c>
      <c r="F22" s="498">
        <v>40</v>
      </c>
    </row>
    <row r="23" spans="2:6" x14ac:dyDescent="0.35">
      <c r="B23" s="768"/>
      <c r="C23" s="771"/>
      <c r="D23" s="502" t="s">
        <v>44</v>
      </c>
      <c r="E23" s="497">
        <v>1</v>
      </c>
      <c r="F23" s="498">
        <v>350</v>
      </c>
    </row>
    <row r="24" spans="2:6" x14ac:dyDescent="0.35">
      <c r="B24" s="766" t="s">
        <v>117</v>
      </c>
      <c r="C24" s="772" t="s">
        <v>802</v>
      </c>
      <c r="D24" s="502" t="s">
        <v>890</v>
      </c>
      <c r="E24" s="497">
        <v>3470</v>
      </c>
      <c r="F24" s="498">
        <f>AVERAGE(64,40)</f>
        <v>52</v>
      </c>
    </row>
    <row r="25" spans="2:6" x14ac:dyDescent="0.35">
      <c r="B25" s="767"/>
      <c r="C25" s="773"/>
      <c r="D25" s="502" t="s">
        <v>896</v>
      </c>
      <c r="E25" s="497">
        <v>2169</v>
      </c>
      <c r="F25" s="497">
        <v>120</v>
      </c>
    </row>
    <row r="26" spans="2:6" x14ac:dyDescent="0.35">
      <c r="B26" s="767"/>
      <c r="C26" s="773"/>
      <c r="D26" s="502" t="s">
        <v>892</v>
      </c>
      <c r="E26" s="497">
        <v>243</v>
      </c>
      <c r="F26" s="497">
        <v>2000</v>
      </c>
    </row>
    <row r="27" spans="2:6" x14ac:dyDescent="0.35">
      <c r="B27" s="768"/>
      <c r="C27" s="773"/>
      <c r="D27" s="502" t="s">
        <v>893</v>
      </c>
      <c r="E27" s="497">
        <v>2893</v>
      </c>
      <c r="F27" s="497">
        <v>350</v>
      </c>
    </row>
    <row r="28" spans="2:6" x14ac:dyDescent="0.35">
      <c r="B28" s="500" t="s">
        <v>117</v>
      </c>
      <c r="C28" s="503" t="s">
        <v>897</v>
      </c>
      <c r="D28" s="504" t="s">
        <v>36</v>
      </c>
      <c r="E28" s="497">
        <v>235</v>
      </c>
      <c r="F28" s="498">
        <v>40</v>
      </c>
    </row>
    <row r="29" spans="2:6" x14ac:dyDescent="0.35">
      <c r="B29" s="500" t="s">
        <v>117</v>
      </c>
      <c r="C29" s="503" t="s">
        <v>897</v>
      </c>
      <c r="D29" s="504" t="s">
        <v>31</v>
      </c>
      <c r="E29" s="497">
        <v>132</v>
      </c>
      <c r="F29" s="498">
        <v>150</v>
      </c>
    </row>
    <row r="30" spans="2:6" x14ac:dyDescent="0.35">
      <c r="B30" s="500" t="s">
        <v>117</v>
      </c>
      <c r="C30" s="503" t="s">
        <v>897</v>
      </c>
      <c r="D30" s="504" t="s">
        <v>898</v>
      </c>
      <c r="E30" s="497">
        <v>133</v>
      </c>
      <c r="F30" s="498">
        <v>100</v>
      </c>
    </row>
    <row r="31" spans="2:6" x14ac:dyDescent="0.35">
      <c r="B31" s="500"/>
      <c r="C31" s="503"/>
      <c r="D31" s="504" t="s">
        <v>33</v>
      </c>
      <c r="E31" s="497">
        <v>3137</v>
      </c>
      <c r="F31" s="498">
        <v>450</v>
      </c>
    </row>
    <row r="32" spans="2:6" x14ac:dyDescent="0.35">
      <c r="B32" s="500" t="s">
        <v>117</v>
      </c>
      <c r="C32" s="503" t="s">
        <v>897</v>
      </c>
      <c r="D32" s="504" t="s">
        <v>48</v>
      </c>
      <c r="E32" s="497">
        <v>38</v>
      </c>
      <c r="F32" s="498">
        <v>450</v>
      </c>
    </row>
    <row r="33" spans="2:6" x14ac:dyDescent="0.35">
      <c r="B33" s="774" t="s">
        <v>117</v>
      </c>
      <c r="C33" s="769" t="s">
        <v>839</v>
      </c>
      <c r="D33" s="502" t="s">
        <v>890</v>
      </c>
      <c r="E33" s="497">
        <v>1467</v>
      </c>
      <c r="F33" s="498">
        <f>AVERAGE(64,40)</f>
        <v>52</v>
      </c>
    </row>
    <row r="34" spans="2:6" x14ac:dyDescent="0.35">
      <c r="B34" s="775"/>
      <c r="C34" s="770"/>
      <c r="D34" s="502" t="s">
        <v>896</v>
      </c>
      <c r="E34" s="497">
        <v>2559</v>
      </c>
      <c r="F34" s="498">
        <v>160</v>
      </c>
    </row>
    <row r="35" spans="2:6" x14ac:dyDescent="0.35">
      <c r="B35" s="775"/>
      <c r="C35" s="770"/>
      <c r="D35" s="502" t="s">
        <v>800</v>
      </c>
      <c r="E35" s="497">
        <v>643</v>
      </c>
      <c r="F35" s="498">
        <v>30</v>
      </c>
    </row>
    <row r="36" spans="2:6" x14ac:dyDescent="0.35">
      <c r="B36" s="775"/>
      <c r="C36" s="770"/>
      <c r="D36" s="502" t="s">
        <v>899</v>
      </c>
      <c r="E36" s="497">
        <v>1536</v>
      </c>
      <c r="F36" s="498">
        <v>220</v>
      </c>
    </row>
    <row r="37" spans="2:6" x14ac:dyDescent="0.35">
      <c r="B37" s="776"/>
      <c r="C37" s="770"/>
      <c r="D37" s="502" t="s">
        <v>766</v>
      </c>
      <c r="E37" s="497">
        <v>2347</v>
      </c>
      <c r="F37" s="498">
        <v>140</v>
      </c>
    </row>
    <row r="38" spans="2:6" x14ac:dyDescent="0.35">
      <c r="B38" s="774" t="s">
        <v>117</v>
      </c>
      <c r="C38" s="769" t="s">
        <v>794</v>
      </c>
      <c r="D38" s="502" t="s">
        <v>900</v>
      </c>
      <c r="E38" s="497">
        <v>51</v>
      </c>
      <c r="F38" s="498">
        <v>64</v>
      </c>
    </row>
    <row r="39" spans="2:6" x14ac:dyDescent="0.35">
      <c r="B39" s="775"/>
      <c r="C39" s="770"/>
      <c r="D39" s="502" t="s">
        <v>36</v>
      </c>
      <c r="E39" s="497">
        <v>411</v>
      </c>
      <c r="F39" s="498">
        <v>40</v>
      </c>
    </row>
    <row r="40" spans="2:6" x14ac:dyDescent="0.35">
      <c r="B40" s="775"/>
      <c r="C40" s="770"/>
      <c r="D40" s="502" t="s">
        <v>796</v>
      </c>
      <c r="E40" s="497">
        <v>1914</v>
      </c>
      <c r="F40" s="498">
        <v>200</v>
      </c>
    </row>
    <row r="41" spans="2:6" x14ac:dyDescent="0.35">
      <c r="B41" s="775"/>
      <c r="C41" s="770"/>
      <c r="D41" s="502" t="s">
        <v>42</v>
      </c>
      <c r="E41" s="497">
        <v>1516</v>
      </c>
      <c r="F41" s="498">
        <v>60</v>
      </c>
    </row>
    <row r="42" spans="2:6" x14ac:dyDescent="0.35">
      <c r="B42" s="775"/>
      <c r="C42" s="770"/>
      <c r="D42" s="502" t="s">
        <v>113</v>
      </c>
      <c r="E42" s="497">
        <v>1927</v>
      </c>
      <c r="F42" s="498">
        <v>200</v>
      </c>
    </row>
    <row r="43" spans="2:6" x14ac:dyDescent="0.35">
      <c r="B43" s="776"/>
      <c r="C43" s="771"/>
      <c r="D43" s="502" t="s">
        <v>44</v>
      </c>
      <c r="E43" s="497">
        <v>1559</v>
      </c>
      <c r="F43" s="498">
        <v>400</v>
      </c>
    </row>
    <row r="44" spans="2:6" x14ac:dyDescent="0.35">
      <c r="B44" s="505" t="s">
        <v>117</v>
      </c>
      <c r="C44" s="502" t="s">
        <v>91</v>
      </c>
      <c r="D44" s="502" t="s">
        <v>74</v>
      </c>
      <c r="E44" s="497">
        <v>14</v>
      </c>
      <c r="F44" s="498">
        <v>40</v>
      </c>
    </row>
    <row r="45" spans="2:6" x14ac:dyDescent="0.35">
      <c r="B45" s="505" t="s">
        <v>117</v>
      </c>
      <c r="C45" s="502" t="s">
        <v>91</v>
      </c>
      <c r="D45" s="502" t="s">
        <v>775</v>
      </c>
      <c r="E45" s="497">
        <v>7</v>
      </c>
      <c r="F45" s="777">
        <v>35</v>
      </c>
    </row>
    <row r="46" spans="2:6" x14ac:dyDescent="0.35">
      <c r="B46" s="505" t="s">
        <v>117</v>
      </c>
      <c r="C46" s="502" t="s">
        <v>91</v>
      </c>
      <c r="D46" s="502" t="s">
        <v>776</v>
      </c>
      <c r="E46" s="497">
        <v>5</v>
      </c>
      <c r="F46" s="778"/>
    </row>
    <row r="47" spans="2:6" x14ac:dyDescent="0.35">
      <c r="B47" s="505" t="s">
        <v>117</v>
      </c>
      <c r="C47" s="502" t="s">
        <v>91</v>
      </c>
      <c r="D47" s="502" t="s">
        <v>777</v>
      </c>
      <c r="E47" s="497">
        <v>4</v>
      </c>
      <c r="F47" s="498">
        <v>70</v>
      </c>
    </row>
    <row r="48" spans="2:6" x14ac:dyDescent="0.35">
      <c r="B48" s="774" t="s">
        <v>117</v>
      </c>
      <c r="C48" s="769" t="s">
        <v>804</v>
      </c>
      <c r="D48" s="502" t="s">
        <v>901</v>
      </c>
      <c r="E48" s="497">
        <v>7774</v>
      </c>
      <c r="F48" s="498">
        <v>120</v>
      </c>
    </row>
    <row r="49" spans="2:6" x14ac:dyDescent="0.35">
      <c r="B49" s="775"/>
      <c r="C49" s="770"/>
      <c r="D49" s="502" t="s">
        <v>902</v>
      </c>
      <c r="E49" s="497">
        <v>5946</v>
      </c>
      <c r="F49" s="498">
        <v>140</v>
      </c>
    </row>
    <row r="50" spans="2:6" x14ac:dyDescent="0.35">
      <c r="B50" s="775"/>
      <c r="C50" s="770"/>
      <c r="D50" s="502" t="s">
        <v>891</v>
      </c>
      <c r="E50" s="497">
        <v>7888</v>
      </c>
      <c r="F50" s="498">
        <v>150</v>
      </c>
    </row>
    <row r="51" spans="2:6" x14ac:dyDescent="0.35">
      <c r="B51" s="775"/>
      <c r="C51" s="770"/>
      <c r="D51" s="502" t="s">
        <v>48</v>
      </c>
      <c r="E51" s="497">
        <v>5890</v>
      </c>
      <c r="F51" s="498">
        <v>350</v>
      </c>
    </row>
    <row r="52" spans="2:6" x14ac:dyDescent="0.35">
      <c r="B52" s="775"/>
      <c r="C52" s="770"/>
      <c r="D52" s="502" t="s">
        <v>33</v>
      </c>
      <c r="E52" s="497">
        <v>7999</v>
      </c>
      <c r="F52" s="498">
        <v>800</v>
      </c>
    </row>
    <row r="53" spans="2:6" x14ac:dyDescent="0.35">
      <c r="B53" s="775"/>
      <c r="C53" s="770"/>
      <c r="D53" s="502" t="s">
        <v>121</v>
      </c>
      <c r="E53" s="497">
        <v>7106</v>
      </c>
      <c r="F53" s="498">
        <v>135</v>
      </c>
    </row>
    <row r="54" spans="2:6" x14ac:dyDescent="0.35">
      <c r="B54" s="775"/>
      <c r="C54" s="770"/>
      <c r="D54" s="502" t="s">
        <v>35</v>
      </c>
      <c r="E54" s="497">
        <v>2713</v>
      </c>
      <c r="F54" s="498">
        <v>64</v>
      </c>
    </row>
    <row r="55" spans="2:6" x14ac:dyDescent="0.35">
      <c r="B55" s="775"/>
      <c r="C55" s="770"/>
      <c r="D55" s="502" t="s">
        <v>36</v>
      </c>
      <c r="E55" s="497">
        <v>307</v>
      </c>
      <c r="F55" s="498">
        <v>40</v>
      </c>
    </row>
    <row r="56" spans="2:6" x14ac:dyDescent="0.35">
      <c r="B56" s="776"/>
      <c r="C56" s="771"/>
      <c r="D56" s="502" t="s">
        <v>83</v>
      </c>
      <c r="E56" s="497">
        <v>2530</v>
      </c>
      <c r="F56" s="498">
        <v>200</v>
      </c>
    </row>
    <row r="57" spans="2:6" x14ac:dyDescent="0.35">
      <c r="B57" s="505" t="s">
        <v>117</v>
      </c>
      <c r="C57" s="502" t="s">
        <v>804</v>
      </c>
      <c r="D57" s="502" t="s">
        <v>849</v>
      </c>
      <c r="E57" s="497">
        <v>2</v>
      </c>
      <c r="F57" s="498">
        <v>60</v>
      </c>
    </row>
    <row r="58" spans="2:6" x14ac:dyDescent="0.35">
      <c r="B58" s="505" t="s">
        <v>117</v>
      </c>
      <c r="C58" s="502" t="s">
        <v>799</v>
      </c>
      <c r="D58" s="502" t="s">
        <v>47</v>
      </c>
      <c r="E58" s="497">
        <v>500</v>
      </c>
      <c r="F58" s="498">
        <v>20</v>
      </c>
    </row>
    <row r="59" spans="2:6" x14ac:dyDescent="0.35">
      <c r="B59" s="500" t="s">
        <v>117</v>
      </c>
      <c r="C59" s="506" t="s">
        <v>903</v>
      </c>
      <c r="D59" s="502" t="s">
        <v>101</v>
      </c>
      <c r="E59" s="497">
        <v>10</v>
      </c>
      <c r="F59" s="498">
        <v>40</v>
      </c>
    </row>
    <row r="60" spans="2:6" x14ac:dyDescent="0.35">
      <c r="B60" s="500" t="s">
        <v>117</v>
      </c>
      <c r="C60" s="502" t="s">
        <v>904</v>
      </c>
      <c r="D60" s="502" t="s">
        <v>93</v>
      </c>
      <c r="E60" s="507"/>
      <c r="F60" s="508"/>
    </row>
    <row r="61" spans="2:6" x14ac:dyDescent="0.35">
      <c r="B61" s="766" t="s">
        <v>117</v>
      </c>
      <c r="C61" s="769" t="s">
        <v>905</v>
      </c>
      <c r="D61" s="502" t="s">
        <v>101</v>
      </c>
      <c r="E61" s="497">
        <v>610</v>
      </c>
      <c r="F61" s="498">
        <v>40</v>
      </c>
    </row>
    <row r="62" spans="2:6" x14ac:dyDescent="0.35">
      <c r="B62" s="767"/>
      <c r="C62" s="770"/>
      <c r="D62" s="502" t="s">
        <v>906</v>
      </c>
      <c r="E62" s="507"/>
      <c r="F62" s="508"/>
    </row>
    <row r="63" spans="2:6" x14ac:dyDescent="0.35">
      <c r="B63" s="768"/>
      <c r="C63" s="771"/>
      <c r="D63" s="502" t="s">
        <v>44</v>
      </c>
      <c r="E63" s="507"/>
      <c r="F63" s="508"/>
    </row>
    <row r="64" spans="2:6" x14ac:dyDescent="0.35">
      <c r="B64" s="500" t="s">
        <v>117</v>
      </c>
      <c r="C64" s="502" t="s">
        <v>810</v>
      </c>
      <c r="D64" s="502" t="s">
        <v>93</v>
      </c>
      <c r="E64" s="507"/>
      <c r="F64" s="508"/>
    </row>
    <row r="65" spans="2:6" x14ac:dyDescent="0.35">
      <c r="B65" s="500" t="s">
        <v>117</v>
      </c>
      <c r="C65" s="502" t="s">
        <v>907</v>
      </c>
      <c r="D65" s="502" t="s">
        <v>93</v>
      </c>
      <c r="E65" s="507"/>
      <c r="F65" s="508"/>
    </row>
    <row r="66" spans="2:6" x14ac:dyDescent="0.35">
      <c r="B66" s="500" t="s">
        <v>117</v>
      </c>
      <c r="C66" s="502" t="s">
        <v>908</v>
      </c>
      <c r="D66" s="502" t="s">
        <v>44</v>
      </c>
      <c r="E66" s="497">
        <v>24063</v>
      </c>
      <c r="F66" s="498">
        <v>350</v>
      </c>
    </row>
    <row r="67" spans="2:6" x14ac:dyDescent="0.35">
      <c r="B67" s="500" t="s">
        <v>117</v>
      </c>
      <c r="C67" s="502" t="s">
        <v>811</v>
      </c>
      <c r="D67" s="502" t="s">
        <v>101</v>
      </c>
      <c r="E67" s="497">
        <v>3</v>
      </c>
      <c r="F67" s="498">
        <v>40</v>
      </c>
    </row>
    <row r="68" spans="2:6" x14ac:dyDescent="0.35">
      <c r="B68" s="500" t="s">
        <v>117</v>
      </c>
      <c r="C68" s="502" t="s">
        <v>811</v>
      </c>
      <c r="D68" s="502" t="s">
        <v>47</v>
      </c>
      <c r="E68" s="497">
        <v>100</v>
      </c>
      <c r="F68" s="498">
        <v>20</v>
      </c>
    </row>
    <row r="69" spans="2:6" x14ac:dyDescent="0.35">
      <c r="B69" s="500" t="s">
        <v>117</v>
      </c>
      <c r="C69" s="502" t="s">
        <v>809</v>
      </c>
      <c r="D69" s="502" t="s">
        <v>99</v>
      </c>
      <c r="E69" s="497">
        <v>1</v>
      </c>
      <c r="F69" s="498">
        <v>366</v>
      </c>
    </row>
    <row r="70" spans="2:6" x14ac:dyDescent="0.35">
      <c r="B70" s="500" t="s">
        <v>909</v>
      </c>
      <c r="C70" s="502" t="s">
        <v>812</v>
      </c>
      <c r="D70" s="502" t="s">
        <v>101</v>
      </c>
      <c r="E70" s="497">
        <v>6155</v>
      </c>
      <c r="F70" s="498">
        <v>25</v>
      </c>
    </row>
    <row r="71" spans="2:6" ht="15" thickBot="1" x14ac:dyDescent="0.4">
      <c r="B71" s="509" t="s">
        <v>909</v>
      </c>
      <c r="C71" s="510" t="s">
        <v>809</v>
      </c>
      <c r="D71" s="510" t="s">
        <v>93</v>
      </c>
      <c r="E71" s="511"/>
      <c r="F71" s="512"/>
    </row>
  </sheetData>
  <mergeCells count="20">
    <mergeCell ref="F45:F46"/>
    <mergeCell ref="B48:B56"/>
    <mergeCell ref="C48:C56"/>
    <mergeCell ref="B4:B9"/>
    <mergeCell ref="C4:C9"/>
    <mergeCell ref="B61:B63"/>
    <mergeCell ref="C61:C63"/>
    <mergeCell ref="B21:B23"/>
    <mergeCell ref="C21:C23"/>
    <mergeCell ref="B24:B27"/>
    <mergeCell ref="C24:C27"/>
    <mergeCell ref="B33:B37"/>
    <mergeCell ref="C33:C37"/>
    <mergeCell ref="B38:B43"/>
    <mergeCell ref="C38:C43"/>
    <mergeCell ref="B2:B3"/>
    <mergeCell ref="C2:C3"/>
    <mergeCell ref="D2:D3"/>
    <mergeCell ref="E2:E3"/>
    <mergeCell ref="F2:F3"/>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Q68"/>
  <sheetViews>
    <sheetView zoomScale="75" zoomScaleNormal="75" workbookViewId="0">
      <pane xSplit="3" ySplit="10" topLeftCell="D11" activePane="bottomRight" state="frozen"/>
      <selection pane="topRight" activeCell="F126" sqref="F126"/>
      <selection pane="bottomLeft" activeCell="F126" sqref="F126"/>
      <selection pane="bottomRight" activeCell="F126" sqref="F126"/>
    </sheetView>
  </sheetViews>
  <sheetFormatPr defaultColWidth="10.81640625" defaultRowHeight="13" x14ac:dyDescent="0.35"/>
  <cols>
    <col min="1" max="1" width="29.453125" style="249" customWidth="1"/>
    <col min="2" max="2" width="17.453125" style="249" customWidth="1"/>
    <col min="3" max="3" width="15.81640625" style="249" customWidth="1"/>
    <col min="4" max="5" width="14.81640625" style="249" bestFit="1" customWidth="1"/>
    <col min="6" max="6" width="10.81640625" style="249" bestFit="1" customWidth="1"/>
    <col min="7" max="7" width="10.81640625" style="259" bestFit="1" customWidth="1"/>
    <col min="8" max="8" width="10.81640625" style="249" bestFit="1" customWidth="1"/>
    <col min="9" max="15" width="10.81640625" style="249"/>
    <col min="16" max="16" width="29.453125" style="249" customWidth="1"/>
    <col min="17" max="16384" width="10.81640625" style="249"/>
  </cols>
  <sheetData>
    <row r="3" spans="1:17" x14ac:dyDescent="0.35">
      <c r="C3" s="250"/>
      <c r="D3" s="251">
        <v>45658</v>
      </c>
      <c r="E3" s="251">
        <v>45689</v>
      </c>
      <c r="F3" s="251">
        <v>45717</v>
      </c>
      <c r="G3" s="252">
        <v>45748</v>
      </c>
      <c r="H3" s="251">
        <v>45778</v>
      </c>
      <c r="I3" s="251">
        <v>45809</v>
      </c>
      <c r="J3" s="251">
        <v>45839</v>
      </c>
      <c r="K3" s="251">
        <v>45870</v>
      </c>
      <c r="L3" s="251">
        <v>45901</v>
      </c>
      <c r="M3" s="251">
        <v>45931</v>
      </c>
      <c r="N3" s="251">
        <v>45962</v>
      </c>
      <c r="O3" s="251">
        <v>45992</v>
      </c>
    </row>
    <row r="4" spans="1:17" x14ac:dyDescent="0.35">
      <c r="C4" s="250" t="s">
        <v>910</v>
      </c>
      <c r="D4" s="250"/>
      <c r="E4" s="250"/>
      <c r="F4" s="253">
        <v>51380</v>
      </c>
      <c r="G4" s="254">
        <v>128320</v>
      </c>
      <c r="H4" s="253">
        <v>177400</v>
      </c>
      <c r="I4" s="253">
        <v>216580</v>
      </c>
      <c r="J4" s="253">
        <v>303300</v>
      </c>
      <c r="K4" s="253">
        <v>400000</v>
      </c>
      <c r="L4" s="253">
        <v>427900</v>
      </c>
      <c r="M4" s="253">
        <v>492700</v>
      </c>
      <c r="N4" s="253">
        <v>579500</v>
      </c>
      <c r="O4" s="253">
        <v>620600</v>
      </c>
      <c r="P4" s="255"/>
      <c r="Q4" s="255"/>
    </row>
    <row r="7" spans="1:17" x14ac:dyDescent="0.35">
      <c r="D7" s="249">
        <f>SUM(D11:D50)</f>
        <v>4468.75</v>
      </c>
      <c r="E7" s="249">
        <f t="shared" ref="E7:O7" si="0">SUM(E11:E50)</f>
        <v>12200</v>
      </c>
      <c r="F7" s="249">
        <f t="shared" si="0"/>
        <v>14986</v>
      </c>
      <c r="G7" s="249">
        <f t="shared" si="0"/>
        <v>8142</v>
      </c>
      <c r="H7" s="249">
        <f t="shared" si="0"/>
        <v>13142</v>
      </c>
      <c r="I7" s="249">
        <f t="shared" si="0"/>
        <v>11042</v>
      </c>
      <c r="J7" s="249">
        <f t="shared" si="0"/>
        <v>13142</v>
      </c>
      <c r="K7" s="249">
        <f t="shared" si="0"/>
        <v>8142</v>
      </c>
      <c r="L7" s="249">
        <f t="shared" si="0"/>
        <v>13267</v>
      </c>
      <c r="M7" s="249">
        <f t="shared" si="0"/>
        <v>8142</v>
      </c>
      <c r="N7" s="249">
        <f t="shared" si="0"/>
        <v>8142</v>
      </c>
      <c r="O7" s="249">
        <f t="shared" si="0"/>
        <v>8267</v>
      </c>
      <c r="P7" s="249">
        <f>SUM(D7:O7)</f>
        <v>123082.75</v>
      </c>
    </row>
    <row r="8" spans="1:17" x14ac:dyDescent="0.35">
      <c r="A8" s="783" t="s">
        <v>911</v>
      </c>
      <c r="B8" s="783"/>
      <c r="C8" s="783"/>
      <c r="D8" s="783"/>
      <c r="E8" s="783"/>
      <c r="F8" s="783"/>
      <c r="G8" s="783"/>
      <c r="H8" s="783"/>
      <c r="I8" s="783"/>
      <c r="J8" s="783"/>
      <c r="K8" s="783"/>
      <c r="L8" s="783"/>
      <c r="M8" s="783"/>
      <c r="N8" s="783"/>
      <c r="O8" s="783"/>
    </row>
    <row r="10" spans="1:17" s="256" customFormat="1" x14ac:dyDescent="0.35">
      <c r="A10" s="256" t="s">
        <v>576</v>
      </c>
      <c r="C10" s="256" t="s">
        <v>912</v>
      </c>
      <c r="D10" s="257">
        <v>45658</v>
      </c>
      <c r="E10" s="257">
        <v>45689</v>
      </c>
      <c r="F10" s="257">
        <v>45717</v>
      </c>
      <c r="G10" s="258">
        <v>45748</v>
      </c>
      <c r="H10" s="257">
        <v>45778</v>
      </c>
      <c r="I10" s="257">
        <v>45809</v>
      </c>
      <c r="J10" s="257">
        <v>45839</v>
      </c>
      <c r="K10" s="257">
        <v>45870</v>
      </c>
      <c r="L10" s="257">
        <v>45901</v>
      </c>
      <c r="M10" s="257">
        <v>45931</v>
      </c>
      <c r="N10" s="257">
        <v>45962</v>
      </c>
      <c r="O10" s="257">
        <v>45992</v>
      </c>
      <c r="P10" s="256" t="s">
        <v>763</v>
      </c>
      <c r="Q10" s="256" t="s">
        <v>576</v>
      </c>
    </row>
    <row r="11" spans="1:17" x14ac:dyDescent="0.35">
      <c r="A11" s="266" t="s">
        <v>913</v>
      </c>
      <c r="B11" s="249" t="s">
        <v>914</v>
      </c>
      <c r="C11" s="249" t="s">
        <v>347</v>
      </c>
      <c r="D11" s="249">
        <f>22000/80</f>
        <v>275</v>
      </c>
      <c r="E11" s="249">
        <f t="shared" ref="E11:O11" si="1">22000/80</f>
        <v>275</v>
      </c>
      <c r="F11" s="249">
        <f t="shared" si="1"/>
        <v>275</v>
      </c>
      <c r="G11" s="249">
        <f t="shared" si="1"/>
        <v>275</v>
      </c>
      <c r="H11" s="249">
        <f t="shared" si="1"/>
        <v>275</v>
      </c>
      <c r="I11" s="249">
        <f t="shared" si="1"/>
        <v>275</v>
      </c>
      <c r="J11" s="249">
        <f t="shared" si="1"/>
        <v>275</v>
      </c>
      <c r="K11" s="249">
        <f t="shared" si="1"/>
        <v>275</v>
      </c>
      <c r="L11" s="249">
        <f t="shared" si="1"/>
        <v>275</v>
      </c>
      <c r="M11" s="249">
        <f t="shared" si="1"/>
        <v>275</v>
      </c>
      <c r="N11" s="249">
        <f t="shared" si="1"/>
        <v>275</v>
      </c>
      <c r="O11" s="249">
        <f t="shared" si="1"/>
        <v>275</v>
      </c>
      <c r="Q11" s="249" t="s">
        <v>409</v>
      </c>
    </row>
    <row r="12" spans="1:17" x14ac:dyDescent="0.35">
      <c r="A12" s="266" t="s">
        <v>913</v>
      </c>
      <c r="B12" s="249" t="s">
        <v>914</v>
      </c>
      <c r="C12" s="249" t="s">
        <v>347</v>
      </c>
      <c r="G12" s="249"/>
      <c r="P12" s="259" t="s">
        <v>915</v>
      </c>
      <c r="Q12" s="249" t="s">
        <v>409</v>
      </c>
    </row>
    <row r="13" spans="1:17" x14ac:dyDescent="0.35">
      <c r="A13" s="266" t="s">
        <v>916</v>
      </c>
      <c r="C13" s="249" t="s">
        <v>917</v>
      </c>
      <c r="E13" s="255">
        <v>2500</v>
      </c>
      <c r="F13" s="255">
        <v>2500</v>
      </c>
      <c r="G13" s="255">
        <v>2500</v>
      </c>
      <c r="H13" s="255">
        <v>2500</v>
      </c>
      <c r="I13" s="255">
        <v>2500</v>
      </c>
      <c r="J13" s="255">
        <v>2500</v>
      </c>
      <c r="K13" s="255">
        <v>2500</v>
      </c>
      <c r="L13" s="255">
        <v>2500</v>
      </c>
      <c r="M13" s="255">
        <v>2500</v>
      </c>
      <c r="N13" s="255">
        <v>2500</v>
      </c>
      <c r="O13" s="255">
        <v>2500</v>
      </c>
      <c r="P13" s="259" t="s">
        <v>918</v>
      </c>
      <c r="Q13" s="249" t="s">
        <v>409</v>
      </c>
    </row>
    <row r="14" spans="1:17" x14ac:dyDescent="0.35">
      <c r="A14" s="266" t="s">
        <v>740</v>
      </c>
      <c r="C14" s="249" t="s">
        <v>919</v>
      </c>
      <c r="E14" s="260"/>
      <c r="F14" s="255"/>
      <c r="I14" s="255"/>
      <c r="J14" s="255"/>
      <c r="K14" s="255"/>
      <c r="L14" s="255"/>
      <c r="M14" s="255"/>
      <c r="N14" s="255"/>
      <c r="O14" s="255"/>
      <c r="P14" s="259" t="s">
        <v>920</v>
      </c>
      <c r="Q14" s="249" t="s">
        <v>405</v>
      </c>
    </row>
    <row r="15" spans="1:17" ht="52" x14ac:dyDescent="0.35">
      <c r="A15" s="266" t="s">
        <v>741</v>
      </c>
      <c r="C15" s="249" t="s">
        <v>824</v>
      </c>
      <c r="E15" s="255">
        <f>150000*1/80</f>
        <v>1875</v>
      </c>
      <c r="F15" s="255"/>
      <c r="G15" s="261"/>
      <c r="H15" s="255"/>
      <c r="I15" s="255">
        <f>150000*1/80</f>
        <v>1875</v>
      </c>
      <c r="P15" s="259" t="s">
        <v>921</v>
      </c>
      <c r="Q15" s="249" t="s">
        <v>409</v>
      </c>
    </row>
    <row r="16" spans="1:17" x14ac:dyDescent="0.35">
      <c r="A16" s="266" t="s">
        <v>474</v>
      </c>
      <c r="C16" s="249" t="s">
        <v>824</v>
      </c>
      <c r="E16" s="260"/>
      <c r="F16" s="255">
        <v>5000</v>
      </c>
      <c r="H16" s="255">
        <v>5000</v>
      </c>
      <c r="I16" s="255"/>
      <c r="J16" s="255">
        <v>5000</v>
      </c>
      <c r="K16" s="255"/>
      <c r="L16" s="255">
        <v>5000</v>
      </c>
      <c r="P16" s="259" t="s">
        <v>922</v>
      </c>
      <c r="Q16" s="249" t="s">
        <v>405</v>
      </c>
    </row>
    <row r="17" spans="1:17" x14ac:dyDescent="0.35">
      <c r="E17" s="260"/>
      <c r="F17" s="255"/>
      <c r="P17" s="259"/>
    </row>
    <row r="18" spans="1:17" x14ac:dyDescent="0.35">
      <c r="E18" s="260"/>
      <c r="F18" s="255"/>
      <c r="P18" s="259"/>
    </row>
    <row r="19" spans="1:17" x14ac:dyDescent="0.35">
      <c r="A19" s="266" t="s">
        <v>713</v>
      </c>
      <c r="B19" s="249" t="s">
        <v>914</v>
      </c>
      <c r="C19" s="249" t="s">
        <v>824</v>
      </c>
      <c r="E19" s="255">
        <v>1000</v>
      </c>
      <c r="F19" s="255">
        <v>1000</v>
      </c>
      <c r="G19" s="255">
        <v>1000</v>
      </c>
      <c r="H19" s="255">
        <v>1000</v>
      </c>
      <c r="I19" s="255">
        <v>1000</v>
      </c>
      <c r="J19" s="255">
        <v>1000</v>
      </c>
      <c r="K19" s="255">
        <v>1000</v>
      </c>
      <c r="L19" s="255">
        <v>1000</v>
      </c>
      <c r="M19" s="255">
        <v>1000</v>
      </c>
      <c r="N19" s="255">
        <v>1000</v>
      </c>
      <c r="O19" s="255">
        <v>1000</v>
      </c>
      <c r="P19" s="259" t="s">
        <v>923</v>
      </c>
      <c r="Q19" s="249" t="s">
        <v>405</v>
      </c>
    </row>
    <row r="20" spans="1:17" x14ac:dyDescent="0.35">
      <c r="E20" s="260"/>
      <c r="F20" s="255"/>
      <c r="P20" s="259"/>
    </row>
    <row r="21" spans="1:17" x14ac:dyDescent="0.35">
      <c r="A21" s="249" t="s">
        <v>924</v>
      </c>
      <c r="C21" s="249" t="s">
        <v>925</v>
      </c>
      <c r="E21" s="255"/>
      <c r="F21" s="255">
        <f t="shared" ref="F21:O21" si="2">20000/80</f>
        <v>250</v>
      </c>
      <c r="G21" s="255">
        <f t="shared" si="2"/>
        <v>250</v>
      </c>
      <c r="H21" s="255">
        <f t="shared" si="2"/>
        <v>250</v>
      </c>
      <c r="I21" s="255">
        <f t="shared" si="2"/>
        <v>250</v>
      </c>
      <c r="J21" s="255">
        <f t="shared" si="2"/>
        <v>250</v>
      </c>
      <c r="K21" s="255">
        <f t="shared" si="2"/>
        <v>250</v>
      </c>
      <c r="L21" s="255">
        <f t="shared" si="2"/>
        <v>250</v>
      </c>
      <c r="M21" s="255">
        <f t="shared" si="2"/>
        <v>250</v>
      </c>
      <c r="N21" s="255">
        <f t="shared" si="2"/>
        <v>250</v>
      </c>
      <c r="O21" s="255">
        <f t="shared" si="2"/>
        <v>250</v>
      </c>
      <c r="P21" s="259"/>
      <c r="Q21" s="249" t="s">
        <v>409</v>
      </c>
    </row>
    <row r="22" spans="1:17" x14ac:dyDescent="0.35">
      <c r="A22" s="249" t="s">
        <v>926</v>
      </c>
      <c r="C22" s="249" t="s">
        <v>925</v>
      </c>
      <c r="D22" s="255"/>
      <c r="E22" s="255"/>
      <c r="F22" s="255">
        <v>67</v>
      </c>
      <c r="G22" s="255">
        <v>67</v>
      </c>
      <c r="H22" s="255">
        <v>67</v>
      </c>
      <c r="I22" s="255">
        <v>67</v>
      </c>
      <c r="J22" s="255">
        <v>67</v>
      </c>
      <c r="K22" s="255">
        <v>67</v>
      </c>
      <c r="L22" s="255">
        <v>67</v>
      </c>
      <c r="M22" s="255">
        <v>67</v>
      </c>
      <c r="N22" s="255">
        <v>67</v>
      </c>
      <c r="O22" s="255">
        <v>67</v>
      </c>
      <c r="P22" s="259"/>
      <c r="Q22" s="249" t="s">
        <v>409</v>
      </c>
    </row>
    <row r="23" spans="1:17" x14ac:dyDescent="0.35">
      <c r="D23" s="255"/>
      <c r="E23" s="255"/>
      <c r="F23" s="255"/>
      <c r="G23" s="261"/>
      <c r="H23" s="255"/>
      <c r="I23" s="255"/>
      <c r="J23" s="255"/>
      <c r="K23" s="255"/>
      <c r="L23" s="255"/>
      <c r="M23" s="255"/>
      <c r="N23" s="255"/>
      <c r="O23" s="255"/>
      <c r="P23" s="259"/>
    </row>
    <row r="24" spans="1:17" x14ac:dyDescent="0.35">
      <c r="D24" s="255"/>
      <c r="E24" s="255"/>
      <c r="F24" s="255"/>
      <c r="G24" s="261"/>
      <c r="H24" s="255"/>
      <c r="I24" s="255"/>
      <c r="J24" s="255"/>
      <c r="K24" s="255"/>
      <c r="L24" s="255"/>
      <c r="M24" s="255"/>
      <c r="N24" s="255"/>
      <c r="O24" s="255"/>
      <c r="P24" s="259"/>
    </row>
    <row r="25" spans="1:17" ht="39" x14ac:dyDescent="0.35">
      <c r="A25" s="249" t="s">
        <v>736</v>
      </c>
      <c r="C25" s="249" t="s">
        <v>927</v>
      </c>
      <c r="D25" s="255"/>
      <c r="E25" s="255"/>
      <c r="F25" s="255">
        <f t="shared" ref="F25:O25" si="3">50000*6/80</f>
        <v>3750</v>
      </c>
      <c r="G25" s="255">
        <f t="shared" si="3"/>
        <v>3750</v>
      </c>
      <c r="H25" s="255">
        <f t="shared" si="3"/>
        <v>3750</v>
      </c>
      <c r="I25" s="255">
        <f t="shared" si="3"/>
        <v>3750</v>
      </c>
      <c r="J25" s="255">
        <f t="shared" si="3"/>
        <v>3750</v>
      </c>
      <c r="K25" s="255">
        <f t="shared" si="3"/>
        <v>3750</v>
      </c>
      <c r="L25" s="255">
        <f t="shared" si="3"/>
        <v>3750</v>
      </c>
      <c r="M25" s="255">
        <f t="shared" si="3"/>
        <v>3750</v>
      </c>
      <c r="N25" s="255">
        <f t="shared" si="3"/>
        <v>3750</v>
      </c>
      <c r="O25" s="255">
        <f t="shared" si="3"/>
        <v>3750</v>
      </c>
      <c r="P25" s="259" t="s">
        <v>928</v>
      </c>
      <c r="Q25" s="249" t="s">
        <v>409</v>
      </c>
    </row>
    <row r="26" spans="1:17" x14ac:dyDescent="0.35">
      <c r="A26" s="249" t="s">
        <v>709</v>
      </c>
      <c r="B26" s="249" t="s">
        <v>914</v>
      </c>
      <c r="C26" s="249" t="s">
        <v>927</v>
      </c>
      <c r="D26" s="255">
        <v>1900</v>
      </c>
      <c r="E26" s="255">
        <v>300</v>
      </c>
      <c r="F26" s="255">
        <v>300</v>
      </c>
      <c r="G26" s="255">
        <v>300</v>
      </c>
      <c r="H26" s="255">
        <v>300</v>
      </c>
      <c r="I26" s="255">
        <v>300</v>
      </c>
      <c r="J26" s="255">
        <v>300</v>
      </c>
      <c r="K26" s="255">
        <v>300</v>
      </c>
      <c r="L26" s="255">
        <v>300</v>
      </c>
      <c r="M26" s="255">
        <v>300</v>
      </c>
      <c r="N26" s="255">
        <v>300</v>
      </c>
      <c r="O26" s="255">
        <v>300</v>
      </c>
      <c r="Q26" s="249" t="s">
        <v>409</v>
      </c>
    </row>
    <row r="27" spans="1:17" x14ac:dyDescent="0.35">
      <c r="A27" s="249" t="s">
        <v>722</v>
      </c>
      <c r="C27" s="249" t="s">
        <v>929</v>
      </c>
      <c r="D27" s="255"/>
      <c r="E27" s="255"/>
      <c r="F27" s="255"/>
      <c r="G27" s="261"/>
      <c r="H27" s="255"/>
      <c r="I27" s="255"/>
      <c r="J27" s="255"/>
      <c r="K27" s="255"/>
      <c r="L27" s="255"/>
      <c r="M27" s="255"/>
      <c r="N27" s="255"/>
      <c r="O27" s="255"/>
      <c r="Q27" s="249" t="s">
        <v>409</v>
      </c>
    </row>
    <row r="28" spans="1:17" x14ac:dyDescent="0.35">
      <c r="D28" s="255"/>
      <c r="E28" s="255"/>
      <c r="F28" s="255"/>
      <c r="G28" s="261"/>
      <c r="H28" s="255"/>
      <c r="I28" s="255"/>
      <c r="J28" s="255"/>
      <c r="K28" s="255"/>
      <c r="L28" s="255"/>
      <c r="M28" s="255"/>
      <c r="N28" s="255"/>
      <c r="O28" s="255"/>
    </row>
    <row r="29" spans="1:17" x14ac:dyDescent="0.35">
      <c r="A29" s="249" t="s">
        <v>930</v>
      </c>
      <c r="C29" s="249" t="s">
        <v>931</v>
      </c>
      <c r="D29" s="255"/>
      <c r="E29" s="255"/>
      <c r="F29" s="255"/>
      <c r="G29" s="255"/>
      <c r="H29" s="255"/>
      <c r="I29" s="255"/>
      <c r="J29" s="255"/>
      <c r="K29" s="255"/>
      <c r="L29" s="255"/>
      <c r="M29" s="255"/>
      <c r="N29" s="255"/>
      <c r="O29" s="255"/>
      <c r="P29" s="249" t="s">
        <v>932</v>
      </c>
      <c r="Q29" s="249" t="s">
        <v>409</v>
      </c>
    </row>
    <row r="30" spans="1:17" x14ac:dyDescent="0.35">
      <c r="D30" s="255"/>
      <c r="E30" s="255"/>
      <c r="F30" s="255"/>
      <c r="G30" s="261"/>
      <c r="H30" s="255"/>
      <c r="I30" s="255"/>
      <c r="J30" s="255"/>
      <c r="K30" s="255"/>
      <c r="L30" s="255"/>
      <c r="M30" s="255"/>
      <c r="N30" s="255"/>
      <c r="O30" s="255"/>
    </row>
    <row r="31" spans="1:17" x14ac:dyDescent="0.35">
      <c r="A31" s="249" t="s">
        <v>933</v>
      </c>
      <c r="C31" s="249" t="s">
        <v>931</v>
      </c>
      <c r="D31" s="255"/>
      <c r="E31" s="255"/>
      <c r="F31" s="255"/>
      <c r="G31" s="255"/>
      <c r="H31" s="255"/>
      <c r="I31" s="255"/>
      <c r="J31" s="255"/>
      <c r="K31" s="255"/>
      <c r="L31" s="255"/>
      <c r="M31" s="255"/>
      <c r="N31" s="255"/>
      <c r="O31" s="255"/>
      <c r="P31" s="249" t="s">
        <v>934</v>
      </c>
      <c r="Q31" s="249" t="s">
        <v>409</v>
      </c>
    </row>
    <row r="32" spans="1:17" x14ac:dyDescent="0.35">
      <c r="D32" s="255"/>
      <c r="E32" s="255"/>
      <c r="F32" s="255"/>
      <c r="G32" s="261"/>
      <c r="H32" s="255"/>
      <c r="I32" s="255"/>
      <c r="J32" s="255"/>
      <c r="K32" s="255"/>
      <c r="L32" s="255"/>
      <c r="M32" s="255"/>
      <c r="N32" s="255"/>
      <c r="O32" s="255"/>
    </row>
    <row r="33" spans="1:17" x14ac:dyDescent="0.35">
      <c r="A33" s="249" t="s">
        <v>686</v>
      </c>
      <c r="B33" s="249" t="s">
        <v>914</v>
      </c>
      <c r="C33" s="249" t="s">
        <v>935</v>
      </c>
      <c r="D33" s="255">
        <f>275000/80/2</f>
        <v>1718.75</v>
      </c>
      <c r="E33" s="255"/>
      <c r="F33" s="255">
        <v>1719</v>
      </c>
      <c r="G33" s="261"/>
      <c r="H33" s="255"/>
      <c r="I33" s="255"/>
      <c r="J33" s="255"/>
      <c r="K33" s="255"/>
      <c r="L33" s="255"/>
      <c r="M33" s="255"/>
      <c r="N33" s="255"/>
      <c r="O33" s="255"/>
      <c r="P33" s="249" t="s">
        <v>936</v>
      </c>
      <c r="Q33" s="249" t="s">
        <v>405</v>
      </c>
    </row>
    <row r="34" spans="1:17" x14ac:dyDescent="0.35">
      <c r="D34" s="255"/>
      <c r="E34" s="255"/>
      <c r="F34" s="255"/>
      <c r="G34" s="261"/>
      <c r="H34" s="255"/>
      <c r="I34" s="255"/>
      <c r="J34" s="255"/>
      <c r="K34" s="255"/>
      <c r="L34" s="255"/>
      <c r="M34" s="255"/>
      <c r="N34" s="255"/>
      <c r="O34" s="255"/>
    </row>
    <row r="35" spans="1:17" x14ac:dyDescent="0.35">
      <c r="A35" s="249" t="s">
        <v>687</v>
      </c>
      <c r="B35" s="249" t="s">
        <v>914</v>
      </c>
      <c r="C35" s="249" t="s">
        <v>935</v>
      </c>
      <c r="D35" s="255">
        <f>46000/80</f>
        <v>575</v>
      </c>
      <c r="E35" s="255"/>
      <c r="F35" s="255"/>
      <c r="G35" s="261"/>
      <c r="H35" s="255"/>
      <c r="I35" s="255"/>
      <c r="J35" s="255"/>
      <c r="K35" s="255"/>
      <c r="L35" s="255"/>
      <c r="M35" s="255"/>
      <c r="N35" s="255"/>
      <c r="O35" s="255"/>
      <c r="P35" s="262" t="s">
        <v>937</v>
      </c>
      <c r="Q35" s="249" t="s">
        <v>405</v>
      </c>
    </row>
    <row r="36" spans="1:17" x14ac:dyDescent="0.35">
      <c r="D36" s="255"/>
      <c r="E36" s="255"/>
      <c r="F36" s="255"/>
      <c r="G36" s="261"/>
      <c r="H36" s="255"/>
      <c r="I36" s="255"/>
      <c r="J36" s="255"/>
      <c r="K36" s="255"/>
      <c r="L36" s="255"/>
      <c r="M36" s="255"/>
      <c r="N36" s="255"/>
      <c r="O36" s="255"/>
      <c r="P36" s="262"/>
    </row>
    <row r="37" spans="1:17" x14ac:dyDescent="0.35">
      <c r="A37" s="249" t="s">
        <v>688</v>
      </c>
      <c r="B37" s="249" t="s">
        <v>914</v>
      </c>
      <c r="C37" s="249" t="s">
        <v>935</v>
      </c>
      <c r="D37" s="255"/>
      <c r="E37" s="255"/>
      <c r="F37" s="255"/>
      <c r="G37" s="261"/>
      <c r="H37" s="255"/>
      <c r="I37" s="255">
        <f>36000/80</f>
        <v>450</v>
      </c>
      <c r="J37" s="255"/>
      <c r="K37" s="255"/>
      <c r="L37" s="255"/>
      <c r="M37" s="255"/>
      <c r="N37" s="255"/>
      <c r="O37" s="255"/>
      <c r="P37" s="262" t="s">
        <v>937</v>
      </c>
      <c r="Q37" s="249" t="s">
        <v>409</v>
      </c>
    </row>
    <row r="38" spans="1:17" x14ac:dyDescent="0.35">
      <c r="D38" s="255"/>
      <c r="E38" s="255"/>
      <c r="F38" s="255"/>
      <c r="G38" s="261"/>
      <c r="H38" s="255"/>
      <c r="I38" s="255"/>
      <c r="J38" s="255"/>
      <c r="K38" s="255"/>
      <c r="L38" s="255"/>
      <c r="M38" s="255"/>
      <c r="N38" s="255"/>
      <c r="O38" s="255"/>
      <c r="P38" s="262"/>
    </row>
    <row r="39" spans="1:17" x14ac:dyDescent="0.35">
      <c r="A39" s="249" t="s">
        <v>689</v>
      </c>
      <c r="B39" s="249" t="s">
        <v>914</v>
      </c>
      <c r="C39" s="249" t="s">
        <v>935</v>
      </c>
      <c r="D39" s="255"/>
      <c r="E39" s="255"/>
      <c r="F39" s="255"/>
      <c r="G39" s="261"/>
      <c r="H39" s="255"/>
      <c r="I39" s="255">
        <f>36000/80</f>
        <v>450</v>
      </c>
      <c r="J39" s="255"/>
      <c r="K39" s="255"/>
      <c r="L39" s="255"/>
      <c r="M39" s="255"/>
      <c r="N39" s="255"/>
      <c r="O39" s="255"/>
      <c r="P39" s="262" t="s">
        <v>937</v>
      </c>
      <c r="Q39" s="249" t="s">
        <v>409</v>
      </c>
    </row>
    <row r="40" spans="1:17" x14ac:dyDescent="0.35">
      <c r="D40" s="255"/>
      <c r="E40" s="255"/>
      <c r="F40" s="255"/>
      <c r="G40" s="261"/>
      <c r="H40" s="255"/>
      <c r="I40" s="255"/>
      <c r="J40" s="255"/>
      <c r="K40" s="255"/>
      <c r="L40" s="255"/>
      <c r="M40" s="255"/>
      <c r="N40" s="255"/>
      <c r="O40" s="255"/>
    </row>
    <row r="41" spans="1:17" x14ac:dyDescent="0.35">
      <c r="A41" s="249" t="s">
        <v>938</v>
      </c>
      <c r="C41" s="249" t="s">
        <v>927</v>
      </c>
      <c r="D41" s="255"/>
      <c r="E41" s="255"/>
      <c r="F41" s="255">
        <f>10000/80</f>
        <v>125</v>
      </c>
      <c r="G41" s="261"/>
      <c r="H41" s="255"/>
      <c r="I41" s="255">
        <f>10000/80</f>
        <v>125</v>
      </c>
      <c r="J41" s="255"/>
      <c r="K41" s="255"/>
      <c r="L41" s="255">
        <f>10000/80</f>
        <v>125</v>
      </c>
      <c r="M41" s="255"/>
      <c r="N41" s="255"/>
      <c r="O41" s="255">
        <f>10000/80</f>
        <v>125</v>
      </c>
      <c r="P41" s="262" t="s">
        <v>939</v>
      </c>
      <c r="Q41" s="249" t="s">
        <v>409</v>
      </c>
    </row>
    <row r="42" spans="1:17" x14ac:dyDescent="0.35">
      <c r="D42" s="255"/>
      <c r="E42" s="255"/>
      <c r="F42" s="255"/>
      <c r="G42" s="261"/>
      <c r="H42" s="255"/>
      <c r="I42" s="255"/>
      <c r="J42" s="255"/>
      <c r="K42" s="255"/>
      <c r="L42" s="255"/>
      <c r="M42" s="255"/>
      <c r="N42" s="255"/>
      <c r="O42" s="255"/>
    </row>
    <row r="43" spans="1:17" x14ac:dyDescent="0.35">
      <c r="A43" s="249" t="s">
        <v>940</v>
      </c>
      <c r="C43" s="249" t="s">
        <v>941</v>
      </c>
      <c r="D43" s="255"/>
      <c r="E43" s="255">
        <f>500000/80</f>
        <v>6250</v>
      </c>
      <c r="F43" s="255"/>
      <c r="G43" s="261"/>
      <c r="H43" s="255"/>
      <c r="I43" s="255"/>
      <c r="J43" s="255"/>
      <c r="K43" s="255"/>
      <c r="L43" s="255"/>
      <c r="M43" s="255"/>
      <c r="N43" s="255"/>
      <c r="O43" s="255"/>
      <c r="P43" s="262" t="s">
        <v>942</v>
      </c>
      <c r="Q43" s="249" t="s">
        <v>409</v>
      </c>
    </row>
    <row r="44" spans="1:17" x14ac:dyDescent="0.35">
      <c r="D44" s="255"/>
      <c r="E44" s="255"/>
      <c r="F44" s="255"/>
      <c r="G44" s="261"/>
      <c r="H44" s="255"/>
      <c r="I44" s="255"/>
      <c r="J44" s="255"/>
      <c r="K44" s="255"/>
      <c r="L44" s="255"/>
      <c r="M44" s="255"/>
      <c r="N44" s="255"/>
      <c r="O44" s="255"/>
    </row>
    <row r="45" spans="1:17" x14ac:dyDescent="0.35">
      <c r="A45" s="256" t="s">
        <v>943</v>
      </c>
      <c r="B45" s="256"/>
      <c r="D45" s="255"/>
      <c r="E45" s="255"/>
      <c r="F45" s="255"/>
      <c r="G45" s="261"/>
      <c r="H45" s="255"/>
      <c r="I45" s="255"/>
      <c r="J45" s="255"/>
      <c r="K45" s="255"/>
      <c r="L45" s="255"/>
      <c r="M45" s="255"/>
      <c r="N45" s="255"/>
      <c r="O45" s="255"/>
    </row>
    <row r="46" spans="1:17" x14ac:dyDescent="0.35">
      <c r="A46" s="262" t="s">
        <v>944</v>
      </c>
      <c r="B46" s="262"/>
      <c r="D46" s="255"/>
      <c r="E46" s="255"/>
      <c r="F46" s="255"/>
      <c r="G46" s="261"/>
      <c r="H46" s="255"/>
      <c r="I46" s="255"/>
      <c r="J46" s="255"/>
      <c r="K46" s="255"/>
      <c r="L46" s="255"/>
      <c r="M46" s="255"/>
      <c r="N46" s="255"/>
      <c r="O46" s="255"/>
    </row>
    <row r="47" spans="1:17" x14ac:dyDescent="0.35">
      <c r="A47" s="262" t="s">
        <v>945</v>
      </c>
      <c r="B47" s="262"/>
      <c r="D47" s="255"/>
      <c r="E47" s="255"/>
      <c r="F47" s="255"/>
      <c r="G47" s="261"/>
      <c r="H47" s="255"/>
      <c r="I47" s="255"/>
      <c r="J47" s="255"/>
      <c r="K47" s="255"/>
      <c r="L47" s="255"/>
      <c r="M47" s="255"/>
      <c r="N47" s="255"/>
      <c r="O47" s="255"/>
    </row>
    <row r="48" spans="1:17" x14ac:dyDescent="0.35">
      <c r="A48" s="262" t="s">
        <v>946</v>
      </c>
      <c r="B48" s="262"/>
      <c r="D48" s="255"/>
      <c r="E48" s="255"/>
      <c r="F48" s="255"/>
      <c r="G48" s="261"/>
      <c r="H48" s="255"/>
      <c r="I48" s="255"/>
      <c r="J48" s="255"/>
      <c r="K48" s="255"/>
      <c r="L48" s="255"/>
      <c r="M48" s="255"/>
      <c r="N48" s="255"/>
      <c r="O48" s="255"/>
    </row>
    <row r="49" spans="1:16" x14ac:dyDescent="0.35">
      <c r="A49" s="262" t="s">
        <v>947</v>
      </c>
      <c r="B49" s="262"/>
      <c r="D49" s="255"/>
      <c r="E49" s="255"/>
      <c r="F49" s="255"/>
      <c r="G49" s="261"/>
      <c r="H49" s="255"/>
      <c r="I49" s="255"/>
      <c r="J49" s="255"/>
      <c r="K49" s="255"/>
      <c r="L49" s="255"/>
      <c r="M49" s="255"/>
      <c r="N49" s="255"/>
      <c r="O49" s="255"/>
    </row>
    <row r="50" spans="1:16" x14ac:dyDescent="0.35">
      <c r="D50" s="255"/>
      <c r="E50" s="255"/>
      <c r="F50" s="255"/>
      <c r="G50" s="261"/>
      <c r="H50" s="255"/>
      <c r="I50" s="255"/>
      <c r="J50" s="255"/>
      <c r="K50" s="255"/>
      <c r="L50" s="255"/>
      <c r="M50" s="255"/>
      <c r="N50" s="255"/>
      <c r="O50" s="255"/>
    </row>
    <row r="51" spans="1:16" x14ac:dyDescent="0.35">
      <c r="A51" s="262" t="s">
        <v>948</v>
      </c>
      <c r="B51" s="262"/>
      <c r="D51" s="255"/>
      <c r="E51" s="263">
        <v>0.1</v>
      </c>
      <c r="F51" s="263">
        <v>0.15</v>
      </c>
      <c r="G51" s="264">
        <v>0.2</v>
      </c>
      <c r="H51" s="263">
        <v>0.25</v>
      </c>
      <c r="I51" s="263">
        <v>0.3</v>
      </c>
      <c r="J51" s="263">
        <v>0.35</v>
      </c>
      <c r="K51" s="263">
        <v>0.4</v>
      </c>
      <c r="L51" s="263">
        <v>0.4</v>
      </c>
      <c r="M51" s="263">
        <v>0.4</v>
      </c>
      <c r="N51" s="263">
        <v>0.4</v>
      </c>
      <c r="O51" s="263">
        <v>0.4</v>
      </c>
    </row>
    <row r="52" spans="1:16" x14ac:dyDescent="0.35">
      <c r="D52" s="255"/>
      <c r="E52" s="255"/>
      <c r="F52" s="255"/>
      <c r="G52" s="261"/>
      <c r="H52" s="255"/>
      <c r="I52" s="255"/>
      <c r="J52" s="255"/>
      <c r="K52" s="255"/>
      <c r="L52" s="255"/>
      <c r="M52" s="255"/>
      <c r="N52" s="255"/>
      <c r="O52" s="255"/>
    </row>
    <row r="53" spans="1:16" x14ac:dyDescent="0.35">
      <c r="D53" s="255"/>
      <c r="E53" s="255"/>
      <c r="F53" s="255"/>
      <c r="G53" s="255"/>
      <c r="H53" s="255"/>
      <c r="I53" s="255"/>
      <c r="J53" s="255"/>
      <c r="K53" s="255"/>
      <c r="L53" s="255"/>
      <c r="M53" s="255"/>
      <c r="N53" s="255"/>
      <c r="O53" s="255"/>
      <c r="P53" s="255"/>
    </row>
    <row r="54" spans="1:16" x14ac:dyDescent="0.35">
      <c r="D54" s="255"/>
      <c r="E54" s="255"/>
      <c r="F54" s="255"/>
      <c r="G54" s="255"/>
      <c r="H54" s="255"/>
      <c r="I54" s="255"/>
      <c r="J54" s="255"/>
      <c r="K54" s="255"/>
      <c r="L54" s="255"/>
      <c r="M54" s="255"/>
      <c r="N54" s="255"/>
      <c r="O54" s="255"/>
    </row>
    <row r="55" spans="1:16" x14ac:dyDescent="0.35">
      <c r="D55" s="255"/>
      <c r="E55" s="255"/>
      <c r="F55" s="255"/>
      <c r="G55" s="255"/>
      <c r="H55" s="255"/>
      <c r="I55" s="255"/>
      <c r="J55" s="255"/>
      <c r="K55" s="255"/>
      <c r="L55" s="255"/>
      <c r="M55" s="255"/>
      <c r="N55" s="255"/>
      <c r="O55" s="255"/>
    </row>
    <row r="56" spans="1:16" x14ac:dyDescent="0.35">
      <c r="D56" s="255"/>
      <c r="E56" s="255"/>
      <c r="F56" s="255"/>
      <c r="G56" s="255"/>
      <c r="H56" s="255"/>
      <c r="I56" s="255"/>
      <c r="J56" s="255"/>
      <c r="K56" s="255"/>
      <c r="L56" s="255"/>
      <c r="M56" s="255"/>
      <c r="N56" s="255"/>
      <c r="O56" s="255"/>
    </row>
    <row r="57" spans="1:16" x14ac:dyDescent="0.35">
      <c r="D57" s="255"/>
      <c r="E57" s="255"/>
      <c r="F57" s="255"/>
      <c r="G57" s="255"/>
      <c r="H57" s="255"/>
      <c r="I57" s="255"/>
      <c r="J57" s="255"/>
      <c r="K57" s="255"/>
      <c r="L57" s="255"/>
      <c r="M57" s="255"/>
      <c r="N57" s="255"/>
      <c r="O57" s="255"/>
    </row>
    <row r="58" spans="1:16" x14ac:dyDescent="0.35">
      <c r="D58" s="255"/>
      <c r="E58" s="255"/>
      <c r="F58" s="255"/>
      <c r="G58" s="255"/>
      <c r="H58" s="255"/>
      <c r="I58" s="255"/>
      <c r="J58" s="255"/>
      <c r="K58" s="255"/>
      <c r="L58" s="255"/>
      <c r="M58" s="255"/>
      <c r="N58" s="255"/>
      <c r="O58" s="255"/>
    </row>
    <row r="59" spans="1:16" x14ac:dyDescent="0.35">
      <c r="B59" s="266"/>
      <c r="C59" s="266"/>
      <c r="D59" s="267"/>
      <c r="E59" s="267"/>
      <c r="F59" s="267"/>
      <c r="G59" s="267"/>
      <c r="H59" s="267"/>
      <c r="I59" s="267"/>
      <c r="J59" s="267"/>
      <c r="K59" s="267"/>
      <c r="L59" s="267"/>
      <c r="M59" s="267"/>
      <c r="N59" s="267"/>
      <c r="O59" s="267"/>
    </row>
    <row r="60" spans="1:16" x14ac:dyDescent="0.35">
      <c r="B60" s="266"/>
      <c r="C60" s="266"/>
      <c r="D60" s="267"/>
      <c r="E60" s="267"/>
      <c r="F60" s="267"/>
      <c r="G60" s="267"/>
      <c r="H60" s="267"/>
      <c r="I60" s="267"/>
      <c r="J60" s="267"/>
      <c r="K60" s="267"/>
      <c r="L60" s="267"/>
      <c r="M60" s="267"/>
      <c r="N60" s="267"/>
      <c r="O60" s="267"/>
    </row>
    <row r="61" spans="1:16" x14ac:dyDescent="0.35">
      <c r="B61" s="266"/>
      <c r="C61" s="266"/>
      <c r="D61" s="267"/>
      <c r="E61" s="267"/>
      <c r="F61" s="267"/>
      <c r="G61" s="267"/>
      <c r="H61" s="267"/>
      <c r="I61" s="267"/>
      <c r="J61" s="267"/>
      <c r="K61" s="267"/>
      <c r="L61" s="267"/>
      <c r="M61" s="267"/>
      <c r="N61" s="267"/>
      <c r="O61" s="267"/>
    </row>
    <row r="62" spans="1:16" x14ac:dyDescent="0.35">
      <c r="B62" s="266"/>
      <c r="C62" s="266"/>
      <c r="D62" s="267"/>
      <c r="E62" s="267"/>
      <c r="F62" s="267"/>
      <c r="G62" s="267"/>
      <c r="H62" s="267"/>
      <c r="I62" s="267"/>
      <c r="J62" s="267"/>
      <c r="K62" s="267"/>
      <c r="L62" s="267"/>
      <c r="M62" s="267"/>
      <c r="N62" s="267"/>
      <c r="O62" s="267"/>
    </row>
    <row r="63" spans="1:16" x14ac:dyDescent="0.35">
      <c r="D63" s="255"/>
      <c r="E63" s="255"/>
      <c r="F63" s="255"/>
      <c r="G63" s="255"/>
      <c r="H63" s="255"/>
      <c r="I63" s="255"/>
      <c r="J63" s="255"/>
      <c r="K63" s="255"/>
      <c r="L63" s="255"/>
      <c r="M63" s="255"/>
      <c r="N63" s="255"/>
      <c r="O63" s="255"/>
    </row>
    <row r="64" spans="1:16" x14ac:dyDescent="0.35">
      <c r="D64" s="255"/>
      <c r="E64" s="255"/>
      <c r="F64" s="255"/>
      <c r="G64" s="255"/>
      <c r="H64" s="255"/>
      <c r="I64" s="255"/>
      <c r="J64" s="255"/>
      <c r="K64" s="255"/>
      <c r="L64" s="255"/>
      <c r="M64" s="255"/>
      <c r="N64" s="255"/>
      <c r="O64" s="255"/>
    </row>
    <row r="65" spans="4:15" x14ac:dyDescent="0.35">
      <c r="D65" s="255"/>
      <c r="E65" s="255"/>
      <c r="F65" s="255"/>
      <c r="G65" s="261"/>
      <c r="H65" s="255"/>
      <c r="I65" s="255"/>
      <c r="J65" s="255"/>
      <c r="K65" s="255"/>
      <c r="L65" s="255"/>
      <c r="M65" s="255"/>
      <c r="N65" s="255"/>
      <c r="O65" s="255"/>
    </row>
    <row r="66" spans="4:15" x14ac:dyDescent="0.35">
      <c r="D66" s="255"/>
      <c r="E66" s="255"/>
      <c r="F66" s="255"/>
      <c r="G66" s="261"/>
      <c r="H66" s="255"/>
      <c r="I66" s="255"/>
      <c r="J66" s="255"/>
      <c r="K66" s="255"/>
      <c r="L66" s="255"/>
      <c r="M66" s="255"/>
      <c r="N66" s="255"/>
      <c r="O66" s="255"/>
    </row>
    <row r="67" spans="4:15" x14ac:dyDescent="0.35">
      <c r="D67" s="255"/>
      <c r="E67" s="255"/>
      <c r="F67" s="255"/>
      <c r="G67" s="261"/>
      <c r="H67" s="255"/>
      <c r="I67" s="255"/>
      <c r="J67" s="255"/>
      <c r="K67" s="255"/>
      <c r="L67" s="255"/>
      <c r="M67" s="255"/>
      <c r="N67" s="255"/>
      <c r="O67" s="255"/>
    </row>
    <row r="68" spans="4:15" x14ac:dyDescent="0.35">
      <c r="D68" s="255"/>
      <c r="E68" s="255"/>
      <c r="F68" s="255"/>
      <c r="G68" s="261"/>
      <c r="H68" s="255"/>
      <c r="I68" s="255"/>
      <c r="J68" s="255"/>
      <c r="K68" s="255"/>
      <c r="L68" s="255"/>
      <c r="M68" s="255"/>
      <c r="N68" s="255"/>
      <c r="O68" s="255"/>
    </row>
  </sheetData>
  <autoFilter ref="A10:Q43" xr:uid="{00000000-0009-0000-0000-000008000000}"/>
  <mergeCells count="1">
    <mergeCell ref="A8:O8"/>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50"/>
  <sheetViews>
    <sheetView showGridLines="0" workbookViewId="0">
      <selection activeCell="F126" sqref="F126"/>
    </sheetView>
  </sheetViews>
  <sheetFormatPr defaultColWidth="14.54296875" defaultRowHeight="14.5" x14ac:dyDescent="0.35"/>
  <sheetData>
    <row r="1" spans="12:16" x14ac:dyDescent="0.35">
      <c r="L1" s="793" t="s">
        <v>949</v>
      </c>
      <c r="M1" s="793"/>
      <c r="N1" s="793"/>
      <c r="O1" s="793"/>
      <c r="P1" s="793"/>
    </row>
    <row r="2" spans="12:16" x14ac:dyDescent="0.35">
      <c r="L2" s="78" t="s">
        <v>950</v>
      </c>
      <c r="M2" s="78" t="s">
        <v>951</v>
      </c>
      <c r="N2" s="78" t="s">
        <v>952</v>
      </c>
      <c r="O2" s="78" t="s">
        <v>953</v>
      </c>
      <c r="P2" s="78" t="s">
        <v>954</v>
      </c>
    </row>
    <row r="3" spans="12:16" x14ac:dyDescent="0.35">
      <c r="L3" s="81">
        <v>1</v>
      </c>
      <c r="M3" s="81"/>
      <c r="N3" s="81" t="s">
        <v>955</v>
      </c>
      <c r="O3" s="223">
        <f>1040*84</f>
        <v>87360</v>
      </c>
      <c r="P3" s="223">
        <f>O3*12</f>
        <v>1048320</v>
      </c>
    </row>
    <row r="4" spans="12:16" x14ac:dyDescent="0.35">
      <c r="L4" s="81">
        <v>2</v>
      </c>
      <c r="M4" s="81"/>
      <c r="N4" s="81" t="s">
        <v>956</v>
      </c>
      <c r="O4" s="223">
        <f>800*84</f>
        <v>67200</v>
      </c>
      <c r="P4" s="223">
        <f>O4*12</f>
        <v>806400</v>
      </c>
    </row>
    <row r="5" spans="12:16" x14ac:dyDescent="0.35">
      <c r="L5" s="81">
        <v>3</v>
      </c>
      <c r="M5" s="81"/>
      <c r="N5" s="81"/>
      <c r="O5" s="223"/>
      <c r="P5" s="223"/>
    </row>
    <row r="6" spans="12:16" x14ac:dyDescent="0.35">
      <c r="L6" s="81">
        <v>4</v>
      </c>
      <c r="M6" s="81"/>
      <c r="N6" s="81"/>
      <c r="O6" s="223"/>
      <c r="P6" s="223"/>
    </row>
    <row r="7" spans="12:16" ht="15" customHeight="1" x14ac:dyDescent="0.35">
      <c r="L7" s="81">
        <v>5</v>
      </c>
      <c r="M7" s="81"/>
      <c r="N7" s="81"/>
      <c r="O7" s="223"/>
      <c r="P7" s="223"/>
    </row>
    <row r="8" spans="12:16" ht="15" customHeight="1" x14ac:dyDescent="0.35">
      <c r="L8" s="81">
        <v>6</v>
      </c>
      <c r="M8" s="81"/>
      <c r="N8" s="81"/>
      <c r="O8" s="223"/>
      <c r="P8" s="223"/>
    </row>
    <row r="9" spans="12:16" x14ac:dyDescent="0.35">
      <c r="L9" s="81">
        <v>7</v>
      </c>
      <c r="M9" s="81"/>
      <c r="N9" s="81"/>
      <c r="O9" s="223"/>
      <c r="P9" s="223"/>
    </row>
    <row r="10" spans="12:16" x14ac:dyDescent="0.35">
      <c r="L10" s="81">
        <v>8</v>
      </c>
      <c r="M10" s="81"/>
      <c r="N10" s="81"/>
      <c r="O10" s="223"/>
      <c r="P10" s="223"/>
    </row>
    <row r="11" spans="12:16" x14ac:dyDescent="0.35">
      <c r="L11" s="81">
        <v>9</v>
      </c>
      <c r="M11" s="81"/>
      <c r="N11" s="81"/>
      <c r="O11" s="223"/>
      <c r="P11" s="223"/>
    </row>
    <row r="12" spans="12:16" x14ac:dyDescent="0.35">
      <c r="L12" s="792" t="s">
        <v>174</v>
      </c>
      <c r="M12" s="792"/>
      <c r="N12" s="792"/>
      <c r="O12" s="223">
        <f>SUM(O3:O11)</f>
        <v>154560</v>
      </c>
      <c r="P12" s="223">
        <f>SUM(P3:P11)</f>
        <v>1854720</v>
      </c>
    </row>
    <row r="13" spans="12:16" x14ac:dyDescent="0.35">
      <c r="L13" s="792"/>
      <c r="M13" s="792"/>
      <c r="N13" s="792"/>
      <c r="O13" s="221">
        <f>O12/83</f>
        <v>1862.1686746987953</v>
      </c>
      <c r="P13" s="221">
        <f>P12/83</f>
        <v>22346.024096385543</v>
      </c>
    </row>
    <row r="14" spans="12:16" x14ac:dyDescent="0.35">
      <c r="O14" s="442"/>
    </row>
    <row r="19" spans="3:13" x14ac:dyDescent="0.35">
      <c r="C19" t="s">
        <v>957</v>
      </c>
    </row>
    <row r="21" spans="3:13" x14ac:dyDescent="0.35">
      <c r="C21" s="443"/>
      <c r="D21" s="443"/>
      <c r="E21" s="443"/>
      <c r="F21" s="443"/>
      <c r="G21" s="443"/>
      <c r="H21" s="443"/>
    </row>
    <row r="22" spans="3:13" ht="16" customHeight="1" x14ac:dyDescent="0.35">
      <c r="C22" s="443"/>
      <c r="D22" s="784" t="s">
        <v>958</v>
      </c>
      <c r="E22" s="785"/>
      <c r="F22" s="786"/>
      <c r="G22" s="443"/>
      <c r="H22" s="443"/>
    </row>
    <row r="23" spans="3:13" ht="15.5" x14ac:dyDescent="0.35">
      <c r="C23" s="443"/>
      <c r="D23" s="444" t="s">
        <v>951</v>
      </c>
      <c r="E23" s="445" t="s">
        <v>953</v>
      </c>
      <c r="F23" s="445" t="s">
        <v>954</v>
      </c>
      <c r="G23" s="443"/>
      <c r="H23" s="443"/>
    </row>
    <row r="24" spans="3:13" ht="29" x14ac:dyDescent="0.35">
      <c r="C24" s="443"/>
      <c r="D24" s="446" t="s">
        <v>959</v>
      </c>
      <c r="E24" s="447">
        <v>778.46</v>
      </c>
      <c r="F24" s="447">
        <v>4204.55</v>
      </c>
      <c r="G24" s="443" t="s">
        <v>960</v>
      </c>
      <c r="H24" s="443"/>
    </row>
    <row r="25" spans="3:13" ht="29" x14ac:dyDescent="0.35">
      <c r="C25" s="443"/>
      <c r="D25" s="446" t="s">
        <v>961</v>
      </c>
      <c r="E25" s="447">
        <v>369.06</v>
      </c>
      <c r="F25" s="447">
        <v>4059.66</v>
      </c>
      <c r="G25" s="443" t="s">
        <v>962</v>
      </c>
      <c r="H25" s="443"/>
    </row>
    <row r="26" spans="3:13" ht="43.5" x14ac:dyDescent="0.35">
      <c r="C26" s="443"/>
      <c r="D26" s="446" t="s">
        <v>963</v>
      </c>
      <c r="E26" s="447">
        <v>1470.59</v>
      </c>
      <c r="F26" s="447">
        <v>17647.060000000001</v>
      </c>
      <c r="G26" s="443" t="s">
        <v>964</v>
      </c>
      <c r="H26" s="443"/>
    </row>
    <row r="27" spans="3:13" ht="93" x14ac:dyDescent="0.35">
      <c r="C27" s="443"/>
      <c r="D27" s="448" t="s">
        <v>965</v>
      </c>
      <c r="E27" s="447">
        <v>625</v>
      </c>
      <c r="F27" s="447">
        <v>5625</v>
      </c>
      <c r="G27" s="530" t="s">
        <v>966</v>
      </c>
      <c r="H27" s="530"/>
      <c r="I27" s="232"/>
    </row>
    <row r="28" spans="3:13" ht="31" x14ac:dyDescent="0.35">
      <c r="C28" s="443"/>
      <c r="D28" s="448" t="s">
        <v>967</v>
      </c>
      <c r="E28" s="447">
        <v>237.5</v>
      </c>
      <c r="F28" s="449">
        <v>2850</v>
      </c>
      <c r="G28" s="443" t="s">
        <v>968</v>
      </c>
      <c r="H28" s="443"/>
    </row>
    <row r="29" spans="3:13" ht="15.5" x14ac:dyDescent="0.35">
      <c r="C29" s="443"/>
      <c r="D29" s="450" t="s">
        <v>174</v>
      </c>
      <c r="E29" s="451">
        <v>3480.61</v>
      </c>
      <c r="F29" s="451">
        <v>34386.269999999997</v>
      </c>
      <c r="G29" s="530" t="s">
        <v>969</v>
      </c>
      <c r="H29" s="530"/>
      <c r="I29" s="232"/>
      <c r="J29" s="232"/>
      <c r="K29" s="232"/>
      <c r="L29" s="232"/>
      <c r="M29" s="232"/>
    </row>
    <row r="30" spans="3:13" x14ac:dyDescent="0.35">
      <c r="C30" s="443"/>
      <c r="D30" s="443"/>
      <c r="E30" s="443"/>
      <c r="F30" s="443"/>
      <c r="G30" s="443"/>
      <c r="H30" s="443"/>
    </row>
    <row r="31" spans="3:13" x14ac:dyDescent="0.35">
      <c r="C31" s="443"/>
      <c r="D31" s="443"/>
      <c r="E31" s="443"/>
      <c r="F31" s="443"/>
      <c r="G31" s="443"/>
      <c r="H31" s="443"/>
    </row>
    <row r="32" spans="3:13" ht="16" customHeight="1" x14ac:dyDescent="0.35">
      <c r="C32" s="787" t="s">
        <v>970</v>
      </c>
      <c r="D32" s="788"/>
      <c r="E32" s="788"/>
      <c r="F32" s="789"/>
      <c r="G32" s="443" t="s">
        <v>971</v>
      </c>
      <c r="H32" s="443"/>
    </row>
    <row r="33" spans="1:48" ht="31" x14ac:dyDescent="0.35">
      <c r="C33" s="452" t="s">
        <v>950</v>
      </c>
      <c r="D33" s="453" t="s">
        <v>972</v>
      </c>
      <c r="E33" s="453" t="s">
        <v>973</v>
      </c>
      <c r="F33" s="453" t="s">
        <v>974</v>
      </c>
      <c r="G33" s="443"/>
      <c r="H33" s="443"/>
    </row>
    <row r="34" spans="1:48" ht="46.5" x14ac:dyDescent="0.35">
      <c r="C34" s="448">
        <v>1</v>
      </c>
      <c r="D34" s="454" t="s">
        <v>975</v>
      </c>
      <c r="E34" s="455">
        <v>184.53</v>
      </c>
      <c r="F34" s="455">
        <v>2214.35</v>
      </c>
      <c r="G34" s="443"/>
      <c r="H34" s="443"/>
    </row>
    <row r="35" spans="1:48" ht="62" x14ac:dyDescent="0.35">
      <c r="C35" s="448">
        <v>2</v>
      </c>
      <c r="D35" s="454" t="s">
        <v>976</v>
      </c>
      <c r="E35" s="455">
        <v>184.53</v>
      </c>
      <c r="F35" s="455">
        <v>2214.35</v>
      </c>
      <c r="G35" s="443"/>
      <c r="H35" s="443"/>
    </row>
    <row r="36" spans="1:48" ht="62" x14ac:dyDescent="0.35">
      <c r="C36" s="448">
        <v>3</v>
      </c>
      <c r="D36" s="454" t="s">
        <v>976</v>
      </c>
      <c r="E36" s="455">
        <v>184.53</v>
      </c>
      <c r="F36" s="455">
        <v>2214.35</v>
      </c>
      <c r="G36" s="443"/>
      <c r="H36" s="443"/>
    </row>
    <row r="37" spans="1:48" ht="16" customHeight="1" x14ac:dyDescent="0.35">
      <c r="C37" s="790" t="s">
        <v>174</v>
      </c>
      <c r="D37" s="791"/>
      <c r="E37" s="456">
        <v>553.59</v>
      </c>
      <c r="F37" s="456">
        <v>6643.06</v>
      </c>
      <c r="G37" s="530" t="s">
        <v>977</v>
      </c>
      <c r="H37" s="530"/>
      <c r="I37" s="232"/>
      <c r="J37" s="232"/>
    </row>
    <row r="38" spans="1:48" x14ac:dyDescent="0.35">
      <c r="C38" s="443"/>
      <c r="D38" s="443"/>
      <c r="E38" s="443"/>
      <c r="F38" s="443"/>
      <c r="G38" s="443"/>
      <c r="H38" s="443"/>
    </row>
    <row r="39" spans="1:48" x14ac:dyDescent="0.35">
      <c r="C39" s="443"/>
      <c r="D39" s="443"/>
      <c r="E39" s="443"/>
      <c r="F39" s="443"/>
      <c r="G39" s="443"/>
      <c r="H39" s="443"/>
    </row>
    <row r="40" spans="1:48" x14ac:dyDescent="0.35">
      <c r="C40" s="443"/>
      <c r="D40" s="443"/>
      <c r="E40" s="443"/>
      <c r="F40" s="443"/>
      <c r="G40" s="443"/>
      <c r="H40" s="443"/>
    </row>
    <row r="41" spans="1:48" ht="15.5" x14ac:dyDescent="0.35">
      <c r="A41" s="457" t="s">
        <v>978</v>
      </c>
      <c r="B41" s="457" t="s">
        <v>979</v>
      </c>
      <c r="C41" s="457" t="s">
        <v>980</v>
      </c>
      <c r="D41" s="457" t="s">
        <v>981</v>
      </c>
      <c r="E41" s="458" t="s">
        <v>982</v>
      </c>
      <c r="F41" s="457" t="s">
        <v>983</v>
      </c>
      <c r="G41" s="457" t="s">
        <v>819</v>
      </c>
      <c r="H41" s="457" t="s">
        <v>984</v>
      </c>
      <c r="I41" s="457" t="s">
        <v>985</v>
      </c>
      <c r="J41" s="457" t="s">
        <v>986</v>
      </c>
      <c r="K41" s="457" t="s">
        <v>2</v>
      </c>
      <c r="L41" s="457" t="s">
        <v>987</v>
      </c>
      <c r="M41" s="457" t="s">
        <v>988</v>
      </c>
      <c r="N41" s="457" t="s">
        <v>989</v>
      </c>
      <c r="O41" s="457" t="s">
        <v>990</v>
      </c>
      <c r="P41" s="457" t="s">
        <v>991</v>
      </c>
      <c r="Q41" s="457" t="s">
        <v>992</v>
      </c>
      <c r="R41" s="457" t="s">
        <v>993</v>
      </c>
      <c r="S41" s="457" t="s">
        <v>994</v>
      </c>
      <c r="T41" s="457" t="s">
        <v>995</v>
      </c>
      <c r="U41" s="457" t="s">
        <v>996</v>
      </c>
      <c r="V41" s="457" t="s">
        <v>586</v>
      </c>
      <c r="W41" s="457" t="s">
        <v>997</v>
      </c>
      <c r="X41" s="457" t="s">
        <v>585</v>
      </c>
      <c r="Y41" s="457" t="s">
        <v>592</v>
      </c>
      <c r="Z41" s="457" t="s">
        <v>591</v>
      </c>
      <c r="AA41" s="457" t="s">
        <v>998</v>
      </c>
      <c r="AB41" s="457" t="s">
        <v>999</v>
      </c>
      <c r="AC41" s="457" t="s">
        <v>1000</v>
      </c>
      <c r="AD41" s="457" t="s">
        <v>1001</v>
      </c>
      <c r="AE41" s="457" t="s">
        <v>1002</v>
      </c>
      <c r="AF41" s="457" t="s">
        <v>1003</v>
      </c>
      <c r="AG41" s="457" t="s">
        <v>1004</v>
      </c>
      <c r="AH41" s="459" t="s">
        <v>1005</v>
      </c>
      <c r="AI41" s="459" t="s">
        <v>1006</v>
      </c>
      <c r="AJ41" s="457" t="s">
        <v>1007</v>
      </c>
      <c r="AK41" s="457" t="s">
        <v>1008</v>
      </c>
      <c r="AL41" s="457" t="s">
        <v>590</v>
      </c>
      <c r="AM41" s="457" t="s">
        <v>1009</v>
      </c>
      <c r="AN41" s="457" t="s">
        <v>1010</v>
      </c>
      <c r="AO41" s="457" t="s">
        <v>1011</v>
      </c>
      <c r="AP41" s="457" t="s">
        <v>1012</v>
      </c>
      <c r="AQ41" s="457" t="s">
        <v>1013</v>
      </c>
      <c r="AR41" s="457" t="s">
        <v>1014</v>
      </c>
      <c r="AS41" s="457" t="s">
        <v>1015</v>
      </c>
      <c r="AT41" s="457" t="s">
        <v>1016</v>
      </c>
      <c r="AU41" s="460" t="s">
        <v>1014</v>
      </c>
      <c r="AV41" s="460" t="s">
        <v>1016</v>
      </c>
    </row>
    <row r="42" spans="1:48" x14ac:dyDescent="0.35">
      <c r="A42" s="461" t="s">
        <v>1017</v>
      </c>
      <c r="B42" s="462">
        <v>66</v>
      </c>
      <c r="C42" s="463">
        <v>44200</v>
      </c>
      <c r="D42" s="463" t="s">
        <v>1018</v>
      </c>
      <c r="E42" s="463" t="b">
        <v>1</v>
      </c>
      <c r="F42" s="463" t="b">
        <v>0</v>
      </c>
      <c r="G42" s="463" t="s">
        <v>826</v>
      </c>
      <c r="H42" s="464" t="s">
        <v>1019</v>
      </c>
      <c r="I42" s="462">
        <v>101435563320</v>
      </c>
      <c r="J42" s="462"/>
      <c r="K42" s="465">
        <v>21</v>
      </c>
      <c r="L42" s="465">
        <v>3.5</v>
      </c>
      <c r="M42" s="466">
        <v>17.5</v>
      </c>
      <c r="N42" s="467">
        <v>44755.200000000004</v>
      </c>
      <c r="O42" s="467">
        <v>22377.600000000002</v>
      </c>
      <c r="P42" s="467">
        <v>11188.800000000001</v>
      </c>
      <c r="Q42" s="467">
        <v>1000</v>
      </c>
      <c r="R42" s="467">
        <v>2000</v>
      </c>
      <c r="S42" s="467">
        <v>3600</v>
      </c>
      <c r="T42" s="467">
        <v>8188.8000000000029</v>
      </c>
      <c r="U42" s="467">
        <v>48355.200000000004</v>
      </c>
      <c r="V42" s="467">
        <v>1800</v>
      </c>
      <c r="W42" s="467">
        <v>1250</v>
      </c>
      <c r="X42" s="467">
        <v>550</v>
      </c>
      <c r="Y42" s="467">
        <v>0</v>
      </c>
      <c r="Z42" s="467">
        <v>0</v>
      </c>
      <c r="AA42" s="467">
        <v>44755.200000000004</v>
      </c>
      <c r="AB42" s="467">
        <v>1000</v>
      </c>
      <c r="AC42" s="467"/>
      <c r="AD42" s="467">
        <v>0</v>
      </c>
      <c r="AE42" s="467">
        <v>6000</v>
      </c>
      <c r="AF42" s="467">
        <v>0</v>
      </c>
      <c r="AG42" s="467"/>
      <c r="AH42" s="467">
        <v>0</v>
      </c>
      <c r="AI42" s="467">
        <v>0</v>
      </c>
      <c r="AJ42" s="467">
        <v>0</v>
      </c>
      <c r="AK42" s="467">
        <v>0</v>
      </c>
      <c r="AL42" s="467">
        <v>200</v>
      </c>
      <c r="AM42" s="467">
        <v>0</v>
      </c>
      <c r="AN42" s="467">
        <v>50755.200000000004</v>
      </c>
      <c r="AO42" s="467">
        <v>200</v>
      </c>
      <c r="AP42" s="467">
        <v>50555.200000000004</v>
      </c>
      <c r="AQ42" s="467">
        <v>50555</v>
      </c>
      <c r="AR42" s="467">
        <v>15000</v>
      </c>
      <c r="AS42" s="467">
        <v>15000</v>
      </c>
      <c r="AT42" s="467">
        <v>0</v>
      </c>
      <c r="AU42" s="468">
        <v>15000</v>
      </c>
      <c r="AV42">
        <v>0</v>
      </c>
    </row>
    <row r="43" spans="1:48" x14ac:dyDescent="0.35">
      <c r="A43" s="461" t="s">
        <v>1020</v>
      </c>
      <c r="B43" s="462">
        <v>86</v>
      </c>
      <c r="C43" s="463">
        <v>44245</v>
      </c>
      <c r="D43" s="463" t="s">
        <v>1018</v>
      </c>
      <c r="E43" s="463" t="b">
        <v>1</v>
      </c>
      <c r="F43" s="463" t="b">
        <v>1</v>
      </c>
      <c r="G43" s="469" t="s">
        <v>824</v>
      </c>
      <c r="H43" s="464" t="s">
        <v>1021</v>
      </c>
      <c r="I43" s="462">
        <v>101827373600</v>
      </c>
      <c r="J43" s="462">
        <v>5133158677</v>
      </c>
      <c r="K43" s="465">
        <v>21</v>
      </c>
      <c r="L43" s="465">
        <v>0.5</v>
      </c>
      <c r="M43" s="466">
        <v>20.5</v>
      </c>
      <c r="N43" s="467">
        <v>18230</v>
      </c>
      <c r="O43" s="467">
        <v>9115</v>
      </c>
      <c r="P43" s="467">
        <v>4557.5</v>
      </c>
      <c r="Q43" s="467">
        <v>1000</v>
      </c>
      <c r="R43" s="467">
        <v>2000</v>
      </c>
      <c r="S43" s="467">
        <v>2917</v>
      </c>
      <c r="T43" s="467">
        <v>1557.5</v>
      </c>
      <c r="U43" s="467">
        <v>21147</v>
      </c>
      <c r="V43" s="467">
        <v>1094</v>
      </c>
      <c r="W43" s="467">
        <v>759</v>
      </c>
      <c r="X43" s="467">
        <v>335</v>
      </c>
      <c r="Y43" s="467">
        <v>137</v>
      </c>
      <c r="Z43" s="467">
        <v>592</v>
      </c>
      <c r="AA43" s="467">
        <v>18230</v>
      </c>
      <c r="AB43" s="467">
        <v>750</v>
      </c>
      <c r="AC43" s="467"/>
      <c r="AD43" s="467">
        <v>0</v>
      </c>
      <c r="AE43" s="467">
        <v>0</v>
      </c>
      <c r="AF43" s="467">
        <v>0</v>
      </c>
      <c r="AG43" s="467"/>
      <c r="AH43" s="467">
        <v>0</v>
      </c>
      <c r="AI43" s="467">
        <v>0</v>
      </c>
      <c r="AJ43" s="467">
        <v>0</v>
      </c>
      <c r="AK43" s="467">
        <v>588.06451612903231</v>
      </c>
      <c r="AL43" s="467">
        <v>200</v>
      </c>
      <c r="AM43" s="467">
        <v>0</v>
      </c>
      <c r="AN43" s="467">
        <v>18818.064516129034</v>
      </c>
      <c r="AO43" s="467">
        <v>200</v>
      </c>
      <c r="AP43" s="467">
        <v>18618.064516129034</v>
      </c>
      <c r="AQ43" s="467">
        <v>18618</v>
      </c>
      <c r="AR43" s="467">
        <v>9115</v>
      </c>
      <c r="AS43" s="467">
        <v>9115</v>
      </c>
      <c r="AT43" s="467">
        <v>18230</v>
      </c>
      <c r="AU43" s="468">
        <v>9115</v>
      </c>
      <c r="AV43">
        <v>18230</v>
      </c>
    </row>
    <row r="44" spans="1:48" x14ac:dyDescent="0.35">
      <c r="A44" s="461" t="s">
        <v>1022</v>
      </c>
      <c r="B44" s="470">
        <v>429</v>
      </c>
      <c r="C44" s="471">
        <v>45202</v>
      </c>
      <c r="D44" s="471" t="s">
        <v>1018</v>
      </c>
      <c r="E44" s="472" t="b">
        <v>1</v>
      </c>
      <c r="F44" s="472" t="b">
        <v>1</v>
      </c>
      <c r="G44" s="472" t="s">
        <v>824</v>
      </c>
      <c r="H44" s="473" t="s">
        <v>1023</v>
      </c>
      <c r="I44" s="470">
        <v>101338883886</v>
      </c>
      <c r="J44" s="470">
        <v>5135860641</v>
      </c>
      <c r="K44" s="474">
        <v>21</v>
      </c>
      <c r="L44" s="474">
        <v>5</v>
      </c>
      <c r="M44" s="475">
        <v>16</v>
      </c>
      <c r="N44" s="476">
        <v>14000</v>
      </c>
      <c r="O44" s="476">
        <v>7000</v>
      </c>
      <c r="P44" s="476">
        <v>3500</v>
      </c>
      <c r="Q44" s="476">
        <v>1000</v>
      </c>
      <c r="R44" s="476">
        <v>2000</v>
      </c>
      <c r="S44" s="476">
        <v>2128</v>
      </c>
      <c r="T44" s="473">
        <v>500</v>
      </c>
      <c r="U44" s="473">
        <v>16128</v>
      </c>
      <c r="V44" s="473">
        <v>798</v>
      </c>
      <c r="W44" s="476">
        <v>554</v>
      </c>
      <c r="X44" s="476">
        <v>244</v>
      </c>
      <c r="Y44" s="476">
        <v>100</v>
      </c>
      <c r="Z44" s="476">
        <v>432</v>
      </c>
      <c r="AA44" s="476">
        <v>14000</v>
      </c>
      <c r="AB44" s="476">
        <v>750</v>
      </c>
      <c r="AC44" s="476"/>
      <c r="AD44" s="476">
        <v>0</v>
      </c>
      <c r="AE44" s="476">
        <v>0</v>
      </c>
      <c r="AF44" s="476">
        <v>0</v>
      </c>
      <c r="AG44" s="476"/>
      <c r="AH44" s="476">
        <v>1.5</v>
      </c>
      <c r="AI44" s="476">
        <v>700</v>
      </c>
      <c r="AJ44" s="476">
        <v>0</v>
      </c>
      <c r="AK44" s="476">
        <v>451.61290322580646</v>
      </c>
      <c r="AL44" s="476">
        <v>200</v>
      </c>
      <c r="AM44" s="476">
        <v>0</v>
      </c>
      <c r="AN44" s="476">
        <v>14451.612903225807</v>
      </c>
      <c r="AO44" s="476">
        <v>900</v>
      </c>
      <c r="AP44" s="476">
        <v>13551.612903225807</v>
      </c>
      <c r="AQ44" s="476">
        <v>13552</v>
      </c>
      <c r="AR44" s="476">
        <v>6650</v>
      </c>
      <c r="AS44" s="476">
        <v>6650</v>
      </c>
      <c r="AT44" s="476">
        <v>13300</v>
      </c>
      <c r="AU44" s="477">
        <v>6650</v>
      </c>
      <c r="AV44" s="41">
        <v>13300</v>
      </c>
    </row>
    <row r="45" spans="1:48" x14ac:dyDescent="0.35">
      <c r="A45" s="461" t="s">
        <v>1024</v>
      </c>
      <c r="B45" s="470">
        <v>456</v>
      </c>
      <c r="C45" s="471">
        <v>45371</v>
      </c>
      <c r="D45" s="471" t="s">
        <v>1018</v>
      </c>
      <c r="E45" s="472" t="b">
        <v>1</v>
      </c>
      <c r="F45" s="472" t="b">
        <v>1</v>
      </c>
      <c r="G45" s="472" t="s">
        <v>824</v>
      </c>
      <c r="H45" s="473" t="s">
        <v>1025</v>
      </c>
      <c r="I45" s="470">
        <v>102105814649</v>
      </c>
      <c r="J45" s="470">
        <v>5136386617</v>
      </c>
      <c r="K45" s="474">
        <v>21</v>
      </c>
      <c r="L45" s="474">
        <v>1.5</v>
      </c>
      <c r="M45" s="475">
        <v>19.5</v>
      </c>
      <c r="N45" s="476">
        <v>13500</v>
      </c>
      <c r="O45" s="476">
        <v>6750</v>
      </c>
      <c r="P45" s="476">
        <v>3375</v>
      </c>
      <c r="Q45" s="476">
        <v>1000</v>
      </c>
      <c r="R45" s="476">
        <v>2000</v>
      </c>
      <c r="S45" s="476">
        <v>2160</v>
      </c>
      <c r="T45" s="473">
        <v>375</v>
      </c>
      <c r="U45" s="473">
        <v>15660</v>
      </c>
      <c r="V45" s="473">
        <v>810</v>
      </c>
      <c r="W45" s="476">
        <v>562</v>
      </c>
      <c r="X45" s="476">
        <v>248</v>
      </c>
      <c r="Y45" s="476">
        <v>101</v>
      </c>
      <c r="Z45" s="476">
        <v>439</v>
      </c>
      <c r="AA45" s="476">
        <v>13500</v>
      </c>
      <c r="AB45" s="476">
        <v>750</v>
      </c>
      <c r="AC45" s="476"/>
      <c r="AD45" s="476">
        <v>0</v>
      </c>
      <c r="AE45" s="476">
        <v>0</v>
      </c>
      <c r="AF45" s="476">
        <v>0</v>
      </c>
      <c r="AG45" s="476"/>
      <c r="AH45" s="476">
        <v>0</v>
      </c>
      <c r="AI45" s="476">
        <v>0</v>
      </c>
      <c r="AJ45" s="476">
        <v>0</v>
      </c>
      <c r="AK45" s="476">
        <v>0</v>
      </c>
      <c r="AL45" s="476">
        <v>200</v>
      </c>
      <c r="AM45" s="476">
        <v>0</v>
      </c>
      <c r="AN45" s="476">
        <v>13500</v>
      </c>
      <c r="AO45" s="476">
        <v>200</v>
      </c>
      <c r="AP45" s="476">
        <v>13300</v>
      </c>
      <c r="AQ45" s="476">
        <v>13300</v>
      </c>
      <c r="AR45" s="476">
        <v>6750</v>
      </c>
      <c r="AS45" s="476">
        <v>6750</v>
      </c>
      <c r="AT45" s="476">
        <v>13500</v>
      </c>
      <c r="AU45" s="477">
        <v>6750</v>
      </c>
      <c r="AV45" s="41">
        <v>13500</v>
      </c>
    </row>
    <row r="46" spans="1:48" x14ac:dyDescent="0.35">
      <c r="A46" s="461" t="s">
        <v>1026</v>
      </c>
      <c r="B46" s="470">
        <v>488</v>
      </c>
      <c r="C46" s="472">
        <v>45418</v>
      </c>
      <c r="D46" s="471" t="s">
        <v>1018</v>
      </c>
      <c r="E46" s="473" t="b">
        <v>1</v>
      </c>
      <c r="F46" s="473" t="b">
        <v>1</v>
      </c>
      <c r="G46" s="478" t="s">
        <v>824</v>
      </c>
      <c r="H46" s="473" t="s">
        <v>1025</v>
      </c>
      <c r="I46" s="470">
        <v>101425421066</v>
      </c>
      <c r="J46" s="470">
        <v>5136389916</v>
      </c>
      <c r="K46" s="474">
        <v>21</v>
      </c>
      <c r="L46" s="474">
        <v>0</v>
      </c>
      <c r="M46" s="475">
        <v>21</v>
      </c>
      <c r="N46" s="476">
        <v>12000</v>
      </c>
      <c r="O46" s="476">
        <v>6000</v>
      </c>
      <c r="P46" s="476">
        <v>3000</v>
      </c>
      <c r="Q46" s="476">
        <v>1000</v>
      </c>
      <c r="R46" s="476">
        <v>2000</v>
      </c>
      <c r="S46" s="479">
        <v>1856</v>
      </c>
      <c r="T46" s="473">
        <v>0</v>
      </c>
      <c r="U46" s="473">
        <v>13856</v>
      </c>
      <c r="V46" s="473">
        <v>696</v>
      </c>
      <c r="W46" s="476">
        <v>483</v>
      </c>
      <c r="X46" s="476">
        <v>213</v>
      </c>
      <c r="Y46" s="476">
        <v>87</v>
      </c>
      <c r="Z46" s="476">
        <v>377</v>
      </c>
      <c r="AA46" s="476">
        <v>12000</v>
      </c>
      <c r="AB46" s="476">
        <v>750</v>
      </c>
      <c r="AC46" s="476"/>
      <c r="AD46" s="476">
        <v>0</v>
      </c>
      <c r="AE46" s="476">
        <v>0</v>
      </c>
      <c r="AF46" s="476">
        <v>0</v>
      </c>
      <c r="AG46" s="476"/>
      <c r="AH46" s="476">
        <v>1</v>
      </c>
      <c r="AI46" s="476">
        <v>400</v>
      </c>
      <c r="AJ46" s="476">
        <v>0</v>
      </c>
      <c r="AK46" s="476">
        <v>0</v>
      </c>
      <c r="AL46" s="476">
        <v>200</v>
      </c>
      <c r="AM46" s="476">
        <v>0</v>
      </c>
      <c r="AN46" s="476">
        <v>12000</v>
      </c>
      <c r="AO46" s="476">
        <v>600</v>
      </c>
      <c r="AP46" s="476">
        <v>11400</v>
      </c>
      <c r="AQ46" s="476">
        <v>11400</v>
      </c>
      <c r="AR46" s="476">
        <v>5800</v>
      </c>
      <c r="AS46" s="476">
        <v>5800</v>
      </c>
      <c r="AT46" s="476">
        <v>11600</v>
      </c>
      <c r="AU46" s="477">
        <v>5800</v>
      </c>
      <c r="AV46" s="41">
        <v>11600</v>
      </c>
    </row>
    <row r="47" spans="1:48" x14ac:dyDescent="0.35">
      <c r="A47" s="461" t="s">
        <v>1027</v>
      </c>
      <c r="B47" s="470">
        <v>504</v>
      </c>
      <c r="C47" s="472">
        <v>45426</v>
      </c>
      <c r="D47" s="471" t="s">
        <v>1018</v>
      </c>
      <c r="E47" s="473" t="b">
        <v>1</v>
      </c>
      <c r="F47" s="473" t="b">
        <v>1</v>
      </c>
      <c r="G47" s="478" t="s">
        <v>824</v>
      </c>
      <c r="H47" s="473" t="s">
        <v>1025</v>
      </c>
      <c r="I47" s="470">
        <v>102105814575</v>
      </c>
      <c r="J47" s="470">
        <v>5136271395</v>
      </c>
      <c r="K47" s="474">
        <v>21</v>
      </c>
      <c r="L47" s="474">
        <v>0.5</v>
      </c>
      <c r="M47" s="475">
        <v>20.5</v>
      </c>
      <c r="N47" s="476">
        <v>12000</v>
      </c>
      <c r="O47" s="476">
        <v>6000</v>
      </c>
      <c r="P47" s="476">
        <v>3000</v>
      </c>
      <c r="Q47" s="476">
        <v>1000</v>
      </c>
      <c r="R47" s="476">
        <v>2000</v>
      </c>
      <c r="S47" s="479">
        <v>1920</v>
      </c>
      <c r="T47" s="473">
        <v>0</v>
      </c>
      <c r="U47" s="473">
        <v>13920</v>
      </c>
      <c r="V47" s="473">
        <v>720</v>
      </c>
      <c r="W47" s="476">
        <v>500</v>
      </c>
      <c r="X47" s="476">
        <v>220</v>
      </c>
      <c r="Y47" s="476">
        <v>90</v>
      </c>
      <c r="Z47" s="476">
        <v>390</v>
      </c>
      <c r="AA47" s="476">
        <v>12000</v>
      </c>
      <c r="AB47" s="476">
        <v>750</v>
      </c>
      <c r="AC47" s="476"/>
      <c r="AD47" s="476">
        <v>0</v>
      </c>
      <c r="AE47" s="476">
        <v>0</v>
      </c>
      <c r="AF47" s="476">
        <v>0</v>
      </c>
      <c r="AG47" s="476"/>
      <c r="AH47" s="476">
        <v>0</v>
      </c>
      <c r="AI47" s="476">
        <v>0</v>
      </c>
      <c r="AJ47" s="476">
        <v>0</v>
      </c>
      <c r="AK47" s="476">
        <v>0</v>
      </c>
      <c r="AL47" s="476">
        <v>200</v>
      </c>
      <c r="AM47" s="476">
        <v>0</v>
      </c>
      <c r="AN47" s="476">
        <v>12000</v>
      </c>
      <c r="AO47" s="476">
        <v>200</v>
      </c>
      <c r="AP47" s="476">
        <v>11800</v>
      </c>
      <c r="AQ47" s="476">
        <v>11800</v>
      </c>
      <c r="AR47" s="476">
        <v>6000</v>
      </c>
      <c r="AS47" s="476">
        <v>6000</v>
      </c>
      <c r="AT47" s="476">
        <v>12000</v>
      </c>
      <c r="AU47" s="477">
        <v>6000</v>
      </c>
      <c r="AV47" s="41">
        <v>12000</v>
      </c>
    </row>
    <row r="48" spans="1:48" x14ac:dyDescent="0.35">
      <c r="A48" s="461" t="s">
        <v>1028</v>
      </c>
      <c r="B48" s="470">
        <v>558</v>
      </c>
      <c r="C48" s="472">
        <v>45474</v>
      </c>
      <c r="D48" s="471" t="s">
        <v>1018</v>
      </c>
      <c r="E48" s="473" t="b">
        <v>1</v>
      </c>
      <c r="F48" s="39" t="b">
        <v>1</v>
      </c>
      <c r="G48" s="480" t="s">
        <v>824</v>
      </c>
      <c r="H48" s="481" t="s">
        <v>1025</v>
      </c>
      <c r="I48" s="470" t="s">
        <v>1029</v>
      </c>
      <c r="J48" s="52">
        <v>5136429173</v>
      </c>
      <c r="K48" s="474">
        <v>21</v>
      </c>
      <c r="L48" s="474">
        <v>4</v>
      </c>
      <c r="M48" s="475">
        <v>17</v>
      </c>
      <c r="N48" s="482">
        <v>13500</v>
      </c>
      <c r="O48" s="483">
        <v>6750</v>
      </c>
      <c r="P48" s="483">
        <v>3375</v>
      </c>
      <c r="Q48" s="483">
        <v>1000</v>
      </c>
      <c r="R48" s="483">
        <v>2000</v>
      </c>
      <c r="S48" s="483">
        <v>1944</v>
      </c>
      <c r="T48" s="483">
        <v>375</v>
      </c>
      <c r="U48" s="483">
        <v>15444</v>
      </c>
      <c r="V48" s="483">
        <v>729</v>
      </c>
      <c r="W48" s="476">
        <v>506</v>
      </c>
      <c r="X48" s="476">
        <v>223</v>
      </c>
      <c r="Y48" s="476">
        <v>91</v>
      </c>
      <c r="Z48" s="476">
        <v>395</v>
      </c>
      <c r="AA48" s="483">
        <v>13500</v>
      </c>
      <c r="AB48" s="483">
        <v>750</v>
      </c>
      <c r="AC48" s="483"/>
      <c r="AD48" s="483">
        <v>0</v>
      </c>
      <c r="AE48" s="483">
        <v>0</v>
      </c>
      <c r="AF48" s="483">
        <v>0</v>
      </c>
      <c r="AG48" s="483"/>
      <c r="AH48" s="483">
        <v>3</v>
      </c>
      <c r="AI48" s="483">
        <v>1350</v>
      </c>
      <c r="AJ48" s="483">
        <v>0</v>
      </c>
      <c r="AK48" s="483">
        <v>435.48387096774195</v>
      </c>
      <c r="AL48" s="476">
        <v>200</v>
      </c>
      <c r="AM48" s="483">
        <v>0</v>
      </c>
      <c r="AN48" s="483">
        <v>13935.483870967742</v>
      </c>
      <c r="AO48" s="483">
        <v>1550</v>
      </c>
      <c r="AP48" s="483">
        <v>12385.483870967742</v>
      </c>
      <c r="AQ48" s="483">
        <v>12385</v>
      </c>
      <c r="AR48" s="476">
        <v>6075</v>
      </c>
      <c r="AS48" s="476">
        <v>6075</v>
      </c>
      <c r="AT48" s="476">
        <v>12150</v>
      </c>
      <c r="AU48" s="477">
        <v>6075</v>
      </c>
      <c r="AV48" s="41">
        <v>12150</v>
      </c>
    </row>
    <row r="49" spans="1:48" x14ac:dyDescent="0.35">
      <c r="A49" s="461" t="s">
        <v>1030</v>
      </c>
      <c r="B49" s="470">
        <v>641</v>
      </c>
      <c r="C49" s="472">
        <v>45579</v>
      </c>
      <c r="D49" s="471" t="s">
        <v>1018</v>
      </c>
      <c r="E49" s="473" t="b">
        <v>1</v>
      </c>
      <c r="F49" s="473" t="b">
        <v>1</v>
      </c>
      <c r="G49" s="480" t="s">
        <v>824</v>
      </c>
      <c r="H49" s="481" t="s">
        <v>1025</v>
      </c>
      <c r="I49" s="470">
        <v>102138634889</v>
      </c>
      <c r="J49" s="39">
        <v>5136735966</v>
      </c>
      <c r="K49" s="474">
        <v>21</v>
      </c>
      <c r="L49" s="474">
        <v>0</v>
      </c>
      <c r="M49" s="475">
        <v>21</v>
      </c>
      <c r="N49" s="482">
        <v>12000</v>
      </c>
      <c r="O49" s="483">
        <v>6000</v>
      </c>
      <c r="P49" s="483">
        <v>3000</v>
      </c>
      <c r="Q49" s="483">
        <v>1000</v>
      </c>
      <c r="R49" s="483">
        <v>2000</v>
      </c>
      <c r="S49" s="483">
        <v>1920</v>
      </c>
      <c r="T49" s="483">
        <v>0</v>
      </c>
      <c r="U49" s="483">
        <v>13920</v>
      </c>
      <c r="V49" s="483">
        <v>720</v>
      </c>
      <c r="W49" s="476">
        <v>500</v>
      </c>
      <c r="X49" s="476">
        <v>220</v>
      </c>
      <c r="Y49" s="476">
        <v>90</v>
      </c>
      <c r="Z49" s="476">
        <v>390</v>
      </c>
      <c r="AA49" s="483">
        <v>12000</v>
      </c>
      <c r="AB49" s="483">
        <v>750</v>
      </c>
      <c r="AC49" s="483"/>
      <c r="AD49" s="483">
        <v>0</v>
      </c>
      <c r="AE49" s="483">
        <v>0</v>
      </c>
      <c r="AF49" s="483">
        <v>0</v>
      </c>
      <c r="AG49" s="483"/>
      <c r="AH49" s="484">
        <v>0</v>
      </c>
      <c r="AI49" s="483">
        <v>0</v>
      </c>
      <c r="AJ49" s="483">
        <v>0</v>
      </c>
      <c r="AK49" s="483">
        <v>0</v>
      </c>
      <c r="AL49" s="483">
        <v>200</v>
      </c>
      <c r="AM49" s="483">
        <v>0</v>
      </c>
      <c r="AN49" s="483">
        <v>12000</v>
      </c>
      <c r="AO49" s="483">
        <v>200</v>
      </c>
      <c r="AP49" s="483">
        <v>11800</v>
      </c>
      <c r="AQ49" s="483">
        <v>11800</v>
      </c>
      <c r="AR49" s="476">
        <v>6000</v>
      </c>
      <c r="AS49" s="476">
        <v>6000</v>
      </c>
      <c r="AT49" s="476">
        <v>12000</v>
      </c>
      <c r="AU49" s="41">
        <v>6000</v>
      </c>
      <c r="AV49" s="41">
        <v>12000</v>
      </c>
    </row>
    <row r="50" spans="1:48" x14ac:dyDescent="0.35">
      <c r="A50" s="461" t="s">
        <v>1031</v>
      </c>
      <c r="B50" s="470">
        <v>660</v>
      </c>
      <c r="C50" s="472">
        <v>45614</v>
      </c>
      <c r="D50" s="471" t="s">
        <v>1018</v>
      </c>
      <c r="E50" s="473" t="b">
        <v>1</v>
      </c>
      <c r="F50" s="473" t="b">
        <v>1</v>
      </c>
      <c r="G50" s="471" t="s">
        <v>824</v>
      </c>
      <c r="H50" s="473" t="s">
        <v>1025</v>
      </c>
      <c r="I50" s="39"/>
      <c r="J50" s="39"/>
      <c r="K50" s="474">
        <v>21</v>
      </c>
      <c r="L50" s="474">
        <v>0.5</v>
      </c>
      <c r="M50" s="475">
        <v>20.5</v>
      </c>
      <c r="N50" s="482">
        <v>13500</v>
      </c>
      <c r="O50" s="483">
        <v>6750</v>
      </c>
      <c r="P50" s="483">
        <v>3375</v>
      </c>
      <c r="Q50" s="483">
        <v>1000</v>
      </c>
      <c r="R50" s="483">
        <v>2000</v>
      </c>
      <c r="S50" s="483">
        <v>2160</v>
      </c>
      <c r="T50" s="483">
        <v>375</v>
      </c>
      <c r="U50" s="483">
        <v>15660</v>
      </c>
      <c r="V50" s="483">
        <v>810</v>
      </c>
      <c r="W50" s="476">
        <v>562</v>
      </c>
      <c r="X50" s="476">
        <v>248</v>
      </c>
      <c r="Y50" s="476">
        <v>101</v>
      </c>
      <c r="Z50" s="476">
        <v>439</v>
      </c>
      <c r="AA50" s="483">
        <v>13500</v>
      </c>
      <c r="AB50" s="483">
        <v>750</v>
      </c>
      <c r="AC50" s="483"/>
      <c r="AD50" s="483">
        <v>0</v>
      </c>
      <c r="AE50" s="483">
        <v>0</v>
      </c>
      <c r="AF50" s="483">
        <v>0</v>
      </c>
      <c r="AG50" s="483"/>
      <c r="AH50" s="484">
        <v>0</v>
      </c>
      <c r="AI50" s="483">
        <v>0</v>
      </c>
      <c r="AJ50" s="483">
        <v>0</v>
      </c>
      <c r="AK50" s="483">
        <v>0</v>
      </c>
      <c r="AL50" s="483">
        <v>200</v>
      </c>
      <c r="AM50" s="483">
        <v>0</v>
      </c>
      <c r="AN50" s="483">
        <v>13500</v>
      </c>
      <c r="AO50" s="483">
        <v>200</v>
      </c>
      <c r="AP50" s="483">
        <v>13300</v>
      </c>
      <c r="AQ50" s="483">
        <v>13300</v>
      </c>
      <c r="AR50" s="476">
        <v>6750</v>
      </c>
      <c r="AS50" s="476">
        <v>6750</v>
      </c>
      <c r="AT50" s="476">
        <v>13500</v>
      </c>
      <c r="AU50" s="477">
        <v>6750</v>
      </c>
      <c r="AV50" s="41">
        <v>13500</v>
      </c>
    </row>
  </sheetData>
  <mergeCells count="5">
    <mergeCell ref="D22:F22"/>
    <mergeCell ref="C32:F32"/>
    <mergeCell ref="C37:D37"/>
    <mergeCell ref="L12:N13"/>
    <mergeCell ref="L1:P1"/>
  </mergeCells>
  <conditionalFormatting sqref="A42:A43">
    <cfRule type="duplicateValues" dxfId="3" priority="4"/>
  </conditionalFormatting>
  <conditionalFormatting sqref="A47:A50">
    <cfRule type="duplicateValues" dxfId="2" priority="2"/>
  </conditionalFormatting>
  <conditionalFormatting sqref="A49:A50">
    <cfRule type="duplicateValues" dxfId="1" priority="1"/>
  </conditionalFormatting>
  <conditionalFormatting sqref="B47:B50">
    <cfRule type="duplicateValues" dxfId="0" priority="3"/>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
  <sheetViews>
    <sheetView workbookViewId="0">
      <selection activeCell="F126" sqref="F126"/>
    </sheetView>
  </sheetViews>
  <sheetFormatPr defaultColWidth="8.81640625" defaultRowHeight="14.5" x14ac:dyDescent="0.35"/>
  <cols>
    <col min="1" max="1" width="3.81640625" bestFit="1" customWidth="1"/>
    <col min="2" max="2" width="46" bestFit="1" customWidth="1"/>
    <col min="3" max="3" width="17.453125" bestFit="1" customWidth="1"/>
    <col min="4" max="4" width="15.81640625" bestFit="1" customWidth="1"/>
    <col min="6" max="6" width="4.453125" bestFit="1" customWidth="1"/>
    <col min="7" max="7" width="23.453125" bestFit="1" customWidth="1"/>
    <col min="8" max="8" width="13.81640625" bestFit="1" customWidth="1"/>
    <col min="11" max="11" width="21.453125" customWidth="1"/>
  </cols>
  <sheetData>
    <row r="1" spans="1:13" ht="15" x14ac:dyDescent="0.35">
      <c r="A1" s="78" t="s">
        <v>950</v>
      </c>
      <c r="B1" s="229" t="s">
        <v>972</v>
      </c>
      <c r="C1" s="230" t="s">
        <v>973</v>
      </c>
      <c r="D1" s="230" t="s">
        <v>974</v>
      </c>
      <c r="E1" s="209"/>
      <c r="F1" s="229" t="s">
        <v>950</v>
      </c>
      <c r="G1" s="229" t="s">
        <v>952</v>
      </c>
      <c r="H1" s="229" t="s">
        <v>954</v>
      </c>
    </row>
    <row r="2" spans="1:13" ht="15.5" x14ac:dyDescent="0.35">
      <c r="A2" s="81">
        <v>1</v>
      </c>
      <c r="B2" s="228" t="s">
        <v>1032</v>
      </c>
      <c r="C2" s="223">
        <v>30000</v>
      </c>
      <c r="D2" s="223">
        <v>360000</v>
      </c>
      <c r="E2" t="s">
        <v>1033</v>
      </c>
      <c r="F2" s="81">
        <v>1</v>
      </c>
      <c r="G2" s="81" t="s">
        <v>1034</v>
      </c>
      <c r="H2" s="227">
        <v>4722</v>
      </c>
    </row>
    <row r="3" spans="1:13" ht="15.5" x14ac:dyDescent="0.35">
      <c r="A3" s="81">
        <v>2</v>
      </c>
      <c r="B3" s="228" t="s">
        <v>1035</v>
      </c>
      <c r="C3" s="223">
        <v>50000</v>
      </c>
      <c r="D3" s="223">
        <v>600000</v>
      </c>
      <c r="E3" s="209" t="s">
        <v>915</v>
      </c>
      <c r="F3" s="81">
        <v>2</v>
      </c>
      <c r="G3" s="81" t="s">
        <v>967</v>
      </c>
      <c r="H3" s="227">
        <v>2850</v>
      </c>
      <c r="I3" t="s">
        <v>11</v>
      </c>
    </row>
    <row r="4" spans="1:13" x14ac:dyDescent="0.35">
      <c r="A4" s="794" t="s">
        <v>174</v>
      </c>
      <c r="B4" s="794"/>
      <c r="C4" s="223">
        <f>SUM(C2,C3)</f>
        <v>80000</v>
      </c>
      <c r="D4" s="223">
        <f>SUM(D2,D3)</f>
        <v>960000</v>
      </c>
      <c r="E4" s="209"/>
      <c r="F4" s="792" t="s">
        <v>174</v>
      </c>
      <c r="G4" s="792"/>
      <c r="H4" s="226"/>
    </row>
    <row r="5" spans="1:13" x14ac:dyDescent="0.35">
      <c r="A5" s="794"/>
      <c r="B5" s="794"/>
      <c r="C5" s="224">
        <f>C4/83</f>
        <v>963.85542168674704</v>
      </c>
      <c r="D5" s="224">
        <f>D4/83</f>
        <v>11566.265060240963</v>
      </c>
      <c r="E5" s="209"/>
      <c r="F5" s="209"/>
      <c r="G5" s="209"/>
      <c r="H5" s="209"/>
    </row>
    <row r="8" spans="1:13" ht="16" thickBot="1" x14ac:dyDescent="0.4">
      <c r="C8" s="278">
        <v>45292</v>
      </c>
      <c r="D8" s="222">
        <f>C2/2</f>
        <v>15000</v>
      </c>
      <c r="G8" s="225" t="s">
        <v>1036</v>
      </c>
    </row>
    <row r="9" spans="1:13" ht="16" thickBot="1" x14ac:dyDescent="0.4">
      <c r="C9" s="278">
        <v>45323</v>
      </c>
      <c r="D9" s="222">
        <f>D8+30000</f>
        <v>45000</v>
      </c>
      <c r="K9" s="795" t="s">
        <v>1037</v>
      </c>
      <c r="L9" s="796"/>
      <c r="M9" s="797"/>
    </row>
    <row r="10" spans="1:13" x14ac:dyDescent="0.35">
      <c r="C10" s="278">
        <v>45352</v>
      </c>
      <c r="D10" s="222">
        <f>D9</f>
        <v>45000</v>
      </c>
    </row>
  </sheetData>
  <mergeCells count="3">
    <mergeCell ref="A4:B5"/>
    <mergeCell ref="F4:G4"/>
    <mergeCell ref="K9:M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5F0F0-15D3-4606-A5C5-76197DC70FA8}">
  <dimension ref="B1:BN51"/>
  <sheetViews>
    <sheetView topLeftCell="A46" workbookViewId="0">
      <pane xSplit="7" topLeftCell="AR1" activePane="topRight" state="frozen"/>
      <selection activeCell="F126" sqref="F126"/>
      <selection pane="topRight" activeCell="F126" sqref="F126"/>
    </sheetView>
  </sheetViews>
  <sheetFormatPr defaultRowHeight="14.5" x14ac:dyDescent="0.35"/>
  <cols>
    <col min="1" max="1" width="2.26953125" customWidth="1"/>
    <col min="2" max="2" width="8.26953125" bestFit="1" customWidth="1"/>
    <col min="3" max="3" width="11.453125" bestFit="1" customWidth="1"/>
    <col min="4" max="4" width="9.7265625" bestFit="1" customWidth="1"/>
    <col min="5" max="5" width="11.453125" bestFit="1" customWidth="1"/>
    <col min="6" max="6" width="34" bestFit="1" customWidth="1"/>
    <col min="7" max="7" width="28.26953125" bestFit="1" customWidth="1"/>
    <col min="8" max="8" width="8.54296875" bestFit="1" customWidth="1"/>
    <col min="9" max="9" width="11.1796875" bestFit="1" customWidth="1"/>
    <col min="10" max="10" width="10.1796875" bestFit="1" customWidth="1"/>
    <col min="11" max="11" width="11.1796875" bestFit="1" customWidth="1"/>
    <col min="12" max="12" width="7.81640625" bestFit="1" customWidth="1"/>
    <col min="13" max="13" width="11.1796875" bestFit="1" customWidth="1"/>
    <col min="14" max="14" width="10.1796875" bestFit="1" customWidth="1"/>
    <col min="15" max="15" width="11.1796875" bestFit="1" customWidth="1"/>
    <col min="16" max="16" width="7.81640625" bestFit="1" customWidth="1"/>
    <col min="17" max="17" width="11.1796875" bestFit="1" customWidth="1"/>
    <col min="18" max="18" width="10.1796875" bestFit="1" customWidth="1"/>
    <col min="19" max="19" width="11.1796875" bestFit="1" customWidth="1"/>
    <col min="20" max="20" width="7.81640625" bestFit="1" customWidth="1"/>
    <col min="21" max="21" width="11.1796875" bestFit="1" customWidth="1"/>
    <col min="22" max="22" width="10.1796875" bestFit="1" customWidth="1"/>
    <col min="23" max="23" width="11.1796875" bestFit="1" customWidth="1"/>
    <col min="24" max="24" width="7.81640625" bestFit="1" customWidth="1"/>
    <col min="25" max="25" width="11.1796875" bestFit="1" customWidth="1"/>
    <col min="26" max="26" width="10.1796875" bestFit="1" customWidth="1"/>
    <col min="27" max="27" width="11.1796875" bestFit="1" customWidth="1"/>
    <col min="28" max="28" width="7.81640625" bestFit="1" customWidth="1"/>
    <col min="29" max="29" width="11.1796875" bestFit="1" customWidth="1"/>
    <col min="30" max="30" width="10.1796875" bestFit="1" customWidth="1"/>
    <col min="31" max="31" width="11.1796875" bestFit="1" customWidth="1"/>
    <col min="32" max="32" width="7.81640625" bestFit="1" customWidth="1"/>
    <col min="33" max="33" width="11.1796875" bestFit="1" customWidth="1"/>
    <col min="34" max="34" width="10.1796875" bestFit="1" customWidth="1"/>
    <col min="35" max="35" width="11.1796875" bestFit="1" customWidth="1"/>
    <col min="36" max="36" width="7.81640625" bestFit="1" customWidth="1"/>
    <col min="37" max="37" width="11.1796875" bestFit="1" customWidth="1"/>
    <col min="38" max="38" width="10.1796875" bestFit="1" customWidth="1"/>
    <col min="39" max="39" width="11.1796875" bestFit="1" customWidth="1"/>
    <col min="40" max="40" width="7.81640625" bestFit="1" customWidth="1"/>
    <col min="41" max="41" width="11.1796875" bestFit="1" customWidth="1"/>
    <col min="42" max="42" width="10.1796875" bestFit="1" customWidth="1"/>
    <col min="43" max="43" width="11.1796875" bestFit="1" customWidth="1"/>
    <col min="44" max="44" width="7.81640625" bestFit="1" customWidth="1"/>
    <col min="45" max="45" width="11.1796875" bestFit="1" customWidth="1"/>
    <col min="46" max="46" width="10.1796875" bestFit="1" customWidth="1"/>
    <col min="47" max="47" width="11.1796875" bestFit="1" customWidth="1"/>
    <col min="48" max="48" width="7.81640625" bestFit="1" customWidth="1"/>
    <col min="49" max="49" width="11.1796875" bestFit="1" customWidth="1"/>
    <col min="50" max="50" width="10.1796875" bestFit="1" customWidth="1"/>
    <col min="51" max="51" width="11.1796875" bestFit="1" customWidth="1"/>
    <col min="52" max="52" width="7.81640625" bestFit="1" customWidth="1"/>
    <col min="53" max="53" width="11.1796875" bestFit="1" customWidth="1"/>
    <col min="54" max="54" width="10.1796875" bestFit="1" customWidth="1"/>
    <col min="55" max="55" width="11.1796875" bestFit="1" customWidth="1"/>
    <col min="56" max="56" width="7.81640625" bestFit="1" customWidth="1"/>
    <col min="57" max="57" width="11.1796875" bestFit="1" customWidth="1"/>
    <col min="58" max="58" width="10.1796875" bestFit="1" customWidth="1"/>
    <col min="59" max="59" width="11.1796875" bestFit="1" customWidth="1"/>
    <col min="60" max="60" width="7.81640625" bestFit="1" customWidth="1"/>
    <col min="61" max="61" width="11.1796875" bestFit="1" customWidth="1"/>
    <col min="62" max="62" width="10.1796875" bestFit="1" customWidth="1"/>
    <col min="63" max="63" width="11.1796875" bestFit="1" customWidth="1"/>
    <col min="64" max="65" width="7.81640625" bestFit="1" customWidth="1"/>
    <col min="66" max="66" width="33" bestFit="1" customWidth="1"/>
  </cols>
  <sheetData>
    <row r="1" spans="2:66" x14ac:dyDescent="0.35">
      <c r="J1" s="389">
        <f>SUM(J4:J50)</f>
        <v>227452.01</v>
      </c>
      <c r="K1" s="389"/>
      <c r="L1" s="389"/>
      <c r="M1" s="389"/>
      <c r="N1" s="389">
        <f>SUM(N4:N50)</f>
        <v>228728.36</v>
      </c>
      <c r="O1" s="389"/>
      <c r="P1" s="389"/>
      <c r="Q1" s="389"/>
      <c r="R1" s="389">
        <f>SUM(R4:R50)</f>
        <v>225414.12</v>
      </c>
      <c r="S1" s="389"/>
      <c r="T1" s="389"/>
      <c r="U1" s="389"/>
      <c r="V1" s="389">
        <f>SUM(V4:V50)</f>
        <v>224020</v>
      </c>
      <c r="W1" s="389"/>
      <c r="X1" s="389"/>
      <c r="Y1" s="389"/>
      <c r="Z1" s="389">
        <f>SUM(Z4:Z50)</f>
        <v>227937.36</v>
      </c>
      <c r="AA1" s="389"/>
      <c r="AB1" s="389"/>
      <c r="AC1" s="389"/>
      <c r="AD1" s="389">
        <f>SUM(AD4:AD50)</f>
        <v>228608.36</v>
      </c>
      <c r="AE1" s="389"/>
      <c r="AF1" s="389"/>
      <c r="AG1" s="389"/>
      <c r="AH1" s="389">
        <f>SUM(AH4:AH50)</f>
        <v>224020</v>
      </c>
      <c r="AI1" s="389"/>
      <c r="AJ1" s="389"/>
      <c r="AK1" s="389"/>
      <c r="AL1" s="389">
        <f>SUM(AL4:AL50)</f>
        <v>228608.36</v>
      </c>
      <c r="AM1" s="389"/>
      <c r="AN1" s="389"/>
      <c r="AO1" s="389"/>
      <c r="AP1" s="389">
        <f>SUM(AP4:AP50)</f>
        <v>228608.36</v>
      </c>
      <c r="AQ1" s="389"/>
      <c r="AR1" s="389"/>
      <c r="AS1" s="389"/>
      <c r="AT1" s="389">
        <f>SUM(AT4:AT50)</f>
        <v>226942.2</v>
      </c>
      <c r="AU1" s="389"/>
      <c r="AV1" s="389"/>
      <c r="AW1" s="389"/>
      <c r="AX1" s="389">
        <f>SUM(AX4:AX50)</f>
        <v>226942.2</v>
      </c>
      <c r="AY1" s="389"/>
      <c r="AZ1" s="389"/>
      <c r="BA1" s="389"/>
      <c r="BB1" s="389">
        <f>SUM(BB4:BB50)</f>
        <v>228608.36</v>
      </c>
      <c r="BC1" s="389"/>
      <c r="BD1" s="389"/>
      <c r="BE1" s="389"/>
      <c r="BF1" s="389">
        <f>SUM(BF4:BF50)</f>
        <v>225574</v>
      </c>
      <c r="BG1" s="389"/>
      <c r="BH1" s="389"/>
      <c r="BI1" s="389"/>
      <c r="BJ1" s="389">
        <f>SUM(BJ4:BJ50)</f>
        <v>228608.36</v>
      </c>
    </row>
    <row r="2" spans="2:66" x14ac:dyDescent="0.35">
      <c r="B2" s="798" t="s">
        <v>857</v>
      </c>
      <c r="C2" s="539" t="s">
        <v>853</v>
      </c>
      <c r="D2" s="539"/>
      <c r="E2" s="539"/>
      <c r="F2" s="540" t="s">
        <v>836</v>
      </c>
      <c r="G2" s="540" t="s">
        <v>5</v>
      </c>
      <c r="H2" s="798" t="s">
        <v>9</v>
      </c>
      <c r="I2" s="799" t="s">
        <v>1038</v>
      </c>
      <c r="J2" s="799"/>
      <c r="K2" s="799" t="s">
        <v>1039</v>
      </c>
      <c r="L2" s="799"/>
      <c r="M2" s="799" t="s">
        <v>1040</v>
      </c>
      <c r="N2" s="799"/>
      <c r="O2" s="799" t="s">
        <v>1041</v>
      </c>
      <c r="P2" s="799"/>
      <c r="Q2" s="799" t="s">
        <v>1042</v>
      </c>
      <c r="R2" s="799"/>
      <c r="S2" s="799" t="s">
        <v>1043</v>
      </c>
      <c r="T2" s="799"/>
      <c r="U2" s="799" t="s">
        <v>1044</v>
      </c>
      <c r="V2" s="799"/>
      <c r="W2" s="799" t="s">
        <v>1045</v>
      </c>
      <c r="X2" s="799"/>
      <c r="Y2" s="799" t="s">
        <v>1046</v>
      </c>
      <c r="Z2" s="799"/>
      <c r="AA2" s="799" t="s">
        <v>1047</v>
      </c>
      <c r="AB2" s="799"/>
      <c r="AC2" s="799" t="s">
        <v>1048</v>
      </c>
      <c r="AD2" s="799"/>
      <c r="AE2" s="799" t="s">
        <v>1049</v>
      </c>
      <c r="AF2" s="799"/>
      <c r="AG2" s="799" t="s">
        <v>1050</v>
      </c>
      <c r="AH2" s="799"/>
      <c r="AI2" s="799" t="s">
        <v>1051</v>
      </c>
      <c r="AJ2" s="799"/>
      <c r="AK2" s="799" t="s">
        <v>1052</v>
      </c>
      <c r="AL2" s="799"/>
      <c r="AM2" s="799" t="s">
        <v>1053</v>
      </c>
      <c r="AN2" s="799"/>
      <c r="AO2" s="799" t="s">
        <v>1054</v>
      </c>
      <c r="AP2" s="799"/>
      <c r="AQ2" s="799" t="s">
        <v>1055</v>
      </c>
      <c r="AR2" s="799"/>
      <c r="AS2" s="799" t="s">
        <v>1056</v>
      </c>
      <c r="AT2" s="799"/>
      <c r="AU2" s="799" t="s">
        <v>1057</v>
      </c>
      <c r="AV2" s="799"/>
      <c r="AW2" s="799" t="s">
        <v>1058</v>
      </c>
      <c r="AX2" s="799"/>
      <c r="AY2" s="799" t="s">
        <v>1059</v>
      </c>
      <c r="AZ2" s="799"/>
      <c r="BA2" s="799" t="s">
        <v>1060</v>
      </c>
      <c r="BB2" s="799"/>
      <c r="BC2" s="799" t="s">
        <v>1061</v>
      </c>
      <c r="BD2" s="799"/>
      <c r="BE2" s="799" t="s">
        <v>1062</v>
      </c>
      <c r="BF2" s="799"/>
      <c r="BG2" s="799" t="s">
        <v>1063</v>
      </c>
      <c r="BH2" s="799"/>
      <c r="BI2" s="799" t="s">
        <v>1064</v>
      </c>
      <c r="BJ2" s="799"/>
      <c r="BK2" s="799" t="s">
        <v>1065</v>
      </c>
      <c r="BL2" s="799"/>
      <c r="BM2" s="798" t="s">
        <v>398</v>
      </c>
      <c r="BN2" s="541"/>
    </row>
    <row r="3" spans="2:66" x14ac:dyDescent="0.35">
      <c r="B3" s="798"/>
      <c r="C3" s="539" t="s">
        <v>856</v>
      </c>
      <c r="D3" s="539" t="s">
        <v>857</v>
      </c>
      <c r="E3" s="539" t="s">
        <v>858</v>
      </c>
      <c r="F3" s="540" t="s">
        <v>836</v>
      </c>
      <c r="G3" s="540" t="s">
        <v>5</v>
      </c>
      <c r="H3" s="798"/>
      <c r="I3" s="539" t="s">
        <v>859</v>
      </c>
      <c r="J3" s="539" t="s">
        <v>398</v>
      </c>
      <c r="K3" s="539" t="s">
        <v>859</v>
      </c>
      <c r="L3" s="539" t="s">
        <v>398</v>
      </c>
      <c r="M3" s="539" t="s">
        <v>859</v>
      </c>
      <c r="N3" s="539" t="s">
        <v>398</v>
      </c>
      <c r="O3" s="539" t="s">
        <v>859</v>
      </c>
      <c r="P3" s="539" t="s">
        <v>398</v>
      </c>
      <c r="Q3" s="539" t="s">
        <v>859</v>
      </c>
      <c r="R3" s="539" t="s">
        <v>398</v>
      </c>
      <c r="S3" s="539" t="s">
        <v>859</v>
      </c>
      <c r="T3" s="539" t="s">
        <v>398</v>
      </c>
      <c r="U3" s="539" t="s">
        <v>859</v>
      </c>
      <c r="V3" s="539" t="s">
        <v>398</v>
      </c>
      <c r="W3" s="539" t="s">
        <v>859</v>
      </c>
      <c r="X3" s="539" t="s">
        <v>398</v>
      </c>
      <c r="Y3" s="539" t="s">
        <v>859</v>
      </c>
      <c r="Z3" s="539" t="s">
        <v>398</v>
      </c>
      <c r="AA3" s="539" t="s">
        <v>859</v>
      </c>
      <c r="AB3" s="539" t="s">
        <v>398</v>
      </c>
      <c r="AC3" s="539" t="s">
        <v>859</v>
      </c>
      <c r="AD3" s="539" t="s">
        <v>398</v>
      </c>
      <c r="AE3" s="539" t="s">
        <v>859</v>
      </c>
      <c r="AF3" s="539" t="s">
        <v>398</v>
      </c>
      <c r="AG3" s="539" t="s">
        <v>859</v>
      </c>
      <c r="AH3" s="539" t="s">
        <v>398</v>
      </c>
      <c r="AI3" s="539" t="s">
        <v>859</v>
      </c>
      <c r="AJ3" s="539" t="s">
        <v>398</v>
      </c>
      <c r="AK3" s="539" t="s">
        <v>859</v>
      </c>
      <c r="AL3" s="539" t="s">
        <v>398</v>
      </c>
      <c r="AM3" s="539" t="s">
        <v>859</v>
      </c>
      <c r="AN3" s="539" t="s">
        <v>398</v>
      </c>
      <c r="AO3" s="539" t="s">
        <v>859</v>
      </c>
      <c r="AP3" s="539" t="s">
        <v>398</v>
      </c>
      <c r="AQ3" s="539" t="s">
        <v>859</v>
      </c>
      <c r="AR3" s="539" t="s">
        <v>398</v>
      </c>
      <c r="AS3" s="539" t="s">
        <v>859</v>
      </c>
      <c r="AT3" s="539" t="s">
        <v>398</v>
      </c>
      <c r="AU3" s="539" t="s">
        <v>859</v>
      </c>
      <c r="AV3" s="539" t="s">
        <v>398</v>
      </c>
      <c r="AW3" s="539" t="s">
        <v>859</v>
      </c>
      <c r="AX3" s="539" t="s">
        <v>398</v>
      </c>
      <c r="AY3" s="539" t="s">
        <v>859</v>
      </c>
      <c r="AZ3" s="539" t="s">
        <v>398</v>
      </c>
      <c r="BA3" s="539" t="s">
        <v>859</v>
      </c>
      <c r="BB3" s="539" t="s">
        <v>398</v>
      </c>
      <c r="BC3" s="539" t="s">
        <v>859</v>
      </c>
      <c r="BD3" s="539" t="s">
        <v>398</v>
      </c>
      <c r="BE3" s="539" t="s">
        <v>859</v>
      </c>
      <c r="BF3" s="539" t="s">
        <v>398</v>
      </c>
      <c r="BG3" s="539" t="s">
        <v>859</v>
      </c>
      <c r="BH3" s="539" t="s">
        <v>398</v>
      </c>
      <c r="BI3" s="539" t="s">
        <v>859</v>
      </c>
      <c r="BJ3" s="539" t="s">
        <v>398</v>
      </c>
      <c r="BK3" s="539" t="s">
        <v>859</v>
      </c>
      <c r="BL3" s="539" t="s">
        <v>398</v>
      </c>
      <c r="BM3" s="798"/>
      <c r="BN3" s="541"/>
    </row>
    <row r="4" spans="2:66" x14ac:dyDescent="0.35">
      <c r="B4" s="542" t="s">
        <v>117</v>
      </c>
      <c r="C4" s="542" t="s">
        <v>860</v>
      </c>
      <c r="D4" s="542" t="s">
        <v>41</v>
      </c>
      <c r="E4" s="542" t="s">
        <v>861</v>
      </c>
      <c r="F4" s="542" t="s">
        <v>790</v>
      </c>
      <c r="G4" s="542" t="s">
        <v>791</v>
      </c>
      <c r="H4" s="543">
        <v>4.3E-3</v>
      </c>
      <c r="I4" s="544">
        <v>600000</v>
      </c>
      <c r="J4" s="545">
        <f>I4*$H4</f>
        <v>2580</v>
      </c>
      <c r="K4" s="544"/>
      <c r="L4" s="545">
        <f>IFERROR(K4*$H4,"-")</f>
        <v>0</v>
      </c>
      <c r="M4" s="544">
        <v>600000</v>
      </c>
      <c r="N4" s="545">
        <f>M4*$H4</f>
        <v>2580</v>
      </c>
      <c r="O4" s="544"/>
      <c r="P4" s="545">
        <f>IFERROR(O4*$H4,"-")</f>
        <v>0</v>
      </c>
      <c r="Q4" s="544">
        <v>550000</v>
      </c>
      <c r="R4" s="545">
        <f>Q4*$H4</f>
        <v>2365</v>
      </c>
      <c r="S4" s="544"/>
      <c r="T4" s="545">
        <f>IFERROR(S4*$H4,"-")</f>
        <v>0</v>
      </c>
      <c r="U4" s="544">
        <v>550000</v>
      </c>
      <c r="V4" s="545">
        <f>U4*$H4</f>
        <v>2365</v>
      </c>
      <c r="W4" s="545"/>
      <c r="X4" s="545"/>
      <c r="Y4" s="544">
        <v>570000</v>
      </c>
      <c r="Z4" s="545">
        <f>Y4*$H4</f>
        <v>2451</v>
      </c>
      <c r="AA4" s="545"/>
      <c r="AB4" s="545"/>
      <c r="AC4" s="544">
        <v>600000</v>
      </c>
      <c r="AD4" s="545">
        <f>AC4*$H4</f>
        <v>2580</v>
      </c>
      <c r="AE4" s="545"/>
      <c r="AF4" s="545"/>
      <c r="AG4" s="544">
        <v>550000</v>
      </c>
      <c r="AH4" s="545">
        <f>AG4*$H4</f>
        <v>2365</v>
      </c>
      <c r="AI4" s="545"/>
      <c r="AJ4" s="545"/>
      <c r="AK4" s="544">
        <v>600000</v>
      </c>
      <c r="AL4" s="545">
        <f>AK4*$H4</f>
        <v>2580</v>
      </c>
      <c r="AM4" s="545"/>
      <c r="AN4" s="545"/>
      <c r="AO4" s="544">
        <v>600000</v>
      </c>
      <c r="AP4" s="545">
        <f>AO4*$H4</f>
        <v>2580</v>
      </c>
      <c r="AQ4" s="545"/>
      <c r="AR4" s="545"/>
      <c r="AS4" s="544">
        <v>600000</v>
      </c>
      <c r="AT4" s="545">
        <f>AS4*$H4</f>
        <v>2580</v>
      </c>
      <c r="AU4" s="545"/>
      <c r="AV4" s="545"/>
      <c r="AW4" s="544">
        <v>600000</v>
      </c>
      <c r="AX4" s="545">
        <f>AW4*$H4</f>
        <v>2580</v>
      </c>
      <c r="AY4" s="545"/>
      <c r="AZ4" s="545"/>
      <c r="BA4" s="544">
        <v>600000</v>
      </c>
      <c r="BB4" s="545">
        <f>BA4*$H4</f>
        <v>2580</v>
      </c>
      <c r="BC4" s="545"/>
      <c r="BD4" s="545"/>
      <c r="BE4" s="544">
        <v>600000</v>
      </c>
      <c r="BF4" s="545">
        <f>BE4*$H4</f>
        <v>2580</v>
      </c>
      <c r="BG4" s="545"/>
      <c r="BH4" s="545"/>
      <c r="BI4" s="544">
        <v>600000</v>
      </c>
      <c r="BJ4" s="545">
        <f>BI4*$H4</f>
        <v>2580</v>
      </c>
      <c r="BK4" s="545"/>
      <c r="BL4" s="545" t="str">
        <f>IFERROR(AVERAGE(#REF!,#REF!,#REF!,#REF!,#REF!,#REF!,#REF!,#REF!,#REF!,#REF!,#REF!,#REF!),"-")</f>
        <v>-</v>
      </c>
      <c r="BM4" s="545" t="str">
        <f t="shared" ref="BM4:BM31" si="0">IFERROR(BL4*H4,"-")</f>
        <v>-</v>
      </c>
      <c r="BN4" s="542"/>
    </row>
    <row r="5" spans="2:66" x14ac:dyDescent="0.35">
      <c r="B5" s="542" t="s">
        <v>117</v>
      </c>
      <c r="C5" s="542" t="s">
        <v>860</v>
      </c>
      <c r="D5" s="542" t="s">
        <v>41</v>
      </c>
      <c r="E5" s="542" t="s">
        <v>861</v>
      </c>
      <c r="F5" s="542" t="s">
        <v>790</v>
      </c>
      <c r="G5" s="542" t="s">
        <v>792</v>
      </c>
      <c r="H5" s="543">
        <v>2.5499999999999998E-2</v>
      </c>
      <c r="I5" s="544">
        <v>350000</v>
      </c>
      <c r="J5" s="545">
        <f t="shared" ref="J5:J6" si="1">I5*$H5</f>
        <v>8925</v>
      </c>
      <c r="K5" s="544"/>
      <c r="L5" s="545">
        <f t="shared" ref="L5:L50" si="2">IFERROR(K5*$H5,"-")</f>
        <v>0</v>
      </c>
      <c r="M5" s="544">
        <v>350000</v>
      </c>
      <c r="N5" s="545">
        <f t="shared" ref="N5:N6" si="3">M5*$H5</f>
        <v>8925</v>
      </c>
      <c r="O5" s="544"/>
      <c r="P5" s="545">
        <f t="shared" ref="P5:P50" si="4">IFERROR(O5*$H5,"-")</f>
        <v>0</v>
      </c>
      <c r="Q5" s="544">
        <v>300000</v>
      </c>
      <c r="R5" s="545">
        <f t="shared" ref="R5:R6" si="5">Q5*$H5</f>
        <v>7649.9999999999991</v>
      </c>
      <c r="S5" s="544"/>
      <c r="T5" s="545">
        <f t="shared" ref="T5:T30" si="6">IFERROR(S5*$H5,"-")</f>
        <v>0</v>
      </c>
      <c r="U5" s="544">
        <v>300000</v>
      </c>
      <c r="V5" s="545">
        <f t="shared" ref="V5:V6" si="7">U5*$H5</f>
        <v>7649.9999999999991</v>
      </c>
      <c r="W5" s="545"/>
      <c r="X5" s="545"/>
      <c r="Y5" s="544">
        <v>330000</v>
      </c>
      <c r="Z5" s="545">
        <f t="shared" ref="Z5:Z6" si="8">Y5*$H5</f>
        <v>8415</v>
      </c>
      <c r="AA5" s="545"/>
      <c r="AB5" s="545"/>
      <c r="AC5" s="544">
        <v>350000</v>
      </c>
      <c r="AD5" s="545">
        <f t="shared" ref="AD5:AD6" si="9">AC5*$H5</f>
        <v>8925</v>
      </c>
      <c r="AE5" s="545"/>
      <c r="AF5" s="545"/>
      <c r="AG5" s="544">
        <v>300000</v>
      </c>
      <c r="AH5" s="545">
        <f t="shared" ref="AH5:AH6" si="10">AG5*$H5</f>
        <v>7649.9999999999991</v>
      </c>
      <c r="AI5" s="545"/>
      <c r="AJ5" s="545"/>
      <c r="AK5" s="544">
        <v>350000</v>
      </c>
      <c r="AL5" s="545">
        <f t="shared" ref="AL5:AL6" si="11">AK5*$H5</f>
        <v>8925</v>
      </c>
      <c r="AM5" s="545"/>
      <c r="AN5" s="545"/>
      <c r="AO5" s="544">
        <v>350000</v>
      </c>
      <c r="AP5" s="545">
        <f t="shared" ref="AP5:AP6" si="12">AO5*$H5</f>
        <v>8925</v>
      </c>
      <c r="AQ5" s="545"/>
      <c r="AR5" s="545"/>
      <c r="AS5" s="544">
        <v>350000</v>
      </c>
      <c r="AT5" s="545">
        <f t="shared" ref="AT5:AT6" si="13">AS5*$H5</f>
        <v>8925</v>
      </c>
      <c r="AU5" s="545"/>
      <c r="AV5" s="545"/>
      <c r="AW5" s="544">
        <v>350000</v>
      </c>
      <c r="AX5" s="545">
        <f t="shared" ref="AX5:AX6" si="14">AW5*$H5</f>
        <v>8925</v>
      </c>
      <c r="AY5" s="545"/>
      <c r="AZ5" s="545"/>
      <c r="BA5" s="544">
        <v>350000</v>
      </c>
      <c r="BB5" s="545">
        <f t="shared" ref="BB5:BB6" si="15">BA5*$H5</f>
        <v>8925</v>
      </c>
      <c r="BC5" s="545"/>
      <c r="BD5" s="545"/>
      <c r="BE5" s="544">
        <v>350000</v>
      </c>
      <c r="BF5" s="545">
        <f t="shared" ref="BF5:BF6" si="16">BE5*$H5</f>
        <v>8925</v>
      </c>
      <c r="BG5" s="545"/>
      <c r="BH5" s="545"/>
      <c r="BI5" s="544">
        <v>350000</v>
      </c>
      <c r="BJ5" s="545">
        <f t="shared" ref="BJ5:BJ6" si="17">BI5*$H5</f>
        <v>8925</v>
      </c>
      <c r="BK5" s="545"/>
      <c r="BL5" s="545" t="str">
        <f>IFERROR(AVERAGE(#REF!,#REF!,#REF!,#REF!,#REF!,#REF!,#REF!,#REF!,#REF!,#REF!,#REF!,#REF!),"-")</f>
        <v>-</v>
      </c>
      <c r="BM5" s="545" t="str">
        <f t="shared" si="0"/>
        <v>-</v>
      </c>
      <c r="BN5" s="542"/>
    </row>
    <row r="6" spans="2:66" x14ac:dyDescent="0.35">
      <c r="B6" s="542" t="s">
        <v>117</v>
      </c>
      <c r="C6" s="542" t="s">
        <v>860</v>
      </c>
      <c r="D6" s="542" t="s">
        <v>41</v>
      </c>
      <c r="E6" s="542" t="s">
        <v>861</v>
      </c>
      <c r="F6" s="542" t="s">
        <v>790</v>
      </c>
      <c r="G6" s="542" t="s">
        <v>59</v>
      </c>
      <c r="H6" s="543">
        <v>6.4000000000000003E-3</v>
      </c>
      <c r="I6" s="544">
        <v>50000</v>
      </c>
      <c r="J6" s="545">
        <f t="shared" si="1"/>
        <v>320</v>
      </c>
      <c r="K6" s="544"/>
      <c r="L6" s="545">
        <f t="shared" si="2"/>
        <v>0</v>
      </c>
      <c r="M6" s="544">
        <v>50000</v>
      </c>
      <c r="N6" s="545">
        <f t="shared" si="3"/>
        <v>320</v>
      </c>
      <c r="O6" s="544"/>
      <c r="P6" s="545">
        <f t="shared" si="4"/>
        <v>0</v>
      </c>
      <c r="Q6" s="544">
        <v>40000</v>
      </c>
      <c r="R6" s="545">
        <f t="shared" si="5"/>
        <v>256</v>
      </c>
      <c r="S6" s="544"/>
      <c r="T6" s="545">
        <f t="shared" si="6"/>
        <v>0</v>
      </c>
      <c r="U6" s="544">
        <v>40000</v>
      </c>
      <c r="V6" s="545">
        <f t="shared" si="7"/>
        <v>256</v>
      </c>
      <c r="W6" s="545"/>
      <c r="X6" s="545"/>
      <c r="Y6" s="544">
        <v>45000</v>
      </c>
      <c r="Z6" s="545">
        <f t="shared" si="8"/>
        <v>288</v>
      </c>
      <c r="AA6" s="545"/>
      <c r="AB6" s="545"/>
      <c r="AC6" s="544">
        <v>50000</v>
      </c>
      <c r="AD6" s="545">
        <f t="shared" si="9"/>
        <v>320</v>
      </c>
      <c r="AE6" s="545"/>
      <c r="AF6" s="545"/>
      <c r="AG6" s="544">
        <v>40000</v>
      </c>
      <c r="AH6" s="545">
        <f t="shared" si="10"/>
        <v>256</v>
      </c>
      <c r="AI6" s="545"/>
      <c r="AJ6" s="545"/>
      <c r="AK6" s="544">
        <v>50000</v>
      </c>
      <c r="AL6" s="545">
        <f t="shared" si="11"/>
        <v>320</v>
      </c>
      <c r="AM6" s="545"/>
      <c r="AN6" s="545"/>
      <c r="AO6" s="544">
        <v>50000</v>
      </c>
      <c r="AP6" s="545">
        <f t="shared" si="12"/>
        <v>320</v>
      </c>
      <c r="AQ6" s="545"/>
      <c r="AR6" s="545"/>
      <c r="AS6" s="544">
        <v>50000</v>
      </c>
      <c r="AT6" s="545">
        <f t="shared" si="13"/>
        <v>320</v>
      </c>
      <c r="AU6" s="545"/>
      <c r="AV6" s="545"/>
      <c r="AW6" s="544">
        <v>50000</v>
      </c>
      <c r="AX6" s="545">
        <f t="shared" si="14"/>
        <v>320</v>
      </c>
      <c r="AY6" s="545"/>
      <c r="AZ6" s="545"/>
      <c r="BA6" s="544">
        <v>50000</v>
      </c>
      <c r="BB6" s="545">
        <f t="shared" si="15"/>
        <v>320</v>
      </c>
      <c r="BC6" s="545"/>
      <c r="BD6" s="545"/>
      <c r="BE6" s="544">
        <v>50000</v>
      </c>
      <c r="BF6" s="545">
        <f t="shared" si="16"/>
        <v>320</v>
      </c>
      <c r="BG6" s="545"/>
      <c r="BH6" s="545"/>
      <c r="BI6" s="544">
        <v>50000</v>
      </c>
      <c r="BJ6" s="545">
        <f t="shared" si="17"/>
        <v>320</v>
      </c>
      <c r="BK6" s="545"/>
      <c r="BL6" s="545" t="str">
        <f>IFERROR(AVERAGE(#REF!,#REF!,#REF!,#REF!,#REF!,#REF!,#REF!,#REF!,#REF!,#REF!,#REF!,#REF!),"-")</f>
        <v>-</v>
      </c>
      <c r="BM6" s="545" t="str">
        <f t="shared" si="0"/>
        <v>-</v>
      </c>
      <c r="BN6" s="542"/>
    </row>
    <row r="7" spans="2:66" x14ac:dyDescent="0.35">
      <c r="B7" s="542" t="s">
        <v>117</v>
      </c>
      <c r="C7" s="542" t="s">
        <v>860</v>
      </c>
      <c r="D7" s="542" t="s">
        <v>62</v>
      </c>
      <c r="E7" s="542" t="s">
        <v>862</v>
      </c>
      <c r="F7" s="542" t="s">
        <v>782</v>
      </c>
      <c r="G7" s="542" t="s">
        <v>87</v>
      </c>
      <c r="H7" s="546">
        <v>0.55000000000000004</v>
      </c>
      <c r="I7" s="542">
        <v>754</v>
      </c>
      <c r="J7" s="547">
        <f>I7*$H7</f>
        <v>414.70000000000005</v>
      </c>
      <c r="K7" s="542"/>
      <c r="L7" s="545">
        <f t="shared" si="2"/>
        <v>0</v>
      </c>
      <c r="M7" s="542">
        <v>840</v>
      </c>
      <c r="N7" s="547">
        <f>M7*$H7</f>
        <v>462.00000000000006</v>
      </c>
      <c r="O7" s="542"/>
      <c r="P7" s="545">
        <f t="shared" si="4"/>
        <v>0</v>
      </c>
      <c r="Q7" s="542">
        <v>840</v>
      </c>
      <c r="R7" s="547">
        <f>Q7*$H7</f>
        <v>462.00000000000006</v>
      </c>
      <c r="S7" s="542"/>
      <c r="T7" s="545">
        <f t="shared" si="6"/>
        <v>0</v>
      </c>
      <c r="U7" s="542">
        <v>840</v>
      </c>
      <c r="V7" s="547">
        <f>U7*$H7</f>
        <v>462.00000000000006</v>
      </c>
      <c r="W7" s="545"/>
      <c r="X7" s="545"/>
      <c r="Y7" s="542">
        <v>840</v>
      </c>
      <c r="Z7" s="547">
        <f>Y7*$H7</f>
        <v>462.00000000000006</v>
      </c>
      <c r="AA7" s="545"/>
      <c r="AB7" s="545"/>
      <c r="AC7" s="542">
        <v>840</v>
      </c>
      <c r="AD7" s="547">
        <f>AC7*$H7</f>
        <v>462.00000000000006</v>
      </c>
      <c r="AE7" s="545"/>
      <c r="AF7" s="545"/>
      <c r="AG7" s="542">
        <v>840</v>
      </c>
      <c r="AH7" s="547">
        <f>AG7*$H7</f>
        <v>462.00000000000006</v>
      </c>
      <c r="AI7" s="545"/>
      <c r="AJ7" s="545"/>
      <c r="AK7" s="542">
        <v>840</v>
      </c>
      <c r="AL7" s="547">
        <f>AK7*$H7</f>
        <v>462.00000000000006</v>
      </c>
      <c r="AM7" s="545"/>
      <c r="AN7" s="545"/>
      <c r="AO7" s="542">
        <v>840</v>
      </c>
      <c r="AP7" s="547">
        <f>AO7*$H7</f>
        <v>462.00000000000006</v>
      </c>
      <c r="AQ7" s="545"/>
      <c r="AR7" s="545"/>
      <c r="AS7" s="542">
        <v>840</v>
      </c>
      <c r="AT7" s="547">
        <f>AS7*$H7</f>
        <v>462.00000000000006</v>
      </c>
      <c r="AU7" s="545"/>
      <c r="AV7" s="545"/>
      <c r="AW7" s="542">
        <v>840</v>
      </c>
      <c r="AX7" s="547">
        <f>AW7*$H7</f>
        <v>462.00000000000006</v>
      </c>
      <c r="AY7" s="545"/>
      <c r="AZ7" s="545"/>
      <c r="BA7" s="542">
        <v>840</v>
      </c>
      <c r="BB7" s="547">
        <f>BA7*$H7</f>
        <v>462.00000000000006</v>
      </c>
      <c r="BC7" s="545"/>
      <c r="BD7" s="545"/>
      <c r="BE7" s="542">
        <v>840</v>
      </c>
      <c r="BF7" s="547">
        <f>BE7*$H7</f>
        <v>462.00000000000006</v>
      </c>
      <c r="BG7" s="545"/>
      <c r="BH7" s="545"/>
      <c r="BI7" s="542">
        <v>840</v>
      </c>
      <c r="BJ7" s="547">
        <f>BI7*$H7</f>
        <v>462.00000000000006</v>
      </c>
      <c r="BK7" s="545"/>
      <c r="BL7" s="548" t="str">
        <f>IFERROR(AVERAGE(#REF!,#REF!,#REF!,#REF!,#REF!,#REF!,#REF!,#REF!,#REF!,#REF!,#REF!,#REF!),"-")</f>
        <v>-</v>
      </c>
      <c r="BM7" s="545" t="str">
        <f t="shared" si="0"/>
        <v>-</v>
      </c>
      <c r="BN7" s="542"/>
    </row>
    <row r="8" spans="2:66" x14ac:dyDescent="0.35">
      <c r="B8" s="542" t="s">
        <v>117</v>
      </c>
      <c r="C8" s="542" t="s">
        <v>860</v>
      </c>
      <c r="D8" s="542" t="s">
        <v>62</v>
      </c>
      <c r="E8" s="542" t="s">
        <v>862</v>
      </c>
      <c r="F8" s="542" t="s">
        <v>782</v>
      </c>
      <c r="G8" s="542" t="s">
        <v>86</v>
      </c>
      <c r="H8" s="546">
        <v>0.27</v>
      </c>
      <c r="I8" s="542">
        <v>5690</v>
      </c>
      <c r="J8" s="547">
        <f t="shared" ref="J8:J40" si="18">I8*$H8</f>
        <v>1536.3000000000002</v>
      </c>
      <c r="K8" s="542"/>
      <c r="L8" s="545">
        <f t="shared" si="2"/>
        <v>0</v>
      </c>
      <c r="M8" s="542">
        <v>6337</v>
      </c>
      <c r="N8" s="547">
        <f t="shared" ref="N8:N40" si="19">M8*$H8</f>
        <v>1710.99</v>
      </c>
      <c r="O8" s="542"/>
      <c r="P8" s="545">
        <f t="shared" si="4"/>
        <v>0</v>
      </c>
      <c r="Q8" s="542">
        <v>6000</v>
      </c>
      <c r="R8" s="547">
        <f t="shared" ref="R8:R40" si="20">Q8*$H8</f>
        <v>1620</v>
      </c>
      <c r="S8" s="542"/>
      <c r="T8" s="545">
        <f t="shared" si="6"/>
        <v>0</v>
      </c>
      <c r="U8" s="542">
        <v>5900</v>
      </c>
      <c r="V8" s="547">
        <f t="shared" ref="V8:V40" si="21">U8*$H8</f>
        <v>1593</v>
      </c>
      <c r="W8" s="545"/>
      <c r="X8" s="545"/>
      <c r="Y8" s="542">
        <v>6337</v>
      </c>
      <c r="Z8" s="547">
        <f t="shared" ref="Z8:Z40" si="22">Y8*$H8</f>
        <v>1710.99</v>
      </c>
      <c r="AA8" s="545"/>
      <c r="AB8" s="545"/>
      <c r="AC8" s="542">
        <v>6337</v>
      </c>
      <c r="AD8" s="547">
        <f t="shared" ref="AD8:AD40" si="23">AC8*$H8</f>
        <v>1710.99</v>
      </c>
      <c r="AE8" s="545"/>
      <c r="AF8" s="545"/>
      <c r="AG8" s="542">
        <v>5900</v>
      </c>
      <c r="AH8" s="547">
        <f t="shared" ref="AH8:AH40" si="24">AG8*$H8</f>
        <v>1593</v>
      </c>
      <c r="AI8" s="545"/>
      <c r="AJ8" s="545"/>
      <c r="AK8" s="542">
        <v>6337</v>
      </c>
      <c r="AL8" s="547">
        <f t="shared" ref="AL8:AL40" si="25">AK8*$H8</f>
        <v>1710.99</v>
      </c>
      <c r="AM8" s="545"/>
      <c r="AN8" s="545"/>
      <c r="AO8" s="542">
        <v>6337</v>
      </c>
      <c r="AP8" s="547">
        <f t="shared" ref="AP8:AP40" si="26">AO8*$H8</f>
        <v>1710.99</v>
      </c>
      <c r="AQ8" s="545"/>
      <c r="AR8" s="545"/>
      <c r="AS8" s="542">
        <v>6000</v>
      </c>
      <c r="AT8" s="547">
        <f t="shared" ref="AT8:AT40" si="27">AS8*$H8</f>
        <v>1620</v>
      </c>
      <c r="AU8" s="545"/>
      <c r="AV8" s="545"/>
      <c r="AW8" s="542">
        <v>6000</v>
      </c>
      <c r="AX8" s="547">
        <f t="shared" ref="AX8:AX40" si="28">AW8*$H8</f>
        <v>1620</v>
      </c>
      <c r="AY8" s="545"/>
      <c r="AZ8" s="545"/>
      <c r="BA8" s="542">
        <v>6337</v>
      </c>
      <c r="BB8" s="547">
        <f t="shared" ref="BB8:BB40" si="29">BA8*$H8</f>
        <v>1710.99</v>
      </c>
      <c r="BC8" s="545"/>
      <c r="BD8" s="545"/>
      <c r="BE8" s="542">
        <v>5900</v>
      </c>
      <c r="BF8" s="547">
        <f t="shared" ref="BF8:BF40" si="30">BE8*$H8</f>
        <v>1593</v>
      </c>
      <c r="BG8" s="545"/>
      <c r="BH8" s="545"/>
      <c r="BI8" s="542">
        <v>6337</v>
      </c>
      <c r="BJ8" s="547">
        <f t="shared" ref="BJ8:BJ40" si="31">BI8*$H8</f>
        <v>1710.99</v>
      </c>
      <c r="BK8" s="545"/>
      <c r="BL8" s="548" t="str">
        <f>IFERROR(AVERAGE(#REF!,#REF!,#REF!,#REF!,#REF!,#REF!,#REF!,#REF!,#REF!,#REF!,#REF!,#REF!),"-")</f>
        <v>-</v>
      </c>
      <c r="BM8" s="545" t="str">
        <f t="shared" si="0"/>
        <v>-</v>
      </c>
      <c r="BN8" s="542"/>
    </row>
    <row r="9" spans="2:66" x14ac:dyDescent="0.35">
      <c r="B9" s="542" t="s">
        <v>117</v>
      </c>
      <c r="C9" s="542" t="s">
        <v>860</v>
      </c>
      <c r="D9" s="542" t="s">
        <v>62</v>
      </c>
      <c r="E9" s="542" t="s">
        <v>862</v>
      </c>
      <c r="F9" s="542" t="s">
        <v>782</v>
      </c>
      <c r="G9" s="542" t="s">
        <v>783</v>
      </c>
      <c r="H9" s="546">
        <v>0.54</v>
      </c>
      <c r="I9" s="542">
        <v>744</v>
      </c>
      <c r="J9" s="547">
        <f t="shared" si="18"/>
        <v>401.76000000000005</v>
      </c>
      <c r="K9" s="542"/>
      <c r="L9" s="545">
        <f t="shared" si="2"/>
        <v>0</v>
      </c>
      <c r="M9" s="542">
        <v>828</v>
      </c>
      <c r="N9" s="547">
        <f t="shared" si="19"/>
        <v>447.12</v>
      </c>
      <c r="O9" s="542"/>
      <c r="P9" s="545">
        <f t="shared" si="4"/>
        <v>0</v>
      </c>
      <c r="Q9" s="542">
        <v>828</v>
      </c>
      <c r="R9" s="547">
        <f t="shared" si="20"/>
        <v>447.12</v>
      </c>
      <c r="S9" s="542"/>
      <c r="T9" s="545">
        <f t="shared" si="6"/>
        <v>0</v>
      </c>
      <c r="U9" s="542">
        <v>800</v>
      </c>
      <c r="V9" s="547">
        <f t="shared" si="21"/>
        <v>432</v>
      </c>
      <c r="W9" s="545"/>
      <c r="X9" s="545"/>
      <c r="Y9" s="542">
        <v>828</v>
      </c>
      <c r="Z9" s="547">
        <f t="shared" si="22"/>
        <v>447.12</v>
      </c>
      <c r="AA9" s="545"/>
      <c r="AB9" s="545"/>
      <c r="AC9" s="542">
        <v>828</v>
      </c>
      <c r="AD9" s="547">
        <f t="shared" si="23"/>
        <v>447.12</v>
      </c>
      <c r="AE9" s="545"/>
      <c r="AF9" s="545"/>
      <c r="AG9" s="542">
        <v>800</v>
      </c>
      <c r="AH9" s="547">
        <f t="shared" si="24"/>
        <v>432</v>
      </c>
      <c r="AI9" s="545"/>
      <c r="AJ9" s="545"/>
      <c r="AK9" s="542">
        <v>828</v>
      </c>
      <c r="AL9" s="547">
        <f t="shared" si="25"/>
        <v>447.12</v>
      </c>
      <c r="AM9" s="545"/>
      <c r="AN9" s="545"/>
      <c r="AO9" s="542">
        <v>828</v>
      </c>
      <c r="AP9" s="547">
        <f t="shared" si="26"/>
        <v>447.12</v>
      </c>
      <c r="AQ9" s="545"/>
      <c r="AR9" s="545"/>
      <c r="AS9" s="542">
        <v>780</v>
      </c>
      <c r="AT9" s="547">
        <f t="shared" si="27"/>
        <v>421.20000000000005</v>
      </c>
      <c r="AU9" s="545"/>
      <c r="AV9" s="545"/>
      <c r="AW9" s="542">
        <v>780</v>
      </c>
      <c r="AX9" s="547">
        <f t="shared" si="28"/>
        <v>421.20000000000005</v>
      </c>
      <c r="AY9" s="545"/>
      <c r="AZ9" s="545"/>
      <c r="BA9" s="542">
        <v>828</v>
      </c>
      <c r="BB9" s="547">
        <f t="shared" si="29"/>
        <v>447.12</v>
      </c>
      <c r="BC9" s="545"/>
      <c r="BD9" s="545"/>
      <c r="BE9" s="542">
        <v>800</v>
      </c>
      <c r="BF9" s="547">
        <f t="shared" si="30"/>
        <v>432</v>
      </c>
      <c r="BG9" s="545"/>
      <c r="BH9" s="545"/>
      <c r="BI9" s="542">
        <v>828</v>
      </c>
      <c r="BJ9" s="547">
        <f t="shared" si="31"/>
        <v>447.12</v>
      </c>
      <c r="BK9" s="545"/>
      <c r="BL9" s="548" t="str">
        <f>IFERROR(AVERAGE(#REF!,#REF!,#REF!,#REF!,#REF!,#REF!,#REF!,#REF!,#REF!,#REF!,#REF!,#REF!),"-")</f>
        <v>-</v>
      </c>
      <c r="BM9" s="545" t="str">
        <f t="shared" si="0"/>
        <v>-</v>
      </c>
      <c r="BN9" s="542"/>
    </row>
    <row r="10" spans="2:66" x14ac:dyDescent="0.35">
      <c r="B10" s="542" t="s">
        <v>117</v>
      </c>
      <c r="C10" s="542" t="s">
        <v>860</v>
      </c>
      <c r="D10" s="542" t="s">
        <v>62</v>
      </c>
      <c r="E10" s="542" t="s">
        <v>862</v>
      </c>
      <c r="F10" s="542" t="s">
        <v>782</v>
      </c>
      <c r="G10" s="542" t="s">
        <v>784</v>
      </c>
      <c r="H10" s="546">
        <v>0.25</v>
      </c>
      <c r="I10" s="542">
        <v>5593</v>
      </c>
      <c r="J10" s="547">
        <f t="shared" si="18"/>
        <v>1398.25</v>
      </c>
      <c r="K10" s="542"/>
      <c r="L10" s="545">
        <f t="shared" si="2"/>
        <v>0</v>
      </c>
      <c r="M10" s="542">
        <v>6229</v>
      </c>
      <c r="N10" s="547">
        <f t="shared" si="19"/>
        <v>1557.25</v>
      </c>
      <c r="O10" s="542"/>
      <c r="P10" s="545">
        <f t="shared" si="4"/>
        <v>0</v>
      </c>
      <c r="Q10" s="542">
        <v>6000</v>
      </c>
      <c r="R10" s="547">
        <f t="shared" si="20"/>
        <v>1500</v>
      </c>
      <c r="S10" s="542"/>
      <c r="T10" s="545">
        <f t="shared" si="6"/>
        <v>0</v>
      </c>
      <c r="U10" s="542">
        <v>6000</v>
      </c>
      <c r="V10" s="547">
        <f t="shared" si="21"/>
        <v>1500</v>
      </c>
      <c r="W10" s="545"/>
      <c r="X10" s="545"/>
      <c r="Y10" s="542">
        <v>6229</v>
      </c>
      <c r="Z10" s="547">
        <f t="shared" si="22"/>
        <v>1557.25</v>
      </c>
      <c r="AA10" s="545"/>
      <c r="AB10" s="545"/>
      <c r="AC10" s="542">
        <v>6229</v>
      </c>
      <c r="AD10" s="547">
        <f t="shared" si="23"/>
        <v>1557.25</v>
      </c>
      <c r="AE10" s="545"/>
      <c r="AF10" s="545"/>
      <c r="AG10" s="542">
        <v>6000</v>
      </c>
      <c r="AH10" s="547">
        <f t="shared" si="24"/>
        <v>1500</v>
      </c>
      <c r="AI10" s="545"/>
      <c r="AJ10" s="545"/>
      <c r="AK10" s="542">
        <v>6229</v>
      </c>
      <c r="AL10" s="547">
        <f t="shared" si="25"/>
        <v>1557.25</v>
      </c>
      <c r="AM10" s="545"/>
      <c r="AN10" s="545"/>
      <c r="AO10" s="542">
        <v>6229</v>
      </c>
      <c r="AP10" s="547">
        <f t="shared" si="26"/>
        <v>1557.25</v>
      </c>
      <c r="AQ10" s="545"/>
      <c r="AR10" s="545"/>
      <c r="AS10" s="542">
        <v>6000</v>
      </c>
      <c r="AT10" s="547">
        <f t="shared" si="27"/>
        <v>1500</v>
      </c>
      <c r="AU10" s="545"/>
      <c r="AV10" s="545"/>
      <c r="AW10" s="542">
        <v>6000</v>
      </c>
      <c r="AX10" s="547">
        <f t="shared" si="28"/>
        <v>1500</v>
      </c>
      <c r="AY10" s="545"/>
      <c r="AZ10" s="545"/>
      <c r="BA10" s="542">
        <v>6229</v>
      </c>
      <c r="BB10" s="547">
        <f t="shared" si="29"/>
        <v>1557.25</v>
      </c>
      <c r="BC10" s="545"/>
      <c r="BD10" s="545"/>
      <c r="BE10" s="542">
        <v>6000</v>
      </c>
      <c r="BF10" s="547">
        <f t="shared" si="30"/>
        <v>1500</v>
      </c>
      <c r="BG10" s="545"/>
      <c r="BH10" s="545"/>
      <c r="BI10" s="542">
        <v>6229</v>
      </c>
      <c r="BJ10" s="547">
        <f t="shared" si="31"/>
        <v>1557.25</v>
      </c>
      <c r="BK10" s="545"/>
      <c r="BL10" s="548" t="str">
        <f>IFERROR(AVERAGE(#REF!,#REF!,#REF!,#REF!,#REF!,#REF!,#REF!,#REF!,#REF!,#REF!,#REF!,#REF!),"-")</f>
        <v>-</v>
      </c>
      <c r="BM10" s="545" t="str">
        <f t="shared" si="0"/>
        <v>-</v>
      </c>
      <c r="BN10" s="542"/>
    </row>
    <row r="11" spans="2:66" x14ac:dyDescent="0.35">
      <c r="B11" s="542" t="s">
        <v>117</v>
      </c>
      <c r="C11" s="542" t="s">
        <v>860</v>
      </c>
      <c r="D11" s="542" t="s">
        <v>62</v>
      </c>
      <c r="E11" s="542" t="s">
        <v>861</v>
      </c>
      <c r="F11" s="542" t="s">
        <v>782</v>
      </c>
      <c r="G11" s="542" t="s">
        <v>101</v>
      </c>
      <c r="H11" s="546">
        <v>1</v>
      </c>
      <c r="I11" s="542">
        <v>10000</v>
      </c>
      <c r="J11" s="547">
        <f t="shared" si="18"/>
        <v>10000</v>
      </c>
      <c r="K11" s="542"/>
      <c r="L11" s="545">
        <f t="shared" si="2"/>
        <v>0</v>
      </c>
      <c r="M11" s="542">
        <v>10000</v>
      </c>
      <c r="N11" s="547">
        <f t="shared" si="19"/>
        <v>10000</v>
      </c>
      <c r="O11" s="542"/>
      <c r="P11" s="545">
        <f t="shared" si="4"/>
        <v>0</v>
      </c>
      <c r="Q11" s="542">
        <v>9000</v>
      </c>
      <c r="R11" s="547">
        <f t="shared" si="20"/>
        <v>9000</v>
      </c>
      <c r="S11" s="542"/>
      <c r="T11" s="545">
        <f t="shared" si="6"/>
        <v>0</v>
      </c>
      <c r="U11" s="542">
        <v>8000</v>
      </c>
      <c r="V11" s="547">
        <f t="shared" si="21"/>
        <v>8000</v>
      </c>
      <c r="W11" s="545"/>
      <c r="X11" s="545"/>
      <c r="Y11" s="542">
        <v>10000</v>
      </c>
      <c r="Z11" s="547">
        <f t="shared" si="22"/>
        <v>10000</v>
      </c>
      <c r="AA11" s="545"/>
      <c r="AB11" s="545"/>
      <c r="AC11" s="542">
        <v>10000</v>
      </c>
      <c r="AD11" s="547">
        <f t="shared" si="23"/>
        <v>10000</v>
      </c>
      <c r="AE11" s="545"/>
      <c r="AF11" s="545"/>
      <c r="AG11" s="542">
        <v>8000</v>
      </c>
      <c r="AH11" s="547">
        <f t="shared" si="24"/>
        <v>8000</v>
      </c>
      <c r="AI11" s="545"/>
      <c r="AJ11" s="545"/>
      <c r="AK11" s="542">
        <v>10000</v>
      </c>
      <c r="AL11" s="547">
        <f t="shared" si="25"/>
        <v>10000</v>
      </c>
      <c r="AM11" s="545"/>
      <c r="AN11" s="545"/>
      <c r="AO11" s="542">
        <v>10000</v>
      </c>
      <c r="AP11" s="547">
        <f t="shared" si="26"/>
        <v>10000</v>
      </c>
      <c r="AQ11" s="545"/>
      <c r="AR11" s="545"/>
      <c r="AS11" s="542">
        <v>9000</v>
      </c>
      <c r="AT11" s="547">
        <f t="shared" si="27"/>
        <v>9000</v>
      </c>
      <c r="AU11" s="545"/>
      <c r="AV11" s="545"/>
      <c r="AW11" s="542">
        <v>9000</v>
      </c>
      <c r="AX11" s="547">
        <f t="shared" si="28"/>
        <v>9000</v>
      </c>
      <c r="AY11" s="545"/>
      <c r="AZ11" s="545"/>
      <c r="BA11" s="542">
        <v>10000</v>
      </c>
      <c r="BB11" s="547">
        <f t="shared" si="29"/>
        <v>10000</v>
      </c>
      <c r="BC11" s="545"/>
      <c r="BD11" s="545"/>
      <c r="BE11" s="542">
        <v>8000</v>
      </c>
      <c r="BF11" s="547">
        <f t="shared" si="30"/>
        <v>8000</v>
      </c>
      <c r="BG11" s="545"/>
      <c r="BH11" s="545"/>
      <c r="BI11" s="542">
        <v>10000</v>
      </c>
      <c r="BJ11" s="547">
        <f t="shared" si="31"/>
        <v>10000</v>
      </c>
      <c r="BK11" s="545"/>
      <c r="BL11" s="548" t="str">
        <f>IFERROR(AVERAGE(#REF!,#REF!,#REF!,#REF!,#REF!,#REF!,#REF!,#REF!,#REF!,#REF!,#REF!,#REF!),"-")</f>
        <v>-</v>
      </c>
      <c r="BM11" s="545" t="str">
        <f t="shared" si="0"/>
        <v>-</v>
      </c>
      <c r="BN11" s="542"/>
    </row>
    <row r="12" spans="2:66" x14ac:dyDescent="0.35">
      <c r="B12" s="542" t="s">
        <v>117</v>
      </c>
      <c r="C12" s="542" t="s">
        <v>860</v>
      </c>
      <c r="D12" s="542" t="s">
        <v>62</v>
      </c>
      <c r="E12" s="542" t="s">
        <v>862</v>
      </c>
      <c r="F12" s="542" t="s">
        <v>782</v>
      </c>
      <c r="G12" s="542" t="s">
        <v>786</v>
      </c>
      <c r="H12" s="546">
        <v>0.14000000000000001</v>
      </c>
      <c r="I12" s="542">
        <v>37000</v>
      </c>
      <c r="J12" s="547">
        <f t="shared" si="18"/>
        <v>5180.0000000000009</v>
      </c>
      <c r="K12" s="542"/>
      <c r="L12" s="545">
        <f t="shared" si="2"/>
        <v>0</v>
      </c>
      <c r="M12" s="542">
        <v>43000</v>
      </c>
      <c r="N12" s="547">
        <f t="shared" si="19"/>
        <v>6020.0000000000009</v>
      </c>
      <c r="O12" s="542"/>
      <c r="P12" s="545">
        <f t="shared" si="4"/>
        <v>0</v>
      </c>
      <c r="Q12" s="542">
        <v>41000</v>
      </c>
      <c r="R12" s="547">
        <f t="shared" si="20"/>
        <v>5740.0000000000009</v>
      </c>
      <c r="S12" s="542"/>
      <c r="T12" s="545">
        <f t="shared" si="6"/>
        <v>0</v>
      </c>
      <c r="U12" s="542">
        <v>40000</v>
      </c>
      <c r="V12" s="547">
        <f t="shared" si="21"/>
        <v>5600.0000000000009</v>
      </c>
      <c r="W12" s="545"/>
      <c r="X12" s="545"/>
      <c r="Y12" s="542">
        <v>43000</v>
      </c>
      <c r="Z12" s="547">
        <f t="shared" si="22"/>
        <v>6020.0000000000009</v>
      </c>
      <c r="AA12" s="545"/>
      <c r="AB12" s="545"/>
      <c r="AC12" s="542">
        <v>43000</v>
      </c>
      <c r="AD12" s="547">
        <f t="shared" si="23"/>
        <v>6020.0000000000009</v>
      </c>
      <c r="AE12" s="545"/>
      <c r="AF12" s="545"/>
      <c r="AG12" s="542">
        <v>40000</v>
      </c>
      <c r="AH12" s="547">
        <f t="shared" si="24"/>
        <v>5600.0000000000009</v>
      </c>
      <c r="AI12" s="545"/>
      <c r="AJ12" s="545"/>
      <c r="AK12" s="542">
        <v>43000</v>
      </c>
      <c r="AL12" s="547">
        <f t="shared" si="25"/>
        <v>6020.0000000000009</v>
      </c>
      <c r="AM12" s="545"/>
      <c r="AN12" s="545"/>
      <c r="AO12" s="542">
        <v>43000</v>
      </c>
      <c r="AP12" s="547">
        <f t="shared" si="26"/>
        <v>6020.0000000000009</v>
      </c>
      <c r="AQ12" s="545"/>
      <c r="AR12" s="545"/>
      <c r="AS12" s="542">
        <v>41000</v>
      </c>
      <c r="AT12" s="547">
        <f t="shared" si="27"/>
        <v>5740.0000000000009</v>
      </c>
      <c r="AU12" s="545"/>
      <c r="AV12" s="545"/>
      <c r="AW12" s="542">
        <v>41000</v>
      </c>
      <c r="AX12" s="547">
        <f t="shared" si="28"/>
        <v>5740.0000000000009</v>
      </c>
      <c r="AY12" s="545"/>
      <c r="AZ12" s="545"/>
      <c r="BA12" s="542">
        <v>43000</v>
      </c>
      <c r="BB12" s="547">
        <f t="shared" si="29"/>
        <v>6020.0000000000009</v>
      </c>
      <c r="BC12" s="545"/>
      <c r="BD12" s="545"/>
      <c r="BE12" s="542">
        <v>40000</v>
      </c>
      <c r="BF12" s="547">
        <f t="shared" si="30"/>
        <v>5600.0000000000009</v>
      </c>
      <c r="BG12" s="545"/>
      <c r="BH12" s="545"/>
      <c r="BI12" s="542">
        <v>43000</v>
      </c>
      <c r="BJ12" s="547">
        <f t="shared" si="31"/>
        <v>6020.0000000000009</v>
      </c>
      <c r="BK12" s="545"/>
      <c r="BL12" s="548" t="str">
        <f>IFERROR(AVERAGE(#REF!,#REF!,#REF!,#REF!,#REF!,#REF!,#REF!,#REF!,#REF!,#REF!,#REF!,#REF!),"-")</f>
        <v>-</v>
      </c>
      <c r="BM12" s="545" t="str">
        <f t="shared" si="0"/>
        <v>-</v>
      </c>
      <c r="BN12" s="542"/>
    </row>
    <row r="13" spans="2:66" x14ac:dyDescent="0.35">
      <c r="B13" s="542" t="s">
        <v>117</v>
      </c>
      <c r="C13" s="542" t="s">
        <v>860</v>
      </c>
      <c r="D13" s="542" t="s">
        <v>62</v>
      </c>
      <c r="E13" s="542" t="s">
        <v>862</v>
      </c>
      <c r="F13" s="542" t="s">
        <v>782</v>
      </c>
      <c r="G13" s="542" t="s">
        <v>840</v>
      </c>
      <c r="H13" s="549">
        <v>2.5999999999999999E-2</v>
      </c>
      <c r="I13" s="542">
        <v>39500</v>
      </c>
      <c r="J13" s="547">
        <f t="shared" si="18"/>
        <v>1027</v>
      </c>
      <c r="K13" s="542"/>
      <c r="L13" s="545">
        <f t="shared" si="2"/>
        <v>0</v>
      </c>
      <c r="M13" s="542">
        <v>40000</v>
      </c>
      <c r="N13" s="547">
        <f t="shared" si="19"/>
        <v>1040</v>
      </c>
      <c r="O13" s="542"/>
      <c r="P13" s="545">
        <f t="shared" si="4"/>
        <v>0</v>
      </c>
      <c r="Q13" s="542">
        <v>38000</v>
      </c>
      <c r="R13" s="547">
        <f t="shared" si="20"/>
        <v>988</v>
      </c>
      <c r="S13" s="542"/>
      <c r="T13" s="545">
        <f t="shared" si="6"/>
        <v>0</v>
      </c>
      <c r="U13" s="542">
        <v>36000</v>
      </c>
      <c r="V13" s="547">
        <f t="shared" si="21"/>
        <v>936</v>
      </c>
      <c r="W13" s="545"/>
      <c r="X13" s="545"/>
      <c r="Y13" s="542">
        <v>40000</v>
      </c>
      <c r="Z13" s="547">
        <f t="shared" si="22"/>
        <v>1040</v>
      </c>
      <c r="AA13" s="545"/>
      <c r="AB13" s="545"/>
      <c r="AC13" s="542">
        <v>40000</v>
      </c>
      <c r="AD13" s="547">
        <f t="shared" si="23"/>
        <v>1040</v>
      </c>
      <c r="AE13" s="545"/>
      <c r="AF13" s="545"/>
      <c r="AG13" s="542">
        <v>36000</v>
      </c>
      <c r="AH13" s="547">
        <f t="shared" si="24"/>
        <v>936</v>
      </c>
      <c r="AI13" s="545"/>
      <c r="AJ13" s="545"/>
      <c r="AK13" s="542">
        <v>40000</v>
      </c>
      <c r="AL13" s="547">
        <f t="shared" si="25"/>
        <v>1040</v>
      </c>
      <c r="AM13" s="545"/>
      <c r="AN13" s="545"/>
      <c r="AO13" s="542">
        <v>40000</v>
      </c>
      <c r="AP13" s="547">
        <f t="shared" si="26"/>
        <v>1040</v>
      </c>
      <c r="AQ13" s="545"/>
      <c r="AR13" s="545"/>
      <c r="AS13" s="542">
        <v>38000</v>
      </c>
      <c r="AT13" s="547">
        <f t="shared" si="27"/>
        <v>988</v>
      </c>
      <c r="AU13" s="545"/>
      <c r="AV13" s="545"/>
      <c r="AW13" s="542">
        <v>38000</v>
      </c>
      <c r="AX13" s="547">
        <f t="shared" si="28"/>
        <v>988</v>
      </c>
      <c r="AY13" s="545"/>
      <c r="AZ13" s="545"/>
      <c r="BA13" s="542">
        <v>40000</v>
      </c>
      <c r="BB13" s="547">
        <f t="shared" si="29"/>
        <v>1040</v>
      </c>
      <c r="BC13" s="545"/>
      <c r="BD13" s="545"/>
      <c r="BE13" s="542">
        <v>36000</v>
      </c>
      <c r="BF13" s="547">
        <f t="shared" si="30"/>
        <v>936</v>
      </c>
      <c r="BG13" s="545"/>
      <c r="BH13" s="545"/>
      <c r="BI13" s="542">
        <v>40000</v>
      </c>
      <c r="BJ13" s="547">
        <f t="shared" si="31"/>
        <v>1040</v>
      </c>
      <c r="BK13" s="545"/>
      <c r="BL13" s="548" t="str">
        <f>IFERROR(AVERAGE(#REF!,#REF!,#REF!,#REF!,#REF!,#REF!,#REF!,#REF!,#REF!,#REF!,#REF!,#REF!),"-")</f>
        <v>-</v>
      </c>
      <c r="BM13" s="545" t="str">
        <f t="shared" si="0"/>
        <v>-</v>
      </c>
      <c r="BN13" s="542"/>
    </row>
    <row r="14" spans="2:66" x14ac:dyDescent="0.35">
      <c r="B14" s="542" t="s">
        <v>117</v>
      </c>
      <c r="C14" s="542" t="s">
        <v>860</v>
      </c>
      <c r="D14" s="542" t="s">
        <v>62</v>
      </c>
      <c r="E14" s="542" t="s">
        <v>862</v>
      </c>
      <c r="F14" s="542" t="s">
        <v>782</v>
      </c>
      <c r="G14" s="542" t="s">
        <v>841</v>
      </c>
      <c r="H14" s="546">
        <v>0.16</v>
      </c>
      <c r="I14" s="542">
        <v>19000</v>
      </c>
      <c r="J14" s="547">
        <f t="shared" si="18"/>
        <v>3040</v>
      </c>
      <c r="K14" s="542"/>
      <c r="L14" s="545">
        <f t="shared" si="2"/>
        <v>0</v>
      </c>
      <c r="M14" s="542">
        <v>19000</v>
      </c>
      <c r="N14" s="547">
        <f t="shared" si="19"/>
        <v>3040</v>
      </c>
      <c r="O14" s="542"/>
      <c r="P14" s="545">
        <f t="shared" si="4"/>
        <v>0</v>
      </c>
      <c r="Q14" s="542">
        <v>18000</v>
      </c>
      <c r="R14" s="547">
        <f t="shared" si="20"/>
        <v>2880</v>
      </c>
      <c r="S14" s="542"/>
      <c r="T14" s="545">
        <f t="shared" si="6"/>
        <v>0</v>
      </c>
      <c r="U14" s="542">
        <v>17000</v>
      </c>
      <c r="V14" s="547">
        <f t="shared" si="21"/>
        <v>2720</v>
      </c>
      <c r="W14" s="545"/>
      <c r="X14" s="545"/>
      <c r="Y14" s="542">
        <v>19000</v>
      </c>
      <c r="Z14" s="547">
        <f t="shared" si="22"/>
        <v>3040</v>
      </c>
      <c r="AA14" s="545"/>
      <c r="AB14" s="545"/>
      <c r="AC14" s="542">
        <v>19000</v>
      </c>
      <c r="AD14" s="547">
        <f t="shared" si="23"/>
        <v>3040</v>
      </c>
      <c r="AE14" s="545"/>
      <c r="AF14" s="545"/>
      <c r="AG14" s="542">
        <v>17000</v>
      </c>
      <c r="AH14" s="547">
        <f t="shared" si="24"/>
        <v>2720</v>
      </c>
      <c r="AI14" s="545"/>
      <c r="AJ14" s="545"/>
      <c r="AK14" s="542">
        <v>19000</v>
      </c>
      <c r="AL14" s="547">
        <f t="shared" si="25"/>
        <v>3040</v>
      </c>
      <c r="AM14" s="545"/>
      <c r="AN14" s="545"/>
      <c r="AO14" s="542">
        <v>19000</v>
      </c>
      <c r="AP14" s="547">
        <f t="shared" si="26"/>
        <v>3040</v>
      </c>
      <c r="AQ14" s="545"/>
      <c r="AR14" s="545"/>
      <c r="AS14" s="542">
        <v>18000</v>
      </c>
      <c r="AT14" s="547">
        <f t="shared" si="27"/>
        <v>2880</v>
      </c>
      <c r="AU14" s="545"/>
      <c r="AV14" s="545"/>
      <c r="AW14" s="542">
        <v>18000</v>
      </c>
      <c r="AX14" s="547">
        <f t="shared" si="28"/>
        <v>2880</v>
      </c>
      <c r="AY14" s="545"/>
      <c r="AZ14" s="545"/>
      <c r="BA14" s="542">
        <v>19000</v>
      </c>
      <c r="BB14" s="547">
        <f t="shared" si="29"/>
        <v>3040</v>
      </c>
      <c r="BC14" s="545"/>
      <c r="BD14" s="545"/>
      <c r="BE14" s="542">
        <v>17000</v>
      </c>
      <c r="BF14" s="547">
        <f t="shared" si="30"/>
        <v>2720</v>
      </c>
      <c r="BG14" s="545"/>
      <c r="BH14" s="545"/>
      <c r="BI14" s="542">
        <v>19000</v>
      </c>
      <c r="BJ14" s="547">
        <f t="shared" si="31"/>
        <v>3040</v>
      </c>
      <c r="BK14" s="545"/>
      <c r="BL14" s="548" t="str">
        <f>IFERROR(AVERAGE(#REF!,#REF!,#REF!,#REF!,#REF!,#REF!,#REF!,#REF!,#REF!,#REF!,#REF!,#REF!),"-")</f>
        <v>-</v>
      </c>
      <c r="BM14" s="545" t="str">
        <f t="shared" si="0"/>
        <v>-</v>
      </c>
      <c r="BN14" s="542"/>
    </row>
    <row r="15" spans="2:66" x14ac:dyDescent="0.35">
      <c r="B15" s="542" t="s">
        <v>117</v>
      </c>
      <c r="C15" s="542" t="s">
        <v>860</v>
      </c>
      <c r="D15" s="542" t="s">
        <v>62</v>
      </c>
      <c r="E15" s="542" t="s">
        <v>862</v>
      </c>
      <c r="F15" s="542" t="s">
        <v>782</v>
      </c>
      <c r="G15" s="542" t="s">
        <v>34</v>
      </c>
      <c r="H15" s="546">
        <v>0.3</v>
      </c>
      <c r="I15" s="542">
        <v>350</v>
      </c>
      <c r="J15" s="547">
        <f t="shared" si="18"/>
        <v>105</v>
      </c>
      <c r="K15" s="542"/>
      <c r="L15" s="545">
        <f t="shared" si="2"/>
        <v>0</v>
      </c>
      <c r="M15" s="542">
        <v>350</v>
      </c>
      <c r="N15" s="547">
        <f t="shared" si="19"/>
        <v>105</v>
      </c>
      <c r="O15" s="542"/>
      <c r="P15" s="545">
        <f t="shared" si="4"/>
        <v>0</v>
      </c>
      <c r="Q15" s="542">
        <v>350</v>
      </c>
      <c r="R15" s="547">
        <f t="shared" si="20"/>
        <v>105</v>
      </c>
      <c r="S15" s="542"/>
      <c r="T15" s="545">
        <f t="shared" si="6"/>
        <v>0</v>
      </c>
      <c r="U15" s="542">
        <v>350</v>
      </c>
      <c r="V15" s="547">
        <f t="shared" si="21"/>
        <v>105</v>
      </c>
      <c r="W15" s="545"/>
      <c r="X15" s="545"/>
      <c r="Y15" s="542">
        <v>350</v>
      </c>
      <c r="Z15" s="547">
        <f t="shared" si="22"/>
        <v>105</v>
      </c>
      <c r="AA15" s="545"/>
      <c r="AB15" s="545"/>
      <c r="AC15" s="542">
        <v>350</v>
      </c>
      <c r="AD15" s="547">
        <f t="shared" si="23"/>
        <v>105</v>
      </c>
      <c r="AE15" s="545"/>
      <c r="AF15" s="545"/>
      <c r="AG15" s="542">
        <v>350</v>
      </c>
      <c r="AH15" s="547">
        <f t="shared" si="24"/>
        <v>105</v>
      </c>
      <c r="AI15" s="545"/>
      <c r="AJ15" s="545"/>
      <c r="AK15" s="542">
        <v>350</v>
      </c>
      <c r="AL15" s="547">
        <f t="shared" si="25"/>
        <v>105</v>
      </c>
      <c r="AM15" s="545"/>
      <c r="AN15" s="545"/>
      <c r="AO15" s="542">
        <v>350</v>
      </c>
      <c r="AP15" s="547">
        <f t="shared" si="26"/>
        <v>105</v>
      </c>
      <c r="AQ15" s="545"/>
      <c r="AR15" s="545"/>
      <c r="AS15" s="542">
        <v>350</v>
      </c>
      <c r="AT15" s="547">
        <f t="shared" si="27"/>
        <v>105</v>
      </c>
      <c r="AU15" s="545"/>
      <c r="AV15" s="545"/>
      <c r="AW15" s="542">
        <v>350</v>
      </c>
      <c r="AX15" s="547">
        <f t="shared" si="28"/>
        <v>105</v>
      </c>
      <c r="AY15" s="545"/>
      <c r="AZ15" s="545"/>
      <c r="BA15" s="542">
        <v>350</v>
      </c>
      <c r="BB15" s="547">
        <f t="shared" si="29"/>
        <v>105</v>
      </c>
      <c r="BC15" s="545"/>
      <c r="BD15" s="545"/>
      <c r="BE15" s="542">
        <v>350</v>
      </c>
      <c r="BF15" s="547">
        <f t="shared" si="30"/>
        <v>105</v>
      </c>
      <c r="BG15" s="545"/>
      <c r="BH15" s="545"/>
      <c r="BI15" s="542">
        <v>350</v>
      </c>
      <c r="BJ15" s="547">
        <f t="shared" si="31"/>
        <v>105</v>
      </c>
      <c r="BK15" s="545"/>
      <c r="BL15" s="548" t="str">
        <f>IFERROR(AVERAGE(#REF!,#REF!,#REF!,#REF!,#REF!,#REF!,#REF!,#REF!,#REF!,#REF!,#REF!,#REF!),"-")</f>
        <v>-</v>
      </c>
      <c r="BM15" s="545" t="str">
        <f t="shared" si="0"/>
        <v>-</v>
      </c>
      <c r="BN15" s="542"/>
    </row>
    <row r="16" spans="2:66" x14ac:dyDescent="0.35">
      <c r="B16" s="542" t="s">
        <v>117</v>
      </c>
      <c r="C16" s="542" t="s">
        <v>860</v>
      </c>
      <c r="D16" s="542" t="s">
        <v>43</v>
      </c>
      <c r="E16" s="542" t="s">
        <v>861</v>
      </c>
      <c r="F16" s="542" t="s">
        <v>782</v>
      </c>
      <c r="G16" s="542" t="s">
        <v>788</v>
      </c>
      <c r="H16" s="550">
        <v>1300</v>
      </c>
      <c r="I16" s="542">
        <v>1</v>
      </c>
      <c r="J16" s="547">
        <f t="shared" si="18"/>
        <v>1300</v>
      </c>
      <c r="K16" s="542"/>
      <c r="L16" s="545">
        <f t="shared" si="2"/>
        <v>0</v>
      </c>
      <c r="M16" s="542">
        <v>1</v>
      </c>
      <c r="N16" s="547">
        <f t="shared" si="19"/>
        <v>1300</v>
      </c>
      <c r="O16" s="542"/>
      <c r="P16" s="545">
        <f t="shared" si="4"/>
        <v>0</v>
      </c>
      <c r="Q16" s="542">
        <v>1</v>
      </c>
      <c r="R16" s="547">
        <f t="shared" si="20"/>
        <v>1300</v>
      </c>
      <c r="S16" s="542"/>
      <c r="T16" s="545">
        <f t="shared" si="6"/>
        <v>0</v>
      </c>
      <c r="U16" s="542">
        <v>1</v>
      </c>
      <c r="V16" s="547">
        <f t="shared" si="21"/>
        <v>1300</v>
      </c>
      <c r="W16" s="545"/>
      <c r="X16" s="545"/>
      <c r="Y16" s="542">
        <v>1</v>
      </c>
      <c r="Z16" s="547">
        <f t="shared" si="22"/>
        <v>1300</v>
      </c>
      <c r="AA16" s="545"/>
      <c r="AB16" s="545"/>
      <c r="AC16" s="542">
        <v>1</v>
      </c>
      <c r="AD16" s="547">
        <f t="shared" si="23"/>
        <v>1300</v>
      </c>
      <c r="AE16" s="545"/>
      <c r="AF16" s="545"/>
      <c r="AG16" s="542">
        <v>1</v>
      </c>
      <c r="AH16" s="547">
        <f t="shared" si="24"/>
        <v>1300</v>
      </c>
      <c r="AI16" s="545"/>
      <c r="AJ16" s="545"/>
      <c r="AK16" s="542">
        <v>1</v>
      </c>
      <c r="AL16" s="547">
        <f t="shared" si="25"/>
        <v>1300</v>
      </c>
      <c r="AM16" s="545"/>
      <c r="AN16" s="545"/>
      <c r="AO16" s="542">
        <v>1</v>
      </c>
      <c r="AP16" s="547">
        <f t="shared" si="26"/>
        <v>1300</v>
      </c>
      <c r="AQ16" s="545"/>
      <c r="AR16" s="545"/>
      <c r="AS16" s="542">
        <v>1</v>
      </c>
      <c r="AT16" s="547">
        <f t="shared" si="27"/>
        <v>1300</v>
      </c>
      <c r="AU16" s="545"/>
      <c r="AV16" s="545"/>
      <c r="AW16" s="542">
        <v>1</v>
      </c>
      <c r="AX16" s="547">
        <f t="shared" si="28"/>
        <v>1300</v>
      </c>
      <c r="AY16" s="545"/>
      <c r="AZ16" s="545"/>
      <c r="BA16" s="542">
        <v>1</v>
      </c>
      <c r="BB16" s="547">
        <f t="shared" si="29"/>
        <v>1300</v>
      </c>
      <c r="BC16" s="545"/>
      <c r="BD16" s="545"/>
      <c r="BE16" s="542">
        <v>1</v>
      </c>
      <c r="BF16" s="547">
        <f t="shared" si="30"/>
        <v>1300</v>
      </c>
      <c r="BG16" s="545"/>
      <c r="BH16" s="545"/>
      <c r="BI16" s="542">
        <v>1</v>
      </c>
      <c r="BJ16" s="547">
        <f t="shared" si="31"/>
        <v>1300</v>
      </c>
      <c r="BK16" s="545"/>
      <c r="BL16" s="548" t="str">
        <f>IFERROR(AVERAGE(#REF!,#REF!,#REF!,#REF!,#REF!,#REF!,#REF!,#REF!,#REF!,#REF!,#REF!,#REF!),"-")</f>
        <v>-</v>
      </c>
      <c r="BM16" s="545" t="str">
        <f t="shared" si="0"/>
        <v>-</v>
      </c>
      <c r="BN16" s="542"/>
    </row>
    <row r="17" spans="2:66" x14ac:dyDescent="0.35">
      <c r="B17" s="542" t="s">
        <v>117</v>
      </c>
      <c r="C17" s="542" t="s">
        <v>860</v>
      </c>
      <c r="D17" s="542" t="s">
        <v>41</v>
      </c>
      <c r="E17" s="542" t="s">
        <v>863</v>
      </c>
      <c r="F17" s="542" t="s">
        <v>802</v>
      </c>
      <c r="G17" s="1" t="s">
        <v>93</v>
      </c>
      <c r="H17" s="543">
        <v>0.03</v>
      </c>
      <c r="I17" s="545">
        <v>290000</v>
      </c>
      <c r="J17" s="547">
        <f t="shared" si="18"/>
        <v>8700</v>
      </c>
      <c r="K17" s="545"/>
      <c r="L17" s="545">
        <f t="shared" si="2"/>
        <v>0</v>
      </c>
      <c r="M17" s="545">
        <v>290000</v>
      </c>
      <c r="N17" s="547">
        <f t="shared" si="19"/>
        <v>8700</v>
      </c>
      <c r="O17" s="545"/>
      <c r="P17" s="545">
        <f t="shared" si="4"/>
        <v>0</v>
      </c>
      <c r="Q17" s="545">
        <v>290000</v>
      </c>
      <c r="R17" s="547">
        <f t="shared" si="20"/>
        <v>8700</v>
      </c>
      <c r="S17" s="545"/>
      <c r="T17" s="545">
        <f t="shared" si="6"/>
        <v>0</v>
      </c>
      <c r="U17" s="545">
        <v>290000</v>
      </c>
      <c r="V17" s="547">
        <f t="shared" si="21"/>
        <v>8700</v>
      </c>
      <c r="W17" s="545"/>
      <c r="X17" s="545"/>
      <c r="Y17" s="545">
        <v>290000</v>
      </c>
      <c r="Z17" s="547">
        <f t="shared" si="22"/>
        <v>8700</v>
      </c>
      <c r="AA17" s="545"/>
      <c r="AB17" s="545"/>
      <c r="AC17" s="545">
        <v>290000</v>
      </c>
      <c r="AD17" s="547">
        <f t="shared" si="23"/>
        <v>8700</v>
      </c>
      <c r="AE17" s="545"/>
      <c r="AF17" s="545"/>
      <c r="AG17" s="545">
        <v>290000</v>
      </c>
      <c r="AH17" s="547">
        <f t="shared" si="24"/>
        <v>8700</v>
      </c>
      <c r="AI17" s="545"/>
      <c r="AJ17" s="545"/>
      <c r="AK17" s="545">
        <v>290000</v>
      </c>
      <c r="AL17" s="547">
        <f t="shared" si="25"/>
        <v>8700</v>
      </c>
      <c r="AM17" s="545"/>
      <c r="AN17" s="545"/>
      <c r="AO17" s="545">
        <v>290000</v>
      </c>
      <c r="AP17" s="547">
        <f t="shared" si="26"/>
        <v>8700</v>
      </c>
      <c r="AQ17" s="545"/>
      <c r="AR17" s="545"/>
      <c r="AS17" s="545">
        <v>290000</v>
      </c>
      <c r="AT17" s="547">
        <f t="shared" si="27"/>
        <v>8700</v>
      </c>
      <c r="AU17" s="545"/>
      <c r="AV17" s="545"/>
      <c r="AW17" s="545">
        <v>290000</v>
      </c>
      <c r="AX17" s="547">
        <f t="shared" si="28"/>
        <v>8700</v>
      </c>
      <c r="AY17" s="545"/>
      <c r="AZ17" s="545"/>
      <c r="BA17" s="545">
        <v>290000</v>
      </c>
      <c r="BB17" s="547">
        <f t="shared" si="29"/>
        <v>8700</v>
      </c>
      <c r="BC17" s="545"/>
      <c r="BD17" s="545"/>
      <c r="BE17" s="545">
        <v>290000</v>
      </c>
      <c r="BF17" s="547">
        <f t="shared" si="30"/>
        <v>8700</v>
      </c>
      <c r="BG17" s="545"/>
      <c r="BH17" s="545"/>
      <c r="BI17" s="545">
        <v>290000</v>
      </c>
      <c r="BJ17" s="547">
        <f t="shared" si="31"/>
        <v>8700</v>
      </c>
      <c r="BK17" s="545"/>
      <c r="BL17" s="545" t="str">
        <f>IFERROR(AVERAGE(#REF!,#REF!,#REF!,#REF!,#REF!,#REF!,#REF!,#REF!,#REF!,#REF!,#REF!,#REF!),"-")</f>
        <v>-</v>
      </c>
      <c r="BM17" s="545" t="str">
        <f t="shared" si="0"/>
        <v>-</v>
      </c>
      <c r="BN17" s="542"/>
    </row>
    <row r="18" spans="2:66" x14ac:dyDescent="0.35">
      <c r="B18" s="542" t="s">
        <v>117</v>
      </c>
      <c r="C18" s="542" t="s">
        <v>860</v>
      </c>
      <c r="D18" s="542" t="s">
        <v>43</v>
      </c>
      <c r="E18" s="542" t="s">
        <v>864</v>
      </c>
      <c r="F18" s="542" t="s">
        <v>798</v>
      </c>
      <c r="G18" s="542" t="s">
        <v>44</v>
      </c>
      <c r="H18" s="550">
        <v>1280</v>
      </c>
      <c r="I18" s="548">
        <v>2</v>
      </c>
      <c r="J18" s="545">
        <f t="shared" si="18"/>
        <v>2560</v>
      </c>
      <c r="K18" s="548"/>
      <c r="L18" s="545">
        <f t="shared" si="2"/>
        <v>0</v>
      </c>
      <c r="M18" s="548">
        <v>2</v>
      </c>
      <c r="N18" s="545">
        <f t="shared" si="19"/>
        <v>2560</v>
      </c>
      <c r="O18" s="548"/>
      <c r="P18" s="545">
        <f t="shared" si="4"/>
        <v>0</v>
      </c>
      <c r="Q18" s="548">
        <v>2</v>
      </c>
      <c r="R18" s="545">
        <f t="shared" si="20"/>
        <v>2560</v>
      </c>
      <c r="S18" s="548"/>
      <c r="T18" s="545">
        <f t="shared" si="6"/>
        <v>0</v>
      </c>
      <c r="U18" s="548">
        <v>2</v>
      </c>
      <c r="V18" s="545">
        <f t="shared" si="21"/>
        <v>2560</v>
      </c>
      <c r="W18" s="545"/>
      <c r="X18" s="545"/>
      <c r="Y18" s="548">
        <v>2</v>
      </c>
      <c r="Z18" s="545">
        <f t="shared" si="22"/>
        <v>2560</v>
      </c>
      <c r="AA18" s="545"/>
      <c r="AB18" s="545"/>
      <c r="AC18" s="548">
        <v>2</v>
      </c>
      <c r="AD18" s="545">
        <f t="shared" si="23"/>
        <v>2560</v>
      </c>
      <c r="AE18" s="545"/>
      <c r="AF18" s="545"/>
      <c r="AG18" s="548">
        <v>2</v>
      </c>
      <c r="AH18" s="545">
        <f t="shared" si="24"/>
        <v>2560</v>
      </c>
      <c r="AI18" s="545"/>
      <c r="AJ18" s="545"/>
      <c r="AK18" s="548">
        <v>2</v>
      </c>
      <c r="AL18" s="545">
        <f t="shared" si="25"/>
        <v>2560</v>
      </c>
      <c r="AM18" s="545"/>
      <c r="AN18" s="545"/>
      <c r="AO18" s="548">
        <v>2</v>
      </c>
      <c r="AP18" s="545">
        <f t="shared" si="26"/>
        <v>2560</v>
      </c>
      <c r="AQ18" s="545"/>
      <c r="AR18" s="545"/>
      <c r="AS18" s="548">
        <v>2</v>
      </c>
      <c r="AT18" s="545">
        <f t="shared" si="27"/>
        <v>2560</v>
      </c>
      <c r="AU18" s="545"/>
      <c r="AV18" s="545"/>
      <c r="AW18" s="548">
        <v>2</v>
      </c>
      <c r="AX18" s="545">
        <f t="shared" si="28"/>
        <v>2560</v>
      </c>
      <c r="AY18" s="545"/>
      <c r="AZ18" s="545"/>
      <c r="BA18" s="548">
        <v>2</v>
      </c>
      <c r="BB18" s="545">
        <f t="shared" si="29"/>
        <v>2560</v>
      </c>
      <c r="BC18" s="545"/>
      <c r="BD18" s="545"/>
      <c r="BE18" s="548">
        <v>2</v>
      </c>
      <c r="BF18" s="545">
        <f t="shared" si="30"/>
        <v>2560</v>
      </c>
      <c r="BG18" s="545"/>
      <c r="BH18" s="545"/>
      <c r="BI18" s="548">
        <v>2</v>
      </c>
      <c r="BJ18" s="545">
        <f t="shared" si="31"/>
        <v>2560</v>
      </c>
      <c r="BK18" s="545"/>
      <c r="BL18" s="548" t="str">
        <f>IFERROR(AVERAGE(#REF!,#REF!,#REF!,#REF!,#REF!,#REF!,#REF!,#REF!,#REF!,#REF!,#REF!,#REF!),"-")</f>
        <v>-</v>
      </c>
      <c r="BM18" s="545" t="str">
        <f t="shared" si="0"/>
        <v>-</v>
      </c>
      <c r="BN18" s="542"/>
    </row>
    <row r="19" spans="2:66" x14ac:dyDescent="0.35">
      <c r="B19" s="542" t="s">
        <v>117</v>
      </c>
      <c r="C19" s="542" t="s">
        <v>860</v>
      </c>
      <c r="D19" s="542" t="s">
        <v>43</v>
      </c>
      <c r="E19" s="542" t="s">
        <v>861</v>
      </c>
      <c r="F19" s="542" t="s">
        <v>764</v>
      </c>
      <c r="G19" s="542" t="s">
        <v>101</v>
      </c>
      <c r="H19" s="550">
        <v>1440</v>
      </c>
      <c r="I19" s="548">
        <v>2</v>
      </c>
      <c r="J19" s="545">
        <f t="shared" si="18"/>
        <v>2880</v>
      </c>
      <c r="K19" s="548"/>
      <c r="L19" s="545">
        <f t="shared" si="2"/>
        <v>0</v>
      </c>
      <c r="M19" s="548">
        <v>2</v>
      </c>
      <c r="N19" s="545">
        <f t="shared" si="19"/>
        <v>2880</v>
      </c>
      <c r="O19" s="548"/>
      <c r="P19" s="545">
        <f t="shared" si="4"/>
        <v>0</v>
      </c>
      <c r="Q19" s="548">
        <v>2</v>
      </c>
      <c r="R19" s="545">
        <f t="shared" si="20"/>
        <v>2880</v>
      </c>
      <c r="S19" s="548"/>
      <c r="T19" s="545">
        <f t="shared" si="6"/>
        <v>0</v>
      </c>
      <c r="U19" s="548">
        <v>2</v>
      </c>
      <c r="V19" s="545">
        <f t="shared" si="21"/>
        <v>2880</v>
      </c>
      <c r="W19" s="545"/>
      <c r="X19" s="545"/>
      <c r="Y19" s="548">
        <v>2</v>
      </c>
      <c r="Z19" s="545">
        <f t="shared" si="22"/>
        <v>2880</v>
      </c>
      <c r="AA19" s="545"/>
      <c r="AB19" s="545"/>
      <c r="AC19" s="548">
        <v>2</v>
      </c>
      <c r="AD19" s="545">
        <f t="shared" si="23"/>
        <v>2880</v>
      </c>
      <c r="AE19" s="545"/>
      <c r="AF19" s="545"/>
      <c r="AG19" s="548">
        <v>2</v>
      </c>
      <c r="AH19" s="545">
        <f t="shared" si="24"/>
        <v>2880</v>
      </c>
      <c r="AI19" s="545"/>
      <c r="AJ19" s="545"/>
      <c r="AK19" s="548">
        <v>2</v>
      </c>
      <c r="AL19" s="545">
        <f t="shared" si="25"/>
        <v>2880</v>
      </c>
      <c r="AM19" s="545"/>
      <c r="AN19" s="545"/>
      <c r="AO19" s="548">
        <v>2</v>
      </c>
      <c r="AP19" s="545">
        <f t="shared" si="26"/>
        <v>2880</v>
      </c>
      <c r="AQ19" s="545"/>
      <c r="AR19" s="545"/>
      <c r="AS19" s="548">
        <v>2</v>
      </c>
      <c r="AT19" s="545">
        <f t="shared" si="27"/>
        <v>2880</v>
      </c>
      <c r="AU19" s="545"/>
      <c r="AV19" s="545"/>
      <c r="AW19" s="548">
        <v>2</v>
      </c>
      <c r="AX19" s="545">
        <f t="shared" si="28"/>
        <v>2880</v>
      </c>
      <c r="AY19" s="545"/>
      <c r="AZ19" s="545"/>
      <c r="BA19" s="548">
        <v>2</v>
      </c>
      <c r="BB19" s="545">
        <f t="shared" si="29"/>
        <v>2880</v>
      </c>
      <c r="BC19" s="545"/>
      <c r="BD19" s="545"/>
      <c r="BE19" s="548">
        <v>2</v>
      </c>
      <c r="BF19" s="545">
        <f t="shared" si="30"/>
        <v>2880</v>
      </c>
      <c r="BG19" s="545"/>
      <c r="BH19" s="545"/>
      <c r="BI19" s="548">
        <v>2</v>
      </c>
      <c r="BJ19" s="545">
        <f t="shared" si="31"/>
        <v>2880</v>
      </c>
      <c r="BK19" s="545"/>
      <c r="BL19" s="548" t="str">
        <f>IFERROR(AVERAGE(#REF!,#REF!,#REF!,#REF!,#REF!,#REF!,#REF!,#REF!,#REF!,#REF!,#REF!,#REF!),"-")</f>
        <v>-</v>
      </c>
      <c r="BM19" s="545" t="str">
        <f t="shared" si="0"/>
        <v>-</v>
      </c>
      <c r="BN19" s="542"/>
    </row>
    <row r="20" spans="2:66" x14ac:dyDescent="0.35">
      <c r="B20" s="542" t="s">
        <v>117</v>
      </c>
      <c r="C20" s="542" t="s">
        <v>860</v>
      </c>
      <c r="D20" s="551" t="s">
        <v>41</v>
      </c>
      <c r="E20" s="542" t="s">
        <v>863</v>
      </c>
      <c r="F20" s="542" t="s">
        <v>839</v>
      </c>
      <c r="G20" s="542" t="s">
        <v>842</v>
      </c>
      <c r="H20" s="543">
        <v>3.5000000000000003E-2</v>
      </c>
      <c r="I20" s="545">
        <v>75000</v>
      </c>
      <c r="J20" s="547">
        <f t="shared" si="18"/>
        <v>2625.0000000000005</v>
      </c>
      <c r="K20" s="545"/>
      <c r="L20" s="545">
        <f t="shared" si="2"/>
        <v>0</v>
      </c>
      <c r="M20" s="545">
        <v>0</v>
      </c>
      <c r="N20" s="547">
        <f t="shared" si="19"/>
        <v>0</v>
      </c>
      <c r="O20" s="545"/>
      <c r="P20" s="545">
        <f t="shared" si="4"/>
        <v>0</v>
      </c>
      <c r="Q20" s="545">
        <v>0</v>
      </c>
      <c r="R20" s="547">
        <f t="shared" si="20"/>
        <v>0</v>
      </c>
      <c r="S20" s="545"/>
      <c r="T20" s="545">
        <f t="shared" si="6"/>
        <v>0</v>
      </c>
      <c r="U20" s="545">
        <v>0</v>
      </c>
      <c r="V20" s="547">
        <f t="shared" si="21"/>
        <v>0</v>
      </c>
      <c r="W20" s="545"/>
      <c r="X20" s="545"/>
      <c r="Y20" s="545">
        <v>0</v>
      </c>
      <c r="Z20" s="547">
        <f t="shared" si="22"/>
        <v>0</v>
      </c>
      <c r="AA20" s="545"/>
      <c r="AB20" s="545"/>
      <c r="AC20" s="545">
        <v>0</v>
      </c>
      <c r="AD20" s="547">
        <f t="shared" si="23"/>
        <v>0</v>
      </c>
      <c r="AE20" s="545"/>
      <c r="AF20" s="545"/>
      <c r="AG20" s="545">
        <v>0</v>
      </c>
      <c r="AH20" s="547">
        <f t="shared" si="24"/>
        <v>0</v>
      </c>
      <c r="AI20" s="545"/>
      <c r="AJ20" s="545"/>
      <c r="AK20" s="545">
        <v>0</v>
      </c>
      <c r="AL20" s="547">
        <f t="shared" si="25"/>
        <v>0</v>
      </c>
      <c r="AM20" s="545"/>
      <c r="AN20" s="545"/>
      <c r="AO20" s="545">
        <v>0</v>
      </c>
      <c r="AP20" s="547">
        <f t="shared" si="26"/>
        <v>0</v>
      </c>
      <c r="AQ20" s="545"/>
      <c r="AR20" s="545"/>
      <c r="AS20" s="545">
        <v>0</v>
      </c>
      <c r="AT20" s="547">
        <f t="shared" si="27"/>
        <v>0</v>
      </c>
      <c r="AU20" s="545"/>
      <c r="AV20" s="545"/>
      <c r="AW20" s="545">
        <v>0</v>
      </c>
      <c r="AX20" s="547">
        <f t="shared" si="28"/>
        <v>0</v>
      </c>
      <c r="AY20" s="545"/>
      <c r="AZ20" s="545"/>
      <c r="BA20" s="545">
        <v>0</v>
      </c>
      <c r="BB20" s="547">
        <f t="shared" si="29"/>
        <v>0</v>
      </c>
      <c r="BC20" s="545"/>
      <c r="BD20" s="545"/>
      <c r="BE20" s="545">
        <v>0</v>
      </c>
      <c r="BF20" s="547">
        <f t="shared" si="30"/>
        <v>0</v>
      </c>
      <c r="BG20" s="545"/>
      <c r="BH20" s="545"/>
      <c r="BI20" s="545">
        <v>0</v>
      </c>
      <c r="BJ20" s="547">
        <f t="shared" si="31"/>
        <v>0</v>
      </c>
      <c r="BK20" s="545"/>
      <c r="BL20" s="545" t="str">
        <f>IFERROR(AVERAGE(#REF!,#REF!,#REF!,#REF!,#REF!,#REF!,#REF!,#REF!,#REF!,#REF!,#REF!,#REF!),"-")</f>
        <v>-</v>
      </c>
      <c r="BM20" s="545" t="str">
        <f t="shared" si="0"/>
        <v>-</v>
      </c>
      <c r="BN20" s="542"/>
    </row>
    <row r="21" spans="2:66" x14ac:dyDescent="0.35">
      <c r="B21" s="542" t="s">
        <v>117</v>
      </c>
      <c r="C21" s="542" t="s">
        <v>860</v>
      </c>
      <c r="D21" s="551" t="s">
        <v>41</v>
      </c>
      <c r="E21" s="551" t="s">
        <v>861</v>
      </c>
      <c r="F21" s="542" t="s">
        <v>794</v>
      </c>
      <c r="G21" s="542" t="s">
        <v>842</v>
      </c>
      <c r="H21" s="543">
        <v>0.06</v>
      </c>
      <c r="I21" s="545">
        <v>120000</v>
      </c>
      <c r="J21" s="547">
        <f t="shared" si="18"/>
        <v>7200</v>
      </c>
      <c r="K21" s="545"/>
      <c r="L21" s="545">
        <f t="shared" si="2"/>
        <v>0</v>
      </c>
      <c r="M21" s="545">
        <v>120000</v>
      </c>
      <c r="N21" s="547">
        <f t="shared" si="19"/>
        <v>7200</v>
      </c>
      <c r="O21" s="545"/>
      <c r="P21" s="545">
        <f t="shared" si="4"/>
        <v>0</v>
      </c>
      <c r="Q21" s="545">
        <v>120000</v>
      </c>
      <c r="R21" s="547">
        <f t="shared" si="20"/>
        <v>7200</v>
      </c>
      <c r="S21" s="545"/>
      <c r="T21" s="545">
        <f t="shared" si="6"/>
        <v>0</v>
      </c>
      <c r="U21" s="545">
        <v>120000</v>
      </c>
      <c r="V21" s="547">
        <f t="shared" si="21"/>
        <v>7200</v>
      </c>
      <c r="W21" s="545"/>
      <c r="X21" s="545"/>
      <c r="Y21" s="545">
        <v>120000</v>
      </c>
      <c r="Z21" s="547">
        <f t="shared" si="22"/>
        <v>7200</v>
      </c>
      <c r="AA21" s="545"/>
      <c r="AB21" s="545"/>
      <c r="AC21" s="545">
        <v>120000</v>
      </c>
      <c r="AD21" s="547">
        <f t="shared" si="23"/>
        <v>7200</v>
      </c>
      <c r="AE21" s="545"/>
      <c r="AF21" s="545"/>
      <c r="AG21" s="545">
        <v>120000</v>
      </c>
      <c r="AH21" s="547">
        <f t="shared" si="24"/>
        <v>7200</v>
      </c>
      <c r="AI21" s="545"/>
      <c r="AJ21" s="545"/>
      <c r="AK21" s="545">
        <v>120000</v>
      </c>
      <c r="AL21" s="547">
        <f t="shared" si="25"/>
        <v>7200</v>
      </c>
      <c r="AM21" s="545"/>
      <c r="AN21" s="545"/>
      <c r="AO21" s="545">
        <v>120000</v>
      </c>
      <c r="AP21" s="547">
        <f t="shared" si="26"/>
        <v>7200</v>
      </c>
      <c r="AQ21" s="545"/>
      <c r="AR21" s="545"/>
      <c r="AS21" s="545">
        <v>120000</v>
      </c>
      <c r="AT21" s="547">
        <f t="shared" si="27"/>
        <v>7200</v>
      </c>
      <c r="AU21" s="545"/>
      <c r="AV21" s="545"/>
      <c r="AW21" s="545">
        <v>120000</v>
      </c>
      <c r="AX21" s="547">
        <f t="shared" si="28"/>
        <v>7200</v>
      </c>
      <c r="AY21" s="545"/>
      <c r="AZ21" s="545"/>
      <c r="BA21" s="545">
        <v>120000</v>
      </c>
      <c r="BB21" s="547">
        <f t="shared" si="29"/>
        <v>7200</v>
      </c>
      <c r="BC21" s="545"/>
      <c r="BD21" s="545"/>
      <c r="BE21" s="545">
        <v>120000</v>
      </c>
      <c r="BF21" s="547">
        <f t="shared" si="30"/>
        <v>7200</v>
      </c>
      <c r="BG21" s="545"/>
      <c r="BH21" s="545"/>
      <c r="BI21" s="545">
        <v>120000</v>
      </c>
      <c r="BJ21" s="547">
        <f t="shared" si="31"/>
        <v>7200</v>
      </c>
      <c r="BK21" s="545"/>
      <c r="BL21" s="545" t="str">
        <f>IFERROR(AVERAGE(#REF!,#REF!,#REF!,#REF!,#REF!,#REF!,#REF!,#REF!,#REF!,#REF!,#REF!,#REF!),"-")</f>
        <v>-</v>
      </c>
      <c r="BM21" s="545" t="str">
        <f t="shared" si="0"/>
        <v>-</v>
      </c>
      <c r="BN21" s="542"/>
    </row>
    <row r="22" spans="2:66" x14ac:dyDescent="0.35">
      <c r="B22" s="542" t="s">
        <v>117</v>
      </c>
      <c r="C22" s="542" t="s">
        <v>860</v>
      </c>
      <c r="D22" s="551" t="s">
        <v>43</v>
      </c>
      <c r="E22" s="542" t="s">
        <v>863</v>
      </c>
      <c r="F22" s="542" t="s">
        <v>91</v>
      </c>
      <c r="G22" s="542" t="s">
        <v>74</v>
      </c>
      <c r="H22" s="550">
        <v>1300</v>
      </c>
      <c r="I22" s="542">
        <v>10</v>
      </c>
      <c r="J22" s="547">
        <f t="shared" si="18"/>
        <v>13000</v>
      </c>
      <c r="K22" s="542"/>
      <c r="L22" s="545">
        <f t="shared" si="2"/>
        <v>0</v>
      </c>
      <c r="M22" s="542">
        <v>10</v>
      </c>
      <c r="N22" s="547">
        <f t="shared" si="19"/>
        <v>13000</v>
      </c>
      <c r="O22" s="542"/>
      <c r="P22" s="545">
        <f t="shared" si="4"/>
        <v>0</v>
      </c>
      <c r="Q22" s="542">
        <v>10</v>
      </c>
      <c r="R22" s="547">
        <f t="shared" si="20"/>
        <v>13000</v>
      </c>
      <c r="S22" s="542"/>
      <c r="T22" s="545">
        <f t="shared" si="6"/>
        <v>0</v>
      </c>
      <c r="U22" s="542">
        <v>10</v>
      </c>
      <c r="V22" s="547">
        <f t="shared" si="21"/>
        <v>13000</v>
      </c>
      <c r="W22" s="545"/>
      <c r="X22" s="545"/>
      <c r="Y22" s="542">
        <v>10</v>
      </c>
      <c r="Z22" s="547">
        <f t="shared" si="22"/>
        <v>13000</v>
      </c>
      <c r="AA22" s="545"/>
      <c r="AB22" s="545"/>
      <c r="AC22" s="542">
        <v>10</v>
      </c>
      <c r="AD22" s="547">
        <f t="shared" si="23"/>
        <v>13000</v>
      </c>
      <c r="AE22" s="545"/>
      <c r="AF22" s="545"/>
      <c r="AG22" s="542">
        <v>10</v>
      </c>
      <c r="AH22" s="547">
        <f t="shared" si="24"/>
        <v>13000</v>
      </c>
      <c r="AI22" s="545"/>
      <c r="AJ22" s="545"/>
      <c r="AK22" s="542">
        <v>10</v>
      </c>
      <c r="AL22" s="547">
        <f t="shared" si="25"/>
        <v>13000</v>
      </c>
      <c r="AM22" s="545"/>
      <c r="AN22" s="545"/>
      <c r="AO22" s="542">
        <v>10</v>
      </c>
      <c r="AP22" s="547">
        <f t="shared" si="26"/>
        <v>13000</v>
      </c>
      <c r="AQ22" s="545"/>
      <c r="AR22" s="545"/>
      <c r="AS22" s="542">
        <v>10</v>
      </c>
      <c r="AT22" s="547">
        <f t="shared" si="27"/>
        <v>13000</v>
      </c>
      <c r="AU22" s="545"/>
      <c r="AV22" s="545"/>
      <c r="AW22" s="542">
        <v>10</v>
      </c>
      <c r="AX22" s="547">
        <f t="shared" si="28"/>
        <v>13000</v>
      </c>
      <c r="AY22" s="545"/>
      <c r="AZ22" s="545"/>
      <c r="BA22" s="542">
        <v>10</v>
      </c>
      <c r="BB22" s="547">
        <f t="shared" si="29"/>
        <v>13000</v>
      </c>
      <c r="BC22" s="545"/>
      <c r="BD22" s="545"/>
      <c r="BE22" s="542">
        <v>10</v>
      </c>
      <c r="BF22" s="547">
        <f t="shared" si="30"/>
        <v>13000</v>
      </c>
      <c r="BG22" s="545"/>
      <c r="BH22" s="545"/>
      <c r="BI22" s="542">
        <v>10</v>
      </c>
      <c r="BJ22" s="547">
        <f t="shared" si="31"/>
        <v>13000</v>
      </c>
      <c r="BK22" s="545"/>
      <c r="BL22" s="548" t="str">
        <f>IFERROR(AVERAGE(#REF!,#REF!,#REF!,#REF!,#REF!,#REF!,#REF!,#REF!,#REF!,#REF!,#REF!,#REF!),"-")</f>
        <v>-</v>
      </c>
      <c r="BM22" s="545" t="str">
        <f t="shared" si="0"/>
        <v>-</v>
      </c>
      <c r="BN22" s="542"/>
    </row>
    <row r="23" spans="2:66" x14ac:dyDescent="0.35">
      <c r="B23" s="542" t="s">
        <v>117</v>
      </c>
      <c r="C23" s="542" t="s">
        <v>860</v>
      </c>
      <c r="D23" s="551" t="s">
        <v>43</v>
      </c>
      <c r="E23" s="542" t="s">
        <v>863</v>
      </c>
      <c r="F23" s="542" t="s">
        <v>91</v>
      </c>
      <c r="G23" s="542" t="s">
        <v>775</v>
      </c>
      <c r="H23" s="550">
        <v>1400</v>
      </c>
      <c r="I23" s="542">
        <v>9</v>
      </c>
      <c r="J23" s="547">
        <f t="shared" si="18"/>
        <v>12600</v>
      </c>
      <c r="K23" s="542"/>
      <c r="L23" s="545">
        <f t="shared" si="2"/>
        <v>0</v>
      </c>
      <c r="M23" s="542">
        <v>9</v>
      </c>
      <c r="N23" s="547">
        <f t="shared" si="19"/>
        <v>12600</v>
      </c>
      <c r="O23" s="542"/>
      <c r="P23" s="545">
        <f t="shared" si="4"/>
        <v>0</v>
      </c>
      <c r="Q23" s="542">
        <v>9</v>
      </c>
      <c r="R23" s="547">
        <f t="shared" si="20"/>
        <v>12600</v>
      </c>
      <c r="S23" s="542"/>
      <c r="T23" s="545">
        <f t="shared" si="6"/>
        <v>0</v>
      </c>
      <c r="U23" s="542">
        <v>9</v>
      </c>
      <c r="V23" s="547">
        <f t="shared" si="21"/>
        <v>12600</v>
      </c>
      <c r="W23" s="545"/>
      <c r="X23" s="545"/>
      <c r="Y23" s="542">
        <v>9</v>
      </c>
      <c r="Z23" s="547">
        <f t="shared" si="22"/>
        <v>12600</v>
      </c>
      <c r="AA23" s="545"/>
      <c r="AB23" s="545"/>
      <c r="AC23" s="542">
        <v>9</v>
      </c>
      <c r="AD23" s="547">
        <f t="shared" si="23"/>
        <v>12600</v>
      </c>
      <c r="AE23" s="545"/>
      <c r="AF23" s="545"/>
      <c r="AG23" s="542">
        <v>9</v>
      </c>
      <c r="AH23" s="547">
        <f t="shared" si="24"/>
        <v>12600</v>
      </c>
      <c r="AI23" s="545"/>
      <c r="AJ23" s="545"/>
      <c r="AK23" s="542">
        <v>9</v>
      </c>
      <c r="AL23" s="547">
        <f t="shared" si="25"/>
        <v>12600</v>
      </c>
      <c r="AM23" s="545"/>
      <c r="AN23" s="545"/>
      <c r="AO23" s="542">
        <v>9</v>
      </c>
      <c r="AP23" s="547">
        <f t="shared" si="26"/>
        <v>12600</v>
      </c>
      <c r="AQ23" s="545"/>
      <c r="AR23" s="545"/>
      <c r="AS23" s="542">
        <v>9</v>
      </c>
      <c r="AT23" s="547">
        <f t="shared" si="27"/>
        <v>12600</v>
      </c>
      <c r="AU23" s="545"/>
      <c r="AV23" s="545"/>
      <c r="AW23" s="542">
        <v>9</v>
      </c>
      <c r="AX23" s="547">
        <f t="shared" si="28"/>
        <v>12600</v>
      </c>
      <c r="AY23" s="545"/>
      <c r="AZ23" s="545"/>
      <c r="BA23" s="542">
        <v>9</v>
      </c>
      <c r="BB23" s="547">
        <f t="shared" si="29"/>
        <v>12600</v>
      </c>
      <c r="BC23" s="545"/>
      <c r="BD23" s="545"/>
      <c r="BE23" s="542">
        <v>9</v>
      </c>
      <c r="BF23" s="547">
        <f t="shared" si="30"/>
        <v>12600</v>
      </c>
      <c r="BG23" s="545"/>
      <c r="BH23" s="545"/>
      <c r="BI23" s="542">
        <v>9</v>
      </c>
      <c r="BJ23" s="547">
        <f t="shared" si="31"/>
        <v>12600</v>
      </c>
      <c r="BK23" s="545"/>
      <c r="BL23" s="548" t="str">
        <f>IFERROR(AVERAGE(#REF!,#REF!,#REF!,#REF!,#REF!,#REF!,#REF!,#REF!,#REF!,#REF!,#REF!,#REF!),"-")</f>
        <v>-</v>
      </c>
      <c r="BM23" s="545" t="str">
        <f t="shared" si="0"/>
        <v>-</v>
      </c>
      <c r="BN23" s="542"/>
    </row>
    <row r="24" spans="2:66" x14ac:dyDescent="0.35">
      <c r="B24" s="542" t="s">
        <v>117</v>
      </c>
      <c r="C24" s="542" t="s">
        <v>860</v>
      </c>
      <c r="D24" s="551" t="s">
        <v>43</v>
      </c>
      <c r="E24" s="542" t="s">
        <v>863</v>
      </c>
      <c r="F24" s="542" t="s">
        <v>91</v>
      </c>
      <c r="G24" s="542" t="s">
        <v>776</v>
      </c>
      <c r="H24" s="550">
        <v>1400</v>
      </c>
      <c r="I24" s="542">
        <v>6</v>
      </c>
      <c r="J24" s="547">
        <f t="shared" si="18"/>
        <v>8400</v>
      </c>
      <c r="K24" s="542"/>
      <c r="L24" s="545">
        <f t="shared" si="2"/>
        <v>0</v>
      </c>
      <c r="M24" s="542">
        <v>6</v>
      </c>
      <c r="N24" s="547">
        <f t="shared" si="19"/>
        <v>8400</v>
      </c>
      <c r="O24" s="542"/>
      <c r="P24" s="545">
        <f t="shared" si="4"/>
        <v>0</v>
      </c>
      <c r="Q24" s="542">
        <v>6</v>
      </c>
      <c r="R24" s="547">
        <f t="shared" si="20"/>
        <v>8400</v>
      </c>
      <c r="S24" s="542"/>
      <c r="T24" s="545">
        <f t="shared" si="6"/>
        <v>0</v>
      </c>
      <c r="U24" s="542">
        <v>6</v>
      </c>
      <c r="V24" s="547">
        <f t="shared" si="21"/>
        <v>8400</v>
      </c>
      <c r="W24" s="545"/>
      <c r="X24" s="545"/>
      <c r="Y24" s="542">
        <v>6</v>
      </c>
      <c r="Z24" s="547">
        <f t="shared" si="22"/>
        <v>8400</v>
      </c>
      <c r="AA24" s="545"/>
      <c r="AB24" s="545"/>
      <c r="AC24" s="542">
        <v>6</v>
      </c>
      <c r="AD24" s="547">
        <f t="shared" si="23"/>
        <v>8400</v>
      </c>
      <c r="AE24" s="545"/>
      <c r="AF24" s="545"/>
      <c r="AG24" s="542">
        <v>6</v>
      </c>
      <c r="AH24" s="547">
        <f t="shared" si="24"/>
        <v>8400</v>
      </c>
      <c r="AI24" s="545"/>
      <c r="AJ24" s="545"/>
      <c r="AK24" s="542">
        <v>6</v>
      </c>
      <c r="AL24" s="547">
        <f t="shared" si="25"/>
        <v>8400</v>
      </c>
      <c r="AM24" s="545"/>
      <c r="AN24" s="545"/>
      <c r="AO24" s="542">
        <v>6</v>
      </c>
      <c r="AP24" s="547">
        <f t="shared" si="26"/>
        <v>8400</v>
      </c>
      <c r="AQ24" s="545"/>
      <c r="AR24" s="545"/>
      <c r="AS24" s="542">
        <v>6</v>
      </c>
      <c r="AT24" s="547">
        <f t="shared" si="27"/>
        <v>8400</v>
      </c>
      <c r="AU24" s="545"/>
      <c r="AV24" s="545"/>
      <c r="AW24" s="542">
        <v>6</v>
      </c>
      <c r="AX24" s="547">
        <f t="shared" si="28"/>
        <v>8400</v>
      </c>
      <c r="AY24" s="545"/>
      <c r="AZ24" s="545"/>
      <c r="BA24" s="542">
        <v>6</v>
      </c>
      <c r="BB24" s="547">
        <f t="shared" si="29"/>
        <v>8400</v>
      </c>
      <c r="BC24" s="545"/>
      <c r="BD24" s="545"/>
      <c r="BE24" s="542">
        <v>6</v>
      </c>
      <c r="BF24" s="547">
        <f t="shared" si="30"/>
        <v>8400</v>
      </c>
      <c r="BG24" s="545"/>
      <c r="BH24" s="545"/>
      <c r="BI24" s="542">
        <v>6</v>
      </c>
      <c r="BJ24" s="547">
        <f t="shared" si="31"/>
        <v>8400</v>
      </c>
      <c r="BK24" s="545"/>
      <c r="BL24" s="548" t="str">
        <f>IFERROR(AVERAGE(#REF!,#REF!,#REF!,#REF!,#REF!,#REF!,#REF!,#REF!,#REF!,#REF!,#REF!,#REF!),"-")</f>
        <v>-</v>
      </c>
      <c r="BM24" s="545" t="str">
        <f t="shared" si="0"/>
        <v>-</v>
      </c>
      <c r="BN24" s="542"/>
    </row>
    <row r="25" spans="2:66" x14ac:dyDescent="0.35">
      <c r="B25" s="542" t="s">
        <v>117</v>
      </c>
      <c r="C25" s="542" t="s">
        <v>860</v>
      </c>
      <c r="D25" s="551" t="s">
        <v>43</v>
      </c>
      <c r="E25" s="542" t="s">
        <v>863</v>
      </c>
      <c r="F25" s="542" t="s">
        <v>91</v>
      </c>
      <c r="G25" s="542" t="s">
        <v>777</v>
      </c>
      <c r="H25" s="550">
        <v>1400</v>
      </c>
      <c r="I25" s="542">
        <v>6</v>
      </c>
      <c r="J25" s="547">
        <f t="shared" si="18"/>
        <v>8400</v>
      </c>
      <c r="K25" s="542"/>
      <c r="L25" s="545">
        <f t="shared" si="2"/>
        <v>0</v>
      </c>
      <c r="M25" s="542">
        <v>6</v>
      </c>
      <c r="N25" s="547">
        <f t="shared" si="19"/>
        <v>8400</v>
      </c>
      <c r="O25" s="542"/>
      <c r="P25" s="545">
        <f t="shared" si="4"/>
        <v>0</v>
      </c>
      <c r="Q25" s="542">
        <v>6</v>
      </c>
      <c r="R25" s="547">
        <f t="shared" si="20"/>
        <v>8400</v>
      </c>
      <c r="S25" s="542"/>
      <c r="T25" s="545">
        <f t="shared" si="6"/>
        <v>0</v>
      </c>
      <c r="U25" s="542">
        <v>6</v>
      </c>
      <c r="V25" s="547">
        <f t="shared" si="21"/>
        <v>8400</v>
      </c>
      <c r="W25" s="545"/>
      <c r="X25" s="545"/>
      <c r="Y25" s="542">
        <v>6</v>
      </c>
      <c r="Z25" s="547">
        <f t="shared" si="22"/>
        <v>8400</v>
      </c>
      <c r="AA25" s="545"/>
      <c r="AB25" s="545"/>
      <c r="AC25" s="542">
        <v>6</v>
      </c>
      <c r="AD25" s="547">
        <f t="shared" si="23"/>
        <v>8400</v>
      </c>
      <c r="AE25" s="545"/>
      <c r="AF25" s="545"/>
      <c r="AG25" s="542">
        <v>6</v>
      </c>
      <c r="AH25" s="547">
        <f t="shared" si="24"/>
        <v>8400</v>
      </c>
      <c r="AI25" s="545"/>
      <c r="AJ25" s="545"/>
      <c r="AK25" s="542">
        <v>6</v>
      </c>
      <c r="AL25" s="547">
        <f t="shared" si="25"/>
        <v>8400</v>
      </c>
      <c r="AM25" s="545"/>
      <c r="AN25" s="545"/>
      <c r="AO25" s="542">
        <v>6</v>
      </c>
      <c r="AP25" s="547">
        <f t="shared" si="26"/>
        <v>8400</v>
      </c>
      <c r="AQ25" s="545"/>
      <c r="AR25" s="545"/>
      <c r="AS25" s="542">
        <v>6</v>
      </c>
      <c r="AT25" s="547">
        <f t="shared" si="27"/>
        <v>8400</v>
      </c>
      <c r="AU25" s="545"/>
      <c r="AV25" s="545"/>
      <c r="AW25" s="542">
        <v>6</v>
      </c>
      <c r="AX25" s="547">
        <f t="shared" si="28"/>
        <v>8400</v>
      </c>
      <c r="AY25" s="545"/>
      <c r="AZ25" s="545"/>
      <c r="BA25" s="542">
        <v>6</v>
      </c>
      <c r="BB25" s="547">
        <f t="shared" si="29"/>
        <v>8400</v>
      </c>
      <c r="BC25" s="545"/>
      <c r="BD25" s="545"/>
      <c r="BE25" s="542">
        <v>6</v>
      </c>
      <c r="BF25" s="547">
        <f t="shared" si="30"/>
        <v>8400</v>
      </c>
      <c r="BG25" s="545"/>
      <c r="BH25" s="545"/>
      <c r="BI25" s="542">
        <v>6</v>
      </c>
      <c r="BJ25" s="547">
        <f t="shared" si="31"/>
        <v>8400</v>
      </c>
      <c r="BK25" s="545"/>
      <c r="BL25" s="548" t="str">
        <f>IFERROR(AVERAGE(#REF!,#REF!,#REF!,#REF!,#REF!,#REF!,#REF!,#REF!,#REF!,#REF!,#REF!,#REF!),"-")</f>
        <v>-</v>
      </c>
      <c r="BM25" s="545" t="str">
        <f t="shared" si="0"/>
        <v>-</v>
      </c>
      <c r="BN25" s="542"/>
    </row>
    <row r="26" spans="2:66" x14ac:dyDescent="0.35">
      <c r="B26" s="542" t="s">
        <v>117</v>
      </c>
      <c r="C26" s="542" t="s">
        <v>860</v>
      </c>
      <c r="D26" s="551" t="s">
        <v>43</v>
      </c>
      <c r="E26" s="542" t="s">
        <v>863</v>
      </c>
      <c r="F26" s="542" t="s">
        <v>91</v>
      </c>
      <c r="G26" s="542" t="s">
        <v>778</v>
      </c>
      <c r="H26" s="550">
        <v>1400</v>
      </c>
      <c r="I26" s="542">
        <v>1</v>
      </c>
      <c r="J26" s="547">
        <f t="shared" si="18"/>
        <v>1400</v>
      </c>
      <c r="K26" s="542"/>
      <c r="L26" s="545">
        <f t="shared" si="2"/>
        <v>0</v>
      </c>
      <c r="M26" s="542">
        <v>1</v>
      </c>
      <c r="N26" s="547">
        <f t="shared" si="19"/>
        <v>1400</v>
      </c>
      <c r="O26" s="542"/>
      <c r="P26" s="545">
        <f t="shared" si="4"/>
        <v>0</v>
      </c>
      <c r="Q26" s="542">
        <v>1</v>
      </c>
      <c r="R26" s="547">
        <f t="shared" si="20"/>
        <v>1400</v>
      </c>
      <c r="S26" s="542"/>
      <c r="T26" s="545">
        <f t="shared" si="6"/>
        <v>0</v>
      </c>
      <c r="U26" s="542">
        <v>1</v>
      </c>
      <c r="V26" s="547">
        <f t="shared" si="21"/>
        <v>1400</v>
      </c>
      <c r="W26" s="545"/>
      <c r="X26" s="545"/>
      <c r="Y26" s="542">
        <v>1</v>
      </c>
      <c r="Z26" s="547">
        <f t="shared" si="22"/>
        <v>1400</v>
      </c>
      <c r="AA26" s="545"/>
      <c r="AB26" s="545"/>
      <c r="AC26" s="542">
        <v>1</v>
      </c>
      <c r="AD26" s="547">
        <f t="shared" si="23"/>
        <v>1400</v>
      </c>
      <c r="AE26" s="545"/>
      <c r="AF26" s="545"/>
      <c r="AG26" s="542">
        <v>1</v>
      </c>
      <c r="AH26" s="547">
        <f t="shared" si="24"/>
        <v>1400</v>
      </c>
      <c r="AI26" s="545"/>
      <c r="AJ26" s="545"/>
      <c r="AK26" s="542">
        <v>1</v>
      </c>
      <c r="AL26" s="547">
        <f t="shared" si="25"/>
        <v>1400</v>
      </c>
      <c r="AM26" s="545"/>
      <c r="AN26" s="545"/>
      <c r="AO26" s="542">
        <v>1</v>
      </c>
      <c r="AP26" s="547">
        <f t="shared" si="26"/>
        <v>1400</v>
      </c>
      <c r="AQ26" s="545"/>
      <c r="AR26" s="545"/>
      <c r="AS26" s="542">
        <v>1</v>
      </c>
      <c r="AT26" s="547">
        <f t="shared" si="27"/>
        <v>1400</v>
      </c>
      <c r="AU26" s="545"/>
      <c r="AV26" s="545"/>
      <c r="AW26" s="542">
        <v>1</v>
      </c>
      <c r="AX26" s="547">
        <f t="shared" si="28"/>
        <v>1400</v>
      </c>
      <c r="AY26" s="545"/>
      <c r="AZ26" s="545"/>
      <c r="BA26" s="542">
        <v>1</v>
      </c>
      <c r="BB26" s="547">
        <f t="shared" si="29"/>
        <v>1400</v>
      </c>
      <c r="BC26" s="545"/>
      <c r="BD26" s="545"/>
      <c r="BE26" s="542">
        <v>1</v>
      </c>
      <c r="BF26" s="547">
        <f t="shared" si="30"/>
        <v>1400</v>
      </c>
      <c r="BG26" s="545"/>
      <c r="BH26" s="545"/>
      <c r="BI26" s="542">
        <v>1</v>
      </c>
      <c r="BJ26" s="547">
        <f t="shared" si="31"/>
        <v>1400</v>
      </c>
      <c r="BK26" s="545"/>
      <c r="BL26" s="548" t="str">
        <f>IFERROR(AVERAGE(#REF!,#REF!,#REF!,#REF!,#REF!,#REF!,#REF!,#REF!,#REF!,#REF!,#REF!,#REF!),"-")</f>
        <v>-</v>
      </c>
      <c r="BM26" s="545" t="str">
        <f t="shared" si="0"/>
        <v>-</v>
      </c>
      <c r="BN26" s="542"/>
    </row>
    <row r="27" spans="2:66" x14ac:dyDescent="0.35">
      <c r="B27" s="542" t="s">
        <v>117</v>
      </c>
      <c r="C27" s="542" t="s">
        <v>860</v>
      </c>
      <c r="D27" s="551" t="s">
        <v>43</v>
      </c>
      <c r="E27" s="542" t="s">
        <v>863</v>
      </c>
      <c r="F27" s="542" t="s">
        <v>91</v>
      </c>
      <c r="G27" s="542" t="s">
        <v>772</v>
      </c>
      <c r="H27" s="550">
        <v>1300</v>
      </c>
      <c r="I27" s="542">
        <v>1</v>
      </c>
      <c r="J27" s="547">
        <f t="shared" si="18"/>
        <v>1300</v>
      </c>
      <c r="K27" s="542"/>
      <c r="L27" s="545">
        <f t="shared" si="2"/>
        <v>0</v>
      </c>
      <c r="M27" s="542">
        <v>1</v>
      </c>
      <c r="N27" s="547">
        <f t="shared" si="19"/>
        <v>1300</v>
      </c>
      <c r="O27" s="542"/>
      <c r="P27" s="545">
        <f t="shared" si="4"/>
        <v>0</v>
      </c>
      <c r="Q27" s="542">
        <v>1</v>
      </c>
      <c r="R27" s="547">
        <f t="shared" si="20"/>
        <v>1300</v>
      </c>
      <c r="S27" s="542"/>
      <c r="T27" s="545">
        <f t="shared" si="6"/>
        <v>0</v>
      </c>
      <c r="U27" s="542">
        <v>1</v>
      </c>
      <c r="V27" s="547">
        <f t="shared" si="21"/>
        <v>1300</v>
      </c>
      <c r="W27" s="545"/>
      <c r="X27" s="545"/>
      <c r="Y27" s="542">
        <v>1</v>
      </c>
      <c r="Z27" s="547">
        <f t="shared" si="22"/>
        <v>1300</v>
      </c>
      <c r="AA27" s="545"/>
      <c r="AB27" s="545"/>
      <c r="AC27" s="542">
        <v>1</v>
      </c>
      <c r="AD27" s="547">
        <f t="shared" si="23"/>
        <v>1300</v>
      </c>
      <c r="AE27" s="545"/>
      <c r="AF27" s="545"/>
      <c r="AG27" s="542">
        <v>1</v>
      </c>
      <c r="AH27" s="547">
        <f t="shared" si="24"/>
        <v>1300</v>
      </c>
      <c r="AI27" s="545"/>
      <c r="AJ27" s="545"/>
      <c r="AK27" s="542">
        <v>1</v>
      </c>
      <c r="AL27" s="547">
        <f t="shared" si="25"/>
        <v>1300</v>
      </c>
      <c r="AM27" s="545"/>
      <c r="AN27" s="545"/>
      <c r="AO27" s="542">
        <v>1</v>
      </c>
      <c r="AP27" s="547">
        <f t="shared" si="26"/>
        <v>1300</v>
      </c>
      <c r="AQ27" s="545"/>
      <c r="AR27" s="545"/>
      <c r="AS27" s="542">
        <v>1</v>
      </c>
      <c r="AT27" s="547">
        <f t="shared" si="27"/>
        <v>1300</v>
      </c>
      <c r="AU27" s="545"/>
      <c r="AV27" s="545"/>
      <c r="AW27" s="542">
        <v>1</v>
      </c>
      <c r="AX27" s="547">
        <f t="shared" si="28"/>
        <v>1300</v>
      </c>
      <c r="AY27" s="545"/>
      <c r="AZ27" s="545"/>
      <c r="BA27" s="542">
        <v>1</v>
      </c>
      <c r="BB27" s="547">
        <f t="shared" si="29"/>
        <v>1300</v>
      </c>
      <c r="BC27" s="545"/>
      <c r="BD27" s="545"/>
      <c r="BE27" s="542">
        <v>1</v>
      </c>
      <c r="BF27" s="547">
        <f t="shared" si="30"/>
        <v>1300</v>
      </c>
      <c r="BG27" s="545"/>
      <c r="BH27" s="545"/>
      <c r="BI27" s="542">
        <v>1</v>
      </c>
      <c r="BJ27" s="547">
        <f t="shared" si="31"/>
        <v>1300</v>
      </c>
      <c r="BK27" s="545"/>
      <c r="BL27" s="548" t="str">
        <f>IFERROR(AVERAGE(#REF!,#REF!,#REF!,#REF!,#REF!,#REF!,#REF!,#REF!,#REF!,#REF!,#REF!,#REF!),"-")</f>
        <v>-</v>
      </c>
      <c r="BM27" s="545" t="str">
        <f t="shared" si="0"/>
        <v>-</v>
      </c>
      <c r="BN27" s="542"/>
    </row>
    <row r="28" spans="2:66" x14ac:dyDescent="0.35">
      <c r="B28" s="542" t="s">
        <v>117</v>
      </c>
      <c r="C28" s="542" t="s">
        <v>860</v>
      </c>
      <c r="D28" s="551" t="s">
        <v>43</v>
      </c>
      <c r="E28" s="542" t="s">
        <v>863</v>
      </c>
      <c r="F28" s="542" t="s">
        <v>91</v>
      </c>
      <c r="G28" s="542" t="s">
        <v>774</v>
      </c>
      <c r="H28" s="550">
        <v>1400</v>
      </c>
      <c r="I28" s="542">
        <v>1</v>
      </c>
      <c r="J28" s="547">
        <f t="shared" si="18"/>
        <v>1400</v>
      </c>
      <c r="K28" s="542"/>
      <c r="L28" s="545">
        <f t="shared" si="2"/>
        <v>0</v>
      </c>
      <c r="M28" s="542">
        <v>1</v>
      </c>
      <c r="N28" s="547">
        <f t="shared" si="19"/>
        <v>1400</v>
      </c>
      <c r="O28" s="542"/>
      <c r="P28" s="545">
        <f t="shared" si="4"/>
        <v>0</v>
      </c>
      <c r="Q28" s="542">
        <v>1</v>
      </c>
      <c r="R28" s="547">
        <f t="shared" si="20"/>
        <v>1400</v>
      </c>
      <c r="S28" s="542"/>
      <c r="T28" s="545">
        <f t="shared" si="6"/>
        <v>0</v>
      </c>
      <c r="U28" s="542">
        <v>1</v>
      </c>
      <c r="V28" s="547">
        <f t="shared" si="21"/>
        <v>1400</v>
      </c>
      <c r="W28" s="545"/>
      <c r="X28" s="545"/>
      <c r="Y28" s="542">
        <v>1</v>
      </c>
      <c r="Z28" s="547">
        <f t="shared" si="22"/>
        <v>1400</v>
      </c>
      <c r="AA28" s="545"/>
      <c r="AB28" s="545"/>
      <c r="AC28" s="542">
        <v>1</v>
      </c>
      <c r="AD28" s="547">
        <f t="shared" si="23"/>
        <v>1400</v>
      </c>
      <c r="AE28" s="545"/>
      <c r="AF28" s="545"/>
      <c r="AG28" s="542">
        <v>1</v>
      </c>
      <c r="AH28" s="547">
        <f t="shared" si="24"/>
        <v>1400</v>
      </c>
      <c r="AI28" s="545"/>
      <c r="AJ28" s="545"/>
      <c r="AK28" s="542">
        <v>1</v>
      </c>
      <c r="AL28" s="547">
        <f t="shared" si="25"/>
        <v>1400</v>
      </c>
      <c r="AM28" s="545"/>
      <c r="AN28" s="545"/>
      <c r="AO28" s="542">
        <v>1</v>
      </c>
      <c r="AP28" s="547">
        <f t="shared" si="26"/>
        <v>1400</v>
      </c>
      <c r="AQ28" s="545"/>
      <c r="AR28" s="545"/>
      <c r="AS28" s="542">
        <v>1</v>
      </c>
      <c r="AT28" s="547">
        <f t="shared" si="27"/>
        <v>1400</v>
      </c>
      <c r="AU28" s="545"/>
      <c r="AV28" s="545"/>
      <c r="AW28" s="542">
        <v>1</v>
      </c>
      <c r="AX28" s="547">
        <f t="shared" si="28"/>
        <v>1400</v>
      </c>
      <c r="AY28" s="545"/>
      <c r="AZ28" s="545"/>
      <c r="BA28" s="542">
        <v>1</v>
      </c>
      <c r="BB28" s="547">
        <f t="shared" si="29"/>
        <v>1400</v>
      </c>
      <c r="BC28" s="545"/>
      <c r="BD28" s="545"/>
      <c r="BE28" s="542">
        <v>1</v>
      </c>
      <c r="BF28" s="547">
        <f t="shared" si="30"/>
        <v>1400</v>
      </c>
      <c r="BG28" s="545"/>
      <c r="BH28" s="545"/>
      <c r="BI28" s="542">
        <v>1</v>
      </c>
      <c r="BJ28" s="547">
        <f t="shared" si="31"/>
        <v>1400</v>
      </c>
      <c r="BK28" s="545"/>
      <c r="BL28" s="548" t="str">
        <f>IFERROR(AVERAGE(#REF!,#REF!,#REF!,#REF!,#REF!,#REF!,#REF!,#REF!,#REF!,#REF!,#REF!,#REF!),"-")</f>
        <v>-</v>
      </c>
      <c r="BM28" s="545" t="str">
        <f t="shared" si="0"/>
        <v>-</v>
      </c>
      <c r="BN28" s="542"/>
    </row>
    <row r="29" spans="2:66" x14ac:dyDescent="0.35">
      <c r="B29" s="542" t="s">
        <v>117</v>
      </c>
      <c r="C29" s="542" t="s">
        <v>860</v>
      </c>
      <c r="D29" s="551" t="s">
        <v>43</v>
      </c>
      <c r="E29" s="542" t="s">
        <v>863</v>
      </c>
      <c r="F29" s="542" t="s">
        <v>91</v>
      </c>
      <c r="G29" s="542" t="s">
        <v>845</v>
      </c>
      <c r="H29" s="550">
        <v>1400</v>
      </c>
      <c r="I29" s="542">
        <v>2</v>
      </c>
      <c r="J29" s="547">
        <f t="shared" si="18"/>
        <v>2800</v>
      </c>
      <c r="K29" s="542"/>
      <c r="L29" s="545">
        <f t="shared" si="2"/>
        <v>0</v>
      </c>
      <c r="M29" s="542">
        <v>2</v>
      </c>
      <c r="N29" s="547">
        <f t="shared" si="19"/>
        <v>2800</v>
      </c>
      <c r="O29" s="542"/>
      <c r="P29" s="545">
        <f t="shared" si="4"/>
        <v>0</v>
      </c>
      <c r="Q29" s="542">
        <v>2</v>
      </c>
      <c r="R29" s="547">
        <f t="shared" si="20"/>
        <v>2800</v>
      </c>
      <c r="S29" s="542"/>
      <c r="T29" s="545">
        <f t="shared" si="6"/>
        <v>0</v>
      </c>
      <c r="U29" s="542">
        <v>2</v>
      </c>
      <c r="V29" s="547">
        <f t="shared" si="21"/>
        <v>2800</v>
      </c>
      <c r="W29" s="545"/>
      <c r="X29" s="545"/>
      <c r="Y29" s="542">
        <v>2</v>
      </c>
      <c r="Z29" s="547">
        <f t="shared" si="22"/>
        <v>2800</v>
      </c>
      <c r="AA29" s="545"/>
      <c r="AB29" s="545"/>
      <c r="AC29" s="542">
        <v>2</v>
      </c>
      <c r="AD29" s="547">
        <f t="shared" si="23"/>
        <v>2800</v>
      </c>
      <c r="AE29" s="545"/>
      <c r="AF29" s="545"/>
      <c r="AG29" s="542">
        <v>2</v>
      </c>
      <c r="AH29" s="547">
        <f t="shared" si="24"/>
        <v>2800</v>
      </c>
      <c r="AI29" s="545"/>
      <c r="AJ29" s="545"/>
      <c r="AK29" s="542">
        <v>2</v>
      </c>
      <c r="AL29" s="547">
        <f t="shared" si="25"/>
        <v>2800</v>
      </c>
      <c r="AM29" s="545"/>
      <c r="AN29" s="545"/>
      <c r="AO29" s="542">
        <v>2</v>
      </c>
      <c r="AP29" s="547">
        <f t="shared" si="26"/>
        <v>2800</v>
      </c>
      <c r="AQ29" s="545"/>
      <c r="AR29" s="545"/>
      <c r="AS29" s="542">
        <v>2</v>
      </c>
      <c r="AT29" s="547">
        <f t="shared" si="27"/>
        <v>2800</v>
      </c>
      <c r="AU29" s="545"/>
      <c r="AV29" s="545"/>
      <c r="AW29" s="542">
        <v>2</v>
      </c>
      <c r="AX29" s="547">
        <f t="shared" si="28"/>
        <v>2800</v>
      </c>
      <c r="AY29" s="545"/>
      <c r="AZ29" s="545"/>
      <c r="BA29" s="542">
        <v>2</v>
      </c>
      <c r="BB29" s="547">
        <f t="shared" si="29"/>
        <v>2800</v>
      </c>
      <c r="BC29" s="545"/>
      <c r="BD29" s="545"/>
      <c r="BE29" s="542">
        <v>2</v>
      </c>
      <c r="BF29" s="547">
        <f t="shared" si="30"/>
        <v>2800</v>
      </c>
      <c r="BG29" s="545"/>
      <c r="BH29" s="545"/>
      <c r="BI29" s="542">
        <v>2</v>
      </c>
      <c r="BJ29" s="547">
        <f t="shared" si="31"/>
        <v>2800</v>
      </c>
      <c r="BK29" s="545"/>
      <c r="BL29" s="548" t="str">
        <f>IFERROR(AVERAGE(#REF!,#REF!,#REF!,#REF!,#REF!,#REF!,#REF!,#REF!,#REF!,#REF!,#REF!,#REF!),"-")</f>
        <v>-</v>
      </c>
      <c r="BM29" s="545" t="str">
        <f t="shared" si="0"/>
        <v>-</v>
      </c>
      <c r="BN29" s="542"/>
    </row>
    <row r="30" spans="2:66" x14ac:dyDescent="0.35">
      <c r="B30" s="542" t="s">
        <v>117</v>
      </c>
      <c r="C30" s="542" t="s">
        <v>860</v>
      </c>
      <c r="D30" s="551" t="s">
        <v>43</v>
      </c>
      <c r="E30" s="542" t="s">
        <v>863</v>
      </c>
      <c r="F30" s="542" t="s">
        <v>91</v>
      </c>
      <c r="G30" s="542" t="s">
        <v>846</v>
      </c>
      <c r="H30" s="550">
        <v>1400</v>
      </c>
      <c r="I30" s="542">
        <v>2</v>
      </c>
      <c r="J30" s="547">
        <f t="shared" si="18"/>
        <v>2800</v>
      </c>
      <c r="K30" s="542"/>
      <c r="L30" s="545">
        <f t="shared" si="2"/>
        <v>0</v>
      </c>
      <c r="M30" s="542">
        <v>2</v>
      </c>
      <c r="N30" s="547">
        <f t="shared" si="19"/>
        <v>2800</v>
      </c>
      <c r="O30" s="542"/>
      <c r="P30" s="545">
        <f t="shared" si="4"/>
        <v>0</v>
      </c>
      <c r="Q30" s="542">
        <v>2</v>
      </c>
      <c r="R30" s="547">
        <f t="shared" si="20"/>
        <v>2800</v>
      </c>
      <c r="S30" s="542"/>
      <c r="T30" s="545">
        <f t="shared" si="6"/>
        <v>0</v>
      </c>
      <c r="U30" s="542">
        <v>2</v>
      </c>
      <c r="V30" s="547">
        <f t="shared" si="21"/>
        <v>2800</v>
      </c>
      <c r="W30" s="545"/>
      <c r="X30" s="545"/>
      <c r="Y30" s="542">
        <v>2</v>
      </c>
      <c r="Z30" s="547">
        <f t="shared" si="22"/>
        <v>2800</v>
      </c>
      <c r="AA30" s="545"/>
      <c r="AB30" s="545"/>
      <c r="AC30" s="542">
        <v>2</v>
      </c>
      <c r="AD30" s="547">
        <f t="shared" si="23"/>
        <v>2800</v>
      </c>
      <c r="AE30" s="545"/>
      <c r="AF30" s="545"/>
      <c r="AG30" s="542">
        <v>2</v>
      </c>
      <c r="AH30" s="547">
        <f t="shared" si="24"/>
        <v>2800</v>
      </c>
      <c r="AI30" s="545"/>
      <c r="AJ30" s="545"/>
      <c r="AK30" s="542">
        <v>2</v>
      </c>
      <c r="AL30" s="547">
        <f t="shared" si="25"/>
        <v>2800</v>
      </c>
      <c r="AM30" s="545"/>
      <c r="AN30" s="545"/>
      <c r="AO30" s="542">
        <v>2</v>
      </c>
      <c r="AP30" s="547">
        <f t="shared" si="26"/>
        <v>2800</v>
      </c>
      <c r="AQ30" s="545"/>
      <c r="AR30" s="545"/>
      <c r="AS30" s="542">
        <v>2</v>
      </c>
      <c r="AT30" s="547">
        <f t="shared" si="27"/>
        <v>2800</v>
      </c>
      <c r="AU30" s="545"/>
      <c r="AV30" s="545"/>
      <c r="AW30" s="542">
        <v>2</v>
      </c>
      <c r="AX30" s="547">
        <f t="shared" si="28"/>
        <v>2800</v>
      </c>
      <c r="AY30" s="545"/>
      <c r="AZ30" s="545"/>
      <c r="BA30" s="542">
        <v>2</v>
      </c>
      <c r="BB30" s="547">
        <f t="shared" si="29"/>
        <v>2800</v>
      </c>
      <c r="BC30" s="545"/>
      <c r="BD30" s="545"/>
      <c r="BE30" s="542">
        <v>2</v>
      </c>
      <c r="BF30" s="547">
        <f t="shared" si="30"/>
        <v>2800</v>
      </c>
      <c r="BG30" s="545"/>
      <c r="BH30" s="545"/>
      <c r="BI30" s="542">
        <v>2</v>
      </c>
      <c r="BJ30" s="547">
        <f t="shared" si="31"/>
        <v>2800</v>
      </c>
      <c r="BK30" s="545"/>
      <c r="BL30" s="548" t="str">
        <f>IFERROR(AVERAGE(#REF!,#REF!,#REF!,#REF!,#REF!,#REF!,#REF!,#REF!,#REF!,#REF!,#REF!,#REF!),"-")</f>
        <v>-</v>
      </c>
      <c r="BM30" s="545" t="str">
        <f t="shared" si="0"/>
        <v>-</v>
      </c>
      <c r="BN30" s="542"/>
    </row>
    <row r="31" spans="2:66" x14ac:dyDescent="0.35">
      <c r="B31" s="542" t="s">
        <v>117</v>
      </c>
      <c r="C31" s="542" t="s">
        <v>860</v>
      </c>
      <c r="D31" s="551" t="s">
        <v>43</v>
      </c>
      <c r="E31" s="542" t="s">
        <v>863</v>
      </c>
      <c r="F31" s="542" t="s">
        <v>91</v>
      </c>
      <c r="G31" s="542" t="s">
        <v>847</v>
      </c>
      <c r="H31" s="550">
        <v>1400</v>
      </c>
      <c r="I31" s="542">
        <v>1</v>
      </c>
      <c r="J31" s="547">
        <f t="shared" si="18"/>
        <v>1400</v>
      </c>
      <c r="K31" s="542"/>
      <c r="L31" s="545">
        <f t="shared" si="2"/>
        <v>0</v>
      </c>
      <c r="M31" s="542">
        <v>1</v>
      </c>
      <c r="N31" s="547">
        <f t="shared" si="19"/>
        <v>1400</v>
      </c>
      <c r="O31" s="542"/>
      <c r="P31" s="545"/>
      <c r="Q31" s="542">
        <v>1</v>
      </c>
      <c r="R31" s="547">
        <f t="shared" si="20"/>
        <v>1400</v>
      </c>
      <c r="S31" s="542"/>
      <c r="T31" s="545"/>
      <c r="U31" s="542">
        <v>1</v>
      </c>
      <c r="V31" s="547">
        <f t="shared" si="21"/>
        <v>1400</v>
      </c>
      <c r="W31" s="545"/>
      <c r="X31" s="545"/>
      <c r="Y31" s="542">
        <v>1</v>
      </c>
      <c r="Z31" s="547">
        <f t="shared" si="22"/>
        <v>1400</v>
      </c>
      <c r="AA31" s="545"/>
      <c r="AB31" s="545"/>
      <c r="AC31" s="542">
        <v>1</v>
      </c>
      <c r="AD31" s="547">
        <f t="shared" si="23"/>
        <v>1400</v>
      </c>
      <c r="AE31" s="545"/>
      <c r="AF31" s="545"/>
      <c r="AG31" s="542">
        <v>1</v>
      </c>
      <c r="AH31" s="547">
        <f t="shared" si="24"/>
        <v>1400</v>
      </c>
      <c r="AI31" s="545"/>
      <c r="AJ31" s="545"/>
      <c r="AK31" s="542">
        <v>1</v>
      </c>
      <c r="AL31" s="547">
        <f t="shared" si="25"/>
        <v>1400</v>
      </c>
      <c r="AM31" s="545"/>
      <c r="AN31" s="545"/>
      <c r="AO31" s="542">
        <v>1</v>
      </c>
      <c r="AP31" s="547">
        <f t="shared" si="26"/>
        <v>1400</v>
      </c>
      <c r="AQ31" s="545"/>
      <c r="AR31" s="545"/>
      <c r="AS31" s="542">
        <v>1</v>
      </c>
      <c r="AT31" s="547">
        <f t="shared" si="27"/>
        <v>1400</v>
      </c>
      <c r="AU31" s="545"/>
      <c r="AV31" s="545"/>
      <c r="AW31" s="542">
        <v>1</v>
      </c>
      <c r="AX31" s="547">
        <f t="shared" si="28"/>
        <v>1400</v>
      </c>
      <c r="AY31" s="545"/>
      <c r="AZ31" s="545"/>
      <c r="BA31" s="542">
        <v>1</v>
      </c>
      <c r="BB31" s="547">
        <f t="shared" si="29"/>
        <v>1400</v>
      </c>
      <c r="BC31" s="545"/>
      <c r="BD31" s="545"/>
      <c r="BE31" s="542">
        <v>1</v>
      </c>
      <c r="BF31" s="547">
        <f t="shared" si="30"/>
        <v>1400</v>
      </c>
      <c r="BG31" s="545"/>
      <c r="BH31" s="545"/>
      <c r="BI31" s="542">
        <v>1</v>
      </c>
      <c r="BJ31" s="547">
        <f t="shared" si="31"/>
        <v>1400</v>
      </c>
      <c r="BK31" s="545"/>
      <c r="BL31" s="548" t="str">
        <f>IFERROR(AVERAGE(#REF!,#REF!,#REF!,#REF!,#REF!,#REF!,#REF!,#REF!,#REF!,#REF!,#REF!,#REF!),"-")</f>
        <v>-</v>
      </c>
      <c r="BM31" s="545" t="str">
        <f t="shared" si="0"/>
        <v>-</v>
      </c>
      <c r="BN31" s="542"/>
    </row>
    <row r="32" spans="2:66" x14ac:dyDescent="0.35">
      <c r="B32" s="542" t="s">
        <v>117</v>
      </c>
      <c r="C32" s="542" t="s">
        <v>860</v>
      </c>
      <c r="D32" s="551" t="s">
        <v>43</v>
      </c>
      <c r="E32" s="542" t="s">
        <v>863</v>
      </c>
      <c r="F32" s="542" t="s">
        <v>91</v>
      </c>
      <c r="G32" s="1" t="s">
        <v>848</v>
      </c>
      <c r="H32" s="550">
        <v>1400</v>
      </c>
      <c r="I32" s="542">
        <v>1</v>
      </c>
      <c r="J32" s="547">
        <f t="shared" si="18"/>
        <v>1400</v>
      </c>
      <c r="K32" s="542"/>
      <c r="L32" s="545">
        <f t="shared" si="2"/>
        <v>0</v>
      </c>
      <c r="M32" s="542">
        <v>1</v>
      </c>
      <c r="N32" s="547">
        <f t="shared" si="19"/>
        <v>1400</v>
      </c>
      <c r="O32" s="542"/>
      <c r="P32" s="545"/>
      <c r="Q32" s="542">
        <v>1</v>
      </c>
      <c r="R32" s="547">
        <f t="shared" si="20"/>
        <v>1400</v>
      </c>
      <c r="S32" s="542"/>
      <c r="T32" s="545"/>
      <c r="U32" s="542">
        <v>1</v>
      </c>
      <c r="V32" s="547">
        <f t="shared" si="21"/>
        <v>1400</v>
      </c>
      <c r="W32" s="545"/>
      <c r="X32" s="545"/>
      <c r="Y32" s="542">
        <v>1</v>
      </c>
      <c r="Z32" s="547">
        <f t="shared" si="22"/>
        <v>1400</v>
      </c>
      <c r="AA32" s="545"/>
      <c r="AB32" s="545"/>
      <c r="AC32" s="542">
        <v>1</v>
      </c>
      <c r="AD32" s="547">
        <f t="shared" si="23"/>
        <v>1400</v>
      </c>
      <c r="AE32" s="545"/>
      <c r="AF32" s="545"/>
      <c r="AG32" s="542">
        <v>1</v>
      </c>
      <c r="AH32" s="547">
        <f t="shared" si="24"/>
        <v>1400</v>
      </c>
      <c r="AI32" s="545"/>
      <c r="AJ32" s="545"/>
      <c r="AK32" s="542">
        <v>1</v>
      </c>
      <c r="AL32" s="547">
        <f t="shared" si="25"/>
        <v>1400</v>
      </c>
      <c r="AM32" s="545"/>
      <c r="AN32" s="545"/>
      <c r="AO32" s="542">
        <v>1</v>
      </c>
      <c r="AP32" s="547">
        <f t="shared" si="26"/>
        <v>1400</v>
      </c>
      <c r="AQ32" s="545"/>
      <c r="AR32" s="545"/>
      <c r="AS32" s="542">
        <v>1</v>
      </c>
      <c r="AT32" s="547">
        <f t="shared" si="27"/>
        <v>1400</v>
      </c>
      <c r="AU32" s="545"/>
      <c r="AV32" s="545"/>
      <c r="AW32" s="542">
        <v>1</v>
      </c>
      <c r="AX32" s="547">
        <f t="shared" si="28"/>
        <v>1400</v>
      </c>
      <c r="AY32" s="545"/>
      <c r="AZ32" s="545"/>
      <c r="BA32" s="542">
        <v>1</v>
      </c>
      <c r="BB32" s="547">
        <f t="shared" si="29"/>
        <v>1400</v>
      </c>
      <c r="BC32" s="545"/>
      <c r="BD32" s="545"/>
      <c r="BE32" s="542">
        <v>1</v>
      </c>
      <c r="BF32" s="547">
        <f t="shared" si="30"/>
        <v>1400</v>
      </c>
      <c r="BG32" s="545"/>
      <c r="BH32" s="545"/>
      <c r="BI32" s="542">
        <v>1</v>
      </c>
      <c r="BJ32" s="547">
        <f t="shared" si="31"/>
        <v>1400</v>
      </c>
      <c r="BK32" s="545"/>
      <c r="BL32" s="548"/>
      <c r="BM32" s="545"/>
      <c r="BN32" s="542"/>
    </row>
    <row r="33" spans="2:66" x14ac:dyDescent="0.35">
      <c r="B33" s="542" t="s">
        <v>117</v>
      </c>
      <c r="C33" s="542" t="s">
        <v>860</v>
      </c>
      <c r="D33" s="551" t="s">
        <v>41</v>
      </c>
      <c r="E33" s="551" t="s">
        <v>865</v>
      </c>
      <c r="F33" s="542" t="s">
        <v>804</v>
      </c>
      <c r="G33" s="542" t="s">
        <v>93</v>
      </c>
      <c r="H33" s="543">
        <v>5.5E-2</v>
      </c>
      <c r="I33" s="545">
        <v>820000</v>
      </c>
      <c r="J33" s="547">
        <f t="shared" si="18"/>
        <v>45100</v>
      </c>
      <c r="K33" s="545"/>
      <c r="L33" s="545">
        <f t="shared" si="2"/>
        <v>0</v>
      </c>
      <c r="M33" s="545">
        <v>820000</v>
      </c>
      <c r="N33" s="547">
        <f t="shared" si="19"/>
        <v>45100</v>
      </c>
      <c r="O33" s="545"/>
      <c r="P33" s="545">
        <f t="shared" si="4"/>
        <v>0</v>
      </c>
      <c r="Q33" s="545">
        <v>820000</v>
      </c>
      <c r="R33" s="547">
        <f t="shared" si="20"/>
        <v>45100</v>
      </c>
      <c r="S33" s="545"/>
      <c r="T33" s="545">
        <f t="shared" ref="T33:T50" si="32">IFERROR(S33*$H33,"-")</f>
        <v>0</v>
      </c>
      <c r="U33" s="545">
        <v>820000</v>
      </c>
      <c r="V33" s="547">
        <f t="shared" si="21"/>
        <v>45100</v>
      </c>
      <c r="W33" s="545"/>
      <c r="X33" s="545"/>
      <c r="Y33" s="545">
        <v>820000</v>
      </c>
      <c r="Z33" s="547">
        <f t="shared" si="22"/>
        <v>45100</v>
      </c>
      <c r="AA33" s="545"/>
      <c r="AB33" s="545"/>
      <c r="AC33" s="545">
        <v>820000</v>
      </c>
      <c r="AD33" s="547">
        <f t="shared" si="23"/>
        <v>45100</v>
      </c>
      <c r="AE33" s="545"/>
      <c r="AF33" s="545"/>
      <c r="AG33" s="545">
        <v>820000</v>
      </c>
      <c r="AH33" s="547">
        <f t="shared" si="24"/>
        <v>45100</v>
      </c>
      <c r="AI33" s="545"/>
      <c r="AJ33" s="545"/>
      <c r="AK33" s="545">
        <v>820000</v>
      </c>
      <c r="AL33" s="547">
        <f t="shared" si="25"/>
        <v>45100</v>
      </c>
      <c r="AM33" s="545"/>
      <c r="AN33" s="545"/>
      <c r="AO33" s="545">
        <v>820000</v>
      </c>
      <c r="AP33" s="547">
        <f t="shared" si="26"/>
        <v>45100</v>
      </c>
      <c r="AQ33" s="545"/>
      <c r="AR33" s="545"/>
      <c r="AS33" s="545">
        <v>820000</v>
      </c>
      <c r="AT33" s="547">
        <f t="shared" si="27"/>
        <v>45100</v>
      </c>
      <c r="AU33" s="545"/>
      <c r="AV33" s="545"/>
      <c r="AW33" s="545">
        <v>820000</v>
      </c>
      <c r="AX33" s="547">
        <f t="shared" si="28"/>
        <v>45100</v>
      </c>
      <c r="AY33" s="545"/>
      <c r="AZ33" s="545"/>
      <c r="BA33" s="545">
        <v>820000</v>
      </c>
      <c r="BB33" s="547">
        <f t="shared" si="29"/>
        <v>45100</v>
      </c>
      <c r="BC33" s="545"/>
      <c r="BD33" s="545"/>
      <c r="BE33" s="545">
        <v>820000</v>
      </c>
      <c r="BF33" s="547">
        <f t="shared" si="30"/>
        <v>45100</v>
      </c>
      <c r="BG33" s="545"/>
      <c r="BH33" s="545"/>
      <c r="BI33" s="545">
        <v>820000</v>
      </c>
      <c r="BJ33" s="547">
        <f t="shared" si="31"/>
        <v>45100</v>
      </c>
      <c r="BK33" s="545"/>
      <c r="BL33" s="545" t="str">
        <f>IFERROR(AVERAGE(#REF!,#REF!,#REF!,#REF!,#REF!,#REF!,#REF!,#REF!,#REF!,#REF!,#REF!,#REF!),"-")</f>
        <v>-</v>
      </c>
      <c r="BM33" s="545" t="str">
        <f t="shared" ref="BM33:BM48" si="33">IFERROR(BL33*H33,"-")</f>
        <v>-</v>
      </c>
      <c r="BN33" s="542"/>
    </row>
    <row r="34" spans="2:66" x14ac:dyDescent="0.35">
      <c r="B34" s="542" t="s">
        <v>117</v>
      </c>
      <c r="C34" s="542" t="s">
        <v>860</v>
      </c>
      <c r="D34" s="551" t="s">
        <v>43</v>
      </c>
      <c r="E34" s="551" t="s">
        <v>865</v>
      </c>
      <c r="F34" s="542" t="s">
        <v>804</v>
      </c>
      <c r="G34" s="542" t="s">
        <v>849</v>
      </c>
      <c r="H34" s="550">
        <v>1750</v>
      </c>
      <c r="I34" s="542">
        <v>2</v>
      </c>
      <c r="J34" s="547">
        <f t="shared" si="18"/>
        <v>3500</v>
      </c>
      <c r="K34" s="542"/>
      <c r="L34" s="545">
        <f t="shared" si="2"/>
        <v>0</v>
      </c>
      <c r="M34" s="542">
        <v>2</v>
      </c>
      <c r="N34" s="547">
        <f t="shared" si="19"/>
        <v>3500</v>
      </c>
      <c r="O34" s="542"/>
      <c r="P34" s="545">
        <f t="shared" si="4"/>
        <v>0</v>
      </c>
      <c r="Q34" s="542">
        <v>2</v>
      </c>
      <c r="R34" s="547">
        <f t="shared" si="20"/>
        <v>3500</v>
      </c>
      <c r="S34" s="542"/>
      <c r="T34" s="545">
        <f t="shared" si="32"/>
        <v>0</v>
      </c>
      <c r="U34" s="542">
        <v>2</v>
      </c>
      <c r="V34" s="547">
        <f t="shared" si="21"/>
        <v>3500</v>
      </c>
      <c r="W34" s="545"/>
      <c r="X34" s="545"/>
      <c r="Y34" s="542">
        <v>2</v>
      </c>
      <c r="Z34" s="547">
        <f t="shared" si="22"/>
        <v>3500</v>
      </c>
      <c r="AA34" s="545"/>
      <c r="AB34" s="545"/>
      <c r="AC34" s="542">
        <v>2</v>
      </c>
      <c r="AD34" s="547">
        <f t="shared" si="23"/>
        <v>3500</v>
      </c>
      <c r="AE34" s="545"/>
      <c r="AF34" s="545"/>
      <c r="AG34" s="542">
        <v>2</v>
      </c>
      <c r="AH34" s="547">
        <f t="shared" si="24"/>
        <v>3500</v>
      </c>
      <c r="AI34" s="545"/>
      <c r="AJ34" s="545"/>
      <c r="AK34" s="542">
        <v>2</v>
      </c>
      <c r="AL34" s="547">
        <f t="shared" si="25"/>
        <v>3500</v>
      </c>
      <c r="AM34" s="545"/>
      <c r="AN34" s="545"/>
      <c r="AO34" s="542">
        <v>2</v>
      </c>
      <c r="AP34" s="547">
        <f t="shared" si="26"/>
        <v>3500</v>
      </c>
      <c r="AQ34" s="545"/>
      <c r="AR34" s="545"/>
      <c r="AS34" s="542">
        <v>2</v>
      </c>
      <c r="AT34" s="547">
        <f t="shared" si="27"/>
        <v>3500</v>
      </c>
      <c r="AU34" s="545"/>
      <c r="AV34" s="545"/>
      <c r="AW34" s="542">
        <v>2</v>
      </c>
      <c r="AX34" s="547">
        <f t="shared" si="28"/>
        <v>3500</v>
      </c>
      <c r="AY34" s="545"/>
      <c r="AZ34" s="545"/>
      <c r="BA34" s="542">
        <v>2</v>
      </c>
      <c r="BB34" s="547">
        <f t="shared" si="29"/>
        <v>3500</v>
      </c>
      <c r="BC34" s="545"/>
      <c r="BD34" s="545"/>
      <c r="BE34" s="542">
        <v>2</v>
      </c>
      <c r="BF34" s="547">
        <f t="shared" si="30"/>
        <v>3500</v>
      </c>
      <c r="BG34" s="545"/>
      <c r="BH34" s="545"/>
      <c r="BI34" s="542">
        <v>2</v>
      </c>
      <c r="BJ34" s="547">
        <f t="shared" si="31"/>
        <v>3500</v>
      </c>
      <c r="BK34" s="545"/>
      <c r="BL34" s="548" t="str">
        <f>IFERROR(AVERAGE(#REF!,#REF!,#REF!,#REF!,#REF!,#REF!,#REF!,#REF!,#REF!,#REF!,#REF!,#REF!),"-")</f>
        <v>-</v>
      </c>
      <c r="BM34" s="545" t="str">
        <f t="shared" si="33"/>
        <v>-</v>
      </c>
      <c r="BN34" s="542"/>
    </row>
    <row r="35" spans="2:66" x14ac:dyDescent="0.35">
      <c r="B35" s="542" t="s">
        <v>117</v>
      </c>
      <c r="C35" s="542" t="s">
        <v>860</v>
      </c>
      <c r="D35" s="551" t="s">
        <v>41</v>
      </c>
      <c r="E35" s="551" t="s">
        <v>865</v>
      </c>
      <c r="F35" s="542" t="s">
        <v>804</v>
      </c>
      <c r="G35" s="542" t="s">
        <v>850</v>
      </c>
      <c r="H35" s="550">
        <v>1350</v>
      </c>
      <c r="I35" s="542">
        <v>1</v>
      </c>
      <c r="J35" s="547">
        <f t="shared" si="18"/>
        <v>1350</v>
      </c>
      <c r="K35" s="542"/>
      <c r="L35" s="545">
        <f t="shared" si="2"/>
        <v>0</v>
      </c>
      <c r="M35" s="542">
        <v>1</v>
      </c>
      <c r="N35" s="547">
        <f t="shared" si="19"/>
        <v>1350</v>
      </c>
      <c r="O35" s="542"/>
      <c r="P35" s="545">
        <f t="shared" si="4"/>
        <v>0</v>
      </c>
      <c r="Q35" s="542">
        <v>1</v>
      </c>
      <c r="R35" s="547">
        <f t="shared" si="20"/>
        <v>1350</v>
      </c>
      <c r="S35" s="542"/>
      <c r="T35" s="545">
        <f t="shared" si="32"/>
        <v>0</v>
      </c>
      <c r="U35" s="542">
        <v>1</v>
      </c>
      <c r="V35" s="547">
        <f t="shared" si="21"/>
        <v>1350</v>
      </c>
      <c r="W35" s="545"/>
      <c r="X35" s="545"/>
      <c r="Y35" s="542">
        <v>1</v>
      </c>
      <c r="Z35" s="547">
        <f t="shared" si="22"/>
        <v>1350</v>
      </c>
      <c r="AA35" s="545"/>
      <c r="AB35" s="545"/>
      <c r="AC35" s="542">
        <v>1</v>
      </c>
      <c r="AD35" s="547">
        <f t="shared" si="23"/>
        <v>1350</v>
      </c>
      <c r="AE35" s="545"/>
      <c r="AF35" s="545"/>
      <c r="AG35" s="542">
        <v>1</v>
      </c>
      <c r="AH35" s="547">
        <f t="shared" si="24"/>
        <v>1350</v>
      </c>
      <c r="AI35" s="545"/>
      <c r="AJ35" s="545"/>
      <c r="AK35" s="542">
        <v>1</v>
      </c>
      <c r="AL35" s="547">
        <f t="shared" si="25"/>
        <v>1350</v>
      </c>
      <c r="AM35" s="545"/>
      <c r="AN35" s="545"/>
      <c r="AO35" s="542">
        <v>1</v>
      </c>
      <c r="AP35" s="547">
        <f t="shared" si="26"/>
        <v>1350</v>
      </c>
      <c r="AQ35" s="545"/>
      <c r="AR35" s="545"/>
      <c r="AS35" s="542">
        <v>1</v>
      </c>
      <c r="AT35" s="547">
        <f t="shared" si="27"/>
        <v>1350</v>
      </c>
      <c r="AU35" s="545"/>
      <c r="AV35" s="545"/>
      <c r="AW35" s="542">
        <v>1</v>
      </c>
      <c r="AX35" s="547">
        <f t="shared" si="28"/>
        <v>1350</v>
      </c>
      <c r="AY35" s="545"/>
      <c r="AZ35" s="545"/>
      <c r="BA35" s="542">
        <v>1</v>
      </c>
      <c r="BB35" s="547">
        <f t="shared" si="29"/>
        <v>1350</v>
      </c>
      <c r="BC35" s="545"/>
      <c r="BD35" s="545"/>
      <c r="BE35" s="542">
        <v>1</v>
      </c>
      <c r="BF35" s="547">
        <f t="shared" si="30"/>
        <v>1350</v>
      </c>
      <c r="BG35" s="545"/>
      <c r="BH35" s="545"/>
      <c r="BI35" s="542">
        <v>1</v>
      </c>
      <c r="BJ35" s="547">
        <f t="shared" si="31"/>
        <v>1350</v>
      </c>
      <c r="BK35" s="545"/>
      <c r="BL35" s="548" t="str">
        <f>IFERROR(AVERAGE(#REF!,#REF!,#REF!,#REF!,#REF!,#REF!,#REF!,#REF!,#REF!,#REF!,#REF!,#REF!),"-")</f>
        <v>-</v>
      </c>
      <c r="BM35" s="545" t="str">
        <f t="shared" si="33"/>
        <v>-</v>
      </c>
      <c r="BN35" s="542"/>
    </row>
    <row r="36" spans="2:66" x14ac:dyDescent="0.35">
      <c r="B36" s="542" t="s">
        <v>117</v>
      </c>
      <c r="C36" s="542" t="s">
        <v>860</v>
      </c>
      <c r="D36" s="551" t="s">
        <v>62</v>
      </c>
      <c r="E36" s="542" t="s">
        <v>863</v>
      </c>
      <c r="F36" s="542" t="s">
        <v>799</v>
      </c>
      <c r="G36" s="542" t="s">
        <v>47</v>
      </c>
      <c r="H36" s="546">
        <v>4.5</v>
      </c>
      <c r="I36" s="548">
        <v>550</v>
      </c>
      <c r="J36" s="547">
        <f t="shared" si="18"/>
        <v>2475</v>
      </c>
      <c r="K36" s="548"/>
      <c r="L36" s="545">
        <f t="shared" si="2"/>
        <v>0</v>
      </c>
      <c r="M36" s="548">
        <v>550</v>
      </c>
      <c r="N36" s="547">
        <f t="shared" si="19"/>
        <v>2475</v>
      </c>
      <c r="O36" s="548"/>
      <c r="P36" s="545">
        <f t="shared" si="4"/>
        <v>0</v>
      </c>
      <c r="Q36" s="548">
        <v>550</v>
      </c>
      <c r="R36" s="547">
        <f t="shared" si="20"/>
        <v>2475</v>
      </c>
      <c r="S36" s="548"/>
      <c r="T36" s="545">
        <f t="shared" si="32"/>
        <v>0</v>
      </c>
      <c r="U36" s="548">
        <v>550</v>
      </c>
      <c r="V36" s="547">
        <f t="shared" si="21"/>
        <v>2475</v>
      </c>
      <c r="W36" s="545"/>
      <c r="X36" s="545"/>
      <c r="Y36" s="548">
        <v>550</v>
      </c>
      <c r="Z36" s="547">
        <f t="shared" si="22"/>
        <v>2475</v>
      </c>
      <c r="AA36" s="545"/>
      <c r="AB36" s="545"/>
      <c r="AC36" s="548">
        <v>550</v>
      </c>
      <c r="AD36" s="547">
        <f t="shared" si="23"/>
        <v>2475</v>
      </c>
      <c r="AE36" s="545"/>
      <c r="AF36" s="545"/>
      <c r="AG36" s="548">
        <v>550</v>
      </c>
      <c r="AH36" s="547">
        <f t="shared" si="24"/>
        <v>2475</v>
      </c>
      <c r="AI36" s="545"/>
      <c r="AJ36" s="545"/>
      <c r="AK36" s="548">
        <v>550</v>
      </c>
      <c r="AL36" s="547">
        <f t="shared" si="25"/>
        <v>2475</v>
      </c>
      <c r="AM36" s="545"/>
      <c r="AN36" s="545"/>
      <c r="AO36" s="548">
        <v>550</v>
      </c>
      <c r="AP36" s="547">
        <f t="shared" si="26"/>
        <v>2475</v>
      </c>
      <c r="AQ36" s="545"/>
      <c r="AR36" s="545"/>
      <c r="AS36" s="548">
        <v>550</v>
      </c>
      <c r="AT36" s="547">
        <f t="shared" si="27"/>
        <v>2475</v>
      </c>
      <c r="AU36" s="545"/>
      <c r="AV36" s="545"/>
      <c r="AW36" s="542">
        <v>550</v>
      </c>
      <c r="AX36" s="547">
        <f t="shared" si="28"/>
        <v>2475</v>
      </c>
      <c r="AY36" s="545"/>
      <c r="AZ36" s="545"/>
      <c r="BA36" s="542">
        <v>550</v>
      </c>
      <c r="BB36" s="547">
        <f t="shared" si="29"/>
        <v>2475</v>
      </c>
      <c r="BC36" s="545"/>
      <c r="BD36" s="545"/>
      <c r="BE36" s="542">
        <v>550</v>
      </c>
      <c r="BF36" s="547">
        <f t="shared" si="30"/>
        <v>2475</v>
      </c>
      <c r="BG36" s="545"/>
      <c r="BH36" s="545"/>
      <c r="BI36" s="548">
        <v>550</v>
      </c>
      <c r="BJ36" s="547">
        <f t="shared" si="31"/>
        <v>2475</v>
      </c>
      <c r="BK36" s="545"/>
      <c r="BL36" s="548" t="str">
        <f>IFERROR(AVERAGE(#REF!,#REF!,#REF!,#REF!,#REF!,#REF!,#REF!,#REF!,#REF!,#REF!,#REF!,#REF!),"-")</f>
        <v>-</v>
      </c>
      <c r="BM36" s="545" t="str">
        <f t="shared" si="33"/>
        <v>-</v>
      </c>
      <c r="BN36" s="542"/>
    </row>
    <row r="37" spans="2:66" x14ac:dyDescent="0.35">
      <c r="B37" s="542" t="s">
        <v>117</v>
      </c>
      <c r="C37" s="542" t="s">
        <v>860</v>
      </c>
      <c r="D37" s="542" t="s">
        <v>41</v>
      </c>
      <c r="E37" s="542" t="s">
        <v>863</v>
      </c>
      <c r="F37" s="542" t="s">
        <v>810</v>
      </c>
      <c r="G37" s="542" t="s">
        <v>93</v>
      </c>
      <c r="H37" s="552">
        <v>0.03</v>
      </c>
      <c r="I37" s="545">
        <v>40000</v>
      </c>
      <c r="J37" s="547">
        <f t="shared" si="18"/>
        <v>1200</v>
      </c>
      <c r="K37" s="545"/>
      <c r="L37" s="545">
        <f t="shared" si="2"/>
        <v>0</v>
      </c>
      <c r="M37" s="545">
        <v>44000</v>
      </c>
      <c r="N37" s="547">
        <f t="shared" si="19"/>
        <v>1320</v>
      </c>
      <c r="O37" s="545"/>
      <c r="P37" s="545">
        <f t="shared" si="4"/>
        <v>0</v>
      </c>
      <c r="Q37" s="545">
        <v>40000</v>
      </c>
      <c r="R37" s="547">
        <f t="shared" si="20"/>
        <v>1200</v>
      </c>
      <c r="S37" s="545"/>
      <c r="T37" s="545">
        <f t="shared" si="32"/>
        <v>0</v>
      </c>
      <c r="U37" s="545">
        <v>40000</v>
      </c>
      <c r="V37" s="547">
        <f t="shared" si="21"/>
        <v>1200</v>
      </c>
      <c r="W37" s="545"/>
      <c r="X37" s="545"/>
      <c r="Y37" s="545">
        <v>40000</v>
      </c>
      <c r="Z37" s="547">
        <f t="shared" si="22"/>
        <v>1200</v>
      </c>
      <c r="AA37" s="545"/>
      <c r="AB37" s="545"/>
      <c r="AC37" s="545">
        <v>40000</v>
      </c>
      <c r="AD37" s="547">
        <f t="shared" si="23"/>
        <v>1200</v>
      </c>
      <c r="AE37" s="545"/>
      <c r="AF37" s="545"/>
      <c r="AG37" s="545">
        <v>40000</v>
      </c>
      <c r="AH37" s="547">
        <f t="shared" si="24"/>
        <v>1200</v>
      </c>
      <c r="AI37" s="545"/>
      <c r="AJ37" s="545"/>
      <c r="AK37" s="545">
        <v>40000</v>
      </c>
      <c r="AL37" s="547">
        <f t="shared" si="25"/>
        <v>1200</v>
      </c>
      <c r="AM37" s="545"/>
      <c r="AN37" s="545"/>
      <c r="AO37" s="545">
        <v>40000</v>
      </c>
      <c r="AP37" s="547">
        <f t="shared" si="26"/>
        <v>1200</v>
      </c>
      <c r="AQ37" s="545"/>
      <c r="AR37" s="545"/>
      <c r="AS37" s="545">
        <v>40000</v>
      </c>
      <c r="AT37" s="547">
        <f t="shared" si="27"/>
        <v>1200</v>
      </c>
      <c r="AU37" s="545"/>
      <c r="AV37" s="545"/>
      <c r="AW37" s="545">
        <v>40000</v>
      </c>
      <c r="AX37" s="547">
        <f t="shared" si="28"/>
        <v>1200</v>
      </c>
      <c r="AY37" s="545"/>
      <c r="AZ37" s="545"/>
      <c r="BA37" s="545">
        <v>40000</v>
      </c>
      <c r="BB37" s="547">
        <f t="shared" si="29"/>
        <v>1200</v>
      </c>
      <c r="BC37" s="545"/>
      <c r="BD37" s="545"/>
      <c r="BE37" s="545">
        <v>40000</v>
      </c>
      <c r="BF37" s="547">
        <f t="shared" si="30"/>
        <v>1200</v>
      </c>
      <c r="BG37" s="545"/>
      <c r="BH37" s="545"/>
      <c r="BI37" s="545">
        <v>40000</v>
      </c>
      <c r="BJ37" s="547">
        <f t="shared" si="31"/>
        <v>1200</v>
      </c>
      <c r="BK37" s="545"/>
      <c r="BL37" s="545" t="str">
        <f>IFERROR(AVERAGE(#REF!,#REF!,#REF!,#REF!,#REF!,#REF!,#REF!,#REF!,#REF!,#REF!,#REF!,#REF!),"-")</f>
        <v>-</v>
      </c>
      <c r="BM37" s="545" t="str">
        <f t="shared" si="33"/>
        <v>-</v>
      </c>
      <c r="BN37" s="542"/>
    </row>
    <row r="38" spans="2:66" x14ac:dyDescent="0.35">
      <c r="B38" s="542" t="s">
        <v>117</v>
      </c>
      <c r="C38" s="542" t="s">
        <v>860</v>
      </c>
      <c r="D38" s="542" t="s">
        <v>43</v>
      </c>
      <c r="E38" s="542" t="s">
        <v>863</v>
      </c>
      <c r="F38" s="542" t="s">
        <v>811</v>
      </c>
      <c r="G38" s="542" t="s">
        <v>101</v>
      </c>
      <c r="H38" s="546">
        <v>1600</v>
      </c>
      <c r="I38" s="548">
        <v>3</v>
      </c>
      <c r="J38" s="547">
        <f t="shared" si="18"/>
        <v>4800</v>
      </c>
      <c r="K38" s="548"/>
      <c r="L38" s="545">
        <f t="shared" si="2"/>
        <v>0</v>
      </c>
      <c r="M38" s="548">
        <v>3</v>
      </c>
      <c r="N38" s="547">
        <f t="shared" si="19"/>
        <v>4800</v>
      </c>
      <c r="O38" s="548"/>
      <c r="P38" s="545">
        <f t="shared" si="4"/>
        <v>0</v>
      </c>
      <c r="Q38" s="548">
        <v>3</v>
      </c>
      <c r="R38" s="547">
        <f t="shared" si="20"/>
        <v>4800</v>
      </c>
      <c r="S38" s="548"/>
      <c r="T38" s="545">
        <f t="shared" si="32"/>
        <v>0</v>
      </c>
      <c r="U38" s="548">
        <v>3</v>
      </c>
      <c r="V38" s="547">
        <f t="shared" si="21"/>
        <v>4800</v>
      </c>
      <c r="W38" s="545"/>
      <c r="X38" s="545"/>
      <c r="Y38" s="548">
        <v>3</v>
      </c>
      <c r="Z38" s="547">
        <f t="shared" si="22"/>
        <v>4800</v>
      </c>
      <c r="AA38" s="545"/>
      <c r="AB38" s="545"/>
      <c r="AC38" s="548">
        <v>3</v>
      </c>
      <c r="AD38" s="547">
        <f t="shared" si="23"/>
        <v>4800</v>
      </c>
      <c r="AE38" s="545"/>
      <c r="AF38" s="545"/>
      <c r="AG38" s="548">
        <v>3</v>
      </c>
      <c r="AH38" s="547">
        <f t="shared" si="24"/>
        <v>4800</v>
      </c>
      <c r="AI38" s="545"/>
      <c r="AJ38" s="545"/>
      <c r="AK38" s="548">
        <v>3</v>
      </c>
      <c r="AL38" s="547">
        <f t="shared" si="25"/>
        <v>4800</v>
      </c>
      <c r="AM38" s="545"/>
      <c r="AN38" s="545"/>
      <c r="AO38" s="548">
        <v>3</v>
      </c>
      <c r="AP38" s="547">
        <f t="shared" si="26"/>
        <v>4800</v>
      </c>
      <c r="AQ38" s="545"/>
      <c r="AR38" s="545"/>
      <c r="AS38" s="548">
        <v>3</v>
      </c>
      <c r="AT38" s="547">
        <f t="shared" si="27"/>
        <v>4800</v>
      </c>
      <c r="AU38" s="545"/>
      <c r="AV38" s="545"/>
      <c r="AW38" s="548">
        <v>3</v>
      </c>
      <c r="AX38" s="547">
        <f t="shared" si="28"/>
        <v>4800</v>
      </c>
      <c r="AY38" s="545"/>
      <c r="AZ38" s="545"/>
      <c r="BA38" s="548">
        <v>3</v>
      </c>
      <c r="BB38" s="547">
        <f t="shared" si="29"/>
        <v>4800</v>
      </c>
      <c r="BC38" s="545"/>
      <c r="BD38" s="545"/>
      <c r="BE38" s="548">
        <v>3</v>
      </c>
      <c r="BF38" s="547">
        <f t="shared" si="30"/>
        <v>4800</v>
      </c>
      <c r="BG38" s="545"/>
      <c r="BH38" s="545"/>
      <c r="BI38" s="548">
        <v>3</v>
      </c>
      <c r="BJ38" s="547">
        <f t="shared" si="31"/>
        <v>4800</v>
      </c>
      <c r="BK38" s="545"/>
      <c r="BL38" s="548" t="str">
        <f>IFERROR(AVERAGE(#REF!,#REF!,#REF!,#REF!,#REF!,#REF!,#REF!,#REF!,#REF!,#REF!,#REF!,#REF!),"-")</f>
        <v>-</v>
      </c>
      <c r="BM38" s="545" t="str">
        <f t="shared" si="33"/>
        <v>-</v>
      </c>
      <c r="BN38" s="542"/>
    </row>
    <row r="39" spans="2:66" x14ac:dyDescent="0.35">
      <c r="B39" s="542" t="s">
        <v>117</v>
      </c>
      <c r="C39" s="542" t="s">
        <v>860</v>
      </c>
      <c r="D39" s="542" t="s">
        <v>62</v>
      </c>
      <c r="E39" s="542" t="s">
        <v>863</v>
      </c>
      <c r="F39" s="542" t="s">
        <v>811</v>
      </c>
      <c r="G39" s="542" t="s">
        <v>47</v>
      </c>
      <c r="H39" s="546">
        <v>4.5</v>
      </c>
      <c r="I39" s="548">
        <v>100</v>
      </c>
      <c r="J39" s="547">
        <f t="shared" si="18"/>
        <v>450</v>
      </c>
      <c r="K39" s="548"/>
      <c r="L39" s="545">
        <f t="shared" si="2"/>
        <v>0</v>
      </c>
      <c r="M39" s="548">
        <v>100</v>
      </c>
      <c r="N39" s="547">
        <f t="shared" si="19"/>
        <v>450</v>
      </c>
      <c r="O39" s="548"/>
      <c r="P39" s="545">
        <f t="shared" si="4"/>
        <v>0</v>
      </c>
      <c r="Q39" s="548">
        <v>100</v>
      </c>
      <c r="R39" s="547">
        <f t="shared" si="20"/>
        <v>450</v>
      </c>
      <c r="S39" s="548"/>
      <c r="T39" s="545">
        <f t="shared" si="32"/>
        <v>0</v>
      </c>
      <c r="U39" s="548">
        <v>100</v>
      </c>
      <c r="V39" s="547">
        <f t="shared" si="21"/>
        <v>450</v>
      </c>
      <c r="W39" s="545"/>
      <c r="X39" s="545"/>
      <c r="Y39" s="548">
        <v>100</v>
      </c>
      <c r="Z39" s="547">
        <f t="shared" si="22"/>
        <v>450</v>
      </c>
      <c r="AA39" s="545"/>
      <c r="AB39" s="545"/>
      <c r="AC39" s="548">
        <v>100</v>
      </c>
      <c r="AD39" s="547">
        <f t="shared" si="23"/>
        <v>450</v>
      </c>
      <c r="AE39" s="545"/>
      <c r="AF39" s="545"/>
      <c r="AG39" s="548">
        <v>100</v>
      </c>
      <c r="AH39" s="547">
        <f t="shared" si="24"/>
        <v>450</v>
      </c>
      <c r="AI39" s="545"/>
      <c r="AJ39" s="545"/>
      <c r="AK39" s="548">
        <v>100</v>
      </c>
      <c r="AL39" s="547">
        <f t="shared" si="25"/>
        <v>450</v>
      </c>
      <c r="AM39" s="545"/>
      <c r="AN39" s="545"/>
      <c r="AO39" s="548">
        <v>100</v>
      </c>
      <c r="AP39" s="547">
        <f t="shared" si="26"/>
        <v>450</v>
      </c>
      <c r="AQ39" s="545"/>
      <c r="AR39" s="545"/>
      <c r="AS39" s="548">
        <v>100</v>
      </c>
      <c r="AT39" s="547">
        <f t="shared" si="27"/>
        <v>450</v>
      </c>
      <c r="AU39" s="545"/>
      <c r="AV39" s="545"/>
      <c r="AW39" s="542">
        <v>100</v>
      </c>
      <c r="AX39" s="547">
        <f t="shared" si="28"/>
        <v>450</v>
      </c>
      <c r="AY39" s="545"/>
      <c r="AZ39" s="545"/>
      <c r="BA39" s="542">
        <v>100</v>
      </c>
      <c r="BB39" s="547">
        <f t="shared" si="29"/>
        <v>450</v>
      </c>
      <c r="BC39" s="545"/>
      <c r="BD39" s="545"/>
      <c r="BE39" s="542">
        <v>100</v>
      </c>
      <c r="BF39" s="547">
        <f t="shared" si="30"/>
        <v>450</v>
      </c>
      <c r="BG39" s="545"/>
      <c r="BH39" s="545"/>
      <c r="BI39" s="548">
        <v>100</v>
      </c>
      <c r="BJ39" s="547">
        <f t="shared" si="31"/>
        <v>450</v>
      </c>
      <c r="BK39" s="545"/>
      <c r="BL39" s="548" t="str">
        <f>IFERROR(AVERAGE(#REF!,#REF!,#REF!,#REF!,#REF!,#REF!,#REF!,#REF!,#REF!,#REF!,#REF!,#REF!),"-")</f>
        <v>-</v>
      </c>
      <c r="BM39" s="545" t="str">
        <f t="shared" si="33"/>
        <v>-</v>
      </c>
      <c r="BN39" s="542"/>
    </row>
    <row r="40" spans="2:66" x14ac:dyDescent="0.35">
      <c r="B40" s="542" t="s">
        <v>117</v>
      </c>
      <c r="C40" s="542" t="s">
        <v>860</v>
      </c>
      <c r="D40" s="542" t="s">
        <v>43</v>
      </c>
      <c r="E40" s="542" t="s">
        <v>863</v>
      </c>
      <c r="F40" s="542" t="s">
        <v>809</v>
      </c>
      <c r="G40" s="542" t="s">
        <v>101</v>
      </c>
      <c r="H40" s="546">
        <v>1750</v>
      </c>
      <c r="I40" s="548">
        <v>1</v>
      </c>
      <c r="J40" s="547">
        <f t="shared" si="18"/>
        <v>1750</v>
      </c>
      <c r="K40" s="548"/>
      <c r="L40" s="545">
        <f t="shared" si="2"/>
        <v>0</v>
      </c>
      <c r="M40" s="548">
        <v>1</v>
      </c>
      <c r="N40" s="547">
        <f t="shared" si="19"/>
        <v>1750</v>
      </c>
      <c r="O40" s="548"/>
      <c r="P40" s="545">
        <f t="shared" si="4"/>
        <v>0</v>
      </c>
      <c r="Q40" s="548">
        <v>1</v>
      </c>
      <c r="R40" s="547">
        <f t="shared" si="20"/>
        <v>1750</v>
      </c>
      <c r="S40" s="548"/>
      <c r="T40" s="545">
        <f t="shared" si="32"/>
        <v>0</v>
      </c>
      <c r="U40" s="548">
        <v>1</v>
      </c>
      <c r="V40" s="547">
        <f t="shared" si="21"/>
        <v>1750</v>
      </c>
      <c r="W40" s="545"/>
      <c r="X40" s="545"/>
      <c r="Y40" s="548">
        <v>1</v>
      </c>
      <c r="Z40" s="547">
        <f t="shared" si="22"/>
        <v>1750</v>
      </c>
      <c r="AA40" s="545"/>
      <c r="AB40" s="545"/>
      <c r="AC40" s="548">
        <v>1</v>
      </c>
      <c r="AD40" s="547">
        <f t="shared" si="23"/>
        <v>1750</v>
      </c>
      <c r="AE40" s="545"/>
      <c r="AF40" s="545"/>
      <c r="AG40" s="548">
        <v>1</v>
      </c>
      <c r="AH40" s="547">
        <f t="shared" si="24"/>
        <v>1750</v>
      </c>
      <c r="AI40" s="545"/>
      <c r="AJ40" s="545"/>
      <c r="AK40" s="548">
        <v>1</v>
      </c>
      <c r="AL40" s="547">
        <f t="shared" si="25"/>
        <v>1750</v>
      </c>
      <c r="AM40" s="545"/>
      <c r="AN40" s="545"/>
      <c r="AO40" s="548">
        <v>1</v>
      </c>
      <c r="AP40" s="547">
        <f t="shared" si="26"/>
        <v>1750</v>
      </c>
      <c r="AQ40" s="545"/>
      <c r="AR40" s="545"/>
      <c r="AS40" s="548">
        <v>1</v>
      </c>
      <c r="AT40" s="547">
        <f t="shared" si="27"/>
        <v>1750</v>
      </c>
      <c r="AU40" s="545"/>
      <c r="AV40" s="545"/>
      <c r="AW40" s="548">
        <v>1</v>
      </c>
      <c r="AX40" s="547">
        <f t="shared" si="28"/>
        <v>1750</v>
      </c>
      <c r="AY40" s="545"/>
      <c r="AZ40" s="545"/>
      <c r="BA40" s="548">
        <v>1</v>
      </c>
      <c r="BB40" s="547">
        <f t="shared" si="29"/>
        <v>1750</v>
      </c>
      <c r="BC40" s="545"/>
      <c r="BD40" s="545"/>
      <c r="BE40" s="548">
        <v>1</v>
      </c>
      <c r="BF40" s="547">
        <f t="shared" si="30"/>
        <v>1750</v>
      </c>
      <c r="BG40" s="545"/>
      <c r="BH40" s="545"/>
      <c r="BI40" s="548">
        <v>1</v>
      </c>
      <c r="BJ40" s="547">
        <f t="shared" si="31"/>
        <v>1750</v>
      </c>
      <c r="BK40" s="545"/>
      <c r="BL40" s="548" t="str">
        <f>IFERROR(AVERAGE(#REF!,#REF!,#REF!,#REF!,#REF!,#REF!,#REF!,#REF!,#REF!,#REF!,#REF!,#REF!),"-")</f>
        <v>-</v>
      </c>
      <c r="BM40" s="545" t="str">
        <f t="shared" si="33"/>
        <v>-</v>
      </c>
      <c r="BN40" s="542"/>
    </row>
    <row r="41" spans="2:66" x14ac:dyDescent="0.35">
      <c r="B41" s="542" t="s">
        <v>117</v>
      </c>
      <c r="C41" s="542" t="s">
        <v>860</v>
      </c>
      <c r="D41" s="542" t="s">
        <v>41</v>
      </c>
      <c r="E41" s="542" t="s">
        <v>863</v>
      </c>
      <c r="F41" s="542" t="s">
        <v>809</v>
      </c>
      <c r="G41" s="542" t="s">
        <v>93</v>
      </c>
      <c r="H41" s="552">
        <v>0.05</v>
      </c>
      <c r="I41" s="545">
        <v>73000</v>
      </c>
      <c r="J41" s="547">
        <f>I41*$H41</f>
        <v>3650</v>
      </c>
      <c r="K41" s="545"/>
      <c r="L41" s="545">
        <f t="shared" si="2"/>
        <v>0</v>
      </c>
      <c r="M41" s="545">
        <v>100000</v>
      </c>
      <c r="N41" s="547">
        <f>M41*$H41</f>
        <v>5000</v>
      </c>
      <c r="O41" s="545"/>
      <c r="P41" s="545">
        <f t="shared" si="4"/>
        <v>0</v>
      </c>
      <c r="Q41" s="545">
        <v>100000</v>
      </c>
      <c r="R41" s="547">
        <f>Q41*$H41</f>
        <v>5000</v>
      </c>
      <c r="S41" s="545"/>
      <c r="T41" s="545">
        <f t="shared" si="32"/>
        <v>0</v>
      </c>
      <c r="U41" s="545">
        <v>100000</v>
      </c>
      <c r="V41" s="547">
        <f>U41*$H41</f>
        <v>5000</v>
      </c>
      <c r="W41" s="545"/>
      <c r="X41" s="545"/>
      <c r="Y41" s="545">
        <v>100000</v>
      </c>
      <c r="Z41" s="547">
        <f>Y41*$H41</f>
        <v>5000</v>
      </c>
      <c r="AA41" s="545"/>
      <c r="AB41" s="545"/>
      <c r="AC41" s="545">
        <v>100000</v>
      </c>
      <c r="AD41" s="547">
        <f>AC41*$H41</f>
        <v>5000</v>
      </c>
      <c r="AE41" s="545"/>
      <c r="AF41" s="545"/>
      <c r="AG41" s="545">
        <v>100000</v>
      </c>
      <c r="AH41" s="547">
        <f>AG41*$H41</f>
        <v>5000</v>
      </c>
      <c r="AI41" s="545"/>
      <c r="AJ41" s="545"/>
      <c r="AK41" s="545">
        <v>100000</v>
      </c>
      <c r="AL41" s="547">
        <f>AK41*$H41</f>
        <v>5000</v>
      </c>
      <c r="AM41" s="545"/>
      <c r="AN41" s="545"/>
      <c r="AO41" s="545">
        <v>100000</v>
      </c>
      <c r="AP41" s="547">
        <f>AO41*$H41</f>
        <v>5000</v>
      </c>
      <c r="AQ41" s="545"/>
      <c r="AR41" s="545"/>
      <c r="AS41" s="545">
        <v>100000</v>
      </c>
      <c r="AT41" s="547">
        <f>AS41*$H41</f>
        <v>5000</v>
      </c>
      <c r="AU41" s="545"/>
      <c r="AV41" s="545"/>
      <c r="AW41" s="545">
        <v>100000</v>
      </c>
      <c r="AX41" s="547">
        <f>AW41*$H41</f>
        <v>5000</v>
      </c>
      <c r="AY41" s="545"/>
      <c r="AZ41" s="545"/>
      <c r="BA41" s="545">
        <v>100000</v>
      </c>
      <c r="BB41" s="547">
        <f>BA41*$H41</f>
        <v>5000</v>
      </c>
      <c r="BC41" s="545"/>
      <c r="BD41" s="545"/>
      <c r="BE41" s="545">
        <v>100000</v>
      </c>
      <c r="BF41" s="547">
        <f>BE41*$H41</f>
        <v>5000</v>
      </c>
      <c r="BG41" s="545"/>
      <c r="BH41" s="545"/>
      <c r="BI41" s="545">
        <v>100000</v>
      </c>
      <c r="BJ41" s="547">
        <f>BI41*$H41</f>
        <v>5000</v>
      </c>
      <c r="BK41" s="545"/>
      <c r="BL41" s="545" t="str">
        <f>IFERROR(AVERAGE(#REF!,#REF!,#REF!,#REF!,#REF!,#REF!,#REF!,#REF!,#REF!,#REF!,#REF!,#REF!),"-")</f>
        <v>-</v>
      </c>
      <c r="BM41" s="545" t="str">
        <f t="shared" si="33"/>
        <v>-</v>
      </c>
      <c r="BN41" s="542"/>
    </row>
    <row r="42" spans="2:66" x14ac:dyDescent="0.35">
      <c r="B42" s="542" t="s">
        <v>117</v>
      </c>
      <c r="C42" s="542" t="s">
        <v>860</v>
      </c>
      <c r="D42" s="542" t="s">
        <v>43</v>
      </c>
      <c r="E42" s="542" t="s">
        <v>866</v>
      </c>
      <c r="F42" s="542" t="s">
        <v>812</v>
      </c>
      <c r="G42" s="542" t="s">
        <v>851</v>
      </c>
      <c r="H42" s="546">
        <v>2500</v>
      </c>
      <c r="I42" s="548">
        <v>10</v>
      </c>
      <c r="J42" s="547">
        <f t="shared" ref="J42:J50" si="34">I42*$H42</f>
        <v>25000</v>
      </c>
      <c r="K42" s="548"/>
      <c r="L42" s="545">
        <f t="shared" si="2"/>
        <v>0</v>
      </c>
      <c r="M42" s="548">
        <v>10</v>
      </c>
      <c r="N42" s="547">
        <f t="shared" ref="N42:N50" si="35">M42*$H42</f>
        <v>25000</v>
      </c>
      <c r="O42" s="548"/>
      <c r="P42" s="545">
        <f t="shared" si="4"/>
        <v>0</v>
      </c>
      <c r="Q42" s="548">
        <v>10</v>
      </c>
      <c r="R42" s="547">
        <f t="shared" ref="R42:R50" si="36">Q42*$H42</f>
        <v>25000</v>
      </c>
      <c r="S42" s="548"/>
      <c r="T42" s="545">
        <f t="shared" si="32"/>
        <v>0</v>
      </c>
      <c r="U42" s="548">
        <v>10</v>
      </c>
      <c r="V42" s="547">
        <f t="shared" ref="V42:V50" si="37">U42*$H42</f>
        <v>25000</v>
      </c>
      <c r="W42" s="545"/>
      <c r="X42" s="545"/>
      <c r="Y42" s="548">
        <v>10</v>
      </c>
      <c r="Z42" s="547">
        <f t="shared" ref="Z42:Z50" si="38">Y42*$H42</f>
        <v>25000</v>
      </c>
      <c r="AA42" s="545"/>
      <c r="AB42" s="545"/>
      <c r="AC42" s="548">
        <v>10</v>
      </c>
      <c r="AD42" s="547">
        <f t="shared" ref="AD42:AD50" si="39">AC42*$H42</f>
        <v>25000</v>
      </c>
      <c r="AE42" s="545"/>
      <c r="AF42" s="545"/>
      <c r="AG42" s="548">
        <v>10</v>
      </c>
      <c r="AH42" s="547">
        <f t="shared" ref="AH42:AH50" si="40">AG42*$H42</f>
        <v>25000</v>
      </c>
      <c r="AI42" s="545"/>
      <c r="AJ42" s="545"/>
      <c r="AK42" s="548">
        <v>10</v>
      </c>
      <c r="AL42" s="547">
        <f t="shared" ref="AL42:AL50" si="41">AK42*$H42</f>
        <v>25000</v>
      </c>
      <c r="AM42" s="545"/>
      <c r="AN42" s="545"/>
      <c r="AO42" s="548">
        <v>10</v>
      </c>
      <c r="AP42" s="547">
        <f t="shared" ref="AP42:AP50" si="42">AO42*$H42</f>
        <v>25000</v>
      </c>
      <c r="AQ42" s="545"/>
      <c r="AR42" s="545"/>
      <c r="AS42" s="548">
        <v>10</v>
      </c>
      <c r="AT42" s="547">
        <f t="shared" ref="AT42:AT50" si="43">AS42*$H42</f>
        <v>25000</v>
      </c>
      <c r="AU42" s="545"/>
      <c r="AV42" s="545"/>
      <c r="AW42" s="548">
        <v>10</v>
      </c>
      <c r="AX42" s="547">
        <f t="shared" ref="AX42:AX50" si="44">AW42*$H42</f>
        <v>25000</v>
      </c>
      <c r="AY42" s="545"/>
      <c r="AZ42" s="545"/>
      <c r="BA42" s="548">
        <v>10</v>
      </c>
      <c r="BB42" s="547">
        <f t="shared" ref="BB42:BB50" si="45">BA42*$H42</f>
        <v>25000</v>
      </c>
      <c r="BC42" s="545"/>
      <c r="BD42" s="545"/>
      <c r="BE42" s="548">
        <v>10</v>
      </c>
      <c r="BF42" s="547">
        <f t="shared" ref="BF42:BF50" si="46">BE42*$H42</f>
        <v>25000</v>
      </c>
      <c r="BG42" s="545"/>
      <c r="BH42" s="545"/>
      <c r="BI42" s="548">
        <v>10</v>
      </c>
      <c r="BJ42" s="547">
        <f t="shared" ref="BJ42:BJ50" si="47">BI42*$H42</f>
        <v>25000</v>
      </c>
      <c r="BK42" s="545"/>
      <c r="BL42" s="548" t="str">
        <f>IFERROR(AVERAGE(#REF!,#REF!,#REF!,#REF!,#REF!,#REF!,#REF!,#REF!,#REF!,#REF!,#REF!,#REF!),"-")</f>
        <v>-</v>
      </c>
      <c r="BM42" s="545" t="str">
        <f t="shared" si="33"/>
        <v>-</v>
      </c>
      <c r="BN42" s="542"/>
    </row>
    <row r="43" spans="2:66" x14ac:dyDescent="0.35">
      <c r="B43" s="542" t="s">
        <v>117</v>
      </c>
      <c r="C43" s="542" t="s">
        <v>860</v>
      </c>
      <c r="D43" s="542" t="s">
        <v>43</v>
      </c>
      <c r="E43" s="542" t="s">
        <v>861</v>
      </c>
      <c r="F43" s="542" t="s">
        <v>793</v>
      </c>
      <c r="G43" s="542" t="s">
        <v>101</v>
      </c>
      <c r="H43" s="550">
        <v>1450</v>
      </c>
      <c r="I43" s="548">
        <v>1</v>
      </c>
      <c r="J43" s="547">
        <f t="shared" si="34"/>
        <v>1450</v>
      </c>
      <c r="K43" s="548"/>
      <c r="L43" s="545">
        <f t="shared" si="2"/>
        <v>0</v>
      </c>
      <c r="M43" s="548">
        <v>1</v>
      </c>
      <c r="N43" s="547">
        <f t="shared" si="35"/>
        <v>1450</v>
      </c>
      <c r="O43" s="548"/>
      <c r="P43" s="545">
        <f t="shared" si="4"/>
        <v>0</v>
      </c>
      <c r="Q43" s="548">
        <v>1</v>
      </c>
      <c r="R43" s="547">
        <f t="shared" si="36"/>
        <v>1450</v>
      </c>
      <c r="S43" s="548"/>
      <c r="T43" s="545">
        <f t="shared" si="32"/>
        <v>0</v>
      </c>
      <c r="U43" s="548">
        <v>1</v>
      </c>
      <c r="V43" s="547">
        <f t="shared" si="37"/>
        <v>1450</v>
      </c>
      <c r="W43" s="545"/>
      <c r="X43" s="545"/>
      <c r="Y43" s="548">
        <v>1</v>
      </c>
      <c r="Z43" s="547">
        <f t="shared" si="38"/>
        <v>1450</v>
      </c>
      <c r="AA43" s="545"/>
      <c r="AB43" s="545"/>
      <c r="AC43" s="548">
        <v>1</v>
      </c>
      <c r="AD43" s="547">
        <f t="shared" si="39"/>
        <v>1450</v>
      </c>
      <c r="AE43" s="545"/>
      <c r="AF43" s="545"/>
      <c r="AG43" s="548">
        <v>1</v>
      </c>
      <c r="AH43" s="547">
        <f t="shared" si="40"/>
        <v>1450</v>
      </c>
      <c r="AI43" s="545"/>
      <c r="AJ43" s="545"/>
      <c r="AK43" s="548">
        <v>1</v>
      </c>
      <c r="AL43" s="547">
        <f t="shared" si="41"/>
        <v>1450</v>
      </c>
      <c r="AM43" s="545"/>
      <c r="AN43" s="545"/>
      <c r="AO43" s="548">
        <v>1</v>
      </c>
      <c r="AP43" s="547">
        <f t="shared" si="42"/>
        <v>1450</v>
      </c>
      <c r="AQ43" s="545"/>
      <c r="AR43" s="545"/>
      <c r="AS43" s="548">
        <v>1</v>
      </c>
      <c r="AT43" s="547">
        <f t="shared" si="43"/>
        <v>1450</v>
      </c>
      <c r="AU43" s="545"/>
      <c r="AV43" s="545"/>
      <c r="AW43" s="548">
        <v>1</v>
      </c>
      <c r="AX43" s="547">
        <f t="shared" si="44"/>
        <v>1450</v>
      </c>
      <c r="AY43" s="545"/>
      <c r="AZ43" s="545"/>
      <c r="BA43" s="548">
        <v>1</v>
      </c>
      <c r="BB43" s="547">
        <f t="shared" si="45"/>
        <v>1450</v>
      </c>
      <c r="BC43" s="545"/>
      <c r="BD43" s="545"/>
      <c r="BE43" s="548">
        <v>1</v>
      </c>
      <c r="BF43" s="547">
        <f t="shared" si="46"/>
        <v>1450</v>
      </c>
      <c r="BG43" s="545"/>
      <c r="BH43" s="545"/>
      <c r="BI43" s="548">
        <v>1</v>
      </c>
      <c r="BJ43" s="547">
        <f t="shared" si="47"/>
        <v>1450</v>
      </c>
      <c r="BK43" s="545"/>
      <c r="BL43" s="548" t="str">
        <f>IFERROR(AVERAGE(#REF!,#REF!,#REF!,#REF!,#REF!,#REF!,#REF!,#REF!,#REF!,#REF!,#REF!,#REF!),"-")</f>
        <v>-</v>
      </c>
      <c r="BM43" s="545" t="str">
        <f t="shared" si="33"/>
        <v>-</v>
      </c>
      <c r="BN43" s="542"/>
    </row>
    <row r="44" spans="2:66" x14ac:dyDescent="0.35">
      <c r="B44" s="542" t="s">
        <v>117</v>
      </c>
      <c r="C44" s="542" t="s">
        <v>860</v>
      </c>
      <c r="D44" s="542" t="s">
        <v>43</v>
      </c>
      <c r="E44" s="542" t="s">
        <v>862</v>
      </c>
      <c r="F44" s="542" t="s">
        <v>813</v>
      </c>
      <c r="G44" s="542" t="s">
        <v>814</v>
      </c>
      <c r="H44" s="550">
        <v>18</v>
      </c>
      <c r="I44" s="548">
        <v>288</v>
      </c>
      <c r="J44" s="547">
        <f t="shared" si="34"/>
        <v>5184</v>
      </c>
      <c r="K44" s="548"/>
      <c r="L44" s="545">
        <f t="shared" si="2"/>
        <v>0</v>
      </c>
      <c r="M44" s="548">
        <v>352</v>
      </c>
      <c r="N44" s="547">
        <f t="shared" si="35"/>
        <v>6336</v>
      </c>
      <c r="O44" s="548"/>
      <c r="P44" s="545">
        <f t="shared" si="4"/>
        <v>0</v>
      </c>
      <c r="Q44" s="548">
        <v>352</v>
      </c>
      <c r="R44" s="547">
        <f t="shared" si="36"/>
        <v>6336</v>
      </c>
      <c r="S44" s="548"/>
      <c r="T44" s="545">
        <f t="shared" si="32"/>
        <v>0</v>
      </c>
      <c r="U44" s="548">
        <v>352</v>
      </c>
      <c r="V44" s="547">
        <f t="shared" si="37"/>
        <v>6336</v>
      </c>
      <c r="W44" s="545"/>
      <c r="X44" s="545"/>
      <c r="Y44" s="548">
        <v>352</v>
      </c>
      <c r="Z44" s="547">
        <f t="shared" si="38"/>
        <v>6336</v>
      </c>
      <c r="AA44" s="545"/>
      <c r="AB44" s="545"/>
      <c r="AC44" s="548">
        <v>352</v>
      </c>
      <c r="AD44" s="547">
        <f t="shared" si="39"/>
        <v>6336</v>
      </c>
      <c r="AE44" s="545"/>
      <c r="AF44" s="545"/>
      <c r="AG44" s="548">
        <v>352</v>
      </c>
      <c r="AH44" s="547">
        <f t="shared" si="40"/>
        <v>6336</v>
      </c>
      <c r="AI44" s="545"/>
      <c r="AJ44" s="545"/>
      <c r="AK44" s="548">
        <v>352</v>
      </c>
      <c r="AL44" s="547">
        <f t="shared" si="41"/>
        <v>6336</v>
      </c>
      <c r="AM44" s="545"/>
      <c r="AN44" s="545"/>
      <c r="AO44" s="548">
        <v>352</v>
      </c>
      <c r="AP44" s="547">
        <f t="shared" si="42"/>
        <v>6336</v>
      </c>
      <c r="AQ44" s="545"/>
      <c r="AR44" s="545"/>
      <c r="AS44" s="548">
        <v>352</v>
      </c>
      <c r="AT44" s="547">
        <f t="shared" si="43"/>
        <v>6336</v>
      </c>
      <c r="AU44" s="545"/>
      <c r="AV44" s="545"/>
      <c r="AW44" s="548">
        <v>352</v>
      </c>
      <c r="AX44" s="547">
        <f t="shared" si="44"/>
        <v>6336</v>
      </c>
      <c r="AY44" s="545"/>
      <c r="AZ44" s="545"/>
      <c r="BA44" s="548">
        <v>352</v>
      </c>
      <c r="BB44" s="547">
        <f t="shared" si="45"/>
        <v>6336</v>
      </c>
      <c r="BC44" s="545"/>
      <c r="BD44" s="545"/>
      <c r="BE44" s="548">
        <v>352</v>
      </c>
      <c r="BF44" s="547">
        <f t="shared" si="46"/>
        <v>6336</v>
      </c>
      <c r="BG44" s="545"/>
      <c r="BH44" s="545"/>
      <c r="BI44" s="548">
        <v>352</v>
      </c>
      <c r="BJ44" s="547">
        <f t="shared" si="47"/>
        <v>6336</v>
      </c>
      <c r="BK44" s="545"/>
      <c r="BL44" s="548" t="str">
        <f>IFERROR(AVERAGE(#REF!,#REF!,#REF!,#REF!,#REF!,#REF!,#REF!,#REF!,#REF!,#REF!,#REF!,#REF!),"-")</f>
        <v>-</v>
      </c>
      <c r="BM44" s="545" t="str">
        <f t="shared" si="33"/>
        <v>-</v>
      </c>
      <c r="BN44" s="542"/>
    </row>
    <row r="45" spans="2:66" x14ac:dyDescent="0.35">
      <c r="B45" s="542" t="s">
        <v>117</v>
      </c>
      <c r="C45" s="542" t="s">
        <v>860</v>
      </c>
      <c r="D45" s="542" t="s">
        <v>43</v>
      </c>
      <c r="E45" s="542" t="s">
        <v>862</v>
      </c>
      <c r="F45" s="542" t="s">
        <v>815</v>
      </c>
      <c r="G45" s="542" t="s">
        <v>121</v>
      </c>
      <c r="H45" s="546">
        <v>1.35</v>
      </c>
      <c r="I45" s="548">
        <v>3500</v>
      </c>
      <c r="J45" s="547">
        <f t="shared" si="34"/>
        <v>4725</v>
      </c>
      <c r="K45" s="548"/>
      <c r="L45" s="545">
        <f t="shared" si="2"/>
        <v>0</v>
      </c>
      <c r="M45" s="548">
        <v>3500</v>
      </c>
      <c r="N45" s="547">
        <f t="shared" si="35"/>
        <v>4725</v>
      </c>
      <c r="O45" s="548"/>
      <c r="P45" s="545">
        <f t="shared" si="4"/>
        <v>0</v>
      </c>
      <c r="Q45" s="548">
        <v>3500</v>
      </c>
      <c r="R45" s="547">
        <f t="shared" si="36"/>
        <v>4725</v>
      </c>
      <c r="S45" s="548"/>
      <c r="T45" s="545">
        <f t="shared" si="32"/>
        <v>0</v>
      </c>
      <c r="U45" s="548">
        <v>3500</v>
      </c>
      <c r="V45" s="547">
        <f t="shared" si="37"/>
        <v>4725</v>
      </c>
      <c r="W45" s="545"/>
      <c r="X45" s="545"/>
      <c r="Y45" s="548">
        <v>3500</v>
      </c>
      <c r="Z45" s="547">
        <f t="shared" si="38"/>
        <v>4725</v>
      </c>
      <c r="AA45" s="545"/>
      <c r="AB45" s="545"/>
      <c r="AC45" s="548">
        <v>3500</v>
      </c>
      <c r="AD45" s="547">
        <f t="shared" si="39"/>
        <v>4725</v>
      </c>
      <c r="AE45" s="545"/>
      <c r="AF45" s="545"/>
      <c r="AG45" s="548">
        <v>3500</v>
      </c>
      <c r="AH45" s="547">
        <f t="shared" si="40"/>
        <v>4725</v>
      </c>
      <c r="AI45" s="545"/>
      <c r="AJ45" s="545"/>
      <c r="AK45" s="548">
        <v>3500</v>
      </c>
      <c r="AL45" s="547">
        <f t="shared" si="41"/>
        <v>4725</v>
      </c>
      <c r="AM45" s="545"/>
      <c r="AN45" s="545"/>
      <c r="AO45" s="548">
        <v>3500</v>
      </c>
      <c r="AP45" s="547">
        <f t="shared" si="42"/>
        <v>4725</v>
      </c>
      <c r="AQ45" s="545"/>
      <c r="AR45" s="545"/>
      <c r="AS45" s="548">
        <v>3500</v>
      </c>
      <c r="AT45" s="547">
        <f t="shared" si="43"/>
        <v>4725</v>
      </c>
      <c r="AU45" s="545"/>
      <c r="AV45" s="545"/>
      <c r="AW45" s="548">
        <v>3500</v>
      </c>
      <c r="AX45" s="547">
        <f t="shared" si="44"/>
        <v>4725</v>
      </c>
      <c r="AY45" s="545"/>
      <c r="AZ45" s="545"/>
      <c r="BA45" s="548">
        <v>3500</v>
      </c>
      <c r="BB45" s="547">
        <f t="shared" si="45"/>
        <v>4725</v>
      </c>
      <c r="BC45" s="545"/>
      <c r="BD45" s="545"/>
      <c r="BE45" s="548">
        <v>3500</v>
      </c>
      <c r="BF45" s="547">
        <f t="shared" si="46"/>
        <v>4725</v>
      </c>
      <c r="BG45" s="545"/>
      <c r="BH45" s="545"/>
      <c r="BI45" s="548">
        <v>3500</v>
      </c>
      <c r="BJ45" s="547">
        <f t="shared" si="47"/>
        <v>4725</v>
      </c>
      <c r="BK45" s="545"/>
      <c r="BL45" s="548" t="str">
        <f>IFERROR(AVERAGE(#REF!,#REF!,#REF!,#REF!,#REF!,#REF!,#REF!,#REF!,#REF!,#REF!,#REF!,#REF!),"-")</f>
        <v>-</v>
      </c>
      <c r="BM45" s="545" t="str">
        <f t="shared" si="33"/>
        <v>-</v>
      </c>
      <c r="BN45" s="542"/>
    </row>
    <row r="46" spans="2:66" x14ac:dyDescent="0.35">
      <c r="B46" s="542" t="s">
        <v>117</v>
      </c>
      <c r="C46" s="542" t="s">
        <v>860</v>
      </c>
      <c r="D46" s="542" t="s">
        <v>43</v>
      </c>
      <c r="E46" s="542" t="s">
        <v>863</v>
      </c>
      <c r="F46" s="542" t="s">
        <v>781</v>
      </c>
      <c r="G46" s="542" t="s">
        <v>101</v>
      </c>
      <c r="H46" s="550">
        <v>1250</v>
      </c>
      <c r="I46" s="548">
        <v>4</v>
      </c>
      <c r="J46" s="547">
        <f t="shared" si="34"/>
        <v>5000</v>
      </c>
      <c r="K46" s="548"/>
      <c r="L46" s="545">
        <f t="shared" si="2"/>
        <v>0</v>
      </c>
      <c r="M46" s="548">
        <v>4</v>
      </c>
      <c r="N46" s="547">
        <f t="shared" si="35"/>
        <v>5000</v>
      </c>
      <c r="O46" s="548"/>
      <c r="P46" s="545">
        <f t="shared" si="4"/>
        <v>0</v>
      </c>
      <c r="Q46" s="548">
        <v>4</v>
      </c>
      <c r="R46" s="547">
        <f t="shared" si="36"/>
        <v>5000</v>
      </c>
      <c r="S46" s="548"/>
      <c r="T46" s="545">
        <f t="shared" si="32"/>
        <v>0</v>
      </c>
      <c r="U46" s="548">
        <v>4</v>
      </c>
      <c r="V46" s="547">
        <f t="shared" si="37"/>
        <v>5000</v>
      </c>
      <c r="W46" s="545"/>
      <c r="X46" s="545"/>
      <c r="Y46" s="548">
        <v>4</v>
      </c>
      <c r="Z46" s="547">
        <f t="shared" si="38"/>
        <v>5000</v>
      </c>
      <c r="AA46" s="545"/>
      <c r="AB46" s="545"/>
      <c r="AC46" s="548">
        <v>4</v>
      </c>
      <c r="AD46" s="547">
        <f t="shared" si="39"/>
        <v>5000</v>
      </c>
      <c r="AE46" s="545"/>
      <c r="AF46" s="545"/>
      <c r="AG46" s="548">
        <v>4</v>
      </c>
      <c r="AH46" s="547">
        <f t="shared" si="40"/>
        <v>5000</v>
      </c>
      <c r="AI46" s="545"/>
      <c r="AJ46" s="545"/>
      <c r="AK46" s="548">
        <v>4</v>
      </c>
      <c r="AL46" s="547">
        <f t="shared" si="41"/>
        <v>5000</v>
      </c>
      <c r="AM46" s="545"/>
      <c r="AN46" s="545"/>
      <c r="AO46" s="548">
        <v>4</v>
      </c>
      <c r="AP46" s="547">
        <f t="shared" si="42"/>
        <v>5000</v>
      </c>
      <c r="AQ46" s="545"/>
      <c r="AR46" s="545"/>
      <c r="AS46" s="548">
        <v>4</v>
      </c>
      <c r="AT46" s="547">
        <f t="shared" si="43"/>
        <v>5000</v>
      </c>
      <c r="AU46" s="545"/>
      <c r="AV46" s="545"/>
      <c r="AW46" s="548">
        <v>4</v>
      </c>
      <c r="AX46" s="547">
        <f t="shared" si="44"/>
        <v>5000</v>
      </c>
      <c r="AY46" s="545"/>
      <c r="AZ46" s="545"/>
      <c r="BA46" s="548">
        <v>4</v>
      </c>
      <c r="BB46" s="547">
        <f t="shared" si="45"/>
        <v>5000</v>
      </c>
      <c r="BC46" s="545"/>
      <c r="BD46" s="545"/>
      <c r="BE46" s="548">
        <v>4</v>
      </c>
      <c r="BF46" s="547">
        <f t="shared" si="46"/>
        <v>5000</v>
      </c>
      <c r="BG46" s="545"/>
      <c r="BH46" s="545"/>
      <c r="BI46" s="548">
        <v>4</v>
      </c>
      <c r="BJ46" s="547">
        <f t="shared" si="47"/>
        <v>5000</v>
      </c>
      <c r="BK46" s="545"/>
      <c r="BL46" s="548" t="str">
        <f>IFERROR(AVERAGE(#REF!,#REF!,#REF!,#REF!,#REF!,#REF!,#REF!,#REF!,#REF!,#REF!,#REF!,#REF!),"-")</f>
        <v>-</v>
      </c>
      <c r="BM46" s="545" t="str">
        <f t="shared" si="33"/>
        <v>-</v>
      </c>
      <c r="BN46" s="542"/>
    </row>
    <row r="47" spans="2:66" x14ac:dyDescent="0.35">
      <c r="B47" s="542" t="s">
        <v>117</v>
      </c>
      <c r="C47" s="542" t="s">
        <v>860</v>
      </c>
      <c r="D47" s="542" t="s">
        <v>62</v>
      </c>
      <c r="E47" s="542" t="s">
        <v>863</v>
      </c>
      <c r="F47" s="542" t="s">
        <v>781</v>
      </c>
      <c r="G47" s="553" t="s">
        <v>852</v>
      </c>
      <c r="H47" s="550">
        <v>1675</v>
      </c>
      <c r="I47" s="548">
        <v>1</v>
      </c>
      <c r="J47" s="547">
        <f t="shared" si="34"/>
        <v>1675</v>
      </c>
      <c r="K47" s="548"/>
      <c r="L47" s="545">
        <f t="shared" si="2"/>
        <v>0</v>
      </c>
      <c r="M47" s="548">
        <v>1</v>
      </c>
      <c r="N47" s="547">
        <f t="shared" si="35"/>
        <v>1675</v>
      </c>
      <c r="O47" s="548"/>
      <c r="P47" s="545">
        <f t="shared" si="4"/>
        <v>0</v>
      </c>
      <c r="Q47" s="548">
        <v>1</v>
      </c>
      <c r="R47" s="547">
        <f t="shared" si="36"/>
        <v>1675</v>
      </c>
      <c r="S47" s="548"/>
      <c r="T47" s="545">
        <f t="shared" si="32"/>
        <v>0</v>
      </c>
      <c r="U47" s="548">
        <v>1</v>
      </c>
      <c r="V47" s="547">
        <f t="shared" si="37"/>
        <v>1675</v>
      </c>
      <c r="W47" s="545"/>
      <c r="X47" s="545"/>
      <c r="Y47" s="548">
        <v>1</v>
      </c>
      <c r="Z47" s="547">
        <f t="shared" si="38"/>
        <v>1675</v>
      </c>
      <c r="AA47" s="545"/>
      <c r="AB47" s="545"/>
      <c r="AC47" s="548">
        <v>1</v>
      </c>
      <c r="AD47" s="547">
        <f t="shared" si="39"/>
        <v>1675</v>
      </c>
      <c r="AE47" s="545"/>
      <c r="AF47" s="545"/>
      <c r="AG47" s="548">
        <v>1</v>
      </c>
      <c r="AH47" s="547">
        <f t="shared" si="40"/>
        <v>1675</v>
      </c>
      <c r="AI47" s="545"/>
      <c r="AJ47" s="545"/>
      <c r="AK47" s="548">
        <v>1</v>
      </c>
      <c r="AL47" s="547">
        <f t="shared" si="41"/>
        <v>1675</v>
      </c>
      <c r="AM47" s="545"/>
      <c r="AN47" s="545"/>
      <c r="AO47" s="548">
        <v>1</v>
      </c>
      <c r="AP47" s="547">
        <f t="shared" si="42"/>
        <v>1675</v>
      </c>
      <c r="AQ47" s="545"/>
      <c r="AR47" s="545"/>
      <c r="AS47" s="548">
        <v>1</v>
      </c>
      <c r="AT47" s="547">
        <f t="shared" si="43"/>
        <v>1675</v>
      </c>
      <c r="AU47" s="545"/>
      <c r="AV47" s="545"/>
      <c r="AW47" s="542">
        <v>1</v>
      </c>
      <c r="AX47" s="547">
        <f t="shared" si="44"/>
        <v>1675</v>
      </c>
      <c r="AY47" s="545"/>
      <c r="AZ47" s="545"/>
      <c r="BA47" s="542">
        <v>1</v>
      </c>
      <c r="BB47" s="547">
        <f t="shared" si="45"/>
        <v>1675</v>
      </c>
      <c r="BC47" s="545"/>
      <c r="BD47" s="545"/>
      <c r="BE47" s="542">
        <v>1</v>
      </c>
      <c r="BF47" s="547">
        <f t="shared" si="46"/>
        <v>1675</v>
      </c>
      <c r="BG47" s="545"/>
      <c r="BH47" s="545"/>
      <c r="BI47" s="548">
        <v>1</v>
      </c>
      <c r="BJ47" s="547">
        <f t="shared" si="47"/>
        <v>1675</v>
      </c>
      <c r="BK47" s="545"/>
      <c r="BL47" s="548" t="str">
        <f>IFERROR(AVERAGE(#REF!,#REF!,#REF!,#REF!,#REF!,#REF!,#REF!,#REF!,#REF!,#REF!,#REF!,#REF!),"-")</f>
        <v>-</v>
      </c>
      <c r="BM47" s="545" t="str">
        <f t="shared" si="33"/>
        <v>-</v>
      </c>
      <c r="BN47" s="542"/>
    </row>
    <row r="48" spans="2:66" x14ac:dyDescent="0.35">
      <c r="B48" s="542" t="s">
        <v>117</v>
      </c>
      <c r="C48" s="542" t="s">
        <v>860</v>
      </c>
      <c r="D48" s="551" t="s">
        <v>43</v>
      </c>
      <c r="E48" s="551" t="s">
        <v>868</v>
      </c>
      <c r="F48" s="551" t="s">
        <v>817</v>
      </c>
      <c r="G48" s="542" t="s">
        <v>101</v>
      </c>
      <c r="H48" s="550">
        <v>1300</v>
      </c>
      <c r="I48" s="548">
        <v>2</v>
      </c>
      <c r="J48" s="547">
        <f t="shared" si="34"/>
        <v>2600</v>
      </c>
      <c r="K48" s="548"/>
      <c r="L48" s="545">
        <f t="shared" si="2"/>
        <v>0</v>
      </c>
      <c r="M48" s="548">
        <v>2</v>
      </c>
      <c r="N48" s="547">
        <f t="shared" si="35"/>
        <v>2600</v>
      </c>
      <c r="O48" s="548"/>
      <c r="P48" s="545">
        <f t="shared" si="4"/>
        <v>0</v>
      </c>
      <c r="Q48" s="548">
        <v>2</v>
      </c>
      <c r="R48" s="547">
        <f t="shared" si="36"/>
        <v>2600</v>
      </c>
      <c r="S48" s="548"/>
      <c r="T48" s="545">
        <f t="shared" si="32"/>
        <v>0</v>
      </c>
      <c r="U48" s="548">
        <v>2</v>
      </c>
      <c r="V48" s="547">
        <f t="shared" si="37"/>
        <v>2600</v>
      </c>
      <c r="W48" s="545"/>
      <c r="X48" s="545"/>
      <c r="Y48" s="548">
        <v>2</v>
      </c>
      <c r="Z48" s="547">
        <f t="shared" si="38"/>
        <v>2600</v>
      </c>
      <c r="AA48" s="545"/>
      <c r="AB48" s="545"/>
      <c r="AC48" s="548">
        <v>2</v>
      </c>
      <c r="AD48" s="547">
        <f t="shared" si="39"/>
        <v>2600</v>
      </c>
      <c r="AE48" s="545"/>
      <c r="AF48" s="545"/>
      <c r="AG48" s="548">
        <v>2</v>
      </c>
      <c r="AH48" s="547">
        <f t="shared" si="40"/>
        <v>2600</v>
      </c>
      <c r="AI48" s="545"/>
      <c r="AJ48" s="545"/>
      <c r="AK48" s="548">
        <v>2</v>
      </c>
      <c r="AL48" s="547">
        <f t="shared" si="41"/>
        <v>2600</v>
      </c>
      <c r="AM48" s="545"/>
      <c r="AN48" s="545"/>
      <c r="AO48" s="548">
        <v>2</v>
      </c>
      <c r="AP48" s="547">
        <f t="shared" si="42"/>
        <v>2600</v>
      </c>
      <c r="AQ48" s="545"/>
      <c r="AR48" s="545"/>
      <c r="AS48" s="548">
        <v>2</v>
      </c>
      <c r="AT48" s="547">
        <f t="shared" si="43"/>
        <v>2600</v>
      </c>
      <c r="AU48" s="545"/>
      <c r="AV48" s="545"/>
      <c r="AW48" s="548">
        <v>2</v>
      </c>
      <c r="AX48" s="547">
        <f t="shared" si="44"/>
        <v>2600</v>
      </c>
      <c r="AY48" s="545"/>
      <c r="AZ48" s="545"/>
      <c r="BA48" s="548">
        <v>2</v>
      </c>
      <c r="BB48" s="547">
        <f t="shared" si="45"/>
        <v>2600</v>
      </c>
      <c r="BC48" s="545"/>
      <c r="BD48" s="545"/>
      <c r="BE48" s="548">
        <v>2</v>
      </c>
      <c r="BF48" s="547">
        <f t="shared" si="46"/>
        <v>2600</v>
      </c>
      <c r="BG48" s="545"/>
      <c r="BH48" s="545"/>
      <c r="BI48" s="548">
        <v>2</v>
      </c>
      <c r="BJ48" s="547">
        <f t="shared" si="47"/>
        <v>2600</v>
      </c>
      <c r="BK48" s="545"/>
      <c r="BL48" s="548" t="str">
        <f>IFERROR(AVERAGE(#REF!,#REF!,#REF!,#REF!,#REF!,#REF!,#REF!,#REF!,#REF!,#REF!,#REF!,#REF!),"-")</f>
        <v>-</v>
      </c>
      <c r="BM48" s="545" t="str">
        <f t="shared" si="33"/>
        <v>-</v>
      </c>
      <c r="BN48" s="542"/>
    </row>
    <row r="49" spans="2:66" x14ac:dyDescent="0.35">
      <c r="B49" s="542" t="s">
        <v>117</v>
      </c>
      <c r="C49" s="542" t="s">
        <v>860</v>
      </c>
      <c r="D49" s="551"/>
      <c r="E49" s="551" t="s">
        <v>864</v>
      </c>
      <c r="F49" s="551" t="s">
        <v>817</v>
      </c>
      <c r="G49" s="542" t="s">
        <v>818</v>
      </c>
      <c r="H49" s="550">
        <v>200</v>
      </c>
      <c r="I49" s="548">
        <v>5</v>
      </c>
      <c r="J49" s="547">
        <f t="shared" si="34"/>
        <v>1000</v>
      </c>
      <c r="K49" s="548"/>
      <c r="L49" s="545">
        <f t="shared" si="2"/>
        <v>0</v>
      </c>
      <c r="M49" s="548">
        <v>5</v>
      </c>
      <c r="N49" s="547">
        <f t="shared" si="35"/>
        <v>1000</v>
      </c>
      <c r="O49" s="548"/>
      <c r="P49" s="545">
        <f t="shared" si="4"/>
        <v>0</v>
      </c>
      <c r="Q49" s="548">
        <v>5</v>
      </c>
      <c r="R49" s="547">
        <f t="shared" si="36"/>
        <v>1000</v>
      </c>
      <c r="S49" s="548"/>
      <c r="T49" s="545">
        <f t="shared" si="32"/>
        <v>0</v>
      </c>
      <c r="U49" s="548">
        <v>5</v>
      </c>
      <c r="V49" s="547">
        <f t="shared" si="37"/>
        <v>1000</v>
      </c>
      <c r="W49" s="545"/>
      <c r="X49" s="545"/>
      <c r="Y49" s="548">
        <v>5</v>
      </c>
      <c r="Z49" s="547">
        <f t="shared" si="38"/>
        <v>1000</v>
      </c>
      <c r="AA49" s="545"/>
      <c r="AB49" s="545"/>
      <c r="AC49" s="548">
        <v>5</v>
      </c>
      <c r="AD49" s="547">
        <f t="shared" si="39"/>
        <v>1000</v>
      </c>
      <c r="AE49" s="545"/>
      <c r="AF49" s="545"/>
      <c r="AG49" s="548">
        <v>5</v>
      </c>
      <c r="AH49" s="547">
        <f t="shared" si="40"/>
        <v>1000</v>
      </c>
      <c r="AI49" s="545"/>
      <c r="AJ49" s="545"/>
      <c r="AK49" s="548">
        <v>5</v>
      </c>
      <c r="AL49" s="547">
        <f t="shared" si="41"/>
        <v>1000</v>
      </c>
      <c r="AM49" s="545"/>
      <c r="AN49" s="545"/>
      <c r="AO49" s="548">
        <v>5</v>
      </c>
      <c r="AP49" s="547">
        <f t="shared" si="42"/>
        <v>1000</v>
      </c>
      <c r="AQ49" s="545"/>
      <c r="AR49" s="545"/>
      <c r="AS49" s="548">
        <v>5</v>
      </c>
      <c r="AT49" s="547">
        <f t="shared" si="43"/>
        <v>1000</v>
      </c>
      <c r="AU49" s="545"/>
      <c r="AV49" s="545"/>
      <c r="AW49" s="548">
        <v>5</v>
      </c>
      <c r="AX49" s="547">
        <f t="shared" si="44"/>
        <v>1000</v>
      </c>
      <c r="AY49" s="545"/>
      <c r="AZ49" s="545"/>
      <c r="BA49" s="548">
        <v>5</v>
      </c>
      <c r="BB49" s="547">
        <f t="shared" si="45"/>
        <v>1000</v>
      </c>
      <c r="BC49" s="545"/>
      <c r="BD49" s="545"/>
      <c r="BE49" s="548">
        <v>5</v>
      </c>
      <c r="BF49" s="547">
        <f t="shared" si="46"/>
        <v>1000</v>
      </c>
      <c r="BG49" s="545"/>
      <c r="BH49" s="545"/>
      <c r="BI49" s="548">
        <v>5</v>
      </c>
      <c r="BJ49" s="547">
        <f t="shared" si="47"/>
        <v>1000</v>
      </c>
      <c r="BK49" s="545"/>
      <c r="BL49" s="548"/>
      <c r="BM49" s="545"/>
      <c r="BN49" s="542"/>
    </row>
    <row r="50" spans="2:66" x14ac:dyDescent="0.35">
      <c r="B50" s="542" t="s">
        <v>117</v>
      </c>
      <c r="C50" s="542" t="s">
        <v>860</v>
      </c>
      <c r="D50" s="551" t="s">
        <v>43</v>
      </c>
      <c r="E50" s="551" t="s">
        <v>868</v>
      </c>
      <c r="F50" s="551" t="s">
        <v>799</v>
      </c>
      <c r="G50" s="542" t="s">
        <v>801</v>
      </c>
      <c r="H50" s="550">
        <v>1450</v>
      </c>
      <c r="I50" s="548">
        <v>1</v>
      </c>
      <c r="J50" s="547">
        <f t="shared" si="34"/>
        <v>1450</v>
      </c>
      <c r="K50" s="548"/>
      <c r="L50" s="545">
        <f t="shared" si="2"/>
        <v>0</v>
      </c>
      <c r="M50" s="548">
        <v>1</v>
      </c>
      <c r="N50" s="547">
        <f t="shared" si="35"/>
        <v>1450</v>
      </c>
      <c r="O50" s="548"/>
      <c r="P50" s="545">
        <f t="shared" si="4"/>
        <v>0</v>
      </c>
      <c r="Q50" s="548">
        <v>1</v>
      </c>
      <c r="R50" s="547">
        <f t="shared" si="36"/>
        <v>1450</v>
      </c>
      <c r="S50" s="548"/>
      <c r="T50" s="545">
        <f t="shared" si="32"/>
        <v>0</v>
      </c>
      <c r="U50" s="548">
        <v>1</v>
      </c>
      <c r="V50" s="547">
        <f t="shared" si="37"/>
        <v>1450</v>
      </c>
      <c r="W50" s="545"/>
      <c r="X50" s="545"/>
      <c r="Y50" s="548">
        <v>1</v>
      </c>
      <c r="Z50" s="547">
        <f t="shared" si="38"/>
        <v>1450</v>
      </c>
      <c r="AA50" s="545"/>
      <c r="AB50" s="545"/>
      <c r="AC50" s="548">
        <v>1</v>
      </c>
      <c r="AD50" s="547">
        <f t="shared" si="39"/>
        <v>1450</v>
      </c>
      <c r="AE50" s="545"/>
      <c r="AF50" s="545"/>
      <c r="AG50" s="548">
        <v>1</v>
      </c>
      <c r="AH50" s="547">
        <f t="shared" si="40"/>
        <v>1450</v>
      </c>
      <c r="AI50" s="545"/>
      <c r="AJ50" s="545"/>
      <c r="AK50" s="548">
        <v>1</v>
      </c>
      <c r="AL50" s="547">
        <f t="shared" si="41"/>
        <v>1450</v>
      </c>
      <c r="AM50" s="545"/>
      <c r="AN50" s="545"/>
      <c r="AO50" s="548">
        <v>1</v>
      </c>
      <c r="AP50" s="547">
        <f t="shared" si="42"/>
        <v>1450</v>
      </c>
      <c r="AQ50" s="545"/>
      <c r="AR50" s="545"/>
      <c r="AS50" s="548">
        <v>1</v>
      </c>
      <c r="AT50" s="547">
        <f t="shared" si="43"/>
        <v>1450</v>
      </c>
      <c r="AU50" s="545"/>
      <c r="AV50" s="545"/>
      <c r="AW50" s="548">
        <v>1</v>
      </c>
      <c r="AX50" s="547">
        <f t="shared" si="44"/>
        <v>1450</v>
      </c>
      <c r="AY50" s="545"/>
      <c r="AZ50" s="545"/>
      <c r="BA50" s="548">
        <v>1</v>
      </c>
      <c r="BB50" s="547">
        <f t="shared" si="45"/>
        <v>1450</v>
      </c>
      <c r="BC50" s="545"/>
      <c r="BD50" s="545"/>
      <c r="BE50" s="548">
        <v>1</v>
      </c>
      <c r="BF50" s="547">
        <f t="shared" si="46"/>
        <v>1450</v>
      </c>
      <c r="BG50" s="545"/>
      <c r="BH50" s="545"/>
      <c r="BI50" s="548">
        <v>1</v>
      </c>
      <c r="BJ50" s="547">
        <f t="shared" si="47"/>
        <v>1450</v>
      </c>
      <c r="BK50" s="545"/>
      <c r="BL50" s="548" t="str">
        <f>IFERROR(AVERAGE(#REF!,#REF!,#REF!,#REF!,#REF!,#REF!,#REF!,#REF!,#REF!,#REF!,#REF!,#REF!),"-")</f>
        <v>-</v>
      </c>
      <c r="BM50" s="545" t="str">
        <f>IFERROR(BL50*H50,"-")</f>
        <v>-</v>
      </c>
      <c r="BN50" s="542"/>
    </row>
    <row r="51" spans="2:66" x14ac:dyDescent="0.35">
      <c r="B51" s="542" t="s">
        <v>117</v>
      </c>
      <c r="C51" s="542" t="s">
        <v>860</v>
      </c>
      <c r="D51" s="554"/>
      <c r="E51" s="554" t="s">
        <v>864</v>
      </c>
      <c r="F51" s="554" t="s">
        <v>843</v>
      </c>
      <c r="G51" s="542" t="s">
        <v>818</v>
      </c>
      <c r="H51" s="550">
        <v>200</v>
      </c>
      <c r="I51" s="548">
        <v>0</v>
      </c>
      <c r="J51" s="547"/>
      <c r="K51" s="548"/>
      <c r="L51" s="545"/>
      <c r="M51" s="548">
        <v>0</v>
      </c>
      <c r="N51" s="547"/>
      <c r="O51" s="548"/>
      <c r="P51" s="545"/>
      <c r="Q51" s="548">
        <v>0</v>
      </c>
      <c r="R51" s="547"/>
      <c r="S51" s="548"/>
      <c r="T51" s="545"/>
      <c r="U51" s="548">
        <v>0</v>
      </c>
      <c r="V51" s="547"/>
      <c r="W51" s="545"/>
      <c r="X51" s="545"/>
      <c r="Y51" s="548">
        <v>0</v>
      </c>
      <c r="Z51" s="547"/>
      <c r="AA51" s="545"/>
      <c r="AB51" s="545"/>
      <c r="AC51" s="548">
        <v>0</v>
      </c>
      <c r="AD51" s="547"/>
      <c r="AE51" s="545"/>
      <c r="AF51" s="545"/>
      <c r="AG51" s="548">
        <v>0</v>
      </c>
      <c r="AH51" s="547"/>
      <c r="AI51" s="545"/>
      <c r="AJ51" s="545"/>
      <c r="AK51" s="548">
        <v>0</v>
      </c>
      <c r="AL51" s="547"/>
      <c r="AM51" s="545"/>
      <c r="AN51" s="545"/>
      <c r="AO51" s="548">
        <v>0</v>
      </c>
      <c r="AP51" s="547"/>
      <c r="AQ51" s="545"/>
      <c r="AR51" s="545"/>
      <c r="AS51" s="548">
        <v>0</v>
      </c>
      <c r="AT51" s="547"/>
      <c r="AU51" s="545"/>
      <c r="AV51" s="545"/>
      <c r="AW51" s="548">
        <v>0</v>
      </c>
      <c r="AX51" s="547"/>
      <c r="AY51" s="545"/>
      <c r="AZ51" s="545"/>
      <c r="BA51" s="548">
        <v>0</v>
      </c>
      <c r="BB51" s="547"/>
      <c r="BC51" s="545"/>
      <c r="BD51" s="545"/>
      <c r="BE51" s="548">
        <v>0</v>
      </c>
      <c r="BF51" s="547"/>
      <c r="BG51" s="545"/>
      <c r="BH51" s="545"/>
      <c r="BI51" s="548">
        <v>0</v>
      </c>
      <c r="BJ51" s="547"/>
      <c r="BK51" s="545"/>
      <c r="BL51" s="548"/>
      <c r="BM51" s="545"/>
      <c r="BN51" s="542"/>
    </row>
  </sheetData>
  <mergeCells count="31">
    <mergeCell ref="AA2:AB2"/>
    <mergeCell ref="B2:B3"/>
    <mergeCell ref="H2:H3"/>
    <mergeCell ref="I2:J2"/>
    <mergeCell ref="K2:L2"/>
    <mergeCell ref="M2:N2"/>
    <mergeCell ref="O2:P2"/>
    <mergeCell ref="Q2:R2"/>
    <mergeCell ref="S2:T2"/>
    <mergeCell ref="U2:V2"/>
    <mergeCell ref="W2:X2"/>
    <mergeCell ref="Y2:Z2"/>
    <mergeCell ref="AY2:AZ2"/>
    <mergeCell ref="AC2:AD2"/>
    <mergeCell ref="AE2:AF2"/>
    <mergeCell ref="AG2:AH2"/>
    <mergeCell ref="AI2:AJ2"/>
    <mergeCell ref="AK2:AL2"/>
    <mergeCell ref="AM2:AN2"/>
    <mergeCell ref="AO2:AP2"/>
    <mergeCell ref="AQ2:AR2"/>
    <mergeCell ref="AS2:AT2"/>
    <mergeCell ref="AU2:AV2"/>
    <mergeCell ref="AW2:AX2"/>
    <mergeCell ref="BM2:BM3"/>
    <mergeCell ref="BA2:BB2"/>
    <mergeCell ref="BC2:BD2"/>
    <mergeCell ref="BE2:BF2"/>
    <mergeCell ref="BG2:BH2"/>
    <mergeCell ref="BI2:BJ2"/>
    <mergeCell ref="BK2:BL2"/>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BD3A-FA71-41AF-AFF6-7CF4B3F19C67}">
  <dimension ref="A1:AI84"/>
  <sheetViews>
    <sheetView zoomScale="80" zoomScaleNormal="80" workbookViewId="0">
      <pane xSplit="5" ySplit="1" topLeftCell="F2" activePane="bottomRight" state="frozen"/>
      <selection pane="topRight" activeCell="F126" sqref="F126"/>
      <selection pane="bottomLeft" activeCell="F126" sqref="F126"/>
      <selection pane="bottomRight" activeCell="F126" sqref="F126"/>
    </sheetView>
  </sheetViews>
  <sheetFormatPr defaultColWidth="12.453125" defaultRowHeight="14.5" outlineLevelCol="1" x14ac:dyDescent="0.35"/>
  <cols>
    <col min="1" max="1" width="10.453125" style="336" bestFit="1" customWidth="1"/>
    <col min="2" max="4" width="10.453125" style="336" customWidth="1"/>
    <col min="5" max="5" width="28.1796875" style="359" customWidth="1"/>
    <col min="6" max="6" width="32" style="331" customWidth="1" outlineLevel="1"/>
    <col min="7" max="7" width="11.453125" style="336" bestFit="1" customWidth="1"/>
    <col min="8" max="9" width="14.453125" style="331" customWidth="1"/>
    <col min="10" max="10" width="13.81640625" style="339" customWidth="1"/>
    <col min="11" max="11" width="14.453125" style="331" customWidth="1"/>
    <col min="12" max="12" width="13.81640625" style="339" customWidth="1"/>
    <col min="13" max="13" width="12.453125" style="333"/>
    <col min="14" max="14" width="19.81640625" style="333" customWidth="1"/>
    <col min="15" max="15" width="16.453125" style="333" customWidth="1"/>
    <col min="16" max="21" width="12.453125" style="333"/>
    <col min="22" max="22" width="12.54296875" style="333" bestFit="1" customWidth="1"/>
    <col min="23" max="25" width="12.453125" style="331"/>
    <col min="26" max="26" width="12.54296875" style="331" bestFit="1" customWidth="1"/>
    <col min="27" max="29" width="12.453125" style="331"/>
    <col min="30" max="30" width="12.54296875" style="331" bestFit="1" customWidth="1"/>
    <col min="31" max="31" width="12.453125" style="331"/>
    <col min="32" max="32" width="12.54296875" style="331" bestFit="1" customWidth="1"/>
    <col min="33" max="33" width="12.453125" style="336"/>
    <col min="34" max="34" width="14.453125" style="336" bestFit="1" customWidth="1"/>
    <col min="35" max="16384" width="12.453125" style="336"/>
  </cols>
  <sheetData>
    <row r="1" spans="1:34" s="327" customFormat="1" ht="48" customHeight="1" x14ac:dyDescent="0.35">
      <c r="A1" s="324" t="s">
        <v>835</v>
      </c>
      <c r="B1" s="324" t="s">
        <v>1066</v>
      </c>
      <c r="C1" s="324" t="s">
        <v>857</v>
      </c>
      <c r="D1" s="324" t="s">
        <v>858</v>
      </c>
      <c r="E1" s="324" t="s">
        <v>836</v>
      </c>
      <c r="F1" s="324" t="s">
        <v>5</v>
      </c>
      <c r="G1" s="324" t="s">
        <v>9</v>
      </c>
      <c r="H1" s="325" t="s">
        <v>1067</v>
      </c>
      <c r="I1" s="326" t="s">
        <v>1068</v>
      </c>
      <c r="J1" s="326" t="s">
        <v>1069</v>
      </c>
      <c r="K1" s="326" t="s">
        <v>1070</v>
      </c>
      <c r="L1" s="326" t="s">
        <v>1071</v>
      </c>
      <c r="M1" s="326" t="s">
        <v>1072</v>
      </c>
      <c r="N1" s="326" t="s">
        <v>1073</v>
      </c>
      <c r="O1" s="326" t="s">
        <v>1074</v>
      </c>
      <c r="P1" s="326" t="s">
        <v>1075</v>
      </c>
      <c r="Q1" s="326" t="s">
        <v>1076</v>
      </c>
      <c r="R1" s="326" t="s">
        <v>1077</v>
      </c>
      <c r="S1" s="326" t="s">
        <v>1078</v>
      </c>
      <c r="T1" s="326" t="s">
        <v>1079</v>
      </c>
      <c r="U1" s="326" t="s">
        <v>1080</v>
      </c>
      <c r="V1" s="326" t="s">
        <v>1081</v>
      </c>
      <c r="W1" s="326" t="s">
        <v>1082</v>
      </c>
      <c r="X1" s="326" t="s">
        <v>1083</v>
      </c>
      <c r="Y1" s="326" t="s">
        <v>1084</v>
      </c>
      <c r="Z1" s="326" t="s">
        <v>1085</v>
      </c>
      <c r="AA1" s="326" t="s">
        <v>1086</v>
      </c>
      <c r="AB1" s="326" t="s">
        <v>1087</v>
      </c>
      <c r="AC1" s="326" t="s">
        <v>1088</v>
      </c>
      <c r="AD1" s="326" t="s">
        <v>1089</v>
      </c>
      <c r="AE1" s="326" t="s">
        <v>1090</v>
      </c>
      <c r="AF1" s="326" t="s">
        <v>1091</v>
      </c>
      <c r="AH1" s="326" t="s">
        <v>1092</v>
      </c>
    </row>
    <row r="2" spans="1:34" x14ac:dyDescent="0.35">
      <c r="A2" s="542" t="s">
        <v>117</v>
      </c>
      <c r="B2" s="542" t="s">
        <v>860</v>
      </c>
      <c r="C2" s="542" t="s">
        <v>41</v>
      </c>
      <c r="D2" s="542" t="s">
        <v>861</v>
      </c>
      <c r="E2" s="542" t="s">
        <v>790</v>
      </c>
      <c r="F2" s="542" t="s">
        <v>791</v>
      </c>
      <c r="G2" s="543">
        <v>4.3E-3</v>
      </c>
      <c r="I2" s="544">
        <v>550000</v>
      </c>
      <c r="J2" s="334">
        <f t="shared" ref="J2:J49" si="0">I2*G2</f>
        <v>2365</v>
      </c>
      <c r="K2" s="544">
        <v>550000</v>
      </c>
      <c r="L2" s="334">
        <f t="shared" ref="L2:L49" si="1">K2*G2</f>
        <v>2365</v>
      </c>
      <c r="M2" s="544">
        <v>570000</v>
      </c>
      <c r="N2" s="334">
        <f t="shared" ref="N2:N49" si="2">M2*G2</f>
        <v>2451</v>
      </c>
      <c r="O2" s="544">
        <v>600000</v>
      </c>
      <c r="P2" s="334">
        <f t="shared" ref="P2:P49" si="3">O2*G2</f>
        <v>2580</v>
      </c>
      <c r="Q2" s="544">
        <v>550000</v>
      </c>
      <c r="R2" s="334">
        <f t="shared" ref="R2:R49" si="4">Q2*G2</f>
        <v>2365</v>
      </c>
      <c r="S2" s="544">
        <v>600000</v>
      </c>
      <c r="T2" s="334">
        <f t="shared" ref="T2:T49" si="5">S2*G2</f>
        <v>2580</v>
      </c>
      <c r="U2" s="544">
        <v>600000</v>
      </c>
      <c r="V2" s="334">
        <f t="shared" ref="V2:V49" si="6">U2*G2</f>
        <v>2580</v>
      </c>
      <c r="W2" s="544">
        <v>600000</v>
      </c>
      <c r="X2" s="335">
        <f t="shared" ref="X2:X49" si="7">W2*G2</f>
        <v>2580</v>
      </c>
      <c r="Y2" s="544">
        <v>600000</v>
      </c>
      <c r="Z2" s="335">
        <f t="shared" ref="Z2:Z49" si="8">Y2*G2</f>
        <v>2580</v>
      </c>
      <c r="AA2" s="544">
        <v>600000</v>
      </c>
      <c r="AB2" s="335">
        <f t="shared" ref="AB2:AB49" si="9">AA2*G2</f>
        <v>2580</v>
      </c>
      <c r="AC2" s="544">
        <v>600000</v>
      </c>
      <c r="AD2" s="335">
        <f t="shared" ref="AD2:AD49" si="10">AC2*G2</f>
        <v>2580</v>
      </c>
      <c r="AE2" s="544">
        <v>600000</v>
      </c>
      <c r="AF2" s="335">
        <f t="shared" ref="AF2:AF49" si="11">AE2*G2</f>
        <v>2580</v>
      </c>
      <c r="AH2" s="337">
        <f>SUM(J2,L2,N2,P2,R2,T2,V2,X2,Z2,AB2,AD2,AF2)</f>
        <v>30186</v>
      </c>
    </row>
    <row r="3" spans="1:34" x14ac:dyDescent="0.35">
      <c r="A3" s="542" t="s">
        <v>117</v>
      </c>
      <c r="B3" s="542" t="s">
        <v>860</v>
      </c>
      <c r="C3" s="542" t="s">
        <v>41</v>
      </c>
      <c r="D3" s="542" t="s">
        <v>861</v>
      </c>
      <c r="E3" s="542" t="s">
        <v>790</v>
      </c>
      <c r="F3" s="542" t="s">
        <v>792</v>
      </c>
      <c r="G3" s="543">
        <v>2.5499999999999998E-2</v>
      </c>
      <c r="I3" s="544">
        <v>300000</v>
      </c>
      <c r="J3" s="334">
        <f t="shared" si="0"/>
        <v>7649.9999999999991</v>
      </c>
      <c r="K3" s="544">
        <v>300000</v>
      </c>
      <c r="L3" s="334">
        <f t="shared" si="1"/>
        <v>7649.9999999999991</v>
      </c>
      <c r="M3" s="544">
        <v>330000</v>
      </c>
      <c r="N3" s="334">
        <f t="shared" si="2"/>
        <v>8415</v>
      </c>
      <c r="O3" s="544">
        <v>350000</v>
      </c>
      <c r="P3" s="334">
        <f t="shared" si="3"/>
        <v>8925</v>
      </c>
      <c r="Q3" s="544">
        <v>300000</v>
      </c>
      <c r="R3" s="334">
        <f t="shared" si="4"/>
        <v>7649.9999999999991</v>
      </c>
      <c r="S3" s="544">
        <v>350000</v>
      </c>
      <c r="T3" s="334">
        <f t="shared" si="5"/>
        <v>8925</v>
      </c>
      <c r="U3" s="544">
        <v>350000</v>
      </c>
      <c r="V3" s="334">
        <f t="shared" si="6"/>
        <v>8925</v>
      </c>
      <c r="W3" s="544">
        <v>350000</v>
      </c>
      <c r="X3" s="335">
        <f t="shared" si="7"/>
        <v>8925</v>
      </c>
      <c r="Y3" s="544">
        <v>350000</v>
      </c>
      <c r="Z3" s="335">
        <f t="shared" si="8"/>
        <v>8925</v>
      </c>
      <c r="AA3" s="544">
        <v>350000</v>
      </c>
      <c r="AB3" s="335">
        <f t="shared" si="9"/>
        <v>8925</v>
      </c>
      <c r="AC3" s="544">
        <v>350000</v>
      </c>
      <c r="AD3" s="335">
        <f t="shared" si="10"/>
        <v>8925</v>
      </c>
      <c r="AE3" s="544">
        <v>350000</v>
      </c>
      <c r="AF3" s="335">
        <f t="shared" si="11"/>
        <v>8925</v>
      </c>
      <c r="AH3" s="337">
        <f t="shared" ref="AH3:AH49" si="12">SUM(J3,L3,N3,P3,R3,T3,V3,X3,Z3,AB3,AD3,AF3)</f>
        <v>102765</v>
      </c>
    </row>
    <row r="4" spans="1:34" x14ac:dyDescent="0.35">
      <c r="A4" s="542" t="s">
        <v>117</v>
      </c>
      <c r="B4" s="542" t="s">
        <v>860</v>
      </c>
      <c r="C4" s="542" t="s">
        <v>41</v>
      </c>
      <c r="D4" s="542" t="s">
        <v>861</v>
      </c>
      <c r="E4" s="542" t="s">
        <v>790</v>
      </c>
      <c r="F4" s="542" t="s">
        <v>59</v>
      </c>
      <c r="G4" s="543">
        <v>6.4000000000000003E-3</v>
      </c>
      <c r="I4" s="544">
        <v>40000</v>
      </c>
      <c r="J4" s="334">
        <f t="shared" si="0"/>
        <v>256</v>
      </c>
      <c r="K4" s="544">
        <v>40000</v>
      </c>
      <c r="L4" s="334">
        <f t="shared" si="1"/>
        <v>256</v>
      </c>
      <c r="M4" s="544">
        <v>45000</v>
      </c>
      <c r="N4" s="334">
        <f t="shared" si="2"/>
        <v>288</v>
      </c>
      <c r="O4" s="544">
        <v>50000</v>
      </c>
      <c r="P4" s="334">
        <f t="shared" si="3"/>
        <v>320</v>
      </c>
      <c r="Q4" s="544">
        <v>40000</v>
      </c>
      <c r="R4" s="334">
        <f t="shared" si="4"/>
        <v>256</v>
      </c>
      <c r="S4" s="544">
        <v>50000</v>
      </c>
      <c r="T4" s="334">
        <f t="shared" si="5"/>
        <v>320</v>
      </c>
      <c r="U4" s="544">
        <v>50000</v>
      </c>
      <c r="V4" s="334">
        <f t="shared" si="6"/>
        <v>320</v>
      </c>
      <c r="W4" s="544">
        <v>50000</v>
      </c>
      <c r="X4" s="335">
        <f t="shared" si="7"/>
        <v>320</v>
      </c>
      <c r="Y4" s="544">
        <v>50000</v>
      </c>
      <c r="Z4" s="335">
        <f t="shared" si="8"/>
        <v>320</v>
      </c>
      <c r="AA4" s="544">
        <v>50000</v>
      </c>
      <c r="AB4" s="335">
        <f t="shared" si="9"/>
        <v>320</v>
      </c>
      <c r="AC4" s="544">
        <v>50000</v>
      </c>
      <c r="AD4" s="335">
        <f t="shared" si="10"/>
        <v>320</v>
      </c>
      <c r="AE4" s="544">
        <v>50000</v>
      </c>
      <c r="AF4" s="335">
        <f t="shared" si="11"/>
        <v>320</v>
      </c>
      <c r="AH4" s="337">
        <f t="shared" si="12"/>
        <v>3616</v>
      </c>
    </row>
    <row r="5" spans="1:34" x14ac:dyDescent="0.35">
      <c r="A5" s="542" t="s">
        <v>117</v>
      </c>
      <c r="B5" s="542" t="s">
        <v>860</v>
      </c>
      <c r="C5" s="542" t="s">
        <v>62</v>
      </c>
      <c r="D5" s="542" t="s">
        <v>862</v>
      </c>
      <c r="E5" s="542" t="s">
        <v>782</v>
      </c>
      <c r="F5" s="542" t="s">
        <v>87</v>
      </c>
      <c r="G5" s="546">
        <v>0.55000000000000004</v>
      </c>
      <c r="I5" s="542">
        <v>840</v>
      </c>
      <c r="J5" s="334">
        <f t="shared" si="0"/>
        <v>462.00000000000006</v>
      </c>
      <c r="K5" s="542">
        <v>840</v>
      </c>
      <c r="L5" s="334">
        <f t="shared" si="1"/>
        <v>462.00000000000006</v>
      </c>
      <c r="M5" s="542">
        <v>840</v>
      </c>
      <c r="N5" s="334">
        <f t="shared" si="2"/>
        <v>462.00000000000006</v>
      </c>
      <c r="O5" s="542">
        <v>840</v>
      </c>
      <c r="P5" s="334">
        <f t="shared" si="3"/>
        <v>462.00000000000006</v>
      </c>
      <c r="Q5" s="542">
        <v>840</v>
      </c>
      <c r="R5" s="334">
        <f t="shared" si="4"/>
        <v>462.00000000000006</v>
      </c>
      <c r="S5" s="542">
        <v>840</v>
      </c>
      <c r="T5" s="334">
        <f t="shared" si="5"/>
        <v>462.00000000000006</v>
      </c>
      <c r="U5" s="542">
        <v>840</v>
      </c>
      <c r="V5" s="334">
        <f t="shared" si="6"/>
        <v>462.00000000000006</v>
      </c>
      <c r="W5" s="542">
        <v>840</v>
      </c>
      <c r="X5" s="335">
        <f t="shared" si="7"/>
        <v>462.00000000000006</v>
      </c>
      <c r="Y5" s="542">
        <v>840</v>
      </c>
      <c r="Z5" s="335">
        <f t="shared" si="8"/>
        <v>462.00000000000006</v>
      </c>
      <c r="AA5" s="542">
        <v>840</v>
      </c>
      <c r="AB5" s="335">
        <f t="shared" si="9"/>
        <v>462.00000000000006</v>
      </c>
      <c r="AC5" s="542">
        <v>840</v>
      </c>
      <c r="AD5" s="335">
        <f t="shared" si="10"/>
        <v>462.00000000000006</v>
      </c>
      <c r="AE5" s="542">
        <v>840</v>
      </c>
      <c r="AF5" s="335">
        <f t="shared" si="11"/>
        <v>462.00000000000006</v>
      </c>
      <c r="AH5" s="337">
        <f t="shared" si="12"/>
        <v>5544.0000000000009</v>
      </c>
    </row>
    <row r="6" spans="1:34" x14ac:dyDescent="0.35">
      <c r="A6" s="542" t="s">
        <v>117</v>
      </c>
      <c r="B6" s="542" t="s">
        <v>860</v>
      </c>
      <c r="C6" s="542" t="s">
        <v>62</v>
      </c>
      <c r="D6" s="542" t="s">
        <v>862</v>
      </c>
      <c r="E6" s="542" t="s">
        <v>782</v>
      </c>
      <c r="F6" s="542" t="s">
        <v>86</v>
      </c>
      <c r="G6" s="546">
        <v>0.27</v>
      </c>
      <c r="I6" s="542">
        <v>6000</v>
      </c>
      <c r="J6" s="334">
        <f t="shared" si="0"/>
        <v>1620</v>
      </c>
      <c r="K6" s="542">
        <v>5900</v>
      </c>
      <c r="L6" s="334">
        <f t="shared" si="1"/>
        <v>1593</v>
      </c>
      <c r="M6" s="542">
        <v>6337</v>
      </c>
      <c r="N6" s="334">
        <f t="shared" si="2"/>
        <v>1710.99</v>
      </c>
      <c r="O6" s="542">
        <v>6337</v>
      </c>
      <c r="P6" s="334">
        <f t="shared" si="3"/>
        <v>1710.99</v>
      </c>
      <c r="Q6" s="542">
        <v>5900</v>
      </c>
      <c r="R6" s="334">
        <f t="shared" si="4"/>
        <v>1593</v>
      </c>
      <c r="S6" s="542">
        <v>6337</v>
      </c>
      <c r="T6" s="334">
        <f t="shared" si="5"/>
        <v>1710.99</v>
      </c>
      <c r="U6" s="542">
        <v>6337</v>
      </c>
      <c r="V6" s="334">
        <f t="shared" si="6"/>
        <v>1710.99</v>
      </c>
      <c r="W6" s="542">
        <v>6000</v>
      </c>
      <c r="X6" s="335">
        <f t="shared" si="7"/>
        <v>1620</v>
      </c>
      <c r="Y6" s="542">
        <v>6000</v>
      </c>
      <c r="Z6" s="335">
        <f t="shared" si="8"/>
        <v>1620</v>
      </c>
      <c r="AA6" s="542">
        <v>6337</v>
      </c>
      <c r="AB6" s="335">
        <f t="shared" si="9"/>
        <v>1710.99</v>
      </c>
      <c r="AC6" s="542">
        <v>5900</v>
      </c>
      <c r="AD6" s="335">
        <f t="shared" si="10"/>
        <v>1593</v>
      </c>
      <c r="AE6" s="542">
        <v>6337</v>
      </c>
      <c r="AF6" s="335">
        <f t="shared" si="11"/>
        <v>1710.99</v>
      </c>
      <c r="AH6" s="337">
        <f t="shared" si="12"/>
        <v>19904.940000000002</v>
      </c>
    </row>
    <row r="7" spans="1:34" x14ac:dyDescent="0.35">
      <c r="A7" s="542" t="s">
        <v>117</v>
      </c>
      <c r="B7" s="542" t="s">
        <v>860</v>
      </c>
      <c r="C7" s="542" t="s">
        <v>62</v>
      </c>
      <c r="D7" s="542" t="s">
        <v>862</v>
      </c>
      <c r="E7" s="542" t="s">
        <v>782</v>
      </c>
      <c r="F7" s="542" t="s">
        <v>783</v>
      </c>
      <c r="G7" s="546">
        <v>0.54</v>
      </c>
      <c r="I7" s="542">
        <v>828</v>
      </c>
      <c r="J7" s="334">
        <f t="shared" si="0"/>
        <v>447.12</v>
      </c>
      <c r="K7" s="542">
        <v>800</v>
      </c>
      <c r="L7" s="334">
        <f t="shared" si="1"/>
        <v>432</v>
      </c>
      <c r="M7" s="542">
        <v>828</v>
      </c>
      <c r="N7" s="334">
        <f t="shared" si="2"/>
        <v>447.12</v>
      </c>
      <c r="O7" s="542">
        <v>828</v>
      </c>
      <c r="P7" s="334">
        <f t="shared" si="3"/>
        <v>447.12</v>
      </c>
      <c r="Q7" s="542">
        <v>800</v>
      </c>
      <c r="R7" s="334">
        <f t="shared" si="4"/>
        <v>432</v>
      </c>
      <c r="S7" s="542">
        <v>828</v>
      </c>
      <c r="T7" s="334">
        <f t="shared" si="5"/>
        <v>447.12</v>
      </c>
      <c r="U7" s="542">
        <v>828</v>
      </c>
      <c r="V7" s="334">
        <f t="shared" si="6"/>
        <v>447.12</v>
      </c>
      <c r="W7" s="542">
        <v>780</v>
      </c>
      <c r="X7" s="335">
        <f t="shared" si="7"/>
        <v>421.20000000000005</v>
      </c>
      <c r="Y7" s="542">
        <v>780</v>
      </c>
      <c r="Z7" s="335">
        <f t="shared" si="8"/>
        <v>421.20000000000005</v>
      </c>
      <c r="AA7" s="542">
        <v>828</v>
      </c>
      <c r="AB7" s="335">
        <f t="shared" si="9"/>
        <v>447.12</v>
      </c>
      <c r="AC7" s="542">
        <v>800</v>
      </c>
      <c r="AD7" s="335">
        <f t="shared" si="10"/>
        <v>432</v>
      </c>
      <c r="AE7" s="542">
        <v>828</v>
      </c>
      <c r="AF7" s="335">
        <f t="shared" si="11"/>
        <v>447.12</v>
      </c>
      <c r="AH7" s="337">
        <f t="shared" si="12"/>
        <v>5268.24</v>
      </c>
    </row>
    <row r="8" spans="1:34" x14ac:dyDescent="0.35">
      <c r="A8" s="542" t="s">
        <v>117</v>
      </c>
      <c r="B8" s="542" t="s">
        <v>860</v>
      </c>
      <c r="C8" s="542" t="s">
        <v>62</v>
      </c>
      <c r="D8" s="542" t="s">
        <v>862</v>
      </c>
      <c r="E8" s="542" t="s">
        <v>782</v>
      </c>
      <c r="F8" s="542" t="s">
        <v>784</v>
      </c>
      <c r="G8" s="546">
        <v>0.25</v>
      </c>
      <c r="I8" s="542">
        <v>6000</v>
      </c>
      <c r="J8" s="334">
        <f t="shared" si="0"/>
        <v>1500</v>
      </c>
      <c r="K8" s="542">
        <v>6000</v>
      </c>
      <c r="L8" s="334">
        <f t="shared" si="1"/>
        <v>1500</v>
      </c>
      <c r="M8" s="542">
        <v>6229</v>
      </c>
      <c r="N8" s="334">
        <f t="shared" si="2"/>
        <v>1557.25</v>
      </c>
      <c r="O8" s="542">
        <v>6229</v>
      </c>
      <c r="P8" s="334">
        <f t="shared" si="3"/>
        <v>1557.25</v>
      </c>
      <c r="Q8" s="542">
        <v>6000</v>
      </c>
      <c r="R8" s="334">
        <f t="shared" si="4"/>
        <v>1500</v>
      </c>
      <c r="S8" s="542">
        <v>6229</v>
      </c>
      <c r="T8" s="334">
        <f t="shared" si="5"/>
        <v>1557.25</v>
      </c>
      <c r="U8" s="542">
        <v>6229</v>
      </c>
      <c r="V8" s="334">
        <f t="shared" si="6"/>
        <v>1557.25</v>
      </c>
      <c r="W8" s="542">
        <v>6000</v>
      </c>
      <c r="X8" s="335">
        <f t="shared" si="7"/>
        <v>1500</v>
      </c>
      <c r="Y8" s="542">
        <v>6000</v>
      </c>
      <c r="Z8" s="335">
        <f t="shared" si="8"/>
        <v>1500</v>
      </c>
      <c r="AA8" s="542">
        <v>6229</v>
      </c>
      <c r="AB8" s="335">
        <f t="shared" si="9"/>
        <v>1557.25</v>
      </c>
      <c r="AC8" s="542">
        <v>6000</v>
      </c>
      <c r="AD8" s="335">
        <f t="shared" si="10"/>
        <v>1500</v>
      </c>
      <c r="AE8" s="542">
        <v>6229</v>
      </c>
      <c r="AF8" s="335">
        <f t="shared" si="11"/>
        <v>1557.25</v>
      </c>
      <c r="AH8" s="337">
        <f t="shared" si="12"/>
        <v>18343.5</v>
      </c>
    </row>
    <row r="9" spans="1:34" x14ac:dyDescent="0.35">
      <c r="A9" s="542" t="s">
        <v>117</v>
      </c>
      <c r="B9" s="542" t="s">
        <v>860</v>
      </c>
      <c r="C9" s="542" t="s">
        <v>62</v>
      </c>
      <c r="D9" s="542" t="s">
        <v>861</v>
      </c>
      <c r="E9" s="542" t="s">
        <v>782</v>
      </c>
      <c r="F9" s="542" t="s">
        <v>101</v>
      </c>
      <c r="G9" s="546">
        <v>1</v>
      </c>
      <c r="I9" s="542">
        <v>9000</v>
      </c>
      <c r="J9" s="334">
        <f t="shared" si="0"/>
        <v>9000</v>
      </c>
      <c r="K9" s="542">
        <v>8000</v>
      </c>
      <c r="L9" s="334">
        <f t="shared" si="1"/>
        <v>8000</v>
      </c>
      <c r="M9" s="542">
        <v>10000</v>
      </c>
      <c r="N9" s="334">
        <f t="shared" si="2"/>
        <v>10000</v>
      </c>
      <c r="O9" s="542">
        <v>10000</v>
      </c>
      <c r="P9" s="334">
        <f t="shared" si="3"/>
        <v>10000</v>
      </c>
      <c r="Q9" s="542">
        <v>8000</v>
      </c>
      <c r="R9" s="334">
        <f t="shared" si="4"/>
        <v>8000</v>
      </c>
      <c r="S9" s="542">
        <v>10000</v>
      </c>
      <c r="T9" s="334">
        <f t="shared" si="5"/>
        <v>10000</v>
      </c>
      <c r="U9" s="542">
        <v>10000</v>
      </c>
      <c r="V9" s="334">
        <f t="shared" si="6"/>
        <v>10000</v>
      </c>
      <c r="W9" s="542">
        <v>9000</v>
      </c>
      <c r="X9" s="335">
        <f t="shared" si="7"/>
        <v>9000</v>
      </c>
      <c r="Y9" s="542">
        <v>9000</v>
      </c>
      <c r="Z9" s="335">
        <f t="shared" si="8"/>
        <v>9000</v>
      </c>
      <c r="AA9" s="542">
        <v>10000</v>
      </c>
      <c r="AB9" s="335">
        <f t="shared" si="9"/>
        <v>10000</v>
      </c>
      <c r="AC9" s="542">
        <v>8000</v>
      </c>
      <c r="AD9" s="335">
        <f t="shared" si="10"/>
        <v>8000</v>
      </c>
      <c r="AE9" s="542">
        <v>10000</v>
      </c>
      <c r="AF9" s="335">
        <f t="shared" si="11"/>
        <v>10000</v>
      </c>
      <c r="AH9" s="337">
        <f t="shared" si="12"/>
        <v>111000</v>
      </c>
    </row>
    <row r="10" spans="1:34" x14ac:dyDescent="0.35">
      <c r="A10" s="542" t="s">
        <v>117</v>
      </c>
      <c r="B10" s="542" t="s">
        <v>860</v>
      </c>
      <c r="C10" s="542" t="s">
        <v>62</v>
      </c>
      <c r="D10" s="542" t="s">
        <v>862</v>
      </c>
      <c r="E10" s="542" t="s">
        <v>782</v>
      </c>
      <c r="F10" s="542" t="s">
        <v>786</v>
      </c>
      <c r="G10" s="546">
        <v>0.14000000000000001</v>
      </c>
      <c r="I10" s="542">
        <v>41000</v>
      </c>
      <c r="J10" s="334">
        <f t="shared" si="0"/>
        <v>5740.0000000000009</v>
      </c>
      <c r="K10" s="542">
        <v>40000</v>
      </c>
      <c r="L10" s="334">
        <f t="shared" si="1"/>
        <v>5600.0000000000009</v>
      </c>
      <c r="M10" s="542">
        <v>43000</v>
      </c>
      <c r="N10" s="334">
        <f t="shared" si="2"/>
        <v>6020.0000000000009</v>
      </c>
      <c r="O10" s="542">
        <v>43000</v>
      </c>
      <c r="P10" s="334">
        <f t="shared" si="3"/>
        <v>6020.0000000000009</v>
      </c>
      <c r="Q10" s="542">
        <v>40000</v>
      </c>
      <c r="R10" s="334">
        <f t="shared" si="4"/>
        <v>5600.0000000000009</v>
      </c>
      <c r="S10" s="542">
        <v>43000</v>
      </c>
      <c r="T10" s="334">
        <f t="shared" si="5"/>
        <v>6020.0000000000009</v>
      </c>
      <c r="U10" s="542">
        <v>43000</v>
      </c>
      <c r="V10" s="334">
        <f t="shared" si="6"/>
        <v>6020.0000000000009</v>
      </c>
      <c r="W10" s="542">
        <v>41000</v>
      </c>
      <c r="X10" s="335">
        <f t="shared" si="7"/>
        <v>5740.0000000000009</v>
      </c>
      <c r="Y10" s="542">
        <v>41000</v>
      </c>
      <c r="Z10" s="335">
        <f t="shared" si="8"/>
        <v>5740.0000000000009</v>
      </c>
      <c r="AA10" s="542">
        <v>43000</v>
      </c>
      <c r="AB10" s="335">
        <f t="shared" si="9"/>
        <v>6020.0000000000009</v>
      </c>
      <c r="AC10" s="542">
        <v>40000</v>
      </c>
      <c r="AD10" s="335">
        <f t="shared" si="10"/>
        <v>5600.0000000000009</v>
      </c>
      <c r="AE10" s="542">
        <v>43000</v>
      </c>
      <c r="AF10" s="335">
        <f t="shared" si="11"/>
        <v>6020.0000000000009</v>
      </c>
      <c r="AH10" s="337">
        <f t="shared" si="12"/>
        <v>70140.000000000015</v>
      </c>
    </row>
    <row r="11" spans="1:34" x14ac:dyDescent="0.35">
      <c r="A11" s="542" t="s">
        <v>117</v>
      </c>
      <c r="B11" s="542" t="s">
        <v>860</v>
      </c>
      <c r="C11" s="542" t="s">
        <v>62</v>
      </c>
      <c r="D11" s="542" t="s">
        <v>862</v>
      </c>
      <c r="E11" s="542" t="s">
        <v>782</v>
      </c>
      <c r="F11" s="542" t="s">
        <v>840</v>
      </c>
      <c r="G11" s="549">
        <v>2.5999999999999999E-2</v>
      </c>
      <c r="I11" s="542">
        <v>38000</v>
      </c>
      <c r="J11" s="334">
        <f t="shared" si="0"/>
        <v>988</v>
      </c>
      <c r="K11" s="542">
        <v>36000</v>
      </c>
      <c r="L11" s="334">
        <f t="shared" si="1"/>
        <v>936</v>
      </c>
      <c r="M11" s="542">
        <v>40000</v>
      </c>
      <c r="N11" s="334">
        <f t="shared" si="2"/>
        <v>1040</v>
      </c>
      <c r="O11" s="542">
        <v>40000</v>
      </c>
      <c r="P11" s="334">
        <f t="shared" si="3"/>
        <v>1040</v>
      </c>
      <c r="Q11" s="542">
        <v>36000</v>
      </c>
      <c r="R11" s="334">
        <f t="shared" si="4"/>
        <v>936</v>
      </c>
      <c r="S11" s="542">
        <v>40000</v>
      </c>
      <c r="T11" s="334">
        <f t="shared" si="5"/>
        <v>1040</v>
      </c>
      <c r="U11" s="542">
        <v>40000</v>
      </c>
      <c r="V11" s="334">
        <f t="shared" si="6"/>
        <v>1040</v>
      </c>
      <c r="W11" s="542">
        <v>38000</v>
      </c>
      <c r="X11" s="335">
        <f t="shared" si="7"/>
        <v>988</v>
      </c>
      <c r="Y11" s="542">
        <v>38000</v>
      </c>
      <c r="Z11" s="335">
        <f t="shared" si="8"/>
        <v>988</v>
      </c>
      <c r="AA11" s="542">
        <v>40000</v>
      </c>
      <c r="AB11" s="335">
        <f t="shared" si="9"/>
        <v>1040</v>
      </c>
      <c r="AC11" s="542">
        <v>36000</v>
      </c>
      <c r="AD11" s="335">
        <f t="shared" si="10"/>
        <v>936</v>
      </c>
      <c r="AE11" s="542">
        <v>40000</v>
      </c>
      <c r="AF11" s="335">
        <f t="shared" si="11"/>
        <v>1040</v>
      </c>
      <c r="AH11" s="337">
        <f t="shared" si="12"/>
        <v>12012</v>
      </c>
    </row>
    <row r="12" spans="1:34" x14ac:dyDescent="0.35">
      <c r="A12" s="542" t="s">
        <v>117</v>
      </c>
      <c r="B12" s="542" t="s">
        <v>860</v>
      </c>
      <c r="C12" s="542" t="s">
        <v>62</v>
      </c>
      <c r="D12" s="542" t="s">
        <v>862</v>
      </c>
      <c r="E12" s="542" t="s">
        <v>782</v>
      </c>
      <c r="F12" s="542" t="s">
        <v>841</v>
      </c>
      <c r="G12" s="546">
        <v>0.16</v>
      </c>
      <c r="I12" s="542">
        <v>18000</v>
      </c>
      <c r="J12" s="334">
        <f t="shared" si="0"/>
        <v>2880</v>
      </c>
      <c r="K12" s="542">
        <v>17000</v>
      </c>
      <c r="L12" s="334">
        <f t="shared" si="1"/>
        <v>2720</v>
      </c>
      <c r="M12" s="542">
        <v>19000</v>
      </c>
      <c r="N12" s="334">
        <f t="shared" si="2"/>
        <v>3040</v>
      </c>
      <c r="O12" s="542">
        <v>19000</v>
      </c>
      <c r="P12" s="334">
        <f t="shared" si="3"/>
        <v>3040</v>
      </c>
      <c r="Q12" s="542">
        <v>17000</v>
      </c>
      <c r="R12" s="334">
        <f t="shared" si="4"/>
        <v>2720</v>
      </c>
      <c r="S12" s="542">
        <v>19000</v>
      </c>
      <c r="T12" s="334">
        <f t="shared" si="5"/>
        <v>3040</v>
      </c>
      <c r="U12" s="542">
        <v>19000</v>
      </c>
      <c r="V12" s="334">
        <f t="shared" si="6"/>
        <v>3040</v>
      </c>
      <c r="W12" s="542">
        <v>18000</v>
      </c>
      <c r="X12" s="335">
        <f t="shared" si="7"/>
        <v>2880</v>
      </c>
      <c r="Y12" s="542">
        <v>18000</v>
      </c>
      <c r="Z12" s="335">
        <f t="shared" si="8"/>
        <v>2880</v>
      </c>
      <c r="AA12" s="542">
        <v>19000</v>
      </c>
      <c r="AB12" s="335">
        <f t="shared" si="9"/>
        <v>3040</v>
      </c>
      <c r="AC12" s="542">
        <v>17000</v>
      </c>
      <c r="AD12" s="335">
        <f t="shared" si="10"/>
        <v>2720</v>
      </c>
      <c r="AE12" s="542">
        <v>19000</v>
      </c>
      <c r="AF12" s="335">
        <f t="shared" si="11"/>
        <v>3040</v>
      </c>
      <c r="AH12" s="337">
        <f t="shared" si="12"/>
        <v>35040</v>
      </c>
    </row>
    <row r="13" spans="1:34" x14ac:dyDescent="0.35">
      <c r="A13" s="542" t="s">
        <v>117</v>
      </c>
      <c r="B13" s="542" t="s">
        <v>860</v>
      </c>
      <c r="C13" s="542" t="s">
        <v>62</v>
      </c>
      <c r="D13" s="542" t="s">
        <v>862</v>
      </c>
      <c r="E13" s="542" t="s">
        <v>782</v>
      </c>
      <c r="F13" s="542" t="s">
        <v>34</v>
      </c>
      <c r="G13" s="546">
        <v>0.3</v>
      </c>
      <c r="I13" s="542">
        <v>350</v>
      </c>
      <c r="J13" s="334">
        <f t="shared" si="0"/>
        <v>105</v>
      </c>
      <c r="K13" s="542">
        <v>350</v>
      </c>
      <c r="L13" s="334">
        <f t="shared" si="1"/>
        <v>105</v>
      </c>
      <c r="M13" s="542">
        <v>350</v>
      </c>
      <c r="N13" s="334">
        <f t="shared" si="2"/>
        <v>105</v>
      </c>
      <c r="O13" s="542">
        <v>350</v>
      </c>
      <c r="P13" s="334">
        <f t="shared" si="3"/>
        <v>105</v>
      </c>
      <c r="Q13" s="542">
        <v>350</v>
      </c>
      <c r="R13" s="334">
        <f t="shared" si="4"/>
        <v>105</v>
      </c>
      <c r="S13" s="542">
        <v>350</v>
      </c>
      <c r="T13" s="334">
        <f t="shared" si="5"/>
        <v>105</v>
      </c>
      <c r="U13" s="542">
        <v>350</v>
      </c>
      <c r="V13" s="334">
        <f t="shared" si="6"/>
        <v>105</v>
      </c>
      <c r="W13" s="542">
        <v>350</v>
      </c>
      <c r="X13" s="335">
        <f t="shared" si="7"/>
        <v>105</v>
      </c>
      <c r="Y13" s="542">
        <v>350</v>
      </c>
      <c r="Z13" s="335">
        <f t="shared" si="8"/>
        <v>105</v>
      </c>
      <c r="AA13" s="542">
        <v>350</v>
      </c>
      <c r="AB13" s="335">
        <f t="shared" si="9"/>
        <v>105</v>
      </c>
      <c r="AC13" s="542">
        <v>350</v>
      </c>
      <c r="AD13" s="335">
        <f t="shared" si="10"/>
        <v>105</v>
      </c>
      <c r="AE13" s="542">
        <v>350</v>
      </c>
      <c r="AF13" s="335">
        <f t="shared" si="11"/>
        <v>105</v>
      </c>
      <c r="AH13" s="337">
        <f t="shared" si="12"/>
        <v>1260</v>
      </c>
    </row>
    <row r="14" spans="1:34" x14ac:dyDescent="0.35">
      <c r="A14" s="542" t="s">
        <v>117</v>
      </c>
      <c r="B14" s="542" t="s">
        <v>860</v>
      </c>
      <c r="C14" s="542" t="s">
        <v>43</v>
      </c>
      <c r="D14" s="542" t="s">
        <v>861</v>
      </c>
      <c r="E14" s="542" t="s">
        <v>782</v>
      </c>
      <c r="F14" s="542" t="s">
        <v>788</v>
      </c>
      <c r="G14" s="550">
        <v>1300</v>
      </c>
      <c r="I14" s="542">
        <v>1</v>
      </c>
      <c r="J14" s="334">
        <f t="shared" si="0"/>
        <v>1300</v>
      </c>
      <c r="K14" s="542">
        <v>1</v>
      </c>
      <c r="L14" s="334">
        <f t="shared" si="1"/>
        <v>1300</v>
      </c>
      <c r="M14" s="542">
        <v>1</v>
      </c>
      <c r="N14" s="334">
        <f t="shared" si="2"/>
        <v>1300</v>
      </c>
      <c r="O14" s="542">
        <v>1</v>
      </c>
      <c r="P14" s="334">
        <f t="shared" si="3"/>
        <v>1300</v>
      </c>
      <c r="Q14" s="542">
        <v>1</v>
      </c>
      <c r="R14" s="334">
        <f t="shared" si="4"/>
        <v>1300</v>
      </c>
      <c r="S14" s="542">
        <v>1</v>
      </c>
      <c r="T14" s="334">
        <f t="shared" si="5"/>
        <v>1300</v>
      </c>
      <c r="U14" s="542">
        <v>1</v>
      </c>
      <c r="V14" s="334">
        <f t="shared" si="6"/>
        <v>1300</v>
      </c>
      <c r="W14" s="542">
        <v>1</v>
      </c>
      <c r="X14" s="335">
        <f t="shared" si="7"/>
        <v>1300</v>
      </c>
      <c r="Y14" s="542">
        <v>1</v>
      </c>
      <c r="Z14" s="335">
        <f t="shared" si="8"/>
        <v>1300</v>
      </c>
      <c r="AA14" s="542">
        <v>1</v>
      </c>
      <c r="AB14" s="335">
        <f t="shared" si="9"/>
        <v>1300</v>
      </c>
      <c r="AC14" s="542">
        <v>1</v>
      </c>
      <c r="AD14" s="335">
        <f t="shared" si="10"/>
        <v>1300</v>
      </c>
      <c r="AE14" s="542">
        <v>1</v>
      </c>
      <c r="AF14" s="335">
        <f t="shared" si="11"/>
        <v>1300</v>
      </c>
      <c r="AH14" s="337">
        <f t="shared" si="12"/>
        <v>15600</v>
      </c>
    </row>
    <row r="15" spans="1:34" x14ac:dyDescent="0.35">
      <c r="A15" s="542" t="s">
        <v>117</v>
      </c>
      <c r="B15" s="542" t="s">
        <v>860</v>
      </c>
      <c r="C15" s="542" t="s">
        <v>41</v>
      </c>
      <c r="D15" s="542" t="s">
        <v>863</v>
      </c>
      <c r="E15" s="542" t="s">
        <v>802</v>
      </c>
      <c r="F15" s="1" t="s">
        <v>93</v>
      </c>
      <c r="G15" s="543">
        <v>0.03</v>
      </c>
      <c r="I15" s="545">
        <v>290000</v>
      </c>
      <c r="J15" s="334">
        <f t="shared" si="0"/>
        <v>8700</v>
      </c>
      <c r="K15" s="545">
        <v>290000</v>
      </c>
      <c r="L15" s="334">
        <f t="shared" si="1"/>
        <v>8700</v>
      </c>
      <c r="M15" s="545">
        <v>290000</v>
      </c>
      <c r="N15" s="334">
        <f t="shared" si="2"/>
        <v>8700</v>
      </c>
      <c r="O15" s="545">
        <v>290000</v>
      </c>
      <c r="P15" s="334">
        <f t="shared" si="3"/>
        <v>8700</v>
      </c>
      <c r="Q15" s="545">
        <v>290000</v>
      </c>
      <c r="R15" s="334">
        <f t="shared" si="4"/>
        <v>8700</v>
      </c>
      <c r="S15" s="545">
        <v>290000</v>
      </c>
      <c r="T15" s="334">
        <f t="shared" si="5"/>
        <v>8700</v>
      </c>
      <c r="U15" s="545">
        <v>290000</v>
      </c>
      <c r="V15" s="334">
        <f t="shared" si="6"/>
        <v>8700</v>
      </c>
      <c r="W15" s="545">
        <v>290000</v>
      </c>
      <c r="X15" s="335">
        <f t="shared" si="7"/>
        <v>8700</v>
      </c>
      <c r="Y15" s="545">
        <v>290000</v>
      </c>
      <c r="Z15" s="335">
        <f t="shared" si="8"/>
        <v>8700</v>
      </c>
      <c r="AA15" s="545">
        <v>290000</v>
      </c>
      <c r="AB15" s="335">
        <f t="shared" si="9"/>
        <v>8700</v>
      </c>
      <c r="AC15" s="545">
        <v>290000</v>
      </c>
      <c r="AD15" s="335">
        <f t="shared" si="10"/>
        <v>8700</v>
      </c>
      <c r="AE15" s="545">
        <v>290000</v>
      </c>
      <c r="AF15" s="335">
        <f t="shared" si="11"/>
        <v>8700</v>
      </c>
      <c r="AH15" s="337">
        <f t="shared" si="12"/>
        <v>104400</v>
      </c>
    </row>
    <row r="16" spans="1:34" x14ac:dyDescent="0.35">
      <c r="A16" s="542" t="s">
        <v>117</v>
      </c>
      <c r="B16" s="542" t="s">
        <v>860</v>
      </c>
      <c r="C16" s="542" t="s">
        <v>43</v>
      </c>
      <c r="D16" s="542" t="s">
        <v>864</v>
      </c>
      <c r="E16" s="542" t="s">
        <v>798</v>
      </c>
      <c r="F16" s="542" t="s">
        <v>44</v>
      </c>
      <c r="G16" s="550">
        <v>1280</v>
      </c>
      <c r="I16" s="548">
        <v>2</v>
      </c>
      <c r="J16" s="334">
        <f t="shared" si="0"/>
        <v>2560</v>
      </c>
      <c r="K16" s="548">
        <v>2</v>
      </c>
      <c r="L16" s="334">
        <f t="shared" si="1"/>
        <v>2560</v>
      </c>
      <c r="M16" s="548">
        <v>2</v>
      </c>
      <c r="N16" s="334">
        <f t="shared" si="2"/>
        <v>2560</v>
      </c>
      <c r="O16" s="548">
        <v>2</v>
      </c>
      <c r="P16" s="334">
        <f t="shared" si="3"/>
        <v>2560</v>
      </c>
      <c r="Q16" s="548">
        <v>2</v>
      </c>
      <c r="R16" s="334">
        <f t="shared" si="4"/>
        <v>2560</v>
      </c>
      <c r="S16" s="548">
        <v>2</v>
      </c>
      <c r="T16" s="334">
        <f t="shared" si="5"/>
        <v>2560</v>
      </c>
      <c r="U16" s="548">
        <v>2</v>
      </c>
      <c r="V16" s="334">
        <f t="shared" si="6"/>
        <v>2560</v>
      </c>
      <c r="W16" s="548">
        <v>2</v>
      </c>
      <c r="X16" s="335">
        <f t="shared" si="7"/>
        <v>2560</v>
      </c>
      <c r="Y16" s="548">
        <v>2</v>
      </c>
      <c r="Z16" s="335">
        <f t="shared" si="8"/>
        <v>2560</v>
      </c>
      <c r="AA16" s="548">
        <v>2</v>
      </c>
      <c r="AB16" s="335">
        <f t="shared" si="9"/>
        <v>2560</v>
      </c>
      <c r="AC16" s="548">
        <v>2</v>
      </c>
      <c r="AD16" s="335">
        <f t="shared" si="10"/>
        <v>2560</v>
      </c>
      <c r="AE16" s="548">
        <v>2</v>
      </c>
      <c r="AF16" s="335">
        <f t="shared" si="11"/>
        <v>2560</v>
      </c>
      <c r="AH16" s="337">
        <f t="shared" si="12"/>
        <v>30720</v>
      </c>
    </row>
    <row r="17" spans="1:34" x14ac:dyDescent="0.35">
      <c r="A17" s="542" t="s">
        <v>117</v>
      </c>
      <c r="B17" s="542" t="s">
        <v>860</v>
      </c>
      <c r="C17" s="542" t="s">
        <v>43</v>
      </c>
      <c r="D17" s="542" t="s">
        <v>861</v>
      </c>
      <c r="E17" s="542" t="s">
        <v>764</v>
      </c>
      <c r="F17" s="542" t="s">
        <v>101</v>
      </c>
      <c r="G17" s="550">
        <v>1440</v>
      </c>
      <c r="I17" s="548">
        <v>2</v>
      </c>
      <c r="J17" s="334">
        <f t="shared" si="0"/>
        <v>2880</v>
      </c>
      <c r="K17" s="548">
        <v>2</v>
      </c>
      <c r="L17" s="334">
        <f t="shared" si="1"/>
        <v>2880</v>
      </c>
      <c r="M17" s="548">
        <v>2</v>
      </c>
      <c r="N17" s="334">
        <f t="shared" si="2"/>
        <v>2880</v>
      </c>
      <c r="O17" s="548">
        <v>2</v>
      </c>
      <c r="P17" s="334">
        <f t="shared" si="3"/>
        <v>2880</v>
      </c>
      <c r="Q17" s="548">
        <v>2</v>
      </c>
      <c r="R17" s="334">
        <f t="shared" si="4"/>
        <v>2880</v>
      </c>
      <c r="S17" s="548">
        <v>2</v>
      </c>
      <c r="T17" s="334">
        <f t="shared" si="5"/>
        <v>2880</v>
      </c>
      <c r="U17" s="548">
        <v>2</v>
      </c>
      <c r="V17" s="334">
        <f t="shared" si="6"/>
        <v>2880</v>
      </c>
      <c r="W17" s="548">
        <v>2</v>
      </c>
      <c r="X17" s="335">
        <f t="shared" si="7"/>
        <v>2880</v>
      </c>
      <c r="Y17" s="548">
        <v>2</v>
      </c>
      <c r="Z17" s="335">
        <f t="shared" si="8"/>
        <v>2880</v>
      </c>
      <c r="AA17" s="548">
        <v>2</v>
      </c>
      <c r="AB17" s="335">
        <f t="shared" si="9"/>
        <v>2880</v>
      </c>
      <c r="AC17" s="548">
        <v>2</v>
      </c>
      <c r="AD17" s="335">
        <f t="shared" si="10"/>
        <v>2880</v>
      </c>
      <c r="AE17" s="548">
        <v>2</v>
      </c>
      <c r="AF17" s="335">
        <f t="shared" si="11"/>
        <v>2880</v>
      </c>
      <c r="AH17" s="337">
        <f t="shared" si="12"/>
        <v>34560</v>
      </c>
    </row>
    <row r="18" spans="1:34" x14ac:dyDescent="0.35">
      <c r="A18" s="542" t="s">
        <v>117</v>
      </c>
      <c r="B18" s="542" t="s">
        <v>860</v>
      </c>
      <c r="C18" s="551" t="s">
        <v>41</v>
      </c>
      <c r="D18" s="542" t="s">
        <v>863</v>
      </c>
      <c r="E18" s="542" t="s">
        <v>839</v>
      </c>
      <c r="F18" s="542" t="s">
        <v>842</v>
      </c>
      <c r="G18" s="543">
        <v>3.5000000000000003E-2</v>
      </c>
      <c r="I18" s="545">
        <v>0</v>
      </c>
      <c r="J18" s="334">
        <f t="shared" si="0"/>
        <v>0</v>
      </c>
      <c r="K18" s="545">
        <v>0</v>
      </c>
      <c r="L18" s="334">
        <f t="shared" si="1"/>
        <v>0</v>
      </c>
      <c r="M18" s="545">
        <v>0</v>
      </c>
      <c r="N18" s="334">
        <f t="shared" si="2"/>
        <v>0</v>
      </c>
      <c r="O18" s="545">
        <v>0</v>
      </c>
      <c r="P18" s="334">
        <f t="shared" si="3"/>
        <v>0</v>
      </c>
      <c r="Q18" s="545">
        <v>0</v>
      </c>
      <c r="R18" s="334">
        <f t="shared" si="4"/>
        <v>0</v>
      </c>
      <c r="S18" s="545">
        <v>0</v>
      </c>
      <c r="T18" s="334">
        <f t="shared" si="5"/>
        <v>0</v>
      </c>
      <c r="U18" s="545">
        <v>0</v>
      </c>
      <c r="V18" s="334">
        <f t="shared" si="6"/>
        <v>0</v>
      </c>
      <c r="W18" s="545">
        <v>0</v>
      </c>
      <c r="X18" s="335">
        <f t="shared" si="7"/>
        <v>0</v>
      </c>
      <c r="Y18" s="545">
        <v>0</v>
      </c>
      <c r="Z18" s="335">
        <f t="shared" si="8"/>
        <v>0</v>
      </c>
      <c r="AA18" s="545">
        <v>0</v>
      </c>
      <c r="AB18" s="335">
        <f t="shared" si="9"/>
        <v>0</v>
      </c>
      <c r="AC18" s="545">
        <v>0</v>
      </c>
      <c r="AD18" s="335">
        <f t="shared" si="10"/>
        <v>0</v>
      </c>
      <c r="AE18" s="545">
        <v>0</v>
      </c>
      <c r="AF18" s="335">
        <f t="shared" si="11"/>
        <v>0</v>
      </c>
      <c r="AH18" s="337">
        <f t="shared" si="12"/>
        <v>0</v>
      </c>
    </row>
    <row r="19" spans="1:34" x14ac:dyDescent="0.35">
      <c r="A19" s="542" t="s">
        <v>117</v>
      </c>
      <c r="B19" s="542" t="s">
        <v>860</v>
      </c>
      <c r="C19" s="551" t="s">
        <v>41</v>
      </c>
      <c r="D19" s="551" t="s">
        <v>861</v>
      </c>
      <c r="E19" s="542" t="s">
        <v>794</v>
      </c>
      <c r="F19" s="542" t="s">
        <v>842</v>
      </c>
      <c r="G19" s="543">
        <v>0.06</v>
      </c>
      <c r="H19" s="800"/>
      <c r="I19" s="545">
        <v>120000</v>
      </c>
      <c r="J19" s="334">
        <f t="shared" si="0"/>
        <v>7200</v>
      </c>
      <c r="K19" s="545">
        <v>120000</v>
      </c>
      <c r="L19" s="334">
        <f t="shared" si="1"/>
        <v>7200</v>
      </c>
      <c r="M19" s="545">
        <v>120000</v>
      </c>
      <c r="N19" s="334">
        <f t="shared" si="2"/>
        <v>7200</v>
      </c>
      <c r="O19" s="545">
        <v>120000</v>
      </c>
      <c r="P19" s="334">
        <f t="shared" si="3"/>
        <v>7200</v>
      </c>
      <c r="Q19" s="545">
        <v>120000</v>
      </c>
      <c r="R19" s="334">
        <f t="shared" si="4"/>
        <v>7200</v>
      </c>
      <c r="S19" s="545">
        <v>120000</v>
      </c>
      <c r="T19" s="334">
        <f t="shared" si="5"/>
        <v>7200</v>
      </c>
      <c r="U19" s="545">
        <v>120000</v>
      </c>
      <c r="V19" s="334">
        <f t="shared" si="6"/>
        <v>7200</v>
      </c>
      <c r="W19" s="545">
        <v>120000</v>
      </c>
      <c r="X19" s="335">
        <f t="shared" si="7"/>
        <v>7200</v>
      </c>
      <c r="Y19" s="545">
        <v>120000</v>
      </c>
      <c r="Z19" s="335">
        <f t="shared" si="8"/>
        <v>7200</v>
      </c>
      <c r="AA19" s="545">
        <v>120000</v>
      </c>
      <c r="AB19" s="335">
        <f t="shared" si="9"/>
        <v>7200</v>
      </c>
      <c r="AC19" s="545">
        <v>120000</v>
      </c>
      <c r="AD19" s="335">
        <f t="shared" si="10"/>
        <v>7200</v>
      </c>
      <c r="AE19" s="545">
        <v>120000</v>
      </c>
      <c r="AF19" s="335">
        <f t="shared" si="11"/>
        <v>7200</v>
      </c>
      <c r="AH19" s="337">
        <f t="shared" si="12"/>
        <v>86400</v>
      </c>
    </row>
    <row r="20" spans="1:34" x14ac:dyDescent="0.35">
      <c r="A20" s="542" t="s">
        <v>117</v>
      </c>
      <c r="B20" s="542" t="s">
        <v>860</v>
      </c>
      <c r="C20" s="551" t="s">
        <v>43</v>
      </c>
      <c r="D20" s="542" t="s">
        <v>863</v>
      </c>
      <c r="E20" s="542" t="s">
        <v>91</v>
      </c>
      <c r="F20" s="542" t="s">
        <v>74</v>
      </c>
      <c r="G20" s="550">
        <v>1300</v>
      </c>
      <c r="H20" s="800"/>
      <c r="I20" s="542">
        <v>10</v>
      </c>
      <c r="J20" s="334">
        <f t="shared" si="0"/>
        <v>13000</v>
      </c>
      <c r="K20" s="542">
        <v>10</v>
      </c>
      <c r="L20" s="334">
        <f t="shared" si="1"/>
        <v>13000</v>
      </c>
      <c r="M20" s="542">
        <v>10</v>
      </c>
      <c r="N20" s="334">
        <f t="shared" si="2"/>
        <v>13000</v>
      </c>
      <c r="O20" s="542">
        <v>10</v>
      </c>
      <c r="P20" s="334">
        <f t="shared" si="3"/>
        <v>13000</v>
      </c>
      <c r="Q20" s="542">
        <v>10</v>
      </c>
      <c r="R20" s="334">
        <f t="shared" si="4"/>
        <v>13000</v>
      </c>
      <c r="S20" s="542">
        <v>10</v>
      </c>
      <c r="T20" s="334">
        <f t="shared" si="5"/>
        <v>13000</v>
      </c>
      <c r="U20" s="542">
        <v>10</v>
      </c>
      <c r="V20" s="334">
        <f t="shared" si="6"/>
        <v>13000</v>
      </c>
      <c r="W20" s="542">
        <v>10</v>
      </c>
      <c r="X20" s="335">
        <f t="shared" si="7"/>
        <v>13000</v>
      </c>
      <c r="Y20" s="542">
        <v>10</v>
      </c>
      <c r="Z20" s="335">
        <f t="shared" si="8"/>
        <v>13000</v>
      </c>
      <c r="AA20" s="542">
        <v>10</v>
      </c>
      <c r="AB20" s="335">
        <f t="shared" si="9"/>
        <v>13000</v>
      </c>
      <c r="AC20" s="542">
        <v>10</v>
      </c>
      <c r="AD20" s="335">
        <f t="shared" si="10"/>
        <v>13000</v>
      </c>
      <c r="AE20" s="542">
        <v>10</v>
      </c>
      <c r="AF20" s="335">
        <f t="shared" si="11"/>
        <v>13000</v>
      </c>
      <c r="AH20" s="337">
        <f t="shared" si="12"/>
        <v>156000</v>
      </c>
    </row>
    <row r="21" spans="1:34" x14ac:dyDescent="0.35">
      <c r="A21" s="542" t="s">
        <v>117</v>
      </c>
      <c r="B21" s="542" t="s">
        <v>860</v>
      </c>
      <c r="C21" s="551" t="s">
        <v>43</v>
      </c>
      <c r="D21" s="542" t="s">
        <v>863</v>
      </c>
      <c r="E21" s="542" t="s">
        <v>91</v>
      </c>
      <c r="F21" s="542" t="s">
        <v>775</v>
      </c>
      <c r="G21" s="550">
        <v>1400</v>
      </c>
      <c r="H21" s="800"/>
      <c r="I21" s="542">
        <v>9</v>
      </c>
      <c r="J21" s="334">
        <f t="shared" si="0"/>
        <v>12600</v>
      </c>
      <c r="K21" s="542">
        <v>9</v>
      </c>
      <c r="L21" s="334">
        <f t="shared" si="1"/>
        <v>12600</v>
      </c>
      <c r="M21" s="542">
        <v>9</v>
      </c>
      <c r="N21" s="334">
        <f t="shared" si="2"/>
        <v>12600</v>
      </c>
      <c r="O21" s="542">
        <v>9</v>
      </c>
      <c r="P21" s="334">
        <f t="shared" si="3"/>
        <v>12600</v>
      </c>
      <c r="Q21" s="542">
        <v>9</v>
      </c>
      <c r="R21" s="334">
        <f t="shared" si="4"/>
        <v>12600</v>
      </c>
      <c r="S21" s="542">
        <v>9</v>
      </c>
      <c r="T21" s="334">
        <f t="shared" si="5"/>
        <v>12600</v>
      </c>
      <c r="U21" s="542">
        <v>9</v>
      </c>
      <c r="V21" s="334">
        <f t="shared" si="6"/>
        <v>12600</v>
      </c>
      <c r="W21" s="542">
        <v>9</v>
      </c>
      <c r="X21" s="335">
        <f t="shared" si="7"/>
        <v>12600</v>
      </c>
      <c r="Y21" s="542">
        <v>9</v>
      </c>
      <c r="Z21" s="335">
        <f t="shared" si="8"/>
        <v>12600</v>
      </c>
      <c r="AA21" s="542">
        <v>9</v>
      </c>
      <c r="AB21" s="335">
        <f t="shared" si="9"/>
        <v>12600</v>
      </c>
      <c r="AC21" s="542">
        <v>9</v>
      </c>
      <c r="AD21" s="335">
        <f t="shared" si="10"/>
        <v>12600</v>
      </c>
      <c r="AE21" s="542">
        <v>9</v>
      </c>
      <c r="AF21" s="335">
        <f t="shared" si="11"/>
        <v>12600</v>
      </c>
      <c r="AH21" s="337">
        <f t="shared" si="12"/>
        <v>151200</v>
      </c>
    </row>
    <row r="22" spans="1:34" x14ac:dyDescent="0.35">
      <c r="A22" s="542" t="s">
        <v>117</v>
      </c>
      <c r="B22" s="542" t="s">
        <v>860</v>
      </c>
      <c r="C22" s="551" t="s">
        <v>43</v>
      </c>
      <c r="D22" s="542" t="s">
        <v>863</v>
      </c>
      <c r="E22" s="542" t="s">
        <v>91</v>
      </c>
      <c r="F22" s="542" t="s">
        <v>776</v>
      </c>
      <c r="G22" s="550">
        <v>1400</v>
      </c>
      <c r="H22" s="800"/>
      <c r="I22" s="542">
        <v>6</v>
      </c>
      <c r="J22" s="334">
        <f t="shared" si="0"/>
        <v>8400</v>
      </c>
      <c r="K22" s="542">
        <v>6</v>
      </c>
      <c r="L22" s="334">
        <f t="shared" si="1"/>
        <v>8400</v>
      </c>
      <c r="M22" s="542">
        <v>6</v>
      </c>
      <c r="N22" s="334">
        <f t="shared" si="2"/>
        <v>8400</v>
      </c>
      <c r="O22" s="542">
        <v>6</v>
      </c>
      <c r="P22" s="334">
        <f t="shared" si="3"/>
        <v>8400</v>
      </c>
      <c r="Q22" s="542">
        <v>6</v>
      </c>
      <c r="R22" s="334">
        <f t="shared" si="4"/>
        <v>8400</v>
      </c>
      <c r="S22" s="542">
        <v>6</v>
      </c>
      <c r="T22" s="334">
        <f t="shared" si="5"/>
        <v>8400</v>
      </c>
      <c r="U22" s="542">
        <v>6</v>
      </c>
      <c r="V22" s="334">
        <f t="shared" si="6"/>
        <v>8400</v>
      </c>
      <c r="W22" s="542">
        <v>6</v>
      </c>
      <c r="X22" s="335">
        <f t="shared" si="7"/>
        <v>8400</v>
      </c>
      <c r="Y22" s="542">
        <v>6</v>
      </c>
      <c r="Z22" s="335">
        <f t="shared" si="8"/>
        <v>8400</v>
      </c>
      <c r="AA22" s="542">
        <v>6</v>
      </c>
      <c r="AB22" s="335">
        <f t="shared" si="9"/>
        <v>8400</v>
      </c>
      <c r="AC22" s="542">
        <v>6</v>
      </c>
      <c r="AD22" s="335">
        <f t="shared" si="10"/>
        <v>8400</v>
      </c>
      <c r="AE22" s="542">
        <v>6</v>
      </c>
      <c r="AF22" s="335">
        <f t="shared" si="11"/>
        <v>8400</v>
      </c>
      <c r="AH22" s="337">
        <f t="shared" si="12"/>
        <v>100800</v>
      </c>
    </row>
    <row r="23" spans="1:34" x14ac:dyDescent="0.35">
      <c r="A23" s="542" t="s">
        <v>117</v>
      </c>
      <c r="B23" s="542" t="s">
        <v>860</v>
      </c>
      <c r="C23" s="551" t="s">
        <v>43</v>
      </c>
      <c r="D23" s="542" t="s">
        <v>863</v>
      </c>
      <c r="E23" s="542" t="s">
        <v>91</v>
      </c>
      <c r="F23" s="542" t="s">
        <v>777</v>
      </c>
      <c r="G23" s="550">
        <v>1400</v>
      </c>
      <c r="H23" s="800"/>
      <c r="I23" s="542">
        <v>6</v>
      </c>
      <c r="J23" s="334">
        <f t="shared" si="0"/>
        <v>8400</v>
      </c>
      <c r="K23" s="542">
        <v>6</v>
      </c>
      <c r="L23" s="334">
        <f t="shared" si="1"/>
        <v>8400</v>
      </c>
      <c r="M23" s="542">
        <v>6</v>
      </c>
      <c r="N23" s="334">
        <f t="shared" si="2"/>
        <v>8400</v>
      </c>
      <c r="O23" s="542">
        <v>6</v>
      </c>
      <c r="P23" s="334">
        <f t="shared" si="3"/>
        <v>8400</v>
      </c>
      <c r="Q23" s="542">
        <v>6</v>
      </c>
      <c r="R23" s="334">
        <f t="shared" si="4"/>
        <v>8400</v>
      </c>
      <c r="S23" s="542">
        <v>6</v>
      </c>
      <c r="T23" s="334">
        <f t="shared" si="5"/>
        <v>8400</v>
      </c>
      <c r="U23" s="542">
        <v>6</v>
      </c>
      <c r="V23" s="334">
        <f t="shared" si="6"/>
        <v>8400</v>
      </c>
      <c r="W23" s="542">
        <v>6</v>
      </c>
      <c r="X23" s="335">
        <f t="shared" si="7"/>
        <v>8400</v>
      </c>
      <c r="Y23" s="542">
        <v>6</v>
      </c>
      <c r="Z23" s="335">
        <f t="shared" si="8"/>
        <v>8400</v>
      </c>
      <c r="AA23" s="542">
        <v>6</v>
      </c>
      <c r="AB23" s="335">
        <f t="shared" si="9"/>
        <v>8400</v>
      </c>
      <c r="AC23" s="542">
        <v>6</v>
      </c>
      <c r="AD23" s="335">
        <f t="shared" si="10"/>
        <v>8400</v>
      </c>
      <c r="AE23" s="542">
        <v>6</v>
      </c>
      <c r="AF23" s="335">
        <f t="shared" si="11"/>
        <v>8400</v>
      </c>
      <c r="AH23" s="337">
        <f t="shared" si="12"/>
        <v>100800</v>
      </c>
    </row>
    <row r="24" spans="1:34" x14ac:dyDescent="0.35">
      <c r="A24" s="542" t="s">
        <v>117</v>
      </c>
      <c r="B24" s="542" t="s">
        <v>860</v>
      </c>
      <c r="C24" s="551" t="s">
        <v>43</v>
      </c>
      <c r="D24" s="542" t="s">
        <v>863</v>
      </c>
      <c r="E24" s="542" t="s">
        <v>91</v>
      </c>
      <c r="F24" s="542" t="s">
        <v>778</v>
      </c>
      <c r="G24" s="550">
        <v>1400</v>
      </c>
      <c r="I24" s="542">
        <v>1</v>
      </c>
      <c r="J24" s="334">
        <f t="shared" si="0"/>
        <v>1400</v>
      </c>
      <c r="K24" s="542">
        <v>1</v>
      </c>
      <c r="L24" s="334">
        <f t="shared" si="1"/>
        <v>1400</v>
      </c>
      <c r="M24" s="542">
        <v>1</v>
      </c>
      <c r="N24" s="334">
        <f t="shared" si="2"/>
        <v>1400</v>
      </c>
      <c r="O24" s="542">
        <v>1</v>
      </c>
      <c r="P24" s="334">
        <f t="shared" si="3"/>
        <v>1400</v>
      </c>
      <c r="Q24" s="542">
        <v>1</v>
      </c>
      <c r="R24" s="334">
        <f t="shared" si="4"/>
        <v>1400</v>
      </c>
      <c r="S24" s="542">
        <v>1</v>
      </c>
      <c r="T24" s="334">
        <f t="shared" si="5"/>
        <v>1400</v>
      </c>
      <c r="U24" s="542">
        <v>1</v>
      </c>
      <c r="V24" s="334">
        <f t="shared" si="6"/>
        <v>1400</v>
      </c>
      <c r="W24" s="542">
        <v>1</v>
      </c>
      <c r="X24" s="335">
        <f t="shared" si="7"/>
        <v>1400</v>
      </c>
      <c r="Y24" s="542">
        <v>1</v>
      </c>
      <c r="Z24" s="335">
        <f t="shared" si="8"/>
        <v>1400</v>
      </c>
      <c r="AA24" s="542">
        <v>1</v>
      </c>
      <c r="AB24" s="335">
        <f t="shared" si="9"/>
        <v>1400</v>
      </c>
      <c r="AC24" s="542">
        <v>1</v>
      </c>
      <c r="AD24" s="335">
        <f t="shared" si="10"/>
        <v>1400</v>
      </c>
      <c r="AE24" s="542">
        <v>1</v>
      </c>
      <c r="AF24" s="335">
        <f t="shared" si="11"/>
        <v>1400</v>
      </c>
      <c r="AH24" s="337">
        <f t="shared" si="12"/>
        <v>16800</v>
      </c>
    </row>
    <row r="25" spans="1:34" x14ac:dyDescent="0.35">
      <c r="A25" s="542" t="s">
        <v>117</v>
      </c>
      <c r="B25" s="542" t="s">
        <v>860</v>
      </c>
      <c r="C25" s="551" t="s">
        <v>43</v>
      </c>
      <c r="D25" s="542" t="s">
        <v>863</v>
      </c>
      <c r="E25" s="542" t="s">
        <v>91</v>
      </c>
      <c r="F25" s="542" t="s">
        <v>772</v>
      </c>
      <c r="G25" s="550">
        <v>1300</v>
      </c>
      <c r="I25" s="542">
        <v>1</v>
      </c>
      <c r="J25" s="334">
        <f t="shared" si="0"/>
        <v>1300</v>
      </c>
      <c r="K25" s="542">
        <v>1</v>
      </c>
      <c r="L25" s="334">
        <f t="shared" si="1"/>
        <v>1300</v>
      </c>
      <c r="M25" s="542">
        <v>1</v>
      </c>
      <c r="N25" s="334">
        <f t="shared" si="2"/>
        <v>1300</v>
      </c>
      <c r="O25" s="542">
        <v>1</v>
      </c>
      <c r="P25" s="334">
        <f t="shared" si="3"/>
        <v>1300</v>
      </c>
      <c r="Q25" s="542">
        <v>1</v>
      </c>
      <c r="R25" s="334">
        <f t="shared" si="4"/>
        <v>1300</v>
      </c>
      <c r="S25" s="542">
        <v>1</v>
      </c>
      <c r="T25" s="334">
        <f t="shared" si="5"/>
        <v>1300</v>
      </c>
      <c r="U25" s="542">
        <v>1</v>
      </c>
      <c r="V25" s="334">
        <f t="shared" si="6"/>
        <v>1300</v>
      </c>
      <c r="W25" s="542">
        <v>1</v>
      </c>
      <c r="X25" s="335">
        <f t="shared" si="7"/>
        <v>1300</v>
      </c>
      <c r="Y25" s="542">
        <v>1</v>
      </c>
      <c r="Z25" s="335">
        <f t="shared" si="8"/>
        <v>1300</v>
      </c>
      <c r="AA25" s="542">
        <v>1</v>
      </c>
      <c r="AB25" s="335">
        <f t="shared" si="9"/>
        <v>1300</v>
      </c>
      <c r="AC25" s="542">
        <v>1</v>
      </c>
      <c r="AD25" s="335">
        <f t="shared" si="10"/>
        <v>1300</v>
      </c>
      <c r="AE25" s="542">
        <v>1</v>
      </c>
      <c r="AF25" s="335">
        <f t="shared" si="11"/>
        <v>1300</v>
      </c>
      <c r="AH25" s="337">
        <f t="shared" si="12"/>
        <v>15600</v>
      </c>
    </row>
    <row r="26" spans="1:34" x14ac:dyDescent="0.35">
      <c r="A26" s="542" t="s">
        <v>117</v>
      </c>
      <c r="B26" s="542" t="s">
        <v>860</v>
      </c>
      <c r="C26" s="551" t="s">
        <v>43</v>
      </c>
      <c r="D26" s="542" t="s">
        <v>863</v>
      </c>
      <c r="E26" s="542" t="s">
        <v>91</v>
      </c>
      <c r="F26" s="542" t="s">
        <v>774</v>
      </c>
      <c r="G26" s="550">
        <v>1400</v>
      </c>
      <c r="I26" s="542">
        <v>1</v>
      </c>
      <c r="J26" s="334">
        <f t="shared" si="0"/>
        <v>1400</v>
      </c>
      <c r="K26" s="542">
        <v>1</v>
      </c>
      <c r="L26" s="334">
        <f t="shared" si="1"/>
        <v>1400</v>
      </c>
      <c r="M26" s="542">
        <v>1</v>
      </c>
      <c r="N26" s="334">
        <f t="shared" si="2"/>
        <v>1400</v>
      </c>
      <c r="O26" s="542">
        <v>1</v>
      </c>
      <c r="P26" s="334">
        <f t="shared" si="3"/>
        <v>1400</v>
      </c>
      <c r="Q26" s="542">
        <v>1</v>
      </c>
      <c r="R26" s="334">
        <f t="shared" si="4"/>
        <v>1400</v>
      </c>
      <c r="S26" s="542">
        <v>1</v>
      </c>
      <c r="T26" s="334">
        <f t="shared" si="5"/>
        <v>1400</v>
      </c>
      <c r="U26" s="542">
        <v>1</v>
      </c>
      <c r="V26" s="334">
        <f t="shared" si="6"/>
        <v>1400</v>
      </c>
      <c r="W26" s="542">
        <v>1</v>
      </c>
      <c r="X26" s="335">
        <f t="shared" si="7"/>
        <v>1400</v>
      </c>
      <c r="Y26" s="542">
        <v>1</v>
      </c>
      <c r="Z26" s="335">
        <f t="shared" si="8"/>
        <v>1400</v>
      </c>
      <c r="AA26" s="542">
        <v>1</v>
      </c>
      <c r="AB26" s="335">
        <f t="shared" si="9"/>
        <v>1400</v>
      </c>
      <c r="AC26" s="542">
        <v>1</v>
      </c>
      <c r="AD26" s="335">
        <f t="shared" si="10"/>
        <v>1400</v>
      </c>
      <c r="AE26" s="542">
        <v>1</v>
      </c>
      <c r="AF26" s="335">
        <f t="shared" si="11"/>
        <v>1400</v>
      </c>
      <c r="AH26" s="337">
        <f t="shared" si="12"/>
        <v>16800</v>
      </c>
    </row>
    <row r="27" spans="1:34" x14ac:dyDescent="0.35">
      <c r="A27" s="542" t="s">
        <v>117</v>
      </c>
      <c r="B27" s="542" t="s">
        <v>860</v>
      </c>
      <c r="C27" s="551" t="s">
        <v>43</v>
      </c>
      <c r="D27" s="542" t="s">
        <v>863</v>
      </c>
      <c r="E27" s="542" t="s">
        <v>91</v>
      </c>
      <c r="F27" s="542" t="s">
        <v>845</v>
      </c>
      <c r="G27" s="550">
        <v>1400</v>
      </c>
      <c r="I27" s="542">
        <v>2</v>
      </c>
      <c r="J27" s="334">
        <f t="shared" si="0"/>
        <v>2800</v>
      </c>
      <c r="K27" s="542">
        <v>2</v>
      </c>
      <c r="L27" s="334">
        <f t="shared" si="1"/>
        <v>2800</v>
      </c>
      <c r="M27" s="542">
        <v>2</v>
      </c>
      <c r="N27" s="334">
        <f t="shared" si="2"/>
        <v>2800</v>
      </c>
      <c r="O27" s="542">
        <v>2</v>
      </c>
      <c r="P27" s="334">
        <f t="shared" si="3"/>
        <v>2800</v>
      </c>
      <c r="Q27" s="542">
        <v>2</v>
      </c>
      <c r="R27" s="334">
        <f t="shared" si="4"/>
        <v>2800</v>
      </c>
      <c r="S27" s="542">
        <v>2</v>
      </c>
      <c r="T27" s="334">
        <f t="shared" si="5"/>
        <v>2800</v>
      </c>
      <c r="U27" s="542">
        <v>2</v>
      </c>
      <c r="V27" s="334">
        <f t="shared" si="6"/>
        <v>2800</v>
      </c>
      <c r="W27" s="542">
        <v>2</v>
      </c>
      <c r="X27" s="335">
        <f t="shared" si="7"/>
        <v>2800</v>
      </c>
      <c r="Y27" s="542">
        <v>2</v>
      </c>
      <c r="Z27" s="335">
        <f t="shared" si="8"/>
        <v>2800</v>
      </c>
      <c r="AA27" s="542">
        <v>2</v>
      </c>
      <c r="AB27" s="335">
        <f t="shared" si="9"/>
        <v>2800</v>
      </c>
      <c r="AC27" s="542">
        <v>2</v>
      </c>
      <c r="AD27" s="335">
        <f t="shared" si="10"/>
        <v>2800</v>
      </c>
      <c r="AE27" s="542">
        <v>2</v>
      </c>
      <c r="AF27" s="335">
        <f t="shared" si="11"/>
        <v>2800</v>
      </c>
      <c r="AH27" s="337">
        <f t="shared" si="12"/>
        <v>33600</v>
      </c>
    </row>
    <row r="28" spans="1:34" x14ac:dyDescent="0.35">
      <c r="A28" s="542" t="s">
        <v>117</v>
      </c>
      <c r="B28" s="542" t="s">
        <v>860</v>
      </c>
      <c r="C28" s="551" t="s">
        <v>43</v>
      </c>
      <c r="D28" s="542" t="s">
        <v>863</v>
      </c>
      <c r="E28" s="542" t="s">
        <v>91</v>
      </c>
      <c r="F28" s="542" t="s">
        <v>846</v>
      </c>
      <c r="G28" s="550">
        <v>1400</v>
      </c>
      <c r="I28" s="542">
        <v>2</v>
      </c>
      <c r="J28" s="334">
        <f t="shared" si="0"/>
        <v>2800</v>
      </c>
      <c r="K28" s="542">
        <v>2</v>
      </c>
      <c r="L28" s="334">
        <f t="shared" si="1"/>
        <v>2800</v>
      </c>
      <c r="M28" s="542">
        <v>2</v>
      </c>
      <c r="N28" s="334">
        <f t="shared" si="2"/>
        <v>2800</v>
      </c>
      <c r="O28" s="542">
        <v>2</v>
      </c>
      <c r="P28" s="334">
        <f t="shared" si="3"/>
        <v>2800</v>
      </c>
      <c r="Q28" s="542">
        <v>2</v>
      </c>
      <c r="R28" s="334">
        <f t="shared" si="4"/>
        <v>2800</v>
      </c>
      <c r="S28" s="542">
        <v>2</v>
      </c>
      <c r="T28" s="334">
        <f t="shared" si="5"/>
        <v>2800</v>
      </c>
      <c r="U28" s="542">
        <v>2</v>
      </c>
      <c r="V28" s="334">
        <f t="shared" si="6"/>
        <v>2800</v>
      </c>
      <c r="W28" s="542">
        <v>2</v>
      </c>
      <c r="X28" s="335">
        <f t="shared" si="7"/>
        <v>2800</v>
      </c>
      <c r="Y28" s="542">
        <v>2</v>
      </c>
      <c r="Z28" s="335">
        <f t="shared" si="8"/>
        <v>2800</v>
      </c>
      <c r="AA28" s="542">
        <v>2</v>
      </c>
      <c r="AB28" s="335">
        <f t="shared" si="9"/>
        <v>2800</v>
      </c>
      <c r="AC28" s="542">
        <v>2</v>
      </c>
      <c r="AD28" s="335">
        <f t="shared" si="10"/>
        <v>2800</v>
      </c>
      <c r="AE28" s="542">
        <v>2</v>
      </c>
      <c r="AF28" s="335">
        <f t="shared" si="11"/>
        <v>2800</v>
      </c>
      <c r="AH28" s="337">
        <f t="shared" si="12"/>
        <v>33600</v>
      </c>
    </row>
    <row r="29" spans="1:34" x14ac:dyDescent="0.35">
      <c r="A29" s="542" t="s">
        <v>117</v>
      </c>
      <c r="B29" s="542" t="s">
        <v>860</v>
      </c>
      <c r="C29" s="551" t="s">
        <v>43</v>
      </c>
      <c r="D29" s="542" t="s">
        <v>863</v>
      </c>
      <c r="E29" s="542" t="s">
        <v>91</v>
      </c>
      <c r="F29" s="542" t="s">
        <v>847</v>
      </c>
      <c r="G29" s="550">
        <v>1400</v>
      </c>
      <c r="I29" s="542">
        <v>1</v>
      </c>
      <c r="J29" s="334">
        <f t="shared" si="0"/>
        <v>1400</v>
      </c>
      <c r="K29" s="542">
        <v>1</v>
      </c>
      <c r="L29" s="334">
        <f t="shared" si="1"/>
        <v>1400</v>
      </c>
      <c r="M29" s="542">
        <v>1</v>
      </c>
      <c r="N29" s="334">
        <f t="shared" si="2"/>
        <v>1400</v>
      </c>
      <c r="O29" s="542">
        <v>1</v>
      </c>
      <c r="P29" s="334">
        <f t="shared" si="3"/>
        <v>1400</v>
      </c>
      <c r="Q29" s="542">
        <v>1</v>
      </c>
      <c r="R29" s="334">
        <f t="shared" si="4"/>
        <v>1400</v>
      </c>
      <c r="S29" s="542">
        <v>1</v>
      </c>
      <c r="T29" s="334">
        <f t="shared" si="5"/>
        <v>1400</v>
      </c>
      <c r="U29" s="542">
        <v>1</v>
      </c>
      <c r="V29" s="334">
        <f t="shared" si="6"/>
        <v>1400</v>
      </c>
      <c r="W29" s="542">
        <v>1</v>
      </c>
      <c r="X29" s="335">
        <f t="shared" si="7"/>
        <v>1400</v>
      </c>
      <c r="Y29" s="542">
        <v>1</v>
      </c>
      <c r="Z29" s="335">
        <f t="shared" si="8"/>
        <v>1400</v>
      </c>
      <c r="AA29" s="542">
        <v>1</v>
      </c>
      <c r="AB29" s="335">
        <f t="shared" si="9"/>
        <v>1400</v>
      </c>
      <c r="AC29" s="542">
        <v>1</v>
      </c>
      <c r="AD29" s="335">
        <f t="shared" si="10"/>
        <v>1400</v>
      </c>
      <c r="AE29" s="542">
        <v>1</v>
      </c>
      <c r="AF29" s="335">
        <f t="shared" si="11"/>
        <v>1400</v>
      </c>
      <c r="AH29" s="337">
        <f t="shared" si="12"/>
        <v>16800</v>
      </c>
    </row>
    <row r="30" spans="1:34" x14ac:dyDescent="0.35">
      <c r="A30" s="542" t="s">
        <v>117</v>
      </c>
      <c r="B30" s="542" t="s">
        <v>860</v>
      </c>
      <c r="C30" s="551" t="s">
        <v>43</v>
      </c>
      <c r="D30" s="542" t="s">
        <v>863</v>
      </c>
      <c r="E30" s="542" t="s">
        <v>91</v>
      </c>
      <c r="F30" s="1" t="s">
        <v>848</v>
      </c>
      <c r="G30" s="550">
        <v>1400</v>
      </c>
      <c r="I30" s="542">
        <v>1</v>
      </c>
      <c r="J30" s="334">
        <f t="shared" si="0"/>
        <v>1400</v>
      </c>
      <c r="K30" s="542">
        <v>1</v>
      </c>
      <c r="L30" s="334">
        <f t="shared" si="1"/>
        <v>1400</v>
      </c>
      <c r="M30" s="542">
        <v>1</v>
      </c>
      <c r="N30" s="334">
        <f t="shared" si="2"/>
        <v>1400</v>
      </c>
      <c r="O30" s="542">
        <v>1</v>
      </c>
      <c r="P30" s="334">
        <f t="shared" si="3"/>
        <v>1400</v>
      </c>
      <c r="Q30" s="542">
        <v>1</v>
      </c>
      <c r="R30" s="334">
        <f t="shared" si="4"/>
        <v>1400</v>
      </c>
      <c r="S30" s="542">
        <v>1</v>
      </c>
      <c r="T30" s="334">
        <f t="shared" si="5"/>
        <v>1400</v>
      </c>
      <c r="U30" s="542">
        <v>1</v>
      </c>
      <c r="V30" s="334">
        <f t="shared" si="6"/>
        <v>1400</v>
      </c>
      <c r="W30" s="542">
        <v>1</v>
      </c>
      <c r="X30" s="335">
        <f t="shared" si="7"/>
        <v>1400</v>
      </c>
      <c r="Y30" s="542">
        <v>1</v>
      </c>
      <c r="Z30" s="335">
        <f t="shared" si="8"/>
        <v>1400</v>
      </c>
      <c r="AA30" s="542">
        <v>1</v>
      </c>
      <c r="AB30" s="335">
        <f t="shared" si="9"/>
        <v>1400</v>
      </c>
      <c r="AC30" s="542">
        <v>1</v>
      </c>
      <c r="AD30" s="335">
        <f t="shared" si="10"/>
        <v>1400</v>
      </c>
      <c r="AE30" s="542">
        <v>1</v>
      </c>
      <c r="AF30" s="335">
        <f t="shared" si="11"/>
        <v>1400</v>
      </c>
      <c r="AH30" s="337">
        <f t="shared" si="12"/>
        <v>16800</v>
      </c>
    </row>
    <row r="31" spans="1:34" x14ac:dyDescent="0.35">
      <c r="A31" s="542" t="s">
        <v>117</v>
      </c>
      <c r="B31" s="542" t="s">
        <v>860</v>
      </c>
      <c r="C31" s="551" t="s">
        <v>41</v>
      </c>
      <c r="D31" s="551" t="s">
        <v>865</v>
      </c>
      <c r="E31" s="542" t="s">
        <v>804</v>
      </c>
      <c r="F31" s="542" t="s">
        <v>93</v>
      </c>
      <c r="G31" s="543">
        <v>5.5E-2</v>
      </c>
      <c r="I31" s="545">
        <v>820000</v>
      </c>
      <c r="J31" s="334">
        <f t="shared" si="0"/>
        <v>45100</v>
      </c>
      <c r="K31" s="545">
        <v>820000</v>
      </c>
      <c r="L31" s="334">
        <f t="shared" si="1"/>
        <v>45100</v>
      </c>
      <c r="M31" s="545">
        <v>820000</v>
      </c>
      <c r="N31" s="334">
        <f t="shared" si="2"/>
        <v>45100</v>
      </c>
      <c r="O31" s="545">
        <v>820000</v>
      </c>
      <c r="P31" s="334">
        <f t="shared" si="3"/>
        <v>45100</v>
      </c>
      <c r="Q31" s="545">
        <v>820000</v>
      </c>
      <c r="R31" s="334">
        <f t="shared" si="4"/>
        <v>45100</v>
      </c>
      <c r="S31" s="545">
        <v>820000</v>
      </c>
      <c r="T31" s="334">
        <f t="shared" si="5"/>
        <v>45100</v>
      </c>
      <c r="U31" s="545">
        <v>820000</v>
      </c>
      <c r="V31" s="334">
        <f t="shared" si="6"/>
        <v>45100</v>
      </c>
      <c r="W31" s="545">
        <v>820000</v>
      </c>
      <c r="X31" s="335">
        <f t="shared" si="7"/>
        <v>45100</v>
      </c>
      <c r="Y31" s="545">
        <v>820000</v>
      </c>
      <c r="Z31" s="335">
        <f t="shared" si="8"/>
        <v>45100</v>
      </c>
      <c r="AA31" s="545">
        <v>820000</v>
      </c>
      <c r="AB31" s="335">
        <f t="shared" si="9"/>
        <v>45100</v>
      </c>
      <c r="AC31" s="545">
        <v>820000</v>
      </c>
      <c r="AD31" s="335">
        <f t="shared" si="10"/>
        <v>45100</v>
      </c>
      <c r="AE31" s="545">
        <v>820000</v>
      </c>
      <c r="AF31" s="335">
        <f t="shared" si="11"/>
        <v>45100</v>
      </c>
      <c r="AH31" s="337">
        <f t="shared" si="12"/>
        <v>541200</v>
      </c>
    </row>
    <row r="32" spans="1:34" x14ac:dyDescent="0.35">
      <c r="A32" s="542" t="s">
        <v>117</v>
      </c>
      <c r="B32" s="542" t="s">
        <v>860</v>
      </c>
      <c r="C32" s="551" t="s">
        <v>43</v>
      </c>
      <c r="D32" s="551" t="s">
        <v>865</v>
      </c>
      <c r="E32" s="542" t="s">
        <v>804</v>
      </c>
      <c r="F32" s="542" t="s">
        <v>849</v>
      </c>
      <c r="G32" s="550">
        <v>1750</v>
      </c>
      <c r="I32" s="542">
        <v>2</v>
      </c>
      <c r="J32" s="334">
        <f t="shared" si="0"/>
        <v>3500</v>
      </c>
      <c r="K32" s="542">
        <v>2</v>
      </c>
      <c r="L32" s="334">
        <f t="shared" si="1"/>
        <v>3500</v>
      </c>
      <c r="M32" s="542">
        <v>2</v>
      </c>
      <c r="N32" s="334">
        <f t="shared" si="2"/>
        <v>3500</v>
      </c>
      <c r="O32" s="542">
        <v>2</v>
      </c>
      <c r="P32" s="334">
        <f t="shared" si="3"/>
        <v>3500</v>
      </c>
      <c r="Q32" s="542">
        <v>2</v>
      </c>
      <c r="R32" s="334">
        <f t="shared" si="4"/>
        <v>3500</v>
      </c>
      <c r="S32" s="542">
        <v>2</v>
      </c>
      <c r="T32" s="334">
        <f t="shared" si="5"/>
        <v>3500</v>
      </c>
      <c r="U32" s="542">
        <v>2</v>
      </c>
      <c r="V32" s="334">
        <f t="shared" si="6"/>
        <v>3500</v>
      </c>
      <c r="W32" s="542">
        <v>2</v>
      </c>
      <c r="X32" s="335">
        <f t="shared" si="7"/>
        <v>3500</v>
      </c>
      <c r="Y32" s="542">
        <v>2</v>
      </c>
      <c r="Z32" s="335">
        <f t="shared" si="8"/>
        <v>3500</v>
      </c>
      <c r="AA32" s="542">
        <v>2</v>
      </c>
      <c r="AB32" s="335">
        <f t="shared" si="9"/>
        <v>3500</v>
      </c>
      <c r="AC32" s="542">
        <v>2</v>
      </c>
      <c r="AD32" s="335">
        <f t="shared" si="10"/>
        <v>3500</v>
      </c>
      <c r="AE32" s="542">
        <v>2</v>
      </c>
      <c r="AF32" s="335">
        <f t="shared" si="11"/>
        <v>3500</v>
      </c>
      <c r="AH32" s="337">
        <f t="shared" si="12"/>
        <v>42000</v>
      </c>
    </row>
    <row r="33" spans="1:34" x14ac:dyDescent="0.35">
      <c r="A33" s="542" t="s">
        <v>117</v>
      </c>
      <c r="B33" s="542" t="s">
        <v>860</v>
      </c>
      <c r="C33" s="551" t="s">
        <v>41</v>
      </c>
      <c r="D33" s="551" t="s">
        <v>865</v>
      </c>
      <c r="E33" s="542" t="s">
        <v>804</v>
      </c>
      <c r="F33" s="542" t="s">
        <v>850</v>
      </c>
      <c r="G33" s="550">
        <v>1350</v>
      </c>
      <c r="I33" s="542">
        <v>1</v>
      </c>
      <c r="J33" s="334">
        <f t="shared" si="0"/>
        <v>1350</v>
      </c>
      <c r="K33" s="542">
        <v>1</v>
      </c>
      <c r="L33" s="334">
        <f t="shared" si="1"/>
        <v>1350</v>
      </c>
      <c r="M33" s="542">
        <v>1</v>
      </c>
      <c r="N33" s="334">
        <f t="shared" si="2"/>
        <v>1350</v>
      </c>
      <c r="O33" s="542">
        <v>1</v>
      </c>
      <c r="P33" s="334">
        <f t="shared" si="3"/>
        <v>1350</v>
      </c>
      <c r="Q33" s="542">
        <v>1</v>
      </c>
      <c r="R33" s="334">
        <f t="shared" si="4"/>
        <v>1350</v>
      </c>
      <c r="S33" s="542">
        <v>1</v>
      </c>
      <c r="T33" s="334">
        <f t="shared" si="5"/>
        <v>1350</v>
      </c>
      <c r="U33" s="542">
        <v>1</v>
      </c>
      <c r="V33" s="334">
        <f t="shared" si="6"/>
        <v>1350</v>
      </c>
      <c r="W33" s="542">
        <v>1</v>
      </c>
      <c r="X33" s="335">
        <f t="shared" si="7"/>
        <v>1350</v>
      </c>
      <c r="Y33" s="542">
        <v>1</v>
      </c>
      <c r="Z33" s="335">
        <f t="shared" si="8"/>
        <v>1350</v>
      </c>
      <c r="AA33" s="542">
        <v>1</v>
      </c>
      <c r="AB33" s="335">
        <f t="shared" si="9"/>
        <v>1350</v>
      </c>
      <c r="AC33" s="542">
        <v>1</v>
      </c>
      <c r="AD33" s="335">
        <f t="shared" si="10"/>
        <v>1350</v>
      </c>
      <c r="AE33" s="542">
        <v>1</v>
      </c>
      <c r="AF33" s="335">
        <f t="shared" si="11"/>
        <v>1350</v>
      </c>
      <c r="AH33" s="337">
        <f t="shared" si="12"/>
        <v>16200</v>
      </c>
    </row>
    <row r="34" spans="1:34" x14ac:dyDescent="0.35">
      <c r="A34" s="542" t="s">
        <v>117</v>
      </c>
      <c r="B34" s="542" t="s">
        <v>860</v>
      </c>
      <c r="C34" s="551" t="s">
        <v>62</v>
      </c>
      <c r="D34" s="542" t="s">
        <v>863</v>
      </c>
      <c r="E34" s="542" t="s">
        <v>799</v>
      </c>
      <c r="F34" s="542" t="s">
        <v>47</v>
      </c>
      <c r="G34" s="546">
        <v>4.5</v>
      </c>
      <c r="I34" s="548">
        <v>550</v>
      </c>
      <c r="J34" s="334">
        <f t="shared" si="0"/>
        <v>2475</v>
      </c>
      <c r="K34" s="548">
        <v>550</v>
      </c>
      <c r="L34" s="334">
        <f t="shared" si="1"/>
        <v>2475</v>
      </c>
      <c r="M34" s="548">
        <v>550</v>
      </c>
      <c r="N34" s="334">
        <f t="shared" si="2"/>
        <v>2475</v>
      </c>
      <c r="O34" s="548">
        <v>550</v>
      </c>
      <c r="P34" s="334">
        <f t="shared" si="3"/>
        <v>2475</v>
      </c>
      <c r="Q34" s="548">
        <v>550</v>
      </c>
      <c r="R34" s="334">
        <f t="shared" si="4"/>
        <v>2475</v>
      </c>
      <c r="S34" s="548">
        <v>550</v>
      </c>
      <c r="T34" s="334">
        <f t="shared" si="5"/>
        <v>2475</v>
      </c>
      <c r="U34" s="548">
        <v>550</v>
      </c>
      <c r="V34" s="334">
        <f t="shared" si="6"/>
        <v>2475</v>
      </c>
      <c r="W34" s="548">
        <v>550</v>
      </c>
      <c r="X34" s="335">
        <f t="shared" si="7"/>
        <v>2475</v>
      </c>
      <c r="Y34" s="542">
        <v>550</v>
      </c>
      <c r="Z34" s="335">
        <f t="shared" si="8"/>
        <v>2475</v>
      </c>
      <c r="AA34" s="542">
        <v>550</v>
      </c>
      <c r="AB34" s="335">
        <f t="shared" si="9"/>
        <v>2475</v>
      </c>
      <c r="AC34" s="542">
        <v>550</v>
      </c>
      <c r="AD34" s="335">
        <f t="shared" si="10"/>
        <v>2475</v>
      </c>
      <c r="AE34" s="548">
        <v>550</v>
      </c>
      <c r="AF34" s="335">
        <f t="shared" si="11"/>
        <v>2475</v>
      </c>
      <c r="AH34" s="337">
        <f t="shared" si="12"/>
        <v>29700</v>
      </c>
    </row>
    <row r="35" spans="1:34" x14ac:dyDescent="0.35">
      <c r="A35" s="542" t="s">
        <v>117</v>
      </c>
      <c r="B35" s="542" t="s">
        <v>860</v>
      </c>
      <c r="C35" s="542" t="s">
        <v>41</v>
      </c>
      <c r="D35" s="542" t="s">
        <v>863</v>
      </c>
      <c r="E35" s="542" t="s">
        <v>810</v>
      </c>
      <c r="F35" s="542" t="s">
        <v>93</v>
      </c>
      <c r="G35" s="552">
        <v>0.03</v>
      </c>
      <c r="I35" s="545">
        <v>40000</v>
      </c>
      <c r="J35" s="334">
        <f t="shared" si="0"/>
        <v>1200</v>
      </c>
      <c r="K35" s="545">
        <v>40000</v>
      </c>
      <c r="L35" s="334">
        <f t="shared" si="1"/>
        <v>1200</v>
      </c>
      <c r="M35" s="545">
        <v>40000</v>
      </c>
      <c r="N35" s="334">
        <f t="shared" si="2"/>
        <v>1200</v>
      </c>
      <c r="O35" s="545">
        <v>40000</v>
      </c>
      <c r="P35" s="334">
        <f t="shared" si="3"/>
        <v>1200</v>
      </c>
      <c r="Q35" s="545">
        <v>40000</v>
      </c>
      <c r="R35" s="334">
        <f t="shared" si="4"/>
        <v>1200</v>
      </c>
      <c r="S35" s="545">
        <v>40000</v>
      </c>
      <c r="T35" s="334">
        <f t="shared" si="5"/>
        <v>1200</v>
      </c>
      <c r="U35" s="545">
        <v>40000</v>
      </c>
      <c r="V35" s="334">
        <f t="shared" si="6"/>
        <v>1200</v>
      </c>
      <c r="W35" s="545">
        <v>40000</v>
      </c>
      <c r="X35" s="335">
        <f t="shared" si="7"/>
        <v>1200</v>
      </c>
      <c r="Y35" s="545">
        <v>40000</v>
      </c>
      <c r="Z35" s="335">
        <f t="shared" si="8"/>
        <v>1200</v>
      </c>
      <c r="AA35" s="545">
        <v>40000</v>
      </c>
      <c r="AB35" s="335">
        <f t="shared" si="9"/>
        <v>1200</v>
      </c>
      <c r="AC35" s="545">
        <v>40000</v>
      </c>
      <c r="AD35" s="335">
        <f t="shared" si="10"/>
        <v>1200</v>
      </c>
      <c r="AE35" s="545">
        <v>40000</v>
      </c>
      <c r="AF35" s="335">
        <f t="shared" si="11"/>
        <v>1200</v>
      </c>
      <c r="AH35" s="337">
        <f t="shared" si="12"/>
        <v>14400</v>
      </c>
    </row>
    <row r="36" spans="1:34" x14ac:dyDescent="0.35">
      <c r="A36" s="542" t="s">
        <v>117</v>
      </c>
      <c r="B36" s="542" t="s">
        <v>860</v>
      </c>
      <c r="C36" s="542" t="s">
        <v>43</v>
      </c>
      <c r="D36" s="542" t="s">
        <v>863</v>
      </c>
      <c r="E36" s="542" t="s">
        <v>811</v>
      </c>
      <c r="F36" s="542" t="s">
        <v>101</v>
      </c>
      <c r="G36" s="546">
        <v>1600</v>
      </c>
      <c r="I36" s="548">
        <v>3</v>
      </c>
      <c r="J36" s="334">
        <f t="shared" si="0"/>
        <v>4800</v>
      </c>
      <c r="K36" s="548">
        <v>3</v>
      </c>
      <c r="L36" s="334">
        <f t="shared" si="1"/>
        <v>4800</v>
      </c>
      <c r="M36" s="548">
        <v>3</v>
      </c>
      <c r="N36" s="334">
        <f t="shared" si="2"/>
        <v>4800</v>
      </c>
      <c r="O36" s="548">
        <v>3</v>
      </c>
      <c r="P36" s="334">
        <f t="shared" si="3"/>
        <v>4800</v>
      </c>
      <c r="Q36" s="548">
        <v>3</v>
      </c>
      <c r="R36" s="334">
        <f t="shared" si="4"/>
        <v>4800</v>
      </c>
      <c r="S36" s="548">
        <v>3</v>
      </c>
      <c r="T36" s="334">
        <f t="shared" si="5"/>
        <v>4800</v>
      </c>
      <c r="U36" s="548">
        <v>3</v>
      </c>
      <c r="V36" s="334">
        <f t="shared" si="6"/>
        <v>4800</v>
      </c>
      <c r="W36" s="548">
        <v>3</v>
      </c>
      <c r="X36" s="335">
        <f t="shared" si="7"/>
        <v>4800</v>
      </c>
      <c r="Y36" s="548">
        <v>3</v>
      </c>
      <c r="Z36" s="335">
        <f t="shared" si="8"/>
        <v>4800</v>
      </c>
      <c r="AA36" s="548">
        <v>3</v>
      </c>
      <c r="AB36" s="335">
        <f t="shared" si="9"/>
        <v>4800</v>
      </c>
      <c r="AC36" s="548">
        <v>3</v>
      </c>
      <c r="AD36" s="335">
        <f t="shared" si="10"/>
        <v>4800</v>
      </c>
      <c r="AE36" s="548">
        <v>3</v>
      </c>
      <c r="AF36" s="335">
        <f t="shared" si="11"/>
        <v>4800</v>
      </c>
      <c r="AH36" s="337">
        <f t="shared" si="12"/>
        <v>57600</v>
      </c>
    </row>
    <row r="37" spans="1:34" x14ac:dyDescent="0.35">
      <c r="A37" s="542" t="s">
        <v>117</v>
      </c>
      <c r="B37" s="542" t="s">
        <v>860</v>
      </c>
      <c r="C37" s="542" t="s">
        <v>62</v>
      </c>
      <c r="D37" s="542" t="s">
        <v>863</v>
      </c>
      <c r="E37" s="542" t="s">
        <v>811</v>
      </c>
      <c r="F37" s="542" t="s">
        <v>47</v>
      </c>
      <c r="G37" s="546">
        <v>4.5</v>
      </c>
      <c r="I37" s="548">
        <v>100</v>
      </c>
      <c r="J37" s="334">
        <f t="shared" si="0"/>
        <v>450</v>
      </c>
      <c r="K37" s="548">
        <v>100</v>
      </c>
      <c r="L37" s="334">
        <f t="shared" si="1"/>
        <v>450</v>
      </c>
      <c r="M37" s="548">
        <v>100</v>
      </c>
      <c r="N37" s="334">
        <f t="shared" si="2"/>
        <v>450</v>
      </c>
      <c r="O37" s="548">
        <v>100</v>
      </c>
      <c r="P37" s="334">
        <f t="shared" si="3"/>
        <v>450</v>
      </c>
      <c r="Q37" s="548">
        <v>100</v>
      </c>
      <c r="R37" s="334">
        <f t="shared" si="4"/>
        <v>450</v>
      </c>
      <c r="S37" s="548">
        <v>100</v>
      </c>
      <c r="T37" s="334">
        <f t="shared" si="5"/>
        <v>450</v>
      </c>
      <c r="U37" s="548">
        <v>100</v>
      </c>
      <c r="V37" s="334">
        <f t="shared" si="6"/>
        <v>450</v>
      </c>
      <c r="W37" s="548">
        <v>100</v>
      </c>
      <c r="X37" s="335">
        <f t="shared" si="7"/>
        <v>450</v>
      </c>
      <c r="Y37" s="542">
        <v>100</v>
      </c>
      <c r="Z37" s="335">
        <f t="shared" si="8"/>
        <v>450</v>
      </c>
      <c r="AA37" s="542">
        <v>100</v>
      </c>
      <c r="AB37" s="335">
        <f t="shared" si="9"/>
        <v>450</v>
      </c>
      <c r="AC37" s="542">
        <v>100</v>
      </c>
      <c r="AD37" s="335">
        <f t="shared" si="10"/>
        <v>450</v>
      </c>
      <c r="AE37" s="548">
        <v>100</v>
      </c>
      <c r="AF37" s="335">
        <f t="shared" si="11"/>
        <v>450</v>
      </c>
      <c r="AH37" s="337">
        <f t="shared" si="12"/>
        <v>5400</v>
      </c>
    </row>
    <row r="38" spans="1:34" x14ac:dyDescent="0.35">
      <c r="A38" s="542" t="s">
        <v>117</v>
      </c>
      <c r="B38" s="542" t="s">
        <v>860</v>
      </c>
      <c r="C38" s="542" t="s">
        <v>43</v>
      </c>
      <c r="D38" s="542" t="s">
        <v>863</v>
      </c>
      <c r="E38" s="542" t="s">
        <v>809</v>
      </c>
      <c r="F38" s="542" t="s">
        <v>101</v>
      </c>
      <c r="G38" s="546">
        <v>1750</v>
      </c>
      <c r="I38" s="548">
        <v>1</v>
      </c>
      <c r="J38" s="334">
        <f t="shared" si="0"/>
        <v>1750</v>
      </c>
      <c r="K38" s="548">
        <v>1</v>
      </c>
      <c r="L38" s="334">
        <f t="shared" si="1"/>
        <v>1750</v>
      </c>
      <c r="M38" s="548">
        <v>1</v>
      </c>
      <c r="N38" s="334">
        <f t="shared" si="2"/>
        <v>1750</v>
      </c>
      <c r="O38" s="548">
        <v>1</v>
      </c>
      <c r="P38" s="334">
        <f t="shared" si="3"/>
        <v>1750</v>
      </c>
      <c r="Q38" s="548">
        <v>1</v>
      </c>
      <c r="R38" s="334">
        <f t="shared" si="4"/>
        <v>1750</v>
      </c>
      <c r="S38" s="548">
        <v>1</v>
      </c>
      <c r="T38" s="334">
        <f t="shared" si="5"/>
        <v>1750</v>
      </c>
      <c r="U38" s="548">
        <v>1</v>
      </c>
      <c r="V38" s="334">
        <f t="shared" si="6"/>
        <v>1750</v>
      </c>
      <c r="W38" s="548">
        <v>1</v>
      </c>
      <c r="X38" s="335">
        <f t="shared" si="7"/>
        <v>1750</v>
      </c>
      <c r="Y38" s="548">
        <v>1</v>
      </c>
      <c r="Z38" s="335">
        <f t="shared" si="8"/>
        <v>1750</v>
      </c>
      <c r="AA38" s="548">
        <v>1</v>
      </c>
      <c r="AB38" s="335">
        <f t="shared" si="9"/>
        <v>1750</v>
      </c>
      <c r="AC38" s="548">
        <v>1</v>
      </c>
      <c r="AD38" s="335">
        <f t="shared" si="10"/>
        <v>1750</v>
      </c>
      <c r="AE38" s="548">
        <v>1</v>
      </c>
      <c r="AF38" s="335">
        <f t="shared" si="11"/>
        <v>1750</v>
      </c>
      <c r="AH38" s="337">
        <f t="shared" si="12"/>
        <v>21000</v>
      </c>
    </row>
    <row r="39" spans="1:34" x14ac:dyDescent="0.35">
      <c r="A39" s="542" t="s">
        <v>117</v>
      </c>
      <c r="B39" s="542" t="s">
        <v>860</v>
      </c>
      <c r="C39" s="542" t="s">
        <v>41</v>
      </c>
      <c r="D39" s="542" t="s">
        <v>863</v>
      </c>
      <c r="E39" s="542" t="s">
        <v>809</v>
      </c>
      <c r="F39" s="542" t="s">
        <v>93</v>
      </c>
      <c r="G39" s="552">
        <v>0.05</v>
      </c>
      <c r="I39" s="545">
        <v>100000</v>
      </c>
      <c r="J39" s="334">
        <f t="shared" si="0"/>
        <v>5000</v>
      </c>
      <c r="K39" s="545">
        <v>100000</v>
      </c>
      <c r="L39" s="334">
        <f t="shared" si="1"/>
        <v>5000</v>
      </c>
      <c r="M39" s="545">
        <v>100000</v>
      </c>
      <c r="N39" s="334">
        <f t="shared" si="2"/>
        <v>5000</v>
      </c>
      <c r="O39" s="545">
        <v>100000</v>
      </c>
      <c r="P39" s="334">
        <f t="shared" si="3"/>
        <v>5000</v>
      </c>
      <c r="Q39" s="545">
        <v>100000</v>
      </c>
      <c r="R39" s="334">
        <f t="shared" si="4"/>
        <v>5000</v>
      </c>
      <c r="S39" s="545">
        <v>100000</v>
      </c>
      <c r="T39" s="334">
        <f t="shared" si="5"/>
        <v>5000</v>
      </c>
      <c r="U39" s="545">
        <v>100000</v>
      </c>
      <c r="V39" s="334">
        <f t="shared" si="6"/>
        <v>5000</v>
      </c>
      <c r="W39" s="545">
        <v>100000</v>
      </c>
      <c r="X39" s="335">
        <f t="shared" si="7"/>
        <v>5000</v>
      </c>
      <c r="Y39" s="545">
        <v>100000</v>
      </c>
      <c r="Z39" s="335">
        <f t="shared" si="8"/>
        <v>5000</v>
      </c>
      <c r="AA39" s="545">
        <v>100000</v>
      </c>
      <c r="AB39" s="335">
        <f t="shared" si="9"/>
        <v>5000</v>
      </c>
      <c r="AC39" s="545">
        <v>100000</v>
      </c>
      <c r="AD39" s="335">
        <f t="shared" si="10"/>
        <v>5000</v>
      </c>
      <c r="AE39" s="545">
        <v>100000</v>
      </c>
      <c r="AF39" s="335">
        <f t="shared" si="11"/>
        <v>5000</v>
      </c>
      <c r="AH39" s="337">
        <f t="shared" si="12"/>
        <v>60000</v>
      </c>
    </row>
    <row r="40" spans="1:34" x14ac:dyDescent="0.35">
      <c r="A40" s="542" t="s">
        <v>117</v>
      </c>
      <c r="B40" s="542" t="s">
        <v>860</v>
      </c>
      <c r="C40" s="542" t="s">
        <v>43</v>
      </c>
      <c r="D40" s="542" t="s">
        <v>866</v>
      </c>
      <c r="E40" s="542" t="s">
        <v>812</v>
      </c>
      <c r="F40" s="542" t="s">
        <v>851</v>
      </c>
      <c r="G40" s="546">
        <v>2500</v>
      </c>
      <c r="I40" s="548">
        <v>10</v>
      </c>
      <c r="J40" s="334">
        <f t="shared" si="0"/>
        <v>25000</v>
      </c>
      <c r="K40" s="548">
        <v>10</v>
      </c>
      <c r="L40" s="334">
        <f t="shared" si="1"/>
        <v>25000</v>
      </c>
      <c r="M40" s="548">
        <v>10</v>
      </c>
      <c r="N40" s="334">
        <f t="shared" si="2"/>
        <v>25000</v>
      </c>
      <c r="O40" s="548">
        <v>10</v>
      </c>
      <c r="P40" s="334">
        <f t="shared" si="3"/>
        <v>25000</v>
      </c>
      <c r="Q40" s="548">
        <v>10</v>
      </c>
      <c r="R40" s="334">
        <f t="shared" si="4"/>
        <v>25000</v>
      </c>
      <c r="S40" s="548">
        <v>10</v>
      </c>
      <c r="T40" s="334">
        <f t="shared" si="5"/>
        <v>25000</v>
      </c>
      <c r="U40" s="548">
        <v>10</v>
      </c>
      <c r="V40" s="334">
        <f t="shared" si="6"/>
        <v>25000</v>
      </c>
      <c r="W40" s="548">
        <v>10</v>
      </c>
      <c r="X40" s="335">
        <f t="shared" si="7"/>
        <v>25000</v>
      </c>
      <c r="Y40" s="548">
        <v>10</v>
      </c>
      <c r="Z40" s="335">
        <f t="shared" si="8"/>
        <v>25000</v>
      </c>
      <c r="AA40" s="548">
        <v>10</v>
      </c>
      <c r="AB40" s="335">
        <f t="shared" si="9"/>
        <v>25000</v>
      </c>
      <c r="AC40" s="548">
        <v>10</v>
      </c>
      <c r="AD40" s="335">
        <f t="shared" si="10"/>
        <v>25000</v>
      </c>
      <c r="AE40" s="548">
        <v>10</v>
      </c>
      <c r="AF40" s="335">
        <f t="shared" si="11"/>
        <v>25000</v>
      </c>
      <c r="AH40" s="337">
        <f t="shared" si="12"/>
        <v>300000</v>
      </c>
    </row>
    <row r="41" spans="1:34" x14ac:dyDescent="0.35">
      <c r="A41" s="542" t="s">
        <v>117</v>
      </c>
      <c r="B41" s="542" t="s">
        <v>860</v>
      </c>
      <c r="C41" s="542" t="s">
        <v>43</v>
      </c>
      <c r="D41" s="542" t="s">
        <v>861</v>
      </c>
      <c r="E41" s="542" t="s">
        <v>793</v>
      </c>
      <c r="F41" s="542" t="s">
        <v>101</v>
      </c>
      <c r="G41" s="550">
        <v>1450</v>
      </c>
      <c r="I41" s="548">
        <v>1</v>
      </c>
      <c r="J41" s="334">
        <f t="shared" si="0"/>
        <v>1450</v>
      </c>
      <c r="K41" s="548">
        <v>1</v>
      </c>
      <c r="L41" s="334">
        <f t="shared" si="1"/>
        <v>1450</v>
      </c>
      <c r="M41" s="548">
        <v>1</v>
      </c>
      <c r="N41" s="334">
        <f t="shared" si="2"/>
        <v>1450</v>
      </c>
      <c r="O41" s="548">
        <v>1</v>
      </c>
      <c r="P41" s="334">
        <f t="shared" si="3"/>
        <v>1450</v>
      </c>
      <c r="Q41" s="548">
        <v>1</v>
      </c>
      <c r="R41" s="334">
        <f t="shared" si="4"/>
        <v>1450</v>
      </c>
      <c r="S41" s="548">
        <v>1</v>
      </c>
      <c r="T41" s="334">
        <f t="shared" si="5"/>
        <v>1450</v>
      </c>
      <c r="U41" s="548">
        <v>1</v>
      </c>
      <c r="V41" s="334">
        <f t="shared" si="6"/>
        <v>1450</v>
      </c>
      <c r="W41" s="548">
        <v>1</v>
      </c>
      <c r="X41" s="335">
        <f t="shared" si="7"/>
        <v>1450</v>
      </c>
      <c r="Y41" s="548">
        <v>1</v>
      </c>
      <c r="Z41" s="335">
        <f t="shared" si="8"/>
        <v>1450</v>
      </c>
      <c r="AA41" s="548">
        <v>1</v>
      </c>
      <c r="AB41" s="335">
        <f t="shared" si="9"/>
        <v>1450</v>
      </c>
      <c r="AC41" s="548">
        <v>1</v>
      </c>
      <c r="AD41" s="335">
        <f t="shared" si="10"/>
        <v>1450</v>
      </c>
      <c r="AE41" s="548">
        <v>1</v>
      </c>
      <c r="AF41" s="335">
        <f t="shared" si="11"/>
        <v>1450</v>
      </c>
      <c r="AH41" s="337">
        <f t="shared" si="12"/>
        <v>17400</v>
      </c>
    </row>
    <row r="42" spans="1:34" x14ac:dyDescent="0.35">
      <c r="A42" s="542" t="s">
        <v>117</v>
      </c>
      <c r="B42" s="542" t="s">
        <v>860</v>
      </c>
      <c r="C42" s="542" t="s">
        <v>43</v>
      </c>
      <c r="D42" s="542" t="s">
        <v>862</v>
      </c>
      <c r="E42" s="542" t="s">
        <v>813</v>
      </c>
      <c r="F42" s="542" t="s">
        <v>814</v>
      </c>
      <c r="G42" s="550">
        <v>18</v>
      </c>
      <c r="I42" s="548">
        <v>352</v>
      </c>
      <c r="J42" s="334">
        <f t="shared" si="0"/>
        <v>6336</v>
      </c>
      <c r="K42" s="548">
        <v>352</v>
      </c>
      <c r="L42" s="334">
        <f t="shared" si="1"/>
        <v>6336</v>
      </c>
      <c r="M42" s="548">
        <v>352</v>
      </c>
      <c r="N42" s="334">
        <f t="shared" si="2"/>
        <v>6336</v>
      </c>
      <c r="O42" s="548">
        <v>352</v>
      </c>
      <c r="P42" s="334">
        <f t="shared" si="3"/>
        <v>6336</v>
      </c>
      <c r="Q42" s="548">
        <v>352</v>
      </c>
      <c r="R42" s="334">
        <f t="shared" si="4"/>
        <v>6336</v>
      </c>
      <c r="S42" s="548">
        <v>352</v>
      </c>
      <c r="T42" s="334">
        <f t="shared" si="5"/>
        <v>6336</v>
      </c>
      <c r="U42" s="548">
        <v>352</v>
      </c>
      <c r="V42" s="334">
        <f t="shared" si="6"/>
        <v>6336</v>
      </c>
      <c r="W42" s="548">
        <v>352</v>
      </c>
      <c r="X42" s="335">
        <f t="shared" si="7"/>
        <v>6336</v>
      </c>
      <c r="Y42" s="548">
        <v>352</v>
      </c>
      <c r="Z42" s="335">
        <f t="shared" si="8"/>
        <v>6336</v>
      </c>
      <c r="AA42" s="548">
        <v>352</v>
      </c>
      <c r="AB42" s="335">
        <f t="shared" si="9"/>
        <v>6336</v>
      </c>
      <c r="AC42" s="548">
        <v>352</v>
      </c>
      <c r="AD42" s="335">
        <f t="shared" si="10"/>
        <v>6336</v>
      </c>
      <c r="AE42" s="548">
        <v>352</v>
      </c>
      <c r="AF42" s="335">
        <f t="shared" si="11"/>
        <v>6336</v>
      </c>
      <c r="AH42" s="337">
        <f t="shared" si="12"/>
        <v>76032</v>
      </c>
    </row>
    <row r="43" spans="1:34" x14ac:dyDescent="0.35">
      <c r="A43" s="542" t="s">
        <v>117</v>
      </c>
      <c r="B43" s="542" t="s">
        <v>860</v>
      </c>
      <c r="C43" s="542" t="s">
        <v>43</v>
      </c>
      <c r="D43" s="542" t="s">
        <v>862</v>
      </c>
      <c r="E43" s="542" t="s">
        <v>815</v>
      </c>
      <c r="F43" s="542" t="s">
        <v>121</v>
      </c>
      <c r="G43" s="546">
        <v>1.35</v>
      </c>
      <c r="I43" s="548">
        <v>3500</v>
      </c>
      <c r="J43" s="334">
        <f t="shared" si="0"/>
        <v>4725</v>
      </c>
      <c r="K43" s="548">
        <v>3500</v>
      </c>
      <c r="L43" s="334">
        <f t="shared" si="1"/>
        <v>4725</v>
      </c>
      <c r="M43" s="548">
        <v>3500</v>
      </c>
      <c r="N43" s="334">
        <f t="shared" si="2"/>
        <v>4725</v>
      </c>
      <c r="O43" s="548">
        <v>3500</v>
      </c>
      <c r="P43" s="334">
        <f t="shared" si="3"/>
        <v>4725</v>
      </c>
      <c r="Q43" s="548">
        <v>3500</v>
      </c>
      <c r="R43" s="334">
        <f t="shared" si="4"/>
        <v>4725</v>
      </c>
      <c r="S43" s="548">
        <v>3500</v>
      </c>
      <c r="T43" s="334">
        <f t="shared" si="5"/>
        <v>4725</v>
      </c>
      <c r="U43" s="548">
        <v>3500</v>
      </c>
      <c r="V43" s="334">
        <f t="shared" si="6"/>
        <v>4725</v>
      </c>
      <c r="W43" s="548">
        <v>3500</v>
      </c>
      <c r="X43" s="335">
        <f t="shared" si="7"/>
        <v>4725</v>
      </c>
      <c r="Y43" s="548">
        <v>3500</v>
      </c>
      <c r="Z43" s="335">
        <f t="shared" si="8"/>
        <v>4725</v>
      </c>
      <c r="AA43" s="548">
        <v>3500</v>
      </c>
      <c r="AB43" s="335">
        <f t="shared" si="9"/>
        <v>4725</v>
      </c>
      <c r="AC43" s="548">
        <v>3500</v>
      </c>
      <c r="AD43" s="335">
        <f t="shared" si="10"/>
        <v>4725</v>
      </c>
      <c r="AE43" s="548">
        <v>3500</v>
      </c>
      <c r="AF43" s="335">
        <f t="shared" si="11"/>
        <v>4725</v>
      </c>
      <c r="AH43" s="337">
        <f t="shared" si="12"/>
        <v>56700</v>
      </c>
    </row>
    <row r="44" spans="1:34" x14ac:dyDescent="0.35">
      <c r="A44" s="542" t="s">
        <v>117</v>
      </c>
      <c r="B44" s="542" t="s">
        <v>860</v>
      </c>
      <c r="C44" s="542" t="s">
        <v>43</v>
      </c>
      <c r="D44" s="542" t="s">
        <v>863</v>
      </c>
      <c r="E44" s="542" t="s">
        <v>781</v>
      </c>
      <c r="F44" s="542" t="s">
        <v>101</v>
      </c>
      <c r="G44" s="550">
        <v>1250</v>
      </c>
      <c r="I44" s="548">
        <v>4</v>
      </c>
      <c r="J44" s="334">
        <f t="shared" si="0"/>
        <v>5000</v>
      </c>
      <c r="K44" s="548">
        <v>4</v>
      </c>
      <c r="L44" s="334">
        <f t="shared" si="1"/>
        <v>5000</v>
      </c>
      <c r="M44" s="548">
        <v>4</v>
      </c>
      <c r="N44" s="334">
        <f t="shared" si="2"/>
        <v>5000</v>
      </c>
      <c r="O44" s="548">
        <v>4</v>
      </c>
      <c r="P44" s="334">
        <f t="shared" si="3"/>
        <v>5000</v>
      </c>
      <c r="Q44" s="548">
        <v>4</v>
      </c>
      <c r="R44" s="334">
        <f t="shared" si="4"/>
        <v>5000</v>
      </c>
      <c r="S44" s="548">
        <v>4</v>
      </c>
      <c r="T44" s="334">
        <f t="shared" si="5"/>
        <v>5000</v>
      </c>
      <c r="U44" s="548">
        <v>4</v>
      </c>
      <c r="V44" s="334">
        <f t="shared" si="6"/>
        <v>5000</v>
      </c>
      <c r="W44" s="548">
        <v>4</v>
      </c>
      <c r="X44" s="335">
        <f t="shared" si="7"/>
        <v>5000</v>
      </c>
      <c r="Y44" s="548">
        <v>4</v>
      </c>
      <c r="Z44" s="335">
        <f t="shared" si="8"/>
        <v>5000</v>
      </c>
      <c r="AA44" s="548">
        <v>4</v>
      </c>
      <c r="AB44" s="335">
        <f t="shared" si="9"/>
        <v>5000</v>
      </c>
      <c r="AC44" s="548">
        <v>4</v>
      </c>
      <c r="AD44" s="335">
        <f t="shared" si="10"/>
        <v>5000</v>
      </c>
      <c r="AE44" s="548">
        <v>4</v>
      </c>
      <c r="AF44" s="335">
        <f t="shared" si="11"/>
        <v>5000</v>
      </c>
      <c r="AH44" s="337">
        <f t="shared" si="12"/>
        <v>60000</v>
      </c>
    </row>
    <row r="45" spans="1:34" x14ac:dyDescent="0.35">
      <c r="A45" s="542" t="s">
        <v>117</v>
      </c>
      <c r="B45" s="542" t="s">
        <v>860</v>
      </c>
      <c r="C45" s="542" t="s">
        <v>62</v>
      </c>
      <c r="D45" s="542" t="s">
        <v>863</v>
      </c>
      <c r="E45" s="542" t="s">
        <v>781</v>
      </c>
      <c r="F45" s="553" t="s">
        <v>852</v>
      </c>
      <c r="G45" s="550">
        <v>1675</v>
      </c>
      <c r="I45" s="548">
        <v>1</v>
      </c>
      <c r="J45" s="334">
        <f t="shared" si="0"/>
        <v>1675</v>
      </c>
      <c r="K45" s="548">
        <v>1</v>
      </c>
      <c r="L45" s="334">
        <f t="shared" si="1"/>
        <v>1675</v>
      </c>
      <c r="M45" s="548">
        <v>1</v>
      </c>
      <c r="N45" s="334">
        <f t="shared" si="2"/>
        <v>1675</v>
      </c>
      <c r="O45" s="548">
        <v>1</v>
      </c>
      <c r="P45" s="334">
        <f t="shared" si="3"/>
        <v>1675</v>
      </c>
      <c r="Q45" s="548">
        <v>1</v>
      </c>
      <c r="R45" s="334">
        <f t="shared" si="4"/>
        <v>1675</v>
      </c>
      <c r="S45" s="548">
        <v>1</v>
      </c>
      <c r="T45" s="334">
        <f t="shared" si="5"/>
        <v>1675</v>
      </c>
      <c r="U45" s="548">
        <v>1</v>
      </c>
      <c r="V45" s="334">
        <f t="shared" si="6"/>
        <v>1675</v>
      </c>
      <c r="W45" s="548">
        <v>1</v>
      </c>
      <c r="X45" s="335">
        <f t="shared" si="7"/>
        <v>1675</v>
      </c>
      <c r="Y45" s="542">
        <v>1</v>
      </c>
      <c r="Z45" s="335">
        <f t="shared" si="8"/>
        <v>1675</v>
      </c>
      <c r="AA45" s="542">
        <v>1</v>
      </c>
      <c r="AB45" s="335">
        <f t="shared" si="9"/>
        <v>1675</v>
      </c>
      <c r="AC45" s="542">
        <v>1</v>
      </c>
      <c r="AD45" s="335">
        <f t="shared" si="10"/>
        <v>1675</v>
      </c>
      <c r="AE45" s="548">
        <v>1</v>
      </c>
      <c r="AF45" s="335">
        <f t="shared" si="11"/>
        <v>1675</v>
      </c>
      <c r="AH45" s="337">
        <f t="shared" si="12"/>
        <v>20100</v>
      </c>
    </row>
    <row r="46" spans="1:34" x14ac:dyDescent="0.35">
      <c r="A46" s="542" t="s">
        <v>117</v>
      </c>
      <c r="B46" s="542" t="s">
        <v>860</v>
      </c>
      <c r="C46" s="551" t="s">
        <v>43</v>
      </c>
      <c r="D46" s="551" t="s">
        <v>868</v>
      </c>
      <c r="E46" s="551" t="s">
        <v>817</v>
      </c>
      <c r="F46" s="542" t="s">
        <v>101</v>
      </c>
      <c r="G46" s="550">
        <v>1300</v>
      </c>
      <c r="I46" s="548">
        <v>2</v>
      </c>
      <c r="J46" s="334">
        <f t="shared" si="0"/>
        <v>2600</v>
      </c>
      <c r="K46" s="548">
        <v>2</v>
      </c>
      <c r="L46" s="334">
        <f t="shared" si="1"/>
        <v>2600</v>
      </c>
      <c r="M46" s="548">
        <v>2</v>
      </c>
      <c r="N46" s="334">
        <f t="shared" si="2"/>
        <v>2600</v>
      </c>
      <c r="O46" s="548">
        <v>2</v>
      </c>
      <c r="P46" s="334">
        <f t="shared" si="3"/>
        <v>2600</v>
      </c>
      <c r="Q46" s="548">
        <v>2</v>
      </c>
      <c r="R46" s="334">
        <f t="shared" si="4"/>
        <v>2600</v>
      </c>
      <c r="S46" s="548">
        <v>2</v>
      </c>
      <c r="T46" s="334">
        <f t="shared" si="5"/>
        <v>2600</v>
      </c>
      <c r="U46" s="548">
        <v>2</v>
      </c>
      <c r="V46" s="334">
        <f t="shared" si="6"/>
        <v>2600</v>
      </c>
      <c r="W46" s="548">
        <v>2</v>
      </c>
      <c r="X46" s="335">
        <f t="shared" si="7"/>
        <v>2600</v>
      </c>
      <c r="Y46" s="548">
        <v>2</v>
      </c>
      <c r="Z46" s="335">
        <f t="shared" si="8"/>
        <v>2600</v>
      </c>
      <c r="AA46" s="548">
        <v>2</v>
      </c>
      <c r="AB46" s="335">
        <f t="shared" si="9"/>
        <v>2600</v>
      </c>
      <c r="AC46" s="548">
        <v>2</v>
      </c>
      <c r="AD46" s="335">
        <f t="shared" si="10"/>
        <v>2600</v>
      </c>
      <c r="AE46" s="548">
        <v>2</v>
      </c>
      <c r="AF46" s="335">
        <f t="shared" si="11"/>
        <v>2600</v>
      </c>
      <c r="AH46" s="337">
        <f t="shared" si="12"/>
        <v>31200</v>
      </c>
    </row>
    <row r="47" spans="1:34" x14ac:dyDescent="0.35">
      <c r="A47" s="542" t="s">
        <v>117</v>
      </c>
      <c r="B47" s="542" t="s">
        <v>860</v>
      </c>
      <c r="C47" s="551"/>
      <c r="D47" s="551" t="s">
        <v>864</v>
      </c>
      <c r="E47" s="551" t="s">
        <v>817</v>
      </c>
      <c r="F47" s="542" t="s">
        <v>818</v>
      </c>
      <c r="G47" s="550">
        <v>200</v>
      </c>
      <c r="I47" s="548">
        <v>5</v>
      </c>
      <c r="J47" s="334">
        <f t="shared" si="0"/>
        <v>1000</v>
      </c>
      <c r="K47" s="548">
        <v>5</v>
      </c>
      <c r="L47" s="334">
        <f t="shared" si="1"/>
        <v>1000</v>
      </c>
      <c r="M47" s="548">
        <v>5</v>
      </c>
      <c r="N47" s="334">
        <f t="shared" si="2"/>
        <v>1000</v>
      </c>
      <c r="O47" s="548">
        <v>5</v>
      </c>
      <c r="P47" s="334">
        <f t="shared" si="3"/>
        <v>1000</v>
      </c>
      <c r="Q47" s="548">
        <v>5</v>
      </c>
      <c r="R47" s="334">
        <f t="shared" si="4"/>
        <v>1000</v>
      </c>
      <c r="S47" s="548">
        <v>5</v>
      </c>
      <c r="T47" s="334">
        <f t="shared" si="5"/>
        <v>1000</v>
      </c>
      <c r="U47" s="548">
        <v>5</v>
      </c>
      <c r="V47" s="334">
        <f t="shared" si="6"/>
        <v>1000</v>
      </c>
      <c r="W47" s="548">
        <v>5</v>
      </c>
      <c r="X47" s="335">
        <f t="shared" si="7"/>
        <v>1000</v>
      </c>
      <c r="Y47" s="548">
        <v>5</v>
      </c>
      <c r="Z47" s="335">
        <f t="shared" si="8"/>
        <v>1000</v>
      </c>
      <c r="AA47" s="548">
        <v>5</v>
      </c>
      <c r="AB47" s="335">
        <f t="shared" si="9"/>
        <v>1000</v>
      </c>
      <c r="AC47" s="548">
        <v>5</v>
      </c>
      <c r="AD47" s="335">
        <f t="shared" si="10"/>
        <v>1000</v>
      </c>
      <c r="AE47" s="548">
        <v>5</v>
      </c>
      <c r="AF47" s="335">
        <f t="shared" si="11"/>
        <v>1000</v>
      </c>
      <c r="AH47" s="337">
        <f t="shared" si="12"/>
        <v>12000</v>
      </c>
    </row>
    <row r="48" spans="1:34" x14ac:dyDescent="0.35">
      <c r="A48" s="542" t="s">
        <v>117</v>
      </c>
      <c r="B48" s="542" t="s">
        <v>860</v>
      </c>
      <c r="C48" s="551" t="s">
        <v>43</v>
      </c>
      <c r="D48" s="551" t="s">
        <v>868</v>
      </c>
      <c r="E48" s="551" t="s">
        <v>799</v>
      </c>
      <c r="F48" s="542" t="s">
        <v>801</v>
      </c>
      <c r="G48" s="550">
        <v>1450</v>
      </c>
      <c r="I48" s="548">
        <v>1</v>
      </c>
      <c r="J48" s="334">
        <f t="shared" si="0"/>
        <v>1450</v>
      </c>
      <c r="K48" s="548">
        <v>1</v>
      </c>
      <c r="L48" s="334">
        <f t="shared" si="1"/>
        <v>1450</v>
      </c>
      <c r="M48" s="548">
        <v>1</v>
      </c>
      <c r="N48" s="334">
        <f t="shared" si="2"/>
        <v>1450</v>
      </c>
      <c r="O48" s="548">
        <v>1</v>
      </c>
      <c r="P48" s="334">
        <f t="shared" si="3"/>
        <v>1450</v>
      </c>
      <c r="Q48" s="548">
        <v>1</v>
      </c>
      <c r="R48" s="334">
        <f t="shared" si="4"/>
        <v>1450</v>
      </c>
      <c r="S48" s="548">
        <v>1</v>
      </c>
      <c r="T48" s="334">
        <f t="shared" si="5"/>
        <v>1450</v>
      </c>
      <c r="U48" s="548">
        <v>1</v>
      </c>
      <c r="V48" s="334">
        <f t="shared" si="6"/>
        <v>1450</v>
      </c>
      <c r="W48" s="548">
        <v>1</v>
      </c>
      <c r="X48" s="335">
        <f t="shared" si="7"/>
        <v>1450</v>
      </c>
      <c r="Y48" s="548">
        <v>1</v>
      </c>
      <c r="Z48" s="335">
        <f t="shared" si="8"/>
        <v>1450</v>
      </c>
      <c r="AA48" s="548">
        <v>1</v>
      </c>
      <c r="AB48" s="335">
        <f t="shared" si="9"/>
        <v>1450</v>
      </c>
      <c r="AC48" s="548">
        <v>1</v>
      </c>
      <c r="AD48" s="335">
        <f t="shared" si="10"/>
        <v>1450</v>
      </c>
      <c r="AE48" s="548">
        <v>1</v>
      </c>
      <c r="AF48" s="335">
        <f t="shared" si="11"/>
        <v>1450</v>
      </c>
      <c r="AH48" s="337">
        <f t="shared" si="12"/>
        <v>17400</v>
      </c>
    </row>
    <row r="49" spans="1:35" x14ac:dyDescent="0.35">
      <c r="A49" s="542" t="s">
        <v>117</v>
      </c>
      <c r="B49" s="542" t="s">
        <v>860</v>
      </c>
      <c r="C49" s="554"/>
      <c r="D49" s="554" t="s">
        <v>864</v>
      </c>
      <c r="E49" s="554" t="s">
        <v>843</v>
      </c>
      <c r="F49" s="542" t="s">
        <v>818</v>
      </c>
      <c r="G49" s="550">
        <v>200</v>
      </c>
      <c r="I49" s="548">
        <v>0</v>
      </c>
      <c r="J49" s="334">
        <f t="shared" si="0"/>
        <v>0</v>
      </c>
      <c r="K49" s="548">
        <v>0</v>
      </c>
      <c r="L49" s="334">
        <f t="shared" si="1"/>
        <v>0</v>
      </c>
      <c r="M49" s="548">
        <v>0</v>
      </c>
      <c r="N49" s="334">
        <f t="shared" si="2"/>
        <v>0</v>
      </c>
      <c r="O49" s="548">
        <v>0</v>
      </c>
      <c r="P49" s="334">
        <f t="shared" si="3"/>
        <v>0</v>
      </c>
      <c r="Q49" s="548">
        <v>0</v>
      </c>
      <c r="R49" s="334">
        <f t="shared" si="4"/>
        <v>0</v>
      </c>
      <c r="S49" s="548">
        <v>0</v>
      </c>
      <c r="T49" s="334">
        <f t="shared" si="5"/>
        <v>0</v>
      </c>
      <c r="U49" s="548">
        <v>0</v>
      </c>
      <c r="V49" s="334">
        <f t="shared" si="6"/>
        <v>0</v>
      </c>
      <c r="W49" s="548">
        <v>0</v>
      </c>
      <c r="X49" s="335">
        <f t="shared" si="7"/>
        <v>0</v>
      </c>
      <c r="Y49" s="548">
        <v>0</v>
      </c>
      <c r="Z49" s="335">
        <f t="shared" si="8"/>
        <v>0</v>
      </c>
      <c r="AA49" s="548">
        <v>0</v>
      </c>
      <c r="AB49" s="335">
        <f t="shared" si="9"/>
        <v>0</v>
      </c>
      <c r="AC49" s="548">
        <v>0</v>
      </c>
      <c r="AD49" s="335">
        <f t="shared" si="10"/>
        <v>0</v>
      </c>
      <c r="AE49" s="548">
        <v>0</v>
      </c>
      <c r="AF49" s="335">
        <f t="shared" si="11"/>
        <v>0</v>
      </c>
      <c r="AH49" s="337">
        <f t="shared" si="12"/>
        <v>0</v>
      </c>
    </row>
    <row r="50" spans="1:35" x14ac:dyDescent="0.35">
      <c r="A50" s="328"/>
      <c r="B50" s="328"/>
      <c r="C50" s="328"/>
      <c r="D50" s="328"/>
      <c r="E50" s="329"/>
      <c r="F50" s="330"/>
      <c r="G50" s="328"/>
    </row>
    <row r="51" spans="1:35" x14ac:dyDescent="0.35">
      <c r="A51" s="328"/>
      <c r="B51" s="328"/>
      <c r="C51" s="328"/>
      <c r="D51" s="328"/>
      <c r="E51" s="329"/>
      <c r="F51" s="330"/>
      <c r="G51" s="328"/>
    </row>
    <row r="52" spans="1:35" x14ac:dyDescent="0.35">
      <c r="A52" s="328"/>
      <c r="B52" s="328"/>
      <c r="C52" s="328"/>
      <c r="D52" s="328"/>
      <c r="E52" s="329"/>
      <c r="F52" s="330"/>
      <c r="G52" s="328"/>
    </row>
    <row r="53" spans="1:35" x14ac:dyDescent="0.35">
      <c r="A53" s="328"/>
      <c r="B53" s="328"/>
      <c r="C53" s="328"/>
      <c r="D53" s="328"/>
      <c r="E53" s="340"/>
      <c r="F53" s="341" t="s">
        <v>174</v>
      </c>
      <c r="G53" s="341"/>
      <c r="J53" s="332">
        <f>SUM(J2:J49)</f>
        <v>225414.12</v>
      </c>
      <c r="L53" s="332">
        <f>SUM(L2:L49)</f>
        <v>224020</v>
      </c>
      <c r="M53" s="332"/>
      <c r="N53" s="332">
        <f>SUM(N2:N49)</f>
        <v>227937.36</v>
      </c>
      <c r="O53" s="332"/>
      <c r="P53" s="332">
        <f>SUM(P2:P49)</f>
        <v>228608.36</v>
      </c>
      <c r="Q53" s="332"/>
      <c r="R53" s="332">
        <f>SUM(R2:R49)</f>
        <v>224020</v>
      </c>
      <c r="S53" s="332"/>
      <c r="T53" s="332">
        <f>SUM(T2:T49)</f>
        <v>228608.36</v>
      </c>
      <c r="U53" s="332"/>
      <c r="V53" s="332">
        <f>SUM(V2:V49)</f>
        <v>228608.36</v>
      </c>
      <c r="W53" s="332"/>
      <c r="X53" s="332">
        <f>SUM(X2:X49)</f>
        <v>226942.2</v>
      </c>
      <c r="Z53" s="332">
        <f>SUM(Z2:Z49)</f>
        <v>226942.2</v>
      </c>
      <c r="AB53" s="332">
        <f>SUM(AB2:AB49)</f>
        <v>228608.36</v>
      </c>
      <c r="AD53" s="332">
        <f>SUM(AD2:AD49)</f>
        <v>225574</v>
      </c>
      <c r="AF53" s="332">
        <f>SUM(AF2:AF49)</f>
        <v>228608.36</v>
      </c>
      <c r="AH53" s="337">
        <f>SUM(J53,L53,N53,P53,R53,T53,V53,X53,Z53,AB53,AD53,AF53)</f>
        <v>2723891.6799999992</v>
      </c>
    </row>
    <row r="54" spans="1:35" x14ac:dyDescent="0.35">
      <c r="A54" s="342"/>
      <c r="B54" s="342"/>
      <c r="C54" s="342"/>
      <c r="D54" s="342"/>
      <c r="E54" s="343"/>
      <c r="F54" s="344"/>
      <c r="G54" s="342"/>
    </row>
    <row r="55" spans="1:35" x14ac:dyDescent="0.35">
      <c r="A55" s="345"/>
      <c r="B55" s="345"/>
      <c r="C55" s="345"/>
      <c r="D55" s="345"/>
      <c r="E55" s="346"/>
      <c r="F55" s="347"/>
      <c r="G55" s="345"/>
    </row>
    <row r="56" spans="1:35" x14ac:dyDescent="0.35">
      <c r="A56" s="345"/>
      <c r="B56" s="345"/>
      <c r="C56" s="345"/>
      <c r="D56" s="345"/>
      <c r="E56" s="346"/>
      <c r="F56" s="347"/>
      <c r="G56" s="345"/>
    </row>
    <row r="57" spans="1:35" x14ac:dyDescent="0.35">
      <c r="A57" s="328"/>
      <c r="B57" s="328"/>
      <c r="C57" s="328"/>
      <c r="D57" s="328"/>
      <c r="E57" s="341" t="s">
        <v>1093</v>
      </c>
      <c r="F57" s="330"/>
      <c r="G57" s="328"/>
      <c r="J57" s="334"/>
      <c r="L57" s="334"/>
    </row>
    <row r="58" spans="1:35" x14ac:dyDescent="0.35">
      <c r="E58" s="336"/>
      <c r="F58" s="330" t="s">
        <v>93</v>
      </c>
      <c r="G58" s="338"/>
      <c r="J58" s="334"/>
      <c r="L58" s="334"/>
    </row>
    <row r="59" spans="1:35" x14ac:dyDescent="0.35">
      <c r="A59" s="328" t="s">
        <v>1094</v>
      </c>
      <c r="B59" s="328"/>
      <c r="C59" s="328"/>
      <c r="D59" s="328"/>
      <c r="E59" s="329" t="s">
        <v>1095</v>
      </c>
      <c r="F59" s="330" t="s">
        <v>1096</v>
      </c>
      <c r="G59" s="338">
        <v>15</v>
      </c>
      <c r="H59" s="331">
        <v>0</v>
      </c>
      <c r="J59" s="334"/>
      <c r="K59" s="331">
        <v>25</v>
      </c>
      <c r="L59" s="334">
        <f>K59*G59</f>
        <v>375</v>
      </c>
      <c r="M59" s="333">
        <v>25</v>
      </c>
      <c r="N59" s="334">
        <f>M59*G59</f>
        <v>375</v>
      </c>
      <c r="O59" s="333">
        <v>35</v>
      </c>
      <c r="P59" s="334">
        <f>O59*G59</f>
        <v>525</v>
      </c>
      <c r="Q59" s="333">
        <v>35</v>
      </c>
      <c r="R59" s="334">
        <f>Q59*G59</f>
        <v>525</v>
      </c>
      <c r="S59" s="333">
        <v>45</v>
      </c>
      <c r="T59" s="334">
        <f>S59*G59</f>
        <v>675</v>
      </c>
      <c r="U59" s="333">
        <v>45</v>
      </c>
      <c r="V59" s="334">
        <f>U59*G59</f>
        <v>675</v>
      </c>
      <c r="W59" s="331">
        <v>55</v>
      </c>
      <c r="X59" s="335">
        <f>W59*G59</f>
        <v>825</v>
      </c>
      <c r="Y59" s="331">
        <v>55</v>
      </c>
      <c r="Z59" s="335">
        <f>Y59*G59</f>
        <v>825</v>
      </c>
      <c r="AA59" s="331">
        <v>65</v>
      </c>
      <c r="AB59" s="335">
        <f>AA59*G59</f>
        <v>975</v>
      </c>
      <c r="AC59" s="331">
        <v>65</v>
      </c>
      <c r="AD59" s="335">
        <f>AC59*G59</f>
        <v>975</v>
      </c>
      <c r="AE59" s="331">
        <v>75</v>
      </c>
      <c r="AF59" s="335">
        <f>AE59*G59</f>
        <v>1125</v>
      </c>
      <c r="AH59" s="337" t="e">
        <f>SUM(#REF!,L59,N59,P59,R59,T59,V59,X59,Z59,AB59,AD59,AF59)</f>
        <v>#REF!</v>
      </c>
    </row>
    <row r="60" spans="1:35" x14ac:dyDescent="0.35">
      <c r="A60" s="328" t="s">
        <v>1094</v>
      </c>
      <c r="B60" s="328"/>
      <c r="C60" s="328"/>
      <c r="D60" s="328"/>
      <c r="E60" s="329" t="s">
        <v>1095</v>
      </c>
      <c r="F60" s="330" t="s">
        <v>1096</v>
      </c>
      <c r="G60" s="338">
        <v>25</v>
      </c>
      <c r="H60" s="331">
        <v>0</v>
      </c>
      <c r="J60" s="334"/>
      <c r="K60" s="331">
        <v>10</v>
      </c>
      <c r="L60" s="334">
        <f>K60*G60</f>
        <v>250</v>
      </c>
      <c r="M60" s="333">
        <v>10</v>
      </c>
      <c r="N60" s="334">
        <f>M60*G60</f>
        <v>250</v>
      </c>
      <c r="O60" s="333">
        <v>10</v>
      </c>
      <c r="P60" s="334">
        <f>O60*G60</f>
        <v>250</v>
      </c>
      <c r="Q60" s="333">
        <v>15</v>
      </c>
      <c r="R60" s="334">
        <f>Q60*G60</f>
        <v>375</v>
      </c>
      <c r="S60" s="333">
        <v>15</v>
      </c>
      <c r="T60" s="334">
        <f>S60*G60</f>
        <v>375</v>
      </c>
      <c r="U60" s="333">
        <v>15</v>
      </c>
      <c r="V60" s="334">
        <f>U60*G60</f>
        <v>375</v>
      </c>
      <c r="W60" s="331">
        <v>20</v>
      </c>
      <c r="X60" s="335">
        <f>W60*G60</f>
        <v>500</v>
      </c>
      <c r="Y60" s="331">
        <v>20</v>
      </c>
      <c r="Z60" s="335">
        <f>Y60*G60</f>
        <v>500</v>
      </c>
      <c r="AA60" s="331">
        <v>20</v>
      </c>
      <c r="AB60" s="335">
        <f>AA60*G60</f>
        <v>500</v>
      </c>
      <c r="AC60" s="331">
        <v>25</v>
      </c>
      <c r="AD60" s="335">
        <f>AC60*G60</f>
        <v>625</v>
      </c>
      <c r="AE60" s="331">
        <v>25</v>
      </c>
      <c r="AF60" s="335">
        <f>AE60*G60</f>
        <v>625</v>
      </c>
      <c r="AH60" s="337" t="e">
        <f>SUM(#REF!,L60,N60,P60,R60,T60,V60,X60,Z60,AB60,AD60,AF60)</f>
        <v>#REF!</v>
      </c>
    </row>
    <row r="61" spans="1:35" x14ac:dyDescent="0.35">
      <c r="A61" s="328" t="s">
        <v>1094</v>
      </c>
      <c r="B61" s="328"/>
      <c r="C61" s="328"/>
      <c r="D61" s="328"/>
      <c r="E61" s="329" t="s">
        <v>1095</v>
      </c>
      <c r="F61" s="330" t="s">
        <v>1096</v>
      </c>
      <c r="G61" s="338">
        <v>3500</v>
      </c>
      <c r="H61" s="331">
        <v>0</v>
      </c>
      <c r="J61" s="334"/>
      <c r="L61" s="334">
        <f>K61*G61</f>
        <v>0</v>
      </c>
      <c r="N61" s="334">
        <f>M61*G61</f>
        <v>0</v>
      </c>
      <c r="P61" s="334">
        <f>O61*G61</f>
        <v>0</v>
      </c>
      <c r="R61" s="334">
        <f>Q61*G61</f>
        <v>0</v>
      </c>
      <c r="T61" s="334">
        <f>S61*G61</f>
        <v>0</v>
      </c>
      <c r="V61" s="334">
        <f>U61*G61</f>
        <v>0</v>
      </c>
      <c r="X61" s="335">
        <f>W61*G61</f>
        <v>0</v>
      </c>
      <c r="Z61" s="335">
        <f>Y61*G61</f>
        <v>0</v>
      </c>
      <c r="AB61" s="335">
        <f>AA61*G61</f>
        <v>0</v>
      </c>
      <c r="AD61" s="335">
        <f>AC61*G61</f>
        <v>0</v>
      </c>
      <c r="AF61" s="335">
        <f>AE61*G61</f>
        <v>0</v>
      </c>
      <c r="AH61" s="337" t="e">
        <f>SUM(#REF!,L61,N61,P61,R61,T61,V61,X61,Z61,AB61,AD61,AF61)</f>
        <v>#REF!</v>
      </c>
    </row>
    <row r="62" spans="1:35" s="356" customFormat="1" x14ac:dyDescent="0.35">
      <c r="A62" s="348" t="s">
        <v>1094</v>
      </c>
      <c r="B62" s="348"/>
      <c r="C62" s="348"/>
      <c r="D62" s="348"/>
      <c r="E62" s="349" t="s">
        <v>1097</v>
      </c>
      <c r="F62" s="350" t="s">
        <v>1098</v>
      </c>
      <c r="G62" s="351">
        <v>1250</v>
      </c>
      <c r="H62" s="352" t="e">
        <f>#REF!*85%</f>
        <v>#REF!</v>
      </c>
      <c r="I62" s="352"/>
      <c r="J62" s="354"/>
      <c r="K62" s="352">
        <v>15</v>
      </c>
      <c r="L62" s="354">
        <f>K62*G62</f>
        <v>18750</v>
      </c>
      <c r="M62" s="355">
        <v>15</v>
      </c>
      <c r="N62" s="354">
        <f>M62*G62</f>
        <v>18750</v>
      </c>
      <c r="O62" s="355">
        <v>15</v>
      </c>
      <c r="P62" s="354">
        <f>O62*G62</f>
        <v>18750</v>
      </c>
      <c r="Q62" s="355"/>
      <c r="R62" s="354">
        <f>Q62*G62</f>
        <v>0</v>
      </c>
      <c r="S62" s="355"/>
      <c r="T62" s="354">
        <f>S62*G62</f>
        <v>0</v>
      </c>
      <c r="U62" s="355"/>
      <c r="V62" s="354">
        <f>U62*G62</f>
        <v>0</v>
      </c>
      <c r="W62" s="352"/>
      <c r="X62" s="353">
        <f>W62*G62</f>
        <v>0</v>
      </c>
      <c r="Y62" s="352"/>
      <c r="Z62" s="353">
        <f>Y62*G62</f>
        <v>0</v>
      </c>
      <c r="AA62" s="352"/>
      <c r="AB62" s="353">
        <f>AA62*G62</f>
        <v>0</v>
      </c>
      <c r="AC62" s="352"/>
      <c r="AD62" s="353">
        <f>AC62*G62</f>
        <v>0</v>
      </c>
      <c r="AE62" s="352"/>
      <c r="AF62" s="353">
        <f>AE62*G62</f>
        <v>0</v>
      </c>
      <c r="AH62" s="357" t="e">
        <f>SUM(#REF!,L62,N62,P62,R62,T62,V62,X62,Z62,AB62,AD62,AF62)</f>
        <v>#REF!</v>
      </c>
      <c r="AI62" s="358" t="e">
        <f>SUM(AH62:AH63)/(1400*12)</f>
        <v>#REF!</v>
      </c>
    </row>
    <row r="63" spans="1:35" s="356" customFormat="1" x14ac:dyDescent="0.35">
      <c r="A63" s="348" t="s">
        <v>1094</v>
      </c>
      <c r="B63" s="348"/>
      <c r="C63" s="348"/>
      <c r="D63" s="348"/>
      <c r="E63" s="349" t="s">
        <v>1099</v>
      </c>
      <c r="F63" s="350" t="s">
        <v>93</v>
      </c>
      <c r="G63" s="351">
        <v>0.38</v>
      </c>
      <c r="H63" s="352">
        <v>0</v>
      </c>
      <c r="I63" s="352"/>
      <c r="J63" s="354"/>
      <c r="K63" s="352"/>
      <c r="L63" s="354">
        <f>K63*G63</f>
        <v>0</v>
      </c>
      <c r="M63" s="355">
        <v>75000</v>
      </c>
      <c r="N63" s="354">
        <f>M63*G63</f>
        <v>28500</v>
      </c>
      <c r="O63" s="355">
        <v>75000</v>
      </c>
      <c r="P63" s="354">
        <f>O63*G63</f>
        <v>28500</v>
      </c>
      <c r="Q63" s="355">
        <v>90000</v>
      </c>
      <c r="R63" s="354">
        <f>Q63*G63</f>
        <v>34200</v>
      </c>
      <c r="S63" s="355">
        <v>97500</v>
      </c>
      <c r="T63" s="354">
        <f>S63*G63</f>
        <v>37050</v>
      </c>
      <c r="U63" s="355">
        <v>105000</v>
      </c>
      <c r="V63" s="354">
        <f>U63*G63</f>
        <v>39900</v>
      </c>
      <c r="W63" s="355">
        <v>112500</v>
      </c>
      <c r="X63" s="353">
        <f>W63*G63</f>
        <v>42750</v>
      </c>
      <c r="Y63" s="355">
        <v>120000</v>
      </c>
      <c r="Z63" s="353">
        <f>Y63*G63</f>
        <v>45600</v>
      </c>
      <c r="AA63" s="355">
        <v>127500</v>
      </c>
      <c r="AB63" s="353">
        <f>AA63*G63</f>
        <v>48450</v>
      </c>
      <c r="AC63" s="355">
        <v>135000</v>
      </c>
      <c r="AD63" s="353">
        <f>AC63*G63</f>
        <v>51300</v>
      </c>
      <c r="AE63" s="355">
        <v>150000</v>
      </c>
      <c r="AF63" s="353">
        <f>AE63*G63</f>
        <v>57000</v>
      </c>
      <c r="AH63" s="357" t="e">
        <f>SUM(#REF!,L63,N63,P63,R63,T63,V63,X63,Z63,AB63,AD63,AF63)</f>
        <v>#REF!</v>
      </c>
    </row>
    <row r="64" spans="1:35" x14ac:dyDescent="0.35">
      <c r="A64" s="328"/>
      <c r="J64" s="360"/>
      <c r="L64" s="360"/>
      <c r="N64" s="360"/>
      <c r="P64" s="360"/>
    </row>
    <row r="65" spans="1:34" x14ac:dyDescent="0.35">
      <c r="E65" s="331"/>
      <c r="G65" s="331"/>
      <c r="J65" s="360"/>
      <c r="L65" s="360"/>
    </row>
    <row r="66" spans="1:34" x14ac:dyDescent="0.35">
      <c r="E66" s="331"/>
      <c r="G66" s="331"/>
      <c r="J66" s="360"/>
      <c r="L66" s="360"/>
    </row>
    <row r="67" spans="1:34" x14ac:dyDescent="0.35">
      <c r="A67" s="328"/>
      <c r="E67" s="331"/>
      <c r="G67" s="331"/>
      <c r="J67" s="332"/>
      <c r="L67" s="332">
        <f>SUM(L59:L66)</f>
        <v>19375</v>
      </c>
      <c r="M67" s="332"/>
      <c r="N67" s="332">
        <f>SUM(N59:N66)</f>
        <v>47875</v>
      </c>
      <c r="O67" s="332"/>
      <c r="P67" s="332">
        <f>SUM(P59:P66)</f>
        <v>48025</v>
      </c>
      <c r="R67" s="332">
        <f>SUM(R59:R66)</f>
        <v>35100</v>
      </c>
      <c r="T67" s="332">
        <f>SUM(T59:T66)</f>
        <v>38100</v>
      </c>
      <c r="V67" s="332">
        <f>SUM(V59:V66)</f>
        <v>40950</v>
      </c>
      <c r="X67" s="332">
        <f>SUM(X59:X66)</f>
        <v>44075</v>
      </c>
      <c r="Z67" s="332">
        <f>SUM(Z59:Z66)</f>
        <v>46925</v>
      </c>
      <c r="AB67" s="332">
        <f>SUM(AB59:AB66)</f>
        <v>49925</v>
      </c>
      <c r="AD67" s="332">
        <f>SUM(AD59:AD66)</f>
        <v>52900</v>
      </c>
      <c r="AF67" s="332">
        <f>SUM(AF59:AF66)</f>
        <v>58750</v>
      </c>
      <c r="AH67" s="337" t="e">
        <f>SUM(#REF!,L67,N67,P67,R67,T67,V67,X67,Z67,AB67,AD67,AF67)</f>
        <v>#REF!</v>
      </c>
    </row>
    <row r="68" spans="1:34" x14ac:dyDescent="0.35">
      <c r="A68" s="328"/>
      <c r="E68" s="331" t="s">
        <v>1100</v>
      </c>
      <c r="G68" s="331"/>
      <c r="J68" s="360"/>
      <c r="L68" s="360">
        <v>15000</v>
      </c>
      <c r="N68" s="360">
        <v>25000</v>
      </c>
      <c r="P68" s="360">
        <v>35000</v>
      </c>
      <c r="R68" s="360">
        <v>45000</v>
      </c>
      <c r="T68" s="360">
        <v>55000</v>
      </c>
      <c r="V68" s="360">
        <v>65000</v>
      </c>
      <c r="X68" s="360">
        <v>75000</v>
      </c>
      <c r="Z68" s="360">
        <v>85000</v>
      </c>
      <c r="AB68" s="360">
        <v>95000</v>
      </c>
      <c r="AD68" s="360">
        <v>100000</v>
      </c>
      <c r="AF68" s="360">
        <v>110000</v>
      </c>
      <c r="AH68" s="337" t="e">
        <f>SUM(#REF!,L68,N68,P68,R68,T68,V68,X68,Z68,AB68,AD68,AF68)</f>
        <v>#REF!</v>
      </c>
    </row>
    <row r="69" spans="1:34" x14ac:dyDescent="0.35">
      <c r="A69" s="328"/>
      <c r="E69" s="331"/>
      <c r="G69" s="331"/>
      <c r="J69" s="360"/>
      <c r="L69" s="360"/>
    </row>
    <row r="70" spans="1:34" x14ac:dyDescent="0.35">
      <c r="A70" s="328"/>
      <c r="E70" s="331"/>
      <c r="G70" s="331"/>
      <c r="J70" s="360"/>
      <c r="L70" s="360"/>
    </row>
    <row r="71" spans="1:34" x14ac:dyDescent="0.35">
      <c r="E71" s="331"/>
      <c r="G71" s="331"/>
      <c r="J71" s="360"/>
      <c r="L71" s="360"/>
    </row>
    <row r="72" spans="1:34" x14ac:dyDescent="0.35">
      <c r="A72" s="328"/>
      <c r="E72" s="331"/>
      <c r="G72" s="331"/>
    </row>
    <row r="73" spans="1:34" x14ac:dyDescent="0.35">
      <c r="A73" s="328"/>
      <c r="E73" s="331"/>
      <c r="G73" s="331"/>
    </row>
    <row r="74" spans="1:34" x14ac:dyDescent="0.35">
      <c r="A74" s="328"/>
      <c r="E74" s="331"/>
      <c r="G74" s="331"/>
    </row>
    <row r="75" spans="1:34" x14ac:dyDescent="0.35">
      <c r="A75" s="328"/>
      <c r="E75" s="331"/>
      <c r="G75" s="331"/>
    </row>
    <row r="76" spans="1:34" x14ac:dyDescent="0.35">
      <c r="A76" s="328"/>
      <c r="E76" s="331"/>
      <c r="G76" s="331"/>
    </row>
    <row r="77" spans="1:34" x14ac:dyDescent="0.35">
      <c r="A77" s="328"/>
      <c r="E77" s="331"/>
      <c r="G77" s="331"/>
    </row>
    <row r="78" spans="1:34" x14ac:dyDescent="0.35">
      <c r="A78" s="361" t="s">
        <v>117</v>
      </c>
      <c r="B78" s="361"/>
      <c r="C78" s="361"/>
      <c r="D78" s="361"/>
      <c r="E78" s="362" t="s">
        <v>1101</v>
      </c>
      <c r="F78" s="363"/>
      <c r="G78" s="361"/>
      <c r="J78" s="332"/>
      <c r="L78" s="332">
        <f>L53</f>
        <v>224020</v>
      </c>
      <c r="N78" s="332">
        <f>N53</f>
        <v>227937.36</v>
      </c>
      <c r="P78" s="332">
        <f>P53</f>
        <v>228608.36</v>
      </c>
      <c r="R78" s="332">
        <f>R53</f>
        <v>224020</v>
      </c>
      <c r="T78" s="332">
        <f>T53</f>
        <v>228608.36</v>
      </c>
      <c r="V78" s="332">
        <f>V53</f>
        <v>228608.36</v>
      </c>
      <c r="X78" s="332">
        <f>X53</f>
        <v>226942.2</v>
      </c>
      <c r="Z78" s="332">
        <f>Z53</f>
        <v>226942.2</v>
      </c>
      <c r="AB78" s="332">
        <f>AB53</f>
        <v>228608.36</v>
      </c>
      <c r="AD78" s="332">
        <f>AD53</f>
        <v>225574</v>
      </c>
      <c r="AF78" s="332">
        <f>AF53</f>
        <v>228608.36</v>
      </c>
      <c r="AH78" s="337" t="e">
        <f>SUM(#REF!,L78,N78,P78,R78,T78,V78,X78,Z78,AB78,AD78,AF78)</f>
        <v>#REF!</v>
      </c>
    </row>
    <row r="79" spans="1:34" x14ac:dyDescent="0.35">
      <c r="A79" s="361" t="s">
        <v>1094</v>
      </c>
      <c r="B79" s="361"/>
      <c r="C79" s="361"/>
      <c r="D79" s="361"/>
      <c r="E79" s="362" t="s">
        <v>1102</v>
      </c>
      <c r="F79" s="363"/>
      <c r="G79" s="361"/>
      <c r="J79" s="332"/>
      <c r="L79" s="332">
        <f>L67</f>
        <v>19375</v>
      </c>
      <c r="N79" s="332">
        <f>N67</f>
        <v>47875</v>
      </c>
      <c r="P79" s="332">
        <f>P67</f>
        <v>48025</v>
      </c>
      <c r="R79" s="332">
        <f>R67</f>
        <v>35100</v>
      </c>
      <c r="T79" s="332">
        <f>T67</f>
        <v>38100</v>
      </c>
      <c r="V79" s="332">
        <f>V67</f>
        <v>40950</v>
      </c>
      <c r="X79" s="332">
        <f>X67</f>
        <v>44075</v>
      </c>
      <c r="Z79" s="332">
        <f>Z67</f>
        <v>46925</v>
      </c>
      <c r="AB79" s="332">
        <f>AB67</f>
        <v>49925</v>
      </c>
      <c r="AD79" s="332">
        <f>AD67</f>
        <v>52900</v>
      </c>
      <c r="AF79" s="332">
        <f>AF67</f>
        <v>58750</v>
      </c>
      <c r="AH79" s="337" t="e">
        <f>SUM(#REF!,L79,N79,P79,R79,T79,V79,X79,Z79,AB79,AD79,AF79)</f>
        <v>#REF!</v>
      </c>
    </row>
    <row r="80" spans="1:34" x14ac:dyDescent="0.35">
      <c r="A80" s="361"/>
      <c r="B80" s="361"/>
      <c r="C80" s="361"/>
      <c r="D80" s="361"/>
      <c r="E80" s="362" t="s">
        <v>1103</v>
      </c>
      <c r="F80" s="363"/>
      <c r="G80" s="361"/>
      <c r="J80" s="332"/>
      <c r="L80" s="332">
        <f>L68</f>
        <v>15000</v>
      </c>
      <c r="N80" s="332">
        <f>N68</f>
        <v>25000</v>
      </c>
      <c r="P80" s="332">
        <v>50000</v>
      </c>
      <c r="R80" s="332">
        <v>75000</v>
      </c>
      <c r="T80" s="332">
        <v>75000</v>
      </c>
      <c r="V80" s="332">
        <v>100000</v>
      </c>
      <c r="X80" s="332">
        <v>100000</v>
      </c>
      <c r="Z80" s="332">
        <v>125000</v>
      </c>
      <c r="AB80" s="332">
        <v>125000</v>
      </c>
      <c r="AC80" s="332"/>
      <c r="AD80" s="332">
        <v>150000</v>
      </c>
      <c r="AF80" s="332">
        <v>150000</v>
      </c>
      <c r="AH80" s="337" t="e">
        <f>SUM(#REF!,L80,N80,P80,R80,T80,V80,X80,Z80,AB80,AD80,AF80)</f>
        <v>#REF!</v>
      </c>
    </row>
    <row r="81" spans="1:34" x14ac:dyDescent="0.35">
      <c r="A81" s="361" t="s">
        <v>174</v>
      </c>
      <c r="B81" s="361"/>
      <c r="C81" s="361"/>
      <c r="D81" s="361"/>
      <c r="E81" s="362" t="s">
        <v>1104</v>
      </c>
      <c r="F81" s="363"/>
      <c r="G81" s="361"/>
      <c r="J81" s="332"/>
      <c r="L81" s="332">
        <f>L78+L79</f>
        <v>243395</v>
      </c>
      <c r="N81" s="332">
        <f>N78+N79</f>
        <v>275812.36</v>
      </c>
      <c r="P81" s="332">
        <f>P78+P79</f>
        <v>276633.36</v>
      </c>
      <c r="R81" s="332">
        <f>R78+R79</f>
        <v>259120</v>
      </c>
      <c r="T81" s="332">
        <f>T78+T79</f>
        <v>266708.36</v>
      </c>
      <c r="V81" s="332">
        <f>V78+V79</f>
        <v>269558.36</v>
      </c>
      <c r="X81" s="332">
        <f>X78+X79</f>
        <v>271017.2</v>
      </c>
      <c r="Z81" s="332">
        <f>Z78+Z79</f>
        <v>273867.2</v>
      </c>
      <c r="AB81" s="332">
        <f>AB78+AB79</f>
        <v>278533.36</v>
      </c>
      <c r="AD81" s="332">
        <f>AD78+AD79</f>
        <v>278474</v>
      </c>
      <c r="AF81" s="332">
        <f>AF78+AF79</f>
        <v>287358.36</v>
      </c>
      <c r="AH81" s="337" t="e">
        <f>SUM(#REF!,L81,N81,P81,R81,T81,V81,X81,Z81,AB81,AD81,AF81)</f>
        <v>#REF!</v>
      </c>
    </row>
    <row r="83" spans="1:34" ht="15" thickBot="1" x14ac:dyDescent="0.4"/>
    <row r="84" spans="1:34" ht="15" thickBot="1" x14ac:dyDescent="0.4">
      <c r="G84" s="364" t="s">
        <v>6</v>
      </c>
    </row>
  </sheetData>
  <autoFilter ref="A1:AF42" xr:uid="{3B823C2E-2497-0B48-A459-14C8AC233201}"/>
  <mergeCells count="1">
    <mergeCell ref="H19:H23"/>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U186"/>
  <sheetViews>
    <sheetView showGridLines="0" topLeftCell="A91" zoomScale="88" zoomScaleNormal="88" workbookViewId="0">
      <selection activeCell="K176" sqref="K176"/>
    </sheetView>
  </sheetViews>
  <sheetFormatPr defaultColWidth="8.81640625" defaultRowHeight="14.5" x14ac:dyDescent="0.35"/>
  <cols>
    <col min="1" max="1" width="4" bestFit="1" customWidth="1"/>
    <col min="2" max="2" width="7.1796875" bestFit="1" customWidth="1"/>
    <col min="3" max="3" width="42.453125" bestFit="1" customWidth="1"/>
    <col min="4" max="4" width="14.453125" bestFit="1" customWidth="1"/>
    <col min="5" max="5" width="18.453125" bestFit="1" customWidth="1"/>
    <col min="6" max="6" width="16.453125" bestFit="1" customWidth="1"/>
    <col min="7" max="7" width="21.54296875" bestFit="1" customWidth="1"/>
    <col min="8" max="8" width="28.453125" customWidth="1"/>
    <col min="9" max="9" width="15.453125" bestFit="1" customWidth="1"/>
    <col min="10" max="10" width="1.1796875" customWidth="1"/>
    <col min="11" max="11" width="12.1796875" style="66" bestFit="1" customWidth="1"/>
    <col min="12" max="12" width="10.1796875" style="84" bestFit="1" customWidth="1"/>
    <col min="14" max="14" width="13.1796875" bestFit="1" customWidth="1"/>
    <col min="15" max="15" width="16.1796875" bestFit="1" customWidth="1"/>
    <col min="16" max="16" width="21.453125" bestFit="1" customWidth="1"/>
    <col min="17" max="17" width="19.453125" style="66" bestFit="1" customWidth="1"/>
    <col min="18" max="18" width="9.453125" bestFit="1" customWidth="1"/>
    <col min="19" max="19" width="10" bestFit="1" customWidth="1"/>
  </cols>
  <sheetData>
    <row r="2" spans="1:21" x14ac:dyDescent="0.35">
      <c r="K2" s="287">
        <v>0.15</v>
      </c>
      <c r="M2" s="246" t="s">
        <v>1105</v>
      </c>
      <c r="N2" s="246"/>
      <c r="O2" s="246"/>
    </row>
    <row r="4" spans="1:21" ht="29" x14ac:dyDescent="0.35">
      <c r="A4" s="77" t="s">
        <v>1106</v>
      </c>
      <c r="B4" s="77" t="s">
        <v>1107</v>
      </c>
      <c r="C4" s="77" t="s">
        <v>1108</v>
      </c>
      <c r="D4" s="77" t="s">
        <v>1109</v>
      </c>
      <c r="E4" s="78" t="s">
        <v>1110</v>
      </c>
      <c r="F4" s="78" t="s">
        <v>1111</v>
      </c>
      <c r="G4" s="77" t="s">
        <v>819</v>
      </c>
      <c r="H4" s="77" t="s">
        <v>984</v>
      </c>
      <c r="I4" s="77" t="s">
        <v>1112</v>
      </c>
      <c r="J4" s="77" t="s">
        <v>1113</v>
      </c>
      <c r="K4" s="288" t="s">
        <v>1114</v>
      </c>
      <c r="L4" s="79" t="s">
        <v>184</v>
      </c>
    </row>
    <row r="5" spans="1:21" x14ac:dyDescent="0.35">
      <c r="A5" s="80">
        <f>ROW()-3</f>
        <v>2</v>
      </c>
      <c r="B5" s="80">
        <v>66</v>
      </c>
      <c r="C5" s="81" t="s">
        <v>1017</v>
      </c>
      <c r="D5" s="82">
        <v>44200</v>
      </c>
      <c r="E5" s="81" t="s">
        <v>1115</v>
      </c>
      <c r="F5" s="81" t="s">
        <v>178</v>
      </c>
      <c r="G5" s="81" t="s">
        <v>824</v>
      </c>
      <c r="H5" s="81" t="s">
        <v>1019</v>
      </c>
      <c r="I5" s="81" t="s">
        <v>1116</v>
      </c>
      <c r="J5" s="82">
        <v>34641</v>
      </c>
      <c r="K5" s="83">
        <f t="shared" ref="K5:K36" si="0">L5+(L5*$K$2)</f>
        <v>45954</v>
      </c>
      <c r="L5" s="83">
        <v>39960</v>
      </c>
      <c r="N5" s="87" t="s">
        <v>1117</v>
      </c>
      <c r="O5" t="s">
        <v>1118</v>
      </c>
      <c r="P5" t="s">
        <v>1119</v>
      </c>
      <c r="Q5" s="67" t="s">
        <v>1120</v>
      </c>
      <c r="R5" s="98"/>
    </row>
    <row r="6" spans="1:21" x14ac:dyDescent="0.35">
      <c r="A6" s="80">
        <f t="shared" ref="A6:A69" si="1">ROW()-3</f>
        <v>3</v>
      </c>
      <c r="B6" s="80">
        <v>325</v>
      </c>
      <c r="C6" s="81" t="s">
        <v>1121</v>
      </c>
      <c r="D6" s="82">
        <v>44907</v>
      </c>
      <c r="E6" s="81" t="s">
        <v>1115</v>
      </c>
      <c r="F6" s="81" t="s">
        <v>178</v>
      </c>
      <c r="G6" s="81" t="s">
        <v>824</v>
      </c>
      <c r="H6" s="81" t="s">
        <v>1122</v>
      </c>
      <c r="I6" s="81" t="s">
        <v>1123</v>
      </c>
      <c r="J6" s="82">
        <v>30992</v>
      </c>
      <c r="K6" s="83">
        <f t="shared" si="0"/>
        <v>69000</v>
      </c>
      <c r="L6" s="83">
        <v>60000</v>
      </c>
      <c r="N6" s="85" t="s">
        <v>1124</v>
      </c>
      <c r="O6">
        <v>5</v>
      </c>
      <c r="P6">
        <v>81075</v>
      </c>
      <c r="Q6" s="67">
        <v>16215</v>
      </c>
      <c r="R6" s="169"/>
    </row>
    <row r="7" spans="1:21" x14ac:dyDescent="0.35">
      <c r="A7" s="80">
        <f t="shared" si="1"/>
        <v>4</v>
      </c>
      <c r="B7" s="80">
        <v>428</v>
      </c>
      <c r="C7" s="81" t="s">
        <v>1125</v>
      </c>
      <c r="D7" s="82">
        <v>45181</v>
      </c>
      <c r="E7" s="81" t="s">
        <v>1115</v>
      </c>
      <c r="F7" s="81" t="s">
        <v>178</v>
      </c>
      <c r="G7" s="81" t="s">
        <v>824</v>
      </c>
      <c r="H7" s="81" t="s">
        <v>140</v>
      </c>
      <c r="I7" s="81" t="s">
        <v>1123</v>
      </c>
      <c r="J7" s="82">
        <v>31090</v>
      </c>
      <c r="K7" s="83">
        <f t="shared" si="0"/>
        <v>109250</v>
      </c>
      <c r="L7" s="83">
        <v>95000</v>
      </c>
      <c r="N7" s="85" t="s">
        <v>1126</v>
      </c>
      <c r="O7">
        <v>59</v>
      </c>
      <c r="P7">
        <v>1209001.8540000001</v>
      </c>
      <c r="Q7" s="67">
        <v>20491.556847457628</v>
      </c>
      <c r="S7">
        <f>SUM(P6:P7)</f>
        <v>1290076.8540000001</v>
      </c>
    </row>
    <row r="8" spans="1:21" x14ac:dyDescent="0.35">
      <c r="A8" s="80">
        <f t="shared" si="1"/>
        <v>5</v>
      </c>
      <c r="B8" s="80">
        <v>429</v>
      </c>
      <c r="C8" s="81" t="s">
        <v>1022</v>
      </c>
      <c r="D8" s="82">
        <v>45202</v>
      </c>
      <c r="E8" s="81" t="s">
        <v>1115</v>
      </c>
      <c r="F8" s="81" t="s">
        <v>178</v>
      </c>
      <c r="G8" s="81" t="s">
        <v>824</v>
      </c>
      <c r="H8" s="81" t="s">
        <v>1023</v>
      </c>
      <c r="I8" s="81" t="s">
        <v>1126</v>
      </c>
      <c r="J8" s="82">
        <v>34465</v>
      </c>
      <c r="K8" s="83">
        <f t="shared" si="0"/>
        <v>16100</v>
      </c>
      <c r="L8" s="83">
        <v>14000</v>
      </c>
      <c r="N8" s="85" t="s">
        <v>1116</v>
      </c>
      <c r="O8">
        <v>20</v>
      </c>
      <c r="P8">
        <v>549813.022</v>
      </c>
      <c r="Q8" s="67">
        <v>27490.651099999999</v>
      </c>
      <c r="R8" s="70"/>
      <c r="S8">
        <f>SUM(O6:O7)</f>
        <v>64</v>
      </c>
    </row>
    <row r="9" spans="1:21" x14ac:dyDescent="0.35">
      <c r="A9" s="80">
        <f t="shared" si="1"/>
        <v>6</v>
      </c>
      <c r="B9" s="80">
        <v>435</v>
      </c>
      <c r="C9" s="81" t="s">
        <v>1127</v>
      </c>
      <c r="D9" s="82">
        <v>45231</v>
      </c>
      <c r="E9" s="81" t="s">
        <v>1115</v>
      </c>
      <c r="F9" s="81" t="s">
        <v>178</v>
      </c>
      <c r="G9" s="81" t="s">
        <v>824</v>
      </c>
      <c r="H9" s="81" t="s">
        <v>1128</v>
      </c>
      <c r="I9" s="81" t="s">
        <v>1123</v>
      </c>
      <c r="J9" s="82">
        <v>37128</v>
      </c>
      <c r="K9" s="83">
        <f t="shared" si="0"/>
        <v>32200</v>
      </c>
      <c r="L9" s="83">
        <v>28000</v>
      </c>
      <c r="N9" s="85" t="s">
        <v>1129</v>
      </c>
      <c r="O9">
        <v>10</v>
      </c>
      <c r="P9">
        <v>879484.54933333339</v>
      </c>
      <c r="Q9" s="67">
        <v>87948.454933333342</v>
      </c>
      <c r="R9" s="169"/>
      <c r="S9">
        <f>S7/S8</f>
        <v>20157.450843750001</v>
      </c>
    </row>
    <row r="10" spans="1:21" x14ac:dyDescent="0.35">
      <c r="A10" s="80">
        <f t="shared" si="1"/>
        <v>7</v>
      </c>
      <c r="B10" s="80">
        <v>436</v>
      </c>
      <c r="C10" s="81" t="s">
        <v>1130</v>
      </c>
      <c r="D10" s="82">
        <v>45231</v>
      </c>
      <c r="E10" s="81" t="s">
        <v>1115</v>
      </c>
      <c r="F10" s="81" t="s">
        <v>178</v>
      </c>
      <c r="G10" s="81" t="s">
        <v>824</v>
      </c>
      <c r="H10" s="81" t="s">
        <v>1128</v>
      </c>
      <c r="I10" s="81" t="s">
        <v>1123</v>
      </c>
      <c r="J10" s="82">
        <v>29878</v>
      </c>
      <c r="K10" s="83">
        <f t="shared" si="0"/>
        <v>40250</v>
      </c>
      <c r="L10" s="83">
        <v>35000</v>
      </c>
      <c r="N10" s="85" t="s">
        <v>1131</v>
      </c>
      <c r="O10">
        <v>3</v>
      </c>
      <c r="P10">
        <v>197046.75</v>
      </c>
      <c r="Q10" s="67">
        <v>65682.25</v>
      </c>
    </row>
    <row r="11" spans="1:21" x14ac:dyDescent="0.35">
      <c r="A11" s="80">
        <f t="shared" si="1"/>
        <v>8</v>
      </c>
      <c r="B11" s="80">
        <v>86</v>
      </c>
      <c r="C11" s="81" t="s">
        <v>1020</v>
      </c>
      <c r="D11" s="82">
        <v>44245</v>
      </c>
      <c r="E11" s="81" t="s">
        <v>1132</v>
      </c>
      <c r="F11" s="81" t="s">
        <v>178</v>
      </c>
      <c r="G11" s="81" t="s">
        <v>824</v>
      </c>
      <c r="H11" s="81" t="s">
        <v>1025</v>
      </c>
      <c r="I11" s="81" t="s">
        <v>1116</v>
      </c>
      <c r="J11" s="82">
        <v>36656</v>
      </c>
      <c r="K11" s="83">
        <f t="shared" si="0"/>
        <v>18089.5</v>
      </c>
      <c r="L11" s="83">
        <v>15730</v>
      </c>
      <c r="N11" s="85" t="s">
        <v>1123</v>
      </c>
      <c r="O11">
        <v>39</v>
      </c>
      <c r="P11">
        <v>1164760.3803333333</v>
      </c>
      <c r="Q11" s="67">
        <v>29865.650777777777</v>
      </c>
    </row>
    <row r="12" spans="1:21" x14ac:dyDescent="0.35">
      <c r="A12" s="80">
        <f t="shared" si="1"/>
        <v>9</v>
      </c>
      <c r="B12" s="80">
        <v>99</v>
      </c>
      <c r="C12" s="81" t="s">
        <v>1133</v>
      </c>
      <c r="D12" s="82">
        <v>44340</v>
      </c>
      <c r="E12" s="81" t="s">
        <v>1115</v>
      </c>
      <c r="F12" s="81" t="s">
        <v>39</v>
      </c>
      <c r="G12" s="81" t="s">
        <v>700</v>
      </c>
      <c r="H12" s="81" t="s">
        <v>1134</v>
      </c>
      <c r="I12" s="81" t="s">
        <v>1123</v>
      </c>
      <c r="J12" s="82">
        <v>32062</v>
      </c>
      <c r="K12" s="83">
        <f t="shared" si="0"/>
        <v>44655.627</v>
      </c>
      <c r="L12" s="83">
        <v>38830.980000000003</v>
      </c>
      <c r="N12" s="85" t="s">
        <v>565</v>
      </c>
      <c r="O12">
        <v>136</v>
      </c>
      <c r="P12">
        <v>4081181.5556666679</v>
      </c>
      <c r="Q12" s="67">
        <v>30008.687909313736</v>
      </c>
      <c r="T12">
        <f>O12</f>
        <v>136</v>
      </c>
      <c r="U12">
        <f>P12</f>
        <v>4081181.5556666679</v>
      </c>
    </row>
    <row r="13" spans="1:21" x14ac:dyDescent="0.35">
      <c r="A13" s="80">
        <f t="shared" si="1"/>
        <v>10</v>
      </c>
      <c r="B13" s="80">
        <v>256</v>
      </c>
      <c r="C13" s="81" t="s">
        <v>1135</v>
      </c>
      <c r="D13" s="82">
        <v>44704</v>
      </c>
      <c r="E13" s="81" t="s">
        <v>1115</v>
      </c>
      <c r="F13" s="81" t="s">
        <v>39</v>
      </c>
      <c r="G13" s="81" t="s">
        <v>700</v>
      </c>
      <c r="H13" s="81" t="s">
        <v>1136</v>
      </c>
      <c r="I13" s="81" t="s">
        <v>1126</v>
      </c>
      <c r="J13" s="82">
        <v>27629</v>
      </c>
      <c r="K13" s="83">
        <f t="shared" si="0"/>
        <v>21424.5</v>
      </c>
      <c r="L13" s="83">
        <v>18630</v>
      </c>
      <c r="Q13"/>
    </row>
    <row r="14" spans="1:21" x14ac:dyDescent="0.35">
      <c r="A14" s="80">
        <f t="shared" si="1"/>
        <v>11</v>
      </c>
      <c r="B14" s="80">
        <v>272</v>
      </c>
      <c r="C14" s="81" t="s">
        <v>1137</v>
      </c>
      <c r="D14" s="82">
        <v>44767</v>
      </c>
      <c r="E14" s="81" t="s">
        <v>1115</v>
      </c>
      <c r="F14" s="81" t="s">
        <v>39</v>
      </c>
      <c r="G14" s="81" t="s">
        <v>700</v>
      </c>
      <c r="H14" s="81" t="s">
        <v>1134</v>
      </c>
      <c r="I14" s="81" t="s">
        <v>1123</v>
      </c>
      <c r="J14" s="82">
        <v>36025</v>
      </c>
      <c r="K14" s="83">
        <f t="shared" si="0"/>
        <v>26450</v>
      </c>
      <c r="L14" s="83">
        <v>23000</v>
      </c>
      <c r="Q14"/>
    </row>
    <row r="15" spans="1:21" x14ac:dyDescent="0.35">
      <c r="A15" s="80">
        <f t="shared" si="1"/>
        <v>12</v>
      </c>
      <c r="B15" s="80">
        <v>336</v>
      </c>
      <c r="C15" s="81" t="s">
        <v>1138</v>
      </c>
      <c r="D15" s="82">
        <v>44931</v>
      </c>
      <c r="E15" s="81" t="s">
        <v>1115</v>
      </c>
      <c r="F15" s="81" t="s">
        <v>39</v>
      </c>
      <c r="G15" s="81" t="s">
        <v>700</v>
      </c>
      <c r="H15" s="81" t="s">
        <v>1139</v>
      </c>
      <c r="I15" s="81" t="s">
        <v>1123</v>
      </c>
      <c r="J15" s="82">
        <v>36286</v>
      </c>
      <c r="K15" s="83">
        <f t="shared" si="0"/>
        <v>18400</v>
      </c>
      <c r="L15" s="83">
        <v>16000</v>
      </c>
      <c r="Q15"/>
      <c r="T15">
        <f>O15</f>
        <v>0</v>
      </c>
      <c r="U15">
        <f>P15</f>
        <v>0</v>
      </c>
    </row>
    <row r="16" spans="1:21" x14ac:dyDescent="0.35">
      <c r="A16" s="80">
        <f t="shared" si="1"/>
        <v>13</v>
      </c>
      <c r="B16" s="80">
        <v>337</v>
      </c>
      <c r="C16" s="81" t="s">
        <v>1140</v>
      </c>
      <c r="D16" s="82">
        <v>44937</v>
      </c>
      <c r="E16" s="81" t="s">
        <v>1115</v>
      </c>
      <c r="F16" s="81" t="s">
        <v>39</v>
      </c>
      <c r="G16" s="81" t="s">
        <v>700</v>
      </c>
      <c r="H16" s="81" t="s">
        <v>1139</v>
      </c>
      <c r="I16" s="81" t="s">
        <v>1123</v>
      </c>
      <c r="J16" s="82">
        <v>37458</v>
      </c>
      <c r="K16" s="83">
        <f t="shared" si="0"/>
        <v>23000</v>
      </c>
      <c r="L16" s="83">
        <v>20000</v>
      </c>
      <c r="Q16"/>
      <c r="S16" s="86"/>
      <c r="T16">
        <f>SUM(T12:T15)</f>
        <v>136</v>
      </c>
      <c r="U16">
        <f>SUM(U12:U15)</f>
        <v>4081181.5556666679</v>
      </c>
    </row>
    <row r="17" spans="1:21" x14ac:dyDescent="0.35">
      <c r="A17" s="80">
        <f t="shared" si="1"/>
        <v>14</v>
      </c>
      <c r="B17" s="80">
        <v>375</v>
      </c>
      <c r="C17" s="81" t="s">
        <v>1141</v>
      </c>
      <c r="D17" s="82">
        <v>45006</v>
      </c>
      <c r="E17" s="81" t="s">
        <v>1115</v>
      </c>
      <c r="F17" s="81" t="s">
        <v>39</v>
      </c>
      <c r="G17" s="81" t="s">
        <v>700</v>
      </c>
      <c r="H17" s="81" t="s">
        <v>1134</v>
      </c>
      <c r="I17" s="81" t="s">
        <v>1123</v>
      </c>
      <c r="J17" s="82">
        <v>31879</v>
      </c>
      <c r="K17" s="83">
        <f t="shared" si="0"/>
        <v>43700</v>
      </c>
      <c r="L17" s="83">
        <v>38000</v>
      </c>
      <c r="Q17"/>
      <c r="S17" s="86"/>
      <c r="U17">
        <f>U16/T16</f>
        <v>30008.687909313736</v>
      </c>
    </row>
    <row r="18" spans="1:21" x14ac:dyDescent="0.35">
      <c r="A18" s="80">
        <f t="shared" si="1"/>
        <v>15</v>
      </c>
      <c r="B18" s="80">
        <v>381</v>
      </c>
      <c r="C18" s="81" t="s">
        <v>1142</v>
      </c>
      <c r="D18" s="82">
        <v>45026</v>
      </c>
      <c r="E18" s="81" t="s">
        <v>1115</v>
      </c>
      <c r="F18" s="81" t="s">
        <v>39</v>
      </c>
      <c r="G18" s="81" t="s">
        <v>700</v>
      </c>
      <c r="H18" s="81" t="s">
        <v>1134</v>
      </c>
      <c r="I18" s="81" t="s">
        <v>1123</v>
      </c>
      <c r="J18" s="82">
        <v>33069</v>
      </c>
      <c r="K18" s="83">
        <f t="shared" si="0"/>
        <v>47150</v>
      </c>
      <c r="L18" s="83">
        <v>41000</v>
      </c>
      <c r="Q18"/>
    </row>
    <row r="19" spans="1:21" x14ac:dyDescent="0.35">
      <c r="A19" s="80">
        <f t="shared" si="1"/>
        <v>16</v>
      </c>
      <c r="B19" s="80">
        <v>407</v>
      </c>
      <c r="C19" s="81" t="s">
        <v>1143</v>
      </c>
      <c r="D19" s="82">
        <v>45110</v>
      </c>
      <c r="E19" s="81" t="s">
        <v>1115</v>
      </c>
      <c r="F19" s="81" t="s">
        <v>39</v>
      </c>
      <c r="G19" s="81" t="s">
        <v>700</v>
      </c>
      <c r="H19" s="81" t="s">
        <v>1136</v>
      </c>
      <c r="I19" s="81" t="s">
        <v>1116</v>
      </c>
      <c r="J19" s="82">
        <v>34175</v>
      </c>
      <c r="K19" s="83">
        <f t="shared" si="0"/>
        <v>26450</v>
      </c>
      <c r="L19" s="83">
        <v>23000</v>
      </c>
      <c r="Q19"/>
    </row>
    <row r="20" spans="1:21" x14ac:dyDescent="0.35">
      <c r="A20" s="80">
        <f t="shared" si="1"/>
        <v>17</v>
      </c>
      <c r="B20" s="80">
        <v>422</v>
      </c>
      <c r="C20" s="81" t="s">
        <v>1144</v>
      </c>
      <c r="D20" s="82">
        <v>45154</v>
      </c>
      <c r="E20" s="81" t="s">
        <v>1115</v>
      </c>
      <c r="F20" s="81" t="s">
        <v>39</v>
      </c>
      <c r="G20" s="81" t="s">
        <v>700</v>
      </c>
      <c r="H20" s="81" t="s">
        <v>1145</v>
      </c>
      <c r="I20" s="81" t="s">
        <v>1126</v>
      </c>
      <c r="J20" s="82">
        <v>36466</v>
      </c>
      <c r="K20" s="83">
        <f t="shared" si="0"/>
        <v>31625</v>
      </c>
      <c r="L20" s="83">
        <v>27500</v>
      </c>
      <c r="Q20"/>
    </row>
    <row r="21" spans="1:21" x14ac:dyDescent="0.35">
      <c r="A21" s="80">
        <f t="shared" si="1"/>
        <v>18</v>
      </c>
      <c r="B21" s="80">
        <v>431</v>
      </c>
      <c r="C21" s="81" t="s">
        <v>1146</v>
      </c>
      <c r="D21" s="82">
        <v>45210</v>
      </c>
      <c r="E21" s="81" t="s">
        <v>1115</v>
      </c>
      <c r="F21" s="81" t="s">
        <v>39</v>
      </c>
      <c r="G21" s="81" t="s">
        <v>700</v>
      </c>
      <c r="H21" s="81" t="s">
        <v>1139</v>
      </c>
      <c r="I21" s="81" t="s">
        <v>1123</v>
      </c>
      <c r="J21" s="82">
        <v>36661</v>
      </c>
      <c r="K21" s="83">
        <f t="shared" si="0"/>
        <v>29900</v>
      </c>
      <c r="L21" s="83">
        <v>26000</v>
      </c>
      <c r="Q21"/>
    </row>
    <row r="22" spans="1:21" x14ac:dyDescent="0.35">
      <c r="A22" s="80">
        <f t="shared" si="1"/>
        <v>19</v>
      </c>
      <c r="B22" s="80">
        <v>432</v>
      </c>
      <c r="C22" s="81" t="s">
        <v>1147</v>
      </c>
      <c r="D22" s="82">
        <v>45222</v>
      </c>
      <c r="E22" s="81" t="s">
        <v>1115</v>
      </c>
      <c r="F22" s="81" t="s">
        <v>39</v>
      </c>
      <c r="G22" s="81" t="s">
        <v>700</v>
      </c>
      <c r="H22" s="81" t="s">
        <v>1134</v>
      </c>
      <c r="I22" s="81" t="s">
        <v>1123</v>
      </c>
      <c r="J22" s="82">
        <v>33935</v>
      </c>
      <c r="K22" s="83">
        <f t="shared" si="0"/>
        <v>46000</v>
      </c>
      <c r="L22" s="83">
        <v>40000</v>
      </c>
    </row>
    <row r="23" spans="1:21" x14ac:dyDescent="0.35">
      <c r="A23" s="80">
        <f t="shared" si="1"/>
        <v>20</v>
      </c>
      <c r="B23" s="80">
        <v>434</v>
      </c>
      <c r="C23" s="81" t="s">
        <v>1148</v>
      </c>
      <c r="D23" s="82">
        <v>45222</v>
      </c>
      <c r="E23" s="81" t="s">
        <v>1115</v>
      </c>
      <c r="F23" s="81" t="s">
        <v>39</v>
      </c>
      <c r="G23" s="81" t="s">
        <v>700</v>
      </c>
      <c r="H23" s="81" t="s">
        <v>1134</v>
      </c>
      <c r="I23" s="81" t="s">
        <v>1123</v>
      </c>
      <c r="J23" s="82">
        <v>34045</v>
      </c>
      <c r="K23" s="83">
        <f t="shared" si="0"/>
        <v>41400</v>
      </c>
      <c r="L23" s="83">
        <v>36000</v>
      </c>
    </row>
    <row r="24" spans="1:21" x14ac:dyDescent="0.35">
      <c r="A24" s="80">
        <f t="shared" si="1"/>
        <v>21</v>
      </c>
      <c r="B24" s="80">
        <v>440</v>
      </c>
      <c r="C24" s="81" t="s">
        <v>1149</v>
      </c>
      <c r="D24" s="82">
        <v>45266</v>
      </c>
      <c r="E24" s="81" t="s">
        <v>1115</v>
      </c>
      <c r="F24" s="81" t="s">
        <v>39</v>
      </c>
      <c r="G24" s="81" t="s">
        <v>700</v>
      </c>
      <c r="H24" s="81" t="s">
        <v>1139</v>
      </c>
      <c r="I24" s="81" t="s">
        <v>1123</v>
      </c>
      <c r="J24" s="82">
        <v>35259</v>
      </c>
      <c r="K24" s="83">
        <f t="shared" si="0"/>
        <v>0</v>
      </c>
      <c r="L24" s="83">
        <v>0</v>
      </c>
    </row>
    <row r="25" spans="1:21" x14ac:dyDescent="0.35">
      <c r="A25" s="80">
        <f t="shared" si="1"/>
        <v>22</v>
      </c>
      <c r="B25" s="80">
        <v>47</v>
      </c>
      <c r="C25" s="81" t="s">
        <v>1150</v>
      </c>
      <c r="D25" s="82">
        <v>44032</v>
      </c>
      <c r="E25" s="81" t="s">
        <v>1132</v>
      </c>
      <c r="F25" s="81" t="s">
        <v>39</v>
      </c>
      <c r="G25" s="81" t="s">
        <v>700</v>
      </c>
      <c r="H25" s="81" t="s">
        <v>1136</v>
      </c>
      <c r="I25" s="81" t="s">
        <v>1126</v>
      </c>
      <c r="J25" s="82">
        <v>36698</v>
      </c>
      <c r="K25" s="83">
        <f t="shared" si="0"/>
        <v>21743.625</v>
      </c>
      <c r="L25" s="83">
        <v>18907.5</v>
      </c>
    </row>
    <row r="26" spans="1:21" x14ac:dyDescent="0.35">
      <c r="A26" s="80">
        <f t="shared" si="1"/>
        <v>23</v>
      </c>
      <c r="B26" s="80">
        <v>52</v>
      </c>
      <c r="C26" s="81" t="s">
        <v>1151</v>
      </c>
      <c r="D26" s="82">
        <v>44060</v>
      </c>
      <c r="E26" s="81" t="s">
        <v>1132</v>
      </c>
      <c r="F26" s="81" t="s">
        <v>39</v>
      </c>
      <c r="G26" s="81" t="s">
        <v>700</v>
      </c>
      <c r="H26" s="81" t="s">
        <v>1136</v>
      </c>
      <c r="I26" s="81" t="s">
        <v>1126</v>
      </c>
      <c r="J26" s="82">
        <v>34480</v>
      </c>
      <c r="K26" s="83">
        <f t="shared" si="0"/>
        <v>21459</v>
      </c>
      <c r="L26" s="83">
        <v>18660</v>
      </c>
    </row>
    <row r="27" spans="1:21" x14ac:dyDescent="0.35">
      <c r="A27" s="80">
        <f t="shared" si="1"/>
        <v>24</v>
      </c>
      <c r="B27" s="80">
        <v>64</v>
      </c>
      <c r="C27" s="81" t="s">
        <v>1152</v>
      </c>
      <c r="D27" s="82">
        <v>44179</v>
      </c>
      <c r="E27" s="81" t="s">
        <v>1132</v>
      </c>
      <c r="F27" s="81" t="s">
        <v>39</v>
      </c>
      <c r="G27" s="81" t="s">
        <v>700</v>
      </c>
      <c r="H27" s="81" t="s">
        <v>1136</v>
      </c>
      <c r="I27" s="81" t="s">
        <v>1126</v>
      </c>
      <c r="J27" s="82">
        <v>36368</v>
      </c>
      <c r="K27" s="83">
        <f t="shared" si="0"/>
        <v>20189.400000000001</v>
      </c>
      <c r="L27" s="83">
        <v>17556</v>
      </c>
    </row>
    <row r="28" spans="1:21" x14ac:dyDescent="0.35">
      <c r="A28" s="80">
        <f t="shared" si="1"/>
        <v>25</v>
      </c>
      <c r="B28" s="80">
        <v>93</v>
      </c>
      <c r="C28" s="81" t="s">
        <v>1153</v>
      </c>
      <c r="D28" s="82">
        <v>44312</v>
      </c>
      <c r="E28" s="81" t="s">
        <v>1132</v>
      </c>
      <c r="F28" s="81" t="s">
        <v>39</v>
      </c>
      <c r="G28" s="81" t="s">
        <v>700</v>
      </c>
      <c r="H28" s="81" t="s">
        <v>1136</v>
      </c>
      <c r="I28" s="81" t="s">
        <v>1116</v>
      </c>
      <c r="J28" s="82">
        <v>36771</v>
      </c>
      <c r="K28" s="83">
        <f t="shared" si="0"/>
        <v>19485.599999999999</v>
      </c>
      <c r="L28" s="83">
        <v>16944</v>
      </c>
    </row>
    <row r="29" spans="1:21" x14ac:dyDescent="0.35">
      <c r="A29" s="80">
        <f t="shared" si="1"/>
        <v>26</v>
      </c>
      <c r="B29" s="80">
        <v>118</v>
      </c>
      <c r="C29" s="81" t="s">
        <v>1154</v>
      </c>
      <c r="D29" s="82">
        <v>44396</v>
      </c>
      <c r="E29" s="81" t="s">
        <v>1132</v>
      </c>
      <c r="F29" s="81" t="s">
        <v>39</v>
      </c>
      <c r="G29" s="81" t="s">
        <v>700</v>
      </c>
      <c r="H29" s="81" t="s">
        <v>1136</v>
      </c>
      <c r="I29" s="81" t="s">
        <v>1126</v>
      </c>
      <c r="J29" s="82">
        <v>34289</v>
      </c>
      <c r="K29" s="83">
        <f t="shared" si="0"/>
        <v>19126.8</v>
      </c>
      <c r="L29" s="83">
        <v>16632</v>
      </c>
    </row>
    <row r="30" spans="1:21" x14ac:dyDescent="0.35">
      <c r="A30" s="80">
        <f t="shared" si="1"/>
        <v>27</v>
      </c>
      <c r="B30" s="80">
        <v>124</v>
      </c>
      <c r="C30" s="81" t="s">
        <v>1155</v>
      </c>
      <c r="D30" s="82">
        <v>44396</v>
      </c>
      <c r="E30" s="81" t="s">
        <v>1132</v>
      </c>
      <c r="F30" s="81" t="s">
        <v>39</v>
      </c>
      <c r="G30" s="81" t="s">
        <v>700</v>
      </c>
      <c r="H30" s="81" t="s">
        <v>1136</v>
      </c>
      <c r="I30" s="81" t="s">
        <v>1126</v>
      </c>
      <c r="J30" s="82">
        <v>36823</v>
      </c>
      <c r="K30" s="83">
        <f t="shared" si="0"/>
        <v>19308.5</v>
      </c>
      <c r="L30" s="83">
        <v>16790</v>
      </c>
    </row>
    <row r="31" spans="1:21" x14ac:dyDescent="0.35">
      <c r="A31" s="80">
        <f t="shared" si="1"/>
        <v>28</v>
      </c>
      <c r="B31" s="80">
        <v>143</v>
      </c>
      <c r="C31" s="81" t="s">
        <v>1156</v>
      </c>
      <c r="D31" s="82">
        <v>44452</v>
      </c>
      <c r="E31" s="81" t="s">
        <v>1132</v>
      </c>
      <c r="F31" s="81" t="s">
        <v>39</v>
      </c>
      <c r="G31" s="81" t="s">
        <v>700</v>
      </c>
      <c r="H31" s="81" t="s">
        <v>1139</v>
      </c>
      <c r="I31" s="81" t="s">
        <v>1123</v>
      </c>
      <c r="J31" s="82">
        <v>36842</v>
      </c>
      <c r="K31" s="83">
        <f t="shared" si="0"/>
        <v>20268.75</v>
      </c>
      <c r="L31" s="83">
        <v>17625</v>
      </c>
    </row>
    <row r="32" spans="1:21" x14ac:dyDescent="0.35">
      <c r="A32" s="80">
        <f t="shared" si="1"/>
        <v>29</v>
      </c>
      <c r="B32" s="80">
        <v>159</v>
      </c>
      <c r="C32" s="81" t="s">
        <v>1157</v>
      </c>
      <c r="D32" s="82">
        <v>44532</v>
      </c>
      <c r="E32" s="81" t="s">
        <v>1132</v>
      </c>
      <c r="F32" s="81" t="s">
        <v>39</v>
      </c>
      <c r="G32" s="81" t="s">
        <v>700</v>
      </c>
      <c r="H32" s="81" t="s">
        <v>1139</v>
      </c>
      <c r="I32" s="81" t="s">
        <v>1123</v>
      </c>
      <c r="J32" s="82">
        <v>37075</v>
      </c>
      <c r="K32" s="83">
        <f t="shared" si="0"/>
        <v>19118.75</v>
      </c>
      <c r="L32" s="83">
        <v>16625</v>
      </c>
    </row>
    <row r="33" spans="1:12" x14ac:dyDescent="0.35">
      <c r="A33" s="80">
        <f t="shared" si="1"/>
        <v>30</v>
      </c>
      <c r="B33" s="80">
        <v>172</v>
      </c>
      <c r="C33" s="81" t="s">
        <v>1158</v>
      </c>
      <c r="D33" s="82">
        <v>44564</v>
      </c>
      <c r="E33" s="81" t="s">
        <v>1132</v>
      </c>
      <c r="F33" s="81" t="s">
        <v>39</v>
      </c>
      <c r="G33" s="81" t="s">
        <v>700</v>
      </c>
      <c r="H33" s="81" t="s">
        <v>1136</v>
      </c>
      <c r="I33" s="81" t="s">
        <v>1126</v>
      </c>
      <c r="J33" s="82">
        <v>36891</v>
      </c>
      <c r="K33" s="83">
        <f t="shared" si="0"/>
        <v>18492</v>
      </c>
      <c r="L33" s="83">
        <v>16080</v>
      </c>
    </row>
    <row r="34" spans="1:12" x14ac:dyDescent="0.35">
      <c r="A34" s="80">
        <f t="shared" si="1"/>
        <v>31</v>
      </c>
      <c r="B34" s="80">
        <v>173</v>
      </c>
      <c r="C34" s="81" t="s">
        <v>1159</v>
      </c>
      <c r="D34" s="82">
        <v>44564</v>
      </c>
      <c r="E34" s="81" t="s">
        <v>1132</v>
      </c>
      <c r="F34" s="81" t="s">
        <v>39</v>
      </c>
      <c r="G34" s="81" t="s">
        <v>700</v>
      </c>
      <c r="H34" s="81" t="s">
        <v>1136</v>
      </c>
      <c r="I34" s="81" t="s">
        <v>1126</v>
      </c>
      <c r="J34" s="82">
        <v>36796</v>
      </c>
      <c r="K34" s="83">
        <f t="shared" si="0"/>
        <v>18492</v>
      </c>
      <c r="L34" s="83">
        <v>16080</v>
      </c>
    </row>
    <row r="35" spans="1:12" x14ac:dyDescent="0.35">
      <c r="A35" s="80">
        <f t="shared" si="1"/>
        <v>32</v>
      </c>
      <c r="B35" s="80">
        <v>185</v>
      </c>
      <c r="C35" s="81" t="s">
        <v>1160</v>
      </c>
      <c r="D35" s="82">
        <v>44582</v>
      </c>
      <c r="E35" s="81" t="s">
        <v>1132</v>
      </c>
      <c r="F35" s="81" t="s">
        <v>39</v>
      </c>
      <c r="G35" s="81" t="s">
        <v>700</v>
      </c>
      <c r="H35" s="81" t="s">
        <v>1136</v>
      </c>
      <c r="I35" s="81" t="s">
        <v>1116</v>
      </c>
      <c r="J35" s="82">
        <v>36732</v>
      </c>
      <c r="K35" s="83">
        <f t="shared" si="0"/>
        <v>16378.875</v>
      </c>
      <c r="L35" s="83">
        <v>14242.5</v>
      </c>
    </row>
    <row r="36" spans="1:12" x14ac:dyDescent="0.35">
      <c r="A36" s="80">
        <f t="shared" si="1"/>
        <v>33</v>
      </c>
      <c r="B36" s="80">
        <v>192</v>
      </c>
      <c r="C36" s="81" t="s">
        <v>1161</v>
      </c>
      <c r="D36" s="82">
        <v>44606</v>
      </c>
      <c r="E36" s="81" t="s">
        <v>1132</v>
      </c>
      <c r="F36" s="81" t="s">
        <v>39</v>
      </c>
      <c r="G36" s="81" t="s">
        <v>700</v>
      </c>
      <c r="H36" s="81" t="s">
        <v>1136</v>
      </c>
      <c r="I36" s="81" t="s">
        <v>1126</v>
      </c>
      <c r="J36" s="82">
        <v>35987</v>
      </c>
      <c r="K36" s="83">
        <f t="shared" si="0"/>
        <v>18543.75</v>
      </c>
      <c r="L36" s="83">
        <v>16125</v>
      </c>
    </row>
    <row r="37" spans="1:12" x14ac:dyDescent="0.35">
      <c r="A37" s="80">
        <f t="shared" si="1"/>
        <v>34</v>
      </c>
      <c r="B37" s="80">
        <v>246</v>
      </c>
      <c r="C37" s="81" t="s">
        <v>1162</v>
      </c>
      <c r="D37" s="82">
        <v>44697</v>
      </c>
      <c r="E37" s="81" t="s">
        <v>1132</v>
      </c>
      <c r="F37" s="81" t="s">
        <v>39</v>
      </c>
      <c r="G37" s="81" t="s">
        <v>700</v>
      </c>
      <c r="H37" s="81" t="s">
        <v>1136</v>
      </c>
      <c r="I37" s="81" t="s">
        <v>1126</v>
      </c>
      <c r="J37" s="82">
        <v>36829</v>
      </c>
      <c r="K37" s="83">
        <f t="shared" ref="K37:K68" si="2">L37+(L37*$K$2)</f>
        <v>16249.5</v>
      </c>
      <c r="L37" s="83">
        <v>14130</v>
      </c>
    </row>
    <row r="38" spans="1:12" x14ac:dyDescent="0.35">
      <c r="A38" s="80">
        <f t="shared" si="1"/>
        <v>35</v>
      </c>
      <c r="B38" s="80">
        <v>248</v>
      </c>
      <c r="C38" s="81" t="s">
        <v>1163</v>
      </c>
      <c r="D38" s="82">
        <v>44697</v>
      </c>
      <c r="E38" s="81" t="s">
        <v>1132</v>
      </c>
      <c r="F38" s="81" t="s">
        <v>39</v>
      </c>
      <c r="G38" s="81" t="s">
        <v>700</v>
      </c>
      <c r="H38" s="81" t="s">
        <v>1136</v>
      </c>
      <c r="I38" s="81" t="s">
        <v>1126</v>
      </c>
      <c r="J38" s="82">
        <v>36316</v>
      </c>
      <c r="K38" s="83">
        <f t="shared" si="2"/>
        <v>16249.5</v>
      </c>
      <c r="L38" s="83">
        <v>14130</v>
      </c>
    </row>
    <row r="39" spans="1:12" x14ac:dyDescent="0.35">
      <c r="A39" s="80">
        <f t="shared" si="1"/>
        <v>36</v>
      </c>
      <c r="B39" s="80">
        <v>252</v>
      </c>
      <c r="C39" s="81" t="s">
        <v>1164</v>
      </c>
      <c r="D39" s="82">
        <v>44698</v>
      </c>
      <c r="E39" s="81" t="s">
        <v>1132</v>
      </c>
      <c r="F39" s="81" t="s">
        <v>39</v>
      </c>
      <c r="G39" s="81" t="s">
        <v>700</v>
      </c>
      <c r="H39" s="81" t="s">
        <v>1139</v>
      </c>
      <c r="I39" s="81" t="s">
        <v>1123</v>
      </c>
      <c r="J39" s="82">
        <v>36398</v>
      </c>
      <c r="K39" s="83">
        <f t="shared" si="2"/>
        <v>19559.583333333332</v>
      </c>
      <c r="L39" s="83">
        <v>17008.333333333332</v>
      </c>
    </row>
    <row r="40" spans="1:12" x14ac:dyDescent="0.35">
      <c r="A40" s="80">
        <f t="shared" si="1"/>
        <v>37</v>
      </c>
      <c r="B40" s="80">
        <v>258</v>
      </c>
      <c r="C40" s="81" t="s">
        <v>1165</v>
      </c>
      <c r="D40" s="82">
        <v>44721</v>
      </c>
      <c r="E40" s="81" t="s">
        <v>1132</v>
      </c>
      <c r="F40" s="81" t="s">
        <v>39</v>
      </c>
      <c r="G40" s="81" t="s">
        <v>700</v>
      </c>
      <c r="H40" s="81" t="s">
        <v>1139</v>
      </c>
      <c r="I40" s="81" t="s">
        <v>1123</v>
      </c>
      <c r="J40" s="82">
        <v>36860</v>
      </c>
      <c r="K40" s="83">
        <f t="shared" si="2"/>
        <v>17940</v>
      </c>
      <c r="L40" s="83">
        <v>15600</v>
      </c>
    </row>
    <row r="41" spans="1:12" x14ac:dyDescent="0.35">
      <c r="A41" s="80">
        <f t="shared" si="1"/>
        <v>38</v>
      </c>
      <c r="B41" s="80">
        <v>263</v>
      </c>
      <c r="C41" s="81" t="s">
        <v>1166</v>
      </c>
      <c r="D41" s="82">
        <v>44747</v>
      </c>
      <c r="E41" s="81" t="s">
        <v>1132</v>
      </c>
      <c r="F41" s="81" t="s">
        <v>39</v>
      </c>
      <c r="G41" s="81" t="s">
        <v>700</v>
      </c>
      <c r="H41" s="81" t="s">
        <v>1139</v>
      </c>
      <c r="I41" s="81" t="s">
        <v>1123</v>
      </c>
      <c r="J41" s="82">
        <v>37379</v>
      </c>
      <c r="K41" s="83">
        <f t="shared" si="2"/>
        <v>17250</v>
      </c>
      <c r="L41" s="83">
        <v>15000</v>
      </c>
    </row>
    <row r="42" spans="1:12" x14ac:dyDescent="0.35">
      <c r="A42" s="80">
        <f t="shared" si="1"/>
        <v>39</v>
      </c>
      <c r="B42" s="80">
        <v>268</v>
      </c>
      <c r="C42" s="81" t="s">
        <v>1167</v>
      </c>
      <c r="D42" s="82">
        <v>44747</v>
      </c>
      <c r="E42" s="81" t="s">
        <v>1132</v>
      </c>
      <c r="F42" s="81" t="s">
        <v>39</v>
      </c>
      <c r="G42" s="81" t="s">
        <v>700</v>
      </c>
      <c r="H42" s="81" t="s">
        <v>1139</v>
      </c>
      <c r="I42" s="81" t="s">
        <v>1123</v>
      </c>
      <c r="J42" s="82">
        <v>37093</v>
      </c>
      <c r="K42" s="83">
        <f t="shared" si="2"/>
        <v>17250</v>
      </c>
      <c r="L42" s="83">
        <v>15000</v>
      </c>
    </row>
    <row r="43" spans="1:12" x14ac:dyDescent="0.35">
      <c r="A43" s="80">
        <f t="shared" si="1"/>
        <v>40</v>
      </c>
      <c r="B43" s="80">
        <v>276</v>
      </c>
      <c r="C43" s="81" t="s">
        <v>1168</v>
      </c>
      <c r="D43" s="82">
        <v>44797</v>
      </c>
      <c r="E43" s="81" t="s">
        <v>1132</v>
      </c>
      <c r="F43" s="81" t="s">
        <v>39</v>
      </c>
      <c r="G43" s="81" t="s">
        <v>700</v>
      </c>
      <c r="H43" s="81" t="s">
        <v>1139</v>
      </c>
      <c r="I43" s="81" t="s">
        <v>1123</v>
      </c>
      <c r="J43" s="82">
        <v>36704</v>
      </c>
      <c r="K43" s="83">
        <f t="shared" si="2"/>
        <v>17250</v>
      </c>
      <c r="L43" s="83">
        <v>15000</v>
      </c>
    </row>
    <row r="44" spans="1:12" x14ac:dyDescent="0.35">
      <c r="A44" s="80">
        <f t="shared" si="1"/>
        <v>41</v>
      </c>
      <c r="B44" s="80">
        <v>297</v>
      </c>
      <c r="C44" s="81" t="s">
        <v>1169</v>
      </c>
      <c r="D44" s="82">
        <v>44837</v>
      </c>
      <c r="E44" s="81" t="s">
        <v>1132</v>
      </c>
      <c r="F44" s="81" t="s">
        <v>39</v>
      </c>
      <c r="G44" s="81" t="s">
        <v>700</v>
      </c>
      <c r="H44" s="81" t="s">
        <v>1139</v>
      </c>
      <c r="I44" s="81" t="s">
        <v>1123</v>
      </c>
      <c r="J44" s="82">
        <v>36040</v>
      </c>
      <c r="K44" s="83">
        <f t="shared" si="2"/>
        <v>17250</v>
      </c>
      <c r="L44" s="83">
        <v>15000</v>
      </c>
    </row>
    <row r="45" spans="1:12" x14ac:dyDescent="0.35">
      <c r="A45" s="80">
        <f t="shared" si="1"/>
        <v>42</v>
      </c>
      <c r="B45" s="80">
        <v>300</v>
      </c>
      <c r="C45" s="81" t="s">
        <v>1170</v>
      </c>
      <c r="D45" s="82">
        <v>44837</v>
      </c>
      <c r="E45" s="81" t="s">
        <v>1132</v>
      </c>
      <c r="F45" s="81" t="s">
        <v>39</v>
      </c>
      <c r="G45" s="81" t="s">
        <v>700</v>
      </c>
      <c r="H45" s="81" t="s">
        <v>1139</v>
      </c>
      <c r="I45" s="81" t="s">
        <v>1123</v>
      </c>
      <c r="J45" s="82">
        <v>36163</v>
      </c>
      <c r="K45" s="83">
        <f t="shared" si="2"/>
        <v>17250</v>
      </c>
      <c r="L45" s="83">
        <v>15000</v>
      </c>
    </row>
    <row r="46" spans="1:12" x14ac:dyDescent="0.35">
      <c r="A46" s="80">
        <f t="shared" si="1"/>
        <v>43</v>
      </c>
      <c r="B46" s="80">
        <v>301</v>
      </c>
      <c r="C46" s="81" t="s">
        <v>1171</v>
      </c>
      <c r="D46" s="82">
        <v>44837</v>
      </c>
      <c r="E46" s="81" t="s">
        <v>1132</v>
      </c>
      <c r="F46" s="81" t="s">
        <v>39</v>
      </c>
      <c r="G46" s="81" t="s">
        <v>700</v>
      </c>
      <c r="H46" s="81" t="s">
        <v>1139</v>
      </c>
      <c r="I46" s="81" t="s">
        <v>1123</v>
      </c>
      <c r="J46" s="82">
        <v>37207</v>
      </c>
      <c r="K46" s="83">
        <f t="shared" si="2"/>
        <v>17250</v>
      </c>
      <c r="L46" s="83">
        <v>15000</v>
      </c>
    </row>
    <row r="47" spans="1:12" x14ac:dyDescent="0.35">
      <c r="A47" s="80">
        <f t="shared" si="1"/>
        <v>44</v>
      </c>
      <c r="B47" s="80">
        <v>302</v>
      </c>
      <c r="C47" s="81" t="s">
        <v>1172</v>
      </c>
      <c r="D47" s="82">
        <v>44837</v>
      </c>
      <c r="E47" s="81" t="s">
        <v>1132</v>
      </c>
      <c r="F47" s="81" t="s">
        <v>39</v>
      </c>
      <c r="G47" s="81" t="s">
        <v>700</v>
      </c>
      <c r="H47" s="81" t="s">
        <v>1139</v>
      </c>
      <c r="I47" s="81" t="s">
        <v>1123</v>
      </c>
      <c r="J47" s="82">
        <v>36231</v>
      </c>
      <c r="K47" s="83">
        <f t="shared" si="2"/>
        <v>17250</v>
      </c>
      <c r="L47" s="83">
        <v>15000</v>
      </c>
    </row>
    <row r="48" spans="1:12" x14ac:dyDescent="0.35">
      <c r="A48" s="80">
        <f t="shared" si="1"/>
        <v>45</v>
      </c>
      <c r="B48" s="80">
        <v>317</v>
      </c>
      <c r="C48" s="81" t="s">
        <v>1173</v>
      </c>
      <c r="D48" s="82">
        <v>44879</v>
      </c>
      <c r="E48" s="81" t="s">
        <v>1132</v>
      </c>
      <c r="F48" s="81" t="s">
        <v>39</v>
      </c>
      <c r="G48" s="81" t="s">
        <v>700</v>
      </c>
      <c r="H48" s="81" t="s">
        <v>1139</v>
      </c>
      <c r="I48" s="81" t="s">
        <v>1123</v>
      </c>
      <c r="J48" s="82">
        <v>37296</v>
      </c>
      <c r="K48" s="83">
        <f t="shared" si="2"/>
        <v>17250</v>
      </c>
      <c r="L48" s="83">
        <v>15000</v>
      </c>
    </row>
    <row r="49" spans="1:12" x14ac:dyDescent="0.35">
      <c r="A49" s="80">
        <f t="shared" si="1"/>
        <v>46</v>
      </c>
      <c r="B49" s="80">
        <v>320</v>
      </c>
      <c r="C49" s="81" t="s">
        <v>1174</v>
      </c>
      <c r="D49" s="82">
        <v>44879</v>
      </c>
      <c r="E49" s="81" t="s">
        <v>1132</v>
      </c>
      <c r="F49" s="81" t="s">
        <v>39</v>
      </c>
      <c r="G49" s="81" t="s">
        <v>700</v>
      </c>
      <c r="H49" s="81" t="s">
        <v>1139</v>
      </c>
      <c r="I49" s="81" t="s">
        <v>1123</v>
      </c>
      <c r="J49" s="82">
        <v>36840</v>
      </c>
      <c r="K49" s="83">
        <f t="shared" si="2"/>
        <v>17250</v>
      </c>
      <c r="L49" s="83">
        <v>15000</v>
      </c>
    </row>
    <row r="50" spans="1:12" x14ac:dyDescent="0.35">
      <c r="A50" s="80">
        <f t="shared" si="1"/>
        <v>47</v>
      </c>
      <c r="B50" s="80">
        <v>344</v>
      </c>
      <c r="C50" s="81" t="s">
        <v>1175</v>
      </c>
      <c r="D50" s="82">
        <v>44956</v>
      </c>
      <c r="E50" s="81" t="s">
        <v>1132</v>
      </c>
      <c r="F50" s="81" t="s">
        <v>39</v>
      </c>
      <c r="G50" s="81" t="s">
        <v>700</v>
      </c>
      <c r="H50" s="81" t="s">
        <v>1136</v>
      </c>
      <c r="I50" s="81" t="s">
        <v>1126</v>
      </c>
      <c r="J50" s="82">
        <v>37329</v>
      </c>
      <c r="K50" s="83">
        <f t="shared" si="2"/>
        <v>17250</v>
      </c>
      <c r="L50" s="83">
        <v>15000</v>
      </c>
    </row>
    <row r="51" spans="1:12" x14ac:dyDescent="0.35">
      <c r="A51" s="80">
        <f t="shared" si="1"/>
        <v>48</v>
      </c>
      <c r="B51" s="80">
        <v>374</v>
      </c>
      <c r="C51" s="81" t="s">
        <v>1176</v>
      </c>
      <c r="D51" s="82">
        <v>45005</v>
      </c>
      <c r="E51" s="81" t="s">
        <v>1132</v>
      </c>
      <c r="F51" s="81" t="s">
        <v>39</v>
      </c>
      <c r="G51" s="81" t="s">
        <v>700</v>
      </c>
      <c r="H51" s="81" t="s">
        <v>1139</v>
      </c>
      <c r="I51" s="81" t="s">
        <v>1123</v>
      </c>
      <c r="J51" s="82">
        <v>36267</v>
      </c>
      <c r="K51" s="83">
        <f t="shared" si="2"/>
        <v>17250</v>
      </c>
      <c r="L51" s="83">
        <v>15000</v>
      </c>
    </row>
    <row r="52" spans="1:12" x14ac:dyDescent="0.35">
      <c r="A52" s="80">
        <f t="shared" si="1"/>
        <v>49</v>
      </c>
      <c r="B52" s="80">
        <v>377</v>
      </c>
      <c r="C52" s="81" t="s">
        <v>1177</v>
      </c>
      <c r="D52" s="82">
        <v>45014</v>
      </c>
      <c r="E52" s="81" t="s">
        <v>1132</v>
      </c>
      <c r="F52" s="81" t="s">
        <v>39</v>
      </c>
      <c r="G52" s="81" t="s">
        <v>700</v>
      </c>
      <c r="H52" s="81" t="s">
        <v>1139</v>
      </c>
      <c r="I52" s="81" t="s">
        <v>1123</v>
      </c>
      <c r="J52" s="82">
        <v>36699</v>
      </c>
      <c r="K52" s="83">
        <f t="shared" si="2"/>
        <v>17250</v>
      </c>
      <c r="L52" s="83">
        <v>15000</v>
      </c>
    </row>
    <row r="53" spans="1:12" x14ac:dyDescent="0.35">
      <c r="A53" s="80">
        <f t="shared" si="1"/>
        <v>50</v>
      </c>
      <c r="B53" s="80">
        <v>387</v>
      </c>
      <c r="C53" s="81" t="s">
        <v>1178</v>
      </c>
      <c r="D53" s="82">
        <v>45040</v>
      </c>
      <c r="E53" s="81" t="s">
        <v>1132</v>
      </c>
      <c r="F53" s="81" t="s">
        <v>39</v>
      </c>
      <c r="G53" s="81" t="s">
        <v>700</v>
      </c>
      <c r="H53" s="81" t="s">
        <v>1139</v>
      </c>
      <c r="I53" s="81" t="s">
        <v>1123</v>
      </c>
      <c r="J53" s="82">
        <v>37229</v>
      </c>
      <c r="K53" s="83">
        <f t="shared" si="2"/>
        <v>17250</v>
      </c>
      <c r="L53" s="83">
        <v>15000</v>
      </c>
    </row>
    <row r="54" spans="1:12" x14ac:dyDescent="0.35">
      <c r="A54" s="80">
        <f t="shared" si="1"/>
        <v>51</v>
      </c>
      <c r="B54" s="80">
        <v>389</v>
      </c>
      <c r="C54" s="81" t="s">
        <v>1179</v>
      </c>
      <c r="D54" s="82">
        <v>45040</v>
      </c>
      <c r="E54" s="81" t="s">
        <v>1132</v>
      </c>
      <c r="F54" s="81" t="s">
        <v>39</v>
      </c>
      <c r="G54" s="81" t="s">
        <v>700</v>
      </c>
      <c r="H54" s="81" t="s">
        <v>1139</v>
      </c>
      <c r="I54" s="81" t="s">
        <v>1123</v>
      </c>
      <c r="J54" s="82">
        <v>36657</v>
      </c>
      <c r="K54" s="83">
        <f t="shared" si="2"/>
        <v>17250</v>
      </c>
      <c r="L54" s="83">
        <v>15000</v>
      </c>
    </row>
    <row r="55" spans="1:12" x14ac:dyDescent="0.35">
      <c r="A55" s="80">
        <f t="shared" si="1"/>
        <v>52</v>
      </c>
      <c r="B55" s="80">
        <v>390</v>
      </c>
      <c r="C55" s="81" t="s">
        <v>1180</v>
      </c>
      <c r="D55" s="82">
        <v>45040</v>
      </c>
      <c r="E55" s="81" t="s">
        <v>1132</v>
      </c>
      <c r="F55" s="81" t="s">
        <v>39</v>
      </c>
      <c r="G55" s="81" t="s">
        <v>700</v>
      </c>
      <c r="H55" s="81" t="s">
        <v>1139</v>
      </c>
      <c r="I55" s="81" t="s">
        <v>1123</v>
      </c>
      <c r="J55" s="82">
        <v>37053</v>
      </c>
      <c r="K55" s="83">
        <f t="shared" si="2"/>
        <v>17250</v>
      </c>
      <c r="L55" s="83">
        <v>15000</v>
      </c>
    </row>
    <row r="56" spans="1:12" x14ac:dyDescent="0.35">
      <c r="A56" s="80">
        <f t="shared" si="1"/>
        <v>53</v>
      </c>
      <c r="B56" s="80">
        <v>409</v>
      </c>
      <c r="C56" s="81" t="s">
        <v>1181</v>
      </c>
      <c r="D56" s="82">
        <v>45140</v>
      </c>
      <c r="E56" s="81" t="s">
        <v>1132</v>
      </c>
      <c r="F56" s="81" t="s">
        <v>39</v>
      </c>
      <c r="G56" s="81" t="s">
        <v>700</v>
      </c>
      <c r="H56" s="81" t="s">
        <v>1136</v>
      </c>
      <c r="I56" s="81" t="s">
        <v>1126</v>
      </c>
      <c r="J56" s="82">
        <v>34380</v>
      </c>
      <c r="K56" s="83">
        <f t="shared" si="2"/>
        <v>13800</v>
      </c>
      <c r="L56" s="83">
        <v>12000</v>
      </c>
    </row>
    <row r="57" spans="1:12" x14ac:dyDescent="0.35">
      <c r="A57" s="80">
        <f t="shared" si="1"/>
        <v>54</v>
      </c>
      <c r="B57" s="80">
        <v>410</v>
      </c>
      <c r="C57" s="81" t="s">
        <v>1182</v>
      </c>
      <c r="D57" s="82">
        <v>45140</v>
      </c>
      <c r="E57" s="81" t="s">
        <v>1132</v>
      </c>
      <c r="F57" s="81" t="s">
        <v>39</v>
      </c>
      <c r="G57" s="81" t="s">
        <v>700</v>
      </c>
      <c r="H57" s="81" t="s">
        <v>1136</v>
      </c>
      <c r="I57" s="81" t="s">
        <v>1123</v>
      </c>
      <c r="J57" s="82">
        <v>35169</v>
      </c>
      <c r="K57" s="83">
        <f t="shared" si="2"/>
        <v>13800</v>
      </c>
      <c r="L57" s="83">
        <v>12000</v>
      </c>
    </row>
    <row r="58" spans="1:12" x14ac:dyDescent="0.35">
      <c r="A58" s="80">
        <f t="shared" si="1"/>
        <v>55</v>
      </c>
      <c r="B58" s="80">
        <v>411</v>
      </c>
      <c r="C58" s="81" t="s">
        <v>1183</v>
      </c>
      <c r="D58" s="82">
        <v>45140</v>
      </c>
      <c r="E58" s="81" t="s">
        <v>1132</v>
      </c>
      <c r="F58" s="81" t="s">
        <v>39</v>
      </c>
      <c r="G58" s="81" t="s">
        <v>700</v>
      </c>
      <c r="H58" s="81" t="s">
        <v>1136</v>
      </c>
      <c r="I58" s="81" t="s">
        <v>1126</v>
      </c>
      <c r="J58" s="82">
        <v>37706</v>
      </c>
      <c r="K58" s="83">
        <f t="shared" si="2"/>
        <v>13800</v>
      </c>
      <c r="L58" s="83">
        <v>12000</v>
      </c>
    </row>
    <row r="59" spans="1:12" x14ac:dyDescent="0.35">
      <c r="A59" s="80">
        <f t="shared" si="1"/>
        <v>56</v>
      </c>
      <c r="B59" s="80">
        <v>416</v>
      </c>
      <c r="C59" s="81" t="s">
        <v>1184</v>
      </c>
      <c r="D59" s="82">
        <v>45140</v>
      </c>
      <c r="E59" s="81" t="s">
        <v>1132</v>
      </c>
      <c r="F59" s="81" t="s">
        <v>39</v>
      </c>
      <c r="G59" s="81" t="s">
        <v>700</v>
      </c>
      <c r="H59" s="81" t="s">
        <v>1136</v>
      </c>
      <c r="I59" s="81" t="s">
        <v>1126</v>
      </c>
      <c r="J59" s="82">
        <v>37529</v>
      </c>
      <c r="K59" s="83">
        <f t="shared" si="2"/>
        <v>13800</v>
      </c>
      <c r="L59" s="83">
        <v>12000</v>
      </c>
    </row>
    <row r="60" spans="1:12" x14ac:dyDescent="0.35">
      <c r="A60" s="80">
        <f t="shared" si="1"/>
        <v>57</v>
      </c>
      <c r="B60" s="80">
        <v>417</v>
      </c>
      <c r="C60" s="81" t="s">
        <v>1185</v>
      </c>
      <c r="D60" s="82">
        <v>45141</v>
      </c>
      <c r="E60" s="81" t="s">
        <v>1132</v>
      </c>
      <c r="F60" s="81" t="s">
        <v>39</v>
      </c>
      <c r="G60" s="81" t="s">
        <v>700</v>
      </c>
      <c r="H60" s="81" t="s">
        <v>1136</v>
      </c>
      <c r="I60" s="81" t="s">
        <v>1126</v>
      </c>
      <c r="J60" s="82">
        <v>36680</v>
      </c>
      <c r="K60" s="83">
        <f t="shared" si="2"/>
        <v>13800</v>
      </c>
      <c r="L60" s="83">
        <v>12000</v>
      </c>
    </row>
    <row r="61" spans="1:12" x14ac:dyDescent="0.35">
      <c r="A61" s="80">
        <f t="shared" si="1"/>
        <v>58</v>
      </c>
      <c r="B61" s="80">
        <v>7</v>
      </c>
      <c r="C61" s="81" t="s">
        <v>1186</v>
      </c>
      <c r="D61" s="82">
        <v>43430</v>
      </c>
      <c r="E61" s="81" t="s">
        <v>1115</v>
      </c>
      <c r="F61" s="81" t="s">
        <v>1019</v>
      </c>
      <c r="G61" s="81" t="s">
        <v>700</v>
      </c>
      <c r="H61" s="81" t="s">
        <v>1019</v>
      </c>
      <c r="I61" s="81" t="s">
        <v>1123</v>
      </c>
      <c r="J61" s="82">
        <v>34571</v>
      </c>
      <c r="K61" s="83">
        <f t="shared" si="2"/>
        <v>56795.97</v>
      </c>
      <c r="L61" s="83">
        <v>49387.8</v>
      </c>
    </row>
    <row r="62" spans="1:12" x14ac:dyDescent="0.35">
      <c r="A62" s="80">
        <f t="shared" si="1"/>
        <v>59</v>
      </c>
      <c r="B62" s="80">
        <v>104</v>
      </c>
      <c r="C62" s="81" t="s">
        <v>1187</v>
      </c>
      <c r="D62" s="82">
        <v>44378</v>
      </c>
      <c r="E62" s="81" t="s">
        <v>1115</v>
      </c>
      <c r="F62" s="81" t="s">
        <v>1019</v>
      </c>
      <c r="G62" s="81" t="s">
        <v>700</v>
      </c>
      <c r="H62" s="81" t="s">
        <v>1019</v>
      </c>
      <c r="I62" s="81" t="s">
        <v>1123</v>
      </c>
      <c r="J62" s="82">
        <v>34203</v>
      </c>
      <c r="K62" s="83">
        <f t="shared" si="2"/>
        <v>58684.5</v>
      </c>
      <c r="L62" s="83">
        <v>51030</v>
      </c>
    </row>
    <row r="63" spans="1:12" x14ac:dyDescent="0.35">
      <c r="A63" s="80">
        <f t="shared" si="1"/>
        <v>60</v>
      </c>
      <c r="B63" s="80">
        <v>430</v>
      </c>
      <c r="C63" s="81" t="s">
        <v>1188</v>
      </c>
      <c r="D63" s="82">
        <v>45202</v>
      </c>
      <c r="E63" s="81" t="s">
        <v>1132</v>
      </c>
      <c r="F63" s="81" t="s">
        <v>305</v>
      </c>
      <c r="G63" s="81" t="s">
        <v>700</v>
      </c>
      <c r="H63" s="81" t="s">
        <v>305</v>
      </c>
      <c r="I63" s="81" t="s">
        <v>1126</v>
      </c>
      <c r="J63" s="82">
        <v>32911</v>
      </c>
      <c r="K63" s="83">
        <f t="shared" si="2"/>
        <v>13800</v>
      </c>
      <c r="L63" s="83">
        <v>12000</v>
      </c>
    </row>
    <row r="64" spans="1:12" x14ac:dyDescent="0.35">
      <c r="A64" s="80">
        <f t="shared" si="1"/>
        <v>61</v>
      </c>
      <c r="B64" s="80">
        <v>31</v>
      </c>
      <c r="C64" s="81" t="s">
        <v>1189</v>
      </c>
      <c r="D64" s="82">
        <v>43850</v>
      </c>
      <c r="E64" s="81" t="s">
        <v>1115</v>
      </c>
      <c r="F64" s="81" t="s">
        <v>134</v>
      </c>
      <c r="G64" s="81" t="s">
        <v>700</v>
      </c>
      <c r="H64" s="81" t="s">
        <v>1021</v>
      </c>
      <c r="I64" s="81" t="s">
        <v>1126</v>
      </c>
      <c r="J64" s="82">
        <v>30741</v>
      </c>
      <c r="K64" s="83">
        <f t="shared" si="2"/>
        <v>31986.789999999997</v>
      </c>
      <c r="L64" s="83">
        <v>27814.6</v>
      </c>
    </row>
    <row r="65" spans="1:12" x14ac:dyDescent="0.35">
      <c r="A65" s="80">
        <f t="shared" si="1"/>
        <v>62</v>
      </c>
      <c r="B65" s="80">
        <v>229</v>
      </c>
      <c r="C65" s="81" t="s">
        <v>1190</v>
      </c>
      <c r="D65" s="82">
        <v>44676</v>
      </c>
      <c r="E65" s="81" t="s">
        <v>1115</v>
      </c>
      <c r="F65" s="81" t="s">
        <v>134</v>
      </c>
      <c r="G65" s="81" t="s">
        <v>700</v>
      </c>
      <c r="H65" s="81" t="s">
        <v>1021</v>
      </c>
      <c r="I65" s="81" t="s">
        <v>1126</v>
      </c>
      <c r="J65" s="82">
        <v>32842</v>
      </c>
      <c r="K65" s="83">
        <f t="shared" si="2"/>
        <v>22816</v>
      </c>
      <c r="L65" s="83">
        <v>19840</v>
      </c>
    </row>
    <row r="66" spans="1:12" x14ac:dyDescent="0.35">
      <c r="A66" s="80">
        <f t="shared" si="1"/>
        <v>63</v>
      </c>
      <c r="B66" s="80">
        <v>238</v>
      </c>
      <c r="C66" s="81" t="s">
        <v>1191</v>
      </c>
      <c r="D66" s="82">
        <v>44683</v>
      </c>
      <c r="E66" s="81" t="s">
        <v>1115</v>
      </c>
      <c r="F66" s="81" t="s">
        <v>134</v>
      </c>
      <c r="G66" s="81" t="s">
        <v>700</v>
      </c>
      <c r="H66" s="81" t="s">
        <v>1025</v>
      </c>
      <c r="I66" s="81" t="s">
        <v>1126</v>
      </c>
      <c r="J66" s="82">
        <v>36594</v>
      </c>
      <c r="K66" s="83">
        <f t="shared" si="2"/>
        <v>16146</v>
      </c>
      <c r="L66" s="83">
        <v>14040</v>
      </c>
    </row>
    <row r="67" spans="1:12" x14ac:dyDescent="0.35">
      <c r="A67" s="80">
        <f t="shared" si="1"/>
        <v>64</v>
      </c>
      <c r="B67" s="80">
        <v>273</v>
      </c>
      <c r="C67" s="81" t="s">
        <v>1192</v>
      </c>
      <c r="D67" s="82">
        <v>44784</v>
      </c>
      <c r="E67" s="81" t="s">
        <v>1115</v>
      </c>
      <c r="F67" s="81" t="s">
        <v>134</v>
      </c>
      <c r="G67" s="81" t="s">
        <v>700</v>
      </c>
      <c r="H67" s="81" t="s">
        <v>1021</v>
      </c>
      <c r="I67" s="81" t="s">
        <v>1126</v>
      </c>
      <c r="J67" s="82">
        <v>34724</v>
      </c>
      <c r="K67" s="83">
        <f t="shared" si="2"/>
        <v>19550</v>
      </c>
      <c r="L67" s="83">
        <v>17000</v>
      </c>
    </row>
    <row r="68" spans="1:12" x14ac:dyDescent="0.35">
      <c r="A68" s="80">
        <f t="shared" si="1"/>
        <v>65</v>
      </c>
      <c r="B68" s="80">
        <v>282</v>
      </c>
      <c r="C68" s="81" t="s">
        <v>1193</v>
      </c>
      <c r="D68" s="82">
        <v>44805</v>
      </c>
      <c r="E68" s="81" t="s">
        <v>1115</v>
      </c>
      <c r="F68" s="81" t="s">
        <v>134</v>
      </c>
      <c r="G68" s="81" t="s">
        <v>700</v>
      </c>
      <c r="H68" s="81" t="s">
        <v>1021</v>
      </c>
      <c r="I68" s="81" t="s">
        <v>1124</v>
      </c>
      <c r="J68" s="82">
        <v>34490</v>
      </c>
      <c r="K68" s="83">
        <f t="shared" si="2"/>
        <v>19550</v>
      </c>
      <c r="L68" s="83">
        <v>17000</v>
      </c>
    </row>
    <row r="69" spans="1:12" x14ac:dyDescent="0.35">
      <c r="A69" s="80">
        <f t="shared" si="1"/>
        <v>66</v>
      </c>
      <c r="B69" s="80">
        <v>306</v>
      </c>
      <c r="C69" s="81" t="s">
        <v>1194</v>
      </c>
      <c r="D69" s="82">
        <v>44844</v>
      </c>
      <c r="E69" s="81" t="s">
        <v>1115</v>
      </c>
      <c r="F69" s="81" t="s">
        <v>134</v>
      </c>
      <c r="G69" s="81" t="s">
        <v>700</v>
      </c>
      <c r="H69" s="81" t="s">
        <v>1021</v>
      </c>
      <c r="I69" s="81" t="s">
        <v>1116</v>
      </c>
      <c r="J69" s="82">
        <v>34913</v>
      </c>
      <c r="K69" s="83">
        <f t="shared" ref="K69:K100" si="3">L69+(L69*$K$2)</f>
        <v>17250</v>
      </c>
      <c r="L69" s="83">
        <v>15000</v>
      </c>
    </row>
    <row r="70" spans="1:12" x14ac:dyDescent="0.35">
      <c r="A70" s="80">
        <f t="shared" ref="A70:A133" si="4">ROW()-3</f>
        <v>67</v>
      </c>
      <c r="B70" s="80">
        <v>360</v>
      </c>
      <c r="C70" s="81" t="s">
        <v>1195</v>
      </c>
      <c r="D70" s="82">
        <v>44977</v>
      </c>
      <c r="E70" s="81" t="s">
        <v>1115</v>
      </c>
      <c r="F70" s="81" t="s">
        <v>134</v>
      </c>
      <c r="G70" s="81" t="s">
        <v>700</v>
      </c>
      <c r="H70" s="81" t="s">
        <v>1025</v>
      </c>
      <c r="I70" s="81" t="s">
        <v>1126</v>
      </c>
      <c r="J70" s="82">
        <v>35951</v>
      </c>
      <c r="K70" s="83">
        <f t="shared" si="3"/>
        <v>15525</v>
      </c>
      <c r="L70" s="83">
        <v>13500</v>
      </c>
    </row>
    <row r="71" spans="1:12" x14ac:dyDescent="0.35">
      <c r="A71" s="80">
        <f t="shared" si="4"/>
        <v>68</v>
      </c>
      <c r="B71" s="80">
        <v>378</v>
      </c>
      <c r="C71" s="81" t="s">
        <v>1196</v>
      </c>
      <c r="D71" s="82">
        <v>45019</v>
      </c>
      <c r="E71" s="81" t="s">
        <v>1115</v>
      </c>
      <c r="F71" s="81" t="s">
        <v>134</v>
      </c>
      <c r="G71" s="81" t="s">
        <v>700</v>
      </c>
      <c r="H71" s="81" t="s">
        <v>1021</v>
      </c>
      <c r="I71" s="81" t="s">
        <v>1126</v>
      </c>
      <c r="J71" s="82">
        <v>35202</v>
      </c>
      <c r="K71" s="83">
        <f t="shared" si="3"/>
        <v>19550</v>
      </c>
      <c r="L71" s="83">
        <v>17000</v>
      </c>
    </row>
    <row r="72" spans="1:12" x14ac:dyDescent="0.35">
      <c r="A72" s="80">
        <f t="shared" si="4"/>
        <v>69</v>
      </c>
      <c r="B72" s="80">
        <v>395</v>
      </c>
      <c r="C72" s="81" t="s">
        <v>1197</v>
      </c>
      <c r="D72" s="82">
        <v>45078</v>
      </c>
      <c r="E72" s="81" t="s">
        <v>1115</v>
      </c>
      <c r="F72" s="81" t="s">
        <v>134</v>
      </c>
      <c r="G72" s="81" t="s">
        <v>700</v>
      </c>
      <c r="H72" s="81" t="s">
        <v>1021</v>
      </c>
      <c r="I72" s="81" t="s">
        <v>1116</v>
      </c>
      <c r="J72" s="82">
        <v>30865</v>
      </c>
      <c r="K72" s="83">
        <f t="shared" si="3"/>
        <v>34500</v>
      </c>
      <c r="L72" s="83">
        <v>30000</v>
      </c>
    </row>
    <row r="73" spans="1:12" x14ac:dyDescent="0.35">
      <c r="A73" s="80">
        <f t="shared" si="4"/>
        <v>70</v>
      </c>
      <c r="B73" s="80">
        <v>153</v>
      </c>
      <c r="C73" s="81" t="s">
        <v>1198</v>
      </c>
      <c r="D73" s="82">
        <v>44267</v>
      </c>
      <c r="E73" s="81" t="s">
        <v>1132</v>
      </c>
      <c r="F73" s="81" t="s">
        <v>134</v>
      </c>
      <c r="G73" s="81" t="s">
        <v>700</v>
      </c>
      <c r="H73" s="81" t="s">
        <v>1025</v>
      </c>
      <c r="I73" s="81" t="s">
        <v>1126</v>
      </c>
      <c r="J73" s="82">
        <v>36458</v>
      </c>
      <c r="K73" s="83">
        <f t="shared" si="3"/>
        <v>16456.5</v>
      </c>
      <c r="L73" s="83">
        <v>14310</v>
      </c>
    </row>
    <row r="74" spans="1:12" x14ac:dyDescent="0.35">
      <c r="A74" s="80">
        <f t="shared" si="4"/>
        <v>71</v>
      </c>
      <c r="B74" s="80">
        <v>167</v>
      </c>
      <c r="C74" s="81" t="s">
        <v>1199</v>
      </c>
      <c r="D74" s="82">
        <v>44543</v>
      </c>
      <c r="E74" s="81" t="s">
        <v>1132</v>
      </c>
      <c r="F74" s="81" t="s">
        <v>134</v>
      </c>
      <c r="G74" s="81" t="s">
        <v>700</v>
      </c>
      <c r="H74" s="81" t="s">
        <v>1025</v>
      </c>
      <c r="I74" s="81" t="s">
        <v>1126</v>
      </c>
      <c r="J74" s="82">
        <v>29714</v>
      </c>
      <c r="K74" s="83">
        <f t="shared" si="3"/>
        <v>16456.5</v>
      </c>
      <c r="L74" s="83">
        <v>14310</v>
      </c>
    </row>
    <row r="75" spans="1:12" x14ac:dyDescent="0.35">
      <c r="A75" s="80">
        <f t="shared" si="4"/>
        <v>72</v>
      </c>
      <c r="B75" s="80">
        <v>196</v>
      </c>
      <c r="C75" s="81" t="s">
        <v>1200</v>
      </c>
      <c r="D75" s="82">
        <v>44606</v>
      </c>
      <c r="E75" s="81" t="s">
        <v>1132</v>
      </c>
      <c r="F75" s="81" t="s">
        <v>134</v>
      </c>
      <c r="G75" s="81" t="s">
        <v>700</v>
      </c>
      <c r="H75" s="81" t="s">
        <v>1025</v>
      </c>
      <c r="I75" s="81" t="s">
        <v>1126</v>
      </c>
      <c r="J75" s="82">
        <v>36714</v>
      </c>
      <c r="K75" s="83">
        <f t="shared" si="3"/>
        <v>16560</v>
      </c>
      <c r="L75" s="83">
        <v>14400</v>
      </c>
    </row>
    <row r="76" spans="1:12" x14ac:dyDescent="0.35">
      <c r="A76" s="80">
        <f t="shared" si="4"/>
        <v>73</v>
      </c>
      <c r="B76" s="80">
        <v>236</v>
      </c>
      <c r="C76" s="81" t="s">
        <v>1201</v>
      </c>
      <c r="D76" s="82">
        <v>44683</v>
      </c>
      <c r="E76" s="81" t="s">
        <v>1132</v>
      </c>
      <c r="F76" s="81" t="s">
        <v>134</v>
      </c>
      <c r="G76" s="81" t="s">
        <v>700</v>
      </c>
      <c r="H76" s="81" t="s">
        <v>1025</v>
      </c>
      <c r="I76" s="81" t="s">
        <v>1126</v>
      </c>
      <c r="J76" s="82">
        <v>36624</v>
      </c>
      <c r="K76" s="83">
        <f t="shared" si="3"/>
        <v>17564.333333333336</v>
      </c>
      <c r="L76" s="83">
        <v>15273.333333333334</v>
      </c>
    </row>
    <row r="77" spans="1:12" x14ac:dyDescent="0.35">
      <c r="A77" s="80">
        <f t="shared" si="4"/>
        <v>74</v>
      </c>
      <c r="B77" s="80">
        <v>237</v>
      </c>
      <c r="C77" s="81" t="s">
        <v>1202</v>
      </c>
      <c r="D77" s="82">
        <v>44683</v>
      </c>
      <c r="E77" s="81" t="s">
        <v>1132</v>
      </c>
      <c r="F77" s="81" t="s">
        <v>134</v>
      </c>
      <c r="G77" s="81" t="s">
        <v>700</v>
      </c>
      <c r="H77" s="81" t="s">
        <v>1025</v>
      </c>
      <c r="I77" s="81" t="s">
        <v>1126</v>
      </c>
      <c r="J77" s="82">
        <v>36806</v>
      </c>
      <c r="K77" s="83">
        <f t="shared" si="3"/>
        <v>16146</v>
      </c>
      <c r="L77" s="83">
        <v>14040</v>
      </c>
    </row>
    <row r="78" spans="1:12" x14ac:dyDescent="0.35">
      <c r="A78" s="80">
        <f t="shared" si="4"/>
        <v>75</v>
      </c>
      <c r="B78" s="80">
        <v>240</v>
      </c>
      <c r="C78" s="81" t="s">
        <v>1203</v>
      </c>
      <c r="D78" s="82">
        <v>44690</v>
      </c>
      <c r="E78" s="81" t="s">
        <v>1132</v>
      </c>
      <c r="F78" s="81" t="s">
        <v>134</v>
      </c>
      <c r="G78" s="81" t="s">
        <v>700</v>
      </c>
      <c r="H78" s="81" t="s">
        <v>1025</v>
      </c>
      <c r="I78" s="81" t="s">
        <v>1126</v>
      </c>
      <c r="J78" s="82">
        <v>36060</v>
      </c>
      <c r="K78" s="83">
        <f t="shared" si="3"/>
        <v>16068.375</v>
      </c>
      <c r="L78" s="83">
        <v>13972.5</v>
      </c>
    </row>
    <row r="79" spans="1:12" x14ac:dyDescent="0.35">
      <c r="A79" s="80">
        <f t="shared" si="4"/>
        <v>76</v>
      </c>
      <c r="B79" s="80">
        <v>242</v>
      </c>
      <c r="C79" s="81" t="s">
        <v>1204</v>
      </c>
      <c r="D79" s="82">
        <v>44697</v>
      </c>
      <c r="E79" s="81" t="s">
        <v>1132</v>
      </c>
      <c r="F79" s="81" t="s">
        <v>134</v>
      </c>
      <c r="G79" s="81" t="s">
        <v>700</v>
      </c>
      <c r="H79" s="81" t="s">
        <v>1025</v>
      </c>
      <c r="I79" s="81" t="s">
        <v>1126</v>
      </c>
      <c r="J79" s="82">
        <v>36113</v>
      </c>
      <c r="K79" s="83">
        <f t="shared" si="3"/>
        <v>16249.5</v>
      </c>
      <c r="L79" s="83">
        <v>14130</v>
      </c>
    </row>
    <row r="80" spans="1:12" x14ac:dyDescent="0.35">
      <c r="A80" s="80">
        <f t="shared" si="4"/>
        <v>77</v>
      </c>
      <c r="B80" s="80">
        <v>243</v>
      </c>
      <c r="C80" s="81" t="s">
        <v>1205</v>
      </c>
      <c r="D80" s="82">
        <v>44697</v>
      </c>
      <c r="E80" s="81" t="s">
        <v>1132</v>
      </c>
      <c r="F80" s="81" t="s">
        <v>134</v>
      </c>
      <c r="G80" s="81" t="s">
        <v>700</v>
      </c>
      <c r="H80" s="81" t="s">
        <v>1025</v>
      </c>
      <c r="I80" s="81" t="s">
        <v>1126</v>
      </c>
      <c r="J80" s="82">
        <v>37055</v>
      </c>
      <c r="K80" s="83">
        <f t="shared" si="3"/>
        <v>16249.5</v>
      </c>
      <c r="L80" s="83">
        <v>14130</v>
      </c>
    </row>
    <row r="81" spans="1:12" x14ac:dyDescent="0.35">
      <c r="A81" s="80">
        <f t="shared" si="4"/>
        <v>78</v>
      </c>
      <c r="B81" s="80">
        <v>245</v>
      </c>
      <c r="C81" s="81" t="s">
        <v>1206</v>
      </c>
      <c r="D81" s="82">
        <v>44697</v>
      </c>
      <c r="E81" s="81" t="s">
        <v>1132</v>
      </c>
      <c r="F81" s="81" t="s">
        <v>134</v>
      </c>
      <c r="G81" s="81" t="s">
        <v>700</v>
      </c>
      <c r="H81" s="81" t="s">
        <v>1025</v>
      </c>
      <c r="I81" s="81" t="s">
        <v>1126</v>
      </c>
      <c r="J81" s="82">
        <v>36993</v>
      </c>
      <c r="K81" s="83">
        <f t="shared" si="3"/>
        <v>16068.375</v>
      </c>
      <c r="L81" s="83">
        <v>13972.5</v>
      </c>
    </row>
    <row r="82" spans="1:12" x14ac:dyDescent="0.35">
      <c r="A82" s="80">
        <f t="shared" si="4"/>
        <v>79</v>
      </c>
      <c r="B82" s="80">
        <v>247</v>
      </c>
      <c r="C82" s="81" t="s">
        <v>1207</v>
      </c>
      <c r="D82" s="82">
        <v>44697</v>
      </c>
      <c r="E82" s="81" t="s">
        <v>1132</v>
      </c>
      <c r="F82" s="81" t="s">
        <v>134</v>
      </c>
      <c r="G82" s="81" t="s">
        <v>700</v>
      </c>
      <c r="H82" s="81" t="s">
        <v>1025</v>
      </c>
      <c r="I82" s="81" t="s">
        <v>1126</v>
      </c>
      <c r="J82" s="82">
        <v>31530</v>
      </c>
      <c r="K82" s="83">
        <f t="shared" si="3"/>
        <v>16249.5</v>
      </c>
      <c r="L82" s="83">
        <v>14130</v>
      </c>
    </row>
    <row r="83" spans="1:12" x14ac:dyDescent="0.35">
      <c r="A83" s="80">
        <f t="shared" si="4"/>
        <v>80</v>
      </c>
      <c r="B83" s="80">
        <v>250</v>
      </c>
      <c r="C83" s="81" t="s">
        <v>1208</v>
      </c>
      <c r="D83" s="82">
        <v>44698</v>
      </c>
      <c r="E83" s="81" t="s">
        <v>1132</v>
      </c>
      <c r="F83" s="81" t="s">
        <v>134</v>
      </c>
      <c r="G83" s="81" t="s">
        <v>700</v>
      </c>
      <c r="H83" s="81" t="s">
        <v>1025</v>
      </c>
      <c r="I83" s="81" t="s">
        <v>1116</v>
      </c>
      <c r="J83" s="82">
        <v>35033</v>
      </c>
      <c r="K83" s="83">
        <f t="shared" si="3"/>
        <v>16068.375</v>
      </c>
      <c r="L83" s="83">
        <v>13972.5</v>
      </c>
    </row>
    <row r="84" spans="1:12" x14ac:dyDescent="0.35">
      <c r="A84" s="80">
        <f t="shared" si="4"/>
        <v>81</v>
      </c>
      <c r="B84" s="80">
        <v>289</v>
      </c>
      <c r="C84" s="81" t="s">
        <v>1209</v>
      </c>
      <c r="D84" s="82">
        <v>44812</v>
      </c>
      <c r="E84" s="81" t="s">
        <v>1132</v>
      </c>
      <c r="F84" s="81" t="s">
        <v>134</v>
      </c>
      <c r="G84" s="81" t="s">
        <v>700</v>
      </c>
      <c r="H84" s="81" t="s">
        <v>1025</v>
      </c>
      <c r="I84" s="81" t="s">
        <v>1126</v>
      </c>
      <c r="J84" s="82">
        <v>37429</v>
      </c>
      <c r="K84" s="83">
        <f t="shared" si="3"/>
        <v>15525</v>
      </c>
      <c r="L84" s="83">
        <v>13500</v>
      </c>
    </row>
    <row r="85" spans="1:12" x14ac:dyDescent="0.35">
      <c r="A85" s="80">
        <f t="shared" si="4"/>
        <v>82</v>
      </c>
      <c r="B85" s="80">
        <v>290</v>
      </c>
      <c r="C85" s="81" t="s">
        <v>1210</v>
      </c>
      <c r="D85" s="82">
        <v>44812</v>
      </c>
      <c r="E85" s="81" t="s">
        <v>1132</v>
      </c>
      <c r="F85" s="81" t="s">
        <v>134</v>
      </c>
      <c r="G85" s="81" t="s">
        <v>700</v>
      </c>
      <c r="H85" s="81" t="s">
        <v>1025</v>
      </c>
      <c r="I85" s="81" t="s">
        <v>1126</v>
      </c>
      <c r="J85" s="82">
        <v>36683</v>
      </c>
      <c r="K85" s="83">
        <f t="shared" si="3"/>
        <v>15525</v>
      </c>
      <c r="L85" s="83">
        <v>13500</v>
      </c>
    </row>
    <row r="86" spans="1:12" x14ac:dyDescent="0.35">
      <c r="A86" s="80">
        <f t="shared" si="4"/>
        <v>83</v>
      </c>
      <c r="B86" s="80">
        <v>308</v>
      </c>
      <c r="C86" s="81" t="s">
        <v>1211</v>
      </c>
      <c r="D86" s="82">
        <v>44851</v>
      </c>
      <c r="E86" s="81" t="s">
        <v>1132</v>
      </c>
      <c r="F86" s="81" t="s">
        <v>134</v>
      </c>
      <c r="G86" s="81" t="s">
        <v>700</v>
      </c>
      <c r="H86" s="81" t="s">
        <v>1025</v>
      </c>
      <c r="I86" s="81" t="s">
        <v>1126</v>
      </c>
      <c r="J86" s="82">
        <v>34641</v>
      </c>
      <c r="K86" s="83">
        <f t="shared" si="3"/>
        <v>15525</v>
      </c>
      <c r="L86" s="83">
        <v>13500</v>
      </c>
    </row>
    <row r="87" spans="1:12" x14ac:dyDescent="0.35">
      <c r="A87" s="80">
        <f t="shared" si="4"/>
        <v>84</v>
      </c>
      <c r="B87" s="80">
        <v>309</v>
      </c>
      <c r="C87" s="81" t="s">
        <v>1212</v>
      </c>
      <c r="D87" s="82">
        <v>44851</v>
      </c>
      <c r="E87" s="81" t="s">
        <v>1132</v>
      </c>
      <c r="F87" s="81" t="s">
        <v>134</v>
      </c>
      <c r="G87" s="81" t="s">
        <v>700</v>
      </c>
      <c r="H87" s="81" t="s">
        <v>1025</v>
      </c>
      <c r="I87" s="81" t="s">
        <v>1126</v>
      </c>
      <c r="J87" s="82">
        <v>36722</v>
      </c>
      <c r="K87" s="83">
        <f t="shared" si="3"/>
        <v>15525</v>
      </c>
      <c r="L87" s="83">
        <v>13500</v>
      </c>
    </row>
    <row r="88" spans="1:12" x14ac:dyDescent="0.35">
      <c r="A88" s="80">
        <f t="shared" si="4"/>
        <v>85</v>
      </c>
      <c r="B88" s="80">
        <v>346</v>
      </c>
      <c r="C88" s="81" t="s">
        <v>1213</v>
      </c>
      <c r="D88" s="82">
        <v>44958</v>
      </c>
      <c r="E88" s="81" t="s">
        <v>1132</v>
      </c>
      <c r="F88" s="81" t="s">
        <v>134</v>
      </c>
      <c r="G88" s="81" t="s">
        <v>700</v>
      </c>
      <c r="H88" s="81" t="s">
        <v>1025</v>
      </c>
      <c r="I88" s="81" t="s">
        <v>1126</v>
      </c>
      <c r="J88" s="82">
        <v>37492</v>
      </c>
      <c r="K88" s="83">
        <f t="shared" si="3"/>
        <v>15525</v>
      </c>
      <c r="L88" s="83">
        <v>13500</v>
      </c>
    </row>
    <row r="89" spans="1:12" x14ac:dyDescent="0.35">
      <c r="A89" s="80">
        <f t="shared" si="4"/>
        <v>86</v>
      </c>
      <c r="B89" s="80">
        <v>347</v>
      </c>
      <c r="C89" s="81" t="s">
        <v>1214</v>
      </c>
      <c r="D89" s="82">
        <v>44958</v>
      </c>
      <c r="E89" s="81" t="s">
        <v>1132</v>
      </c>
      <c r="F89" s="81" t="s">
        <v>134</v>
      </c>
      <c r="G89" s="81" t="s">
        <v>700</v>
      </c>
      <c r="H89" s="81" t="s">
        <v>1025</v>
      </c>
      <c r="I89" s="81" t="s">
        <v>1126</v>
      </c>
      <c r="J89" s="82">
        <v>37109</v>
      </c>
      <c r="K89" s="83">
        <f t="shared" si="3"/>
        <v>15525</v>
      </c>
      <c r="L89" s="83">
        <v>13500</v>
      </c>
    </row>
    <row r="90" spans="1:12" x14ac:dyDescent="0.35">
      <c r="A90" s="80">
        <f t="shared" si="4"/>
        <v>87</v>
      </c>
      <c r="B90" s="80">
        <v>348</v>
      </c>
      <c r="C90" s="81" t="s">
        <v>1215</v>
      </c>
      <c r="D90" s="82">
        <v>44958</v>
      </c>
      <c r="E90" s="81" t="s">
        <v>1132</v>
      </c>
      <c r="F90" s="81" t="s">
        <v>134</v>
      </c>
      <c r="G90" s="81" t="s">
        <v>700</v>
      </c>
      <c r="H90" s="81" t="s">
        <v>1025</v>
      </c>
      <c r="I90" s="81" t="s">
        <v>1126</v>
      </c>
      <c r="J90" s="82">
        <v>37222</v>
      </c>
      <c r="K90" s="83">
        <f t="shared" si="3"/>
        <v>15525</v>
      </c>
      <c r="L90" s="83">
        <v>13500</v>
      </c>
    </row>
    <row r="91" spans="1:12" x14ac:dyDescent="0.35">
      <c r="A91" s="80">
        <f t="shared" si="4"/>
        <v>88</v>
      </c>
      <c r="B91" s="80">
        <v>349</v>
      </c>
      <c r="C91" s="81" t="s">
        <v>1216</v>
      </c>
      <c r="D91" s="82">
        <v>44959</v>
      </c>
      <c r="E91" s="81" t="s">
        <v>1132</v>
      </c>
      <c r="F91" s="81" t="s">
        <v>134</v>
      </c>
      <c r="G91" s="81" t="s">
        <v>700</v>
      </c>
      <c r="H91" s="81" t="s">
        <v>1025</v>
      </c>
      <c r="I91" s="81" t="s">
        <v>1126</v>
      </c>
      <c r="J91" s="82">
        <v>36832</v>
      </c>
      <c r="K91" s="83">
        <f t="shared" si="3"/>
        <v>15525</v>
      </c>
      <c r="L91" s="83">
        <v>13500</v>
      </c>
    </row>
    <row r="92" spans="1:12" x14ac:dyDescent="0.35">
      <c r="A92" s="80">
        <f t="shared" si="4"/>
        <v>89</v>
      </c>
      <c r="B92" s="80">
        <v>357</v>
      </c>
      <c r="C92" s="81" t="s">
        <v>1217</v>
      </c>
      <c r="D92" s="82">
        <v>44977</v>
      </c>
      <c r="E92" s="81" t="s">
        <v>1132</v>
      </c>
      <c r="F92" s="81" t="s">
        <v>134</v>
      </c>
      <c r="G92" s="81" t="s">
        <v>700</v>
      </c>
      <c r="H92" s="81" t="s">
        <v>1025</v>
      </c>
      <c r="I92" s="81" t="s">
        <v>1126</v>
      </c>
      <c r="J92" s="82">
        <v>36479</v>
      </c>
      <c r="K92" s="83">
        <f t="shared" si="3"/>
        <v>15525</v>
      </c>
      <c r="L92" s="83">
        <v>13500</v>
      </c>
    </row>
    <row r="93" spans="1:12" x14ac:dyDescent="0.35">
      <c r="A93" s="80">
        <f t="shared" si="4"/>
        <v>90</v>
      </c>
      <c r="B93" s="80">
        <v>358</v>
      </c>
      <c r="C93" s="81" t="s">
        <v>1218</v>
      </c>
      <c r="D93" s="82">
        <v>44977</v>
      </c>
      <c r="E93" s="81" t="s">
        <v>1132</v>
      </c>
      <c r="F93" s="81" t="s">
        <v>134</v>
      </c>
      <c r="G93" s="81" t="s">
        <v>700</v>
      </c>
      <c r="H93" s="81" t="s">
        <v>1025</v>
      </c>
      <c r="I93" s="81" t="s">
        <v>1124</v>
      </c>
      <c r="J93" s="82">
        <v>37478</v>
      </c>
      <c r="K93" s="83">
        <f t="shared" si="3"/>
        <v>15525</v>
      </c>
      <c r="L93" s="83">
        <v>13500</v>
      </c>
    </row>
    <row r="94" spans="1:12" x14ac:dyDescent="0.35">
      <c r="A94" s="80">
        <f t="shared" si="4"/>
        <v>91</v>
      </c>
      <c r="B94" s="80">
        <v>359</v>
      </c>
      <c r="C94" s="81" t="s">
        <v>1219</v>
      </c>
      <c r="D94" s="82">
        <v>44977</v>
      </c>
      <c r="E94" s="81" t="s">
        <v>1132</v>
      </c>
      <c r="F94" s="81" t="s">
        <v>134</v>
      </c>
      <c r="G94" s="81" t="s">
        <v>700</v>
      </c>
      <c r="H94" s="81" t="s">
        <v>1025</v>
      </c>
      <c r="I94" s="81" t="s">
        <v>1124</v>
      </c>
      <c r="J94" s="82">
        <v>35593</v>
      </c>
      <c r="K94" s="83">
        <f t="shared" si="3"/>
        <v>15525</v>
      </c>
      <c r="L94" s="83">
        <v>13500</v>
      </c>
    </row>
    <row r="95" spans="1:12" x14ac:dyDescent="0.35">
      <c r="A95" s="80">
        <f t="shared" si="4"/>
        <v>92</v>
      </c>
      <c r="B95" s="80">
        <v>362</v>
      </c>
      <c r="C95" s="81" t="s">
        <v>1220</v>
      </c>
      <c r="D95" s="82">
        <v>44977</v>
      </c>
      <c r="E95" s="81" t="s">
        <v>1132</v>
      </c>
      <c r="F95" s="81" t="s">
        <v>134</v>
      </c>
      <c r="G95" s="81" t="s">
        <v>700</v>
      </c>
      <c r="H95" s="81" t="s">
        <v>1025</v>
      </c>
      <c r="I95" s="81" t="s">
        <v>1126</v>
      </c>
      <c r="J95" s="82">
        <v>37065</v>
      </c>
      <c r="K95" s="83">
        <f t="shared" si="3"/>
        <v>15525</v>
      </c>
      <c r="L95" s="83">
        <v>13500</v>
      </c>
    </row>
    <row r="96" spans="1:12" x14ac:dyDescent="0.35">
      <c r="A96" s="80">
        <f t="shared" si="4"/>
        <v>93</v>
      </c>
      <c r="B96" s="80">
        <v>397</v>
      </c>
      <c r="C96" s="81" t="s">
        <v>1221</v>
      </c>
      <c r="D96" s="82">
        <v>45078</v>
      </c>
      <c r="E96" s="81" t="s">
        <v>1132</v>
      </c>
      <c r="F96" s="81" t="s">
        <v>134</v>
      </c>
      <c r="G96" s="81" t="s">
        <v>700</v>
      </c>
      <c r="H96" s="81" t="s">
        <v>1025</v>
      </c>
      <c r="I96" s="81" t="s">
        <v>1126</v>
      </c>
      <c r="J96" s="82">
        <v>36609</v>
      </c>
      <c r="K96" s="83">
        <f t="shared" si="3"/>
        <v>15525</v>
      </c>
      <c r="L96" s="83">
        <v>13500</v>
      </c>
    </row>
    <row r="97" spans="1:12" x14ac:dyDescent="0.35">
      <c r="A97" s="80">
        <f t="shared" si="4"/>
        <v>94</v>
      </c>
      <c r="B97" s="80">
        <v>398</v>
      </c>
      <c r="C97" s="81" t="s">
        <v>1222</v>
      </c>
      <c r="D97" s="82">
        <v>45078</v>
      </c>
      <c r="E97" s="81" t="s">
        <v>1132</v>
      </c>
      <c r="F97" s="81" t="s">
        <v>134</v>
      </c>
      <c r="G97" s="81" t="s">
        <v>700</v>
      </c>
      <c r="H97" s="81" t="s">
        <v>1025</v>
      </c>
      <c r="I97" s="81" t="s">
        <v>1126</v>
      </c>
      <c r="J97" s="82">
        <v>36609</v>
      </c>
      <c r="K97" s="83">
        <f t="shared" si="3"/>
        <v>15525</v>
      </c>
      <c r="L97" s="83">
        <v>13500</v>
      </c>
    </row>
    <row r="98" spans="1:12" x14ac:dyDescent="0.35">
      <c r="A98" s="80">
        <f t="shared" si="4"/>
        <v>95</v>
      </c>
      <c r="B98" s="80">
        <v>399</v>
      </c>
      <c r="C98" s="81" t="s">
        <v>1223</v>
      </c>
      <c r="D98" s="82">
        <v>45078</v>
      </c>
      <c r="E98" s="81" t="s">
        <v>1132</v>
      </c>
      <c r="F98" s="81" t="s">
        <v>134</v>
      </c>
      <c r="G98" s="81" t="s">
        <v>700</v>
      </c>
      <c r="H98" s="81" t="s">
        <v>1025</v>
      </c>
      <c r="I98" s="81" t="s">
        <v>1124</v>
      </c>
      <c r="J98" s="82">
        <v>37397</v>
      </c>
      <c r="K98" s="83">
        <f t="shared" si="3"/>
        <v>15525</v>
      </c>
      <c r="L98" s="83">
        <v>13500</v>
      </c>
    </row>
    <row r="99" spans="1:12" x14ac:dyDescent="0.35">
      <c r="A99" s="80">
        <f t="shared" si="4"/>
        <v>96</v>
      </c>
      <c r="B99" s="80">
        <v>421</v>
      </c>
      <c r="C99" s="81" t="s">
        <v>1224</v>
      </c>
      <c r="D99" s="82">
        <v>45154</v>
      </c>
      <c r="E99" s="81" t="s">
        <v>1132</v>
      </c>
      <c r="F99" s="81" t="s">
        <v>134</v>
      </c>
      <c r="G99" s="81" t="s">
        <v>700</v>
      </c>
      <c r="H99" s="81" t="s">
        <v>822</v>
      </c>
      <c r="I99" s="81" t="s">
        <v>1116</v>
      </c>
      <c r="J99" s="82">
        <v>37060</v>
      </c>
      <c r="K99" s="83">
        <f t="shared" si="3"/>
        <v>13800</v>
      </c>
      <c r="L99" s="83">
        <v>12000</v>
      </c>
    </row>
    <row r="100" spans="1:12" x14ac:dyDescent="0.35">
      <c r="A100" s="80">
        <f t="shared" si="4"/>
        <v>97</v>
      </c>
      <c r="B100" s="80">
        <v>438</v>
      </c>
      <c r="C100" s="81" t="s">
        <v>1225</v>
      </c>
      <c r="D100" s="82">
        <v>45238</v>
      </c>
      <c r="E100" s="81" t="s">
        <v>1115</v>
      </c>
      <c r="F100" s="81" t="s">
        <v>1226</v>
      </c>
      <c r="G100" s="81" t="s">
        <v>700</v>
      </c>
      <c r="H100" s="81" t="s">
        <v>1226</v>
      </c>
      <c r="I100" s="81" t="s">
        <v>1123</v>
      </c>
      <c r="J100" s="82">
        <v>33851</v>
      </c>
      <c r="K100" s="83">
        <f t="shared" si="3"/>
        <v>85100</v>
      </c>
      <c r="L100" s="83">
        <v>74000</v>
      </c>
    </row>
    <row r="101" spans="1:12" x14ac:dyDescent="0.35">
      <c r="A101" s="80">
        <f t="shared" si="4"/>
        <v>98</v>
      </c>
      <c r="B101" s="80">
        <v>30</v>
      </c>
      <c r="C101" s="81" t="s">
        <v>1227</v>
      </c>
      <c r="D101" s="82">
        <v>43850</v>
      </c>
      <c r="E101" s="81" t="s">
        <v>1115</v>
      </c>
      <c r="F101" s="81" t="s">
        <v>140</v>
      </c>
      <c r="G101" s="81" t="s">
        <v>700</v>
      </c>
      <c r="H101" s="81" t="s">
        <v>140</v>
      </c>
      <c r="I101" s="81" t="s">
        <v>1129</v>
      </c>
      <c r="J101" s="82">
        <v>31152</v>
      </c>
      <c r="K101" s="83">
        <f t="shared" ref="K101:K132" si="5">L101+(L101*$K$2)</f>
        <v>113021.425</v>
      </c>
      <c r="L101" s="83">
        <v>98279.5</v>
      </c>
    </row>
    <row r="102" spans="1:12" x14ac:dyDescent="0.35">
      <c r="A102" s="80">
        <f t="shared" si="4"/>
        <v>99</v>
      </c>
      <c r="B102" s="80">
        <v>253</v>
      </c>
      <c r="C102" s="81" t="s">
        <v>1228</v>
      </c>
      <c r="D102" s="82">
        <v>44700</v>
      </c>
      <c r="E102" s="81" t="s">
        <v>1115</v>
      </c>
      <c r="F102" s="81" t="s">
        <v>140</v>
      </c>
      <c r="G102" s="81" t="s">
        <v>700</v>
      </c>
      <c r="H102" s="81" t="s">
        <v>140</v>
      </c>
      <c r="I102" s="81" t="s">
        <v>1129</v>
      </c>
      <c r="J102" s="82">
        <v>30107</v>
      </c>
      <c r="K102" s="83">
        <f t="shared" si="5"/>
        <v>78355.089000000007</v>
      </c>
      <c r="L102" s="83">
        <v>68134.86</v>
      </c>
    </row>
    <row r="103" spans="1:12" x14ac:dyDescent="0.35">
      <c r="A103" s="80">
        <f t="shared" si="4"/>
        <v>100</v>
      </c>
      <c r="B103" s="80">
        <v>39</v>
      </c>
      <c r="C103" s="81" t="s">
        <v>1229</v>
      </c>
      <c r="D103" s="82">
        <v>43892</v>
      </c>
      <c r="E103" s="81" t="s">
        <v>1115</v>
      </c>
      <c r="F103" s="81" t="s">
        <v>1230</v>
      </c>
      <c r="G103" s="81" t="s">
        <v>700</v>
      </c>
      <c r="H103" s="81" t="s">
        <v>1231</v>
      </c>
      <c r="I103" s="81" t="s">
        <v>1116</v>
      </c>
      <c r="J103" s="82">
        <v>34881</v>
      </c>
      <c r="K103" s="83">
        <f t="shared" si="5"/>
        <v>41092.811999999998</v>
      </c>
      <c r="L103" s="83">
        <v>35732.879999999997</v>
      </c>
    </row>
    <row r="104" spans="1:12" x14ac:dyDescent="0.35">
      <c r="A104" s="80">
        <f t="shared" si="4"/>
        <v>101</v>
      </c>
      <c r="B104" s="80">
        <v>60</v>
      </c>
      <c r="C104" s="81" t="s">
        <v>1232</v>
      </c>
      <c r="D104" s="82">
        <v>44179</v>
      </c>
      <c r="E104" s="81" t="s">
        <v>1115</v>
      </c>
      <c r="F104" s="81" t="s">
        <v>1230</v>
      </c>
      <c r="G104" s="81" t="s">
        <v>700</v>
      </c>
      <c r="H104" s="81" t="s">
        <v>1231</v>
      </c>
      <c r="I104" s="81" t="s">
        <v>1129</v>
      </c>
      <c r="J104" s="82">
        <v>29705</v>
      </c>
      <c r="K104" s="83">
        <f t="shared" si="5"/>
        <v>44572.896000000001</v>
      </c>
      <c r="L104" s="83">
        <v>38759.040000000001</v>
      </c>
    </row>
    <row r="105" spans="1:12" x14ac:dyDescent="0.35">
      <c r="A105" s="80">
        <f t="shared" si="4"/>
        <v>102</v>
      </c>
      <c r="B105" s="80">
        <v>90</v>
      </c>
      <c r="C105" s="81" t="s">
        <v>1233</v>
      </c>
      <c r="D105" s="82">
        <v>44309</v>
      </c>
      <c r="E105" s="81" t="s">
        <v>1115</v>
      </c>
      <c r="F105" s="81" t="s">
        <v>1230</v>
      </c>
      <c r="G105" s="81" t="s">
        <v>700</v>
      </c>
      <c r="H105" s="81" t="s">
        <v>1231</v>
      </c>
      <c r="I105" s="81" t="s">
        <v>1131</v>
      </c>
      <c r="J105" s="82">
        <v>33928</v>
      </c>
      <c r="K105" s="83">
        <f t="shared" si="5"/>
        <v>44528</v>
      </c>
      <c r="L105" s="83">
        <v>38720</v>
      </c>
    </row>
    <row r="106" spans="1:12" x14ac:dyDescent="0.35">
      <c r="A106" s="80">
        <f t="shared" si="4"/>
        <v>103</v>
      </c>
      <c r="B106" s="80">
        <v>235</v>
      </c>
      <c r="C106" s="81" t="s">
        <v>1234</v>
      </c>
      <c r="D106" s="82">
        <v>44685</v>
      </c>
      <c r="E106" s="81" t="s">
        <v>1115</v>
      </c>
      <c r="F106" s="81" t="s">
        <v>1230</v>
      </c>
      <c r="G106" s="81" t="s">
        <v>700</v>
      </c>
      <c r="H106" s="81" t="s">
        <v>1231</v>
      </c>
      <c r="I106" s="81" t="s">
        <v>1126</v>
      </c>
      <c r="J106" s="82">
        <v>34356</v>
      </c>
      <c r="K106" s="83">
        <f t="shared" si="5"/>
        <v>43608</v>
      </c>
      <c r="L106" s="83">
        <v>37920</v>
      </c>
    </row>
    <row r="107" spans="1:12" x14ac:dyDescent="0.35">
      <c r="A107" s="80">
        <f t="shared" si="4"/>
        <v>104</v>
      </c>
      <c r="B107" s="80">
        <v>59</v>
      </c>
      <c r="C107" s="81" t="s">
        <v>1235</v>
      </c>
      <c r="D107" s="82">
        <v>44137</v>
      </c>
      <c r="E107" s="81" t="s">
        <v>1115</v>
      </c>
      <c r="F107" s="81" t="s">
        <v>1236</v>
      </c>
      <c r="G107" s="81" t="s">
        <v>700</v>
      </c>
      <c r="H107" s="81" t="s">
        <v>339</v>
      </c>
      <c r="I107" s="81" t="s">
        <v>1129</v>
      </c>
      <c r="J107" s="82">
        <v>30941</v>
      </c>
      <c r="K107" s="83">
        <f t="shared" si="5"/>
        <v>156101</v>
      </c>
      <c r="L107" s="83">
        <v>135740</v>
      </c>
    </row>
    <row r="108" spans="1:12" x14ac:dyDescent="0.35">
      <c r="A108" s="80">
        <f t="shared" si="4"/>
        <v>105</v>
      </c>
      <c r="B108" s="80">
        <v>200</v>
      </c>
      <c r="C108" s="81" t="s">
        <v>1237</v>
      </c>
      <c r="D108" s="82">
        <v>44606</v>
      </c>
      <c r="E108" s="81" t="s">
        <v>1115</v>
      </c>
      <c r="F108" s="81" t="s">
        <v>1236</v>
      </c>
      <c r="G108" s="81" t="s">
        <v>700</v>
      </c>
      <c r="H108" s="81" t="s">
        <v>339</v>
      </c>
      <c r="I108" s="81" t="s">
        <v>1126</v>
      </c>
      <c r="J108" s="82">
        <v>33205</v>
      </c>
      <c r="K108" s="83">
        <f t="shared" si="5"/>
        <v>108273.65</v>
      </c>
      <c r="L108" s="83">
        <v>94151</v>
      </c>
    </row>
    <row r="109" spans="1:12" x14ac:dyDescent="0.35">
      <c r="A109" s="80">
        <f t="shared" si="4"/>
        <v>106</v>
      </c>
      <c r="B109" s="80">
        <v>351</v>
      </c>
      <c r="C109" s="81" t="s">
        <v>1238</v>
      </c>
      <c r="D109" s="82">
        <v>44960</v>
      </c>
      <c r="E109" s="81" t="s">
        <v>1115</v>
      </c>
      <c r="F109" s="81" t="s">
        <v>1236</v>
      </c>
      <c r="G109" s="81" t="s">
        <v>700</v>
      </c>
      <c r="H109" s="81" t="s">
        <v>1239</v>
      </c>
      <c r="I109" s="81" t="s">
        <v>1131</v>
      </c>
      <c r="J109" s="82">
        <v>28813</v>
      </c>
      <c r="K109" s="83">
        <f t="shared" si="5"/>
        <v>132250</v>
      </c>
      <c r="L109" s="83">
        <v>115000</v>
      </c>
    </row>
    <row r="110" spans="1:12" x14ac:dyDescent="0.35">
      <c r="A110" s="80">
        <f t="shared" si="4"/>
        <v>107</v>
      </c>
      <c r="B110" s="80">
        <v>439</v>
      </c>
      <c r="C110" s="81" t="s">
        <v>1240</v>
      </c>
      <c r="D110" s="82">
        <v>45250</v>
      </c>
      <c r="E110" s="81" t="s">
        <v>1115</v>
      </c>
      <c r="F110" s="81" t="s">
        <v>1236</v>
      </c>
      <c r="G110" s="81" t="s">
        <v>700</v>
      </c>
      <c r="H110" s="81" t="s">
        <v>1241</v>
      </c>
      <c r="I110" s="81" t="s">
        <v>1129</v>
      </c>
      <c r="J110" s="82">
        <v>31731</v>
      </c>
      <c r="K110" s="289">
        <f t="shared" si="5"/>
        <v>268332.95</v>
      </c>
      <c r="L110" s="83">
        <v>233333</v>
      </c>
    </row>
    <row r="111" spans="1:12" x14ac:dyDescent="0.35">
      <c r="A111" s="80">
        <f t="shared" si="4"/>
        <v>108</v>
      </c>
      <c r="B111" s="80">
        <v>154</v>
      </c>
      <c r="C111" s="81" t="s">
        <v>1242</v>
      </c>
      <c r="D111" s="82">
        <v>44215</v>
      </c>
      <c r="E111" s="81" t="s">
        <v>1115</v>
      </c>
      <c r="F111" s="81" t="s">
        <v>353</v>
      </c>
      <c r="G111" s="81" t="s">
        <v>826</v>
      </c>
      <c r="H111" s="81" t="s">
        <v>1243</v>
      </c>
      <c r="I111" s="81" t="s">
        <v>1123</v>
      </c>
      <c r="J111" s="82">
        <v>30013</v>
      </c>
      <c r="K111" s="83">
        <f t="shared" si="5"/>
        <v>19996.2</v>
      </c>
      <c r="L111" s="83">
        <v>17388</v>
      </c>
    </row>
    <row r="112" spans="1:12" x14ac:dyDescent="0.35">
      <c r="A112" s="80">
        <f t="shared" si="4"/>
        <v>109</v>
      </c>
      <c r="B112" s="80">
        <v>316</v>
      </c>
      <c r="C112" s="81" t="s">
        <v>1244</v>
      </c>
      <c r="D112" s="82">
        <v>44872</v>
      </c>
      <c r="E112" s="81" t="s">
        <v>1115</v>
      </c>
      <c r="F112" s="81" t="s">
        <v>353</v>
      </c>
      <c r="G112" s="81" t="s">
        <v>826</v>
      </c>
      <c r="H112" s="81" t="s">
        <v>1243</v>
      </c>
      <c r="I112" s="81" t="s">
        <v>1124</v>
      </c>
      <c r="J112" s="82">
        <v>33567</v>
      </c>
      <c r="K112" s="83">
        <f t="shared" si="5"/>
        <v>14950</v>
      </c>
      <c r="L112" s="83">
        <v>13000</v>
      </c>
    </row>
    <row r="113" spans="1:12" x14ac:dyDescent="0.35">
      <c r="A113" s="80">
        <f t="shared" si="4"/>
        <v>110</v>
      </c>
      <c r="B113" s="80">
        <v>361</v>
      </c>
      <c r="C113" s="81" t="s">
        <v>1245</v>
      </c>
      <c r="D113" s="82">
        <v>44977</v>
      </c>
      <c r="E113" s="81" t="s">
        <v>1115</v>
      </c>
      <c r="F113" s="81" t="s">
        <v>353</v>
      </c>
      <c r="G113" s="81" t="s">
        <v>826</v>
      </c>
      <c r="H113" s="81" t="s">
        <v>1246</v>
      </c>
      <c r="I113" s="81" t="s">
        <v>1116</v>
      </c>
      <c r="J113" s="82">
        <v>34874</v>
      </c>
      <c r="K113" s="83">
        <f t="shared" si="5"/>
        <v>28750</v>
      </c>
      <c r="L113" s="83">
        <v>25000</v>
      </c>
    </row>
    <row r="114" spans="1:12" x14ac:dyDescent="0.35">
      <c r="A114" s="80">
        <f t="shared" si="4"/>
        <v>111</v>
      </c>
      <c r="B114" s="80">
        <v>418</v>
      </c>
      <c r="C114" s="81" t="s">
        <v>1247</v>
      </c>
      <c r="D114" s="82">
        <v>45146</v>
      </c>
      <c r="E114" s="81" t="s">
        <v>1115</v>
      </c>
      <c r="F114" s="81" t="s">
        <v>353</v>
      </c>
      <c r="G114" s="81" t="s">
        <v>826</v>
      </c>
      <c r="H114" s="81" t="s">
        <v>924</v>
      </c>
      <c r="I114" s="81" t="s">
        <v>1116</v>
      </c>
      <c r="J114" s="82">
        <v>35937</v>
      </c>
      <c r="K114" s="83">
        <f t="shared" si="5"/>
        <v>17250</v>
      </c>
      <c r="L114" s="83">
        <v>15000</v>
      </c>
    </row>
    <row r="115" spans="1:12" x14ac:dyDescent="0.35">
      <c r="A115" s="80">
        <f t="shared" si="4"/>
        <v>112</v>
      </c>
      <c r="B115" s="80">
        <v>217</v>
      </c>
      <c r="C115" s="81" t="s">
        <v>1248</v>
      </c>
      <c r="D115" s="82">
        <v>44655</v>
      </c>
      <c r="E115" s="81" t="s">
        <v>1115</v>
      </c>
      <c r="F115" s="81" t="s">
        <v>355</v>
      </c>
      <c r="G115" s="81" t="s">
        <v>826</v>
      </c>
      <c r="H115" s="81" t="s">
        <v>1249</v>
      </c>
      <c r="I115" s="81" t="s">
        <v>1129</v>
      </c>
      <c r="J115" s="82">
        <v>35346</v>
      </c>
      <c r="K115" s="83">
        <f t="shared" si="5"/>
        <v>18285</v>
      </c>
      <c r="L115" s="83">
        <v>15900</v>
      </c>
    </row>
    <row r="116" spans="1:12" x14ac:dyDescent="0.35">
      <c r="A116" s="80">
        <f t="shared" si="4"/>
        <v>113</v>
      </c>
      <c r="B116" s="80">
        <v>74</v>
      </c>
      <c r="C116" s="81" t="s">
        <v>1250</v>
      </c>
      <c r="D116" s="82">
        <v>44228</v>
      </c>
      <c r="E116" s="81" t="s">
        <v>1115</v>
      </c>
      <c r="F116" s="81" t="s">
        <v>333</v>
      </c>
      <c r="G116" s="81" t="s">
        <v>826</v>
      </c>
      <c r="H116" s="81" t="s">
        <v>1251</v>
      </c>
      <c r="I116" s="81" t="s">
        <v>1126</v>
      </c>
      <c r="J116" s="82">
        <v>35824</v>
      </c>
      <c r="K116" s="83">
        <f t="shared" si="5"/>
        <v>29516.244999999999</v>
      </c>
      <c r="L116" s="83">
        <v>25666.3</v>
      </c>
    </row>
    <row r="117" spans="1:12" x14ac:dyDescent="0.35">
      <c r="A117" s="80">
        <f t="shared" si="4"/>
        <v>114</v>
      </c>
      <c r="B117" s="80">
        <v>141</v>
      </c>
      <c r="C117" s="81" t="s">
        <v>1252</v>
      </c>
      <c r="D117" s="82">
        <v>44445</v>
      </c>
      <c r="E117" s="81" t="s">
        <v>1115</v>
      </c>
      <c r="F117" s="81" t="s">
        <v>333</v>
      </c>
      <c r="G117" s="81" t="s">
        <v>826</v>
      </c>
      <c r="H117" s="81" t="s">
        <v>1249</v>
      </c>
      <c r="I117" s="81" t="s">
        <v>1131</v>
      </c>
      <c r="J117" s="82">
        <v>35667</v>
      </c>
      <c r="K117" s="83">
        <f t="shared" si="5"/>
        <v>20268.75</v>
      </c>
      <c r="L117" s="83">
        <v>17625</v>
      </c>
    </row>
    <row r="118" spans="1:12" x14ac:dyDescent="0.35">
      <c r="A118" s="80">
        <f t="shared" si="4"/>
        <v>115</v>
      </c>
      <c r="B118" s="80">
        <v>107</v>
      </c>
      <c r="C118" s="81" t="s">
        <v>1253</v>
      </c>
      <c r="D118" s="82">
        <v>44378</v>
      </c>
      <c r="E118" s="81" t="s">
        <v>1132</v>
      </c>
      <c r="F118" s="81" t="s">
        <v>333</v>
      </c>
      <c r="G118" s="81" t="s">
        <v>826</v>
      </c>
      <c r="H118" s="81" t="s">
        <v>1254</v>
      </c>
      <c r="I118" s="81" t="s">
        <v>1126</v>
      </c>
      <c r="J118" s="82">
        <v>37016</v>
      </c>
      <c r="K118" s="83">
        <f t="shared" si="5"/>
        <v>19237.2</v>
      </c>
      <c r="L118" s="83">
        <v>16728</v>
      </c>
    </row>
    <row r="119" spans="1:12" x14ac:dyDescent="0.35">
      <c r="A119" s="80">
        <f t="shared" si="4"/>
        <v>116</v>
      </c>
      <c r="B119" s="80">
        <v>322</v>
      </c>
      <c r="C119" s="81" t="s">
        <v>1255</v>
      </c>
      <c r="D119" s="82">
        <v>44880</v>
      </c>
      <c r="E119" s="81" t="s">
        <v>1132</v>
      </c>
      <c r="F119" s="81" t="s">
        <v>333</v>
      </c>
      <c r="G119" s="81" t="s">
        <v>826</v>
      </c>
      <c r="H119" s="81" t="s">
        <v>1249</v>
      </c>
      <c r="I119" s="81" t="s">
        <v>1126</v>
      </c>
      <c r="J119" s="82">
        <v>37183</v>
      </c>
      <c r="K119" s="83">
        <f t="shared" si="5"/>
        <v>15525</v>
      </c>
      <c r="L119" s="83">
        <v>13500</v>
      </c>
    </row>
    <row r="120" spans="1:12" x14ac:dyDescent="0.35">
      <c r="A120" s="80">
        <f t="shared" si="4"/>
        <v>117</v>
      </c>
      <c r="B120" s="80">
        <v>404</v>
      </c>
      <c r="C120" s="81" t="s">
        <v>1256</v>
      </c>
      <c r="D120" s="82">
        <v>45089</v>
      </c>
      <c r="E120" s="81" t="s">
        <v>1132</v>
      </c>
      <c r="F120" s="81" t="s">
        <v>333</v>
      </c>
      <c r="G120" s="81" t="s">
        <v>826</v>
      </c>
      <c r="H120" s="81" t="s">
        <v>1249</v>
      </c>
      <c r="I120" s="81" t="s">
        <v>1116</v>
      </c>
      <c r="J120" s="82">
        <v>37437</v>
      </c>
      <c r="K120" s="83">
        <f t="shared" si="5"/>
        <v>15525</v>
      </c>
      <c r="L120" s="83">
        <v>13500</v>
      </c>
    </row>
    <row r="121" spans="1:12" x14ac:dyDescent="0.35">
      <c r="A121" s="80">
        <f t="shared" si="4"/>
        <v>118</v>
      </c>
      <c r="B121" s="80">
        <v>3</v>
      </c>
      <c r="C121" s="81" t="s">
        <v>1257</v>
      </c>
      <c r="D121" s="82">
        <v>43066</v>
      </c>
      <c r="E121" s="81" t="s">
        <v>1115</v>
      </c>
      <c r="F121" s="81" t="s">
        <v>141</v>
      </c>
      <c r="G121" s="81" t="s">
        <v>826</v>
      </c>
      <c r="H121" s="81" t="s">
        <v>1258</v>
      </c>
      <c r="I121" s="81" t="s">
        <v>1129</v>
      </c>
      <c r="J121" s="82">
        <v>28785</v>
      </c>
      <c r="K121" s="83">
        <f t="shared" si="5"/>
        <v>42126.156000000003</v>
      </c>
      <c r="L121" s="83">
        <v>36631.440000000002</v>
      </c>
    </row>
    <row r="122" spans="1:12" x14ac:dyDescent="0.35">
      <c r="A122" s="80">
        <f t="shared" si="4"/>
        <v>119</v>
      </c>
      <c r="B122" s="80">
        <v>55</v>
      </c>
      <c r="C122" s="81" t="s">
        <v>1259</v>
      </c>
      <c r="D122" s="82">
        <v>44077</v>
      </c>
      <c r="E122" s="81" t="s">
        <v>1115</v>
      </c>
      <c r="F122" s="81" t="s">
        <v>141</v>
      </c>
      <c r="G122" s="81" t="s">
        <v>826</v>
      </c>
      <c r="H122" s="81" t="s">
        <v>1258</v>
      </c>
      <c r="I122" s="81" t="s">
        <v>1126</v>
      </c>
      <c r="J122" s="82">
        <v>34986</v>
      </c>
      <c r="K122" s="83">
        <f t="shared" si="5"/>
        <v>30238.973999999998</v>
      </c>
      <c r="L122" s="83">
        <v>26294.76</v>
      </c>
    </row>
    <row r="123" spans="1:12" x14ac:dyDescent="0.35">
      <c r="A123" s="80">
        <f t="shared" si="4"/>
        <v>120</v>
      </c>
      <c r="B123" s="80">
        <v>130</v>
      </c>
      <c r="C123" s="81" t="s">
        <v>1260</v>
      </c>
      <c r="D123" s="82">
        <v>44228</v>
      </c>
      <c r="E123" s="81" t="s">
        <v>1115</v>
      </c>
      <c r="F123" s="81" t="s">
        <v>141</v>
      </c>
      <c r="G123" s="81" t="s">
        <v>826</v>
      </c>
      <c r="H123" s="81" t="s">
        <v>1258</v>
      </c>
      <c r="I123" s="81" t="s">
        <v>1116</v>
      </c>
      <c r="J123" s="82">
        <v>33394</v>
      </c>
      <c r="K123" s="83">
        <f t="shared" si="5"/>
        <v>42810.13</v>
      </c>
      <c r="L123" s="83">
        <v>37226.199999999997</v>
      </c>
    </row>
    <row r="124" spans="1:12" x14ac:dyDescent="0.35">
      <c r="A124" s="80">
        <f t="shared" si="4"/>
        <v>121</v>
      </c>
      <c r="B124" s="80">
        <v>97</v>
      </c>
      <c r="C124" s="81" t="s">
        <v>1261</v>
      </c>
      <c r="D124" s="82">
        <v>44321</v>
      </c>
      <c r="E124" s="81" t="s">
        <v>1115</v>
      </c>
      <c r="F124" s="81" t="s">
        <v>141</v>
      </c>
      <c r="G124" s="81" t="s">
        <v>826</v>
      </c>
      <c r="H124" s="81" t="s">
        <v>1258</v>
      </c>
      <c r="I124" s="81" t="s">
        <v>1116</v>
      </c>
      <c r="J124" s="82">
        <v>35515</v>
      </c>
      <c r="K124" s="83">
        <f t="shared" si="5"/>
        <v>35322.480000000003</v>
      </c>
      <c r="L124" s="83">
        <v>30715.200000000001</v>
      </c>
    </row>
    <row r="125" spans="1:12" x14ac:dyDescent="0.35">
      <c r="A125" s="80">
        <f t="shared" si="4"/>
        <v>122</v>
      </c>
      <c r="B125" s="80">
        <v>175</v>
      </c>
      <c r="C125" s="81" t="s">
        <v>1262</v>
      </c>
      <c r="D125" s="82">
        <v>44564</v>
      </c>
      <c r="E125" s="81" t="s">
        <v>1115</v>
      </c>
      <c r="F125" s="81" t="s">
        <v>141</v>
      </c>
      <c r="G125" s="81" t="s">
        <v>826</v>
      </c>
      <c r="H125" s="81" t="s">
        <v>1258</v>
      </c>
      <c r="I125" s="81" t="s">
        <v>1116</v>
      </c>
      <c r="J125" s="82">
        <v>32138</v>
      </c>
      <c r="K125" s="83">
        <f t="shared" si="5"/>
        <v>37260</v>
      </c>
      <c r="L125" s="83">
        <v>32400</v>
      </c>
    </row>
    <row r="126" spans="1:12" x14ac:dyDescent="0.35">
      <c r="A126" s="80">
        <f t="shared" si="4"/>
        <v>123</v>
      </c>
      <c r="B126" s="80">
        <v>186</v>
      </c>
      <c r="C126" s="81" t="s">
        <v>1263</v>
      </c>
      <c r="D126" s="82">
        <v>44585</v>
      </c>
      <c r="E126" s="81" t="s">
        <v>1115</v>
      </c>
      <c r="F126" s="81" t="s">
        <v>141</v>
      </c>
      <c r="G126" s="81" t="s">
        <v>826</v>
      </c>
      <c r="H126" s="81" t="s">
        <v>1258</v>
      </c>
      <c r="I126" s="81" t="s">
        <v>1129</v>
      </c>
      <c r="J126" s="82">
        <v>33588</v>
      </c>
      <c r="K126" s="83">
        <f t="shared" si="5"/>
        <v>34561.333333333328</v>
      </c>
      <c r="L126" s="83">
        <v>30053.333333333332</v>
      </c>
    </row>
    <row r="127" spans="1:12" x14ac:dyDescent="0.35">
      <c r="A127" s="80">
        <f t="shared" si="4"/>
        <v>124</v>
      </c>
      <c r="B127" s="80">
        <v>33</v>
      </c>
      <c r="C127" s="81" t="s">
        <v>1264</v>
      </c>
      <c r="D127" s="82">
        <v>43850</v>
      </c>
      <c r="E127" s="81" t="s">
        <v>1132</v>
      </c>
      <c r="F127" s="81" t="s">
        <v>141</v>
      </c>
      <c r="G127" s="81" t="s">
        <v>826</v>
      </c>
      <c r="H127" s="81" t="s">
        <v>1258</v>
      </c>
      <c r="I127" s="81" t="s">
        <v>1126</v>
      </c>
      <c r="J127" s="82">
        <v>31337</v>
      </c>
      <c r="K127" s="83">
        <f t="shared" si="5"/>
        <v>22210.87</v>
      </c>
      <c r="L127" s="83">
        <v>19313.8</v>
      </c>
    </row>
    <row r="128" spans="1:12" x14ac:dyDescent="0.35">
      <c r="A128" s="80">
        <f t="shared" si="4"/>
        <v>125</v>
      </c>
      <c r="B128" s="80">
        <v>121</v>
      </c>
      <c r="C128" s="81" t="s">
        <v>1265</v>
      </c>
      <c r="D128" s="82">
        <v>44396</v>
      </c>
      <c r="E128" s="81" t="s">
        <v>1132</v>
      </c>
      <c r="F128" s="81" t="s">
        <v>141</v>
      </c>
      <c r="G128" s="81" t="s">
        <v>826</v>
      </c>
      <c r="H128" s="81" t="s">
        <v>1258</v>
      </c>
      <c r="I128" s="81" t="s">
        <v>1123</v>
      </c>
      <c r="J128" s="82">
        <v>35784</v>
      </c>
      <c r="K128" s="83">
        <f t="shared" si="5"/>
        <v>20320.5</v>
      </c>
      <c r="L128" s="83">
        <v>17670</v>
      </c>
    </row>
    <row r="129" spans="1:13" x14ac:dyDescent="0.35">
      <c r="A129" s="80">
        <f t="shared" si="4"/>
        <v>126</v>
      </c>
      <c r="B129" s="80">
        <v>134</v>
      </c>
      <c r="C129" s="81" t="s">
        <v>1266</v>
      </c>
      <c r="D129" s="82">
        <v>44403</v>
      </c>
      <c r="E129" s="81" t="s">
        <v>1132</v>
      </c>
      <c r="F129" s="81" t="s">
        <v>141</v>
      </c>
      <c r="G129" s="81" t="s">
        <v>826</v>
      </c>
      <c r="H129" s="81" t="s">
        <v>1258</v>
      </c>
      <c r="I129" s="81" t="s">
        <v>1123</v>
      </c>
      <c r="J129" s="82">
        <v>35917</v>
      </c>
      <c r="K129" s="83">
        <f t="shared" si="5"/>
        <v>20320.5</v>
      </c>
      <c r="L129" s="83">
        <v>17670</v>
      </c>
    </row>
    <row r="130" spans="1:13" x14ac:dyDescent="0.35">
      <c r="A130" s="80">
        <f t="shared" si="4"/>
        <v>127</v>
      </c>
      <c r="B130" s="80">
        <v>205</v>
      </c>
      <c r="C130" s="81" t="s">
        <v>1267</v>
      </c>
      <c r="D130" s="82">
        <v>44627</v>
      </c>
      <c r="E130" s="81" t="s">
        <v>1132</v>
      </c>
      <c r="F130" s="81" t="s">
        <v>141</v>
      </c>
      <c r="G130" s="81" t="s">
        <v>826</v>
      </c>
      <c r="H130" s="81" t="s">
        <v>1258</v>
      </c>
      <c r="I130" s="81" t="s">
        <v>1116</v>
      </c>
      <c r="J130" s="82">
        <v>36290</v>
      </c>
      <c r="K130" s="83">
        <f t="shared" si="5"/>
        <v>33378.75</v>
      </c>
      <c r="L130" s="83">
        <v>29025</v>
      </c>
    </row>
    <row r="131" spans="1:13" x14ac:dyDescent="0.35">
      <c r="A131" s="80">
        <f t="shared" si="4"/>
        <v>128</v>
      </c>
      <c r="B131" s="80">
        <v>32</v>
      </c>
      <c r="C131" s="81" t="s">
        <v>1268</v>
      </c>
      <c r="D131" s="82">
        <v>43850</v>
      </c>
      <c r="E131" s="81" t="s">
        <v>1115</v>
      </c>
      <c r="F131" s="81" t="s">
        <v>1269</v>
      </c>
      <c r="G131" s="81" t="s">
        <v>826</v>
      </c>
      <c r="H131" s="81" t="s">
        <v>1019</v>
      </c>
      <c r="I131" s="81" t="s">
        <v>1129</v>
      </c>
      <c r="J131" s="82">
        <v>31289</v>
      </c>
      <c r="K131" s="83">
        <f t="shared" si="5"/>
        <v>55128.7</v>
      </c>
      <c r="L131" s="83">
        <v>47938</v>
      </c>
    </row>
    <row r="132" spans="1:13" x14ac:dyDescent="0.35">
      <c r="A132" s="80">
        <f t="shared" si="4"/>
        <v>129</v>
      </c>
      <c r="B132" s="80">
        <v>187</v>
      </c>
      <c r="C132" s="81" t="s">
        <v>1270</v>
      </c>
      <c r="D132" s="82">
        <v>44593</v>
      </c>
      <c r="E132" s="81" t="s">
        <v>1115</v>
      </c>
      <c r="F132" s="81" t="s">
        <v>1269</v>
      </c>
      <c r="G132" s="81" t="s">
        <v>826</v>
      </c>
      <c r="H132" s="81" t="s">
        <v>1145</v>
      </c>
      <c r="I132" s="81" t="s">
        <v>1126</v>
      </c>
      <c r="J132" s="82">
        <v>34193</v>
      </c>
      <c r="K132" s="83">
        <f t="shared" si="5"/>
        <v>35151.666666666672</v>
      </c>
      <c r="L132" s="83">
        <v>30566.666666666668</v>
      </c>
    </row>
    <row r="133" spans="1:13" x14ac:dyDescent="0.35">
      <c r="A133" s="80">
        <f t="shared" si="4"/>
        <v>130</v>
      </c>
      <c r="B133" s="80">
        <v>262</v>
      </c>
      <c r="C133" s="81" t="s">
        <v>1271</v>
      </c>
      <c r="D133" s="82">
        <v>44739</v>
      </c>
      <c r="E133" s="81" t="s">
        <v>1115</v>
      </c>
      <c r="F133" s="81" t="s">
        <v>1269</v>
      </c>
      <c r="G133" s="81" t="s">
        <v>826</v>
      </c>
      <c r="H133" s="81" t="s">
        <v>1258</v>
      </c>
      <c r="I133" s="81" t="s">
        <v>1116</v>
      </c>
      <c r="J133" s="82">
        <v>31941</v>
      </c>
      <c r="K133" s="83">
        <f t="shared" ref="K133:K140" si="6">L133+(L133*$K$2)</f>
        <v>45448</v>
      </c>
      <c r="L133" s="83">
        <v>39520</v>
      </c>
    </row>
    <row r="134" spans="1:13" x14ac:dyDescent="0.35">
      <c r="A134" s="80">
        <f t="shared" ref="A134:A140" si="7">ROW()-3</f>
        <v>131</v>
      </c>
      <c r="B134" s="80">
        <v>363</v>
      </c>
      <c r="C134" s="81" t="s">
        <v>1272</v>
      </c>
      <c r="D134" s="82">
        <v>44986</v>
      </c>
      <c r="E134" s="81" t="s">
        <v>1115</v>
      </c>
      <c r="F134" s="81" t="s">
        <v>1269</v>
      </c>
      <c r="G134" s="81" t="s">
        <v>826</v>
      </c>
      <c r="H134" s="81" t="s">
        <v>1145</v>
      </c>
      <c r="I134" s="81" t="s">
        <v>1116</v>
      </c>
      <c r="J134" s="82">
        <v>30495</v>
      </c>
      <c r="K134" s="83">
        <f t="shared" si="6"/>
        <v>28750</v>
      </c>
      <c r="L134" s="83">
        <v>25000</v>
      </c>
    </row>
    <row r="135" spans="1:13" x14ac:dyDescent="0.35">
      <c r="A135" s="80">
        <f t="shared" si="7"/>
        <v>132</v>
      </c>
      <c r="B135" s="80">
        <v>419</v>
      </c>
      <c r="C135" s="81" t="s">
        <v>1273</v>
      </c>
      <c r="D135" s="82">
        <v>45152</v>
      </c>
      <c r="E135" s="81" t="s">
        <v>1115</v>
      </c>
      <c r="F135" s="81" t="s">
        <v>1269</v>
      </c>
      <c r="G135" s="81" t="s">
        <v>826</v>
      </c>
      <c r="H135" s="81" t="s">
        <v>1258</v>
      </c>
      <c r="I135" s="81" t="s">
        <v>1126</v>
      </c>
      <c r="J135" s="82">
        <v>36599</v>
      </c>
      <c r="K135" s="83">
        <f t="shared" si="6"/>
        <v>31625</v>
      </c>
      <c r="L135" s="83">
        <v>27500</v>
      </c>
    </row>
    <row r="136" spans="1:13" x14ac:dyDescent="0.35">
      <c r="A136" s="80">
        <f t="shared" si="7"/>
        <v>133</v>
      </c>
      <c r="B136" s="80">
        <v>120</v>
      </c>
      <c r="C136" s="81" t="s">
        <v>1274</v>
      </c>
      <c r="D136" s="82">
        <v>44396</v>
      </c>
      <c r="E136" s="81" t="s">
        <v>1132</v>
      </c>
      <c r="F136" s="81" t="s">
        <v>1269</v>
      </c>
      <c r="G136" s="81" t="s">
        <v>826</v>
      </c>
      <c r="H136" s="81" t="s">
        <v>1258</v>
      </c>
      <c r="I136" s="81" t="s">
        <v>1126</v>
      </c>
      <c r="J136" s="82">
        <v>36904</v>
      </c>
      <c r="K136" s="83">
        <f t="shared" si="6"/>
        <v>19126.8</v>
      </c>
      <c r="L136" s="83">
        <v>16632</v>
      </c>
    </row>
    <row r="137" spans="1:13" x14ac:dyDescent="0.35">
      <c r="A137" s="80">
        <f t="shared" si="7"/>
        <v>134</v>
      </c>
      <c r="B137" s="80">
        <v>160</v>
      </c>
      <c r="C137" s="81" t="s">
        <v>1275</v>
      </c>
      <c r="D137" s="82">
        <v>44532</v>
      </c>
      <c r="E137" s="81" t="s">
        <v>1132</v>
      </c>
      <c r="F137" s="81" t="s">
        <v>1269</v>
      </c>
      <c r="G137" s="81" t="s">
        <v>826</v>
      </c>
      <c r="H137" s="81" t="s">
        <v>1258</v>
      </c>
      <c r="I137" s="81" t="s">
        <v>1126</v>
      </c>
      <c r="J137" s="82">
        <v>36895</v>
      </c>
      <c r="K137" s="83">
        <f t="shared" si="6"/>
        <v>19492.5</v>
      </c>
      <c r="L137" s="83">
        <v>16950</v>
      </c>
    </row>
    <row r="138" spans="1:13" x14ac:dyDescent="0.35">
      <c r="A138" s="80">
        <f t="shared" si="7"/>
        <v>135</v>
      </c>
      <c r="B138" s="80">
        <v>249</v>
      </c>
      <c r="C138" s="81" t="s">
        <v>1276</v>
      </c>
      <c r="D138" s="82">
        <v>44697</v>
      </c>
      <c r="E138" s="81" t="s">
        <v>1132</v>
      </c>
      <c r="F138" s="81" t="s">
        <v>1269</v>
      </c>
      <c r="G138" s="81" t="s">
        <v>826</v>
      </c>
      <c r="H138" s="81" t="s">
        <v>1136</v>
      </c>
      <c r="I138" s="81" t="s">
        <v>1116</v>
      </c>
      <c r="J138" s="82">
        <v>36092</v>
      </c>
      <c r="K138" s="83">
        <f t="shared" si="6"/>
        <v>16249.5</v>
      </c>
      <c r="L138" s="83">
        <v>14130</v>
      </c>
    </row>
    <row r="139" spans="1:13" x14ac:dyDescent="0.35">
      <c r="A139" s="80">
        <f t="shared" si="7"/>
        <v>136</v>
      </c>
      <c r="B139" s="80">
        <v>413</v>
      </c>
      <c r="C139" s="81" t="s">
        <v>1277</v>
      </c>
      <c r="D139" s="82">
        <v>45140</v>
      </c>
      <c r="E139" s="81" t="s">
        <v>1132</v>
      </c>
      <c r="F139" s="81" t="s">
        <v>1269</v>
      </c>
      <c r="G139" s="81" t="s">
        <v>826</v>
      </c>
      <c r="H139" s="81" t="s">
        <v>1258</v>
      </c>
      <c r="I139" s="81" t="s">
        <v>1126</v>
      </c>
      <c r="J139" s="82">
        <v>37594</v>
      </c>
      <c r="K139" s="83">
        <f t="shared" si="6"/>
        <v>13800</v>
      </c>
      <c r="L139" s="83">
        <v>12000</v>
      </c>
    </row>
    <row r="140" spans="1:13" x14ac:dyDescent="0.35">
      <c r="A140" s="80">
        <f t="shared" si="7"/>
        <v>137</v>
      </c>
      <c r="B140" s="80">
        <v>394</v>
      </c>
      <c r="C140" s="81" t="s">
        <v>1278</v>
      </c>
      <c r="D140" s="82">
        <v>45054</v>
      </c>
      <c r="E140" s="81" t="s">
        <v>1115</v>
      </c>
      <c r="F140" s="81" t="s">
        <v>142</v>
      </c>
      <c r="G140" s="81" t="s">
        <v>826</v>
      </c>
      <c r="H140" s="81" t="s">
        <v>1019</v>
      </c>
      <c r="I140" s="81" t="s">
        <v>1129</v>
      </c>
      <c r="J140" s="82">
        <v>35082</v>
      </c>
      <c r="K140" s="83">
        <f t="shared" si="6"/>
        <v>69000</v>
      </c>
      <c r="L140" s="83">
        <v>60000</v>
      </c>
    </row>
    <row r="141" spans="1:13" x14ac:dyDescent="0.35">
      <c r="K141" s="84">
        <f>SUM(K5:K140)</f>
        <v>4081181.5556666674</v>
      </c>
      <c r="L141" s="84">
        <f>SUM(L5:L140)</f>
        <v>3548853.5266666668</v>
      </c>
    </row>
    <row r="142" spans="1:13" x14ac:dyDescent="0.35">
      <c r="K142" s="84">
        <f>K141/80</f>
        <v>51014.769445833343</v>
      </c>
      <c r="M142" t="s">
        <v>1279</v>
      </c>
    </row>
    <row r="145" spans="5:10" x14ac:dyDescent="0.35">
      <c r="F145" s="87" t="s">
        <v>1117</v>
      </c>
      <c r="G145" t="s">
        <v>1280</v>
      </c>
      <c r="H145" t="s">
        <v>1281</v>
      </c>
      <c r="I145" t="s">
        <v>1282</v>
      </c>
    </row>
    <row r="146" spans="5:10" x14ac:dyDescent="0.35">
      <c r="F146" s="85" t="s">
        <v>39</v>
      </c>
      <c r="G146" s="86">
        <v>49</v>
      </c>
      <c r="H146" s="86">
        <v>896096.31333333335</v>
      </c>
      <c r="I146" s="86">
        <v>18287.679863945577</v>
      </c>
    </row>
    <row r="147" spans="5:10" x14ac:dyDescent="0.35">
      <c r="F147" s="85" t="s">
        <v>134</v>
      </c>
      <c r="G147" s="86">
        <v>36</v>
      </c>
      <c r="H147" s="86">
        <v>542335.43333333335</v>
      </c>
      <c r="I147" s="86">
        <v>15064.873148148148</v>
      </c>
    </row>
    <row r="148" spans="5:10" x14ac:dyDescent="0.35">
      <c r="E148" t="s">
        <v>1283</v>
      </c>
      <c r="F148" s="85" t="s">
        <v>141</v>
      </c>
      <c r="G148" s="86">
        <v>10</v>
      </c>
      <c r="H148" s="86">
        <v>276999.73333333328</v>
      </c>
      <c r="I148" s="86">
        <v>27699.973333333328</v>
      </c>
    </row>
    <row r="149" spans="5:10" x14ac:dyDescent="0.35">
      <c r="E149" t="s">
        <v>1283</v>
      </c>
      <c r="F149" s="85" t="s">
        <v>1269</v>
      </c>
      <c r="G149" s="86">
        <v>9</v>
      </c>
      <c r="H149" s="86">
        <v>230236.66666666669</v>
      </c>
      <c r="I149" s="86">
        <v>25581.851851851854</v>
      </c>
    </row>
    <row r="150" spans="5:10" x14ac:dyDescent="0.35">
      <c r="E150" t="s">
        <v>348</v>
      </c>
      <c r="F150" s="85" t="s">
        <v>178</v>
      </c>
      <c r="G150" s="86">
        <v>7</v>
      </c>
      <c r="H150" s="86">
        <v>287690</v>
      </c>
      <c r="I150" s="86">
        <v>41098.571428571428</v>
      </c>
    </row>
    <row r="151" spans="5:10" x14ac:dyDescent="0.35">
      <c r="E151" t="s">
        <v>1283</v>
      </c>
      <c r="F151" s="85" t="s">
        <v>333</v>
      </c>
      <c r="G151" s="86">
        <v>5</v>
      </c>
      <c r="H151" s="86">
        <v>87019.3</v>
      </c>
      <c r="I151" s="86">
        <v>17403.86</v>
      </c>
    </row>
    <row r="152" spans="5:10" x14ac:dyDescent="0.35">
      <c r="E152" t="s">
        <v>1284</v>
      </c>
      <c r="F152" s="85" t="s">
        <v>1230</v>
      </c>
      <c r="G152" s="86">
        <v>4</v>
      </c>
      <c r="H152" s="86">
        <v>151131.91999999998</v>
      </c>
      <c r="I152" s="86">
        <v>37782.979999999996</v>
      </c>
    </row>
    <row r="153" spans="5:10" x14ac:dyDescent="0.35">
      <c r="E153" t="s">
        <v>352</v>
      </c>
      <c r="F153" s="85" t="s">
        <v>353</v>
      </c>
      <c r="G153" s="86">
        <v>4</v>
      </c>
      <c r="H153" s="86">
        <v>70388</v>
      </c>
      <c r="I153" s="86">
        <v>17597</v>
      </c>
    </row>
    <row r="154" spans="5:10" x14ac:dyDescent="0.35">
      <c r="E154" t="s">
        <v>1236</v>
      </c>
      <c r="F154" s="85" t="s">
        <v>1236</v>
      </c>
      <c r="G154" s="86">
        <v>4</v>
      </c>
      <c r="H154" s="86">
        <v>578224</v>
      </c>
      <c r="I154" s="86">
        <v>144556</v>
      </c>
    </row>
    <row r="155" spans="5:10" x14ac:dyDescent="0.35">
      <c r="E155" t="s">
        <v>1284</v>
      </c>
      <c r="F155" s="85" t="s">
        <v>1019</v>
      </c>
      <c r="G155" s="86">
        <v>2</v>
      </c>
      <c r="H155" s="86">
        <v>100417.8</v>
      </c>
      <c r="I155" s="86">
        <v>50208.9</v>
      </c>
      <c r="J155" s="216">
        <f>(SUM(I155,I152)/2)*115%</f>
        <v>50595.330999999998</v>
      </c>
    </row>
    <row r="156" spans="5:10" x14ac:dyDescent="0.35">
      <c r="E156" t="s">
        <v>1285</v>
      </c>
      <c r="F156" s="85" t="s">
        <v>140</v>
      </c>
      <c r="G156" s="86">
        <v>2</v>
      </c>
      <c r="H156" s="86">
        <v>166414.35999999999</v>
      </c>
      <c r="I156" s="86">
        <v>83207.179999999993</v>
      </c>
    </row>
    <row r="157" spans="5:10" x14ac:dyDescent="0.35">
      <c r="E157" t="s">
        <v>1283</v>
      </c>
      <c r="F157" s="85" t="s">
        <v>142</v>
      </c>
      <c r="G157" s="86">
        <v>1</v>
      </c>
      <c r="H157" s="86">
        <v>60000</v>
      </c>
      <c r="I157" s="86">
        <v>60000</v>
      </c>
    </row>
    <row r="158" spans="5:10" x14ac:dyDescent="0.35">
      <c r="E158" t="s">
        <v>319</v>
      </c>
      <c r="F158" s="85" t="s">
        <v>1226</v>
      </c>
      <c r="G158" s="86">
        <v>1</v>
      </c>
      <c r="H158" s="86">
        <v>74000</v>
      </c>
      <c r="I158" s="86">
        <v>74000</v>
      </c>
    </row>
    <row r="159" spans="5:10" x14ac:dyDescent="0.35">
      <c r="F159" s="85" t="s">
        <v>305</v>
      </c>
      <c r="G159" s="86">
        <v>1</v>
      </c>
      <c r="H159" s="86">
        <v>12000</v>
      </c>
      <c r="I159" s="86">
        <v>12000</v>
      </c>
    </row>
    <row r="160" spans="5:10" x14ac:dyDescent="0.35">
      <c r="F160" s="85" t="s">
        <v>355</v>
      </c>
      <c r="G160" s="86">
        <v>1</v>
      </c>
      <c r="H160" s="86">
        <v>15900</v>
      </c>
      <c r="I160" s="86">
        <v>15900</v>
      </c>
    </row>
    <row r="161" spans="6:12" x14ac:dyDescent="0.35">
      <c r="F161" s="85" t="s">
        <v>565</v>
      </c>
      <c r="G161" s="86">
        <v>136</v>
      </c>
      <c r="H161" s="86">
        <v>3548853.5266666668</v>
      </c>
      <c r="I161" s="86">
        <v>26094.511225490198</v>
      </c>
    </row>
    <row r="166" spans="6:12" x14ac:dyDescent="0.35">
      <c r="F166" s="87" t="s">
        <v>1117</v>
      </c>
      <c r="G166" t="s">
        <v>1286</v>
      </c>
      <c r="H166" t="s">
        <v>1120</v>
      </c>
      <c r="I166" t="s">
        <v>1287</v>
      </c>
      <c r="L166" s="84" t="s">
        <v>1288</v>
      </c>
    </row>
    <row r="167" spans="6:12" x14ac:dyDescent="0.35">
      <c r="F167" s="85" t="s">
        <v>39</v>
      </c>
      <c r="G167" s="68">
        <v>49</v>
      </c>
      <c r="H167" s="283">
        <v>21030.831843537413</v>
      </c>
      <c r="I167" s="68">
        <v>18287.679863945577</v>
      </c>
      <c r="K167" s="66">
        <f>H167</f>
        <v>21030.831843537413</v>
      </c>
      <c r="L167" s="84">
        <f>(H167-I167)*G167</f>
        <v>134414.44699999996</v>
      </c>
    </row>
    <row r="168" spans="6:12" x14ac:dyDescent="0.35">
      <c r="F168" s="85" t="s">
        <v>1019</v>
      </c>
      <c r="G168" s="68">
        <v>2</v>
      </c>
      <c r="H168" s="290">
        <v>57740.235000000001</v>
      </c>
      <c r="I168" s="68">
        <v>50208.9</v>
      </c>
      <c r="K168" s="66">
        <f t="shared" ref="K168:K175" si="8">H168</f>
        <v>57740.235000000001</v>
      </c>
      <c r="L168" s="84">
        <f t="shared" ref="L168:L181" si="9">(H168-I168)*G168</f>
        <v>15062.669999999998</v>
      </c>
    </row>
    <row r="169" spans="6:12" x14ac:dyDescent="0.35">
      <c r="F169" s="85" t="s">
        <v>305</v>
      </c>
      <c r="G169" s="68">
        <v>1</v>
      </c>
      <c r="H169" s="67">
        <v>13800</v>
      </c>
      <c r="I169" s="68">
        <v>12000</v>
      </c>
      <c r="K169" s="66">
        <f t="shared" si="8"/>
        <v>13800</v>
      </c>
      <c r="L169" s="84">
        <f t="shared" si="9"/>
        <v>1800</v>
      </c>
    </row>
    <row r="170" spans="6:12" x14ac:dyDescent="0.35">
      <c r="F170" s="85" t="s">
        <v>134</v>
      </c>
      <c r="G170" s="68">
        <v>36</v>
      </c>
      <c r="H170" s="283">
        <v>17324.604120370368</v>
      </c>
      <c r="I170" s="68">
        <v>15064.873148148148</v>
      </c>
      <c r="K170" s="284">
        <f>AVERAGE(H167,H170)</f>
        <v>19177.717981953891</v>
      </c>
      <c r="L170" s="84">
        <f t="shared" si="9"/>
        <v>81350.314999999915</v>
      </c>
    </row>
    <row r="171" spans="6:12" x14ac:dyDescent="0.35">
      <c r="F171" s="85" t="s">
        <v>1226</v>
      </c>
      <c r="G171" s="68">
        <v>1</v>
      </c>
      <c r="H171" s="67">
        <v>85100</v>
      </c>
      <c r="I171" s="68">
        <v>74000</v>
      </c>
      <c r="K171" s="66">
        <f t="shared" si="8"/>
        <v>85100</v>
      </c>
      <c r="L171" s="84">
        <f t="shared" si="9"/>
        <v>11100</v>
      </c>
    </row>
    <row r="172" spans="6:12" x14ac:dyDescent="0.35">
      <c r="F172" s="85" t="s">
        <v>353</v>
      </c>
      <c r="G172" s="68">
        <v>4</v>
      </c>
      <c r="H172" s="67">
        <v>20236.55</v>
      </c>
      <c r="I172" s="68">
        <v>17597</v>
      </c>
      <c r="K172" s="66">
        <f t="shared" si="8"/>
        <v>20236.55</v>
      </c>
      <c r="L172" s="84">
        <f t="shared" si="9"/>
        <v>10558.199999999997</v>
      </c>
    </row>
    <row r="173" spans="6:12" x14ac:dyDescent="0.35">
      <c r="F173" s="85" t="s">
        <v>355</v>
      </c>
      <c r="G173" s="68">
        <v>1</v>
      </c>
      <c r="H173" s="67">
        <v>18285</v>
      </c>
      <c r="I173" s="68">
        <v>15900</v>
      </c>
      <c r="K173" s="66">
        <f t="shared" si="8"/>
        <v>18285</v>
      </c>
      <c r="L173" s="84">
        <f t="shared" si="9"/>
        <v>2385</v>
      </c>
    </row>
    <row r="174" spans="6:12" x14ac:dyDescent="0.35">
      <c r="F174" s="85" t="s">
        <v>140</v>
      </c>
      <c r="G174" s="68">
        <v>2</v>
      </c>
      <c r="H174" s="67">
        <v>95688.257000000012</v>
      </c>
      <c r="I174" s="68">
        <v>83207.179999999993</v>
      </c>
      <c r="K174" s="66">
        <f t="shared" si="8"/>
        <v>95688.257000000012</v>
      </c>
      <c r="L174" s="84">
        <f t="shared" si="9"/>
        <v>24962.154000000039</v>
      </c>
    </row>
    <row r="175" spans="6:12" x14ac:dyDescent="0.35">
      <c r="F175" s="85" t="s">
        <v>333</v>
      </c>
      <c r="G175" s="68">
        <v>5</v>
      </c>
      <c r="H175" s="67">
        <v>20014.438999999998</v>
      </c>
      <c r="I175" s="68">
        <v>17403.86</v>
      </c>
      <c r="K175" s="66">
        <f t="shared" si="8"/>
        <v>20014.438999999998</v>
      </c>
      <c r="L175" s="84">
        <f t="shared" si="9"/>
        <v>13052.89499999999</v>
      </c>
    </row>
    <row r="176" spans="6:12" x14ac:dyDescent="0.35">
      <c r="F176" s="85" t="s">
        <v>1230</v>
      </c>
      <c r="G176" s="68">
        <v>4</v>
      </c>
      <c r="H176" s="290">
        <v>43450.426999999996</v>
      </c>
      <c r="I176" s="68">
        <v>37782.979999999996</v>
      </c>
      <c r="K176" s="291">
        <f>AVERAGE(H176,H168)</f>
        <v>50595.330999999998</v>
      </c>
      <c r="L176" s="84">
        <f t="shared" si="9"/>
        <v>22669.788</v>
      </c>
    </row>
    <row r="177" spans="6:12" x14ac:dyDescent="0.35">
      <c r="F177" s="85" t="s">
        <v>1236</v>
      </c>
      <c r="G177" s="68">
        <v>4</v>
      </c>
      <c r="H177" s="67">
        <v>166239.40000000002</v>
      </c>
      <c r="I177" s="68">
        <v>144556</v>
      </c>
      <c r="K177" s="66">
        <f>H177</f>
        <v>166239.40000000002</v>
      </c>
      <c r="L177" s="84">
        <f t="shared" si="9"/>
        <v>86733.600000000093</v>
      </c>
    </row>
    <row r="178" spans="6:12" x14ac:dyDescent="0.35">
      <c r="F178" s="85" t="s">
        <v>141</v>
      </c>
      <c r="G178" s="68">
        <v>10</v>
      </c>
      <c r="H178" s="67">
        <v>31854.969333333334</v>
      </c>
      <c r="I178" s="68">
        <v>27699.973333333328</v>
      </c>
      <c r="K178" s="66">
        <f>H178</f>
        <v>31854.969333333334</v>
      </c>
      <c r="L178" s="84">
        <f t="shared" si="9"/>
        <v>41549.960000000065</v>
      </c>
    </row>
    <row r="179" spans="6:12" x14ac:dyDescent="0.35">
      <c r="F179" s="85" t="s">
        <v>178</v>
      </c>
      <c r="G179" s="68">
        <v>7</v>
      </c>
      <c r="H179" s="67">
        <v>47263.357142857145</v>
      </c>
      <c r="I179" s="68">
        <v>41098.571428571428</v>
      </c>
      <c r="K179" s="66">
        <f>H179</f>
        <v>47263.357142857145</v>
      </c>
      <c r="L179" s="84">
        <f t="shared" si="9"/>
        <v>43153.500000000022</v>
      </c>
    </row>
    <row r="180" spans="6:12" x14ac:dyDescent="0.35">
      <c r="F180" s="85" t="s">
        <v>1269</v>
      </c>
      <c r="G180" s="68">
        <v>9</v>
      </c>
      <c r="H180" s="67">
        <v>29419.129629629624</v>
      </c>
      <c r="I180" s="68">
        <v>25581.851851851854</v>
      </c>
      <c r="K180" s="66">
        <f>H180</f>
        <v>29419.129629629624</v>
      </c>
      <c r="L180" s="84">
        <f t="shared" si="9"/>
        <v>34535.499999999927</v>
      </c>
    </row>
    <row r="181" spans="6:12" x14ac:dyDescent="0.35">
      <c r="F181" s="85" t="s">
        <v>142</v>
      </c>
      <c r="G181" s="68">
        <v>1</v>
      </c>
      <c r="H181" s="67">
        <v>69000</v>
      </c>
      <c r="I181" s="68">
        <v>60000</v>
      </c>
      <c r="K181" s="66">
        <f>H181</f>
        <v>69000</v>
      </c>
      <c r="L181" s="84">
        <f t="shared" si="9"/>
        <v>9000</v>
      </c>
    </row>
    <row r="182" spans="6:12" x14ac:dyDescent="0.35">
      <c r="F182" s="85" t="s">
        <v>565</v>
      </c>
      <c r="G182" s="68">
        <v>136</v>
      </c>
      <c r="H182" s="68">
        <v>30008.687909313729</v>
      </c>
      <c r="I182" s="68">
        <v>26094.511225490198</v>
      </c>
      <c r="L182" s="285">
        <f>SUBTOTAL(9,L167:L181)</f>
        <v>532328.02899999998</v>
      </c>
    </row>
    <row r="183" spans="6:12" x14ac:dyDescent="0.35">
      <c r="L183" s="84">
        <f>L182*3</f>
        <v>1596984.0869999998</v>
      </c>
    </row>
    <row r="184" spans="6:12" x14ac:dyDescent="0.35">
      <c r="F184" s="85" t="s">
        <v>327</v>
      </c>
      <c r="K184" s="66">
        <f>K110</f>
        <v>268332.95</v>
      </c>
      <c r="L184" s="84">
        <f>L183/83</f>
        <v>19240.772132530117</v>
      </c>
    </row>
    <row r="185" spans="6:12" x14ac:dyDescent="0.35">
      <c r="F185" t="s">
        <v>322</v>
      </c>
      <c r="K185" s="66">
        <f>K109</f>
        <v>132250</v>
      </c>
    </row>
    <row r="186" spans="6:12" x14ac:dyDescent="0.35">
      <c r="F186" t="s">
        <v>339</v>
      </c>
      <c r="K186" s="66">
        <f>(K107+K108)/2</f>
        <v>132187.32500000001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E11"/>
  <sheetViews>
    <sheetView workbookViewId="0">
      <selection activeCell="F126" sqref="F126"/>
    </sheetView>
  </sheetViews>
  <sheetFormatPr defaultColWidth="9.1796875" defaultRowHeight="14.5" x14ac:dyDescent="0.35"/>
  <cols>
    <col min="1" max="1" width="9.1796875" style="177"/>
    <col min="2" max="2" width="23.453125" style="177" bestFit="1" customWidth="1"/>
    <col min="3" max="3" width="4.453125" style="177" bestFit="1" customWidth="1"/>
    <col min="4" max="4" width="7.81640625" style="177" bestFit="1" customWidth="1"/>
    <col min="5" max="5" width="6" style="177" bestFit="1" customWidth="1"/>
    <col min="6" max="16384" width="9.1796875" style="177"/>
  </cols>
  <sheetData>
    <row r="2" spans="2:5" ht="26" x14ac:dyDescent="0.35">
      <c r="B2" s="176" t="s">
        <v>1289</v>
      </c>
      <c r="C2" s="176" t="s">
        <v>1290</v>
      </c>
      <c r="D2" s="176" t="s">
        <v>1291</v>
      </c>
      <c r="E2" s="176" t="s">
        <v>174</v>
      </c>
    </row>
    <row r="3" spans="2:5" x14ac:dyDescent="0.35">
      <c r="B3" s="175" t="s">
        <v>1292</v>
      </c>
      <c r="C3" s="175">
        <v>650</v>
      </c>
      <c r="D3" s="175">
        <v>94</v>
      </c>
      <c r="E3" s="175">
        <v>61100</v>
      </c>
    </row>
    <row r="4" spans="2:5" x14ac:dyDescent="0.35">
      <c r="B4" s="175" t="s">
        <v>1293</v>
      </c>
      <c r="C4" s="175">
        <v>1250</v>
      </c>
      <c r="D4" s="175">
        <v>3</v>
      </c>
      <c r="E4" s="175">
        <v>3750</v>
      </c>
    </row>
    <row r="5" spans="2:5" ht="26" x14ac:dyDescent="0.35">
      <c r="B5" s="175" t="s">
        <v>1294</v>
      </c>
      <c r="C5" s="175">
        <v>1100</v>
      </c>
      <c r="D5" s="175">
        <v>15</v>
      </c>
      <c r="E5" s="175">
        <v>16500</v>
      </c>
    </row>
    <row r="6" spans="2:5" x14ac:dyDescent="0.35">
      <c r="B6" s="175" t="s">
        <v>1295</v>
      </c>
      <c r="C6" s="175">
        <v>400</v>
      </c>
      <c r="D6" s="175">
        <v>4</v>
      </c>
      <c r="E6" s="175">
        <v>1600</v>
      </c>
    </row>
    <row r="7" spans="2:5" x14ac:dyDescent="0.35">
      <c r="B7" s="175" t="s">
        <v>1296</v>
      </c>
      <c r="C7" s="175">
        <v>250</v>
      </c>
      <c r="D7" s="175">
        <v>2</v>
      </c>
      <c r="E7" s="175">
        <v>500</v>
      </c>
    </row>
    <row r="8" spans="2:5" x14ac:dyDescent="0.35">
      <c r="B8" s="175" t="s">
        <v>1297</v>
      </c>
      <c r="C8" s="175">
        <v>1350</v>
      </c>
      <c r="D8" s="175">
        <v>1</v>
      </c>
      <c r="E8" s="175">
        <v>1350</v>
      </c>
    </row>
    <row r="9" spans="2:5" x14ac:dyDescent="0.35">
      <c r="B9" s="175" t="s">
        <v>1298</v>
      </c>
      <c r="C9" s="175">
        <v>1475</v>
      </c>
      <c r="D9" s="175">
        <v>1</v>
      </c>
      <c r="E9" s="175">
        <v>1475</v>
      </c>
    </row>
    <row r="10" spans="2:5" x14ac:dyDescent="0.35">
      <c r="B10" s="175" t="s">
        <v>1299</v>
      </c>
      <c r="C10" s="175">
        <v>1000</v>
      </c>
      <c r="D10" s="175">
        <v>1</v>
      </c>
      <c r="E10" s="175">
        <v>1000</v>
      </c>
    </row>
    <row r="11" spans="2:5" x14ac:dyDescent="0.35">
      <c r="B11" s="176" t="s">
        <v>174</v>
      </c>
      <c r="C11" s="176"/>
      <c r="D11" s="176">
        <v>121</v>
      </c>
      <c r="E11" s="176">
        <v>87275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53"/>
  <sheetViews>
    <sheetView workbookViewId="0">
      <selection activeCell="C3" sqref="C3"/>
    </sheetView>
  </sheetViews>
  <sheetFormatPr defaultColWidth="9.1796875" defaultRowHeight="14.5" x14ac:dyDescent="0.35"/>
  <cols>
    <col min="1" max="1" width="20" style="139" customWidth="1"/>
    <col min="2" max="2" width="35.453125" bestFit="1" customWidth="1"/>
    <col min="3" max="3" width="13.453125" style="149" bestFit="1" customWidth="1"/>
    <col min="4" max="4" width="14.453125" style="149" bestFit="1" customWidth="1"/>
    <col min="5" max="5" width="24.453125" bestFit="1" customWidth="1"/>
    <col min="6" max="6" width="10.453125" bestFit="1" customWidth="1"/>
    <col min="7" max="17" width="8" bestFit="1" customWidth="1"/>
    <col min="18" max="18" width="9.453125" bestFit="1" customWidth="1"/>
    <col min="20" max="20" width="9.453125" bestFit="1" customWidth="1"/>
    <col min="21" max="31" width="5.453125" bestFit="1" customWidth="1"/>
    <col min="32" max="32" width="6.453125" bestFit="1" customWidth="1"/>
  </cols>
  <sheetData>
    <row r="1" spans="1:32" x14ac:dyDescent="0.35">
      <c r="A1" s="137"/>
    </row>
    <row r="2" spans="1:32" x14ac:dyDescent="0.35">
      <c r="A2" s="138"/>
      <c r="F2" s="9"/>
      <c r="G2" s="9"/>
      <c r="H2" s="9"/>
      <c r="I2" s="9"/>
      <c r="J2" s="9"/>
      <c r="K2" s="9"/>
      <c r="L2" s="9"/>
      <c r="M2" s="9"/>
      <c r="N2" s="9"/>
      <c r="O2" s="9"/>
      <c r="P2" s="9"/>
      <c r="Q2" s="9"/>
      <c r="R2" s="9"/>
      <c r="T2" s="9"/>
      <c r="Z2" s="9"/>
      <c r="AA2" s="9"/>
      <c r="AB2" s="9"/>
      <c r="AC2" s="9"/>
      <c r="AD2" s="9"/>
      <c r="AE2" s="9"/>
      <c r="AF2" s="9"/>
    </row>
    <row r="3" spans="1:32" x14ac:dyDescent="0.35">
      <c r="B3" s="87" t="s">
        <v>1117</v>
      </c>
      <c r="C3" s="67" t="s">
        <v>1300</v>
      </c>
      <c r="D3" s="67" t="s">
        <v>1301</v>
      </c>
      <c r="F3" s="9"/>
      <c r="G3" s="9"/>
      <c r="H3" s="9"/>
      <c r="I3" s="9"/>
      <c r="J3" s="9"/>
      <c r="K3" s="9"/>
      <c r="L3" s="9"/>
      <c r="M3" s="9"/>
      <c r="N3" s="9"/>
      <c r="O3" s="9"/>
      <c r="P3" s="9"/>
      <c r="Q3" s="9"/>
      <c r="R3" s="9"/>
      <c r="T3" s="9"/>
      <c r="Z3" s="9"/>
      <c r="AA3" s="9"/>
      <c r="AB3" s="9"/>
      <c r="AC3" s="9"/>
      <c r="AD3" s="9"/>
      <c r="AE3" s="9"/>
      <c r="AF3" s="9"/>
    </row>
    <row r="4" spans="1:32" x14ac:dyDescent="0.35">
      <c r="B4" s="85" t="s">
        <v>115</v>
      </c>
      <c r="C4" s="67">
        <v>438006.07500000007</v>
      </c>
      <c r="D4" s="67">
        <v>327.91949999999997</v>
      </c>
      <c r="F4" s="68"/>
      <c r="G4" s="9"/>
      <c r="H4" s="9"/>
      <c r="I4" s="9"/>
      <c r="J4" s="9"/>
      <c r="K4" s="9"/>
      <c r="L4" s="9"/>
      <c r="M4" s="9"/>
      <c r="N4" s="9"/>
      <c r="O4" s="9"/>
      <c r="P4" s="9"/>
      <c r="Q4" s="9"/>
      <c r="R4" s="9"/>
      <c r="T4" s="68"/>
      <c r="U4" s="9"/>
      <c r="V4" s="9"/>
      <c r="W4" s="9"/>
      <c r="X4" s="9"/>
      <c r="Y4" s="9"/>
      <c r="Z4" s="9"/>
      <c r="AA4" s="9"/>
      <c r="AB4" s="9"/>
      <c r="AC4" s="9"/>
      <c r="AD4" s="9"/>
      <c r="AE4" s="9"/>
      <c r="AF4" s="9"/>
    </row>
    <row r="5" spans="1:32" x14ac:dyDescent="0.35">
      <c r="A5" s="143"/>
      <c r="B5" s="140" t="s">
        <v>23</v>
      </c>
      <c r="C5" s="67">
        <v>216343.57500000004</v>
      </c>
      <c r="D5" s="67">
        <v>131.4195</v>
      </c>
      <c r="E5" s="144"/>
      <c r="F5" s="144"/>
      <c r="G5" s="144"/>
      <c r="H5" s="144"/>
      <c r="I5" s="144"/>
      <c r="J5" s="144"/>
      <c r="K5" s="144"/>
      <c r="L5" s="144"/>
      <c r="M5" s="144"/>
      <c r="N5" s="144"/>
      <c r="O5" s="144"/>
      <c r="P5" s="144"/>
      <c r="Q5" s="144"/>
      <c r="R5" s="144"/>
      <c r="T5" s="144"/>
      <c r="U5" s="144"/>
      <c r="V5" s="144"/>
      <c r="W5" s="144"/>
      <c r="X5" s="144"/>
      <c r="Y5" s="144"/>
      <c r="Z5" s="144"/>
      <c r="AA5" s="144"/>
      <c r="AB5" s="144"/>
      <c r="AC5" s="144"/>
      <c r="AD5" s="144"/>
      <c r="AE5" s="144"/>
      <c r="AF5" s="144"/>
    </row>
    <row r="6" spans="1:32" x14ac:dyDescent="0.35">
      <c r="A6" s="145"/>
      <c r="B6" s="140" t="s">
        <v>45</v>
      </c>
      <c r="C6" s="67">
        <v>91875</v>
      </c>
      <c r="D6" s="67">
        <v>108</v>
      </c>
      <c r="E6" s="146"/>
      <c r="F6" s="147"/>
      <c r="G6" s="147"/>
      <c r="H6" s="147"/>
      <c r="I6" s="147"/>
      <c r="J6" s="147"/>
      <c r="K6" s="147"/>
      <c r="L6" s="147"/>
      <c r="M6" s="147"/>
      <c r="N6" s="147"/>
      <c r="O6" s="147"/>
      <c r="P6" s="147"/>
      <c r="Q6" s="147"/>
      <c r="R6" s="147"/>
      <c r="T6" s="141"/>
      <c r="U6" s="141"/>
      <c r="V6" s="141"/>
      <c r="W6" s="141"/>
      <c r="X6" s="141"/>
      <c r="Y6" s="141"/>
      <c r="Z6" s="141"/>
      <c r="AA6" s="141"/>
      <c r="AB6" s="141"/>
      <c r="AC6" s="141"/>
      <c r="AD6" s="141"/>
      <c r="AE6" s="141"/>
      <c r="AF6" s="141"/>
    </row>
    <row r="7" spans="1:32" x14ac:dyDescent="0.35">
      <c r="A7" s="145"/>
      <c r="B7" s="140" t="s">
        <v>1302</v>
      </c>
      <c r="C7" s="67">
        <v>62400</v>
      </c>
      <c r="D7" s="67">
        <v>48</v>
      </c>
      <c r="E7" s="146"/>
      <c r="F7" s="147"/>
      <c r="G7" s="147"/>
      <c r="H7" s="147"/>
      <c r="I7" s="147"/>
      <c r="J7" s="147"/>
      <c r="K7" s="147"/>
      <c r="L7" s="147"/>
      <c r="M7" s="147"/>
      <c r="N7" s="147"/>
      <c r="O7" s="147"/>
      <c r="P7" s="147"/>
      <c r="Q7" s="147"/>
      <c r="R7" s="147"/>
      <c r="T7" s="141"/>
      <c r="U7" s="141"/>
      <c r="V7" s="141"/>
      <c r="W7" s="141"/>
      <c r="X7" s="141"/>
      <c r="Y7" s="141"/>
      <c r="Z7" s="141"/>
      <c r="AA7" s="141"/>
      <c r="AB7" s="141"/>
      <c r="AC7" s="141"/>
      <c r="AD7" s="141"/>
      <c r="AE7" s="141"/>
      <c r="AF7" s="141"/>
    </row>
    <row r="8" spans="1:32" x14ac:dyDescent="0.35">
      <c r="A8" s="145"/>
      <c r="B8" s="140" t="s">
        <v>60</v>
      </c>
      <c r="C8" s="67">
        <v>38587.5</v>
      </c>
      <c r="D8" s="67">
        <v>22.5</v>
      </c>
      <c r="E8" s="146"/>
      <c r="F8" s="147"/>
      <c r="G8" s="147"/>
      <c r="H8" s="147"/>
      <c r="I8" s="147"/>
      <c r="J8" s="147"/>
      <c r="K8" s="147"/>
      <c r="L8" s="147"/>
      <c r="M8" s="147"/>
      <c r="N8" s="147"/>
      <c r="O8" s="147"/>
      <c r="P8" s="147"/>
      <c r="Q8" s="147"/>
      <c r="R8" s="147"/>
      <c r="T8" s="141"/>
      <c r="U8" s="141"/>
      <c r="V8" s="141"/>
      <c r="W8" s="141"/>
      <c r="X8" s="141"/>
      <c r="Y8" s="141"/>
      <c r="Z8" s="141"/>
      <c r="AA8" s="141"/>
      <c r="AB8" s="141"/>
      <c r="AC8" s="141"/>
      <c r="AD8" s="141"/>
      <c r="AE8" s="141"/>
      <c r="AF8" s="141"/>
    </row>
    <row r="9" spans="1:32" x14ac:dyDescent="0.35">
      <c r="A9" s="145"/>
      <c r="B9" s="140" t="s">
        <v>89</v>
      </c>
      <c r="C9" s="67">
        <v>28800</v>
      </c>
      <c r="D9" s="67">
        <v>18</v>
      </c>
      <c r="E9" s="146"/>
      <c r="F9" s="147"/>
      <c r="G9" s="147"/>
      <c r="H9" s="147"/>
      <c r="I9" s="147"/>
      <c r="J9" s="147"/>
      <c r="K9" s="147"/>
      <c r="L9" s="147"/>
      <c r="M9" s="147"/>
      <c r="N9" s="147"/>
      <c r="O9" s="147"/>
      <c r="P9" s="147"/>
      <c r="Q9" s="147"/>
      <c r="R9" s="147"/>
      <c r="T9" s="141"/>
      <c r="U9" s="141"/>
      <c r="V9" s="141"/>
      <c r="W9" s="141"/>
      <c r="X9" s="141"/>
      <c r="Y9" s="141"/>
      <c r="Z9" s="141"/>
      <c r="AA9" s="141"/>
      <c r="AB9" s="141"/>
      <c r="AC9" s="141"/>
      <c r="AD9" s="141"/>
      <c r="AE9" s="141"/>
      <c r="AF9" s="141"/>
    </row>
    <row r="10" spans="1:32" x14ac:dyDescent="0.35">
      <c r="A10" s="145"/>
      <c r="B10" s="140" t="s">
        <v>85</v>
      </c>
      <c r="C10" s="67">
        <v>0</v>
      </c>
      <c r="D10" s="67">
        <v>0</v>
      </c>
      <c r="E10" s="146"/>
      <c r="F10" s="147"/>
      <c r="G10" s="147"/>
      <c r="H10" s="147"/>
      <c r="I10" s="147"/>
      <c r="J10" s="147"/>
      <c r="K10" s="147"/>
      <c r="L10" s="147"/>
      <c r="M10" s="147"/>
      <c r="N10" s="147"/>
      <c r="O10" s="147"/>
      <c r="P10" s="147"/>
      <c r="Q10" s="147"/>
      <c r="R10" s="147"/>
      <c r="T10" s="141"/>
      <c r="U10" s="141"/>
      <c r="V10" s="141"/>
      <c r="W10" s="141"/>
      <c r="X10" s="141"/>
      <c r="Y10" s="141"/>
      <c r="Z10" s="141"/>
      <c r="AA10" s="141"/>
      <c r="AB10" s="141"/>
      <c r="AC10" s="141"/>
      <c r="AD10" s="141"/>
      <c r="AE10" s="141"/>
      <c r="AF10" s="141"/>
    </row>
    <row r="11" spans="1:32" x14ac:dyDescent="0.35">
      <c r="A11" s="145"/>
      <c r="B11" s="140" t="s">
        <v>77</v>
      </c>
      <c r="C11" s="67">
        <v>0</v>
      </c>
      <c r="D11" s="67">
        <v>0</v>
      </c>
      <c r="E11" s="146"/>
      <c r="F11" s="147"/>
      <c r="G11" s="147"/>
      <c r="H11" s="147"/>
      <c r="I11" s="147"/>
      <c r="J11" s="147"/>
      <c r="K11" s="147"/>
      <c r="L11" s="147"/>
      <c r="M11" s="147"/>
      <c r="N11" s="147"/>
      <c r="O11" s="147"/>
      <c r="P11" s="147"/>
      <c r="Q11" s="147"/>
      <c r="R11" s="147"/>
      <c r="T11" s="141"/>
      <c r="U11" s="141"/>
      <c r="V11" s="141"/>
      <c r="W11" s="141"/>
      <c r="X11" s="141"/>
      <c r="Y11" s="141"/>
      <c r="Z11" s="141"/>
      <c r="AA11" s="141"/>
      <c r="AB11" s="141"/>
      <c r="AC11" s="141"/>
      <c r="AD11" s="141"/>
      <c r="AE11" s="141"/>
      <c r="AF11" s="141"/>
    </row>
    <row r="12" spans="1:32" x14ac:dyDescent="0.35">
      <c r="A12" s="145"/>
      <c r="B12" s="85" t="s">
        <v>844</v>
      </c>
      <c r="C12" s="67">
        <v>250931.478</v>
      </c>
      <c r="D12" s="67">
        <v>191.51052280701754</v>
      </c>
      <c r="E12" s="146"/>
      <c r="F12" s="147"/>
      <c r="G12" s="147"/>
      <c r="H12" s="147"/>
      <c r="I12" s="147"/>
      <c r="J12" s="147"/>
      <c r="K12" s="147"/>
      <c r="L12" s="147"/>
      <c r="M12" s="147"/>
      <c r="N12" s="147"/>
      <c r="O12" s="147"/>
      <c r="P12" s="147"/>
      <c r="Q12" s="147"/>
      <c r="R12" s="147"/>
      <c r="T12" s="141"/>
      <c r="U12" s="141"/>
      <c r="V12" s="141"/>
      <c r="W12" s="141"/>
      <c r="X12" s="141"/>
      <c r="Y12" s="141"/>
      <c r="Z12" s="141"/>
      <c r="AA12" s="141"/>
      <c r="AB12" s="141"/>
      <c r="AC12" s="141"/>
      <c r="AD12" s="141"/>
      <c r="AE12" s="141"/>
      <c r="AF12" s="141"/>
    </row>
    <row r="13" spans="1:32" x14ac:dyDescent="0.35">
      <c r="A13" s="145"/>
      <c r="B13" s="140" t="s">
        <v>23</v>
      </c>
      <c r="C13" s="67">
        <v>154864.353</v>
      </c>
      <c r="D13" s="67">
        <v>111.74385614035089</v>
      </c>
      <c r="E13" s="146"/>
      <c r="F13" s="147"/>
      <c r="G13" s="147"/>
      <c r="H13" s="147"/>
      <c r="I13" s="147"/>
      <c r="J13" s="147"/>
      <c r="K13" s="147"/>
      <c r="L13" s="147"/>
      <c r="M13" s="147"/>
      <c r="N13" s="147"/>
      <c r="O13" s="147"/>
      <c r="P13" s="147"/>
      <c r="Q13" s="147"/>
      <c r="R13" s="147"/>
      <c r="T13" s="141"/>
      <c r="U13" s="141"/>
      <c r="V13" s="141"/>
      <c r="W13" s="141"/>
      <c r="X13" s="141"/>
      <c r="Y13" s="141"/>
      <c r="Z13" s="141"/>
      <c r="AA13" s="141"/>
      <c r="AB13" s="141"/>
      <c r="AC13" s="141"/>
      <c r="AD13" s="141"/>
      <c r="AE13" s="141"/>
      <c r="AF13" s="141"/>
    </row>
    <row r="14" spans="1:32" x14ac:dyDescent="0.35">
      <c r="A14" s="145"/>
      <c r="B14" s="140" t="s">
        <v>67</v>
      </c>
      <c r="C14" s="67">
        <v>60000</v>
      </c>
      <c r="D14" s="67">
        <v>48</v>
      </c>
      <c r="E14" s="146"/>
      <c r="F14" s="147"/>
      <c r="G14" s="147"/>
      <c r="H14" s="147"/>
      <c r="I14" s="147"/>
      <c r="J14" s="147"/>
      <c r="K14" s="147"/>
      <c r="L14" s="147"/>
      <c r="M14" s="147"/>
      <c r="N14" s="147"/>
      <c r="O14" s="147"/>
      <c r="P14" s="147"/>
      <c r="Q14" s="147"/>
      <c r="R14" s="147"/>
      <c r="T14" s="141"/>
      <c r="U14" s="141"/>
      <c r="V14" s="141"/>
      <c r="W14" s="141"/>
      <c r="X14" s="141"/>
      <c r="Y14" s="141"/>
      <c r="Z14" s="141"/>
      <c r="AA14" s="141"/>
      <c r="AB14" s="141"/>
      <c r="AC14" s="141"/>
      <c r="AD14" s="141"/>
      <c r="AE14" s="141"/>
      <c r="AF14" s="141"/>
    </row>
    <row r="15" spans="1:32" x14ac:dyDescent="0.35">
      <c r="A15" s="145"/>
      <c r="B15" s="140" t="s">
        <v>64</v>
      </c>
      <c r="C15" s="67">
        <v>30720</v>
      </c>
      <c r="D15" s="67">
        <v>24</v>
      </c>
      <c r="E15" s="146"/>
      <c r="F15" s="147"/>
      <c r="G15" s="147"/>
      <c r="H15" s="147"/>
      <c r="I15" s="147"/>
      <c r="J15" s="147"/>
      <c r="K15" s="147"/>
      <c r="L15" s="147"/>
      <c r="M15" s="147"/>
      <c r="N15" s="147"/>
      <c r="O15" s="147"/>
      <c r="P15" s="147"/>
      <c r="Q15" s="147"/>
      <c r="R15" s="147"/>
      <c r="T15" s="141"/>
      <c r="U15" s="141"/>
      <c r="V15" s="141"/>
      <c r="W15" s="141"/>
      <c r="X15" s="141"/>
      <c r="Y15" s="141"/>
      <c r="Z15" s="141"/>
      <c r="AA15" s="141"/>
      <c r="AB15" s="141"/>
      <c r="AC15" s="141"/>
      <c r="AD15" s="141"/>
      <c r="AE15" s="141"/>
      <c r="AF15" s="141"/>
    </row>
    <row r="16" spans="1:32" x14ac:dyDescent="0.35">
      <c r="A16" s="145"/>
      <c r="B16" s="140" t="s">
        <v>60</v>
      </c>
      <c r="C16" s="67">
        <v>5347.125</v>
      </c>
      <c r="D16" s="67">
        <v>7.7666666666666675</v>
      </c>
      <c r="E16" s="146"/>
      <c r="F16" s="147"/>
      <c r="G16" s="147"/>
      <c r="H16" s="147"/>
      <c r="I16" s="147"/>
      <c r="J16" s="147"/>
      <c r="K16" s="147"/>
      <c r="L16" s="147"/>
      <c r="M16" s="147"/>
      <c r="N16" s="147"/>
      <c r="O16" s="147"/>
      <c r="P16" s="147"/>
      <c r="Q16" s="147"/>
      <c r="R16" s="147"/>
      <c r="T16" s="141"/>
      <c r="U16" s="141"/>
      <c r="V16" s="141"/>
      <c r="W16" s="141"/>
      <c r="X16" s="141"/>
      <c r="Y16" s="141"/>
      <c r="Z16" s="141"/>
      <c r="AA16" s="141"/>
      <c r="AB16" s="141"/>
      <c r="AC16" s="141"/>
      <c r="AD16" s="141"/>
      <c r="AE16" s="141"/>
      <c r="AF16" s="141"/>
    </row>
    <row r="17" spans="1:32" x14ac:dyDescent="0.35">
      <c r="A17" s="145"/>
      <c r="B17" s="140" t="s">
        <v>90</v>
      </c>
      <c r="C17" s="67">
        <v>0</v>
      </c>
      <c r="D17" s="67">
        <v>0</v>
      </c>
      <c r="E17" s="146"/>
      <c r="F17" s="147"/>
      <c r="G17" s="147"/>
      <c r="H17" s="147"/>
      <c r="I17" s="147"/>
      <c r="J17" s="147"/>
      <c r="K17" s="147"/>
      <c r="L17" s="147"/>
      <c r="M17" s="147"/>
      <c r="N17" s="147"/>
      <c r="O17" s="147"/>
      <c r="P17" s="147"/>
      <c r="Q17" s="147"/>
      <c r="R17" s="147"/>
      <c r="T17" s="141"/>
      <c r="U17" s="141"/>
      <c r="V17" s="141"/>
      <c r="W17" s="141"/>
      <c r="X17" s="141"/>
      <c r="Y17" s="141"/>
      <c r="Z17" s="141"/>
      <c r="AA17" s="141"/>
      <c r="AB17" s="141"/>
      <c r="AC17" s="141"/>
      <c r="AD17" s="141"/>
      <c r="AE17" s="141"/>
      <c r="AF17" s="141"/>
    </row>
    <row r="18" spans="1:32" x14ac:dyDescent="0.35">
      <c r="A18" s="145"/>
      <c r="B18" s="140" t="s">
        <v>45</v>
      </c>
      <c r="C18" s="67">
        <v>0</v>
      </c>
      <c r="D18" s="67">
        <v>0</v>
      </c>
      <c r="E18" s="146"/>
      <c r="F18" s="147"/>
      <c r="G18" s="147"/>
      <c r="H18" s="147"/>
      <c r="I18" s="147"/>
      <c r="J18" s="147"/>
      <c r="K18" s="147"/>
      <c r="L18" s="147"/>
      <c r="M18" s="147"/>
      <c r="N18" s="147"/>
      <c r="O18" s="147"/>
      <c r="P18" s="147"/>
      <c r="Q18" s="147"/>
      <c r="R18" s="147"/>
      <c r="T18" s="141"/>
      <c r="U18" s="141"/>
      <c r="V18" s="141"/>
      <c r="W18" s="141"/>
      <c r="X18" s="141"/>
      <c r="Y18" s="141"/>
      <c r="Z18" s="141"/>
      <c r="AA18" s="141"/>
      <c r="AB18" s="141"/>
      <c r="AC18" s="141"/>
      <c r="AD18" s="141"/>
      <c r="AE18" s="141"/>
      <c r="AF18" s="141"/>
    </row>
    <row r="19" spans="1:32" x14ac:dyDescent="0.35">
      <c r="A19" s="145"/>
      <c r="B19" s="140" t="s">
        <v>77</v>
      </c>
      <c r="C19" s="67">
        <v>0</v>
      </c>
      <c r="D19" s="67">
        <v>0</v>
      </c>
      <c r="E19" s="146"/>
      <c r="F19" s="147"/>
      <c r="G19" s="147"/>
      <c r="H19" s="147"/>
      <c r="I19" s="147"/>
      <c r="J19" s="147"/>
      <c r="K19" s="147"/>
      <c r="L19" s="147"/>
      <c r="M19" s="147"/>
      <c r="N19" s="147"/>
      <c r="O19" s="147"/>
      <c r="P19" s="147"/>
      <c r="Q19" s="147"/>
      <c r="R19" s="147"/>
      <c r="T19" s="5"/>
      <c r="U19" s="141"/>
      <c r="V19" s="141"/>
      <c r="W19" s="141"/>
      <c r="X19" s="141"/>
      <c r="Y19" s="141"/>
      <c r="Z19" s="141"/>
      <c r="AA19" s="141"/>
      <c r="AB19" s="141"/>
      <c r="AC19" s="141"/>
      <c r="AD19" s="141"/>
      <c r="AE19" s="141"/>
      <c r="AF19" s="141"/>
    </row>
    <row r="20" spans="1:32" x14ac:dyDescent="0.35">
      <c r="A20" s="145"/>
      <c r="B20" s="85" t="s">
        <v>1303</v>
      </c>
      <c r="C20" s="67">
        <v>500570</v>
      </c>
      <c r="D20" s="67">
        <v>322.25</v>
      </c>
      <c r="E20" s="146"/>
      <c r="F20" s="147"/>
      <c r="G20" s="147"/>
      <c r="H20" s="147"/>
      <c r="I20" s="147"/>
      <c r="J20" s="147"/>
      <c r="K20" s="147"/>
      <c r="L20" s="147"/>
      <c r="M20" s="147"/>
      <c r="N20" s="147"/>
      <c r="O20" s="147"/>
      <c r="P20" s="147"/>
      <c r="Q20" s="147"/>
      <c r="R20" s="147"/>
      <c r="T20" s="5"/>
      <c r="U20" s="141"/>
      <c r="V20" s="141"/>
      <c r="W20" s="141"/>
      <c r="X20" s="141"/>
      <c r="Y20" s="141"/>
      <c r="Z20" s="141"/>
      <c r="AA20" s="141"/>
      <c r="AB20" s="141"/>
      <c r="AC20" s="141"/>
      <c r="AD20" s="141"/>
      <c r="AE20" s="141"/>
      <c r="AF20" s="141"/>
    </row>
    <row r="21" spans="1:32" x14ac:dyDescent="0.35">
      <c r="A21" s="145"/>
      <c r="B21" s="140" t="s">
        <v>77</v>
      </c>
      <c r="C21" s="67">
        <v>144000</v>
      </c>
      <c r="D21" s="67">
        <v>36</v>
      </c>
      <c r="E21" s="146"/>
      <c r="F21" s="147"/>
      <c r="G21" s="147"/>
      <c r="H21" s="147"/>
      <c r="I21" s="147"/>
      <c r="J21" s="147"/>
      <c r="K21" s="147"/>
      <c r="L21" s="147"/>
      <c r="M21" s="147"/>
      <c r="N21" s="147"/>
      <c r="O21" s="147"/>
      <c r="P21" s="147"/>
      <c r="Q21" s="147"/>
      <c r="R21" s="147"/>
      <c r="T21" s="5"/>
      <c r="U21" s="141"/>
      <c r="V21" s="141"/>
      <c r="W21" s="141"/>
      <c r="X21" s="141"/>
      <c r="Y21" s="141"/>
      <c r="Z21" s="141"/>
      <c r="AA21" s="141"/>
      <c r="AB21" s="141"/>
      <c r="AC21" s="141"/>
      <c r="AD21" s="141"/>
      <c r="AE21" s="141"/>
      <c r="AF21" s="141"/>
    </row>
    <row r="22" spans="1:32" x14ac:dyDescent="0.35">
      <c r="A22" s="145"/>
      <c r="B22" s="140" t="s">
        <v>91</v>
      </c>
      <c r="C22" s="67">
        <v>110200</v>
      </c>
      <c r="D22" s="67">
        <v>76</v>
      </c>
      <c r="E22" s="146"/>
      <c r="F22" s="147"/>
      <c r="G22" s="147"/>
      <c r="H22" s="147"/>
      <c r="I22" s="147"/>
      <c r="J22" s="147"/>
      <c r="K22" s="147"/>
      <c r="L22" s="147"/>
      <c r="M22" s="147"/>
      <c r="N22" s="147"/>
      <c r="O22" s="147"/>
      <c r="P22" s="147"/>
      <c r="Q22" s="147"/>
      <c r="R22" s="147"/>
      <c r="T22" s="141"/>
      <c r="U22" s="141"/>
      <c r="V22" s="141"/>
      <c r="W22" s="141"/>
      <c r="X22" s="141"/>
      <c r="Y22" s="141"/>
      <c r="Z22" s="141"/>
      <c r="AA22" s="141"/>
      <c r="AB22" s="141"/>
      <c r="AC22" s="141"/>
      <c r="AD22" s="141"/>
      <c r="AE22" s="141"/>
      <c r="AF22" s="141"/>
    </row>
    <row r="23" spans="1:32" x14ac:dyDescent="0.35">
      <c r="A23" s="145"/>
      <c r="B23" s="140" t="s">
        <v>94</v>
      </c>
      <c r="C23" s="67">
        <v>96250</v>
      </c>
      <c r="D23" s="67">
        <v>84</v>
      </c>
      <c r="E23" s="146"/>
      <c r="F23" s="147"/>
      <c r="G23" s="147"/>
      <c r="H23" s="147"/>
      <c r="I23" s="147"/>
      <c r="J23" s="147"/>
      <c r="K23" s="147"/>
      <c r="L23" s="147"/>
      <c r="M23" s="147"/>
      <c r="N23" s="147"/>
      <c r="O23" s="147"/>
      <c r="P23" s="147"/>
      <c r="Q23" s="147"/>
      <c r="R23" s="147"/>
      <c r="T23" s="141"/>
      <c r="U23" s="141"/>
      <c r="V23" s="141"/>
      <c r="W23" s="141"/>
      <c r="X23" s="141"/>
      <c r="Y23" s="141"/>
      <c r="Z23" s="141"/>
      <c r="AA23" s="141"/>
      <c r="AB23" s="141"/>
      <c r="AC23" s="141"/>
      <c r="AD23" s="141"/>
      <c r="AE23" s="141"/>
      <c r="AF23" s="141"/>
    </row>
    <row r="24" spans="1:32" x14ac:dyDescent="0.35">
      <c r="A24" s="145"/>
      <c r="B24" s="140" t="s">
        <v>85</v>
      </c>
      <c r="C24" s="67">
        <v>78120</v>
      </c>
      <c r="D24" s="67">
        <v>54.25</v>
      </c>
      <c r="E24" s="146"/>
      <c r="F24" s="147"/>
      <c r="G24" s="147"/>
      <c r="H24" s="147"/>
      <c r="I24" s="147"/>
      <c r="J24" s="147"/>
      <c r="K24" s="147"/>
      <c r="L24" s="147"/>
      <c r="M24" s="147"/>
      <c r="N24" s="147"/>
      <c r="O24" s="147"/>
      <c r="P24" s="147"/>
      <c r="Q24" s="147"/>
      <c r="R24" s="147"/>
      <c r="T24" s="141"/>
      <c r="U24" s="141"/>
      <c r="V24" s="141"/>
      <c r="W24" s="141"/>
      <c r="X24" s="141"/>
      <c r="Y24" s="141"/>
      <c r="Z24" s="141"/>
      <c r="AA24" s="141"/>
      <c r="AB24" s="141"/>
      <c r="AC24" s="141"/>
      <c r="AD24" s="141"/>
      <c r="AE24" s="141"/>
      <c r="AF24" s="141"/>
    </row>
    <row r="25" spans="1:32" x14ac:dyDescent="0.35">
      <c r="A25" s="145"/>
      <c r="B25" s="140" t="s">
        <v>92</v>
      </c>
      <c r="C25" s="67">
        <v>72000</v>
      </c>
      <c r="D25" s="67">
        <v>72</v>
      </c>
      <c r="E25" s="146"/>
      <c r="F25" s="147"/>
      <c r="G25" s="147"/>
      <c r="H25" s="147"/>
      <c r="I25" s="147"/>
      <c r="J25" s="147"/>
      <c r="K25" s="147"/>
      <c r="L25" s="147"/>
      <c r="M25" s="147"/>
      <c r="N25" s="147"/>
      <c r="O25" s="147"/>
      <c r="P25" s="147"/>
      <c r="Q25" s="147"/>
      <c r="R25" s="147"/>
      <c r="T25" s="141"/>
      <c r="U25" s="141"/>
      <c r="V25" s="141"/>
      <c r="W25" s="141"/>
      <c r="X25" s="141"/>
      <c r="Y25" s="141"/>
      <c r="Z25" s="141"/>
      <c r="AA25" s="141"/>
      <c r="AB25" s="141"/>
      <c r="AC25" s="141"/>
      <c r="AD25" s="141"/>
      <c r="AE25" s="141"/>
      <c r="AF25" s="141"/>
    </row>
    <row r="26" spans="1:32" x14ac:dyDescent="0.35">
      <c r="A26" s="145"/>
      <c r="B26" s="85" t="s">
        <v>565</v>
      </c>
      <c r="C26" s="67">
        <v>1189507.5530000001</v>
      </c>
      <c r="D26" s="67">
        <v>841.68002280701751</v>
      </c>
      <c r="E26" s="146"/>
      <c r="F26" s="147"/>
      <c r="G26" s="147"/>
      <c r="H26" s="147"/>
      <c r="I26" s="147"/>
      <c r="J26" s="147"/>
      <c r="K26" s="147"/>
      <c r="L26" s="147"/>
      <c r="M26" s="147"/>
      <c r="N26" s="147"/>
      <c r="O26" s="147"/>
      <c r="P26" s="147"/>
      <c r="Q26" s="147"/>
      <c r="R26" s="147"/>
      <c r="T26" s="141"/>
      <c r="U26" s="141"/>
      <c r="V26" s="141"/>
      <c r="W26" s="141"/>
      <c r="X26" s="141"/>
      <c r="Y26" s="141"/>
      <c r="Z26" s="141"/>
      <c r="AA26" s="141"/>
      <c r="AB26" s="141"/>
      <c r="AC26" s="141"/>
      <c r="AD26" s="141"/>
      <c r="AE26" s="141"/>
      <c r="AF26" s="141"/>
    </row>
    <row r="27" spans="1:32" x14ac:dyDescent="0.35">
      <c r="A27" s="145"/>
      <c r="B27" s="7"/>
      <c r="C27" s="150"/>
      <c r="D27" s="150"/>
      <c r="E27" s="146"/>
      <c r="F27" s="147"/>
      <c r="G27" s="147"/>
      <c r="H27" s="147"/>
      <c r="I27" s="147"/>
      <c r="J27" s="147"/>
      <c r="K27" s="147"/>
      <c r="L27" s="147"/>
      <c r="M27" s="147"/>
      <c r="N27" s="147"/>
      <c r="O27" s="147"/>
      <c r="P27" s="147"/>
      <c r="Q27" s="147"/>
      <c r="R27" s="147"/>
      <c r="T27" s="141"/>
      <c r="U27" s="141"/>
      <c r="V27" s="141"/>
      <c r="W27" s="141"/>
      <c r="X27" s="141"/>
      <c r="Y27" s="141"/>
      <c r="Z27" s="141"/>
      <c r="AA27" s="141"/>
      <c r="AB27" s="141"/>
      <c r="AC27" s="141"/>
      <c r="AD27" s="141"/>
      <c r="AE27" s="141"/>
      <c r="AF27" s="141"/>
    </row>
    <row r="28" spans="1:32" x14ac:dyDescent="0.35">
      <c r="A28" s="145"/>
      <c r="B28" s="7"/>
      <c r="C28" s="150"/>
      <c r="D28" s="150"/>
      <c r="E28" s="146"/>
      <c r="F28" s="147"/>
      <c r="G28" s="147"/>
      <c r="H28" s="147"/>
      <c r="I28" s="147"/>
      <c r="J28" s="147"/>
      <c r="K28" s="147"/>
      <c r="L28" s="147"/>
      <c r="M28" s="147"/>
      <c r="N28" s="147"/>
      <c r="O28" s="147"/>
      <c r="P28" s="147"/>
      <c r="Q28" s="147"/>
      <c r="R28" s="147"/>
      <c r="T28" s="141"/>
      <c r="U28" s="141"/>
      <c r="V28" s="141"/>
      <c r="W28" s="141"/>
      <c r="X28" s="141"/>
      <c r="Y28" s="141"/>
      <c r="Z28" s="141"/>
      <c r="AA28" s="141"/>
      <c r="AB28" s="141"/>
      <c r="AC28" s="141"/>
      <c r="AD28" s="141"/>
      <c r="AE28" s="141"/>
      <c r="AF28" s="141"/>
    </row>
    <row r="29" spans="1:32" x14ac:dyDescent="0.35">
      <c r="A29" s="145"/>
      <c r="B29" s="7"/>
      <c r="C29" s="150"/>
      <c r="D29" s="150"/>
      <c r="E29" s="146"/>
      <c r="F29" s="147"/>
      <c r="G29" s="147"/>
      <c r="H29" s="147"/>
      <c r="I29" s="147"/>
      <c r="J29" s="147"/>
      <c r="K29" s="147"/>
      <c r="L29" s="147"/>
      <c r="M29" s="147"/>
      <c r="N29" s="147"/>
      <c r="O29" s="147"/>
      <c r="P29" s="147"/>
      <c r="Q29" s="147"/>
      <c r="R29" s="147"/>
      <c r="T29" s="141"/>
      <c r="U29" s="141"/>
      <c r="V29" s="141"/>
      <c r="W29" s="141"/>
      <c r="X29" s="141"/>
      <c r="Y29" s="141"/>
      <c r="Z29" s="141"/>
      <c r="AA29" s="141"/>
      <c r="AB29" s="141"/>
      <c r="AC29" s="141"/>
      <c r="AD29" s="141"/>
      <c r="AE29" s="141"/>
      <c r="AF29" s="141"/>
    </row>
    <row r="30" spans="1:32" x14ac:dyDescent="0.35">
      <c r="A30" s="145"/>
      <c r="B30" s="7"/>
      <c r="C30" s="150"/>
      <c r="D30" s="150"/>
      <c r="E30" s="146"/>
      <c r="F30" s="147"/>
      <c r="G30" s="147"/>
      <c r="H30" s="147"/>
      <c r="I30" s="147"/>
      <c r="J30" s="147"/>
      <c r="K30" s="147"/>
      <c r="L30" s="147"/>
      <c r="M30" s="147"/>
      <c r="N30" s="147"/>
      <c r="O30" s="147"/>
      <c r="P30" s="147"/>
      <c r="Q30" s="147"/>
      <c r="R30" s="147"/>
      <c r="T30" s="141"/>
      <c r="U30" s="141"/>
      <c r="V30" s="141"/>
      <c r="W30" s="141"/>
      <c r="X30" s="141"/>
      <c r="Y30" s="141"/>
      <c r="Z30" s="141"/>
      <c r="AA30" s="141"/>
      <c r="AB30" s="141"/>
      <c r="AC30" s="141"/>
      <c r="AD30" s="141"/>
      <c r="AE30" s="141"/>
      <c r="AF30" s="141"/>
    </row>
    <row r="31" spans="1:32" x14ac:dyDescent="0.35">
      <c r="A31" s="145"/>
      <c r="B31" s="146"/>
      <c r="C31" s="142"/>
      <c r="D31" s="142"/>
      <c r="E31" s="7"/>
      <c r="F31" s="801"/>
      <c r="G31" s="801"/>
      <c r="H31" s="801"/>
      <c r="I31" s="801"/>
      <c r="J31" s="801"/>
      <c r="K31" s="801"/>
      <c r="L31" s="801"/>
      <c r="M31" s="801"/>
      <c r="N31" s="801"/>
      <c r="O31" s="801"/>
      <c r="P31" s="801"/>
      <c r="Q31" s="801"/>
      <c r="R31" s="801"/>
      <c r="T31" s="141"/>
      <c r="U31" s="141"/>
      <c r="V31" s="141"/>
      <c r="W31" s="141"/>
      <c r="X31" s="141"/>
      <c r="Y31" s="141"/>
      <c r="Z31" s="141"/>
      <c r="AA31" s="141"/>
      <c r="AB31" s="141"/>
      <c r="AC31" s="141"/>
      <c r="AD31" s="141"/>
      <c r="AE31" s="141"/>
      <c r="AF31" s="141"/>
    </row>
    <row r="32" spans="1:32" x14ac:dyDescent="0.35">
      <c r="A32" s="145"/>
      <c r="B32" s="7"/>
      <c r="C32" s="142"/>
      <c r="D32" s="142"/>
      <c r="E32" s="7"/>
      <c r="F32" s="801"/>
      <c r="G32" s="801"/>
      <c r="H32" s="801"/>
      <c r="I32" s="801"/>
      <c r="J32" s="801"/>
      <c r="K32" s="801"/>
      <c r="L32" s="801"/>
      <c r="M32" s="801"/>
      <c r="N32" s="801"/>
      <c r="O32" s="801"/>
      <c r="P32" s="801"/>
      <c r="Q32" s="801"/>
      <c r="R32" s="801"/>
      <c r="T32" s="141"/>
      <c r="U32" s="141"/>
      <c r="V32" s="141"/>
      <c r="W32" s="141"/>
      <c r="X32" s="141"/>
      <c r="Y32" s="141"/>
      <c r="Z32" s="141"/>
      <c r="AA32" s="141"/>
      <c r="AB32" s="141"/>
      <c r="AC32" s="141"/>
      <c r="AD32" s="141"/>
      <c r="AE32" s="141"/>
      <c r="AF32" s="141"/>
    </row>
    <row r="33" spans="1:32" x14ac:dyDescent="0.35">
      <c r="A33" s="145"/>
      <c r="B33" s="7"/>
      <c r="C33" s="142"/>
      <c r="D33" s="142"/>
      <c r="E33" s="7"/>
      <c r="F33" s="801"/>
      <c r="G33" s="801"/>
      <c r="H33" s="801"/>
      <c r="I33" s="801"/>
      <c r="J33" s="801"/>
      <c r="K33" s="801"/>
      <c r="L33" s="801"/>
      <c r="M33" s="801"/>
      <c r="N33" s="801"/>
      <c r="O33" s="801"/>
      <c r="P33" s="801"/>
      <c r="Q33" s="801"/>
      <c r="R33" s="801"/>
      <c r="T33" s="141"/>
      <c r="U33" s="141"/>
      <c r="V33" s="141"/>
      <c r="W33" s="141"/>
      <c r="X33" s="141"/>
      <c r="Y33" s="141"/>
      <c r="Z33" s="141"/>
      <c r="AA33" s="141"/>
      <c r="AB33" s="141"/>
      <c r="AC33" s="141"/>
      <c r="AD33" s="141"/>
      <c r="AE33" s="141"/>
      <c r="AF33" s="141"/>
    </row>
    <row r="34" spans="1:32" x14ac:dyDescent="0.35">
      <c r="A34" s="145"/>
      <c r="B34" s="7"/>
      <c r="C34" s="142"/>
      <c r="D34" s="150"/>
      <c r="E34" s="7"/>
      <c r="F34" s="6"/>
      <c r="G34" s="6"/>
      <c r="H34" s="6"/>
      <c r="I34" s="6"/>
      <c r="J34" s="6"/>
      <c r="K34" s="6"/>
      <c r="L34" s="6"/>
      <c r="M34" s="6"/>
      <c r="N34" s="6"/>
      <c r="O34" s="6"/>
      <c r="P34" s="6"/>
      <c r="Q34" s="6"/>
      <c r="R34" s="6"/>
      <c r="T34" s="6"/>
      <c r="U34" s="6"/>
      <c r="V34" s="6"/>
      <c r="W34" s="6"/>
      <c r="X34" s="6"/>
      <c r="Y34" s="6"/>
      <c r="Z34" s="6"/>
      <c r="AA34" s="6"/>
      <c r="AB34" s="6"/>
      <c r="AC34" s="6"/>
      <c r="AD34" s="6"/>
      <c r="AE34" s="6"/>
      <c r="AF34" s="141"/>
    </row>
    <row r="35" spans="1:32" x14ac:dyDescent="0.35">
      <c r="A35" s="145"/>
      <c r="B35" s="7"/>
      <c r="C35" s="142"/>
      <c r="D35" s="150"/>
      <c r="E35" s="7"/>
      <c r="F35" s="6"/>
      <c r="G35" s="6"/>
      <c r="H35" s="6"/>
      <c r="I35" s="6"/>
      <c r="J35" s="6"/>
      <c r="K35" s="6"/>
      <c r="L35" s="6"/>
      <c r="M35" s="6"/>
      <c r="N35" s="6"/>
      <c r="O35" s="6"/>
      <c r="P35" s="6"/>
      <c r="Q35" s="6"/>
      <c r="R35" s="6"/>
      <c r="T35" s="6"/>
      <c r="U35" s="6"/>
      <c r="V35" s="6"/>
      <c r="W35" s="6"/>
      <c r="X35" s="6"/>
      <c r="Y35" s="6"/>
      <c r="Z35" s="6"/>
      <c r="AA35" s="6"/>
      <c r="AB35" s="6"/>
      <c r="AC35" s="6"/>
      <c r="AD35" s="6"/>
      <c r="AE35" s="6"/>
      <c r="AF35" s="141"/>
    </row>
    <row r="36" spans="1:32" x14ac:dyDescent="0.35">
      <c r="A36" s="145"/>
      <c r="B36" s="7"/>
      <c r="C36" s="142"/>
      <c r="D36" s="150"/>
      <c r="E36" s="7"/>
      <c r="F36" s="6"/>
      <c r="G36" s="6"/>
      <c r="H36" s="6"/>
      <c r="I36" s="6"/>
      <c r="J36" s="6"/>
      <c r="K36" s="6"/>
      <c r="L36" s="6"/>
      <c r="M36" s="6"/>
      <c r="N36" s="6"/>
      <c r="O36" s="6"/>
      <c r="P36" s="6"/>
      <c r="Q36" s="6"/>
      <c r="R36" s="6"/>
      <c r="T36" s="6"/>
      <c r="U36" s="6"/>
      <c r="V36" s="6"/>
      <c r="W36" s="6"/>
      <c r="X36" s="6"/>
      <c r="Y36" s="6"/>
      <c r="Z36" s="6"/>
      <c r="AA36" s="6"/>
      <c r="AB36" s="6"/>
      <c r="AC36" s="6"/>
      <c r="AD36" s="6"/>
      <c r="AE36" s="6"/>
      <c r="AF36" s="141"/>
    </row>
    <row r="37" spans="1:32" x14ac:dyDescent="0.35">
      <c r="A37" s="145"/>
      <c r="B37" s="7"/>
      <c r="C37" s="142"/>
      <c r="D37" s="142"/>
      <c r="E37" s="7"/>
      <c r="F37" s="7"/>
      <c r="G37" s="7"/>
      <c r="H37" s="7"/>
      <c r="I37" s="7"/>
      <c r="T37" s="7"/>
      <c r="U37" s="7"/>
      <c r="V37" s="7"/>
      <c r="W37" s="7"/>
      <c r="AF37" s="141"/>
    </row>
    <row r="38" spans="1:32" x14ac:dyDescent="0.35">
      <c r="A38" s="145"/>
      <c r="B38" s="7"/>
      <c r="C38" s="142"/>
      <c r="D38" s="142"/>
      <c r="E38" s="7"/>
      <c r="F38" s="7"/>
      <c r="G38" s="7"/>
      <c r="H38" s="7"/>
      <c r="I38" s="7"/>
      <c r="T38" s="7"/>
      <c r="U38" s="7"/>
      <c r="V38" s="7"/>
      <c r="W38" s="7"/>
      <c r="AF38" s="141"/>
    </row>
    <row r="39" spans="1:32" x14ac:dyDescent="0.35">
      <c r="A39" s="145"/>
      <c r="B39" s="7"/>
      <c r="C39" s="142"/>
      <c r="D39" s="150"/>
      <c r="E39" s="7"/>
      <c r="F39" s="7"/>
      <c r="G39" s="7"/>
      <c r="H39" s="7"/>
      <c r="I39" s="7"/>
      <c r="T39" s="7"/>
      <c r="U39" s="7"/>
      <c r="V39" s="7"/>
      <c r="W39" s="7"/>
      <c r="AF39" s="141"/>
    </row>
    <row r="40" spans="1:32" x14ac:dyDescent="0.35">
      <c r="A40" s="145"/>
      <c r="B40" s="7"/>
      <c r="C40" s="142"/>
      <c r="D40" s="150"/>
      <c r="E40" s="7"/>
      <c r="F40" s="7"/>
      <c r="G40" s="7"/>
      <c r="H40" s="7"/>
      <c r="I40" s="7"/>
      <c r="T40" s="7"/>
      <c r="U40" s="7"/>
      <c r="V40" s="7"/>
      <c r="W40" s="7"/>
      <c r="AF40" s="141"/>
    </row>
    <row r="41" spans="1:32" x14ac:dyDescent="0.35">
      <c r="A41" s="145"/>
      <c r="B41" s="7"/>
      <c r="C41" s="142"/>
      <c r="D41" s="142"/>
      <c r="E41" s="7"/>
      <c r="F41" s="147"/>
      <c r="G41" s="147"/>
      <c r="H41" s="147"/>
      <c r="I41" s="147"/>
      <c r="J41" s="147"/>
      <c r="K41" s="147"/>
      <c r="L41" s="147"/>
      <c r="M41" s="147"/>
      <c r="N41" s="147"/>
      <c r="O41" s="147"/>
      <c r="P41" s="147"/>
      <c r="Q41" s="147"/>
      <c r="R41" s="147"/>
      <c r="T41" s="141"/>
      <c r="U41" s="141"/>
      <c r="V41" s="141"/>
      <c r="W41" s="141"/>
      <c r="X41" s="141"/>
      <c r="Y41" s="141"/>
      <c r="Z41" s="141"/>
      <c r="AA41" s="141"/>
      <c r="AB41" s="141"/>
      <c r="AC41" s="141"/>
      <c r="AD41" s="141"/>
      <c r="AE41" s="141"/>
      <c r="AF41" s="141"/>
    </row>
    <row r="42" spans="1:32" x14ac:dyDescent="0.35">
      <c r="A42" s="145"/>
      <c r="B42" s="7"/>
      <c r="C42" s="142"/>
      <c r="D42" s="142"/>
      <c r="E42" s="7"/>
      <c r="F42" s="147"/>
      <c r="G42" s="147"/>
      <c r="H42" s="147"/>
      <c r="I42" s="147"/>
      <c r="J42" s="147"/>
      <c r="K42" s="147"/>
      <c r="L42" s="147"/>
      <c r="M42" s="147"/>
      <c r="N42" s="147"/>
      <c r="O42" s="147"/>
      <c r="P42" s="147"/>
      <c r="Q42" s="147"/>
      <c r="R42" s="147"/>
      <c r="T42" s="6"/>
      <c r="U42" s="6"/>
      <c r="V42" s="6"/>
      <c r="W42" s="6"/>
      <c r="X42" s="6"/>
      <c r="Y42" s="6"/>
      <c r="Z42" s="6"/>
      <c r="AA42" s="6"/>
      <c r="AB42" s="6"/>
      <c r="AC42" s="6"/>
      <c r="AD42" s="6"/>
      <c r="AE42" s="6"/>
      <c r="AF42" s="141"/>
    </row>
    <row r="43" spans="1:32" x14ac:dyDescent="0.35">
      <c r="A43" s="145"/>
      <c r="B43" s="7"/>
      <c r="C43" s="142"/>
      <c r="D43" s="142"/>
      <c r="E43" s="7"/>
      <c r="F43" s="147"/>
      <c r="G43" s="147"/>
      <c r="H43" s="147"/>
      <c r="I43" s="147"/>
      <c r="J43" s="147"/>
      <c r="K43" s="147"/>
      <c r="L43" s="147"/>
      <c r="M43" s="147"/>
      <c r="N43" s="147"/>
      <c r="O43" s="147"/>
      <c r="P43" s="147"/>
      <c r="Q43" s="147"/>
      <c r="R43" s="147"/>
      <c r="T43" s="6"/>
      <c r="U43" s="6"/>
      <c r="V43" s="6"/>
      <c r="W43" s="6"/>
      <c r="X43" s="6"/>
      <c r="Y43" s="6"/>
      <c r="Z43" s="6"/>
      <c r="AA43" s="6"/>
      <c r="AB43" s="6"/>
      <c r="AC43" s="6"/>
      <c r="AD43" s="6"/>
      <c r="AE43" s="6"/>
      <c r="AF43" s="141"/>
    </row>
    <row r="44" spans="1:32" x14ac:dyDescent="0.35">
      <c r="A44" s="145"/>
      <c r="B44" s="7"/>
      <c r="C44" s="142"/>
      <c r="D44" s="150"/>
      <c r="E44" s="7"/>
      <c r="F44" s="147"/>
      <c r="G44" s="147"/>
      <c r="H44" s="147"/>
      <c r="I44" s="147"/>
      <c r="J44" s="147"/>
      <c r="K44" s="147"/>
      <c r="L44" s="147"/>
      <c r="M44" s="147"/>
      <c r="N44" s="147"/>
      <c r="O44" s="147"/>
      <c r="P44" s="147"/>
      <c r="Q44" s="147"/>
      <c r="R44" s="147"/>
      <c r="T44" s="6"/>
      <c r="U44" s="6"/>
      <c r="V44" s="6"/>
      <c r="W44" s="6"/>
      <c r="X44" s="6"/>
      <c r="Y44" s="6"/>
      <c r="Z44" s="6"/>
      <c r="AA44" s="6"/>
      <c r="AB44" s="6"/>
      <c r="AC44" s="6"/>
      <c r="AD44" s="6"/>
      <c r="AE44" s="6"/>
      <c r="AF44" s="141"/>
    </row>
    <row r="45" spans="1:32" x14ac:dyDescent="0.35">
      <c r="A45" s="145"/>
      <c r="B45" s="7"/>
      <c r="C45" s="142"/>
      <c r="D45" s="150"/>
      <c r="E45" s="7"/>
      <c r="F45" s="6"/>
      <c r="G45" s="6"/>
      <c r="H45" s="6"/>
      <c r="I45" s="6"/>
      <c r="J45" s="6"/>
      <c r="K45" s="6"/>
      <c r="L45" s="6"/>
      <c r="M45" s="6"/>
      <c r="N45" s="6"/>
      <c r="O45" s="6"/>
      <c r="P45" s="6"/>
      <c r="Q45" s="6"/>
      <c r="R45" s="6"/>
      <c r="T45" s="141"/>
      <c r="U45" s="141"/>
      <c r="V45" s="141"/>
      <c r="W45" s="141"/>
      <c r="X45" s="141"/>
      <c r="Y45" s="141"/>
      <c r="Z45" s="141"/>
      <c r="AA45" s="141"/>
      <c r="AB45" s="141"/>
      <c r="AC45" s="141"/>
      <c r="AD45" s="141"/>
      <c r="AE45" s="141"/>
      <c r="AF45" s="141"/>
    </row>
    <row r="46" spans="1:32" x14ac:dyDescent="0.35">
      <c r="A46" s="145"/>
      <c r="B46" s="7"/>
      <c r="C46" s="142"/>
      <c r="D46" s="142"/>
      <c r="E46" s="7"/>
      <c r="F46" s="6"/>
      <c r="G46" s="6"/>
      <c r="H46" s="6"/>
      <c r="I46" s="6"/>
      <c r="T46" s="6"/>
      <c r="U46" s="6"/>
      <c r="V46" s="6"/>
      <c r="W46" s="6"/>
      <c r="AF46" s="141"/>
    </row>
    <row r="47" spans="1:32" x14ac:dyDescent="0.35">
      <c r="A47" s="145"/>
      <c r="B47" s="7"/>
      <c r="C47" s="142"/>
      <c r="D47" s="142"/>
      <c r="E47" s="7"/>
      <c r="F47" s="6"/>
      <c r="G47" s="6"/>
      <c r="H47" s="6"/>
      <c r="I47" s="6"/>
      <c r="T47" s="6"/>
      <c r="U47" s="6"/>
      <c r="V47" s="6"/>
      <c r="W47" s="6"/>
      <c r="AF47" s="141"/>
    </row>
    <row r="48" spans="1:32" x14ac:dyDescent="0.35">
      <c r="A48" s="145"/>
      <c r="B48" s="7"/>
      <c r="C48" s="150"/>
      <c r="D48" s="150"/>
      <c r="E48" s="146"/>
      <c r="F48" s="147"/>
      <c r="G48" s="147"/>
      <c r="H48" s="147"/>
      <c r="I48" s="147"/>
      <c r="J48" s="147"/>
      <c r="K48" s="147"/>
      <c r="L48" s="147"/>
      <c r="M48" s="147"/>
      <c r="N48" s="147"/>
      <c r="O48" s="147"/>
      <c r="P48" s="147"/>
      <c r="Q48" s="147"/>
      <c r="R48" s="147"/>
      <c r="T48" s="142"/>
      <c r="U48" s="142"/>
      <c r="V48" s="142"/>
      <c r="W48" s="142"/>
      <c r="X48" s="142"/>
      <c r="Y48" s="142"/>
      <c r="Z48" s="142"/>
      <c r="AA48" s="142"/>
      <c r="AB48" s="142"/>
      <c r="AC48" s="142"/>
      <c r="AD48" s="142"/>
      <c r="AE48" s="142"/>
      <c r="AF48" s="141"/>
    </row>
    <row r="49" spans="1:32" x14ac:dyDescent="0.35">
      <c r="A49" s="145"/>
      <c r="B49" s="7"/>
      <c r="C49" s="150"/>
      <c r="D49" s="150"/>
      <c r="E49" s="146"/>
      <c r="F49" s="147"/>
      <c r="G49" s="147"/>
      <c r="H49" s="147"/>
      <c r="I49" s="147"/>
      <c r="J49" s="147"/>
      <c r="K49" s="147"/>
      <c r="L49" s="147"/>
      <c r="M49" s="147"/>
      <c r="N49" s="147"/>
      <c r="O49" s="147"/>
      <c r="P49" s="147"/>
      <c r="Q49" s="147"/>
      <c r="R49" s="147"/>
      <c r="T49" s="148"/>
      <c r="U49" s="148"/>
      <c r="V49" s="148"/>
      <c r="W49" s="148"/>
      <c r="X49" s="148"/>
      <c r="Y49" s="148"/>
      <c r="Z49" s="148"/>
      <c r="AA49" s="148"/>
      <c r="AB49" s="148"/>
      <c r="AC49" s="148"/>
      <c r="AD49" s="148"/>
      <c r="AE49" s="148"/>
      <c r="AF49" s="141"/>
    </row>
    <row r="50" spans="1:32" x14ac:dyDescent="0.35">
      <c r="A50" s="145"/>
      <c r="B50" s="7"/>
      <c r="C50" s="150"/>
      <c r="D50" s="150"/>
      <c r="E50" s="146"/>
      <c r="F50" s="147"/>
      <c r="G50" s="147"/>
      <c r="H50" s="147"/>
      <c r="I50" s="147"/>
      <c r="J50" s="147"/>
      <c r="K50" s="147"/>
      <c r="L50" s="147"/>
      <c r="M50" s="147"/>
      <c r="N50" s="147"/>
      <c r="O50" s="147"/>
      <c r="P50" s="147"/>
      <c r="Q50" s="147"/>
      <c r="R50" s="147"/>
      <c r="T50" s="142"/>
      <c r="U50" s="142"/>
      <c r="V50" s="142"/>
      <c r="W50" s="142"/>
      <c r="X50" s="142"/>
      <c r="Y50" s="142"/>
      <c r="Z50" s="142"/>
      <c r="AA50" s="142"/>
      <c r="AB50" s="142"/>
      <c r="AC50" s="142"/>
      <c r="AD50" s="142"/>
      <c r="AE50" s="142"/>
      <c r="AF50" s="141"/>
    </row>
    <row r="52" spans="1:32" x14ac:dyDescent="0.35">
      <c r="T52" s="149"/>
      <c r="U52" s="149"/>
      <c r="V52" s="149"/>
      <c r="W52" s="149"/>
      <c r="X52" s="149"/>
      <c r="Y52" s="149"/>
      <c r="Z52" s="149"/>
      <c r="AA52" s="149"/>
      <c r="AB52" s="149"/>
      <c r="AC52" s="149"/>
      <c r="AD52" s="149"/>
      <c r="AE52" s="149"/>
      <c r="AF52" s="149"/>
    </row>
    <row r="53" spans="1:32" x14ac:dyDescent="0.35">
      <c r="T53" s="149"/>
      <c r="U53" s="149"/>
      <c r="V53" s="149"/>
      <c r="W53" s="149"/>
      <c r="X53" s="149"/>
      <c r="Y53" s="149"/>
      <c r="Z53" s="149"/>
      <c r="AA53" s="149"/>
      <c r="AB53" s="149"/>
      <c r="AC53" s="149"/>
      <c r="AD53" s="149"/>
      <c r="AE53" s="149"/>
      <c r="AF53" s="149"/>
    </row>
  </sheetData>
  <mergeCells count="13">
    <mergeCell ref="R31:R33"/>
    <mergeCell ref="L31:L33"/>
    <mergeCell ref="M31:M33"/>
    <mergeCell ref="N31:N33"/>
    <mergeCell ref="O31:O33"/>
    <mergeCell ref="P31:P33"/>
    <mergeCell ref="Q31:Q33"/>
    <mergeCell ref="K31:K33"/>
    <mergeCell ref="F31:F33"/>
    <mergeCell ref="G31:G33"/>
    <mergeCell ref="H31:H33"/>
    <mergeCell ref="I31:I33"/>
    <mergeCell ref="J31:J3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7fb248cd-87a4-4016-aff5-6a7c8edc2665" xsi:nil="true"/>
    <SharedWithUsers xmlns="5239f10c-6748-47c7-b2e3-c1af5071d0bb">
      <UserInfo>
        <DisplayName/>
        <AccountId xsi:nil="true"/>
        <AccountType/>
      </UserInfo>
    </SharedWithUsers>
    <lcf76f155ced4ddcb4097134ff3c332f xmlns="7fb248cd-87a4-4016-aff5-6a7c8edc2665">
      <Terms xmlns="http://schemas.microsoft.com/office/infopath/2007/PartnerControls"/>
    </lcf76f155ced4ddcb4097134ff3c332f>
    <TaxCatchAll xmlns="5239f10c-6748-47c7-b2e3-c1af5071d0b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1507463A134674987AABA8098F8CDDF" ma:contentTypeVersion="15" ma:contentTypeDescription="Create a new document." ma:contentTypeScope="" ma:versionID="2b38db3d831d76952389b603bb4e48f1">
  <xsd:schema xmlns:xsd="http://www.w3.org/2001/XMLSchema" xmlns:xs="http://www.w3.org/2001/XMLSchema" xmlns:p="http://schemas.microsoft.com/office/2006/metadata/properties" xmlns:ns2="5239f10c-6748-47c7-b2e3-c1af5071d0bb" xmlns:ns3="7fb248cd-87a4-4016-aff5-6a7c8edc2665" targetNamespace="http://schemas.microsoft.com/office/2006/metadata/properties" ma:root="true" ma:fieldsID="991270019145b486431ac7b6c2d7faa9" ns2:_="" ns3:_="">
    <xsd:import namespace="5239f10c-6748-47c7-b2e3-c1af5071d0bb"/>
    <xsd:import namespace="7fb248cd-87a4-4016-aff5-6a7c8edc266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39f10c-6748-47c7-b2e3-c1af5071d0b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bcfebf-ea06-43e8-8fcb-34fedde9106e}" ma:internalName="TaxCatchAll" ma:showField="CatchAllData" ma:web="5239f10c-6748-47c7-b2e3-c1af5071d0b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fb248cd-87a4-4016-aff5-6a7c8edc266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e395958-07c7-4e47-8362-5559c3c9103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11BFD0-F466-45CC-A5DD-0E78D0CE83A7}">
  <ds:schemaRefs>
    <ds:schemaRef ds:uri="http://schemas.microsoft.com/office/2006/metadata/properties"/>
    <ds:schemaRef ds:uri="http://schemas.microsoft.com/office/infopath/2007/PartnerControls"/>
    <ds:schemaRef ds:uri="7fb248cd-87a4-4016-aff5-6a7c8edc2665"/>
    <ds:schemaRef ds:uri="5239f10c-6748-47c7-b2e3-c1af5071d0bb"/>
  </ds:schemaRefs>
</ds:datastoreItem>
</file>

<file path=customXml/itemProps2.xml><?xml version="1.0" encoding="utf-8"?>
<ds:datastoreItem xmlns:ds="http://schemas.openxmlformats.org/officeDocument/2006/customXml" ds:itemID="{88019EB5-BF90-4885-8368-A26BA925BA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39f10c-6748-47c7-b2e3-c1af5071d0bb"/>
    <ds:schemaRef ds:uri="7fb248cd-87a4-4016-aff5-6a7c8edc26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05432A-9829-4428-A50E-268377A7DF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Sheet1</vt:lpstr>
      <vt:lpstr>Sheet 3</vt:lpstr>
      <vt:lpstr>1. Revenue Buildup 2026</vt:lpstr>
      <vt:lpstr>Base Revenue</vt:lpstr>
      <vt:lpstr>2. Headcount Buildup</vt:lpstr>
      <vt:lpstr>2. Headcount Buildup - MBMS</vt:lpstr>
      <vt:lpstr>Payroll 2025</vt:lpstr>
      <vt:lpstr>3. P&amp;L Summary</vt:lpstr>
      <vt:lpstr>3. P&amp;L - Only Base+Confirmed'25</vt:lpstr>
      <vt:lpstr>3. P&amp;L Summary Actual</vt:lpstr>
      <vt:lpstr>4. India Expenses INR</vt:lpstr>
      <vt:lpstr>3. P&amp;L Summary Ideal</vt:lpstr>
      <vt:lpstr>5. US Expenses</vt:lpstr>
      <vt:lpstr>India Expenses - Detailed</vt:lpstr>
      <vt:lpstr>Base FTE</vt:lpstr>
      <vt:lpstr>Base Revenue Details</vt:lpstr>
      <vt:lpstr>Clientwise Profitability</vt:lpstr>
      <vt:lpstr>Base Volumes and Norms</vt:lpstr>
      <vt:lpstr>Addl costs</vt:lpstr>
      <vt:lpstr>Digital Marketing</vt:lpstr>
      <vt:lpstr>Cold Calling Team</vt:lpstr>
      <vt:lpstr>Forecast Budget - 2026</vt:lpstr>
      <vt:lpstr>Base Rev - Given</vt:lpstr>
      <vt:lpstr>Manpower Existing</vt:lpstr>
      <vt:lpstr>System Rental Charges</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Naveen kumar</dc:creator>
  <cp:keywords/>
  <dc:description/>
  <cp:lastModifiedBy>Bollapragada Bhavana</cp:lastModifiedBy>
  <cp:revision/>
  <cp:lastPrinted>2025-12-29T12:23:00Z</cp:lastPrinted>
  <dcterms:created xsi:type="dcterms:W3CDTF">2023-09-05T09:45:10Z</dcterms:created>
  <dcterms:modified xsi:type="dcterms:W3CDTF">2026-08-16T16:48:47Z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0x010100E1507463A134674987AABA8098F8CDDF</vt:lpwstr>
  </property>
  <property fmtid="{D5CDD505-2E9C-101B-9397-08002B2CF9AE}" pid="3" name="Order">
    <vt:r8>16400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